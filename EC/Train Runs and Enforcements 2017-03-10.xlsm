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Trips'!$A$2:$J$226</definedName>
    <definedName name="_xlnm._FilterDatabase" localSheetId="0" hidden="1">'Train Runs'!$A$12:$AG$259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3" i="1" l="1"/>
  <c r="V34" i="1"/>
  <c r="V35" i="1"/>
  <c r="V36" i="1"/>
  <c r="V37" i="1"/>
  <c r="X19" i="1"/>
  <c r="X20" i="1"/>
  <c r="X21" i="1"/>
  <c r="K18" i="1"/>
  <c r="L18" i="1"/>
  <c r="M18" i="1"/>
  <c r="V18" i="1"/>
  <c r="Y18" i="1"/>
  <c r="Z18" i="1"/>
  <c r="AA18" i="1" s="1"/>
  <c r="AB18" i="1"/>
  <c r="AC18" i="1"/>
  <c r="AD18" i="1"/>
  <c r="AG18" i="1" s="1"/>
  <c r="AE18" i="1"/>
  <c r="AF18" i="1"/>
  <c r="AH18" i="1"/>
  <c r="AM18" i="1"/>
  <c r="AN18" i="1"/>
  <c r="K17" i="1"/>
  <c r="L17" i="1"/>
  <c r="M17" i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W18" i="1" l="1"/>
  <c r="T18" i="1"/>
  <c r="X18" i="1"/>
  <c r="U18" i="1"/>
  <c r="S18" i="1" s="1"/>
  <c r="AI18" i="1"/>
  <c r="AG17" i="1"/>
  <c r="X17" i="1"/>
  <c r="X204" i="1"/>
  <c r="X205" i="1"/>
  <c r="X206" i="1"/>
  <c r="X207" i="1"/>
  <c r="X208" i="1"/>
  <c r="X209" i="1"/>
  <c r="X210" i="1"/>
  <c r="X36" i="1"/>
  <c r="X37" i="1"/>
  <c r="K34" i="1"/>
  <c r="L34" i="1"/>
  <c r="M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/>
  <c r="Y36" i="1"/>
  <c r="AA36" i="1" s="1"/>
  <c r="Z36" i="1"/>
  <c r="AB36" i="1"/>
  <c r="AC36" i="1"/>
  <c r="AD36" i="1"/>
  <c r="AG36" i="1" s="1"/>
  <c r="AE36" i="1"/>
  <c r="AF36" i="1"/>
  <c r="AH36" i="1"/>
  <c r="AM36" i="1"/>
  <c r="AN36" i="1"/>
  <c r="K195" i="1"/>
  <c r="L195" i="1"/>
  <c r="M195" i="1"/>
  <c r="T195" i="1"/>
  <c r="V195" i="1"/>
  <c r="Y195" i="1"/>
  <c r="Z195" i="1"/>
  <c r="AA195" i="1" s="1"/>
  <c r="AB195" i="1"/>
  <c r="AC195" i="1"/>
  <c r="AD195" i="1"/>
  <c r="AG195" i="1" s="1"/>
  <c r="AE195" i="1"/>
  <c r="AF195" i="1"/>
  <c r="AH195" i="1"/>
  <c r="AM195" i="1"/>
  <c r="AN19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S42" i="3" s="1"/>
  <c r="Y16" i="1"/>
  <c r="Z16" i="1"/>
  <c r="AB16" i="1"/>
  <c r="AC16" i="1"/>
  <c r="AD16" i="1"/>
  <c r="AE16" i="1"/>
  <c r="R42" i="3" s="1"/>
  <c r="AF16" i="1"/>
  <c r="AH16" i="1"/>
  <c r="AM16" i="1"/>
  <c r="AN16" i="1"/>
  <c r="K19" i="1"/>
  <c r="L19" i="1"/>
  <c r="M19" i="1"/>
  <c r="N19" i="1" s="1"/>
  <c r="V19" i="1"/>
  <c r="S10" i="3" s="1"/>
  <c r="Y19" i="1"/>
  <c r="Z19" i="1"/>
  <c r="AB19" i="1"/>
  <c r="AC19" i="1"/>
  <c r="AD19" i="1"/>
  <c r="AE19" i="1"/>
  <c r="R49" i="3" s="1"/>
  <c r="AF19" i="1"/>
  <c r="AH19" i="1"/>
  <c r="AM19" i="1"/>
  <c r="AN19" i="1"/>
  <c r="K20" i="1"/>
  <c r="L20" i="1"/>
  <c r="M20" i="1"/>
  <c r="N20" i="1" s="1"/>
  <c r="V20" i="1"/>
  <c r="S13" i="3" s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S44" i="3" s="1"/>
  <c r="Y26" i="1"/>
  <c r="Z26" i="1"/>
  <c r="AB26" i="1"/>
  <c r="AC26" i="1"/>
  <c r="AD26" i="1"/>
  <c r="AG26" i="1" s="1"/>
  <c r="AE26" i="1"/>
  <c r="R44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T31" i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S14" i="3"/>
  <c r="Y33" i="1"/>
  <c r="Z33" i="1"/>
  <c r="AB33" i="1"/>
  <c r="AC33" i="1"/>
  <c r="AD33" i="1"/>
  <c r="T33" i="1" s="1"/>
  <c r="AE33" i="1"/>
  <c r="AF33" i="1"/>
  <c r="AH33" i="1"/>
  <c r="AM33" i="1"/>
  <c r="AN33" i="1"/>
  <c r="K37" i="1"/>
  <c r="L37" i="1"/>
  <c r="M37" i="1"/>
  <c r="N37" i="1" s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S11" i="3" s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S43" i="3" s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R16" i="3" s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S23" i="3" s="1"/>
  <c r="Y64" i="1"/>
  <c r="Z64" i="1"/>
  <c r="AB64" i="1"/>
  <c r="AC64" i="1"/>
  <c r="AD64" i="1"/>
  <c r="AE64" i="1"/>
  <c r="R23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S21" i="3" s="1"/>
  <c r="Y67" i="1"/>
  <c r="Z67" i="1"/>
  <c r="AB67" i="1"/>
  <c r="AC67" i="1"/>
  <c r="AD67" i="1"/>
  <c r="T67" i="1" s="1"/>
  <c r="AE67" i="1"/>
  <c r="R28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S35" i="3" s="1"/>
  <c r="Y71" i="1"/>
  <c r="Z71" i="1"/>
  <c r="AB71" i="1"/>
  <c r="AC71" i="1"/>
  <c r="AD71" i="1"/>
  <c r="T71" i="1" s="1"/>
  <c r="AE71" i="1"/>
  <c r="R35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P73" i="1" s="1"/>
  <c r="V73" i="1"/>
  <c r="Y73" i="1"/>
  <c r="Z73" i="1"/>
  <c r="AB73" i="1"/>
  <c r="AC73" i="1"/>
  <c r="AD73" i="1"/>
  <c r="T73" i="1" s="1"/>
  <c r="AE73" i="1"/>
  <c r="R17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S51" i="3" s="1"/>
  <c r="Y82" i="1"/>
  <c r="Z82" i="1"/>
  <c r="AB82" i="1"/>
  <c r="AC82" i="1"/>
  <c r="AD82" i="1"/>
  <c r="T82" i="1" s="1"/>
  <c r="AE82" i="1"/>
  <c r="R51" i="3" s="1"/>
  <c r="AF82" i="1"/>
  <c r="AH82" i="1"/>
  <c r="AM82" i="1"/>
  <c r="AN82" i="1"/>
  <c r="K83" i="1"/>
  <c r="L83" i="1"/>
  <c r="M83" i="1"/>
  <c r="N83" i="1" s="1"/>
  <c r="V83" i="1"/>
  <c r="S31" i="3" s="1"/>
  <c r="Y83" i="1"/>
  <c r="Z83" i="1"/>
  <c r="AB83" i="1"/>
  <c r="AC83" i="1"/>
  <c r="AD83" i="1"/>
  <c r="AE83" i="1"/>
  <c r="R31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V85" i="1"/>
  <c r="Y85" i="1"/>
  <c r="Z85" i="1"/>
  <c r="AI85" i="1" s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V86" i="1"/>
  <c r="S27" i="3" s="1"/>
  <c r="Y86" i="1"/>
  <c r="Z86" i="1"/>
  <c r="AB86" i="1"/>
  <c r="AC86" i="1"/>
  <c r="AD86" i="1"/>
  <c r="T86" i="1" s="1"/>
  <c r="AE86" i="1"/>
  <c r="R27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G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R8" i="3" s="1"/>
  <c r="AF93" i="1"/>
  <c r="AH93" i="1"/>
  <c r="AM93" i="1"/>
  <c r="AN93" i="1"/>
  <c r="K94" i="1"/>
  <c r="L94" i="1"/>
  <c r="M94" i="1"/>
  <c r="N94" i="1" s="1"/>
  <c r="V94" i="1"/>
  <c r="S36" i="3" s="1"/>
  <c r="Y94" i="1"/>
  <c r="Z94" i="1"/>
  <c r="AB94" i="1"/>
  <c r="AC94" i="1"/>
  <c r="AD94" i="1"/>
  <c r="AG94" i="1" s="1"/>
  <c r="AE94" i="1"/>
  <c r="R36" i="3" s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S18" i="3" s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S45" i="3" s="1"/>
  <c r="Y98" i="1"/>
  <c r="Z98" i="1"/>
  <c r="AB98" i="1"/>
  <c r="AC98" i="1"/>
  <c r="AD98" i="1"/>
  <c r="AE98" i="1"/>
  <c r="R19" i="3" s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S46" i="3" s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S47" i="3" s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S7" i="3" s="1"/>
  <c r="Y108" i="1"/>
  <c r="Z108" i="1"/>
  <c r="AB108" i="1"/>
  <c r="AC108" i="1"/>
  <c r="AD108" i="1"/>
  <c r="T108" i="1" s="1"/>
  <c r="AE108" i="1"/>
  <c r="R7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R33" i="3" s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S32" i="3" s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S52" i="3" s="1"/>
  <c r="Y114" i="1"/>
  <c r="Z114" i="1"/>
  <c r="AB114" i="1"/>
  <c r="AC114" i="1"/>
  <c r="AD114" i="1"/>
  <c r="AE114" i="1"/>
  <c r="R52" i="3" s="1"/>
  <c r="AF114" i="1"/>
  <c r="AH114" i="1"/>
  <c r="AM114" i="1"/>
  <c r="AN114" i="1"/>
  <c r="K115" i="1"/>
  <c r="L115" i="1"/>
  <c r="M115" i="1"/>
  <c r="P115" i="1" s="1"/>
  <c r="V115" i="1"/>
  <c r="Y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S39" i="3" s="1"/>
  <c r="Y119" i="1"/>
  <c r="Z119" i="1"/>
  <c r="AB119" i="1"/>
  <c r="AC119" i="1"/>
  <c r="AD119" i="1"/>
  <c r="AG119" i="1" s="1"/>
  <c r="AE119" i="1"/>
  <c r="R29" i="3" s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S34" i="3" s="1"/>
  <c r="Y122" i="1"/>
  <c r="Z122" i="1"/>
  <c r="AB122" i="1"/>
  <c r="AC122" i="1"/>
  <c r="AD122" i="1"/>
  <c r="T122" i="1" s="1"/>
  <c r="AE122" i="1"/>
  <c r="R34" i="3" s="1"/>
  <c r="AF122" i="1"/>
  <c r="AH122" i="1"/>
  <c r="AM122" i="1"/>
  <c r="AN122" i="1"/>
  <c r="K123" i="1"/>
  <c r="L123" i="1"/>
  <c r="M123" i="1"/>
  <c r="N123" i="1" s="1"/>
  <c r="V123" i="1"/>
  <c r="S30" i="3" s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V128" i="1"/>
  <c r="S22" i="3" s="1"/>
  <c r="Y128" i="1"/>
  <c r="Z128" i="1"/>
  <c r="AB128" i="1"/>
  <c r="AC128" i="1"/>
  <c r="AD128" i="1"/>
  <c r="AE128" i="1"/>
  <c r="R20" i="3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S37" i="3" s="1"/>
  <c r="Y134" i="1"/>
  <c r="Z134" i="1"/>
  <c r="AB134" i="1"/>
  <c r="AC134" i="1"/>
  <c r="AD134" i="1"/>
  <c r="T134" i="1" s="1"/>
  <c r="AE134" i="1"/>
  <c r="R37" i="3" s="1"/>
  <c r="AF134" i="1"/>
  <c r="AH134" i="1"/>
  <c r="AM134" i="1"/>
  <c r="AN134" i="1"/>
  <c r="K135" i="1"/>
  <c r="L135" i="1"/>
  <c r="M135" i="1"/>
  <c r="N135" i="1" s="1"/>
  <c r="V135" i="1"/>
  <c r="Y135" i="1"/>
  <c r="Z135" i="1"/>
  <c r="AI135" i="1" s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S53" i="3" s="1"/>
  <c r="Y144" i="1"/>
  <c r="Z144" i="1"/>
  <c r="AB144" i="1"/>
  <c r="AC144" i="1"/>
  <c r="AD144" i="1"/>
  <c r="AE144" i="1"/>
  <c r="R15" i="3" s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S9" i="3" s="1"/>
  <c r="Y150" i="1"/>
  <c r="Z150" i="1"/>
  <c r="AB150" i="1"/>
  <c r="AC150" i="1"/>
  <c r="AD150" i="1"/>
  <c r="T150" i="1" s="1"/>
  <c r="AE150" i="1"/>
  <c r="R9" i="3" s="1"/>
  <c r="AF150" i="1"/>
  <c r="AH150" i="1"/>
  <c r="AM150" i="1"/>
  <c r="AN150" i="1"/>
  <c r="K151" i="1"/>
  <c r="L151" i="1"/>
  <c r="M151" i="1"/>
  <c r="N151" i="1" s="1"/>
  <c r="V151" i="1"/>
  <c r="S40" i="3" s="1"/>
  <c r="Y151" i="1"/>
  <c r="Z151" i="1"/>
  <c r="AB151" i="1"/>
  <c r="AC151" i="1"/>
  <c r="AD151" i="1"/>
  <c r="AG151" i="1" s="1"/>
  <c r="AE151" i="1"/>
  <c r="R40" i="3" s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5" i="1"/>
  <c r="AM185" i="1"/>
  <c r="AN185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86" i="1"/>
  <c r="AM186" i="1"/>
  <c r="AN186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87" i="1"/>
  <c r="AM187" i="1"/>
  <c r="AN187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8" i="1"/>
  <c r="AM188" i="1"/>
  <c r="AN18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9" i="1"/>
  <c r="AM189" i="1"/>
  <c r="AN189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1" i="1"/>
  <c r="AM191" i="1"/>
  <c r="AN19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2" i="1"/>
  <c r="AM192" i="1"/>
  <c r="AN192" i="1"/>
  <c r="K165" i="1"/>
  <c r="L165" i="1"/>
  <c r="M165" i="1"/>
  <c r="N165" i="1" s="1"/>
  <c r="V165" i="1"/>
  <c r="Y165" i="1"/>
  <c r="Z165" i="1"/>
  <c r="AA165" i="1" s="1"/>
  <c r="W165" i="1" s="1"/>
  <c r="AB165" i="1"/>
  <c r="AC165" i="1"/>
  <c r="AD165" i="1"/>
  <c r="AG165" i="1" s="1"/>
  <c r="AE165" i="1"/>
  <c r="AF165" i="1"/>
  <c r="AH193" i="1"/>
  <c r="AM193" i="1"/>
  <c r="AN19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4" i="1"/>
  <c r="AM194" i="1"/>
  <c r="AN19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96" i="1"/>
  <c r="AM196" i="1"/>
  <c r="AN196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97" i="1"/>
  <c r="AM197" i="1"/>
  <c r="AN19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8" i="1"/>
  <c r="AM198" i="1"/>
  <c r="AN198" i="1"/>
  <c r="K243" i="1"/>
  <c r="L243" i="1"/>
  <c r="M243" i="1"/>
  <c r="N243" i="1" s="1"/>
  <c r="V243" i="1"/>
  <c r="Y243" i="1"/>
  <c r="Z243" i="1"/>
  <c r="AB243" i="1"/>
  <c r="AC243" i="1"/>
  <c r="AD243" i="1"/>
  <c r="AG243" i="1" s="1"/>
  <c r="AI243" i="1" s="1"/>
  <c r="AE243" i="1"/>
  <c r="AF243" i="1"/>
  <c r="AH199" i="1"/>
  <c r="AM199" i="1"/>
  <c r="AN19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00" i="1"/>
  <c r="AM200" i="1"/>
  <c r="AN200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201" i="1"/>
  <c r="AM201" i="1"/>
  <c r="AN20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2" i="1"/>
  <c r="AM202" i="1"/>
  <c r="AN202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03" i="1"/>
  <c r="AM203" i="1"/>
  <c r="AN20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4" i="1"/>
  <c r="AM204" i="1"/>
  <c r="AN204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205" i="1"/>
  <c r="AM205" i="1"/>
  <c r="AN20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206" i="1"/>
  <c r="AM206" i="1"/>
  <c r="AN206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07" i="1"/>
  <c r="AM207" i="1"/>
  <c r="AN20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8" i="1"/>
  <c r="AM208" i="1"/>
  <c r="AN208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9" i="1"/>
  <c r="AM209" i="1"/>
  <c r="AN20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0" i="1"/>
  <c r="AM210" i="1"/>
  <c r="AN210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11" i="1"/>
  <c r="AM211" i="1"/>
  <c r="AN21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2" i="1"/>
  <c r="AM212" i="1"/>
  <c r="AN212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3" i="1"/>
  <c r="AM213" i="1"/>
  <c r="AN21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4" i="1"/>
  <c r="AM214" i="1"/>
  <c r="AN214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15" i="1"/>
  <c r="AM215" i="1"/>
  <c r="AN215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6" i="1"/>
  <c r="AM216" i="1"/>
  <c r="AN216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7" i="1"/>
  <c r="AM217" i="1"/>
  <c r="AN217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8" i="1"/>
  <c r="AM218" i="1"/>
  <c r="AN21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9" i="1"/>
  <c r="AM219" i="1"/>
  <c r="AN21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0" i="1"/>
  <c r="AM220" i="1"/>
  <c r="AN22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1" i="1"/>
  <c r="AM221" i="1"/>
  <c r="AN221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22" i="1"/>
  <c r="AM222" i="1"/>
  <c r="AN222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3" i="1"/>
  <c r="AM223" i="1"/>
  <c r="AN22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4" i="1"/>
  <c r="AM224" i="1"/>
  <c r="AN224" i="1"/>
  <c r="K194" i="1"/>
  <c r="L194" i="1"/>
  <c r="M194" i="1"/>
  <c r="N194" i="1"/>
  <c r="V194" i="1"/>
  <c r="Y194" i="1"/>
  <c r="Z194" i="1"/>
  <c r="AB194" i="1"/>
  <c r="AC194" i="1"/>
  <c r="AD194" i="1"/>
  <c r="X195" i="1" s="1"/>
  <c r="AE194" i="1"/>
  <c r="AF194" i="1"/>
  <c r="AH225" i="1"/>
  <c r="AM225" i="1"/>
  <c r="AN225" i="1"/>
  <c r="AH226" i="1"/>
  <c r="AM226" i="1"/>
  <c r="AN22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7" i="1"/>
  <c r="AM227" i="1"/>
  <c r="AN22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8" i="1"/>
  <c r="AM228" i="1"/>
  <c r="AN22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9" i="1"/>
  <c r="AM229" i="1"/>
  <c r="AN229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30" i="1"/>
  <c r="AM230" i="1"/>
  <c r="AN230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31" i="1"/>
  <c r="AM231" i="1"/>
  <c r="AN231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32" i="1"/>
  <c r="AM232" i="1"/>
  <c r="AN23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3" i="1"/>
  <c r="AM233" i="1"/>
  <c r="AN233" i="1"/>
  <c r="K203" i="1"/>
  <c r="L203" i="1"/>
  <c r="M203" i="1"/>
  <c r="N203" i="1" s="1"/>
  <c r="V203" i="1"/>
  <c r="Y203" i="1"/>
  <c r="AA203" i="1" s="1"/>
  <c r="Z203" i="1"/>
  <c r="AB203" i="1"/>
  <c r="AC203" i="1"/>
  <c r="AD203" i="1"/>
  <c r="T203" i="1" s="1"/>
  <c r="AE203" i="1"/>
  <c r="AF203" i="1"/>
  <c r="AH234" i="1"/>
  <c r="AM234" i="1"/>
  <c r="AN23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5" i="1"/>
  <c r="AM235" i="1"/>
  <c r="AN235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6" i="1"/>
  <c r="AM236" i="1"/>
  <c r="AN236" i="1"/>
  <c r="AH237" i="1"/>
  <c r="AM237" i="1"/>
  <c r="AN237" i="1"/>
  <c r="AH238" i="1"/>
  <c r="AM238" i="1"/>
  <c r="AN238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239" i="1"/>
  <c r="AM239" i="1"/>
  <c r="AN23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0" i="1"/>
  <c r="AM240" i="1"/>
  <c r="AN24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1" i="1"/>
  <c r="AM241" i="1"/>
  <c r="AN24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2" i="1"/>
  <c r="AM242" i="1"/>
  <c r="AN242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3" i="1"/>
  <c r="AM243" i="1"/>
  <c r="AN243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4" i="1"/>
  <c r="AM244" i="1"/>
  <c r="AN244" i="1"/>
  <c r="M58" i="3"/>
  <c r="R58" i="3"/>
  <c r="S58" i="3"/>
  <c r="U58" i="3"/>
  <c r="T58" i="3" s="1"/>
  <c r="V58" i="3"/>
  <c r="W58" i="3"/>
  <c r="X58" i="3"/>
  <c r="M57" i="3"/>
  <c r="R57" i="3"/>
  <c r="S57" i="3"/>
  <c r="U57" i="3"/>
  <c r="V57" i="3"/>
  <c r="W57" i="3"/>
  <c r="X57" i="3"/>
  <c r="M10" i="3"/>
  <c r="R10" i="3"/>
  <c r="U10" i="3"/>
  <c r="AC10" i="3" s="1"/>
  <c r="V10" i="3"/>
  <c r="W10" i="3"/>
  <c r="X10" i="3"/>
  <c r="AD10" i="3"/>
  <c r="M42" i="3"/>
  <c r="U42" i="3"/>
  <c r="T42" i="3" s="1"/>
  <c r="V42" i="3"/>
  <c r="W42" i="3"/>
  <c r="X42" i="3"/>
  <c r="AC42" i="3"/>
  <c r="M41" i="3"/>
  <c r="S41" i="3"/>
  <c r="U41" i="3"/>
  <c r="T41" i="3" s="1"/>
  <c r="V41" i="3"/>
  <c r="W41" i="3"/>
  <c r="X41" i="3"/>
  <c r="M49" i="3"/>
  <c r="S49" i="3"/>
  <c r="U49" i="3"/>
  <c r="V49" i="3"/>
  <c r="W49" i="3"/>
  <c r="X49" i="3"/>
  <c r="M13" i="3"/>
  <c r="R13" i="3"/>
  <c r="U13" i="3"/>
  <c r="AC13" i="3" s="1"/>
  <c r="V13" i="3"/>
  <c r="W13" i="3"/>
  <c r="X13" i="3"/>
  <c r="M12" i="3"/>
  <c r="R12" i="3"/>
  <c r="S12" i="3"/>
  <c r="U12" i="3"/>
  <c r="T12" i="3" s="1"/>
  <c r="V12" i="3"/>
  <c r="W12" i="3"/>
  <c r="X12" i="3"/>
  <c r="M44" i="3"/>
  <c r="U44" i="3"/>
  <c r="T44" i="3" s="1"/>
  <c r="V44" i="3"/>
  <c r="W44" i="3"/>
  <c r="X44" i="3"/>
  <c r="M14" i="3"/>
  <c r="R14" i="3"/>
  <c r="U14" i="3"/>
  <c r="AD14" i="3" s="1"/>
  <c r="V14" i="3"/>
  <c r="W14" i="3"/>
  <c r="X14" i="3"/>
  <c r="M43" i="3"/>
  <c r="R43" i="3"/>
  <c r="U43" i="3"/>
  <c r="AC43" i="3" s="1"/>
  <c r="V43" i="3"/>
  <c r="W43" i="3"/>
  <c r="X43" i="3"/>
  <c r="M11" i="3"/>
  <c r="R11" i="3"/>
  <c r="U11" i="3"/>
  <c r="T11" i="3" s="1"/>
  <c r="V11" i="3"/>
  <c r="W11" i="3"/>
  <c r="X11" i="3"/>
  <c r="AC11" i="3"/>
  <c r="M38" i="3"/>
  <c r="R38" i="3"/>
  <c r="S38" i="3"/>
  <c r="U38" i="3"/>
  <c r="T38" i="3" s="1"/>
  <c r="V38" i="3"/>
  <c r="W38" i="3"/>
  <c r="X38" i="3"/>
  <c r="M16" i="3"/>
  <c r="S16" i="3"/>
  <c r="U16" i="3"/>
  <c r="V16" i="3"/>
  <c r="W16" i="3"/>
  <c r="X16" i="3"/>
  <c r="M50" i="3"/>
  <c r="R50" i="3"/>
  <c r="S50" i="3"/>
  <c r="U50" i="3"/>
  <c r="AC50" i="3" s="1"/>
  <c r="V50" i="3"/>
  <c r="W50" i="3"/>
  <c r="X50" i="3"/>
  <c r="M59" i="3"/>
  <c r="R59" i="3"/>
  <c r="S59" i="3"/>
  <c r="U59" i="3"/>
  <c r="T59" i="3" s="1"/>
  <c r="V59" i="3"/>
  <c r="W59" i="3"/>
  <c r="X59" i="3"/>
  <c r="AC59" i="3"/>
  <c r="M23" i="3"/>
  <c r="U23" i="3"/>
  <c r="T23" i="3" s="1"/>
  <c r="V23" i="3"/>
  <c r="W23" i="3"/>
  <c r="Y23" i="3" s="1"/>
  <c r="X23" i="3"/>
  <c r="M28" i="3"/>
  <c r="U28" i="3"/>
  <c r="V28" i="3"/>
  <c r="W28" i="3"/>
  <c r="X28" i="3"/>
  <c r="M21" i="3"/>
  <c r="U21" i="3"/>
  <c r="AC21" i="3" s="1"/>
  <c r="V21" i="3"/>
  <c r="W21" i="3"/>
  <c r="X21" i="3"/>
  <c r="M35" i="3"/>
  <c r="U35" i="3"/>
  <c r="T35" i="3" s="1"/>
  <c r="V35" i="3"/>
  <c r="W35" i="3"/>
  <c r="X35" i="3"/>
  <c r="AC35" i="3"/>
  <c r="M17" i="3"/>
  <c r="S17" i="3"/>
  <c r="U17" i="3"/>
  <c r="T17" i="3" s="1"/>
  <c r="V17" i="3"/>
  <c r="W17" i="3"/>
  <c r="X17" i="3"/>
  <c r="M26" i="3"/>
  <c r="S26" i="3"/>
  <c r="U26" i="3"/>
  <c r="AD26" i="3" s="1"/>
  <c r="V26" i="3"/>
  <c r="W26" i="3"/>
  <c r="X26" i="3"/>
  <c r="M51" i="3"/>
  <c r="U51" i="3"/>
  <c r="AC51" i="3" s="1"/>
  <c r="V51" i="3"/>
  <c r="W51" i="3"/>
  <c r="X51" i="3"/>
  <c r="M31" i="3"/>
  <c r="U31" i="3"/>
  <c r="T31" i="3" s="1"/>
  <c r="V31" i="3"/>
  <c r="W31" i="3"/>
  <c r="X31" i="3"/>
  <c r="AC31" i="3"/>
  <c r="M8" i="3"/>
  <c r="S8" i="3"/>
  <c r="U8" i="3"/>
  <c r="T8" i="3" s="1"/>
  <c r="V8" i="3"/>
  <c r="W8" i="3"/>
  <c r="X8" i="3"/>
  <c r="M27" i="3"/>
  <c r="U27" i="3"/>
  <c r="V27" i="3"/>
  <c r="W27" i="3"/>
  <c r="X27" i="3"/>
  <c r="M24" i="3"/>
  <c r="S24" i="3"/>
  <c r="U24" i="3"/>
  <c r="AC24" i="3" s="1"/>
  <c r="V24" i="3"/>
  <c r="W24" i="3"/>
  <c r="X24" i="3"/>
  <c r="M36" i="3"/>
  <c r="U36" i="3"/>
  <c r="T36" i="3" s="1"/>
  <c r="V36" i="3"/>
  <c r="W36" i="3"/>
  <c r="X36" i="3"/>
  <c r="AC36" i="3"/>
  <c r="M18" i="3"/>
  <c r="R18" i="3"/>
  <c r="U18" i="3"/>
  <c r="T18" i="3" s="1"/>
  <c r="V18" i="3"/>
  <c r="W18" i="3"/>
  <c r="X18" i="3"/>
  <c r="M25" i="3"/>
  <c r="R25" i="3"/>
  <c r="U25" i="3"/>
  <c r="V25" i="3"/>
  <c r="W25" i="3"/>
  <c r="X25" i="3"/>
  <c r="M19" i="3"/>
  <c r="U19" i="3"/>
  <c r="AC19" i="3" s="1"/>
  <c r="V19" i="3"/>
  <c r="W19" i="3"/>
  <c r="X19" i="3"/>
  <c r="M7" i="3"/>
  <c r="U7" i="3"/>
  <c r="T7" i="3" s="1"/>
  <c r="V7" i="3"/>
  <c r="W7" i="3"/>
  <c r="X7" i="3"/>
  <c r="M45" i="3"/>
  <c r="U45" i="3"/>
  <c r="T45" i="3" s="1"/>
  <c r="V45" i="3"/>
  <c r="W45" i="3"/>
  <c r="X45" i="3"/>
  <c r="M54" i="3"/>
  <c r="R54" i="3"/>
  <c r="S54" i="3"/>
  <c r="U54" i="3"/>
  <c r="AD54" i="3" s="1"/>
  <c r="V54" i="3"/>
  <c r="W54" i="3"/>
  <c r="X54" i="3"/>
  <c r="M46" i="3"/>
  <c r="R46" i="3"/>
  <c r="U46" i="3"/>
  <c r="AC46" i="3" s="1"/>
  <c r="V46" i="3"/>
  <c r="W46" i="3"/>
  <c r="X46" i="3"/>
  <c r="M47" i="3"/>
  <c r="R47" i="3"/>
  <c r="U47" i="3"/>
  <c r="T47" i="3" s="1"/>
  <c r="V47" i="3"/>
  <c r="W47" i="3"/>
  <c r="X47" i="3"/>
  <c r="AC47" i="3"/>
  <c r="M52" i="3"/>
  <c r="U52" i="3"/>
  <c r="T52" i="3" s="1"/>
  <c r="V52" i="3"/>
  <c r="W52" i="3"/>
  <c r="X52" i="3"/>
  <c r="M33" i="3"/>
  <c r="N33" i="3"/>
  <c r="S33" i="3"/>
  <c r="U33" i="3"/>
  <c r="V33" i="3"/>
  <c r="W33" i="3"/>
  <c r="X33" i="3"/>
  <c r="M32" i="3"/>
  <c r="R32" i="3"/>
  <c r="U32" i="3"/>
  <c r="AC32" i="3" s="1"/>
  <c r="V32" i="3"/>
  <c r="W32" i="3"/>
  <c r="X32" i="3"/>
  <c r="M34" i="3"/>
  <c r="U34" i="3"/>
  <c r="T34" i="3" s="1"/>
  <c r="V34" i="3"/>
  <c r="W34" i="3"/>
  <c r="X34" i="3"/>
  <c r="AC34" i="3"/>
  <c r="M55" i="3"/>
  <c r="R55" i="3"/>
  <c r="S55" i="3"/>
  <c r="U55" i="3"/>
  <c r="T55" i="3" s="1"/>
  <c r="V55" i="3"/>
  <c r="W55" i="3"/>
  <c r="X55" i="3"/>
  <c r="M29" i="3"/>
  <c r="U29" i="3"/>
  <c r="AD49" i="3" s="1"/>
  <c r="V29" i="3"/>
  <c r="W29" i="3"/>
  <c r="X29" i="3"/>
  <c r="M39" i="3"/>
  <c r="R39" i="3"/>
  <c r="U39" i="3"/>
  <c r="AC39" i="3" s="1"/>
  <c r="V39" i="3"/>
  <c r="W39" i="3"/>
  <c r="X39" i="3"/>
  <c r="M48" i="3"/>
  <c r="U48" i="3"/>
  <c r="T48" i="3" s="1"/>
  <c r="V48" i="3"/>
  <c r="W48" i="3"/>
  <c r="X48" i="3"/>
  <c r="AC48" i="3"/>
  <c r="M30" i="3"/>
  <c r="R30" i="3"/>
  <c r="U30" i="3"/>
  <c r="T30" i="3" s="1"/>
  <c r="V30" i="3"/>
  <c r="W30" i="3"/>
  <c r="X30" i="3"/>
  <c r="M20" i="3"/>
  <c r="U20" i="3"/>
  <c r="V20" i="3"/>
  <c r="W20" i="3"/>
  <c r="X20" i="3"/>
  <c r="M22" i="3"/>
  <c r="U22" i="3"/>
  <c r="AC22" i="3" s="1"/>
  <c r="V22" i="3"/>
  <c r="W22" i="3"/>
  <c r="X22" i="3"/>
  <c r="M37" i="3"/>
  <c r="U37" i="3"/>
  <c r="T37" i="3" s="1"/>
  <c r="V37" i="3"/>
  <c r="W37" i="3"/>
  <c r="X37" i="3"/>
  <c r="AC37" i="3"/>
  <c r="M15" i="3"/>
  <c r="S15" i="3"/>
  <c r="U15" i="3"/>
  <c r="T15" i="3" s="1"/>
  <c r="V15" i="3"/>
  <c r="W15" i="3"/>
  <c r="X15" i="3"/>
  <c r="AC15" i="3"/>
  <c r="M53" i="3"/>
  <c r="U53" i="3"/>
  <c r="V53" i="3"/>
  <c r="W53" i="3"/>
  <c r="Y53" i="3" s="1"/>
  <c r="X53" i="3"/>
  <c r="M9" i="3"/>
  <c r="U9" i="3"/>
  <c r="AC9" i="3" s="1"/>
  <c r="V9" i="3"/>
  <c r="W9" i="3"/>
  <c r="X9" i="3"/>
  <c r="M40" i="3"/>
  <c r="U40" i="3"/>
  <c r="V40" i="3"/>
  <c r="W40" i="3"/>
  <c r="X40" i="3"/>
  <c r="M28" i="5"/>
  <c r="AI17" i="1" l="1"/>
  <c r="U17" i="1"/>
  <c r="S17" i="1" s="1"/>
  <c r="W17" i="1"/>
  <c r="X32" i="1"/>
  <c r="AC7" i="3"/>
  <c r="X221" i="1"/>
  <c r="X31" i="1"/>
  <c r="AA241" i="1"/>
  <c r="X39" i="1"/>
  <c r="X35" i="1"/>
  <c r="X40" i="1"/>
  <c r="R22" i="3"/>
  <c r="AD57" i="3"/>
  <c r="R26" i="3"/>
  <c r="T221" i="1"/>
  <c r="AA45" i="1"/>
  <c r="X23" i="1"/>
  <c r="AA34" i="1"/>
  <c r="X38" i="1"/>
  <c r="X34" i="1"/>
  <c r="AA22" i="1"/>
  <c r="W22" i="1" s="1"/>
  <c r="X33" i="1"/>
  <c r="AA35" i="1"/>
  <c r="AG35" i="1"/>
  <c r="AI35" i="1" s="1"/>
  <c r="AG34" i="1"/>
  <c r="S25" i="3"/>
  <c r="AC12" i="3"/>
  <c r="S20" i="3"/>
  <c r="R45" i="3"/>
  <c r="R21" i="3"/>
  <c r="AD45" i="3"/>
  <c r="R24" i="3"/>
  <c r="AE10" i="3"/>
  <c r="AA223" i="1"/>
  <c r="AA221" i="1"/>
  <c r="AG169" i="1"/>
  <c r="X169" i="1"/>
  <c r="AA76" i="1"/>
  <c r="AA70" i="1"/>
  <c r="W70" i="1" s="1"/>
  <c r="AA26" i="1"/>
  <c r="W26" i="1" s="1"/>
  <c r="AA24" i="1"/>
  <c r="T23" i="1"/>
  <c r="AA19" i="1"/>
  <c r="T19" i="1"/>
  <c r="X30" i="1"/>
  <c r="T201" i="1"/>
  <c r="N32" i="1"/>
  <c r="AG220" i="1"/>
  <c r="AI220" i="1" s="1"/>
  <c r="AA201" i="1"/>
  <c r="W201" i="1" s="1"/>
  <c r="AG242" i="1"/>
  <c r="X128" i="1"/>
  <c r="AG127" i="1"/>
  <c r="U127" i="1" s="1"/>
  <c r="AA126" i="1"/>
  <c r="AA122" i="1"/>
  <c r="AA100" i="1"/>
  <c r="AA77" i="1"/>
  <c r="AA51" i="1"/>
  <c r="AA25" i="1"/>
  <c r="AG23" i="1"/>
  <c r="AI23" i="1" s="1"/>
  <c r="AG19" i="1"/>
  <c r="AI19" i="1" s="1"/>
  <c r="X66" i="1"/>
  <c r="T36" i="1"/>
  <c r="U36" i="1" s="1"/>
  <c r="S36" i="1" s="1"/>
  <c r="W36" i="1"/>
  <c r="AI36" i="1"/>
  <c r="S19" i="3"/>
  <c r="B96" i="6"/>
  <c r="AI195" i="1"/>
  <c r="U195" i="1"/>
  <c r="W195" i="1"/>
  <c r="AA179" i="1"/>
  <c r="AI239" i="1"/>
  <c r="AG238" i="1"/>
  <c r="U238" i="1" s="1"/>
  <c r="S238" i="1" s="1"/>
  <c r="R53" i="3"/>
  <c r="Y52" i="3"/>
  <c r="Y45" i="3"/>
  <c r="AA178" i="1"/>
  <c r="W178" i="1" s="1"/>
  <c r="AA232" i="1"/>
  <c r="AA228" i="1"/>
  <c r="AA218" i="1"/>
  <c r="W100" i="1"/>
  <c r="X78" i="1"/>
  <c r="P127" i="1"/>
  <c r="AA109" i="1"/>
  <c r="AA47" i="1"/>
  <c r="X27" i="1"/>
  <c r="T9" i="3"/>
  <c r="AG143" i="1"/>
  <c r="Y9" i="3"/>
  <c r="R48" i="3"/>
  <c r="AD46" i="3"/>
  <c r="Y47" i="3"/>
  <c r="Y17" i="3"/>
  <c r="Y35" i="3"/>
  <c r="Y44" i="3"/>
  <c r="AG201" i="1"/>
  <c r="AA199" i="1"/>
  <c r="W199" i="1" s="1"/>
  <c r="AA164" i="1"/>
  <c r="AA160" i="1"/>
  <c r="AA149" i="1"/>
  <c r="AA147" i="1"/>
  <c r="AA123" i="1"/>
  <c r="AA112" i="1"/>
  <c r="AG92" i="1"/>
  <c r="AA86" i="1"/>
  <c r="P85" i="1"/>
  <c r="AG79" i="1"/>
  <c r="AA78" i="1"/>
  <c r="X63" i="1"/>
  <c r="AG56" i="1"/>
  <c r="W56" i="1" s="1"/>
  <c r="X56" i="1"/>
  <c r="AA48" i="1"/>
  <c r="AG197" i="1"/>
  <c r="X197" i="1"/>
  <c r="AG189" i="1"/>
  <c r="AG188" i="1"/>
  <c r="X188" i="1"/>
  <c r="AA240" i="1"/>
  <c r="AA161" i="1"/>
  <c r="AG234" i="1"/>
  <c r="X234" i="1"/>
  <c r="AG156" i="1"/>
  <c r="U156" i="1" s="1"/>
  <c r="S156" i="1" s="1"/>
  <c r="X156" i="1"/>
  <c r="AG132" i="1"/>
  <c r="AA118" i="1"/>
  <c r="AG113" i="1"/>
  <c r="AI113" i="1" s="1"/>
  <c r="X64" i="1"/>
  <c r="AG63" i="1"/>
  <c r="X65" i="1"/>
  <c r="W48" i="1"/>
  <c r="AD59" i="3"/>
  <c r="AE58" i="3"/>
  <c r="S28" i="3"/>
  <c r="AD58" i="3"/>
  <c r="AD50" i="3"/>
  <c r="S29" i="3"/>
  <c r="Y55" i="3"/>
  <c r="Y34" i="3"/>
  <c r="AD41" i="3"/>
  <c r="AD38" i="3"/>
  <c r="Y18" i="3"/>
  <c r="Y41" i="3"/>
  <c r="R41" i="3"/>
  <c r="T10" i="3"/>
  <c r="Y58" i="3"/>
  <c r="X242" i="1"/>
  <c r="AA238" i="1"/>
  <c r="AG219" i="1"/>
  <c r="AI219" i="1" s="1"/>
  <c r="AA150" i="1"/>
  <c r="AA146" i="1"/>
  <c r="AA127" i="1"/>
  <c r="AG109" i="1"/>
  <c r="X109" i="1"/>
  <c r="AA103" i="1"/>
  <c r="AA87" i="1"/>
  <c r="AG71" i="1"/>
  <c r="X60" i="1"/>
  <c r="X49" i="1"/>
  <c r="X68" i="1"/>
  <c r="AD55" i="3"/>
  <c r="S48" i="3"/>
  <c r="AD42" i="3"/>
  <c r="Y38" i="3"/>
  <c r="Y49" i="3"/>
  <c r="Y10" i="3"/>
  <c r="AA224" i="1"/>
  <c r="AA189" i="1"/>
  <c r="AA187" i="1"/>
  <c r="W187" i="1" s="1"/>
  <c r="AA183" i="1"/>
  <c r="AA172" i="1"/>
  <c r="W172" i="1" s="1"/>
  <c r="X166" i="1"/>
  <c r="AA234" i="1"/>
  <c r="W234" i="1" s="1"/>
  <c r="AA233" i="1"/>
  <c r="AA156" i="1"/>
  <c r="X143" i="1"/>
  <c r="AA132" i="1"/>
  <c r="AA99" i="1"/>
  <c r="AA88" i="1"/>
  <c r="AA73" i="1"/>
  <c r="AA59" i="1"/>
  <c r="X67" i="1"/>
  <c r="AA91" i="1"/>
  <c r="X83" i="1"/>
  <c r="AG82" i="1"/>
  <c r="U82" i="1" s="1"/>
  <c r="S82" i="1" s="1"/>
  <c r="AA66" i="1"/>
  <c r="AA43" i="1"/>
  <c r="AA33" i="1"/>
  <c r="AA30" i="1"/>
  <c r="W30" i="1" s="1"/>
  <c r="AA16" i="1"/>
  <c r="AG181" i="1"/>
  <c r="U181" i="1" s="1"/>
  <c r="S181" i="1" s="1"/>
  <c r="X181" i="1"/>
  <c r="X180" i="1"/>
  <c r="AA176" i="1"/>
  <c r="AA171" i="1"/>
  <c r="AA244" i="1"/>
  <c r="T166" i="1"/>
  <c r="AA163" i="1"/>
  <c r="AA226" i="1"/>
  <c r="AG212" i="1"/>
  <c r="U212" i="1" s="1"/>
  <c r="S212" i="1" s="1"/>
  <c r="X212" i="1"/>
  <c r="AA210" i="1"/>
  <c r="AA206" i="1"/>
  <c r="X147" i="1"/>
  <c r="AA143" i="1"/>
  <c r="AA135" i="1"/>
  <c r="W135" i="1" s="1"/>
  <c r="AA134" i="1"/>
  <c r="AA129" i="1"/>
  <c r="X124" i="1"/>
  <c r="AG123" i="1"/>
  <c r="AI123" i="1" s="1"/>
  <c r="X123" i="1"/>
  <c r="AG120" i="1"/>
  <c r="AI120" i="1" s="1"/>
  <c r="AA119" i="1"/>
  <c r="W119" i="1" s="1"/>
  <c r="AA116" i="1"/>
  <c r="AA111" i="1"/>
  <c r="AA108" i="1"/>
  <c r="AG53" i="1"/>
  <c r="AI53" i="1" s="1"/>
  <c r="X53" i="1"/>
  <c r="AI31" i="1"/>
  <c r="Y15" i="3"/>
  <c r="Y30" i="3"/>
  <c r="Y14" i="3"/>
  <c r="Y12" i="3"/>
  <c r="X173" i="1"/>
  <c r="X116" i="1"/>
  <c r="AA95" i="1"/>
  <c r="AA92" i="1"/>
  <c r="W92" i="1" s="1"/>
  <c r="AA82" i="1"/>
  <c r="W82" i="1" s="1"/>
  <c r="AA69" i="1"/>
  <c r="AA65" i="1"/>
  <c r="AA56" i="1"/>
  <c r="T52" i="1"/>
  <c r="U52" i="1" s="1"/>
  <c r="S52" i="1" s="1"/>
  <c r="X50" i="1"/>
  <c r="T49" i="1"/>
  <c r="AA32" i="1"/>
  <c r="W32" i="1" s="1"/>
  <c r="T32" i="1"/>
  <c r="U32" i="1" s="1"/>
  <c r="AA21" i="1"/>
  <c r="Y25" i="3"/>
  <c r="AD33" i="3"/>
  <c r="Y20" i="3"/>
  <c r="Y54" i="3"/>
  <c r="AD34" i="3"/>
  <c r="Y8" i="3"/>
  <c r="Y31" i="3"/>
  <c r="Y28" i="3"/>
  <c r="X224" i="1"/>
  <c r="AG221" i="1"/>
  <c r="U221" i="1" s="1"/>
  <c r="S221" i="1" s="1"/>
  <c r="AA198" i="1"/>
  <c r="AI187" i="1"/>
  <c r="AA185" i="1"/>
  <c r="AG177" i="1"/>
  <c r="U177" i="1" s="1"/>
  <c r="S177" i="1" s="1"/>
  <c r="X177" i="1"/>
  <c r="AA174" i="1"/>
  <c r="W174" i="1" s="1"/>
  <c r="AA168" i="1"/>
  <c r="W168" i="1" s="1"/>
  <c r="X241" i="1"/>
  <c r="AI167" i="1"/>
  <c r="AG166" i="1"/>
  <c r="AA237" i="1"/>
  <c r="AG226" i="1"/>
  <c r="U226" i="1" s="1"/>
  <c r="S226" i="1" s="1"/>
  <c r="AA212" i="1"/>
  <c r="W212" i="1" s="1"/>
  <c r="AA211" i="1"/>
  <c r="AA155" i="1"/>
  <c r="AA151" i="1"/>
  <c r="AA139" i="1"/>
  <c r="X135" i="1"/>
  <c r="AA133" i="1"/>
  <c r="AA130" i="1"/>
  <c r="AA115" i="1"/>
  <c r="AA110" i="1"/>
  <c r="X104" i="1"/>
  <c r="AG101" i="1"/>
  <c r="U101" i="1" s="1"/>
  <c r="S101" i="1" s="1"/>
  <c r="AI92" i="1"/>
  <c r="X92" i="1"/>
  <c r="AA54" i="1"/>
  <c r="W54" i="1" s="1"/>
  <c r="AA52" i="1"/>
  <c r="W52" i="1" s="1"/>
  <c r="AA222" i="1"/>
  <c r="AA202" i="1"/>
  <c r="AG196" i="1"/>
  <c r="X196" i="1"/>
  <c r="X192" i="1"/>
  <c r="AA192" i="1"/>
  <c r="AA190" i="1"/>
  <c r="X187" i="1"/>
  <c r="W176" i="1"/>
  <c r="AA243" i="1"/>
  <c r="W243" i="1" s="1"/>
  <c r="AG161" i="1"/>
  <c r="X161" i="1"/>
  <c r="X237" i="1"/>
  <c r="AG237" i="1"/>
  <c r="X211" i="1"/>
  <c r="AG211" i="1"/>
  <c r="AA197" i="1"/>
  <c r="AA191" i="1"/>
  <c r="W191" i="1" s="1"/>
  <c r="AA182" i="1"/>
  <c r="W182" i="1" s="1"/>
  <c r="AA180" i="1"/>
  <c r="W180" i="1" s="1"/>
  <c r="T173" i="1"/>
  <c r="AA170" i="1"/>
  <c r="W170" i="1" s="1"/>
  <c r="U242" i="1"/>
  <c r="S242" i="1" s="1"/>
  <c r="X162" i="1"/>
  <c r="AG162" i="1"/>
  <c r="AA159" i="1"/>
  <c r="W159" i="1" s="1"/>
  <c r="X238" i="1"/>
  <c r="AA220" i="1"/>
  <c r="AA204" i="1"/>
  <c r="AG200" i="1"/>
  <c r="W200" i="1" s="1"/>
  <c r="W189" i="1"/>
  <c r="T187" i="1"/>
  <c r="AA184" i="1"/>
  <c r="W184" i="1" s="1"/>
  <c r="AG173" i="1"/>
  <c r="X172" i="1"/>
  <c r="AA167" i="1"/>
  <c r="W167" i="1" s="1"/>
  <c r="AI163" i="1"/>
  <c r="T162" i="1"/>
  <c r="X159" i="1"/>
  <c r="X233" i="1"/>
  <c r="AG233" i="1"/>
  <c r="X230" i="1"/>
  <c r="X151" i="1"/>
  <c r="X139" i="1"/>
  <c r="X120" i="1"/>
  <c r="X119" i="1"/>
  <c r="X113" i="1"/>
  <c r="X112" i="1"/>
  <c r="X108" i="1"/>
  <c r="X74" i="1"/>
  <c r="AA62" i="1"/>
  <c r="AA55" i="1"/>
  <c r="AA50" i="1"/>
  <c r="W50" i="1" s="1"/>
  <c r="T50" i="1"/>
  <c r="AG49" i="1"/>
  <c r="AI49" i="1" s="1"/>
  <c r="X45" i="1"/>
  <c r="T38" i="1"/>
  <c r="U38" i="1" s="1"/>
  <c r="S38" i="1" s="1"/>
  <c r="AA20" i="1"/>
  <c r="X16" i="1"/>
  <c r="X15" i="1"/>
  <c r="AA239" i="1"/>
  <c r="W239" i="1" s="1"/>
  <c r="AA236" i="1"/>
  <c r="AA229" i="1"/>
  <c r="X215" i="1"/>
  <c r="AA213" i="1"/>
  <c r="AA157" i="1"/>
  <c r="AG148" i="1"/>
  <c r="W148" i="1" s="1"/>
  <c r="X148" i="1"/>
  <c r="AA144" i="1"/>
  <c r="AA142" i="1"/>
  <c r="AA138" i="1"/>
  <c r="AG136" i="1"/>
  <c r="AI136" i="1" s="1"/>
  <c r="X136" i="1"/>
  <c r="AA131" i="1"/>
  <c r="T128" i="1"/>
  <c r="AA124" i="1"/>
  <c r="AA107" i="1"/>
  <c r="AG105" i="1"/>
  <c r="AA104" i="1"/>
  <c r="X97" i="1"/>
  <c r="AG96" i="1"/>
  <c r="AI96" i="1" s="1"/>
  <c r="X96" i="1"/>
  <c r="AG93" i="1"/>
  <c r="AI93" i="1" s="1"/>
  <c r="X93" i="1"/>
  <c r="X88" i="1"/>
  <c r="X87" i="1"/>
  <c r="AG86" i="1"/>
  <c r="AI86" i="1" s="1"/>
  <c r="X86" i="1"/>
  <c r="AA84" i="1"/>
  <c r="W84" i="1" s="1"/>
  <c r="AA75" i="1"/>
  <c r="AA72" i="1"/>
  <c r="X71" i="1"/>
  <c r="AG67" i="1"/>
  <c r="AI67" i="1" s="1"/>
  <c r="AA64" i="1"/>
  <c r="T64" i="1"/>
  <c r="X59" i="1"/>
  <c r="AA57" i="1"/>
  <c r="X48" i="1"/>
  <c r="AG41" i="1"/>
  <c r="AI41" i="1" s="1"/>
  <c r="X41" i="1"/>
  <c r="AA38" i="1"/>
  <c r="W38" i="1" s="1"/>
  <c r="AA37" i="1"/>
  <c r="AA28" i="1"/>
  <c r="T27" i="1"/>
  <c r="X22" i="1"/>
  <c r="AA15" i="1"/>
  <c r="AA235" i="1"/>
  <c r="AA227" i="1"/>
  <c r="AA219" i="1"/>
  <c r="AA215" i="1"/>
  <c r="W215" i="1" s="1"/>
  <c r="AA214" i="1"/>
  <c r="AA207" i="1"/>
  <c r="AG155" i="1"/>
  <c r="AI155" i="1" s="1"/>
  <c r="AA154" i="1"/>
  <c r="AA148" i="1"/>
  <c r="AG147" i="1"/>
  <c r="AI147" i="1" s="1"/>
  <c r="AG139" i="1"/>
  <c r="AI139" i="1" s="1"/>
  <c r="AA120" i="1"/>
  <c r="AG117" i="1"/>
  <c r="X117" i="1"/>
  <c r="AG108" i="1"/>
  <c r="AI108" i="1" s="1"/>
  <c r="AA102" i="1"/>
  <c r="X101" i="1"/>
  <c r="AA96" i="1"/>
  <c r="AG75" i="1"/>
  <c r="U75" i="1" s="1"/>
  <c r="S75" i="1" s="1"/>
  <c r="AA74" i="1"/>
  <c r="AA67" i="1"/>
  <c r="AG66" i="1"/>
  <c r="AI66" i="1" s="1"/>
  <c r="AG64" i="1"/>
  <c r="AI64" i="1" s="1"/>
  <c r="AA63" i="1"/>
  <c r="W63" i="1" s="1"/>
  <c r="AA58" i="1"/>
  <c r="AG43" i="1"/>
  <c r="U43" i="1" s="1"/>
  <c r="S43" i="1" s="1"/>
  <c r="AA40" i="1"/>
  <c r="W40" i="1" s="1"/>
  <c r="T40" i="1"/>
  <c r="AA39" i="1"/>
  <c r="AA29" i="1"/>
  <c r="AG27" i="1"/>
  <c r="AI27" i="1" s="1"/>
  <c r="AI215" i="1"/>
  <c r="W151" i="1"/>
  <c r="AI159" i="1"/>
  <c r="AI151" i="1"/>
  <c r="T224" i="1"/>
  <c r="U196" i="1"/>
  <c r="S196" i="1" s="1"/>
  <c r="AG225" i="1"/>
  <c r="U225" i="1" s="1"/>
  <c r="S225" i="1" s="1"/>
  <c r="X225" i="1"/>
  <c r="T220" i="1"/>
  <c r="AA205" i="1"/>
  <c r="T205" i="1"/>
  <c r="AG204" i="1"/>
  <c r="U204" i="1" s="1"/>
  <c r="S204" i="1" s="1"/>
  <c r="X200" i="1"/>
  <c r="X199" i="1"/>
  <c r="AG193" i="1"/>
  <c r="U193" i="1" s="1"/>
  <c r="S193" i="1" s="1"/>
  <c r="X193" i="1"/>
  <c r="T192" i="1"/>
  <c r="T191" i="1"/>
  <c r="AG185" i="1"/>
  <c r="W185" i="1" s="1"/>
  <c r="X185" i="1"/>
  <c r="AA177" i="1"/>
  <c r="W177" i="1" s="1"/>
  <c r="T176" i="1"/>
  <c r="U176" i="1" s="1"/>
  <c r="S176" i="1" s="1"/>
  <c r="AA169" i="1"/>
  <c r="W169" i="1" s="1"/>
  <c r="T168" i="1"/>
  <c r="U168" i="1" s="1"/>
  <c r="S168" i="1" s="1"/>
  <c r="AA166" i="1"/>
  <c r="T165" i="1"/>
  <c r="X160" i="1"/>
  <c r="X158" i="1"/>
  <c r="T237" i="1"/>
  <c r="T233" i="1"/>
  <c r="AA231" i="1"/>
  <c r="AA230" i="1"/>
  <c r="T230" i="1"/>
  <c r="U230" i="1" s="1"/>
  <c r="S230" i="1" s="1"/>
  <c r="AG229" i="1"/>
  <c r="U229" i="1" s="1"/>
  <c r="S229" i="1" s="1"/>
  <c r="X219" i="1"/>
  <c r="AG216" i="1"/>
  <c r="AI216" i="1" s="1"/>
  <c r="X216" i="1"/>
  <c r="T211" i="1"/>
  <c r="AA209" i="1"/>
  <c r="AA208" i="1"/>
  <c r="T208" i="1"/>
  <c r="AG207" i="1"/>
  <c r="U207" i="1" s="1"/>
  <c r="S207" i="1" s="1"/>
  <c r="X155" i="1"/>
  <c r="AG152" i="1"/>
  <c r="U152" i="1" s="1"/>
  <c r="S152" i="1" s="1"/>
  <c r="X152" i="1"/>
  <c r="T147" i="1"/>
  <c r="AA145" i="1"/>
  <c r="X144" i="1"/>
  <c r="AG144" i="1"/>
  <c r="T184" i="1"/>
  <c r="U184" i="1" s="1"/>
  <c r="S184" i="1" s="1"/>
  <c r="U169" i="1"/>
  <c r="S169" i="1" s="1"/>
  <c r="T159" i="1"/>
  <c r="U159" i="1" s="1"/>
  <c r="S159" i="1" s="1"/>
  <c r="X229" i="1"/>
  <c r="X226" i="1"/>
  <c r="T215" i="1"/>
  <c r="U215" i="1" s="1"/>
  <c r="S215" i="1" s="1"/>
  <c r="T151" i="1"/>
  <c r="U151" i="1" s="1"/>
  <c r="S151" i="1" s="1"/>
  <c r="U143" i="1"/>
  <c r="S143" i="1" s="1"/>
  <c r="AI143" i="1"/>
  <c r="AI116" i="1"/>
  <c r="AA225" i="1"/>
  <c r="AG224" i="1"/>
  <c r="U224" i="1" s="1"/>
  <c r="S224" i="1" s="1"/>
  <c r="AG205" i="1"/>
  <c r="T199" i="1"/>
  <c r="U199" i="1" s="1"/>
  <c r="S199" i="1" s="1"/>
  <c r="AA196" i="1"/>
  <c r="W196" i="1" s="1"/>
  <c r="AA194" i="1"/>
  <c r="AA193" i="1"/>
  <c r="AG192" i="1"/>
  <c r="X191" i="1"/>
  <c r="AA188" i="1"/>
  <c r="W188" i="1" s="1"/>
  <c r="AA186" i="1"/>
  <c r="AA181" i="1"/>
  <c r="T180" i="1"/>
  <c r="U180" i="1" s="1"/>
  <c r="S180" i="1" s="1"/>
  <c r="X176" i="1"/>
  <c r="AA173" i="1"/>
  <c r="T172" i="1"/>
  <c r="U172" i="1" s="1"/>
  <c r="S172" i="1" s="1"/>
  <c r="X168" i="1"/>
  <c r="AA242" i="1"/>
  <c r="W242" i="1" s="1"/>
  <c r="T241" i="1"/>
  <c r="U241" i="1" s="1"/>
  <c r="S241" i="1" s="1"/>
  <c r="X165" i="1"/>
  <c r="AA162" i="1"/>
  <c r="T161" i="1"/>
  <c r="U161" i="1" s="1"/>
  <c r="S161" i="1" s="1"/>
  <c r="AA158" i="1"/>
  <c r="W158" i="1" s="1"/>
  <c r="T158" i="1"/>
  <c r="U158" i="1" s="1"/>
  <c r="S158" i="1" s="1"/>
  <c r="AG230" i="1"/>
  <c r="AI230" i="1" s="1"/>
  <c r="AA217" i="1"/>
  <c r="AA216" i="1"/>
  <c r="AG208" i="1"/>
  <c r="AI208" i="1" s="1"/>
  <c r="AA153" i="1"/>
  <c r="AA152" i="1"/>
  <c r="T144" i="1"/>
  <c r="X140" i="1"/>
  <c r="AG140" i="1"/>
  <c r="AI140" i="1" s="1"/>
  <c r="T140" i="1"/>
  <c r="U140" i="1" s="1"/>
  <c r="S140" i="1" s="1"/>
  <c r="X131" i="1"/>
  <c r="AG131" i="1"/>
  <c r="X132" i="1"/>
  <c r="AI119" i="1"/>
  <c r="AI112" i="1"/>
  <c r="U109" i="1"/>
  <c r="S109" i="1" s="1"/>
  <c r="W197" i="1"/>
  <c r="U188" i="1"/>
  <c r="S188" i="1" s="1"/>
  <c r="X184" i="1"/>
  <c r="W226" i="1"/>
  <c r="U219" i="1"/>
  <c r="S219" i="1" s="1"/>
  <c r="W143" i="1"/>
  <c r="AA141" i="1"/>
  <c r="AA140" i="1"/>
  <c r="AA125" i="1"/>
  <c r="T124" i="1"/>
  <c r="U123" i="1"/>
  <c r="S123" i="1" s="1"/>
  <c r="X105" i="1"/>
  <c r="T100" i="1"/>
  <c r="U100" i="1" s="1"/>
  <c r="S100" i="1" s="1"/>
  <c r="AA98" i="1"/>
  <c r="T97" i="1"/>
  <c r="U96" i="1"/>
  <c r="S96" i="1" s="1"/>
  <c r="U89" i="1"/>
  <c r="S89" i="1" s="1"/>
  <c r="X89" i="1"/>
  <c r="AA85" i="1"/>
  <c r="W85" i="1" s="1"/>
  <c r="AA83" i="1"/>
  <c r="X82" i="1"/>
  <c r="X79" i="1"/>
  <c r="T70" i="1"/>
  <c r="U70" i="1" s="1"/>
  <c r="S70" i="1" s="1"/>
  <c r="AA68" i="1"/>
  <c r="T63" i="1"/>
  <c r="U63" i="1" s="1"/>
  <c r="S63" i="1" s="1"/>
  <c r="AA61" i="1"/>
  <c r="AA60" i="1"/>
  <c r="T60" i="1"/>
  <c r="AG59" i="1"/>
  <c r="X46" i="1"/>
  <c r="T45" i="1"/>
  <c r="AA44" i="1"/>
  <c r="T44" i="1"/>
  <c r="U44" i="1" s="1"/>
  <c r="S44" i="1" s="1"/>
  <c r="AA41" i="1"/>
  <c r="AG39" i="1"/>
  <c r="AI39" i="1" s="1"/>
  <c r="T37" i="1"/>
  <c r="X26" i="1"/>
  <c r="T16" i="1"/>
  <c r="U117" i="1"/>
  <c r="S117" i="1" s="1"/>
  <c r="W116" i="1"/>
  <c r="W112" i="1"/>
  <c r="T104" i="1"/>
  <c r="T88" i="1"/>
  <c r="T83" i="1"/>
  <c r="T78" i="1"/>
  <c r="T74" i="1"/>
  <c r="AG16" i="1"/>
  <c r="T15" i="1"/>
  <c r="AA14" i="1"/>
  <c r="T135" i="1"/>
  <c r="U135" i="1" s="1"/>
  <c r="S135" i="1" s="1"/>
  <c r="W132" i="1"/>
  <c r="AA128" i="1"/>
  <c r="X127" i="1"/>
  <c r="AG124" i="1"/>
  <c r="AI124" i="1" s="1"/>
  <c r="T119" i="1"/>
  <c r="U119" i="1" s="1"/>
  <c r="S119" i="1" s="1"/>
  <c r="T116" i="1"/>
  <c r="U116" i="1" s="1"/>
  <c r="S116" i="1" s="1"/>
  <c r="T112" i="1"/>
  <c r="U112" i="1" s="1"/>
  <c r="S112" i="1" s="1"/>
  <c r="W109" i="1"/>
  <c r="AA106" i="1"/>
  <c r="AG104" i="1"/>
  <c r="X100" i="1"/>
  <c r="AG97" i="1"/>
  <c r="AI97" i="1" s="1"/>
  <c r="AA90" i="1"/>
  <c r="W90" i="1" s="1"/>
  <c r="AA89" i="1"/>
  <c r="W89" i="1" s="1"/>
  <c r="AG88" i="1"/>
  <c r="AG83" i="1"/>
  <c r="AI83" i="1" s="1"/>
  <c r="AA80" i="1"/>
  <c r="AG78" i="1"/>
  <c r="AG74" i="1"/>
  <c r="AI74" i="1" s="1"/>
  <c r="AA71" i="1"/>
  <c r="W71" i="1" s="1"/>
  <c r="X70" i="1"/>
  <c r="AG60" i="1"/>
  <c r="T54" i="1"/>
  <c r="U54" i="1" s="1"/>
  <c r="S54" i="1" s="1"/>
  <c r="AA53" i="1"/>
  <c r="W53" i="1" s="1"/>
  <c r="AG51" i="1"/>
  <c r="AI51" i="1" s="1"/>
  <c r="AA49" i="1"/>
  <c r="T48" i="1"/>
  <c r="AA46" i="1"/>
  <c r="W46" i="1" s="1"/>
  <c r="T46" i="1"/>
  <c r="U46" i="1" s="1"/>
  <c r="S46" i="1" s="1"/>
  <c r="AG45" i="1"/>
  <c r="AI45" i="1" s="1"/>
  <c r="X44" i="1"/>
  <c r="AA42" i="1"/>
  <c r="AG37" i="1"/>
  <c r="AI37" i="1" s="1"/>
  <c r="AG33" i="1"/>
  <c r="AI33" i="1" s="1"/>
  <c r="AA31" i="1"/>
  <c r="W31" i="1" s="1"/>
  <c r="T30" i="1"/>
  <c r="U30" i="1" s="1"/>
  <c r="S30" i="1" s="1"/>
  <c r="AA27" i="1"/>
  <c r="T26" i="1"/>
  <c r="AA23" i="1"/>
  <c r="W23" i="1" s="1"/>
  <c r="T22" i="1"/>
  <c r="U22" i="1" s="1"/>
  <c r="S22" i="1" s="1"/>
  <c r="AA137" i="1"/>
  <c r="AA136" i="1"/>
  <c r="AG128" i="1"/>
  <c r="AI127" i="1"/>
  <c r="AA121" i="1"/>
  <c r="AA117" i="1"/>
  <c r="AA114" i="1"/>
  <c r="U105" i="1"/>
  <c r="S105" i="1" s="1"/>
  <c r="AI100" i="1"/>
  <c r="AA94" i="1"/>
  <c r="W94" i="1" s="1"/>
  <c r="AA93" i="1"/>
  <c r="U92" i="1"/>
  <c r="S92" i="1" s="1"/>
  <c r="T85" i="1"/>
  <c r="U85" i="1" s="1"/>
  <c r="AA81" i="1"/>
  <c r="U79" i="1"/>
  <c r="S79" i="1" s="1"/>
  <c r="X75" i="1"/>
  <c r="U71" i="1"/>
  <c r="S71" i="1" s="1"/>
  <c r="AI70" i="1"/>
  <c r="AI63" i="1"/>
  <c r="X52" i="1"/>
  <c r="U191" i="1"/>
  <c r="S191" i="1" s="1"/>
  <c r="AI226" i="1"/>
  <c r="U187" i="1"/>
  <c r="S187" i="1" s="1"/>
  <c r="U201" i="1"/>
  <c r="S201" i="1" s="1"/>
  <c r="U197" i="1"/>
  <c r="S197" i="1" s="1"/>
  <c r="U189" i="1"/>
  <c r="S189" i="1" s="1"/>
  <c r="AG222" i="1"/>
  <c r="AI222" i="1" s="1"/>
  <c r="AG202" i="1"/>
  <c r="AI202" i="1" s="1"/>
  <c r="AG198" i="1"/>
  <c r="AG194" i="1"/>
  <c r="AG190" i="1"/>
  <c r="AI190" i="1" s="1"/>
  <c r="X189" i="1"/>
  <c r="AG186" i="1"/>
  <c r="AI186" i="1" s="1"/>
  <c r="T186" i="1"/>
  <c r="AI201" i="1"/>
  <c r="U165" i="1"/>
  <c r="S165" i="1" s="1"/>
  <c r="AG223" i="1"/>
  <c r="AI223" i="1" s="1"/>
  <c r="X222" i="1"/>
  <c r="AG203" i="1"/>
  <c r="AI203" i="1" s="1"/>
  <c r="X202" i="1"/>
  <c r="X198" i="1"/>
  <c r="T198" i="1"/>
  <c r="X194" i="1"/>
  <c r="T194" i="1"/>
  <c r="X190" i="1"/>
  <c r="T190" i="1"/>
  <c r="X186" i="1"/>
  <c r="W241" i="1"/>
  <c r="W163" i="1"/>
  <c r="W161" i="1"/>
  <c r="X223" i="1"/>
  <c r="X203" i="1"/>
  <c r="AI199" i="1"/>
  <c r="AI197" i="1"/>
  <c r="AI191" i="1"/>
  <c r="AI189" i="1"/>
  <c r="AG183" i="1"/>
  <c r="AI183" i="1" s="1"/>
  <c r="X182" i="1"/>
  <c r="T182" i="1"/>
  <c r="U182" i="1" s="1"/>
  <c r="S182" i="1" s="1"/>
  <c r="AG179" i="1"/>
  <c r="AI179" i="1" s="1"/>
  <c r="X178" i="1"/>
  <c r="T178" i="1"/>
  <c r="U178" i="1" s="1"/>
  <c r="S178" i="1" s="1"/>
  <c r="AG175" i="1"/>
  <c r="AI175" i="1" s="1"/>
  <c r="X174" i="1"/>
  <c r="T174" i="1"/>
  <c r="U174" i="1" s="1"/>
  <c r="S174" i="1" s="1"/>
  <c r="AG171" i="1"/>
  <c r="X170" i="1"/>
  <c r="T170" i="1"/>
  <c r="U170" i="1" s="1"/>
  <c r="S170" i="1" s="1"/>
  <c r="AG244" i="1"/>
  <c r="X243" i="1"/>
  <c r="T243" i="1"/>
  <c r="U243" i="1" s="1"/>
  <c r="S243" i="1" s="1"/>
  <c r="AG240" i="1"/>
  <c r="AI240" i="1" s="1"/>
  <c r="X167" i="1"/>
  <c r="T167" i="1"/>
  <c r="U167" i="1" s="1"/>
  <c r="S167" i="1" s="1"/>
  <c r="AI194" i="1"/>
  <c r="AG164" i="1"/>
  <c r="X163" i="1"/>
  <c r="T163" i="1"/>
  <c r="U163" i="1" s="1"/>
  <c r="S163" i="1" s="1"/>
  <c r="AG160" i="1"/>
  <c r="W160" i="1" s="1"/>
  <c r="T160" i="1"/>
  <c r="X183" i="1"/>
  <c r="X179" i="1"/>
  <c r="X175" i="1"/>
  <c r="X171" i="1"/>
  <c r="X244" i="1"/>
  <c r="X240" i="1"/>
  <c r="X164" i="1"/>
  <c r="AI184" i="1"/>
  <c r="T239" i="1"/>
  <c r="U239" i="1" s="1"/>
  <c r="S239" i="1" s="1"/>
  <c r="X239" i="1"/>
  <c r="U234" i="1"/>
  <c r="S234" i="1" s="1"/>
  <c r="U136" i="1"/>
  <c r="S136" i="1" s="1"/>
  <c r="U132" i="1"/>
  <c r="S132" i="1" s="1"/>
  <c r="AA105" i="1"/>
  <c r="W105" i="1" s="1"/>
  <c r="AG102" i="1"/>
  <c r="T102" i="1"/>
  <c r="X102" i="1"/>
  <c r="AI94" i="1"/>
  <c r="AG235" i="1"/>
  <c r="AI235" i="1" s="1"/>
  <c r="AG231" i="1"/>
  <c r="AI231" i="1" s="1"/>
  <c r="AG227" i="1"/>
  <c r="AI227" i="1" s="1"/>
  <c r="AG217" i="1"/>
  <c r="AG213" i="1"/>
  <c r="AG209" i="1"/>
  <c r="AI209" i="1" s="1"/>
  <c r="AG157" i="1"/>
  <c r="AG153" i="1"/>
  <c r="AG149" i="1"/>
  <c r="AG145" i="1"/>
  <c r="AG141" i="1"/>
  <c r="AG137" i="1"/>
  <c r="AG133" i="1"/>
  <c r="AG129" i="1"/>
  <c r="AG125" i="1"/>
  <c r="AG121" i="1"/>
  <c r="AG106" i="1"/>
  <c r="T106" i="1"/>
  <c r="X106" i="1"/>
  <c r="AI101" i="1"/>
  <c r="AI84" i="1"/>
  <c r="AG236" i="1"/>
  <c r="AI236" i="1" s="1"/>
  <c r="X235" i="1"/>
  <c r="AI180" i="1"/>
  <c r="AG232" i="1"/>
  <c r="AI232" i="1" s="1"/>
  <c r="X231" i="1"/>
  <c r="AI176" i="1"/>
  <c r="AG228" i="1"/>
  <c r="AI228" i="1" s="1"/>
  <c r="X227" i="1"/>
  <c r="AI172" i="1"/>
  <c r="AG218" i="1"/>
  <c r="W218" i="1" s="1"/>
  <c r="X217" i="1"/>
  <c r="AI168" i="1"/>
  <c r="AG214" i="1"/>
  <c r="X213" i="1"/>
  <c r="AG210" i="1"/>
  <c r="W210" i="1" s="1"/>
  <c r="AG206" i="1"/>
  <c r="X157" i="1"/>
  <c r="AG154" i="1"/>
  <c r="W154" i="1" s="1"/>
  <c r="X153" i="1"/>
  <c r="AG150" i="1"/>
  <c r="X149" i="1"/>
  <c r="AG146" i="1"/>
  <c r="X145" i="1"/>
  <c r="AG142" i="1"/>
  <c r="W142" i="1" s="1"/>
  <c r="X141" i="1"/>
  <c r="AG138" i="1"/>
  <c r="X137" i="1"/>
  <c r="AG134" i="1"/>
  <c r="X133" i="1"/>
  <c r="AI132" i="1"/>
  <c r="AG130" i="1"/>
  <c r="X129" i="1"/>
  <c r="AI128" i="1"/>
  <c r="AG126" i="1"/>
  <c r="W126" i="1" s="1"/>
  <c r="X125" i="1"/>
  <c r="AG122" i="1"/>
  <c r="X121" i="1"/>
  <c r="AG118" i="1"/>
  <c r="AA113" i="1"/>
  <c r="AG110" i="1"/>
  <c r="T110" i="1"/>
  <c r="X110" i="1"/>
  <c r="AI105" i="1"/>
  <c r="AA97" i="1"/>
  <c r="W97" i="1" s="1"/>
  <c r="U97" i="1"/>
  <c r="S97" i="1" s="1"/>
  <c r="X236" i="1"/>
  <c r="X232" i="1"/>
  <c r="X228" i="1"/>
  <c r="X218" i="1"/>
  <c r="X214" i="1"/>
  <c r="X154" i="1"/>
  <c r="X150" i="1"/>
  <c r="X146" i="1"/>
  <c r="X142" i="1"/>
  <c r="X138" i="1"/>
  <c r="X134" i="1"/>
  <c r="X130" i="1"/>
  <c r="X126" i="1"/>
  <c r="X122" i="1"/>
  <c r="X118" i="1"/>
  <c r="AI117" i="1"/>
  <c r="AG114" i="1"/>
  <c r="T114" i="1"/>
  <c r="X114" i="1"/>
  <c r="AI109" i="1"/>
  <c r="W102" i="1"/>
  <c r="AA101" i="1"/>
  <c r="AG98" i="1"/>
  <c r="T98" i="1"/>
  <c r="X98" i="1"/>
  <c r="AI90" i="1"/>
  <c r="AG115" i="1"/>
  <c r="AG111" i="1"/>
  <c r="AG107" i="1"/>
  <c r="AG103" i="1"/>
  <c r="AG99" i="1"/>
  <c r="AG95" i="1"/>
  <c r="X94" i="1"/>
  <c r="T94" i="1"/>
  <c r="U94" i="1" s="1"/>
  <c r="S94" i="1" s="1"/>
  <c r="AG91" i="1"/>
  <c r="X90" i="1"/>
  <c r="T90" i="1"/>
  <c r="U90" i="1" s="1"/>
  <c r="S90" i="1" s="1"/>
  <c r="AI89" i="1"/>
  <c r="AG87" i="1"/>
  <c r="W87" i="1" s="1"/>
  <c r="T80" i="1"/>
  <c r="X80" i="1"/>
  <c r="AG80" i="1"/>
  <c r="X115" i="1"/>
  <c r="X111" i="1"/>
  <c r="X107" i="1"/>
  <c r="X103" i="1"/>
  <c r="X99" i="1"/>
  <c r="X95" i="1"/>
  <c r="X91" i="1"/>
  <c r="AI79" i="1"/>
  <c r="T81" i="1"/>
  <c r="X81" i="1"/>
  <c r="AG81" i="1"/>
  <c r="T72" i="1"/>
  <c r="X72" i="1"/>
  <c r="AG72" i="1"/>
  <c r="X85" i="1"/>
  <c r="T84" i="1"/>
  <c r="U84" i="1" s="1"/>
  <c r="S84" i="1" s="1"/>
  <c r="X84" i="1"/>
  <c r="AA79" i="1"/>
  <c r="W79" i="1" s="1"/>
  <c r="T76" i="1"/>
  <c r="X76" i="1"/>
  <c r="AG76" i="1"/>
  <c r="W76" i="1" s="1"/>
  <c r="AI71" i="1"/>
  <c r="U67" i="1"/>
  <c r="S67" i="1" s="1"/>
  <c r="X54" i="1"/>
  <c r="AI50" i="1"/>
  <c r="U50" i="1"/>
  <c r="S50" i="1" s="1"/>
  <c r="W44" i="1"/>
  <c r="U40" i="1"/>
  <c r="S40" i="1" s="1"/>
  <c r="AI40" i="1"/>
  <c r="U39" i="1"/>
  <c r="S39" i="1" s="1"/>
  <c r="AI32" i="1"/>
  <c r="W15" i="1"/>
  <c r="AG68" i="1"/>
  <c r="AG61" i="1"/>
  <c r="AG57" i="1"/>
  <c r="W57" i="1" s="1"/>
  <c r="T55" i="1"/>
  <c r="X55" i="1"/>
  <c r="AI44" i="1"/>
  <c r="U15" i="1"/>
  <c r="S15" i="1" s="1"/>
  <c r="AI15" i="1"/>
  <c r="AG77" i="1"/>
  <c r="AG73" i="1"/>
  <c r="AG69" i="1"/>
  <c r="AG65" i="1"/>
  <c r="AG62" i="1"/>
  <c r="X61" i="1"/>
  <c r="AG58" i="1"/>
  <c r="W58" i="1" s="1"/>
  <c r="X57" i="1"/>
  <c r="AG55" i="1"/>
  <c r="AI52" i="1"/>
  <c r="U48" i="1"/>
  <c r="S48" i="1" s="1"/>
  <c r="AI48" i="1"/>
  <c r="AI38" i="1"/>
  <c r="U33" i="1"/>
  <c r="AI30" i="1"/>
  <c r="U26" i="1"/>
  <c r="S26" i="1" s="1"/>
  <c r="AI26" i="1"/>
  <c r="AI22" i="1"/>
  <c r="X77" i="1"/>
  <c r="X73" i="1"/>
  <c r="X69" i="1"/>
  <c r="X62" i="1"/>
  <c r="X58" i="1"/>
  <c r="AI54" i="1"/>
  <c r="AI46" i="1"/>
  <c r="U31" i="1"/>
  <c r="S31" i="1" s="1"/>
  <c r="U23" i="1"/>
  <c r="S23" i="1" s="1"/>
  <c r="AG42" i="1"/>
  <c r="AG28" i="1"/>
  <c r="AG24" i="1"/>
  <c r="W24" i="1" s="1"/>
  <c r="AG20" i="1"/>
  <c r="AG14" i="1"/>
  <c r="AG47" i="1"/>
  <c r="X42" i="1"/>
  <c r="AG29" i="1"/>
  <c r="X28" i="1"/>
  <c r="AG25" i="1"/>
  <c r="X24" i="1"/>
  <c r="AG21" i="1"/>
  <c r="X51" i="1"/>
  <c r="X47" i="1"/>
  <c r="X43" i="1"/>
  <c r="X29" i="1"/>
  <c r="X25" i="1"/>
  <c r="AD53" i="3"/>
  <c r="Y48" i="3"/>
  <c r="Y33" i="3"/>
  <c r="AD37" i="3"/>
  <c r="Y36" i="3"/>
  <c r="Y26" i="3"/>
  <c r="AD22" i="3"/>
  <c r="AD21" i="3"/>
  <c r="AD18" i="3"/>
  <c r="AD15" i="3"/>
  <c r="T13" i="3"/>
  <c r="Y57" i="3"/>
  <c r="AC40" i="3"/>
  <c r="AE55" i="3"/>
  <c r="Y29" i="3"/>
  <c r="Y7" i="3"/>
  <c r="Y27" i="3"/>
  <c r="AD25" i="3"/>
  <c r="Y59" i="3"/>
  <c r="Y11" i="3"/>
  <c r="AD17" i="3"/>
  <c r="Y13" i="3"/>
  <c r="AD13" i="3"/>
  <c r="AD30" i="3"/>
  <c r="AD29" i="3"/>
  <c r="Y16" i="3"/>
  <c r="AD19" i="3"/>
  <c r="T14" i="3"/>
  <c r="AE14" i="3"/>
  <c r="AE9" i="3"/>
  <c r="AD9" i="3"/>
  <c r="T40" i="3"/>
  <c r="T22" i="3"/>
  <c r="AD51" i="3"/>
  <c r="AE51" i="3"/>
  <c r="T39" i="3"/>
  <c r="AD47" i="3"/>
  <c r="T32" i="3"/>
  <c r="AD43" i="3"/>
  <c r="T46" i="3"/>
  <c r="AD39" i="3"/>
  <c r="T19" i="3"/>
  <c r="AD35" i="3"/>
  <c r="T24" i="3"/>
  <c r="AD31" i="3"/>
  <c r="T51" i="3"/>
  <c r="AD27" i="3"/>
  <c r="T21" i="3"/>
  <c r="AD23" i="3"/>
  <c r="T50" i="3"/>
  <c r="T43" i="3"/>
  <c r="T49" i="3"/>
  <c r="Y40" i="3"/>
  <c r="Y39" i="3"/>
  <c r="Y32" i="3"/>
  <c r="Y19" i="3"/>
  <c r="Y51" i="3"/>
  <c r="Y21" i="3"/>
  <c r="Y50" i="3"/>
  <c r="Y43" i="3"/>
  <c r="AE17" i="3"/>
  <c r="Y42" i="3"/>
  <c r="T57" i="3"/>
  <c r="Y22" i="3"/>
  <c r="Y46" i="3"/>
  <c r="Y24" i="3"/>
  <c r="AE59" i="3"/>
  <c r="Y37" i="3"/>
  <c r="AE54" i="3"/>
  <c r="AC30" i="3"/>
  <c r="AE50" i="3"/>
  <c r="AC55" i="3"/>
  <c r="AE46" i="3"/>
  <c r="AC52" i="3"/>
  <c r="AE42" i="3"/>
  <c r="AC45" i="3"/>
  <c r="AE38" i="3"/>
  <c r="AC18" i="3"/>
  <c r="AE34" i="3"/>
  <c r="AC8" i="3"/>
  <c r="AE30" i="3"/>
  <c r="AC17" i="3"/>
  <c r="AE26" i="3"/>
  <c r="AC23" i="3"/>
  <c r="AE22" i="3"/>
  <c r="AC38" i="3"/>
  <c r="AE18" i="3"/>
  <c r="AE13" i="3"/>
  <c r="AD11" i="3"/>
  <c r="AE49" i="3"/>
  <c r="T29" i="3"/>
  <c r="AE29" i="3"/>
  <c r="T26" i="3"/>
  <c r="AE21" i="3"/>
  <c r="T16" i="3"/>
  <c r="AC53" i="3"/>
  <c r="AC20" i="3"/>
  <c r="AD52" i="3"/>
  <c r="AC29" i="3"/>
  <c r="AD48" i="3"/>
  <c r="AE47" i="3"/>
  <c r="AC33" i="3"/>
  <c r="AD44" i="3"/>
  <c r="AE43" i="3"/>
  <c r="AC54" i="3"/>
  <c r="AD40" i="3"/>
  <c r="AE39" i="3"/>
  <c r="AC25" i="3"/>
  <c r="AD36" i="3"/>
  <c r="AE35" i="3"/>
  <c r="AC27" i="3"/>
  <c r="AD32" i="3"/>
  <c r="AE31" i="3"/>
  <c r="AC26" i="3"/>
  <c r="AD28" i="3"/>
  <c r="AE27" i="3"/>
  <c r="AC28" i="3"/>
  <c r="AD24" i="3"/>
  <c r="AE23" i="3"/>
  <c r="AC16" i="3"/>
  <c r="AD20" i="3"/>
  <c r="AE19" i="3"/>
  <c r="AC14" i="3"/>
  <c r="AD16" i="3"/>
  <c r="AE15" i="3"/>
  <c r="AC49" i="3"/>
  <c r="AD12" i="3"/>
  <c r="AE11" i="3"/>
  <c r="AC57" i="3"/>
  <c r="AD8" i="3"/>
  <c r="AC44" i="3"/>
  <c r="AC41" i="3"/>
  <c r="AC58" i="3"/>
  <c r="AE53" i="3"/>
  <c r="T20" i="3"/>
  <c r="AE41" i="3"/>
  <c r="T54" i="3"/>
  <c r="AE33" i="3"/>
  <c r="T27" i="3"/>
  <c r="AE25" i="3"/>
  <c r="T28" i="3"/>
  <c r="AE57" i="3"/>
  <c r="T53" i="3"/>
  <c r="AE45" i="3"/>
  <c r="T33" i="3"/>
  <c r="AE37" i="3"/>
  <c r="T25" i="3"/>
  <c r="AE52" i="3"/>
  <c r="AE48" i="3"/>
  <c r="AE44" i="3"/>
  <c r="AE40" i="3"/>
  <c r="AE36" i="3"/>
  <c r="AE32" i="3"/>
  <c r="AE28" i="3"/>
  <c r="AE24" i="3"/>
  <c r="AE20" i="3"/>
  <c r="AE16" i="3"/>
  <c r="AE12" i="3"/>
  <c r="AE8" i="3"/>
  <c r="W145" i="1" l="1"/>
  <c r="W67" i="1"/>
  <c r="U124" i="1"/>
  <c r="S124" i="1" s="1"/>
  <c r="W144" i="1"/>
  <c r="W166" i="1"/>
  <c r="U166" i="1"/>
  <c r="S166" i="1" s="1"/>
  <c r="W19" i="1"/>
  <c r="W221" i="1"/>
  <c r="W21" i="1"/>
  <c r="U51" i="1"/>
  <c r="S51" i="1" s="1"/>
  <c r="W213" i="1"/>
  <c r="AI224" i="1"/>
  <c r="AI207" i="1"/>
  <c r="W117" i="1"/>
  <c r="U60" i="1"/>
  <c r="S60" i="1" s="1"/>
  <c r="W193" i="1"/>
  <c r="U205" i="1"/>
  <c r="S205" i="1" s="1"/>
  <c r="W219" i="1"/>
  <c r="U56" i="1"/>
  <c r="S56" i="1" s="1"/>
  <c r="W237" i="1"/>
  <c r="W80" i="1"/>
  <c r="AI193" i="1"/>
  <c r="U35" i="1"/>
  <c r="W35" i="1"/>
  <c r="AI34" i="1"/>
  <c r="U34" i="1"/>
  <c r="W34" i="1"/>
  <c r="U19" i="1"/>
  <c r="S19" i="1" s="1"/>
  <c r="AI156" i="1"/>
  <c r="U74" i="1"/>
  <c r="S74" i="1" s="1"/>
  <c r="U220" i="1"/>
  <c r="S220" i="1" s="1"/>
  <c r="U200" i="1"/>
  <c r="S200" i="1" s="1"/>
  <c r="W220" i="1"/>
  <c r="U211" i="1"/>
  <c r="S211" i="1" s="1"/>
  <c r="W127" i="1"/>
  <c r="AI56" i="1"/>
  <c r="W125" i="1"/>
  <c r="W164" i="1"/>
  <c r="W162" i="1"/>
  <c r="W233" i="1"/>
  <c r="U173" i="1"/>
  <c r="S173" i="1" s="1"/>
  <c r="U53" i="1"/>
  <c r="S53" i="1" s="1"/>
  <c r="W133" i="1"/>
  <c r="U208" i="1"/>
  <c r="S208" i="1" s="1"/>
  <c r="U237" i="1"/>
  <c r="S237" i="1" s="1"/>
  <c r="W96" i="1"/>
  <c r="S32" i="1"/>
  <c r="H96" i="6"/>
  <c r="J96" i="6"/>
  <c r="I96" i="6"/>
  <c r="F96" i="6"/>
  <c r="G96" i="6"/>
  <c r="B97" i="6"/>
  <c r="U37" i="1"/>
  <c r="S37" i="1" s="1"/>
  <c r="AI144" i="1"/>
  <c r="U27" i="1"/>
  <c r="S27" i="1" s="1"/>
  <c r="U64" i="1"/>
  <c r="S64" i="1" s="1"/>
  <c r="W72" i="1"/>
  <c r="AI75" i="1"/>
  <c r="W101" i="1"/>
  <c r="W238" i="1"/>
  <c r="AI211" i="1"/>
  <c r="AI43" i="1"/>
  <c r="U66" i="1"/>
  <c r="S66" i="1" s="1"/>
  <c r="W27" i="1"/>
  <c r="W49" i="1"/>
  <c r="U144" i="1"/>
  <c r="S144" i="1" s="1"/>
  <c r="W173" i="1"/>
  <c r="W194" i="1"/>
  <c r="U128" i="1"/>
  <c r="S127" i="1" s="1"/>
  <c r="U41" i="1"/>
  <c r="S41" i="1" s="1"/>
  <c r="U108" i="1"/>
  <c r="S108" i="1" s="1"/>
  <c r="AI82" i="1"/>
  <c r="W136" i="1"/>
  <c r="W124" i="1"/>
  <c r="U139" i="1"/>
  <c r="S139" i="1" s="1"/>
  <c r="W181" i="1"/>
  <c r="U49" i="1"/>
  <c r="S49" i="1" s="1"/>
  <c r="U113" i="1"/>
  <c r="S113" i="1" s="1"/>
  <c r="AI148" i="1"/>
  <c r="W129" i="1"/>
  <c r="U148" i="1"/>
  <c r="S148" i="1" s="1"/>
  <c r="AI205" i="1"/>
  <c r="W198" i="1"/>
  <c r="W93" i="1"/>
  <c r="U233" i="1"/>
  <c r="S233" i="1" s="1"/>
  <c r="W156" i="1"/>
  <c r="W29" i="1"/>
  <c r="AI60" i="1"/>
  <c r="W113" i="1"/>
  <c r="W138" i="1"/>
  <c r="U120" i="1"/>
  <c r="S120" i="1" s="1"/>
  <c r="W244" i="1"/>
  <c r="AI212" i="1"/>
  <c r="U93" i="1"/>
  <c r="S93" i="1" s="1"/>
  <c r="W86" i="1"/>
  <c r="W120" i="1"/>
  <c r="W211" i="1"/>
  <c r="U45" i="1"/>
  <c r="S45" i="1" s="1"/>
  <c r="U86" i="1"/>
  <c r="S85" i="1" s="1"/>
  <c r="W115" i="1"/>
  <c r="AI152" i="1"/>
  <c r="W45" i="1"/>
  <c r="AI160" i="1"/>
  <c r="U147" i="1"/>
  <c r="S147" i="1" s="1"/>
  <c r="AI198" i="1"/>
  <c r="W41" i="1"/>
  <c r="AI164" i="1"/>
  <c r="U216" i="1"/>
  <c r="S216" i="1" s="1"/>
  <c r="W140" i="1"/>
  <c r="U155" i="1"/>
  <c r="S155" i="1" s="1"/>
  <c r="W123" i="1"/>
  <c r="W152" i="1"/>
  <c r="W155" i="1"/>
  <c r="W66" i="1"/>
  <c r="W43" i="1"/>
  <c r="W147" i="1"/>
  <c r="U192" i="1"/>
  <c r="S192" i="1" s="1"/>
  <c r="W64" i="1"/>
  <c r="W139" i="1"/>
  <c r="U162" i="1"/>
  <c r="S162" i="1" s="1"/>
  <c r="U83" i="1"/>
  <c r="S83" i="1" s="1"/>
  <c r="W39" i="1"/>
  <c r="W216" i="1"/>
  <c r="W75" i="1"/>
  <c r="W108" i="1"/>
  <c r="AI244" i="1"/>
  <c r="U16" i="1"/>
  <c r="S16" i="1" s="1"/>
  <c r="AI16" i="1"/>
  <c r="W74" i="1"/>
  <c r="W192" i="1"/>
  <c r="W205" i="1"/>
  <c r="W171" i="1"/>
  <c r="AI171" i="1"/>
  <c r="U88" i="1"/>
  <c r="S88" i="1" s="1"/>
  <c r="AI88" i="1"/>
  <c r="W60" i="1"/>
  <c r="W83" i="1"/>
  <c r="W225" i="1"/>
  <c r="W33" i="1"/>
  <c r="AI213" i="1"/>
  <c r="AI218" i="1"/>
  <c r="U78" i="1"/>
  <c r="S78" i="1" s="1"/>
  <c r="AI78" i="1"/>
  <c r="U131" i="1"/>
  <c r="S131" i="1" s="1"/>
  <c r="AI131" i="1"/>
  <c r="W78" i="1"/>
  <c r="W208" i="1"/>
  <c r="W230" i="1"/>
  <c r="W207" i="1"/>
  <c r="W204" i="1"/>
  <c r="W235" i="1"/>
  <c r="W16" i="1"/>
  <c r="U104" i="1"/>
  <c r="S104" i="1" s="1"/>
  <c r="AI104" i="1"/>
  <c r="W128" i="1"/>
  <c r="W37" i="1"/>
  <c r="U59" i="1"/>
  <c r="S59" i="1" s="1"/>
  <c r="AI59" i="1"/>
  <c r="W59" i="1"/>
  <c r="W51" i="1"/>
  <c r="W104" i="1"/>
  <c r="W131" i="1"/>
  <c r="W88" i="1"/>
  <c r="U185" i="1"/>
  <c r="S185" i="1" s="1"/>
  <c r="AI185" i="1"/>
  <c r="W229" i="1"/>
  <c r="W224" i="1"/>
  <c r="AI14" i="1"/>
  <c r="U14" i="1"/>
  <c r="S14" i="1" s="1"/>
  <c r="U25" i="1"/>
  <c r="S25" i="1" s="1"/>
  <c r="AI25" i="1"/>
  <c r="U47" i="1"/>
  <c r="S47" i="1" s="1"/>
  <c r="AI47" i="1"/>
  <c r="AI28" i="1"/>
  <c r="U28" i="1"/>
  <c r="S28" i="1" s="1"/>
  <c r="U55" i="1"/>
  <c r="S55" i="1" s="1"/>
  <c r="AI55" i="1"/>
  <c r="U69" i="1"/>
  <c r="S69" i="1" s="1"/>
  <c r="AI69" i="1"/>
  <c r="AI57" i="1"/>
  <c r="U57" i="1"/>
  <c r="S57" i="1" s="1"/>
  <c r="W55" i="1"/>
  <c r="AI91" i="1"/>
  <c r="U91" i="1"/>
  <c r="S91" i="1" s="1"/>
  <c r="U107" i="1"/>
  <c r="S107" i="1" s="1"/>
  <c r="AI107" i="1"/>
  <c r="W107" i="1"/>
  <c r="U110" i="1"/>
  <c r="S110" i="1" s="1"/>
  <c r="AI110" i="1"/>
  <c r="U118" i="1"/>
  <c r="S118" i="1" s="1"/>
  <c r="AI118" i="1"/>
  <c r="U134" i="1"/>
  <c r="S134" i="1" s="1"/>
  <c r="AI134" i="1"/>
  <c r="U150" i="1"/>
  <c r="S150" i="1" s="1"/>
  <c r="AI150" i="1"/>
  <c r="U214" i="1"/>
  <c r="S214" i="1" s="1"/>
  <c r="AI166" i="1"/>
  <c r="U236" i="1"/>
  <c r="S236" i="1" s="1"/>
  <c r="AI182" i="1"/>
  <c r="AI121" i="1"/>
  <c r="U121" i="1"/>
  <c r="S121" i="1" s="1"/>
  <c r="AI137" i="1"/>
  <c r="U137" i="1"/>
  <c r="S137" i="1" s="1"/>
  <c r="AI153" i="1"/>
  <c r="U153" i="1"/>
  <c r="S153" i="1" s="1"/>
  <c r="AI169" i="1"/>
  <c r="U217" i="1"/>
  <c r="S217" i="1" s="1"/>
  <c r="W69" i="1"/>
  <c r="U102" i="1"/>
  <c r="S102" i="1" s="1"/>
  <c r="AI102" i="1"/>
  <c r="W153" i="1"/>
  <c r="W150" i="1"/>
  <c r="AI196" i="1"/>
  <c r="U240" i="1"/>
  <c r="S240" i="1" s="1"/>
  <c r="AI210" i="1"/>
  <c r="U179" i="1"/>
  <c r="S179" i="1" s="1"/>
  <c r="U203" i="1"/>
  <c r="S203" i="1" s="1"/>
  <c r="AI234" i="1"/>
  <c r="AI217" i="1"/>
  <c r="U186" i="1"/>
  <c r="S186" i="1" s="1"/>
  <c r="AI233" i="1"/>
  <c r="U202" i="1"/>
  <c r="S202" i="1" s="1"/>
  <c r="W186" i="1"/>
  <c r="AI42" i="1"/>
  <c r="U42" i="1"/>
  <c r="S42" i="1" s="1"/>
  <c r="U65" i="1"/>
  <c r="S65" i="1" s="1"/>
  <c r="AI65" i="1"/>
  <c r="U73" i="1"/>
  <c r="S73" i="1" s="1"/>
  <c r="W73" i="1"/>
  <c r="AI73" i="1"/>
  <c r="W28" i="1"/>
  <c r="AI61" i="1"/>
  <c r="U61" i="1"/>
  <c r="S61" i="1" s="1"/>
  <c r="W61" i="1"/>
  <c r="U95" i="1"/>
  <c r="S95" i="1" s="1"/>
  <c r="AI95" i="1"/>
  <c r="U111" i="1"/>
  <c r="S111" i="1" s="1"/>
  <c r="W111" i="1"/>
  <c r="AI111" i="1"/>
  <c r="U130" i="1"/>
  <c r="S130" i="1" s="1"/>
  <c r="AI130" i="1"/>
  <c r="U146" i="1"/>
  <c r="S146" i="1" s="1"/>
  <c r="AI146" i="1"/>
  <c r="U210" i="1"/>
  <c r="S210" i="1" s="1"/>
  <c r="AI162" i="1"/>
  <c r="U232" i="1"/>
  <c r="S232" i="1" s="1"/>
  <c r="AI178" i="1"/>
  <c r="U106" i="1"/>
  <c r="S106" i="1" s="1"/>
  <c r="AI106" i="1"/>
  <c r="AI125" i="1"/>
  <c r="U125" i="1"/>
  <c r="S125" i="1" s="1"/>
  <c r="AI141" i="1"/>
  <c r="U141" i="1"/>
  <c r="S141" i="1" s="1"/>
  <c r="AI157" i="1"/>
  <c r="U157" i="1"/>
  <c r="S157" i="1" s="1"/>
  <c r="AI173" i="1"/>
  <c r="U227" i="1"/>
  <c r="S227" i="1" s="1"/>
  <c r="W137" i="1"/>
  <c r="W134" i="1"/>
  <c r="W146" i="1"/>
  <c r="W227" i="1"/>
  <c r="AI200" i="1"/>
  <c r="U244" i="1"/>
  <c r="S244" i="1" s="1"/>
  <c r="U183" i="1"/>
  <c r="S183" i="1" s="1"/>
  <c r="AI214" i="1"/>
  <c r="AI225" i="1"/>
  <c r="U194" i="1"/>
  <c r="S194" i="1" s="1"/>
  <c r="AI237" i="1"/>
  <c r="W179" i="1"/>
  <c r="W203" i="1"/>
  <c r="W25" i="1"/>
  <c r="U62" i="1"/>
  <c r="S62" i="1" s="1"/>
  <c r="AI62" i="1"/>
  <c r="U77" i="1"/>
  <c r="S77" i="1" s="1"/>
  <c r="W77" i="1"/>
  <c r="AI77" i="1"/>
  <c r="W65" i="1"/>
  <c r="W62" i="1"/>
  <c r="AI80" i="1"/>
  <c r="U80" i="1"/>
  <c r="S80" i="1" s="1"/>
  <c r="U99" i="1"/>
  <c r="S99" i="1" s="1"/>
  <c r="AI99" i="1"/>
  <c r="U115" i="1"/>
  <c r="S115" i="1" s="1"/>
  <c r="AI115" i="1"/>
  <c r="U98" i="1"/>
  <c r="S98" i="1" s="1"/>
  <c r="AI98" i="1"/>
  <c r="U114" i="1"/>
  <c r="S114" i="1" s="1"/>
  <c r="AI114" i="1"/>
  <c r="W98" i="1"/>
  <c r="U126" i="1"/>
  <c r="S126" i="1" s="1"/>
  <c r="AI126" i="1"/>
  <c r="U142" i="1"/>
  <c r="AI142" i="1"/>
  <c r="U206" i="1"/>
  <c r="S206" i="1" s="1"/>
  <c r="AI158" i="1"/>
  <c r="U228" i="1"/>
  <c r="S228" i="1" s="1"/>
  <c r="AI174" i="1"/>
  <c r="W110" i="1"/>
  <c r="AI129" i="1"/>
  <c r="U129" i="1"/>
  <c r="S129" i="1" s="1"/>
  <c r="AI145" i="1"/>
  <c r="U145" i="1"/>
  <c r="S145" i="1" s="1"/>
  <c r="AI161" i="1"/>
  <c r="U209" i="1"/>
  <c r="S209" i="1" s="1"/>
  <c r="AI177" i="1"/>
  <c r="U231" i="1"/>
  <c r="S231" i="1" s="1"/>
  <c r="W106" i="1"/>
  <c r="W121" i="1"/>
  <c r="W118" i="1"/>
  <c r="W236" i="1"/>
  <c r="W130" i="1"/>
  <c r="W231" i="1"/>
  <c r="W157" i="1"/>
  <c r="W228" i="1"/>
  <c r="U160" i="1"/>
  <c r="S160" i="1" s="1"/>
  <c r="AI188" i="1"/>
  <c r="AI204" i="1"/>
  <c r="U171" i="1"/>
  <c r="S171" i="1" s="1"/>
  <c r="U223" i="1"/>
  <c r="S223" i="1" s="1"/>
  <c r="AI242" i="1"/>
  <c r="AI241" i="1"/>
  <c r="U222" i="1"/>
  <c r="S222" i="1" s="1"/>
  <c r="W183" i="1"/>
  <c r="W202" i="1"/>
  <c r="U21" i="1"/>
  <c r="S21" i="1" s="1"/>
  <c r="AI21" i="1"/>
  <c r="U29" i="1"/>
  <c r="S29" i="1" s="1"/>
  <c r="AI29" i="1"/>
  <c r="AI20" i="1"/>
  <c r="U20" i="1"/>
  <c r="S20" i="1" s="1"/>
  <c r="W47" i="1"/>
  <c r="AI24" i="1"/>
  <c r="U24" i="1"/>
  <c r="S24" i="1" s="1"/>
  <c r="W42" i="1"/>
  <c r="U58" i="1"/>
  <c r="S58" i="1" s="1"/>
  <c r="AI58" i="1"/>
  <c r="W14" i="1"/>
  <c r="W20" i="1"/>
  <c r="AI68" i="1"/>
  <c r="U68" i="1"/>
  <c r="S68" i="1" s="1"/>
  <c r="AI76" i="1"/>
  <c r="U76" i="1"/>
  <c r="S76" i="1" s="1"/>
  <c r="AI72" i="1"/>
  <c r="U72" i="1"/>
  <c r="S72" i="1" s="1"/>
  <c r="U81" i="1"/>
  <c r="S81" i="1" s="1"/>
  <c r="AI81" i="1"/>
  <c r="W68" i="1"/>
  <c r="U87" i="1"/>
  <c r="S87" i="1" s="1"/>
  <c r="AI87" i="1"/>
  <c r="U103" i="1"/>
  <c r="S103" i="1" s="1"/>
  <c r="AI103" i="1"/>
  <c r="W103" i="1"/>
  <c r="W81" i="1"/>
  <c r="W95" i="1"/>
  <c r="W91" i="1"/>
  <c r="W114" i="1"/>
  <c r="U122" i="1"/>
  <c r="S122" i="1" s="1"/>
  <c r="AI122" i="1"/>
  <c r="U138" i="1"/>
  <c r="S138" i="1" s="1"/>
  <c r="AI138" i="1"/>
  <c r="U154" i="1"/>
  <c r="S154" i="1" s="1"/>
  <c r="AI154" i="1"/>
  <c r="U218" i="1"/>
  <c r="S218" i="1" s="1"/>
  <c r="AI170" i="1"/>
  <c r="AI133" i="1"/>
  <c r="U133" i="1"/>
  <c r="S133" i="1" s="1"/>
  <c r="AI149" i="1"/>
  <c r="U149" i="1"/>
  <c r="S149" i="1" s="1"/>
  <c r="AI165" i="1"/>
  <c r="U213" i="1"/>
  <c r="S213" i="1" s="1"/>
  <c r="AI181" i="1"/>
  <c r="U235" i="1"/>
  <c r="S235" i="1" s="1"/>
  <c r="W122" i="1"/>
  <c r="W217" i="1"/>
  <c r="W149" i="1"/>
  <c r="W214" i="1"/>
  <c r="W209" i="1"/>
  <c r="W232" i="1"/>
  <c r="W99" i="1"/>
  <c r="W141" i="1"/>
  <c r="W206" i="1"/>
  <c r="AI192" i="1"/>
  <c r="U164" i="1"/>
  <c r="S164" i="1" s="1"/>
  <c r="AI206" i="1"/>
  <c r="U175" i="1"/>
  <c r="S175" i="1" s="1"/>
  <c r="W175" i="1"/>
  <c r="AI238" i="1"/>
  <c r="AI221" i="1"/>
  <c r="U190" i="1"/>
  <c r="S190" i="1" s="1"/>
  <c r="AI229" i="1"/>
  <c r="U198" i="1"/>
  <c r="S198" i="1" s="1"/>
  <c r="W240" i="1"/>
  <c r="W190" i="1"/>
  <c r="W222" i="1"/>
  <c r="W223" i="1"/>
  <c r="R56" i="3"/>
  <c r="M56" i="3"/>
  <c r="S56" i="3"/>
  <c r="U56" i="3"/>
  <c r="V56" i="3"/>
  <c r="W56" i="3"/>
  <c r="X56" i="3"/>
  <c r="B98" i="6" l="1"/>
  <c r="I97" i="6"/>
  <c r="H97" i="6"/>
  <c r="F97" i="6"/>
  <c r="J97" i="6"/>
  <c r="G97" i="6"/>
  <c r="AC56" i="3"/>
  <c r="AD56" i="3"/>
  <c r="AE56" i="3"/>
  <c r="T56" i="3"/>
  <c r="Y56" i="3"/>
  <c r="J98" i="6" l="1"/>
  <c r="F98" i="6"/>
  <c r="I98" i="6"/>
  <c r="G98" i="6"/>
  <c r="H98" i="6"/>
  <c r="B99" i="6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B100" i="6" l="1"/>
  <c r="G99" i="6"/>
  <c r="I99" i="6"/>
  <c r="H99" i="6"/>
  <c r="F99" i="6"/>
  <c r="J99" i="6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100" i="6" l="1"/>
  <c r="J100" i="6"/>
  <c r="G100" i="6"/>
  <c r="F100" i="6"/>
  <c r="I100" i="6"/>
  <c r="B101" i="6"/>
  <c r="I5" i="10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B102" i="6" l="1"/>
  <c r="H101" i="6"/>
  <c r="F101" i="6"/>
  <c r="J101" i="6"/>
  <c r="I101" i="6"/>
  <c r="G101" i="6"/>
  <c r="I7" i="10"/>
  <c r="H24" i="10"/>
  <c r="I24" i="10"/>
  <c r="K25" i="10"/>
  <c r="D26" i="10"/>
  <c r="G7" i="10"/>
  <c r="D9" i="10"/>
  <c r="K8" i="10"/>
  <c r="AG13" i="1"/>
  <c r="AI13" i="1" s="1"/>
  <c r="X13" i="1"/>
  <c r="AA13" i="1"/>
  <c r="T13" i="1"/>
  <c r="F102" i="6" l="1"/>
  <c r="G102" i="6"/>
  <c r="J102" i="6"/>
  <c r="I102" i="6"/>
  <c r="H102" i="6"/>
  <c r="B103" i="6"/>
  <c r="L8" i="10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B104" i="6" l="1"/>
  <c r="G103" i="6"/>
  <c r="I103" i="6"/>
  <c r="F103" i="6"/>
  <c r="J103" i="6"/>
  <c r="H103" i="6"/>
  <c r="G25" i="10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F104" i="6" l="1"/>
  <c r="G104" i="6"/>
  <c r="J104" i="6"/>
  <c r="I104" i="6"/>
  <c r="H104" i="6"/>
  <c r="B105" i="6"/>
  <c r="K28" i="10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B106" i="6" l="1"/>
  <c r="H105" i="6"/>
  <c r="F105" i="6"/>
  <c r="J105" i="6"/>
  <c r="I105" i="6"/>
  <c r="G105" i="6"/>
  <c r="G11" i="10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I106" i="6" l="1"/>
  <c r="J106" i="6"/>
  <c r="G106" i="6"/>
  <c r="H106" i="6"/>
  <c r="F106" i="6"/>
  <c r="B107" i="6"/>
  <c r="H28" i="10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108" i="6" l="1"/>
  <c r="G107" i="6"/>
  <c r="H107" i="6"/>
  <c r="I107" i="6"/>
  <c r="J107" i="6"/>
  <c r="F107" i="6"/>
  <c r="L30" i="10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H108" i="6" l="1"/>
  <c r="F108" i="6"/>
  <c r="J108" i="6"/>
  <c r="G108" i="6"/>
  <c r="I108" i="6"/>
  <c r="B109" i="6"/>
  <c r="K32" i="10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B110" i="6" l="1"/>
  <c r="G109" i="6"/>
  <c r="H109" i="6"/>
  <c r="F109" i="6"/>
  <c r="J109" i="6"/>
  <c r="I109" i="6"/>
  <c r="L33" i="10"/>
  <c r="I33" i="10"/>
  <c r="G31" i="10"/>
  <c r="H31" i="10"/>
  <c r="L32" i="10"/>
  <c r="I32" i="10"/>
  <c r="C61" i="9"/>
  <c r="C57" i="9"/>
  <c r="C59" i="9"/>
  <c r="C62" i="9"/>
  <c r="C60" i="9"/>
  <c r="C58" i="9"/>
  <c r="C56" i="9"/>
  <c r="G110" i="6" l="1"/>
  <c r="F110" i="6"/>
  <c r="J110" i="6"/>
  <c r="H110" i="6"/>
  <c r="I110" i="6"/>
  <c r="B111" i="6"/>
  <c r="H32" i="10"/>
  <c r="G32" i="10"/>
  <c r="G33" i="10"/>
  <c r="H33" i="10"/>
  <c r="B50" i="9"/>
  <c r="B51" i="9"/>
  <c r="B52" i="9"/>
  <c r="B53" i="9"/>
  <c r="B54" i="9"/>
  <c r="I111" i="6" l="1"/>
  <c r="G111" i="6"/>
  <c r="J111" i="6"/>
  <c r="H111" i="6"/>
  <c r="F111" i="6"/>
  <c r="B112" i="6"/>
  <c r="C52" i="9"/>
  <c r="C54" i="9"/>
  <c r="C55" i="9"/>
  <c r="C53" i="9"/>
  <c r="C51" i="9"/>
  <c r="B113" i="6" l="1"/>
  <c r="I112" i="6"/>
  <c r="G112" i="6"/>
  <c r="F112" i="6"/>
  <c r="H112" i="6"/>
  <c r="J112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I113" i="6" l="1"/>
  <c r="F113" i="6"/>
  <c r="J113" i="6"/>
  <c r="H113" i="6"/>
  <c r="G113" i="6"/>
  <c r="B114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115" i="6" l="1"/>
  <c r="I114" i="6"/>
  <c r="G114" i="6"/>
  <c r="J114" i="6"/>
  <c r="H114" i="6"/>
  <c r="F114" i="6"/>
  <c r="M23" i="5"/>
  <c r="H115" i="6" l="1"/>
  <c r="I115" i="6"/>
  <c r="G115" i="6"/>
  <c r="F115" i="6"/>
  <c r="J115" i="6"/>
  <c r="B116" i="6"/>
  <c r="V13" i="1"/>
  <c r="AN13" i="1"/>
  <c r="AD7" i="3"/>
  <c r="B31" i="9"/>
  <c r="B32" i="9"/>
  <c r="C33" i="9" s="1"/>
  <c r="H116" i="6" l="1"/>
  <c r="G116" i="6"/>
  <c r="J116" i="6"/>
  <c r="I116" i="6"/>
  <c r="F116" i="6"/>
  <c r="B117" i="6"/>
  <c r="AE7" i="3"/>
  <c r="C32" i="9"/>
  <c r="B118" i="6" l="1"/>
  <c r="H117" i="6"/>
  <c r="G117" i="6"/>
  <c r="F117" i="6"/>
  <c r="J117" i="6"/>
  <c r="I117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42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44" i="3" s="1"/>
  <c r="G44" i="4"/>
  <c r="G45" i="4"/>
  <c r="G46" i="4"/>
  <c r="G47" i="4"/>
  <c r="G48" i="4"/>
  <c r="G49" i="4"/>
  <c r="G50" i="4"/>
  <c r="G51" i="4"/>
  <c r="G52" i="4"/>
  <c r="G53" i="4"/>
  <c r="N14" i="3" s="1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N11" i="3" s="1"/>
  <c r="G74" i="4"/>
  <c r="N43" i="3" s="1"/>
  <c r="G75" i="4"/>
  <c r="G76" i="4"/>
  <c r="G77" i="4"/>
  <c r="G78" i="4"/>
  <c r="G79" i="4"/>
  <c r="G80" i="4"/>
  <c r="G81" i="4"/>
  <c r="G82" i="4"/>
  <c r="G83" i="4"/>
  <c r="G84" i="4"/>
  <c r="G85" i="4"/>
  <c r="G86" i="4"/>
  <c r="N38" i="3" s="1"/>
  <c r="G87" i="4"/>
  <c r="N16" i="3" s="1"/>
  <c r="G88" i="4"/>
  <c r="G89" i="4"/>
  <c r="N50" i="3" s="1"/>
  <c r="G90" i="4"/>
  <c r="G91" i="4"/>
  <c r="G92" i="4"/>
  <c r="G93" i="4"/>
  <c r="G94" i="4"/>
  <c r="G95" i="4"/>
  <c r="G96" i="4"/>
  <c r="G97" i="4"/>
  <c r="G98" i="4"/>
  <c r="G99" i="4"/>
  <c r="N59" i="3" s="1"/>
  <c r="G100" i="4"/>
  <c r="G101" i="4"/>
  <c r="G102" i="4"/>
  <c r="G103" i="4"/>
  <c r="N23" i="3" s="1"/>
  <c r="G104" i="4"/>
  <c r="G105" i="4"/>
  <c r="G106" i="4"/>
  <c r="G107" i="4"/>
  <c r="G108" i="4"/>
  <c r="G109" i="4"/>
  <c r="G110" i="4"/>
  <c r="G111" i="4"/>
  <c r="G112" i="4"/>
  <c r="G113" i="4"/>
  <c r="G114" i="4"/>
  <c r="N35" i="3" s="1"/>
  <c r="G115" i="4"/>
  <c r="G116" i="4"/>
  <c r="G117" i="4"/>
  <c r="G118" i="4"/>
  <c r="N51" i="3" s="1"/>
  <c r="G119" i="4"/>
  <c r="G120" i="4"/>
  <c r="G121" i="4"/>
  <c r="G122" i="4"/>
  <c r="G123" i="4"/>
  <c r="G124" i="4"/>
  <c r="G125" i="4"/>
  <c r="G126" i="4"/>
  <c r="G127" i="4"/>
  <c r="G128" i="4"/>
  <c r="N31" i="3" s="1"/>
  <c r="G129" i="4"/>
  <c r="G130" i="4"/>
  <c r="G131" i="4"/>
  <c r="G132" i="4"/>
  <c r="N8" i="3" s="1"/>
  <c r="G133" i="4"/>
  <c r="G134" i="4"/>
  <c r="G135" i="4"/>
  <c r="G136" i="4"/>
  <c r="G137" i="4"/>
  <c r="G138" i="4"/>
  <c r="G139" i="4"/>
  <c r="G140" i="4"/>
  <c r="G141" i="4"/>
  <c r="N36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7" i="3" s="1"/>
  <c r="G160" i="4"/>
  <c r="N54" i="3" s="1"/>
  <c r="G161" i="4"/>
  <c r="G162" i="4"/>
  <c r="G163" i="4"/>
  <c r="G164" i="4"/>
  <c r="G165" i="4"/>
  <c r="N47" i="3" s="1"/>
  <c r="G166" i="4"/>
  <c r="G167" i="4"/>
  <c r="G168" i="4"/>
  <c r="G169" i="4"/>
  <c r="G170" i="4"/>
  <c r="G171" i="4"/>
  <c r="G172" i="4"/>
  <c r="N52" i="3" s="1"/>
  <c r="G173" i="4"/>
  <c r="G174" i="4"/>
  <c r="G175" i="4"/>
  <c r="G176" i="4"/>
  <c r="G177" i="4"/>
  <c r="G178" i="4"/>
  <c r="G179" i="4"/>
  <c r="N32" i="3" s="1"/>
  <c r="G180" i="4"/>
  <c r="G181" i="4"/>
  <c r="G182" i="4"/>
  <c r="G183" i="4"/>
  <c r="G184" i="4"/>
  <c r="G185" i="4"/>
  <c r="G186" i="4"/>
  <c r="G187" i="4"/>
  <c r="G188" i="4"/>
  <c r="N34" i="3" s="1"/>
  <c r="G189" i="4"/>
  <c r="G190" i="4"/>
  <c r="G191" i="4"/>
  <c r="G192" i="4"/>
  <c r="G193" i="4"/>
  <c r="G194" i="4"/>
  <c r="N55" i="3" s="1"/>
  <c r="G195" i="4"/>
  <c r="G196" i="4"/>
  <c r="G197" i="4"/>
  <c r="G198" i="4"/>
  <c r="G199" i="4"/>
  <c r="G200" i="4"/>
  <c r="G201" i="4"/>
  <c r="G202" i="4"/>
  <c r="G203" i="4"/>
  <c r="N30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N37" i="3" s="1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N9" i="3" s="1"/>
  <c r="G248" i="4"/>
  <c r="G249" i="4"/>
  <c r="G250" i="4"/>
  <c r="G251" i="4"/>
  <c r="N40" i="3" s="1"/>
  <c r="G252" i="4"/>
  <c r="G253" i="4"/>
  <c r="G254" i="4"/>
  <c r="G255" i="4"/>
  <c r="G256" i="4"/>
  <c r="G257" i="4"/>
  <c r="G258" i="4"/>
  <c r="G2" i="4"/>
  <c r="J118" i="6" l="1"/>
  <c r="G118" i="6"/>
  <c r="F118" i="6"/>
  <c r="I118" i="6"/>
  <c r="H118" i="6"/>
  <c r="B119" i="6"/>
  <c r="N53" i="3"/>
  <c r="N15" i="3"/>
  <c r="N27" i="3"/>
  <c r="N24" i="3"/>
  <c r="N20" i="3"/>
  <c r="N22" i="3"/>
  <c r="N29" i="3"/>
  <c r="N39" i="3"/>
  <c r="N48" i="3"/>
  <c r="N13" i="3"/>
  <c r="N12" i="3"/>
  <c r="N10" i="3"/>
  <c r="N41" i="3"/>
  <c r="N49" i="3"/>
  <c r="N19" i="3"/>
  <c r="N45" i="3"/>
  <c r="N18" i="3"/>
  <c r="N25" i="3"/>
  <c r="N17" i="3"/>
  <c r="N26" i="3"/>
  <c r="N58" i="3"/>
  <c r="N57" i="3"/>
  <c r="N56" i="3"/>
  <c r="N46" i="3"/>
  <c r="N28" i="3"/>
  <c r="N21" i="3"/>
  <c r="L13" i="1"/>
  <c r="B120" i="6" l="1"/>
  <c r="G119" i="6"/>
  <c r="I119" i="6"/>
  <c r="F119" i="6"/>
  <c r="J119" i="6"/>
  <c r="H119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20" i="6" l="1"/>
  <c r="I120" i="6"/>
  <c r="G120" i="6"/>
  <c r="H120" i="6"/>
  <c r="J120" i="6"/>
  <c r="B121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22" i="6" l="1"/>
  <c r="H121" i="6"/>
  <c r="F121" i="6"/>
  <c r="J121" i="6"/>
  <c r="G121" i="6"/>
  <c r="I121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I122" i="6" l="1"/>
  <c r="J122" i="6"/>
  <c r="G122" i="6"/>
  <c r="H122" i="6"/>
  <c r="F122" i="6"/>
  <c r="B123" i="6"/>
  <c r="M30" i="5"/>
  <c r="M29" i="5"/>
  <c r="M27" i="5"/>
  <c r="I123" i="6" l="1"/>
  <c r="G123" i="6"/>
  <c r="H123" i="6"/>
  <c r="J123" i="6"/>
  <c r="F123" i="6"/>
  <c r="B124" i="6"/>
  <c r="M26" i="5"/>
  <c r="B125" i="6" l="1"/>
  <c r="H124" i="6"/>
  <c r="I124" i="6"/>
  <c r="G124" i="6"/>
  <c r="F124" i="6"/>
  <c r="J124" i="6"/>
  <c r="AH13" i="1"/>
  <c r="J7" i="1"/>
  <c r="G125" i="6" l="1"/>
  <c r="F125" i="6"/>
  <c r="H125" i="6"/>
  <c r="J125" i="6"/>
  <c r="I125" i="6"/>
  <c r="B126" i="6"/>
  <c r="X6" i="1"/>
  <c r="W6" i="1"/>
  <c r="V6" i="1"/>
  <c r="S6" i="1"/>
  <c r="R2" i="1"/>
  <c r="I2" i="1"/>
  <c r="O6" i="1"/>
  <c r="N6" i="1"/>
  <c r="M6" i="1"/>
  <c r="J6" i="1"/>
  <c r="B127" i="6" l="1"/>
  <c r="G126" i="6"/>
  <c r="F126" i="6"/>
  <c r="J126" i="6"/>
  <c r="I126" i="6"/>
  <c r="H126" i="6"/>
  <c r="P3" i="5"/>
  <c r="I127" i="6" l="1"/>
  <c r="G127" i="6"/>
  <c r="F127" i="6"/>
  <c r="J127" i="6"/>
  <c r="H127" i="6"/>
  <c r="B128" i="6"/>
  <c r="M18" i="5"/>
  <c r="I128" i="6" l="1"/>
  <c r="H128" i="6"/>
  <c r="G128" i="6"/>
  <c r="J128" i="6"/>
  <c r="F128" i="6"/>
  <c r="B129" i="6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I129" i="6" l="1"/>
  <c r="F129" i="6"/>
  <c r="J129" i="6"/>
  <c r="H129" i="6"/>
  <c r="G129" i="6"/>
  <c r="B130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J130" i="6" l="1"/>
  <c r="G130" i="6"/>
  <c r="I130" i="6"/>
  <c r="H130" i="6"/>
  <c r="F130" i="6"/>
  <c r="B131" i="6"/>
  <c r="G259" i="4"/>
  <c r="G260" i="4"/>
  <c r="G261" i="4"/>
  <c r="G262" i="4"/>
  <c r="G263" i="4"/>
  <c r="G264" i="4"/>
  <c r="G265" i="4"/>
  <c r="I131" i="6" l="1"/>
  <c r="H131" i="6"/>
  <c r="G131" i="6"/>
  <c r="F131" i="6"/>
  <c r="J131" i="6"/>
  <c r="B132" i="6"/>
  <c r="M14" i="5"/>
  <c r="M13" i="5"/>
  <c r="M12" i="5"/>
  <c r="M11" i="5"/>
  <c r="M10" i="5"/>
  <c r="M9" i="5"/>
  <c r="M8" i="5"/>
  <c r="M7" i="5"/>
  <c r="M6" i="5"/>
  <c r="M5" i="5"/>
  <c r="M4" i="5"/>
  <c r="M3" i="5"/>
  <c r="H132" i="6" l="1"/>
  <c r="J132" i="6"/>
  <c r="F132" i="6"/>
  <c r="G132" i="6"/>
  <c r="I132" i="6"/>
  <c r="B133" i="6"/>
  <c r="U13" i="1"/>
  <c r="S13" i="1" s="1"/>
  <c r="O2" i="3"/>
  <c r="O3" i="3" s="1"/>
  <c r="H133" i="6" l="1"/>
  <c r="I133" i="6"/>
  <c r="G133" i="6"/>
  <c r="F133" i="6"/>
  <c r="J133" i="6"/>
  <c r="B134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134" i="6" l="1"/>
  <c r="G134" i="6"/>
  <c r="J134" i="6"/>
  <c r="I134" i="6"/>
  <c r="H134" i="6"/>
  <c r="B135" i="6"/>
  <c r="J8" i="1"/>
  <c r="J4" i="1"/>
  <c r="S8" i="1"/>
  <c r="S4" i="1"/>
  <c r="B136" i="6" l="1"/>
  <c r="G135" i="6"/>
  <c r="I135" i="6"/>
  <c r="F135" i="6"/>
  <c r="J135" i="6"/>
  <c r="H135" i="6"/>
  <c r="S9" i="1"/>
  <c r="J9" i="1"/>
  <c r="F136" i="6" l="1"/>
  <c r="G136" i="6"/>
  <c r="J136" i="6"/>
  <c r="I136" i="6"/>
  <c r="H136" i="6"/>
  <c r="B137" i="6"/>
  <c r="S11" i="1"/>
  <c r="A11" i="1"/>
  <c r="H137" i="6" l="1"/>
  <c r="I137" i="6"/>
  <c r="F137" i="6"/>
  <c r="J137" i="6"/>
  <c r="G137" i="6"/>
  <c r="B138" i="6"/>
  <c r="B1" i="6"/>
  <c r="A5" i="3"/>
  <c r="B139" i="6" l="1"/>
  <c r="I138" i="6"/>
  <c r="G138" i="6"/>
  <c r="J138" i="6"/>
  <c r="H138" i="6"/>
  <c r="F138" i="6"/>
  <c r="G139" i="6" l="1"/>
  <c r="I139" i="6"/>
  <c r="H139" i="6"/>
  <c r="J139" i="6"/>
  <c r="F139" i="6"/>
  <c r="B140" i="6"/>
  <c r="H140" i="6" l="1"/>
  <c r="F140" i="6"/>
  <c r="J140" i="6"/>
  <c r="I140" i="6"/>
  <c r="G140" i="6"/>
  <c r="B141" i="6"/>
  <c r="B142" i="6" l="1"/>
  <c r="F141" i="6"/>
  <c r="J141" i="6"/>
  <c r="I141" i="6"/>
  <c r="H141" i="6"/>
  <c r="G141" i="6"/>
  <c r="G142" i="6" l="1"/>
  <c r="F142" i="6"/>
  <c r="J142" i="6"/>
  <c r="H142" i="6"/>
  <c r="I142" i="6"/>
  <c r="B143" i="6"/>
  <c r="I143" i="6" l="1"/>
  <c r="G143" i="6"/>
  <c r="F143" i="6"/>
  <c r="J143" i="6"/>
  <c r="H143" i="6"/>
  <c r="B144" i="6"/>
  <c r="B3" i="6"/>
  <c r="B145" i="6" l="1"/>
  <c r="I144" i="6"/>
  <c r="F144" i="6"/>
  <c r="H144" i="6"/>
  <c r="G144" i="6"/>
  <c r="J144" i="6"/>
  <c r="I3" i="6"/>
  <c r="F3" i="6"/>
  <c r="B4" i="6"/>
  <c r="H3" i="6"/>
  <c r="J3" i="6"/>
  <c r="G3" i="6"/>
  <c r="I145" i="6" l="1"/>
  <c r="G145" i="6"/>
  <c r="F145" i="6"/>
  <c r="J145" i="6"/>
  <c r="H145" i="6"/>
  <c r="B146" i="6"/>
  <c r="I4" i="6"/>
  <c r="F4" i="6"/>
  <c r="G4" i="6"/>
  <c r="J4" i="6"/>
  <c r="H4" i="6"/>
  <c r="B5" i="6"/>
  <c r="I146" i="6" l="1"/>
  <c r="J146" i="6"/>
  <c r="G146" i="6"/>
  <c r="H146" i="6"/>
  <c r="F146" i="6"/>
  <c r="B147" i="6"/>
  <c r="I5" i="6"/>
  <c r="F5" i="6"/>
  <c r="J5" i="6"/>
  <c r="H5" i="6"/>
  <c r="G5" i="6"/>
  <c r="B6" i="6"/>
  <c r="H147" i="6" l="1"/>
  <c r="G147" i="6"/>
  <c r="I147" i="6"/>
  <c r="F147" i="6"/>
  <c r="J147" i="6"/>
  <c r="B148" i="6"/>
  <c r="I6" i="6"/>
  <c r="F6" i="6"/>
  <c r="H6" i="6"/>
  <c r="G6" i="6"/>
  <c r="J6" i="6"/>
  <c r="B7" i="6"/>
  <c r="H148" i="6" l="1"/>
  <c r="G148" i="6"/>
  <c r="I148" i="6"/>
  <c r="J148" i="6"/>
  <c r="F148" i="6"/>
  <c r="B149" i="6"/>
  <c r="I7" i="6"/>
  <c r="F7" i="6"/>
  <c r="B8" i="6"/>
  <c r="G7" i="6"/>
  <c r="H7" i="6"/>
  <c r="J7" i="6"/>
  <c r="H149" i="6" l="1"/>
  <c r="J149" i="6"/>
  <c r="I149" i="6"/>
  <c r="G149" i="6"/>
  <c r="F149" i="6"/>
  <c r="B150" i="6"/>
  <c r="I8" i="6"/>
  <c r="F8" i="6"/>
  <c r="J8" i="6"/>
  <c r="H8" i="6"/>
  <c r="G8" i="6"/>
  <c r="B9" i="6"/>
  <c r="J150" i="6" l="1"/>
  <c r="F150" i="6"/>
  <c r="G150" i="6"/>
  <c r="H150" i="6"/>
  <c r="I150" i="6"/>
  <c r="B151" i="6"/>
  <c r="I9" i="6"/>
  <c r="F9" i="6"/>
  <c r="H9" i="6"/>
  <c r="J9" i="6"/>
  <c r="G9" i="6"/>
  <c r="B10" i="6"/>
  <c r="I151" i="6" l="1"/>
  <c r="G151" i="6"/>
  <c r="J151" i="6"/>
  <c r="H151" i="6"/>
  <c r="F151" i="6"/>
  <c r="B152" i="6"/>
  <c r="I10" i="6"/>
  <c r="F10" i="6"/>
  <c r="H10" i="6"/>
  <c r="J10" i="6"/>
  <c r="G10" i="6"/>
  <c r="B11" i="6"/>
  <c r="B153" i="6" l="1"/>
  <c r="G152" i="6"/>
  <c r="J152" i="6"/>
  <c r="I152" i="6"/>
  <c r="F152" i="6"/>
  <c r="H152" i="6"/>
  <c r="I11" i="6"/>
  <c r="F11" i="6"/>
  <c r="H11" i="6"/>
  <c r="J11" i="6"/>
  <c r="G11" i="6"/>
  <c r="B12" i="6"/>
  <c r="I153" i="6" l="1"/>
  <c r="F153" i="6"/>
  <c r="H153" i="6"/>
  <c r="G153" i="6"/>
  <c r="J153" i="6"/>
  <c r="B154" i="6"/>
  <c r="I12" i="6"/>
  <c r="F12" i="6"/>
  <c r="G12" i="6"/>
  <c r="H12" i="6"/>
  <c r="J12" i="6"/>
  <c r="B13" i="6"/>
  <c r="H154" i="6" l="1"/>
  <c r="G154" i="6"/>
  <c r="F154" i="6"/>
  <c r="J154" i="6"/>
  <c r="I154" i="6"/>
  <c r="B155" i="6"/>
  <c r="I13" i="6"/>
  <c r="F13" i="6"/>
  <c r="B14" i="6"/>
  <c r="J13" i="6"/>
  <c r="G13" i="6"/>
  <c r="H13" i="6"/>
  <c r="G155" i="6" l="1"/>
  <c r="H155" i="6"/>
  <c r="I155" i="6"/>
  <c r="F155" i="6"/>
  <c r="J155" i="6"/>
  <c r="B156" i="6"/>
  <c r="I14" i="6"/>
  <c r="F14" i="6"/>
  <c r="B15" i="6"/>
  <c r="J14" i="6"/>
  <c r="G14" i="6"/>
  <c r="H14" i="6"/>
  <c r="H156" i="6" l="1"/>
  <c r="F156" i="6"/>
  <c r="I156" i="6"/>
  <c r="J156" i="6"/>
  <c r="G156" i="6"/>
  <c r="B157" i="6"/>
  <c r="I15" i="6"/>
  <c r="F15" i="6"/>
  <c r="H15" i="6"/>
  <c r="J15" i="6"/>
  <c r="G15" i="6"/>
  <c r="B16" i="6"/>
  <c r="H157" i="6" l="1"/>
  <c r="I157" i="6"/>
  <c r="F157" i="6"/>
  <c r="G157" i="6"/>
  <c r="J157" i="6"/>
  <c r="B158" i="6"/>
  <c r="I16" i="6"/>
  <c r="F16" i="6"/>
  <c r="B17" i="6"/>
  <c r="G16" i="6"/>
  <c r="J16" i="6"/>
  <c r="H16" i="6"/>
  <c r="B159" i="6" l="1"/>
  <c r="H158" i="6"/>
  <c r="J158" i="6"/>
  <c r="G158" i="6"/>
  <c r="I158" i="6"/>
  <c r="F158" i="6"/>
  <c r="I17" i="6"/>
  <c r="F17" i="6"/>
  <c r="G17" i="6"/>
  <c r="H17" i="6"/>
  <c r="J17" i="6"/>
  <c r="B18" i="6"/>
  <c r="H159" i="6" l="1"/>
  <c r="G159" i="6"/>
  <c r="I159" i="6"/>
  <c r="J159" i="6"/>
  <c r="F159" i="6"/>
  <c r="B160" i="6"/>
  <c r="I18" i="6"/>
  <c r="F18" i="6"/>
  <c r="J18" i="6"/>
  <c r="G18" i="6"/>
  <c r="H18" i="6"/>
  <c r="B19" i="6"/>
  <c r="H160" i="6" l="1"/>
  <c r="F160" i="6"/>
  <c r="J160" i="6"/>
  <c r="I160" i="6"/>
  <c r="G160" i="6"/>
  <c r="B161" i="6"/>
  <c r="I19" i="6"/>
  <c r="F19" i="6"/>
  <c r="G19" i="6"/>
  <c r="H19" i="6"/>
  <c r="J19" i="6"/>
  <c r="B20" i="6"/>
  <c r="J161" i="6" l="1"/>
  <c r="H161" i="6"/>
  <c r="G161" i="6"/>
  <c r="I161" i="6"/>
  <c r="F161" i="6"/>
  <c r="B162" i="6"/>
  <c r="I20" i="6"/>
  <c r="F20" i="6"/>
  <c r="B21" i="6"/>
  <c r="J20" i="6"/>
  <c r="H20" i="6"/>
  <c r="G20" i="6"/>
  <c r="B163" i="6" l="1"/>
  <c r="H162" i="6"/>
  <c r="J162" i="6"/>
  <c r="G162" i="6"/>
  <c r="F162" i="6"/>
  <c r="I162" i="6"/>
  <c r="I21" i="6"/>
  <c r="F21" i="6"/>
  <c r="J21" i="6"/>
  <c r="G21" i="6"/>
  <c r="H21" i="6"/>
  <c r="B22" i="6"/>
  <c r="G163" i="6" l="1"/>
  <c r="H163" i="6"/>
  <c r="I163" i="6"/>
  <c r="J163" i="6"/>
  <c r="F163" i="6"/>
  <c r="B164" i="6"/>
  <c r="I22" i="6"/>
  <c r="F22" i="6"/>
  <c r="B23" i="6"/>
  <c r="G22" i="6"/>
  <c r="J22" i="6"/>
  <c r="H22" i="6"/>
  <c r="H164" i="6" l="1"/>
  <c r="F164" i="6"/>
  <c r="G164" i="6"/>
  <c r="I164" i="6"/>
  <c r="J164" i="6"/>
  <c r="B165" i="6"/>
  <c r="I23" i="6"/>
  <c r="F23" i="6"/>
  <c r="G23" i="6"/>
  <c r="J23" i="6"/>
  <c r="H23" i="6"/>
  <c r="B24" i="6"/>
  <c r="H165" i="6" l="1"/>
  <c r="G165" i="6"/>
  <c r="F165" i="6"/>
  <c r="I165" i="6"/>
  <c r="J165" i="6"/>
  <c r="B166" i="6"/>
  <c r="I24" i="6"/>
  <c r="F24" i="6"/>
  <c r="B25" i="6"/>
  <c r="G24" i="6"/>
  <c r="J24" i="6"/>
  <c r="H24" i="6"/>
  <c r="H166" i="6" l="1"/>
  <c r="J166" i="6"/>
  <c r="G166" i="6"/>
  <c r="I166" i="6"/>
  <c r="F166" i="6"/>
  <c r="B167" i="6"/>
  <c r="I25" i="6"/>
  <c r="F25" i="6"/>
  <c r="G25" i="6"/>
  <c r="H25" i="6"/>
  <c r="J25" i="6"/>
  <c r="B26" i="6"/>
  <c r="B168" i="6" l="1"/>
  <c r="H167" i="6"/>
  <c r="G167" i="6"/>
  <c r="I167" i="6"/>
  <c r="F167" i="6"/>
  <c r="J167" i="6"/>
  <c r="I26" i="6"/>
  <c r="F26" i="6"/>
  <c r="B27" i="6"/>
  <c r="G26" i="6"/>
  <c r="H26" i="6"/>
  <c r="J26" i="6"/>
  <c r="H168" i="6" l="1"/>
  <c r="J168" i="6"/>
  <c r="I168" i="6"/>
  <c r="F168" i="6"/>
  <c r="G168" i="6"/>
  <c r="B169" i="6"/>
  <c r="I27" i="6"/>
  <c r="F27" i="6"/>
  <c r="G27" i="6"/>
  <c r="H27" i="6"/>
  <c r="J27" i="6"/>
  <c r="B28" i="6"/>
  <c r="G169" i="6" l="1"/>
  <c r="I169" i="6"/>
  <c r="H169" i="6"/>
  <c r="F169" i="6"/>
  <c r="J169" i="6"/>
  <c r="B170" i="6"/>
  <c r="I28" i="6"/>
  <c r="F28" i="6"/>
  <c r="G28" i="6"/>
  <c r="H28" i="6"/>
  <c r="J28" i="6"/>
  <c r="B29" i="6"/>
  <c r="H170" i="6" l="1"/>
  <c r="G170" i="6"/>
  <c r="J170" i="6"/>
  <c r="F170" i="6"/>
  <c r="I170" i="6"/>
  <c r="B171" i="6"/>
  <c r="I29" i="6"/>
  <c r="F29" i="6"/>
  <c r="B30" i="6"/>
  <c r="J29" i="6"/>
  <c r="G29" i="6"/>
  <c r="H29" i="6"/>
  <c r="H171" i="6" l="1"/>
  <c r="I171" i="6"/>
  <c r="G171" i="6"/>
  <c r="F171" i="6"/>
  <c r="J171" i="6"/>
  <c r="B172" i="6"/>
  <c r="I30" i="6"/>
  <c r="F30" i="6"/>
  <c r="B31" i="6"/>
  <c r="J30" i="6"/>
  <c r="G30" i="6"/>
  <c r="H30" i="6"/>
  <c r="H172" i="6" l="1"/>
  <c r="G172" i="6"/>
  <c r="J172" i="6"/>
  <c r="F172" i="6"/>
  <c r="I172" i="6"/>
  <c r="B173" i="6"/>
  <c r="I31" i="6"/>
  <c r="F31" i="6"/>
  <c r="H31" i="6"/>
  <c r="G31" i="6"/>
  <c r="J31" i="6"/>
  <c r="B32" i="6"/>
  <c r="H173" i="6" l="1"/>
  <c r="I173" i="6"/>
  <c r="F173" i="6"/>
  <c r="G173" i="6"/>
  <c r="J173" i="6"/>
  <c r="B174" i="6"/>
  <c r="I32" i="6"/>
  <c r="F32" i="6"/>
  <c r="B33" i="6"/>
  <c r="G32" i="6"/>
  <c r="J32" i="6"/>
  <c r="H32" i="6"/>
  <c r="H174" i="6" l="1"/>
  <c r="J174" i="6"/>
  <c r="G174" i="6"/>
  <c r="F174" i="6"/>
  <c r="I174" i="6"/>
  <c r="B175" i="6"/>
  <c r="I33" i="6"/>
  <c r="F33" i="6"/>
  <c r="B34" i="6"/>
  <c r="J33" i="6"/>
  <c r="G33" i="6"/>
  <c r="H33" i="6"/>
  <c r="H175" i="6" l="1"/>
  <c r="I175" i="6"/>
  <c r="G175" i="6"/>
  <c r="J175" i="6"/>
  <c r="F175" i="6"/>
  <c r="B176" i="6"/>
  <c r="I34" i="6"/>
  <c r="F34" i="6"/>
  <c r="J34" i="6"/>
  <c r="G34" i="6"/>
  <c r="H34" i="6"/>
  <c r="B35" i="6"/>
  <c r="H176" i="6" l="1"/>
  <c r="F176" i="6"/>
  <c r="I176" i="6"/>
  <c r="J176" i="6"/>
  <c r="G176" i="6"/>
  <c r="B177" i="6"/>
  <c r="I35" i="6"/>
  <c r="F35" i="6"/>
  <c r="H35" i="6"/>
  <c r="J35" i="6"/>
  <c r="G35" i="6"/>
  <c r="B36" i="6"/>
  <c r="B178" i="6" l="1"/>
  <c r="F177" i="6"/>
  <c r="J177" i="6"/>
  <c r="H177" i="6"/>
  <c r="G177" i="6"/>
  <c r="I177" i="6"/>
  <c r="I36" i="6"/>
  <c r="F36" i="6"/>
  <c r="B37" i="6"/>
  <c r="J36" i="6"/>
  <c r="H36" i="6"/>
  <c r="G36" i="6"/>
  <c r="H178" i="6" l="1"/>
  <c r="J178" i="6"/>
  <c r="G178" i="6"/>
  <c r="F178" i="6"/>
  <c r="I178" i="6"/>
  <c r="B179" i="6"/>
  <c r="I37" i="6"/>
  <c r="F37" i="6"/>
  <c r="J37" i="6"/>
  <c r="G37" i="6"/>
  <c r="H37" i="6"/>
  <c r="B38" i="6"/>
  <c r="H179" i="6" l="1"/>
  <c r="G179" i="6"/>
  <c r="I179" i="6"/>
  <c r="F179" i="6"/>
  <c r="J179" i="6"/>
  <c r="B180" i="6"/>
  <c r="I38" i="6"/>
  <c r="F38" i="6"/>
  <c r="G38" i="6"/>
  <c r="H38" i="6"/>
  <c r="J38" i="6"/>
  <c r="B39" i="6"/>
  <c r="G180" i="6" l="1"/>
  <c r="F180" i="6"/>
  <c r="I180" i="6"/>
  <c r="J180" i="6"/>
  <c r="H180" i="6"/>
  <c r="B181" i="6"/>
  <c r="I39" i="6"/>
  <c r="F39" i="6"/>
  <c r="G39" i="6"/>
  <c r="H39" i="6"/>
  <c r="J39" i="6"/>
  <c r="B40" i="6"/>
  <c r="G181" i="6" l="1"/>
  <c r="J181" i="6"/>
  <c r="F181" i="6"/>
  <c r="H181" i="6"/>
  <c r="I181" i="6"/>
  <c r="B182" i="6"/>
  <c r="I40" i="6"/>
  <c r="F40" i="6"/>
  <c r="B41" i="6"/>
  <c r="J40" i="6"/>
  <c r="H40" i="6"/>
  <c r="G40" i="6"/>
  <c r="H182" i="6" l="1"/>
  <c r="F182" i="6"/>
  <c r="G182" i="6"/>
  <c r="J182" i="6"/>
  <c r="I182" i="6"/>
  <c r="B183" i="6"/>
  <c r="I41" i="6"/>
  <c r="F41" i="6"/>
  <c r="B42" i="6"/>
  <c r="J41" i="6"/>
  <c r="G41" i="6"/>
  <c r="H41" i="6"/>
  <c r="G183" i="6" l="1"/>
  <c r="F183" i="6"/>
  <c r="H183" i="6"/>
  <c r="I183" i="6"/>
  <c r="J183" i="6"/>
  <c r="B184" i="6"/>
  <c r="I42" i="6"/>
  <c r="F42" i="6"/>
  <c r="H42" i="6"/>
  <c r="G42" i="6"/>
  <c r="J42" i="6"/>
  <c r="B43" i="6"/>
  <c r="I184" i="6" l="1"/>
  <c r="F184" i="6"/>
  <c r="H184" i="6"/>
  <c r="J184" i="6"/>
  <c r="G184" i="6"/>
  <c r="B185" i="6"/>
  <c r="I43" i="6"/>
  <c r="F43" i="6"/>
  <c r="G43" i="6"/>
  <c r="H43" i="6"/>
  <c r="J43" i="6"/>
  <c r="B44" i="6"/>
  <c r="G185" i="6" l="1"/>
  <c r="H185" i="6"/>
  <c r="J185" i="6"/>
  <c r="I185" i="6"/>
  <c r="F185" i="6"/>
  <c r="B186" i="6"/>
  <c r="I44" i="6"/>
  <c r="F44" i="6"/>
  <c r="B45" i="6"/>
  <c r="J44" i="6"/>
  <c r="H44" i="6"/>
  <c r="G44" i="6"/>
  <c r="F186" i="6" l="1"/>
  <c r="J186" i="6"/>
  <c r="G186" i="6"/>
  <c r="H186" i="6"/>
  <c r="I186" i="6"/>
  <c r="B187" i="6"/>
  <c r="I45" i="6"/>
  <c r="F45" i="6"/>
  <c r="B46" i="6"/>
  <c r="J45" i="6"/>
  <c r="G45" i="6"/>
  <c r="H45" i="6"/>
  <c r="G187" i="6" l="1"/>
  <c r="I187" i="6"/>
  <c r="F187" i="6"/>
  <c r="H187" i="6"/>
  <c r="J187" i="6"/>
  <c r="B188" i="6"/>
  <c r="I46" i="6"/>
  <c r="F46" i="6"/>
  <c r="B47" i="6"/>
  <c r="J46" i="6"/>
  <c r="G46" i="6"/>
  <c r="H46" i="6"/>
  <c r="G188" i="6" l="1"/>
  <c r="J188" i="6"/>
  <c r="H188" i="6"/>
  <c r="I188" i="6"/>
  <c r="F188" i="6"/>
  <c r="B189" i="6"/>
  <c r="I47" i="6"/>
  <c r="F47" i="6"/>
  <c r="J47" i="6"/>
  <c r="H47" i="6"/>
  <c r="G47" i="6"/>
  <c r="B48" i="6"/>
  <c r="G189" i="6" l="1"/>
  <c r="J189" i="6"/>
  <c r="I189" i="6"/>
  <c r="F189" i="6"/>
  <c r="H189" i="6"/>
  <c r="B190" i="6"/>
  <c r="I48" i="6"/>
  <c r="F48" i="6"/>
  <c r="J48" i="6"/>
  <c r="H48" i="6"/>
  <c r="G48" i="6"/>
  <c r="B49" i="6"/>
  <c r="H190" i="6" l="1"/>
  <c r="J190" i="6"/>
  <c r="F190" i="6"/>
  <c r="I190" i="6"/>
  <c r="G190" i="6"/>
  <c r="B191" i="6"/>
  <c r="I49" i="6"/>
  <c r="F49" i="6"/>
  <c r="J49" i="6"/>
  <c r="G49" i="6"/>
  <c r="H49" i="6"/>
  <c r="B50" i="6"/>
  <c r="G191" i="6" l="1"/>
  <c r="F191" i="6"/>
  <c r="J191" i="6"/>
  <c r="H191" i="6"/>
  <c r="I191" i="6"/>
  <c r="B192" i="6"/>
  <c r="I50" i="6"/>
  <c r="F50" i="6"/>
  <c r="B51" i="6"/>
  <c r="G50" i="6"/>
  <c r="H50" i="6"/>
  <c r="J50" i="6"/>
  <c r="I192" i="6" l="1"/>
  <c r="J192" i="6"/>
  <c r="G192" i="6"/>
  <c r="H192" i="6"/>
  <c r="F192" i="6"/>
  <c r="B193" i="6"/>
  <c r="I51" i="6"/>
  <c r="F51" i="6"/>
  <c r="G51" i="6"/>
  <c r="H51" i="6"/>
  <c r="J51" i="6"/>
  <c r="B52" i="6"/>
  <c r="G193" i="6" l="1"/>
  <c r="H193" i="6"/>
  <c r="J193" i="6"/>
  <c r="I193" i="6"/>
  <c r="F193" i="6"/>
  <c r="B194" i="6"/>
  <c r="I52" i="6"/>
  <c r="F52" i="6"/>
  <c r="B53" i="6"/>
  <c r="J52" i="6"/>
  <c r="G52" i="6"/>
  <c r="H52" i="6"/>
  <c r="F194" i="6" l="1"/>
  <c r="J194" i="6"/>
  <c r="I194" i="6"/>
  <c r="G194" i="6"/>
  <c r="H194" i="6"/>
  <c r="B195" i="6"/>
  <c r="I53" i="6"/>
  <c r="F53" i="6"/>
  <c r="H53" i="6"/>
  <c r="G53" i="6"/>
  <c r="J53" i="6"/>
  <c r="B54" i="6"/>
  <c r="G195" i="6" l="1"/>
  <c r="I195" i="6"/>
  <c r="J195" i="6"/>
  <c r="F195" i="6"/>
  <c r="H195" i="6"/>
  <c r="B196" i="6"/>
  <c r="I54" i="6"/>
  <c r="F54" i="6"/>
  <c r="B55" i="6"/>
  <c r="H54" i="6"/>
  <c r="G54" i="6"/>
  <c r="J54" i="6"/>
  <c r="G196" i="6" l="1"/>
  <c r="I196" i="6"/>
  <c r="F196" i="6"/>
  <c r="H196" i="6"/>
  <c r="J196" i="6"/>
  <c r="B197" i="6"/>
  <c r="I55" i="6"/>
  <c r="F55" i="6"/>
  <c r="B56" i="6"/>
  <c r="J55" i="6"/>
  <c r="H55" i="6"/>
  <c r="G55" i="6"/>
  <c r="G197" i="6" l="1"/>
  <c r="I197" i="6"/>
  <c r="H197" i="6"/>
  <c r="J197" i="6"/>
  <c r="F197" i="6"/>
  <c r="B198" i="6"/>
  <c r="I56" i="6"/>
  <c r="F56" i="6"/>
  <c r="J56" i="6"/>
  <c r="H56" i="6"/>
  <c r="G56" i="6"/>
  <c r="B57" i="6"/>
  <c r="G198" i="6" l="1"/>
  <c r="H198" i="6"/>
  <c r="I198" i="6"/>
  <c r="F198" i="6"/>
  <c r="J198" i="6"/>
  <c r="A200" i="6"/>
  <c r="B199" i="6"/>
  <c r="I57" i="6"/>
  <c r="F57" i="6"/>
  <c r="J57" i="6"/>
  <c r="H57" i="6"/>
  <c r="G57" i="6"/>
  <c r="B58" i="6"/>
  <c r="G199" i="6" l="1"/>
  <c r="J199" i="6"/>
  <c r="H199" i="6"/>
  <c r="I199" i="6"/>
  <c r="F199" i="6"/>
  <c r="A201" i="6"/>
  <c r="B200" i="6"/>
  <c r="I58" i="6"/>
  <c r="F58" i="6"/>
  <c r="B59" i="6"/>
  <c r="J58" i="6"/>
  <c r="G58" i="6"/>
  <c r="H58" i="6"/>
  <c r="H200" i="6" l="1"/>
  <c r="G200" i="6"/>
  <c r="I200" i="6"/>
  <c r="F200" i="6"/>
  <c r="J200" i="6"/>
  <c r="A202" i="6"/>
  <c r="B201" i="6"/>
  <c r="I59" i="6"/>
  <c r="F59" i="6"/>
  <c r="B60" i="6"/>
  <c r="G59" i="6"/>
  <c r="H59" i="6"/>
  <c r="J59" i="6"/>
  <c r="G201" i="6" l="1"/>
  <c r="F201" i="6"/>
  <c r="H201" i="6"/>
  <c r="I201" i="6"/>
  <c r="J201" i="6"/>
  <c r="A203" i="6"/>
  <c r="B202" i="6"/>
  <c r="I60" i="6"/>
  <c r="F60" i="6"/>
  <c r="B61" i="6"/>
  <c r="J60" i="6"/>
  <c r="H60" i="6"/>
  <c r="G60" i="6"/>
  <c r="I202" i="6" l="1"/>
  <c r="G202" i="6"/>
  <c r="H202" i="6"/>
  <c r="F202" i="6"/>
  <c r="J202" i="6"/>
  <c r="A204" i="6"/>
  <c r="B203" i="6"/>
  <c r="I61" i="6"/>
  <c r="F61" i="6"/>
  <c r="B62" i="6"/>
  <c r="H61" i="6"/>
  <c r="J61" i="6"/>
  <c r="G61" i="6"/>
  <c r="G203" i="6" l="1"/>
  <c r="H203" i="6"/>
  <c r="F203" i="6"/>
  <c r="I203" i="6"/>
  <c r="J203" i="6"/>
  <c r="A205" i="6"/>
  <c r="B204" i="6"/>
  <c r="I62" i="6"/>
  <c r="F62" i="6"/>
  <c r="G62" i="6"/>
  <c r="H62" i="6"/>
  <c r="J62" i="6"/>
  <c r="B63" i="6"/>
  <c r="F204" i="6" l="1"/>
  <c r="J204" i="6"/>
  <c r="G204" i="6"/>
  <c r="H204" i="6"/>
  <c r="I204" i="6"/>
  <c r="A206" i="6"/>
  <c r="B205" i="6"/>
  <c r="I63" i="6"/>
  <c r="F63" i="6"/>
  <c r="B64" i="6"/>
  <c r="G63" i="6"/>
  <c r="J63" i="6"/>
  <c r="H63" i="6"/>
  <c r="G205" i="6" l="1"/>
  <c r="I205" i="6"/>
  <c r="F205" i="6"/>
  <c r="H205" i="6"/>
  <c r="J205" i="6"/>
  <c r="A207" i="6"/>
  <c r="B206" i="6"/>
  <c r="I64" i="6"/>
  <c r="F64" i="6"/>
  <c r="H64" i="6"/>
  <c r="J64" i="6"/>
  <c r="G64" i="6"/>
  <c r="B65" i="6"/>
  <c r="G206" i="6" l="1"/>
  <c r="F206" i="6"/>
  <c r="H206" i="6"/>
  <c r="I206" i="6"/>
  <c r="J206" i="6"/>
  <c r="A208" i="6"/>
  <c r="B207" i="6"/>
  <c r="I65" i="6"/>
  <c r="F65" i="6"/>
  <c r="H65" i="6"/>
  <c r="G65" i="6"/>
  <c r="J65" i="6"/>
  <c r="B66" i="6"/>
  <c r="G207" i="6" l="1"/>
  <c r="J207" i="6"/>
  <c r="F207" i="6"/>
  <c r="H207" i="6"/>
  <c r="I207" i="6"/>
  <c r="A209" i="6"/>
  <c r="B208" i="6"/>
  <c r="I66" i="6"/>
  <c r="F66" i="6"/>
  <c r="H66" i="6"/>
  <c r="G66" i="6"/>
  <c r="J66" i="6"/>
  <c r="B67" i="6"/>
  <c r="H208" i="6" l="1"/>
  <c r="F208" i="6"/>
  <c r="G208" i="6"/>
  <c r="I208" i="6"/>
  <c r="J208" i="6"/>
  <c r="B209" i="6"/>
  <c r="I67" i="6"/>
  <c r="F67" i="6"/>
  <c r="H67" i="6"/>
  <c r="J67" i="6"/>
  <c r="G67" i="6"/>
  <c r="B68" i="6"/>
  <c r="G209" i="6" l="1"/>
  <c r="F209" i="6"/>
  <c r="H209" i="6"/>
  <c r="J209" i="6"/>
  <c r="I209" i="6"/>
  <c r="A211" i="6"/>
  <c r="B210" i="6"/>
  <c r="I68" i="6"/>
  <c r="F68" i="6"/>
  <c r="J68" i="6"/>
  <c r="G68" i="6"/>
  <c r="H68" i="6"/>
  <c r="B69" i="6"/>
  <c r="I210" i="6" l="1"/>
  <c r="F210" i="6"/>
  <c r="G210" i="6"/>
  <c r="H210" i="6"/>
  <c r="J210" i="6"/>
  <c r="B211" i="6"/>
  <c r="I69" i="6"/>
  <c r="F69" i="6"/>
  <c r="J69" i="6"/>
  <c r="H69" i="6"/>
  <c r="G69" i="6"/>
  <c r="B70" i="6"/>
  <c r="G211" i="6" l="1"/>
  <c r="H211" i="6"/>
  <c r="F211" i="6"/>
  <c r="J211" i="6"/>
  <c r="I211" i="6"/>
  <c r="A213" i="6"/>
  <c r="B212" i="6"/>
  <c r="I70" i="6"/>
  <c r="F70" i="6"/>
  <c r="G70" i="6"/>
  <c r="H70" i="6"/>
  <c r="J70" i="6"/>
  <c r="B71" i="6"/>
  <c r="F212" i="6" l="1"/>
  <c r="J212" i="6"/>
  <c r="G212" i="6"/>
  <c r="H212" i="6"/>
  <c r="I212" i="6"/>
  <c r="B213" i="6"/>
  <c r="I71" i="6"/>
  <c r="F71" i="6"/>
  <c r="B72" i="6"/>
  <c r="J71" i="6"/>
  <c r="G71" i="6"/>
  <c r="H71" i="6"/>
  <c r="G213" i="6" l="1"/>
  <c r="J213" i="6"/>
  <c r="F213" i="6"/>
  <c r="I213" i="6"/>
  <c r="H213" i="6"/>
  <c r="B214" i="6"/>
  <c r="I72" i="6"/>
  <c r="F72" i="6"/>
  <c r="J72" i="6"/>
  <c r="H72" i="6"/>
  <c r="G72" i="6"/>
  <c r="B73" i="6"/>
  <c r="H214" i="6" l="1"/>
  <c r="I214" i="6"/>
  <c r="F214" i="6"/>
  <c r="G214" i="6"/>
  <c r="J214" i="6"/>
  <c r="B215" i="6"/>
  <c r="I73" i="6"/>
  <c r="F73" i="6"/>
  <c r="B74" i="6"/>
  <c r="J73" i="6"/>
  <c r="G73" i="6"/>
  <c r="H73" i="6"/>
  <c r="G215" i="6" l="1"/>
  <c r="F215" i="6"/>
  <c r="H215" i="6"/>
  <c r="I215" i="6"/>
  <c r="J215" i="6"/>
  <c r="B216" i="6"/>
  <c r="I74" i="6"/>
  <c r="F74" i="6"/>
  <c r="B75" i="6"/>
  <c r="H74" i="6"/>
  <c r="G74" i="6"/>
  <c r="J74" i="6"/>
  <c r="I216" i="6" l="1"/>
  <c r="F216" i="6"/>
  <c r="J216" i="6"/>
  <c r="H216" i="6"/>
  <c r="G216" i="6"/>
  <c r="B217" i="6"/>
  <c r="I75" i="6"/>
  <c r="F75" i="6"/>
  <c r="B76" i="6"/>
  <c r="J75" i="6"/>
  <c r="G75" i="6"/>
  <c r="H75" i="6"/>
  <c r="G217" i="6" l="1"/>
  <c r="H217" i="6"/>
  <c r="I217" i="6"/>
  <c r="F217" i="6"/>
  <c r="J217" i="6"/>
  <c r="B218" i="6"/>
  <c r="I76" i="6"/>
  <c r="F76" i="6"/>
  <c r="B77" i="6"/>
  <c r="J76" i="6"/>
  <c r="H76" i="6"/>
  <c r="G76" i="6"/>
  <c r="B219" i="6" l="1"/>
  <c r="F218" i="6"/>
  <c r="J218" i="6"/>
  <c r="G218" i="6"/>
  <c r="H218" i="6"/>
  <c r="I218" i="6"/>
  <c r="I77" i="6"/>
  <c r="F77" i="6"/>
  <c r="G77" i="6"/>
  <c r="H77" i="6"/>
  <c r="J77" i="6"/>
  <c r="B78" i="6"/>
  <c r="G219" i="6" l="1"/>
  <c r="I219" i="6"/>
  <c r="J219" i="6"/>
  <c r="H219" i="6"/>
  <c r="F219" i="6"/>
  <c r="B220" i="6"/>
  <c r="I78" i="6"/>
  <c r="F78" i="6"/>
  <c r="B79" i="6"/>
  <c r="J78" i="6"/>
  <c r="G78" i="6"/>
  <c r="H78" i="6"/>
  <c r="G220" i="6" l="1"/>
  <c r="H220" i="6"/>
  <c r="J220" i="6"/>
  <c r="F220" i="6"/>
  <c r="I220" i="6"/>
  <c r="B221" i="6"/>
  <c r="I79" i="6"/>
  <c r="F79" i="6"/>
  <c r="G79" i="6"/>
  <c r="H79" i="6"/>
  <c r="J79" i="6"/>
  <c r="B80" i="6"/>
  <c r="G221" i="6" l="1"/>
  <c r="J221" i="6"/>
  <c r="F221" i="6"/>
  <c r="H221" i="6"/>
  <c r="I221" i="6"/>
  <c r="B222" i="6"/>
  <c r="I80" i="6"/>
  <c r="F80" i="6"/>
  <c r="H80" i="6"/>
  <c r="G80" i="6"/>
  <c r="J80" i="6"/>
  <c r="B81" i="6"/>
  <c r="H222" i="6" l="1"/>
  <c r="I222" i="6"/>
  <c r="G222" i="6"/>
  <c r="J222" i="6"/>
  <c r="F222" i="6"/>
  <c r="B223" i="6"/>
  <c r="I81" i="6"/>
  <c r="F81" i="6"/>
  <c r="J81" i="6"/>
  <c r="H81" i="6"/>
  <c r="G81" i="6"/>
  <c r="B82" i="6"/>
  <c r="G223" i="6" l="1"/>
  <c r="F223" i="6"/>
  <c r="H223" i="6"/>
  <c r="J223" i="6"/>
  <c r="I223" i="6"/>
  <c r="B224" i="6"/>
  <c r="I82" i="6"/>
  <c r="F82" i="6"/>
  <c r="H82" i="6"/>
  <c r="G82" i="6"/>
  <c r="J82" i="6"/>
  <c r="B83" i="6"/>
  <c r="I224" i="6" l="1"/>
  <c r="F224" i="6"/>
  <c r="J224" i="6"/>
  <c r="G224" i="6"/>
  <c r="H224" i="6"/>
  <c r="B226" i="6"/>
  <c r="B225" i="6"/>
  <c r="I83" i="6"/>
  <c r="F83" i="6"/>
  <c r="H83" i="6"/>
  <c r="G83" i="6"/>
  <c r="J83" i="6"/>
  <c r="B84" i="6"/>
  <c r="G225" i="6" l="1"/>
  <c r="H225" i="6"/>
  <c r="I225" i="6"/>
  <c r="F225" i="6"/>
  <c r="J225" i="6"/>
  <c r="F226" i="6"/>
  <c r="J226" i="6"/>
  <c r="G226" i="6"/>
  <c r="I226" i="6"/>
  <c r="H226" i="6"/>
  <c r="I84" i="6"/>
  <c r="F84" i="6"/>
  <c r="J84" i="6"/>
  <c r="G84" i="6"/>
  <c r="H84" i="6"/>
  <c r="B85" i="6"/>
  <c r="I85" i="6" l="1"/>
  <c r="F85" i="6"/>
  <c r="G85" i="6"/>
  <c r="H85" i="6"/>
  <c r="J85" i="6"/>
  <c r="B86" i="6"/>
  <c r="I86" i="6" l="1"/>
  <c r="F86" i="6"/>
  <c r="B87" i="6"/>
  <c r="H86" i="6"/>
  <c r="G86" i="6"/>
  <c r="J86" i="6"/>
  <c r="I87" i="6" l="1"/>
  <c r="F87" i="6"/>
  <c r="B88" i="6"/>
  <c r="J87" i="6"/>
  <c r="G87" i="6"/>
  <c r="H87" i="6"/>
  <c r="I88" i="6" l="1"/>
  <c r="F88" i="6"/>
  <c r="H88" i="6"/>
  <c r="G88" i="6"/>
  <c r="J88" i="6"/>
  <c r="B89" i="6"/>
  <c r="I89" i="6" l="1"/>
  <c r="F89" i="6"/>
  <c r="H89" i="6"/>
  <c r="J89" i="6"/>
  <c r="G89" i="6"/>
  <c r="B90" i="6"/>
  <c r="I90" i="6" l="1"/>
  <c r="F90" i="6"/>
  <c r="G90" i="6"/>
  <c r="J90" i="6"/>
  <c r="H90" i="6"/>
  <c r="B91" i="6"/>
  <c r="I91" i="6" l="1"/>
  <c r="F91" i="6"/>
  <c r="B92" i="6"/>
  <c r="H91" i="6"/>
  <c r="J91" i="6"/>
  <c r="G91" i="6"/>
  <c r="I92" i="6" l="1"/>
  <c r="F92" i="6"/>
  <c r="B93" i="6"/>
  <c r="J92" i="6"/>
  <c r="H92" i="6"/>
  <c r="G92" i="6"/>
  <c r="I93" i="6" l="1"/>
  <c r="F93" i="6"/>
  <c r="B95" i="6"/>
  <c r="B94" i="6"/>
  <c r="G93" i="6"/>
  <c r="H93" i="6"/>
  <c r="J93" i="6"/>
  <c r="I94" i="6" l="1"/>
  <c r="F94" i="6"/>
  <c r="I95" i="6"/>
  <c r="F95" i="6"/>
  <c r="G94" i="6"/>
  <c r="H94" i="6"/>
  <c r="J94" i="6"/>
  <c r="J95" i="6"/>
  <c r="G95" i="6"/>
  <c r="H9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<sst xmlns="http://schemas.openxmlformats.org/spreadsheetml/2006/main" count="2997" uniqueCount="1029">
  <si>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</si>
  <si>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</si>
  <si>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</si>
  <si>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</si>
  <si>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</si>
  <si>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</si>
  <si>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</si>
  <si>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</si>
  <si>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</si>
  <si>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</si>
  <si>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</si>
  <si>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</si>
  <si>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</si>
  <si>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</si>
  <si>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</si>
  <si>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</si>
  <si>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</si>
  <si>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</si>
  <si>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</si>
  <si>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</si>
  <si>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</si>
  <si>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</si>
  <si>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</si>
  <si>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</si>
  <si>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</si>
  <si>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</si>
  <si>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</si>
  <si>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</si>
  <si>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</si>
  <si>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</si>
  <si>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</si>
  <si>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</si>
  <si>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</si>
  <si>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</si>
  <si>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</si>
  <si>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</si>
  <si>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</si>
  <si>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</si>
  <si>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</si>
  <si>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</si>
  <si>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</si>
  <si>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</si>
  <si>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</si>
  <si>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</si>
  <si>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</si>
  <si>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</si>
  <si>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</si>
  <si>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</si>
  <si>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</si>
  <si>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</si>
  <si>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</si>
  <si>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</si>
  <si>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</si>
  <si>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</si>
  <si>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</si>
  <si>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</si>
  <si>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</si>
  <si>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</si>
  <si>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</si>
  <si>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</si>
  <si>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</si>
  <si>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</si>
  <si>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</si>
  <si>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</si>
  <si>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</si>
  <si>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</si>
  <si>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</si>
  <si>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</si>
  <si>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</si>
  <si>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</si>
  <si>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</si>
  <si>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</si>
  <si>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</si>
  <si>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</si>
  <si>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</si>
  <si>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</si>
  <si>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</si>
  <si>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</si>
  <si>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</si>
  <si>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</si>
  <si>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</si>
  <si>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</si>
  <si>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</si>
  <si>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</si>
  <si>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</si>
  <si>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</si>
  <si>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</si>
  <si>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</si>
  <si>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</si>
  <si>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</si>
  <si>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</si>
  <si>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</si>
  <si>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</si>
  <si>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</si>
  <si>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</si>
  <si>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</si>
  <si>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</si>
  <si>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</si>
  <si>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</si>
  <si>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</si>
  <si>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</si>
  <si>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</si>
  <si>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</si>
  <si>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</si>
  <si>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</si>
  <si>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</si>
  <si>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</si>
  <si>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</si>
  <si>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</si>
  <si>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</si>
  <si>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</si>
  <si>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</si>
  <si>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</si>
  <si>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</si>
  <si>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</si>
  <si>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</si>
  <si>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</si>
  <si>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</si>
  <si>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</si>
  <si>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</si>
  <si>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</si>
  <si>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</si>
  <si>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</si>
  <si>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</si>
  <si>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</si>
  <si>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</si>
  <si>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</si>
  <si>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</si>
  <si>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</si>
  <si>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</si>
  <si>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</si>
  <si>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</si>
  <si>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</si>
  <si>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</si>
  <si>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</si>
  <si>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</si>
  <si>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</si>
  <si>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</si>
  <si>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</si>
  <si>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</si>
  <si>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</si>
  <si>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</si>
  <si>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</si>
  <si>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</si>
  <si>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</si>
  <si>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</si>
  <si>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</si>
  <si>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</si>
  <si>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</si>
  <si>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</si>
  <si>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</si>
  <si>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</si>
  <si>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</si>
  <si>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</si>
  <si>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</si>
  <si>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</si>
  <si>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</si>
  <si>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</si>
  <si>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</si>
  <si>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</si>
  <si>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</si>
  <si>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</si>
  <si>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</si>
  <si>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</si>
  <si>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</si>
  <si>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</si>
  <si>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</si>
  <si>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</si>
  <si>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</si>
  <si>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</si>
  <si>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</si>
  <si>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</si>
  <si>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</si>
  <si>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</si>
  <si>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</si>
  <si>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</si>
  <si>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</si>
  <si>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</si>
  <si>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</si>
  <si>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</si>
  <si>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</si>
  <si>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</si>
  <si>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</si>
  <si>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</si>
  <si>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</si>
  <si>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</si>
  <si>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</si>
  <si>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</si>
  <si>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</si>
  <si>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</si>
  <si>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</si>
  <si>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</si>
  <si>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</si>
  <si>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</si>
  <si>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</si>
  <si>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</si>
  <si>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</si>
  <si>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</si>
  <si>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</si>
  <si>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</si>
  <si>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</si>
  <si>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</si>
  <si>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</si>
  <si>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</si>
  <si>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</si>
  <si>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</si>
  <si>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</si>
  <si>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</si>
  <si>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</si>
  <si>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HILLS</t>
  </si>
  <si>
    <t>DUSTIN</t>
  </si>
  <si>
    <t>rtdc.l.rtdc.4046:itc</t>
  </si>
  <si>
    <t>rtdc.l.rtdc.4045:itc</t>
  </si>
  <si>
    <t>Uncaught Wi-MAX GREP</t>
  </si>
  <si>
    <t>MCREYNOLDS</t>
  </si>
  <si>
    <t>KYLE</t>
  </si>
  <si>
    <t>204:451</t>
  </si>
  <si>
    <t>204:457</t>
  </si>
  <si>
    <t>204:460</t>
  </si>
  <si>
    <t>BROWN</t>
  </si>
  <si>
    <t>JACOB</t>
  </si>
  <si>
    <t>COMELLA</t>
  </si>
  <si>
    <t>JUSTIN</t>
  </si>
  <si>
    <t>204:453</t>
  </si>
  <si>
    <t>204:446</t>
  </si>
  <si>
    <t>204:455</t>
  </si>
  <si>
    <t>204:139</t>
  </si>
  <si>
    <t>204:141</t>
  </si>
  <si>
    <t>rtdc.l.rtdc.4012:itc</t>
  </si>
  <si>
    <t>204:156</t>
  </si>
  <si>
    <t>204:233310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</si>
  <si>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</si>
  <si>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</si>
  <si>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</si>
  <si>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</si>
  <si>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</si>
  <si>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</si>
  <si>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</si>
  <si>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</si>
  <si>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</si>
  <si>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</si>
  <si>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204:232994</t>
  </si>
  <si>
    <t>rtdc.l.rtdc.4050:itc</t>
  </si>
  <si>
    <t>rtdc.l.rtdc.4049:itc</t>
  </si>
  <si>
    <t>204:233314</t>
  </si>
  <si>
    <t>204:233304</t>
  </si>
  <si>
    <t>204:233299</t>
  </si>
  <si>
    <t>rtdc.l.rtdc.4014:itc</t>
  </si>
  <si>
    <t>60-23</t>
  </si>
  <si>
    <t>81-23</t>
  </si>
  <si>
    <t>311-23</t>
  </si>
  <si>
    <t>313-23</t>
  </si>
  <si>
    <t>204:233312</t>
  </si>
  <si>
    <t>204:467</t>
  </si>
  <si>
    <t>204:473</t>
  </si>
  <si>
    <t>204:233000</t>
  </si>
  <si>
    <t>204:134</t>
  </si>
  <si>
    <t>204:233004</t>
  </si>
  <si>
    <t>204:442</t>
  </si>
  <si>
    <t>204:161</t>
  </si>
  <si>
    <t>204:233295</t>
  </si>
  <si>
    <t>204:232991</t>
  </si>
  <si>
    <t>204:449</t>
  </si>
  <si>
    <t>204:477</t>
  </si>
  <si>
    <t>rtdc.l.rtdc.4020:itc</t>
  </si>
  <si>
    <t>204:232978</t>
  </si>
  <si>
    <t>204:469</t>
  </si>
  <si>
    <t>204:233303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</si>
  <si>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</si>
  <si>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</si>
  <si>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</si>
  <si>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</si>
  <si>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</si>
  <si>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</si>
  <si>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</si>
  <si>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</si>
  <si>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</si>
  <si>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</si>
  <si>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</si>
  <si>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</si>
  <si>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</si>
  <si>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</si>
  <si>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</si>
  <si>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</si>
  <si>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</si>
  <si>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</si>
  <si>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</si>
  <si>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</si>
  <si>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</si>
  <si>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</si>
  <si>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</si>
  <si>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</si>
  <si>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</si>
  <si>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</si>
  <si>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</si>
  <si>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</si>
  <si>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</si>
  <si>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</si>
  <si>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</si>
  <si>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</si>
  <si>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</si>
  <si>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</si>
  <si>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</si>
  <si>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</si>
  <si>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</si>
  <si>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</si>
  <si>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</si>
  <si>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</si>
  <si>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</si>
  <si>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</si>
  <si>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</si>
  <si>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</si>
  <si>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</si>
  <si>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</si>
  <si>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</si>
  <si>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</si>
  <si>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</si>
  <si>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</si>
  <si>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</si>
  <si>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</si>
  <si>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</si>
  <si>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</si>
  <si>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</si>
  <si>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</si>
  <si>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</si>
  <si>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</si>
  <si>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</si>
  <si>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</si>
  <si>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</si>
  <si>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</si>
  <si>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</si>
  <si>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</si>
  <si>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</si>
  <si>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</si>
  <si>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</si>
  <si>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</si>
  <si>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</si>
  <si>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</si>
  <si>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</si>
  <si>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</si>
  <si>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</si>
  <si>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</si>
  <si>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</si>
  <si>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</si>
  <si>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</si>
  <si>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</si>
  <si>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</si>
  <si>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</si>
  <si>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</si>
  <si>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</si>
  <si>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</si>
  <si>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</si>
  <si>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</si>
  <si>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</si>
  <si>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</si>
  <si>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</si>
  <si>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</si>
  <si>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</si>
  <si>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</si>
  <si>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</si>
  <si>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</si>
  <si>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</si>
  <si>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</si>
  <si>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</si>
  <si>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</si>
  <si>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</si>
  <si>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</si>
  <si>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</si>
  <si>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</si>
  <si>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</si>
  <si>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</si>
  <si>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</si>
  <si>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</si>
  <si>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</si>
  <si>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</si>
  <si>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</si>
  <si>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</si>
  <si>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</si>
  <si>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</si>
  <si>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</si>
  <si>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</si>
  <si>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</si>
  <si>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</si>
  <si>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</si>
  <si>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</si>
  <si>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</si>
  <si>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</si>
  <si>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</si>
  <si>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</si>
  <si>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</si>
  <si>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</si>
  <si>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</si>
  <si>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</si>
  <si>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</si>
  <si>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</si>
  <si>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</si>
  <si>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</si>
  <si>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</si>
  <si>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</si>
  <si>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</si>
  <si>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rtdc.l.rtdc.4004:itc</t>
  </si>
  <si>
    <t>rtdc.l.rtdc.4003:itc</t>
  </si>
  <si>
    <t>JOHN</t>
  </si>
  <si>
    <t>204:232982</t>
  </si>
  <si>
    <t>204:143</t>
  </si>
  <si>
    <t>rtdc.l.rtdc.4029:itc</t>
  </si>
  <si>
    <t>rtdc.l.rtdc.4010:itc</t>
  </si>
  <si>
    <t>rtdc.l.rtdc.4009:itc</t>
  </si>
  <si>
    <t>partly-cloudy-night</t>
  </si>
  <si>
    <t>Partly Cloudy</t>
  </si>
  <si>
    <t>partly-cloudy-day</t>
  </si>
  <si>
    <t>204:160</t>
  </si>
  <si>
    <t>204:232993</t>
  </si>
  <si>
    <t>204:233300</t>
  </si>
  <si>
    <t>204:437</t>
  </si>
  <si>
    <t>204:232980</t>
  </si>
  <si>
    <t>204:232989</t>
  </si>
  <si>
    <t>204:471</t>
  </si>
  <si>
    <t>SIGNAL</t>
  </si>
  <si>
    <t>Signal based authority (5)</t>
  </si>
  <si>
    <t>rtdc.l.rtdc.4051:itc</t>
  </si>
  <si>
    <t>Y</t>
  </si>
  <si>
    <t>STARKS</t>
  </si>
  <si>
    <t>ANGELINA</t>
  </si>
  <si>
    <t>BONDS</t>
  </si>
  <si>
    <t>REYNALDO</t>
  </si>
  <si>
    <t>ROCHA</t>
  </si>
  <si>
    <t>YAOTL</t>
  </si>
  <si>
    <t>CLARK</t>
  </si>
  <si>
    <t>KATHLEEN</t>
  </si>
  <si>
    <t>STORY</t>
  </si>
  <si>
    <t>SAMANTHA</t>
  </si>
  <si>
    <t>204:475</t>
  </si>
  <si>
    <t>204:232981</t>
  </si>
  <si>
    <t>204:233308</t>
  </si>
  <si>
    <t>300:23310</t>
  </si>
  <si>
    <t>204:682</t>
  </si>
  <si>
    <t>:.+((SYSTEM_STATE.+slice.+state.+changed )|(ment ac)|(multiple cpu faults)|(system.+state.+changed )|(\[timeout)|(PRM\|1\|D)|(kpr)|(kdp)|(\|lc)|(penalty))</t>
  </si>
  <si>
    <t>204:678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</si>
  <si>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</si>
  <si>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</si>
  <si>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</si>
  <si>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</si>
  <si>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</si>
  <si>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</si>
  <si>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</si>
  <si>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</si>
  <si>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</si>
  <si>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</si>
  <si>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</si>
  <si>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</si>
  <si>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</si>
  <si>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</si>
  <si>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</si>
  <si>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</si>
  <si>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</si>
  <si>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</si>
  <si>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</si>
  <si>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</si>
  <si>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</si>
  <si>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</si>
  <si>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</si>
  <si>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</si>
  <si>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rtdc.l.rtdc.4041:itc</t>
  </si>
  <si>
    <t>rtdc.l.rtdc.4042:itc</t>
  </si>
  <si>
    <t>rtdc.l.rtdc.4039:itc</t>
  </si>
  <si>
    <t>rtdc.l.rtdc.4063:itc</t>
  </si>
  <si>
    <t>GEBRETEKLE</t>
  </si>
  <si>
    <t>DAGNEW</t>
  </si>
  <si>
    <t>rtdc.l.rtdc.4040:itc</t>
  </si>
  <si>
    <t>LOZA</t>
  </si>
  <si>
    <t>FIDEL</t>
  </si>
  <si>
    <t>DE LA ROSA</t>
  </si>
  <si>
    <t>ALEX</t>
  </si>
  <si>
    <t>BRUDER</t>
  </si>
  <si>
    <t>RICHARD</t>
  </si>
  <si>
    <t>SWANSON</t>
  </si>
  <si>
    <t>BRYCE</t>
  </si>
  <si>
    <t>204:464</t>
  </si>
  <si>
    <t>204:233306</t>
  </si>
  <si>
    <t>204:233002</t>
  </si>
  <si>
    <t>204:232996</t>
  </si>
  <si>
    <t>204:233293</t>
  </si>
  <si>
    <t>204:233288</t>
  </si>
  <si>
    <t>204:165</t>
  </si>
  <si>
    <t>204:438</t>
  </si>
  <si>
    <t>204:233284</t>
  </si>
  <si>
    <t>204:1002</t>
  </si>
  <si>
    <t>204:1027</t>
  </si>
  <si>
    <t>204:974</t>
  </si>
  <si>
    <t>204:699</t>
  </si>
  <si>
    <t>204:685</t>
  </si>
  <si>
    <t>300:58626</t>
  </si>
  <si>
    <t>204:971</t>
  </si>
  <si>
    <t>204:687</t>
  </si>
  <si>
    <t>204:972</t>
  </si>
  <si>
    <t>rtdc.l.rtdc.4018:itc</t>
  </si>
  <si>
    <t>rtdc.l.rtdc.4008:itc</t>
  </si>
  <si>
    <t>rtdc.l.rtdc.4007:itc</t>
  </si>
  <si>
    <t>SPECTOR</t>
  </si>
  <si>
    <t>rtdc.l.rtdc.4017:itc</t>
  </si>
  <si>
    <t>ROBINSON</t>
  </si>
  <si>
    <t>KADDIBA</t>
  </si>
  <si>
    <t>SHOOK</t>
  </si>
  <si>
    <t>SMITH</t>
  </si>
  <si>
    <t>BRANDNER</t>
  </si>
  <si>
    <t>MELINDA</t>
  </si>
  <si>
    <t>LOPES</t>
  </si>
  <si>
    <t>KIMBERLY</t>
  </si>
  <si>
    <t>58-09</t>
  </si>
  <si>
    <t>57-09</t>
  </si>
  <si>
    <t>242-09</t>
  </si>
  <si>
    <t>309-09</t>
  </si>
  <si>
    <t>244-09</t>
  </si>
  <si>
    <t>311-09</t>
  </si>
  <si>
    <t>313-09</t>
  </si>
  <si>
    <t>Mostly Cloudy</t>
  </si>
  <si>
    <t>204:233332</t>
  </si>
  <si>
    <t>204:735</t>
  </si>
  <si>
    <t>204:233287</t>
  </si>
  <si>
    <t>204:426</t>
  </si>
  <si>
    <t>204:232967</t>
  </si>
  <si>
    <t>204:1171</t>
  </si>
  <si>
    <t>204:232985</t>
  </si>
  <si>
    <t>204:233323</t>
  </si>
  <si>
    <t>204:232959</t>
  </si>
  <si>
    <t>204:480</t>
  </si>
  <si>
    <t>204:233317</t>
  </si>
  <si>
    <t>204:233305</t>
  </si>
  <si>
    <t>204:233309</t>
  </si>
  <si>
    <t>204:233342</t>
  </si>
  <si>
    <t>204:233331</t>
  </si>
  <si>
    <t>204:233278</t>
  </si>
  <si>
    <t>204:232955</t>
  </si>
  <si>
    <t>204:462</t>
  </si>
  <si>
    <t>204:233319</t>
  </si>
  <si>
    <t>300:23295</t>
  </si>
  <si>
    <t>300:23346</t>
  </si>
  <si>
    <t>300:58929</t>
  </si>
  <si>
    <t>204:1021</t>
  </si>
  <si>
    <t>300:58928</t>
  </si>
  <si>
    <t>204:719</t>
  </si>
  <si>
    <t>300:58611</t>
  </si>
  <si>
    <t>204:733</t>
  </si>
  <si>
    <t>300:28782</t>
  </si>
  <si>
    <t>300:58679</t>
  </si>
  <si>
    <t>300:58995</t>
  </si>
  <si>
    <t>300:58992</t>
  </si>
  <si>
    <t>204:731</t>
  </si>
  <si>
    <t>204:1016</t>
  </si>
  <si>
    <t>300:58675</t>
  </si>
  <si>
    <t>204:985</t>
  </si>
  <si>
    <t>300:58634</t>
  </si>
  <si>
    <t>204:997</t>
  </si>
  <si>
    <t>204:979</t>
  </si>
  <si>
    <t>300:58986</t>
  </si>
  <si>
    <t>204:986</t>
  </si>
  <si>
    <t>start /low /b %USERPROFILE%\Documents\GitHub\eaglep3\Utilities\DownloadLogsFromS3.py --loco 4003 --day 2017-03-10</t>
  </si>
  <si>
    <t>start /low /b %USERPROFILE%\Documents\GitHub\eaglep3\Utilities\DownloadLogsFromS3.py --loco 4012 --day 2017-03-10</t>
  </si>
  <si>
    <t>start /low /b %USERPROFILE%\Documents\GitHub\eaglep3\Utilities\DownloadLogsFromS3.py --loco 4011 --day 2017-03-10</t>
  </si>
  <si>
    <t>Onboard in-route failure</t>
  </si>
  <si>
    <t>Early arrival</t>
  </si>
  <si>
    <t>Form C</t>
  </si>
  <si>
    <t>51-10</t>
  </si>
  <si>
    <t>rtdc.l.rtdc.4052:itc</t>
  </si>
  <si>
    <t>306-10</t>
  </si>
  <si>
    <t>107-10</t>
  </si>
  <si>
    <t>rtdc.l.rtdc.4032:itc</t>
  </si>
  <si>
    <t>104-10</t>
  </si>
  <si>
    <t>108-10</t>
  </si>
  <si>
    <t>114-10</t>
  </si>
  <si>
    <t>120-10</t>
  </si>
  <si>
    <t>139-10</t>
  </si>
  <si>
    <t>132-10</t>
  </si>
  <si>
    <t>rtdc.l.rtdc.4031:itc</t>
  </si>
  <si>
    <t>147-10</t>
  </si>
  <si>
    <t>142-10</t>
  </si>
  <si>
    <t>149-10</t>
  </si>
  <si>
    <t>50-10</t>
  </si>
  <si>
    <t>154-10</t>
  </si>
  <si>
    <t>rtdc.l.rtdc.4028:itc</t>
  </si>
  <si>
    <t>158-10</t>
  </si>
  <si>
    <t>162-10</t>
  </si>
  <si>
    <t>164-10</t>
  </si>
  <si>
    <t>rtdc.l.rtdc.4053:itc</t>
  </si>
  <si>
    <t>173-10</t>
  </si>
  <si>
    <t>rtdc.l.rtdc.4054:itc</t>
  </si>
  <si>
    <t>174-10</t>
  </si>
  <si>
    <t>183-10</t>
  </si>
  <si>
    <t>176-10</t>
  </si>
  <si>
    <t>184-10</t>
  </si>
  <si>
    <t>186-10</t>
  </si>
  <si>
    <t>188-10</t>
  </si>
  <si>
    <t>rtdc.l.rtdc.4027:itc</t>
  </si>
  <si>
    <t>199-10</t>
  </si>
  <si>
    <t>828-10</t>
  </si>
  <si>
    <t>NON SYNCHRONIZED SUBDIV</t>
  </si>
  <si>
    <t>PTC function (8)</t>
  </si>
  <si>
    <t>190-10</t>
  </si>
  <si>
    <t>196-10</t>
  </si>
  <si>
    <t>205-10</t>
  </si>
  <si>
    <t>202-10</t>
  </si>
  <si>
    <t>204-10</t>
  </si>
  <si>
    <t>213-10</t>
  </si>
  <si>
    <t>836-10</t>
  </si>
  <si>
    <t>210-10</t>
  </si>
  <si>
    <t>214-10</t>
  </si>
  <si>
    <t>218-10</t>
  </si>
  <si>
    <t>224-10</t>
  </si>
  <si>
    <t>233-10</t>
  </si>
  <si>
    <t>239-10</t>
  </si>
  <si>
    <t>240-10</t>
  </si>
  <si>
    <t>302-10</t>
  </si>
  <si>
    <t>BADERTSCHER</t>
  </si>
  <si>
    <t>DIANE</t>
  </si>
  <si>
    <t>101-10</t>
  </si>
  <si>
    <t>304-10</t>
  </si>
  <si>
    <t>DAVIS</t>
  </si>
  <si>
    <t>WENDY</t>
  </si>
  <si>
    <t>103-10</t>
  </si>
  <si>
    <t>308-10</t>
  </si>
  <si>
    <t>310-10</t>
  </si>
  <si>
    <t>102-10</t>
  </si>
  <si>
    <t>109-10</t>
  </si>
  <si>
    <t>901-10</t>
  </si>
  <si>
    <t>111-10</t>
  </si>
  <si>
    <t>800-10</t>
  </si>
  <si>
    <t>113-10</t>
  </si>
  <si>
    <t>115-10</t>
  </si>
  <si>
    <t>801-10</t>
  </si>
  <si>
    <t>110-10</t>
  </si>
  <si>
    <t>117-10</t>
  </si>
  <si>
    <t>rtdc.l.rtdc.4005:itc</t>
  </si>
  <si>
    <t>902-10</t>
  </si>
  <si>
    <t>112-10</t>
  </si>
  <si>
    <t>119-10</t>
  </si>
  <si>
    <t>802-10</t>
  </si>
  <si>
    <t>rtdc.l.rtdc.4006:itc</t>
  </si>
  <si>
    <t>803-10</t>
  </si>
  <si>
    <t>116-10</t>
  </si>
  <si>
    <t>805-10</t>
  </si>
  <si>
    <t>123-10</t>
  </si>
  <si>
    <t>804-10</t>
  </si>
  <si>
    <t>118-10</t>
  </si>
  <si>
    <t>125-10</t>
  </si>
  <si>
    <t>807-10</t>
  </si>
  <si>
    <t>127-10</t>
  </si>
  <si>
    <t>122-10</t>
  </si>
  <si>
    <t>806-10</t>
  </si>
  <si>
    <t>129-10</t>
  </si>
  <si>
    <t>124-10</t>
  </si>
  <si>
    <t>131-10</t>
  </si>
  <si>
    <t>809-10</t>
  </si>
  <si>
    <t>126-10</t>
  </si>
  <si>
    <t>808-10</t>
  </si>
  <si>
    <t>128-10</t>
  </si>
  <si>
    <t>133-10</t>
  </si>
  <si>
    <t>811-10</t>
  </si>
  <si>
    <t>810-10</t>
  </si>
  <si>
    <t>130-10</t>
  </si>
  <si>
    <t>137-10</t>
  </si>
  <si>
    <t>903-10</t>
  </si>
  <si>
    <t>134-10</t>
  </si>
  <si>
    <t>812-10</t>
  </si>
  <si>
    <t>141-10</t>
  </si>
  <si>
    <t>136-10</t>
  </si>
  <si>
    <t>143-10</t>
  </si>
  <si>
    <t>813-10</t>
  </si>
  <si>
    <t>138-10</t>
  </si>
  <si>
    <t>140-10</t>
  </si>
  <si>
    <t>814-10</t>
  </si>
  <si>
    <t>144-10</t>
  </si>
  <si>
    <t>151-10</t>
  </si>
  <si>
    <t>815-10</t>
  </si>
  <si>
    <t>146-10</t>
  </si>
  <si>
    <t>153-10</t>
  </si>
  <si>
    <t>148-10</t>
  </si>
  <si>
    <t>155-10</t>
  </si>
  <si>
    <t>157-10</t>
  </si>
  <si>
    <t>816-10</t>
  </si>
  <si>
    <t>152-10</t>
  </si>
  <si>
    <t>817-10</t>
  </si>
  <si>
    <t>159-10</t>
  </si>
  <si>
    <t>STEWART</t>
  </si>
  <si>
    <t>161-10</t>
  </si>
  <si>
    <t>ROMERO</t>
  </si>
  <si>
    <t>CHAD</t>
  </si>
  <si>
    <t>156-10</t>
  </si>
  <si>
    <t>163-10</t>
  </si>
  <si>
    <t>818-10</t>
  </si>
  <si>
    <t>165-10</t>
  </si>
  <si>
    <t>160-10</t>
  </si>
  <si>
    <t>53-10</t>
  </si>
  <si>
    <t>819-10</t>
  </si>
  <si>
    <t>167-10</t>
  </si>
  <si>
    <t>ARVIDSON</t>
  </si>
  <si>
    <t>DANIEL</t>
  </si>
  <si>
    <t>169-10</t>
  </si>
  <si>
    <t>DELGADO</t>
  </si>
  <si>
    <t>DIANAH</t>
  </si>
  <si>
    <t>171-10</t>
  </si>
  <si>
    <t>820-10</t>
  </si>
  <si>
    <t>166-10</t>
  </si>
  <si>
    <t>168-10</t>
  </si>
  <si>
    <t>175-10</t>
  </si>
  <si>
    <t>170-10</t>
  </si>
  <si>
    <t>821-10</t>
  </si>
  <si>
    <t>177-10</t>
  </si>
  <si>
    <t>172-10</t>
  </si>
  <si>
    <t>179-10</t>
  </si>
  <si>
    <t>822-10</t>
  </si>
  <si>
    <t>181-10</t>
  </si>
  <si>
    <t>HOLCOMB</t>
  </si>
  <si>
    <t>KAMDEN</t>
  </si>
  <si>
    <t>823-10</t>
  </si>
  <si>
    <t>178-10</t>
  </si>
  <si>
    <t>185-10</t>
  </si>
  <si>
    <t>180-10</t>
  </si>
  <si>
    <t>182-10</t>
  </si>
  <si>
    <t>187-10</t>
  </si>
  <si>
    <t>824-10</t>
  </si>
  <si>
    <t>189-10</t>
  </si>
  <si>
    <t>825-10</t>
  </si>
  <si>
    <t>191-10</t>
  </si>
  <si>
    <t>193-10</t>
  </si>
  <si>
    <t>904-10</t>
  </si>
  <si>
    <t>195-10</t>
  </si>
  <si>
    <t>827-10</t>
  </si>
  <si>
    <t>826-10</t>
  </si>
  <si>
    <t>197-10</t>
  </si>
  <si>
    <t>192-10</t>
  </si>
  <si>
    <t>194-10</t>
  </si>
  <si>
    <t>201-10</t>
  </si>
  <si>
    <t>829-10</t>
  </si>
  <si>
    <t>203-10</t>
  </si>
  <si>
    <t>831-10</t>
  </si>
  <si>
    <t>830-10</t>
  </si>
  <si>
    <t>198-10</t>
  </si>
  <si>
    <t>200-10</t>
  </si>
  <si>
    <t>207-10</t>
  </si>
  <si>
    <t>833-10</t>
  </si>
  <si>
    <t>832-10</t>
  </si>
  <si>
    <t>209-10</t>
  </si>
  <si>
    <t>211-10</t>
  </si>
  <si>
    <t>835-10</t>
  </si>
  <si>
    <t>71-10</t>
  </si>
  <si>
    <t>206-10</t>
  </si>
  <si>
    <t>834-10</t>
  </si>
  <si>
    <t>208-10</t>
  </si>
  <si>
    <t>70-10</t>
  </si>
  <si>
    <t>76-10</t>
  </si>
  <si>
    <t>SAFIEF</t>
  </si>
  <si>
    <t>AEIMEN</t>
  </si>
  <si>
    <t>215-10</t>
  </si>
  <si>
    <t>837-10</t>
  </si>
  <si>
    <t>217-10</t>
  </si>
  <si>
    <t>STAMBAUGH</t>
  </si>
  <si>
    <t>212-10</t>
  </si>
  <si>
    <t>839-10</t>
  </si>
  <si>
    <t>219-10</t>
  </si>
  <si>
    <t>838-10</t>
  </si>
  <si>
    <t>216-10</t>
  </si>
  <si>
    <t>303-10</t>
  </si>
  <si>
    <t>221-10</t>
  </si>
  <si>
    <t>841-10</t>
  </si>
  <si>
    <t>DAVIDSON</t>
  </si>
  <si>
    <t>DAVID</t>
  </si>
  <si>
    <t>906-10</t>
  </si>
  <si>
    <t>305-10</t>
  </si>
  <si>
    <t>220-10</t>
  </si>
  <si>
    <t>223-10</t>
  </si>
  <si>
    <t>MACDONALD</t>
  </si>
  <si>
    <t>THOMAS</t>
  </si>
  <si>
    <t>840-10</t>
  </si>
  <si>
    <t>307-10</t>
  </si>
  <si>
    <t>222-10</t>
  </si>
  <si>
    <t>225-10</t>
  </si>
  <si>
    <t>843-10</t>
  </si>
  <si>
    <t>227-10</t>
  </si>
  <si>
    <t>80-10</t>
  </si>
  <si>
    <t>DUNCAN</t>
  </si>
  <si>
    <t>SHEILA</t>
  </si>
  <si>
    <t>842-10</t>
  </si>
  <si>
    <t>226-10</t>
  </si>
  <si>
    <t>229-10</t>
  </si>
  <si>
    <t>81-10</t>
  </si>
  <si>
    <t>845-10</t>
  </si>
  <si>
    <t>228-10</t>
  </si>
  <si>
    <t>231-10</t>
  </si>
  <si>
    <t>844-10</t>
  </si>
  <si>
    <t>230-10</t>
  </si>
  <si>
    <t>847-10</t>
  </si>
  <si>
    <t>232-10</t>
  </si>
  <si>
    <t>235-10</t>
  </si>
  <si>
    <t>73-10</t>
  </si>
  <si>
    <t>234-10</t>
  </si>
  <si>
    <t>908-10</t>
  </si>
  <si>
    <t>237-10</t>
  </si>
  <si>
    <t>236-10</t>
  </si>
  <si>
    <t>241-10</t>
  </si>
  <si>
    <t>238-10</t>
  </si>
  <si>
    <t>243-10</t>
  </si>
  <si>
    <t>242-10</t>
  </si>
  <si>
    <t>245-10</t>
  </si>
  <si>
    <t>309-10</t>
  </si>
  <si>
    <t>244-10</t>
  </si>
  <si>
    <t>311-10</t>
  </si>
  <si>
    <t>246-10</t>
  </si>
  <si>
    <t>313-10</t>
  </si>
  <si>
    <t>315-10</t>
  </si>
  <si>
    <t>cloudy</t>
  </si>
  <si>
    <t>Overcast</t>
  </si>
  <si>
    <t>clear-day</t>
  </si>
  <si>
    <t>Clear</t>
  </si>
  <si>
    <t>204:734</t>
  </si>
  <si>
    <t>204:233282</t>
  </si>
  <si>
    <t>204:232619</t>
  </si>
  <si>
    <t>204:132</t>
  </si>
  <si>
    <t>204:232668</t>
  </si>
  <si>
    <t>204:233224</t>
  </si>
  <si>
    <t>204:232902</t>
  </si>
  <si>
    <t>204:232987</t>
  </si>
  <si>
    <t>204:233286</t>
  </si>
  <si>
    <t>204:232963</t>
  </si>
  <si>
    <t>204:728</t>
  </si>
  <si>
    <t>204:232964</t>
  </si>
  <si>
    <t>204:766</t>
  </si>
  <si>
    <t>204:232975</t>
  </si>
  <si>
    <t>204:86020</t>
  </si>
  <si>
    <t>204:86360</t>
  </si>
  <si>
    <t>204:233376</t>
  </si>
  <si>
    <t>204:233065</t>
  </si>
  <si>
    <t>204:345</t>
  </si>
  <si>
    <t>204:233301</t>
  </si>
  <si>
    <t>204:232977</t>
  </si>
  <si>
    <t>204:610</t>
  </si>
  <si>
    <t>204:232961</t>
  </si>
  <si>
    <t>204:1199</t>
  </si>
  <si>
    <t>204:232990</t>
  </si>
  <si>
    <t>204:232969</t>
  </si>
  <si>
    <t>204:233236</t>
  </si>
  <si>
    <t>204:232926</t>
  </si>
  <si>
    <t>204:233266</t>
  </si>
  <si>
    <t>204:232940</t>
  </si>
  <si>
    <t>204:233045</t>
  </si>
  <si>
    <t>204:233318</t>
  </si>
  <si>
    <t>204:233007</t>
  </si>
  <si>
    <t>204:233341</t>
  </si>
  <si>
    <t>204:233011</t>
  </si>
  <si>
    <t>204:233283</t>
  </si>
  <si>
    <t>204:232962</t>
  </si>
  <si>
    <t>204:48489</t>
  </si>
  <si>
    <t>204:233261</t>
  </si>
  <si>
    <t>204:136</t>
  </si>
  <si>
    <t>204:233327</t>
  </si>
  <si>
    <t>204:233032</t>
  </si>
  <si>
    <t>204:232973</t>
  </si>
  <si>
    <t>204:232966</t>
  </si>
  <si>
    <t>204:192</t>
  </si>
  <si>
    <t>204:233374</t>
  </si>
  <si>
    <t>204:233074</t>
  </si>
  <si>
    <t>204:48355</t>
  </si>
  <si>
    <t>204:36781</t>
  </si>
  <si>
    <t>204:1282</t>
  </si>
  <si>
    <t>204:233285</t>
  </si>
  <si>
    <t>204:232979</t>
  </si>
  <si>
    <t>204:216</t>
  </si>
  <si>
    <t>204:233334</t>
  </si>
  <si>
    <t>204:125</t>
  </si>
  <si>
    <t>204:233399</t>
  </si>
  <si>
    <t>204:233084</t>
  </si>
  <si>
    <t>204:435</t>
  </si>
  <si>
    <t>204:1486</t>
  </si>
  <si>
    <t>204:174</t>
  </si>
  <si>
    <t>204:520</t>
  </si>
  <si>
    <t>204:424</t>
  </si>
  <si>
    <t>204:232641</t>
  </si>
  <si>
    <t>204:233298</t>
  </si>
  <si>
    <t>204:233257</t>
  </si>
  <si>
    <t>204:498</t>
  </si>
  <si>
    <t>204:233325</t>
  </si>
  <si>
    <t>204:232957</t>
  </si>
  <si>
    <t>204:233008</t>
  </si>
  <si>
    <t>204:232951</t>
  </si>
  <si>
    <t>204:180</t>
  </si>
  <si>
    <t>204:233408</t>
  </si>
  <si>
    <t>204:233108</t>
  </si>
  <si>
    <t>204:48275</t>
  </si>
  <si>
    <t>204:36758</t>
  </si>
  <si>
    <t>204:233247</t>
  </si>
  <si>
    <t>204:232925</t>
  </si>
  <si>
    <t>204:167</t>
  </si>
  <si>
    <t>204:232844</t>
  </si>
  <si>
    <t>204:233232</t>
  </si>
  <si>
    <t>204:232913</t>
  </si>
  <si>
    <t>204:233344</t>
  </si>
  <si>
    <t>204:431</t>
  </si>
  <si>
    <t>204:233366</t>
  </si>
  <si>
    <t>204:233085</t>
  </si>
  <si>
    <t>204:163</t>
  </si>
  <si>
    <t>204:227872</t>
  </si>
  <si>
    <t>204:233102</t>
  </si>
  <si>
    <t>300:22989</t>
  </si>
  <si>
    <t>300:23306</t>
  </si>
  <si>
    <t>300:23567</t>
  </si>
  <si>
    <t>300:23312</t>
  </si>
  <si>
    <t>300:23135</t>
  </si>
  <si>
    <t>300:17140</t>
  </si>
  <si>
    <t>300:23299</t>
  </si>
  <si>
    <t>300:13355</t>
  </si>
  <si>
    <t>300:23711</t>
  </si>
  <si>
    <t>300:20220</t>
  </si>
  <si>
    <t>300:23466</t>
  </si>
  <si>
    <t>204:482</t>
  </si>
  <si>
    <t>300:21914</t>
  </si>
  <si>
    <t>204:104</t>
  </si>
  <si>
    <t>204:1156</t>
  </si>
  <si>
    <t>204:107447</t>
  </si>
  <si>
    <t>204:86352</t>
  </si>
  <si>
    <t>300:23381</t>
  </si>
  <si>
    <t>204:128</t>
  </si>
  <si>
    <t>300:23478</t>
  </si>
  <si>
    <t>204:1033</t>
  </si>
  <si>
    <t>204:144</t>
  </si>
  <si>
    <t>204:1184</t>
  </si>
  <si>
    <t>300:23360</t>
  </si>
  <si>
    <t>204:910</t>
  </si>
  <si>
    <t>300:58615</t>
  </si>
  <si>
    <t>300:58617</t>
  </si>
  <si>
    <t>204:973</t>
  </si>
  <si>
    <t>300:58685</t>
  </si>
  <si>
    <t>204:696</t>
  </si>
  <si>
    <t>300:58982</t>
  </si>
  <si>
    <t>300:58677</t>
  </si>
  <si>
    <t>204:684</t>
  </si>
  <si>
    <t>204:1028</t>
  </si>
  <si>
    <t>300:58999</t>
  </si>
  <si>
    <t>204:981</t>
  </si>
  <si>
    <t>300:59001</t>
  </si>
  <si>
    <t>300:58688</t>
  </si>
  <si>
    <t>204:726</t>
  </si>
  <si>
    <t>204:1023</t>
  </si>
  <si>
    <t>204:736</t>
  </si>
  <si>
    <t>204:1240</t>
  </si>
  <si>
    <t>204:1292</t>
  </si>
  <si>
    <t>204:1329</t>
  </si>
  <si>
    <t>300:58933</t>
  </si>
  <si>
    <t>204:1503</t>
  </si>
  <si>
    <t>204:1025</t>
  </si>
  <si>
    <t>204:727</t>
  </si>
  <si>
    <t>204:1034</t>
  </si>
  <si>
    <t>300:58993</t>
  </si>
  <si>
    <t>204:1020</t>
  </si>
  <si>
    <t>300:58670</t>
  </si>
  <si>
    <t>300:58988</t>
  </si>
  <si>
    <t>300:58673</t>
  </si>
  <si>
    <t>204:1018</t>
  </si>
  <si>
    <t>204:764</t>
  </si>
  <si>
    <t>204:1032</t>
  </si>
  <si>
    <t>204:992</t>
  </si>
  <si>
    <t>300:58941</t>
  </si>
  <si>
    <t>300:58937</t>
  </si>
  <si>
    <t>204:705</t>
  </si>
  <si>
    <t>204:988</t>
  </si>
  <si>
    <t>204:691</t>
  </si>
  <si>
    <t>204:967</t>
  </si>
  <si>
    <t>300:58931</t>
  </si>
  <si>
    <t>300:58619</t>
  </si>
  <si>
    <t>300:58613</t>
  </si>
  <si>
    <t>300:58926</t>
  </si>
  <si>
    <t>300:57318</t>
  </si>
  <si>
    <t>300:58368</t>
  </si>
  <si>
    <t>300:58922</t>
  </si>
  <si>
    <t>300:58621</t>
  </si>
  <si>
    <t>204:689</t>
  </si>
  <si>
    <t>204:692</t>
  </si>
  <si>
    <t>300:58935</t>
  </si>
  <si>
    <t>300:58924</t>
  </si>
  <si>
    <t>204:1373</t>
  </si>
  <si>
    <t>300:58973</t>
  </si>
  <si>
    <t>300:29806</t>
  </si>
  <si>
    <t>300:22728</t>
  </si>
  <si>
    <t>300:19623</t>
  </si>
  <si>
    <t>204:995</t>
  </si>
  <si>
    <t>300:24231</t>
  </si>
  <si>
    <t>300:23603</t>
  </si>
  <si>
    <t>300:28791</t>
  </si>
  <si>
    <t>300:58658</t>
  </si>
  <si>
    <t>300:21630</t>
  </si>
  <si>
    <t>start /low /b %USERPROFILE%\Documents\GitHub\eaglep3\Utilities\DownloadLogsFromS3.py --loco 4032 --day 2017-03-10</t>
  </si>
  <si>
    <t>start /low /b %USERPROFILE%\Documents\GitHub\eaglep3\Utilities\DownloadLogsFromS3.py --loco 4027 --day 2017-03-10</t>
  </si>
  <si>
    <t>start /low /b %USERPROFILE%\Documents\GitHub\eaglep3\Utilities\DownloadLogsFromS3.py --loco 4045 --day 2017-03-10</t>
  </si>
  <si>
    <t>start /low /b %USERPROFILE%\Documents\GitHub\eaglep3\Utilities\DownloadLogsFromS3.py --loco 4004 --day 2017-03-10</t>
  </si>
  <si>
    <t>start /low /b %USERPROFILE%\Documents\GitHub\eaglep3\Utilities\DownloadLogsFromS3.py --loco 4030 --day 2017-03-10</t>
  </si>
  <si>
    <t>start /low /b %USERPROFILE%\Documents\GitHub\eaglep3\Utilities\DownloadLogsFromS3.py --loco 4006 --day 2017-03-10</t>
  </si>
  <si>
    <t>start /low /b %USERPROFILE%\Documents\GitHub\eaglep3\Utilities\DownloadLogsFromS3.py --loco 4027 --day 2017-03-11</t>
  </si>
  <si>
    <t>start /low /b %USERPROFILE%\Documents\GitHub\eaglep3\Utilities\DownloadLogsFromS3.py --loco 4040 --day 2017-03-10</t>
  </si>
  <si>
    <t>start /low /b %USERPROFILE%\Documents\GitHub\eaglep3\Utilities\DownloadLogsFromS3.py --loco 4039 --day 2017-03-10</t>
  </si>
  <si>
    <t>start /low /b %USERPROFILE%\Documents\GitHub\eaglep3\Utilities\DownloadLogsFromS3.py --loco 4003 --day 2017-03-11</t>
  </si>
  <si>
    <t>start /low /b %USERPROFILE%\Documents\GitHub\eaglep3\Utilities\DownloadLogsFromS3.py --loco 4008 --day 2017-03-10</t>
  </si>
  <si>
    <t>start /low /b %USERPROFILE%\Documents\GitHub\eaglep3\Utilities\DownloadLogsFromS3.py --loco 4028 --day 2017-03-10</t>
  </si>
  <si>
    <t>start /low /b %USERPROFILE%\Documents\GitHub\eaglep3\Utilities\DownloadLogsFromS3.py --loco 4054 --day 2017-03-10</t>
  </si>
  <si>
    <t>start /low /b %USERPROFILE%\Documents\GitHub\eaglep3\Utilities\DownloadLogsFromS3.py --loco 4004 --day 2017-03-11</t>
  </si>
  <si>
    <t>start /low /b %USERPROFILE%\Documents\GitHub\eaglep3\Utilities\DownloadLogsFromS3.py --loco 4010 --day 2017-03-10</t>
  </si>
  <si>
    <t>start /low /b %USERPROFILE%\Documents\GitHub\eaglep3\Utilities\DownloadLogsFromS3.py --loco 4052 --day 2017-03-11</t>
  </si>
  <si>
    <t>start /low /b %USERPROFILE%\Documents\GitHub\eaglep3\Utilities\DownloadLogsFromS3.py --loco 4028 --day 2017-03-11</t>
  </si>
  <si>
    <t>start /low /b %USERPROFILE%\Documents\GitHub\eaglep3\Utilities\DownloadLogsFromS3.py --loco 4054 --day 2017-03-11</t>
  </si>
  <si>
    <t>start /low /b %USERPROFILE%\Documents\GitHub\eaglep3\Utilities\DownloadLogsFromS3.py --loco 4031 --day 2017-03-10</t>
  </si>
  <si>
    <t>start /low /b %USERPROFILE%\Documents\GitHub\eaglep3\Utilities\DownloadLogsFromS3.py --loco 4009 --day 2017-03-10</t>
  </si>
  <si>
    <t>start /low /b %USERPROFILE%\Documents\GitHub\eaglep3\Utilities\DownloadLogsFromS3.py --loco 4010 --day 2017-03-11</t>
  </si>
  <si>
    <t>start /low /b %USERPROFILE%\Documents\GitHub\eaglep3\Utilities\DownloadLogsFromS3.py --loco 4053 --day 2017-03-10</t>
  </si>
  <si>
    <t>start /low /b %USERPROFILE%\Documents\GitHub\eaglep3\Utilities\DownloadLogsFromS3.py --loco 4046 --day 2017-03-11</t>
  </si>
  <si>
    <t>start /low /b %USERPROFILE%\Documents\GitHub\eaglep3\Utilities\DownloadLogsFromS3.py --loco 4030 --day 2017-03-11</t>
  </si>
  <si>
    <t>Overshot platform</t>
  </si>
  <si>
    <t>Replaced by 157</t>
  </si>
  <si>
    <t>Form C enforcement, followed by Early arrival enforcement at Holly</t>
  </si>
  <si>
    <t>Early arrival enforcements at Holly</t>
  </si>
  <si>
    <t>Efficiency test</t>
  </si>
  <si>
    <t>Onboard in-route failure delayed departure</t>
  </si>
  <si>
    <t>Initialized too close to Westminster 2S</t>
  </si>
  <si>
    <t>Wi-MAX data drop</t>
  </si>
  <si>
    <t>Cancelled</t>
  </si>
  <si>
    <t>121-10</t>
  </si>
  <si>
    <t>Wi-MAX data drop - unable to init</t>
  </si>
  <si>
    <t>105-10</t>
  </si>
  <si>
    <t>106-10</t>
  </si>
  <si>
    <t>Extended Onboard Wi-MAX outage</t>
  </si>
  <si>
    <t>No evidence of enforcement found (normal trip)</t>
  </si>
  <si>
    <t>Form C enforcement, followed by Early arrival enforcement at Holly (conservative crossing times)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</si>
</sst>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workbookViewId="0">
      <selection activeCell="R15" sqref="R15:R20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42804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42804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141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COUNTIFS($N$13:$N$9336,"&gt;0",$AG$13:$AG$9336,I1)</f>
        <v>133</v>
      </c>
      <c r="K5" s="40"/>
      <c r="L5" s="40"/>
      <c r="M5" s="41">
        <f>AVERAGEIFS($N$13:$N$9336,$AG$13:$AG$9336,I1)</f>
        <v>47.295112781834092</v>
      </c>
      <c r="N5" s="39">
        <f t="array" ref="N5">MIN(IF($AG$13:$AG$9336=I1,IF(ISNUMBER($N$13:$N$9336),IF($N$13:$N$9336&gt;0,$N$13:$N$9336))))</f>
        <v>37.016666665440425</v>
      </c>
      <c r="O5" s="3">
        <f t="array" ref="O5">MAX(IF($AG$13:$AG$9336=I1,IF(ISNUMBER($N$13:$N$9336),IF($N$13:$N$9336&gt;0,$N$13:$N$9336))))</f>
        <v>152.69999999902211</v>
      </c>
      <c r="P5" s="2"/>
      <c r="R5" s="74" t="s">
        <v>17</v>
      </c>
      <c r="S5" s="50">
        <f>COUNTIFS($N$13:$N$9336,"&gt;0",$AG$13:$AG$9336,R1)</f>
        <v>47</v>
      </c>
      <c r="T5" s="40"/>
      <c r="U5" s="177"/>
      <c r="V5" s="174">
        <f>AVERAGEIFS($N$13:$N$9336,$AG$13:$AG$9336,R1)</f>
        <v>24.678014184823855</v>
      </c>
      <c r="W5" s="175">
        <f t="array" ref="W5">MIN(IF($AG$13:$AG$9336=R1,IF(ISNUMBER($N$13:$N$9336),IF($N$13:$N$9336&gt;0,$N$13:$N$9336))))</f>
        <v>14.933333335211501</v>
      </c>
      <c r="X5" s="176">
        <f t="array" ref="X5">MAX(IF($AG$13:$AG$9336=R1,IF(ISNUMBER($N$13:$N$9336),IF($N$13:$N$9336&gt;0,$N$13:$N$9336))))</f>
        <v>37.316666672704741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7"/>
      <c r="V6" s="174">
        <f>IFERROR(AVERAGE($O$13:$O$116),0)</f>
        <v>0</v>
      </c>
      <c r="W6" s="175">
        <f>MIN($O$13:$O$116)</f>
        <v>0</v>
      </c>
      <c r="X6" s="176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COUNTIFS($P$13:$P$9336,"&gt;0",$AG$13:$AG$9336,I1)</f>
        <v>8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COUNTIFS($P$13:$P$9336,"&gt;0",$AG$13:$AG$9336,R1)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133</v>
      </c>
      <c r="K8" s="40"/>
      <c r="L8" s="40"/>
      <c r="M8" s="41">
        <f>M5</f>
        <v>47.295112781834092</v>
      </c>
      <c r="N8" s="39">
        <f>N5</f>
        <v>37.016666665440425</v>
      </c>
      <c r="O8" s="3">
        <f>O5</f>
        <v>152.69999999902211</v>
      </c>
      <c r="P8" s="2"/>
      <c r="R8" s="74" t="s">
        <v>16</v>
      </c>
      <c r="S8" s="50">
        <f>S5</f>
        <v>47</v>
      </c>
      <c r="T8" s="40"/>
      <c r="U8" s="177"/>
      <c r="V8" s="174">
        <f>V5</f>
        <v>24.678014184823855</v>
      </c>
      <c r="W8" s="175">
        <f>W5</f>
        <v>14.933333335211501</v>
      </c>
      <c r="X8" s="176">
        <f>X5</f>
        <v>37.316666672704741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0.94326241134751776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- 2017-03-10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AVERAGE(S13:S85)</f>
        <v>0.96309523809523812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205</v>
      </c>
      <c r="AN12" s="47" t="s">
        <v>213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615</v>
      </c>
      <c r="B13" s="7">
        <v>4007</v>
      </c>
      <c r="C13" s="21" t="s">
        <v>239</v>
      </c>
      <c r="D13" s="21" t="s">
        <v>814</v>
      </c>
      <c r="E13" s="13">
        <v>42804.133900462963</v>
      </c>
      <c r="F13" s="13">
        <v>42804.134965277779</v>
      </c>
      <c r="G13" s="7">
        <v>1</v>
      </c>
      <c r="H13" s="21" t="s">
        <v>815</v>
      </c>
      <c r="I13" s="13">
        <v>42804.180763888886</v>
      </c>
      <c r="J13" s="7">
        <v>0</v>
      </c>
      <c r="K13" s="98" t="str">
        <f t="shared" ref="K13:K33" si="0">IF(ISEVEN(B13),(B13-1)&amp;"/"&amp;B13,B13&amp;"/"&amp;(B13+1))</f>
        <v>4007/4008</v>
      </c>
      <c r="L13" s="21" t="str">
        <f>VLOOKUP(A13,'Trips&amp;Operators'!$C$1:$G$99999,5,FALSE)</f>
        <v>BADERTSCHER DIANE</v>
      </c>
      <c r="M13" s="6">
        <f t="shared" ref="M13:M33" si="1">I13-F13</f>
        <v>4.5798611106874887E-2</v>
      </c>
      <c r="N13" s="7">
        <f t="shared" ref="N13:N31" si="2">24*60*SUM($M13:$M13)</f>
        <v>65.949999993899837</v>
      </c>
      <c r="O13" s="7"/>
      <c r="P13" s="7"/>
      <c r="Q13" s="22"/>
      <c r="R13" s="22"/>
      <c r="S13" s="31">
        <f t="shared" ref="S13:S31" si="3">SUM(U13:U13)/IF(AG13="EC",12,1)</f>
        <v>1</v>
      </c>
      <c r="T13" s="46" t="str">
        <f t="shared" ref="T13:T33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8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-10T02:12:49-0700',mode:absolute,to:'2017-03-10T05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" s="187" t="str">
        <f t="shared" ref="W13:W33" si="6">IF(AA13&lt;IF(AG13="EC",23,5.65),"Y","N")</f>
        <v>N</v>
      </c>
      <c r="X13" s="187" t="e">
        <f t="shared" ref="X13:X31" si="7">VALUE(LEFT(AD13,4))-VALUE(LEFT(AD12,4))</f>
        <v>#VALUE!</v>
      </c>
      <c r="Y13" s="62">
        <f t="shared" ref="Y13:Y33" si="8">RIGHT(D13,LEN(D13)-4)/10000</f>
        <v>7.3400000000000007E-2</v>
      </c>
      <c r="Z13" s="62">
        <f t="shared" ref="Z13:Z33" si="9">RIGHT(H13,LEN(H13)-4)/10000</f>
        <v>23.328199999999999</v>
      </c>
      <c r="AA13" s="62">
        <f t="shared" ref="AA13:AA33" si="10">ABS(Z13-Y13)</f>
        <v>23.254799999999999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33" si="11">IF(LEN(A13)=6,"0"&amp;A13,A13)</f>
        <v>0101-10</v>
      </c>
      <c r="AE13" s="85" t="str">
        <f t="shared" ref="AE13:AE78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 &amp; aws s3 cp s3://rtdc.mdm.uploadarchive.raw/RTDC4007/ "%USERPROFILE%\AppData\Local\Temp\OnboardLogs"\RTDC4007\2017-03-11 --exclude "*" --recursive --include "*20170311*" &amp; "%USERPROFILE%\Documents\GitHub\mrs-test-scripts\Headless Mode &amp; Sideloading\WalkAndUnGZ.bat" "%USERPROFILE%\AppData\Local\Temp\OnboardLogs"\RTDC4007\2017-03-11</v>
      </c>
      <c r="AF13" s="82" t="str">
        <f t="shared" ref="AF13:AF78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/stypes="app*4007*20170310*" /stext=" 11:.+((SYSTEM_STATE.+slice.+state.+changed )|(ment ac)|(multiple cpu faults)|(system.+state.+changed )|(\[timeout)|(PRM\|1\|D)|(kpr)|(kdp)|(\|lc)|(penalty))"</v>
      </c>
      <c r="AG13" s="1" t="str">
        <f t="shared" ref="AG13:AG33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4007 --swversion DE.1.0.9.0 --startMP 204:734 --initTime 2017-03-10T03:12:49 --startdatetime 2017-03-10T03:14:21 --delay 1 --endMP 204:233282 --enddatetime 2017-03-10T04:20:18 --enforcementcount 0 &gt;&gt;C:\Users\stu\Documents\GitHub\eaglep3-reporting\EC\2017-03-10-refined-times.txt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{"issue":{"subject":"","project_id":79,"tracker_id":40,"status_id":1,"priority_id":2,"assigned_to_id":23,"start_date":"2017-03-10","description":"","custom_fields":[{"id":1,"name":"Subdivision","value":"EC"},{"id":4,"name":"Milepost","value":"23.3282"},{"id":17,"name":"Train ID","value":"101-10"},{"id":16,"name":"Locomotive ID","value":"4007"},{"id":130,"name":"Impact","value":""},{"id":150,"name":"Time of Event (Mountain Time)","value":"04:20:18"},{"id":151,"name":"Denver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4007 --day 2017-03-10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"%USERPROFILE%\AppData\Local\Temp\OnboardLogs"\RTDC4007\*4007*20170310* | grep -SE "(Enforcement Action)|(\[TIMEOUT)|(CHR.+\|PRM\|1\|D.+(SWITCH|SIGNAL).+UNKNOWN)" - &gt;&gt; 2017-03-10-UncaughtWiMAX.txt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622</v>
      </c>
      <c r="B14" s="7">
        <v>4054</v>
      </c>
      <c r="C14" s="21" t="s">
        <v>239</v>
      </c>
      <c r="D14" s="21" t="s">
        <v>816</v>
      </c>
      <c r="E14" s="13">
        <v>42804.185370370367</v>
      </c>
      <c r="F14" s="13">
        <v>42804.186145833337</v>
      </c>
      <c r="G14" s="7">
        <v>1</v>
      </c>
      <c r="H14" s="21" t="s">
        <v>817</v>
      </c>
      <c r="I14" s="13">
        <v>42804.215312499997</v>
      </c>
      <c r="J14" s="7">
        <v>0</v>
      </c>
      <c r="K14" s="98" t="str">
        <f t="shared" si="0"/>
        <v>4053/4054</v>
      </c>
      <c r="L14" s="21" t="str">
        <f>VLOOKUP(A14,'Trips&amp;Operators'!$C$1:$G$99999,5,FALSE)</f>
        <v>BADERTSCHER DIANE</v>
      </c>
      <c r="M14" s="6">
        <f t="shared" si="1"/>
        <v>2.9166666659875773E-2</v>
      </c>
      <c r="N14" s="7">
        <f t="shared" si="2"/>
        <v>41.999999990221113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-10T03:26:56-0700',mode:absolute,to:'2017-03-10T06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23.261900000000001</v>
      </c>
      <c r="Z14" s="62">
        <f t="shared" si="9"/>
        <v>1.32E-2</v>
      </c>
      <c r="AA14" s="62">
        <f t="shared" si="10"/>
        <v>23.248699999999999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0102-10</v>
      </c>
      <c r="AE14" s="85" t="str">
        <f t="shared" si="12"/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AF14" s="82" t="str">
        <f t="shared" si="13"/>
        <v>"C:\Program Files (x86)\AstroGrep\AstroGrep.exe" /e /r /s /spath="%USERPROFILE%\AppData\Local\Temp\OnboardLogs" /stypes="app*4054*20170310*" /stext=" 12:.+((SYSTEM_STATE.+slice.+state.+changed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80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4054 --swversion DE.1.0.9.0 --startMP 204:232619 --initTime 2017-03-10T04:26:56 --startdatetime 2017-03-10T04:28:03 --delay 1 --endMP 204:132 --enddatetime 2017-03-10T05:10:03 --enforcementcount 0 &gt;&gt;C:\Users\stu\Documents\GitHub\eaglep3-reporting\EC\2017-03-10-refined-times.txt</v>
      </c>
      <c r="AI14" s="108" t="str">
        <f t="shared" ref="AI14:AI80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{"issue":{"subject":"","project_id":79,"tracker_id":40,"status_id":1,"priority_id":2,"assigned_to_id":23,"start_date":"2017-03-10","description":"","custom_fields":[{"id":1,"name":"Subdivision","value":"EC"},{"id":4,"name":"Milepost","value":"0.0132"},{"id":17,"name":"Train ID","value":"102-10"},{"id":16,"name":"Locomotive ID","value":"4054"},{"id":130,"name":"Impact","value":""},{"id":150,"name":"Time of Event (Mountain Time)","value":"05:10:03"},{"id":151,"name":"Denver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80" si="20">"start /low /b "&amp;dls3logs&amp;" --loco "&amp;B14&amp;" --day "&amp;TEXT(F14,"YYYY-MM-DD")</f>
        <v>start /low /b %USERPROFILE%\Documents\GitHub\eaglep3\Utilities\DownloadLogsFromS3.py --loco 4054 --day 2017-03-10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"%USERPROFILE%\AppData\Local\Temp\OnboardLogs"\RTDC4054\*4054*20170310* | grep -SE "(Enforcement Action)|(\[TIMEOUT)|(CHR.+\|PRM\|1\|D.+(SWITCH|SIGNAL).+UNKNOWN)" - &gt;&gt; 2017-03-10-UncaughtWiMAX.txt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619</v>
      </c>
      <c r="B15" s="7">
        <v>4046</v>
      </c>
      <c r="C15" s="21" t="s">
        <v>239</v>
      </c>
      <c r="D15" s="21" t="s">
        <v>518</v>
      </c>
      <c r="E15" s="13">
        <v>42804.151006944441</v>
      </c>
      <c r="F15" s="13">
        <v>42804.152037037034</v>
      </c>
      <c r="G15" s="7">
        <v>1</v>
      </c>
      <c r="H15" s="21" t="s">
        <v>479</v>
      </c>
      <c r="I15" s="13">
        <v>42804.183946759258</v>
      </c>
      <c r="J15" s="7">
        <v>0</v>
      </c>
      <c r="K15" s="98" t="str">
        <f t="shared" si="0"/>
        <v>4045/4046</v>
      </c>
      <c r="L15" s="21" t="str">
        <f>VLOOKUP(A15,'Trips&amp;Operators'!$C$1:$G$99999,5,FALSE)</f>
        <v>DAVIS WENDY</v>
      </c>
      <c r="M15" s="6">
        <f t="shared" si="1"/>
        <v>3.1909722223645076E-2</v>
      </c>
      <c r="N15" s="7">
        <f t="shared" si="2"/>
        <v>45.95000000204891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-10T02:37:27-0700',mode:absolute,to:'2017-03-10T05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7.3499999999999996E-2</v>
      </c>
      <c r="Z15" s="62">
        <f t="shared" si="9"/>
        <v>23.3306</v>
      </c>
      <c r="AA15" s="62">
        <f t="shared" si="10"/>
        <v>23.257100000000001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0103-10</v>
      </c>
      <c r="AE15" s="85" t="str">
        <f t="shared" si="12"/>
        <v>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 &amp; 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</v>
      </c>
      <c r="AF15" s="82" t="str">
        <f t="shared" si="13"/>
        <v>"C:\Program Files (x86)\AstroGrep\AstroGrep.exe" /e /r /s /spath="%USERPROFILE%\AppData\Local\Temp\OnboardLogs" /stypes="app*4046*20170310*" /stext=" 11:.+((SYSTEM_STATE.+slice.+state.+changed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103-10 --locoid 4046 --swversion DE.1.0.9.0 --startMP 204:735 --initTime 2017-03-10T03:37:27 --startdatetime 2017-03-10T03:38:56 --delay 1 --endMP 204:233306 --enddatetime 2017-03-10T04:24:53 --enforcementcount 0 &gt;&gt;C:\Users\stu\Documents\GitHub\eaglep3-reporting\EC\2017-03-10-refined-times.txt</v>
      </c>
      <c r="AI15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{"issue":{"subject":"","project_id":79,"tracker_id":40,"status_id":1,"priority_id":2,"assigned_to_id":23,"start_date":"2017-03-10","description":"","custom_fields":[{"id":1,"name":"Subdivision","value":"EC"},{"id":4,"name":"Milepost","value":"23.3306"},{"id":17,"name":"Train ID","value":"103-10"},{"id":16,"name":"Locomotive ID","value":"4046"},{"id":130,"name":"Impact","value":""},{"id":150,"name":"Time of Event (Mountain Time)","value":"04:24:53"},{"id":151,"name":"Denver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4046 --day 2017-03-10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"%USERPROFILE%\AppData\Local\Temp\OnboardLogs"\RTDC4046\*4046*20170310* | grep -SE "(Enforcement Action)|(\[TIMEOUT)|(CHR.+\|PRM\|1\|D.+(SWITCH|SIGNAL).+UNKNOWN)" - &gt;&gt; 2017-03-10-UncaughtWiMAX.txt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568</v>
      </c>
      <c r="B16" s="7">
        <v>4032</v>
      </c>
      <c r="C16" s="21" t="s">
        <v>239</v>
      </c>
      <c r="D16" s="21" t="s">
        <v>818</v>
      </c>
      <c r="E16" s="13">
        <v>42804.192106481481</v>
      </c>
      <c r="F16" s="13">
        <v>42804.192997685182</v>
      </c>
      <c r="G16" s="7">
        <v>1</v>
      </c>
      <c r="H16" s="21" t="s">
        <v>194</v>
      </c>
      <c r="I16" s="13">
        <v>42804.22587962963</v>
      </c>
      <c r="J16" s="7">
        <v>0</v>
      </c>
      <c r="K16" s="98" t="str">
        <f t="shared" si="0"/>
        <v>4031/4032</v>
      </c>
      <c r="L16" s="21" t="str">
        <f>VLOOKUP(A16,'Trips&amp;Operators'!$C$1:$G$99999,5,FALSE)</f>
        <v>DAVIS WENDY</v>
      </c>
      <c r="M16" s="6">
        <f t="shared" si="1"/>
        <v>3.2881944447581191E-2</v>
      </c>
      <c r="N16" s="7">
        <f t="shared" si="2"/>
        <v>47.350000004516914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-10T03:36:38-0700',mode:absolute,to:'2017-03-10T06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23.2668</v>
      </c>
      <c r="Z16" s="62">
        <f t="shared" si="9"/>
        <v>1.4500000000000001E-2</v>
      </c>
      <c r="AA16" s="62">
        <f t="shared" si="10"/>
        <v>23.252299999999998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0104-10</v>
      </c>
      <c r="AE16" s="85" t="str">
        <f t="shared" si="12"/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AF16" s="82" t="str">
        <f t="shared" si="13"/>
        <v>"C:\Program Files (x86)\AstroGrep\AstroGrep.exe" /e /r /s /spath="%USERPROFILE%\AppData\Local\Temp\OnboardLogs" /stypes="app*4032*20170310*" /stext=" 12:.+((SYSTEM_STATE.+slice.+state.+changed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104-10 --locoid 4032 --swversion DE.1.0.9.0 --startMP 204:232668 --initTime 2017-03-10T04:36:38 --startdatetime 2017-03-10T04:37:55 --delay 1 --endMP 204:145 --enddatetime 2017-03-10T05:25:16 --enforcementcount 0 &gt;&gt;C:\Users\stu\Documents\GitHub\eaglep3-reporting\EC\2017-03-10-refined-times.txt</v>
      </c>
      <c r="AI16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{"issue":{"subject":"","project_id":79,"tracker_id":40,"status_id":1,"priority_id":2,"assigned_to_id":23,"start_date":"2017-03-10","description":"","custom_fields":[{"id":1,"name":"Subdivision","value":"EC"},{"id":4,"name":"Milepost","value":"0.0145"},{"id":17,"name":"Train ID","value":"104-10"},{"id":16,"name":"Locomotive ID","value":"4032"},{"id":130,"name":"Impact","value":""},{"id":150,"name":"Time of Event (Mountain Time)","value":"05:25:16"},{"id":151,"name":"Denver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4032 --day 2017-03-10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"%USERPROFILE%\AppData\Local\Temp\OnboardLogs"\RTDC4032\*4032*20170310* | grep -SE "(Enforcement Action)|(\[TIMEOUT)|(CHR.+\|PRM\|1\|D.+(SWITCH|SIGNAL).+UNKNOWN)" - &gt;&gt; 2017-03-10-UncaughtWiMAX.txt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1024</v>
      </c>
      <c r="B17" s="7"/>
      <c r="C17" s="21" t="s">
        <v>239</v>
      </c>
      <c r="D17" s="21" t="s">
        <v>818</v>
      </c>
      <c r="E17" s="13">
        <v>42804.192106481481</v>
      </c>
      <c r="F17" s="13"/>
      <c r="G17" s="7"/>
      <c r="H17" s="21"/>
      <c r="I17" s="13"/>
      <c r="J17" s="7">
        <v>0</v>
      </c>
      <c r="K17" s="98" t="str">
        <f t="shared" ref="K17" si="21">IF(ISEVEN(B17),(B17-1)&amp;"/"&amp;B17,B17&amp;"/"&amp;(B17+1))</f>
        <v>-1/</v>
      </c>
      <c r="L17" s="21" t="e">
        <f>VLOOKUP(A17,'Trips&amp;Operators'!$C$1:$G$99999,5,FALSE)</f>
        <v>#N/A</v>
      </c>
      <c r="M17" s="6">
        <f t="shared" ref="M17" si="22">I17-F17</f>
        <v>0</v>
      </c>
      <c r="N17" s="7"/>
      <c r="O17" s="7"/>
      <c r="P17" s="7">
        <v>1</v>
      </c>
      <c r="Q17" s="22"/>
      <c r="R17" s="22" t="s">
        <v>1026</v>
      </c>
      <c r="S17" s="31">
        <f t="shared" ref="S17" si="23">SUM(U17:U17)/IF(AG17="EC",12,1)</f>
        <v>0</v>
      </c>
      <c r="T17" s="46" t="str">
        <f t="shared" ref="T17" si="24">IF(ISEVEN(LEFT(AD17,4)),"Southbound","NorthBound")</f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86" t="str">
        <f t="shared" ref="V17" si="25"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-03-10T03:36:38-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7" s="187" t="e">
        <f t="shared" ref="W17" si="26">IF(AA17&lt;IF(AG17="EC",23,5.65),"Y","N")</f>
        <v>#VALUE!</v>
      </c>
      <c r="X17" s="187">
        <f t="shared" ref="X17" si="27">VALUE(LEFT(AD17,4))-VALUE(LEFT(AD16,4))</f>
        <v>1</v>
      </c>
      <c r="Y17" s="62">
        <f t="shared" ref="Y17" si="28">RIGHT(D17,LEN(D17)-4)/10000</f>
        <v>23.2668</v>
      </c>
      <c r="Z17" s="62" t="e">
        <f t="shared" ref="Z17" si="29">RIGHT(H17,LEN(H17)-4)/10000</f>
        <v>#VALUE!</v>
      </c>
      <c r="AA17" s="62" t="e">
        <f t="shared" ref="AA17" si="30">ABS(Z17-Y17)</f>
        <v>#VALUE!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ref="AD17" si="31">IF(LEN(A17)=6,"0"&amp;A17,A17)</f>
        <v>0105-10</v>
      </c>
      <c r="AE17" s="85" t="str">
        <f t="shared" ref="AE17" si="32"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7" s="82" t="str">
        <f t="shared" ref="AF17" si="33"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/stypes="app**19000100*" /stext=" 07:.+((SYSTEM_STATE.+slice.+state.+changed )|(ment ac)|(multiple cpu faults)|(system.+state.+changed )|(\[timeout)|(PRM\|1\|D)|(kpr)|(kdp)|(\|lc)|(penalty))"</v>
      </c>
      <c r="AG17" s="1" t="str">
        <f t="shared" ref="AG17" si="34">IFERROR(IF(VALUE(LEFT(AD17,2))&lt;=2,"EC",IF(OR(VALUE(LEFT(AD17,2))=8,VALUE(LEFT(AD17,2))=18),"NW","Other")),"Other")</f>
        <v>EC</v>
      </c>
      <c r="AH17" s="86" t="str">
        <f t="shared" ref="AH17" si="35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105-10 --locoid  --swversion DE.1.0.9.0 --startMP 204:232668 --initTime 2017-03-10T04:36:38 --startdatetime 1900-01-00T00:00:00 --delay  --endMP  --enddatetime 1900-01-00T00:00:00 --enforcementcount 0 &gt;&gt;C:\Users\stu\Documents\GitHub\eaglep3-reporting\EC\2017-03-10-refined-times.txt</v>
      </c>
      <c r="AI17" s="108" t="e">
        <f t="shared" ref="AI17" si="36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#VALUE!</v>
      </c>
      <c r="AJ17" s="48"/>
      <c r="AK17" s="48"/>
      <c r="AL17" s="48"/>
      <c r="AM17" s="154" t="str">
        <f t="shared" ref="AM17" si="37">"start /low /b "&amp;dls3logs&amp;" --loco "&amp;B17&amp;" --day "&amp;TEXT(F17,"YYYY-MM-DD")</f>
        <v>start /low /b %USERPROFILE%\Documents\GitHub\eaglep3\Utilities\DownloadLogsFromS3.py --loco  --day 1900-01-00</v>
      </c>
      <c r="AN17" s="163" t="e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#DIV/0!</v>
      </c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</row>
    <row r="18" spans="1:91" s="1" customFormat="1" x14ac:dyDescent="0.25">
      <c r="A18" s="33" t="s">
        <v>1025</v>
      </c>
      <c r="B18" s="7"/>
      <c r="C18" s="21" t="s">
        <v>239</v>
      </c>
      <c r="D18" s="21" t="s">
        <v>818</v>
      </c>
      <c r="E18" s="13">
        <v>42804.192106481481</v>
      </c>
      <c r="F18" s="13"/>
      <c r="G18" s="7"/>
      <c r="H18" s="21"/>
      <c r="I18" s="13"/>
      <c r="J18" s="7">
        <v>0</v>
      </c>
      <c r="K18" s="98" t="str">
        <f t="shared" ref="K18" si="38">IF(ISEVEN(B18),(B18-1)&amp;"/"&amp;B18,B18&amp;"/"&amp;(B18+1))</f>
        <v>-1/</v>
      </c>
      <c r="L18" s="21" t="e">
        <f>VLOOKUP(A18,'Trips&amp;Operators'!$C$1:$G$99999,5,FALSE)</f>
        <v>#N/A</v>
      </c>
      <c r="M18" s="6">
        <f t="shared" ref="M18" si="39">I18-F18</f>
        <v>0</v>
      </c>
      <c r="N18" s="7"/>
      <c r="O18" s="7"/>
      <c r="P18" s="7">
        <v>1</v>
      </c>
      <c r="Q18" s="22"/>
      <c r="R18" s="22" t="s">
        <v>1026</v>
      </c>
      <c r="S18" s="31">
        <f t="shared" ref="S18" si="40">SUM(U18:U18)/IF(AG18="EC",12,1)</f>
        <v>0</v>
      </c>
      <c r="T18" s="46" t="str">
        <f t="shared" ref="T18" si="41">IF(ISEVEN(LEFT(AD18,4)),"Southbound","NorthBound")</f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86" t="str">
        <f t="shared" ref="V18" si="42"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-03-10T03:36:38-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8" s="187" t="e">
        <f t="shared" ref="W18" si="43">IF(AA18&lt;IF(AG18="EC",23,5.65),"Y","N")</f>
        <v>#VALUE!</v>
      </c>
      <c r="X18" s="187">
        <f t="shared" ref="X18:X21" si="44">VALUE(LEFT(AD18,4))-VALUE(LEFT(AD17,4))</f>
        <v>1</v>
      </c>
      <c r="Y18" s="62">
        <f t="shared" ref="Y18" si="45">RIGHT(D18,LEN(D18)-4)/10000</f>
        <v>23.2668</v>
      </c>
      <c r="Z18" s="62" t="e">
        <f t="shared" ref="Z18" si="46">RIGHT(H18,LEN(H18)-4)/10000</f>
        <v>#VALUE!</v>
      </c>
      <c r="AA18" s="62" t="e">
        <f t="shared" ref="AA18" si="47">ABS(Z18-Y18)</f>
        <v>#VALUE!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ref="AD18" si="48">IF(LEN(A18)=6,"0"&amp;A18,A18)</f>
        <v>0106-10</v>
      </c>
      <c r="AE18" s="85" t="str">
        <f t="shared" ref="AE18" si="49"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8" s="82" t="str">
        <f t="shared" ref="AF18" si="50"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/stypes="app**19000100*" /stext=" 07:.+((SYSTEM_STATE.+slice.+state.+changed )|(ment ac)|(multiple cpu faults)|(system.+state.+changed )|(\[timeout)|(PRM\|1\|D)|(kpr)|(kdp)|(\|lc)|(penalty))"</v>
      </c>
      <c r="AG18" s="1" t="str">
        <f t="shared" ref="AG18" si="51">IFERROR(IF(VALUE(LEFT(AD18,2))&lt;=2,"EC",IF(OR(VALUE(LEFT(AD18,2))=8,VALUE(LEFT(AD18,2))=18),"NW","Other")),"Other")</f>
        <v>EC</v>
      </c>
      <c r="AH18" s="86" t="str">
        <f t="shared" ref="AH18" si="52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106-10 --locoid  --swversion DE.1.0.9.0 --startMP 204:232668 --initTime 2017-03-10T04:36:38 --startdatetime 1900-01-00T00:00:00 --delay  --endMP  --enddatetime 1900-01-00T00:00:00 --enforcementcount 0 &gt;&gt;C:\Users\stu\Documents\GitHub\eaglep3-reporting\EC\2017-03-10-refined-times.txt</v>
      </c>
      <c r="AI18" s="108" t="e">
        <f t="shared" ref="AI18" si="53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#VALUE!</v>
      </c>
      <c r="AJ18" s="48"/>
      <c r="AK18" s="48"/>
      <c r="AL18" s="48"/>
      <c r="AM18" s="154" t="str">
        <f t="shared" ref="AM18" si="54">"start /low /b "&amp;dls3logs&amp;" --loco "&amp;B18&amp;" --day "&amp;TEXT(F18,"YYYY-MM-DD")</f>
        <v>start /low /b %USERPROFILE%\Documents\GitHub\eaglep3\Utilities\DownloadLogsFromS3.py --loco  --day 1900-01-00</v>
      </c>
      <c r="AN18" s="163" t="e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#DIV/0!</v>
      </c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</row>
    <row r="19" spans="1:91" s="1" customFormat="1" x14ac:dyDescent="0.25">
      <c r="A19" s="33" t="s">
        <v>566</v>
      </c>
      <c r="B19" s="7">
        <v>4040</v>
      </c>
      <c r="C19" s="21" t="s">
        <v>239</v>
      </c>
      <c r="D19" s="21" t="s">
        <v>224</v>
      </c>
      <c r="E19" s="13">
        <v>42804.184930555559</v>
      </c>
      <c r="F19" s="13">
        <v>42804.186493055553</v>
      </c>
      <c r="G19" s="7">
        <v>2</v>
      </c>
      <c r="H19" s="21" t="s">
        <v>819</v>
      </c>
      <c r="I19" s="13">
        <v>42804.215381944443</v>
      </c>
      <c r="J19" s="7">
        <v>0</v>
      </c>
      <c r="K19" s="98" t="str">
        <f t="shared" si="0"/>
        <v>4039/4040</v>
      </c>
      <c r="L19" s="21" t="str">
        <f>VLOOKUP(A19,'Trips&amp;Operators'!$C$1:$G$99999,5,FALSE)</f>
        <v>STARKS ANGELINA</v>
      </c>
      <c r="M19" s="6">
        <f t="shared" si="1"/>
        <v>2.8888888889923692E-2</v>
      </c>
      <c r="N19" s="7">
        <f t="shared" si="2"/>
        <v>41.600000001490116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-10T03:26:18-0700',mode:absolute,to:'2017-03-10T06:10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187" t="str">
        <f t="shared" si="6"/>
        <v>N</v>
      </c>
      <c r="X19" s="187">
        <f t="shared" si="44"/>
        <v>1</v>
      </c>
      <c r="Y19" s="62">
        <f t="shared" si="8"/>
        <v>4.4600000000000001E-2</v>
      </c>
      <c r="Z19" s="62">
        <f t="shared" si="9"/>
        <v>23.322399999999998</v>
      </c>
      <c r="AA19" s="62">
        <f t="shared" si="10"/>
        <v>23.277799999999999</v>
      </c>
      <c r="AB19" s="59" t="str">
        <f>VLOOKUP(A19,Enforcements!$C$7:$K$13,8,0)</f>
        <v>Bulletin (2)</v>
      </c>
      <c r="AC19" s="55" t="str">
        <f>VLOOKUP(A19,Enforcements!$C$7:$E$13,3,0)</f>
        <v>GRADE CROSSING</v>
      </c>
      <c r="AD19" s="56" t="str">
        <f t="shared" si="11"/>
        <v>0107-10</v>
      </c>
      <c r="AE19" s="85" t="str">
        <f t="shared" si="12"/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AF19" s="82" t="str">
        <f t="shared" si="13"/>
        <v>"C:\Program Files (x86)\AstroGrep\AstroGrep.exe" /e /r /s /spath="%USERPROFILE%\AppData\Local\Temp\OnboardLogs" /stypes="app*4040*20170310*" /stext=" 12:.+((SYSTEM_STATE.+slice.+state.+changed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107-10 --locoid 4040 --swversion DE.1.0.9.0 --startMP 204:446 --initTime 2017-03-10T04:26:18 --startdatetime 2017-03-10T04:28:33 --delay 2 --endMP 204:233224 --enddatetime 2017-03-10T05:10:09 --enforcementcount 0 &gt;&gt;C:\Users\stu\Documents\GitHub\eaglep3-reporting\EC\2017-03-10-refined-times.txt</v>
      </c>
      <c r="AI19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{"issue":{"subject":"","project_id":79,"tracker_id":40,"status_id":1,"priority_id":2,"assigned_to_id":23,"start_date":"2017-03-10","description":"","custom_fields":[{"id":1,"name":"Subdivision","value":"EC"},{"id":4,"name":"Milepost","value":"23.3224"},{"id":17,"name":"Train ID","value":"107-10"},{"id":16,"name":"Locomotive ID","value":"4040"},{"id":130,"name":"Impact","value":""},{"id":150,"name":"Time of Event (Mountain Time)","value":"05:10:09"},{"id":151,"name":"Denver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4040 --day 2017-03-10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"%USERPROFILE%\AppData\Local\Temp\OnboardLogs"\RTDC4040\*4040*20170310* | grep -SE "(Enforcement Action)|(\[TIMEOUT)|(CHR.+\|PRM\|1\|D.+(SWITCH|SIGNAL).+UNKNOWN)" - &gt;&gt; 2017-03-10-UncaughtWiMAX.txt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569</v>
      </c>
      <c r="B20" s="7">
        <v>4039</v>
      </c>
      <c r="C20" s="21" t="s">
        <v>239</v>
      </c>
      <c r="D20" s="21" t="s">
        <v>820</v>
      </c>
      <c r="E20" s="13">
        <v>42804.224270833336</v>
      </c>
      <c r="F20" s="13">
        <v>42804.225231481483</v>
      </c>
      <c r="G20" s="7">
        <v>1</v>
      </c>
      <c r="H20" s="21" t="s">
        <v>226</v>
      </c>
      <c r="I20" s="13">
        <v>42804.257418981484</v>
      </c>
      <c r="J20" s="7">
        <v>0</v>
      </c>
      <c r="K20" s="98" t="str">
        <f t="shared" si="0"/>
        <v>4039/4040</v>
      </c>
      <c r="L20" s="21" t="str">
        <f>VLOOKUP(A20,'Trips&amp;Operators'!$C$1:$G$99999,5,FALSE)</f>
        <v>STARKS ANGELINA</v>
      </c>
      <c r="M20" s="6">
        <f t="shared" si="1"/>
        <v>3.2187500000873115E-2</v>
      </c>
      <c r="N20" s="7">
        <f t="shared" si="2"/>
        <v>46.350000001257285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-10T04:22:57-0700',mode:absolute,to:'2017-03-10T07:10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187" t="str">
        <f t="shared" si="6"/>
        <v>N</v>
      </c>
      <c r="X20" s="187">
        <f t="shared" si="44"/>
        <v>1</v>
      </c>
      <c r="Y20" s="62">
        <f t="shared" si="8"/>
        <v>23.290199999999999</v>
      </c>
      <c r="Z20" s="62">
        <f t="shared" si="9"/>
        <v>1.3899999999999999E-2</v>
      </c>
      <c r="AA20" s="62">
        <f t="shared" si="10"/>
        <v>23.276299999999999</v>
      </c>
      <c r="AB20" s="59" t="str">
        <f>VLOOKUP(A20,Enforcements!$C$7:$K$13,8,0)</f>
        <v>Bulletin (2)</v>
      </c>
      <c r="AC20" s="55" t="str">
        <f>VLOOKUP(A20,Enforcements!$C$7:$E$13,3,0)</f>
        <v>GRADE CROSSING</v>
      </c>
      <c r="AD20" s="56" t="str">
        <f t="shared" si="11"/>
        <v>0108-10</v>
      </c>
      <c r="AE20" s="85" t="str">
        <f t="shared" si="12"/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AF20" s="82" t="str">
        <f t="shared" si="13"/>
        <v>"C:\Program Files (x86)\AstroGrep\AstroGrep.exe" /e /r /s /spath="%USERPROFILE%\AppData\Local\Temp\OnboardLogs" /stypes="app*4039*20170310*" /stext=" 13:.+((SYSTEM_STATE.+slice.+state.+changed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108-10 --locoid 4039 --swversion DE.1.0.9.0 --startMP 204:232902 --initTime 2017-03-10T05:22:57 --startdatetime 2017-03-10T05:24:20 --delay 1 --endMP 204:139 --enddatetime 2017-03-10T06:10:41 --enforcementcount 0 &gt;&gt;C:\Users\stu\Documents\GitHub\eaglep3-reporting\EC\2017-03-10-refined-times.txt</v>
      </c>
      <c r="AI20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{"issue":{"subject":"","project_id":79,"tracker_id":40,"status_id":1,"priority_id":2,"assigned_to_id":23,"start_date":"2017-03-10","description":"","custom_fields":[{"id":1,"name":"Subdivision","value":"EC"},{"id":4,"name":"Milepost","value":"0.0139"},{"id":17,"name":"Train ID","value":"108-10"},{"id":16,"name":"Locomotive ID","value":"4039"},{"id":130,"name":"Impact","value":""},{"id":150,"name":"Time of Event (Mountain Time)","value":"06:10:41"},{"id":151,"name":"Denver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4039 --day 2017-03-10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"%USERPROFILE%\AppData\Local\Temp\OnboardLogs"\RTDC4039\*4039*20170310* | grep -SE "(Enforcement Action)|(\[TIMEOUT)|(CHR.+\|PRM\|1\|D.+(SWITCH|SIGNAL).+UNKNOWN)" - &gt;&gt; 2017-03-10-UncaughtWiMAX.txt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623</v>
      </c>
      <c r="B21" s="7">
        <v>4011</v>
      </c>
      <c r="C21" s="21" t="s">
        <v>239</v>
      </c>
      <c r="D21" s="21" t="s">
        <v>253</v>
      </c>
      <c r="E21" s="13">
        <v>42804.194525462961</v>
      </c>
      <c r="F21" s="13">
        <v>42804.195856481485</v>
      </c>
      <c r="G21" s="7">
        <v>1</v>
      </c>
      <c r="H21" s="21" t="s">
        <v>245</v>
      </c>
      <c r="I21" s="13">
        <v>42804.225312499999</v>
      </c>
      <c r="J21" s="7">
        <v>0</v>
      </c>
      <c r="K21" s="98" t="str">
        <f t="shared" si="0"/>
        <v>4011/4012</v>
      </c>
      <c r="L21" s="21" t="str">
        <f>VLOOKUP(A21,'Trips&amp;Operators'!$C$1:$G$99999,5,FALSE)</f>
        <v>LOZA FIDEL</v>
      </c>
      <c r="M21" s="6">
        <f t="shared" si="1"/>
        <v>2.9456018513883464E-2</v>
      </c>
      <c r="N21" s="7">
        <f t="shared" si="2"/>
        <v>42.416666659992188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-10T03:40:07-0700',mode:absolute,to:'2017-03-10T06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" s="187" t="str">
        <f t="shared" si="6"/>
        <v>N</v>
      </c>
      <c r="X21" s="187">
        <f t="shared" si="44"/>
        <v>1</v>
      </c>
      <c r="Y21" s="62">
        <f t="shared" si="8"/>
        <v>4.6699999999999998E-2</v>
      </c>
      <c r="Z21" s="62">
        <f t="shared" si="9"/>
        <v>23.330400000000001</v>
      </c>
      <c r="AA21" s="62">
        <f t="shared" si="10"/>
        <v>23.2837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0109-10</v>
      </c>
      <c r="AE21" s="85" t="str">
        <f t="shared" si="12"/>
        <v>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 &amp; aws s3 cp s3://rtdc.mdm.uploadarchive.raw/RTDC4011/ "%USERPROFILE%\AppData\Local\Temp\OnboardLogs"\RTDC4011\2017-03-11 --exclude "*" --recursive --include "*20170311*" &amp; "%USERPROFILE%\Documents\GitHub\mrs-test-scripts\Headless Mode &amp; Sideloading\WalkAndUnGZ.bat" "%USERPROFILE%\AppData\Local\Temp\OnboardLogs"\RTDC4011\2017-03-11</v>
      </c>
      <c r="AF21" s="82" t="str">
        <f t="shared" si="13"/>
        <v>"C:\Program Files (x86)\AstroGrep\AstroGrep.exe" /e /r /s /spath="%USERPROFILE%\AppData\Local\Temp\OnboardLogs" /stypes="app*4011*20170310*" /stext=" 12:.+((SYSTEM_STATE.+slice.+state.+changed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109-10 --locoid 4011 --swversion DE.1.0.9.0 --startMP 204:467 --initTime 2017-03-10T04:40:07 --startdatetime 2017-03-10T04:42:02 --delay 1 --endMP 204:233304 --enddatetime 2017-03-10T05:24:27 --enforcementcount 0 &gt;&gt;C:\Users\stu\Documents\GitHub\eaglep3-reporting\EC\2017-03-10-refined-times.txt</v>
      </c>
      <c r="AI21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{"issue":{"subject":"","project_id":79,"tracker_id":40,"status_id":1,"priority_id":2,"assigned_to_id":23,"start_date":"2017-03-10","description":"","custom_fields":[{"id":1,"name":"Subdivision","value":"EC"},{"id":4,"name":"Milepost","value":"23.3304"},{"id":17,"name":"Train ID","value":"109-10"},{"id":16,"name":"Locomotive ID","value":"4011"},{"id":130,"name":"Impact","value":""},{"id":150,"name":"Time of Event (Mountain Time)","value":"05:24:27"},{"id":151,"name":"Denver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4011 --day 2017-03-10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2017-03-10-UncaughtWiMAX.txt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630</v>
      </c>
      <c r="B22" s="7">
        <v>4012</v>
      </c>
      <c r="C22" s="21" t="s">
        <v>239</v>
      </c>
      <c r="D22" s="21" t="s">
        <v>821</v>
      </c>
      <c r="E22" s="13">
        <v>42804.232499999998</v>
      </c>
      <c r="F22" s="13">
        <v>42804.233159722222</v>
      </c>
      <c r="G22" s="7">
        <v>0</v>
      </c>
      <c r="H22" s="21" t="s">
        <v>817</v>
      </c>
      <c r="I22" s="13">
        <v>42804.268888888888</v>
      </c>
      <c r="J22" s="7">
        <v>0</v>
      </c>
      <c r="K22" s="98" t="str">
        <f t="shared" si="0"/>
        <v>4011/4012</v>
      </c>
      <c r="L22" s="21" t="str">
        <f>VLOOKUP(A22,'Trips&amp;Operators'!$C$1:$G$99999,5,FALSE)</f>
        <v>LOZA FIDEL</v>
      </c>
      <c r="M22" s="6">
        <f t="shared" si="1"/>
        <v>3.5729166665987577E-2</v>
      </c>
      <c r="N22" s="7">
        <f t="shared" si="2"/>
        <v>51.449999999022111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-10T04:34:48-0700',mode:absolute,to:'2017-03-10T07:27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23.2987</v>
      </c>
      <c r="Z22" s="62">
        <f t="shared" si="9"/>
        <v>1.32E-2</v>
      </c>
      <c r="AA22" s="62">
        <f t="shared" si="10"/>
        <v>23.285499999999999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0110-10</v>
      </c>
      <c r="AE22" s="85" t="str">
        <f t="shared" si="12"/>
        <v>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 &amp; aws s3 cp s3://rtdc.mdm.uploadarchive.raw/RTDC4012/ "%USERPROFILE%\AppData\Local\Temp\OnboardLogs"\RTDC4012\2017-03-11 --exclude "*" --recursive --include "*20170311*" &amp; "%USERPROFILE%\Documents\GitHub\mrs-test-scripts\Headless Mode &amp; Sideloading\WalkAndUnGZ.bat" "%USERPROFILE%\AppData\Local\Temp\OnboardLogs"\RTDC4012\2017-03-11</v>
      </c>
      <c r="AF22" s="82" t="str">
        <f t="shared" si="13"/>
        <v>"C:\Program Files (x86)\AstroGrep\AstroGrep.exe" /e /r /s /spath="%USERPROFILE%\AppData\Local\Temp\OnboardLogs" /stypes="app*4012*20170310*" /stext=" 13:.+((SYSTEM_STATE.+slice.+state.+changed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110-10 --locoid 4012 --swversion DE.1.0.9.0 --startMP 204:232987 --initTime 2017-03-10T05:34:48 --startdatetime 2017-03-10T05:35:45 --delay 0 --endMP 204:132 --enddatetime 2017-03-10T06:27:12 --enforcementcount 0 &gt;&gt;C:\Users\stu\Documents\GitHub\eaglep3-reporting\EC\2017-03-10-refined-times.txt</v>
      </c>
      <c r="AI22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{"issue":{"subject":"","project_id":79,"tracker_id":40,"status_id":1,"priority_id":2,"assigned_to_id":23,"start_date":"2017-03-10","description":"","custom_fields":[{"id":1,"name":"Subdivision","value":"EC"},{"id":4,"name":"Milepost","value":"0.0132"},{"id":17,"name":"Train ID","value":"110-10"},{"id":16,"name":"Locomotive ID","value":"4012"},{"id":130,"name":"Impact","value":""},{"id":150,"name":"Time of Event (Mountain Time)","value":"06:27:12"},{"id":151,"name":"Denver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4012 --day 2017-03-10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2017-03-10-UncaughtWiMAX.txt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625</v>
      </c>
      <c r="B23" s="7">
        <v>4009</v>
      </c>
      <c r="C23" s="21" t="s">
        <v>239</v>
      </c>
      <c r="D23" s="21" t="s">
        <v>534</v>
      </c>
      <c r="E23" s="13">
        <v>42804.201539351852</v>
      </c>
      <c r="F23" s="13">
        <v>42804.202581018515</v>
      </c>
      <c r="G23" s="7">
        <v>1</v>
      </c>
      <c r="H23" s="21" t="s">
        <v>822</v>
      </c>
      <c r="I23" s="13">
        <v>42804.236087962963</v>
      </c>
      <c r="J23" s="7">
        <v>0</v>
      </c>
      <c r="K23" s="98" t="str">
        <f t="shared" si="0"/>
        <v>4009/4010</v>
      </c>
      <c r="L23" s="21" t="str">
        <f>VLOOKUP(A23,'Trips&amp;Operators'!$C$1:$G$99999,5,FALSE)</f>
        <v>BONDS REYNALDO</v>
      </c>
      <c r="M23" s="6">
        <f t="shared" si="1"/>
        <v>3.3506944448163267E-2</v>
      </c>
      <c r="N23" s="7">
        <f t="shared" si="2"/>
        <v>48.250000005355105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-10T03:50:13-0700',mode:absolute,to:'2017-03-10T06:39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4.6199999999999998E-2</v>
      </c>
      <c r="Z23" s="62">
        <f t="shared" si="9"/>
        <v>23.328600000000002</v>
      </c>
      <c r="AA23" s="62">
        <f t="shared" si="10"/>
        <v>23.282400000000003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0111-10</v>
      </c>
      <c r="AE23" s="85" t="str">
        <f t="shared" si="12"/>
        <v>aws s3 cp s3://rtdc.mdm.uploadarchive.raw/RTDC4009/ "%USERPROFILE%\AppData\Local\Temp\OnboardLogs"\RTDC4009\2017-03-10 --exclude "*" --recursive --include "*20170310*" &amp; "%USERPROFILE%\Documents\GitHub\mrs-test-scripts\Headless Mode &amp; Sideloading\WalkAndUnGZ.bat" "%USERPROFILE%\AppData\Local\Temp\OnboardLogs"\RTDC4009\2017-03-10 &amp; 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</v>
      </c>
      <c r="AF23" s="82" t="str">
        <f t="shared" si="13"/>
        <v>"C:\Program Files (x86)\AstroGrep\AstroGrep.exe" /e /r /s /spath="%USERPROFILE%\AppData\Local\Temp\OnboardLogs" /stypes="app*4009*20170310*" /stext=" 12:.+((SYSTEM_STATE.+slice.+state.+changed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111-10 --locoid 4009 --swversion DE.1.0.9.0 --startMP 204:462 --initTime 2017-03-10T04:50:13 --startdatetime 2017-03-10T04:51:43 --delay 1 --endMP 204:233286 --enddatetime 2017-03-10T05:39:58 --enforcementcount 0 &gt;&gt;C:\Users\stu\Documents\GitHub\eaglep3-reporting\EC\2017-03-10-refined-times.txt</v>
      </c>
      <c r="AI23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{"issue":{"subject":"","project_id":79,"tracker_id":40,"status_id":1,"priority_id":2,"assigned_to_id":23,"start_date":"2017-03-10","description":"","custom_fields":[{"id":1,"name":"Subdivision","value":"EC"},{"id":4,"name":"Milepost","value":"23.3286"},{"id":17,"name":"Train ID","value":"111-10"},{"id":16,"name":"Locomotive ID","value":"4009"},{"id":130,"name":"Impact","value":""},{"id":150,"name":"Time of Event (Mountain Time)","value":"05:39:58"},{"id":151,"name":"Denver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4009 --day 2017-03-10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"%USERPROFILE%\AppData\Local\Temp\OnboardLogs"\RTDC4009\*4009*20170310* | grep -SE "(Enforcement Action)|(\[TIMEOUT)|(CHR.+\|PRM\|1\|D.+(SWITCH|SIGNAL).+UNKNOWN)" - &gt;&gt; 2017-03-10-UncaughtWiMAX.txt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634</v>
      </c>
      <c r="B24" s="7">
        <v>4010</v>
      </c>
      <c r="C24" s="21" t="s">
        <v>239</v>
      </c>
      <c r="D24" s="21" t="s">
        <v>823</v>
      </c>
      <c r="E24" s="13">
        <v>42804.244687500002</v>
      </c>
      <c r="F24" s="13">
        <v>42804.245289351849</v>
      </c>
      <c r="G24" s="7">
        <v>0</v>
      </c>
      <c r="H24" s="21" t="s">
        <v>184</v>
      </c>
      <c r="I24" s="13">
        <v>42804.275914351849</v>
      </c>
      <c r="J24" s="7">
        <v>0</v>
      </c>
      <c r="K24" s="98" t="str">
        <f t="shared" si="0"/>
        <v>4009/4010</v>
      </c>
      <c r="L24" s="21" t="str">
        <f>VLOOKUP(A24,'Trips&amp;Operators'!$C$1:$G$99999,5,FALSE)</f>
        <v>BONDS REYNALDO</v>
      </c>
      <c r="M24" s="6">
        <f t="shared" si="1"/>
        <v>3.0624999999417923E-2</v>
      </c>
      <c r="N24" s="7">
        <f t="shared" si="2"/>
        <v>44.09999999916181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-10T04:52:21-0700',mode:absolute,to:'2017-03-10T07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23.296299999999999</v>
      </c>
      <c r="Z24" s="62">
        <f t="shared" si="9"/>
        <v>1.49E-2</v>
      </c>
      <c r="AA24" s="62">
        <f t="shared" si="10"/>
        <v>23.281399999999998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0112-10</v>
      </c>
      <c r="AE24" s="85" t="str">
        <f t="shared" si="12"/>
        <v>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 &amp; 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</v>
      </c>
      <c r="AF24" s="82" t="str">
        <f t="shared" si="13"/>
        <v>"C:\Program Files (x86)\AstroGrep\AstroGrep.exe" /e /r /s /spath="%USERPROFILE%\AppData\Local\Temp\OnboardLogs" /stypes="app*4010*20170310*" /stext=" 13:.+((SYSTEM_STATE.+slice.+state.+changed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112-10 --locoid 4010 --swversion DE.1.0.9.0 --startMP 204:232963 --initTime 2017-03-10T05:52:21 --startdatetime 2017-03-10T05:53:13 --delay 0 --endMP 204:149 --enddatetime 2017-03-10T06:37:19 --enforcementcount 0 &gt;&gt;C:\Users\stu\Documents\GitHub\eaglep3-reporting\EC\2017-03-10-refined-times.txt</v>
      </c>
      <c r="AI24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{"issue":{"subject":"","project_id":79,"tracker_id":40,"status_id":1,"priority_id":2,"assigned_to_id":23,"start_date":"2017-03-10","description":"","custom_fields":[{"id":1,"name":"Subdivision","value":"EC"},{"id":4,"name":"Milepost","value":"0.0149"},{"id":17,"name":"Train ID","value":"112-10"},{"id":16,"name":"Locomotive ID","value":"4010"},{"id":130,"name":"Impact","value":""},{"id":150,"name":"Time of Event (Mountain Time)","value":"06:37:19"},{"id":151,"name":"Denver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4010 --day 2017-03-10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"%USERPROFILE%\AppData\Local\Temp\OnboardLogs"\RTDC4010\*4010*20170310* | grep -SE "(Enforcement Action)|(\[TIMEOUT)|(CHR.+\|PRM\|1\|D.+(SWITCH|SIGNAL).+UNKNOWN)" - &gt;&gt; 2017-03-10-UncaughtWiMAX.txt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627</v>
      </c>
      <c r="B25" s="7">
        <v>4007</v>
      </c>
      <c r="C25" s="21" t="s">
        <v>239</v>
      </c>
      <c r="D25" s="21" t="s">
        <v>824</v>
      </c>
      <c r="E25" s="13">
        <v>42804.217002314814</v>
      </c>
      <c r="F25" s="13">
        <v>42804.218472222223</v>
      </c>
      <c r="G25" s="7">
        <v>2</v>
      </c>
      <c r="H25" s="21" t="s">
        <v>532</v>
      </c>
      <c r="I25" s="13">
        <v>42804.247418981482</v>
      </c>
      <c r="J25" s="7">
        <v>0</v>
      </c>
      <c r="K25" s="98" t="str">
        <f t="shared" si="0"/>
        <v>4007/4008</v>
      </c>
      <c r="L25" s="21" t="str">
        <f>VLOOKUP(A25,'Trips&amp;Operators'!$C$1:$G$99999,5,FALSE)</f>
        <v>BADERTSCHER DIANE</v>
      </c>
      <c r="M25" s="6">
        <f t="shared" si="1"/>
        <v>2.8946759259270038E-2</v>
      </c>
      <c r="N25" s="7">
        <f t="shared" si="2"/>
        <v>41.683333333348855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-10T04:12:29-0700',mode:absolute,to:'2017-03-10T06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7.2800000000000004E-2</v>
      </c>
      <c r="Z25" s="62">
        <f t="shared" si="9"/>
        <v>23.3278</v>
      </c>
      <c r="AA25" s="62">
        <f t="shared" si="10"/>
        <v>23.254999999999999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0113-10</v>
      </c>
      <c r="AE25" s="85" t="str">
        <f t="shared" si="12"/>
        <v>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 &amp; aws s3 cp s3://rtdc.mdm.uploadarchive.raw/RTDC4007/ "%USERPROFILE%\AppData\Local\Temp\OnboardLogs"\RTDC4007\2017-03-11 --exclude "*" --recursive --include "*20170311*" &amp; "%USERPROFILE%\Documents\GitHub\mrs-test-scripts\Headless Mode &amp; Sideloading\WalkAndUnGZ.bat" "%USERPROFILE%\AppData\Local\Temp\OnboardLogs"\RTDC4007\2017-03-11</v>
      </c>
      <c r="AF25" s="82" t="str">
        <f t="shared" si="13"/>
        <v>"C:\Program Files (x86)\AstroGrep\AstroGrep.exe" /e /r /s /spath="%USERPROFILE%\AppData\Local\Temp\OnboardLogs" /stypes="app*4007*20170310*" /stext=" 12:.+((SYSTEM_STATE.+slice.+state.+changed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113-10 --locoid 4007 --swversion DE.1.0.9.0 --startMP 204:728 --initTime 2017-03-10T05:12:29 --startdatetime 2017-03-10T05:14:36 --delay 2 --endMP 204:233278 --enddatetime 2017-03-10T05:56:17 --enforcementcount 0 &gt;&gt;C:\Users\stu\Documents\GitHub\eaglep3-reporting\EC\2017-03-10-refined-times.txt</v>
      </c>
      <c r="AI25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{"issue":{"subject":"","project_id":79,"tracker_id":40,"status_id":1,"priority_id":2,"assigned_to_id":23,"start_date":"2017-03-10","description":"","custom_fields":[{"id":1,"name":"Subdivision","value":"EC"},{"id":4,"name":"Milepost","value":"23.3278"},{"id":17,"name":"Train ID","value":"113-10"},{"id":16,"name":"Locomotive ID","value":"4007"},{"id":130,"name":"Impact","value":""},{"id":150,"name":"Time of Event (Mountain Time)","value":"05:56:17"},{"id":151,"name":"Denver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4007 --day 2017-03-10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"%USERPROFILE%\AppData\Local\Temp\OnboardLogs"\RTDC4007\*4007*20170310* | grep -SE "(Enforcement Action)|(\[TIMEOUT)|(CHR.+\|PRM\|1\|D.+(SWITCH|SIGNAL).+UNKNOWN)" - &gt;&gt; 2017-03-10-UncaughtWiMAX.txt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570</v>
      </c>
      <c r="B26" s="7">
        <v>4008</v>
      </c>
      <c r="C26" s="21" t="s">
        <v>239</v>
      </c>
      <c r="D26" s="21" t="s">
        <v>825</v>
      </c>
      <c r="E26" s="13">
        <v>42804.256516203706</v>
      </c>
      <c r="F26" s="13">
        <v>42804.257511574076</v>
      </c>
      <c r="G26" s="7">
        <v>1</v>
      </c>
      <c r="H26" s="21" t="s">
        <v>202</v>
      </c>
      <c r="I26" s="13">
        <v>42804.288865740738</v>
      </c>
      <c r="J26" s="7">
        <v>0</v>
      </c>
      <c r="K26" s="98" t="str">
        <f t="shared" si="0"/>
        <v>4007/4008</v>
      </c>
      <c r="L26" s="21" t="str">
        <f>VLOOKUP(A26,'Trips&amp;Operators'!$C$1:$G$99999,5,FALSE)</f>
        <v>BADERTSCHER DIANE</v>
      </c>
      <c r="M26" s="6">
        <f t="shared" si="1"/>
        <v>3.1354166661913041E-2</v>
      </c>
      <c r="N26" s="7">
        <f t="shared" si="2"/>
        <v>45.149999993154779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-10T05:09:23-0700',mode:absolute,to:'2017-03-10T07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23.296399999999998</v>
      </c>
      <c r="Z26" s="62">
        <f t="shared" si="9"/>
        <v>1.52E-2</v>
      </c>
      <c r="AA26" s="62">
        <f t="shared" si="10"/>
        <v>23.281199999999998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0114-10</v>
      </c>
      <c r="AE26" s="85" t="str">
        <f t="shared" si="12"/>
        <v>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 &amp; aws s3 cp s3://rtdc.mdm.uploadarchive.raw/RTDC4008/ "%USERPROFILE%\AppData\Local\Temp\OnboardLogs"\RTDC4008\2017-03-11 --exclude "*" --recursive --include "*20170311*" &amp; "%USERPROFILE%\Documents\GitHub\mrs-test-scripts\Headless Mode &amp; Sideloading\WalkAndUnGZ.bat" "%USERPROFILE%\AppData\Local\Temp\OnboardLogs"\RTDC4008\2017-03-11</v>
      </c>
      <c r="AF26" s="82" t="str">
        <f t="shared" si="13"/>
        <v>"C:\Program Files (x86)\AstroGrep\AstroGrep.exe" /e /r /s /spath="%USERPROFILE%\AppData\Local\Temp\OnboardLogs" /stypes="app*4008*20170310*" /stext=" 13:.+((SYSTEM_STATE.+slice.+state.+changed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114-10 --locoid 4008 --swversion DE.1.0.9.0 --startMP 204:232964 --initTime 2017-03-10T06:09:23 --startdatetime 2017-03-10T06:10:49 --delay 1 --endMP 204:152 --enddatetime 2017-03-10T06:55:58 --enforcementcount 0 &gt;&gt;C:\Users\stu\Documents\GitHub\eaglep3-reporting\EC\2017-03-10-refined-times.txt</v>
      </c>
      <c r="AI26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{"issue":{"subject":"","project_id":79,"tracker_id":40,"status_id":1,"priority_id":2,"assigned_to_id":23,"start_date":"2017-03-10","description":"","custom_fields":[{"id":1,"name":"Subdivision","value":"EC"},{"id":4,"name":"Milepost","value":"0.0152"},{"id":17,"name":"Train ID","value":"114-10"},{"id":16,"name":"Locomotive ID","value":"4008"},{"id":130,"name":"Impact","value":""},{"id":150,"name":"Time of Event (Mountain Time)","value":"06:55:58"},{"id":151,"name":"Denver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4008 --day 2017-03-10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"%USERPROFILE%\AppData\Local\Temp\OnboardLogs"\RTDC4008\*4008*20170310* | grep -SE "(Enforcement Action)|(\[TIMEOUT)|(CHR.+\|PRM\|1\|D.+(SWITCH|SIGNAL).+UNKNOWN)" - &gt;&gt; 2017-03-10-UncaughtWiMAX.txt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628</v>
      </c>
      <c r="B27" s="7">
        <v>4053</v>
      </c>
      <c r="C27" s="21" t="s">
        <v>239</v>
      </c>
      <c r="D27" s="21" t="s">
        <v>520</v>
      </c>
      <c r="E27" s="13">
        <v>42804.225787037038</v>
      </c>
      <c r="F27" s="13">
        <v>42804.227083333331</v>
      </c>
      <c r="G27" s="7">
        <v>1</v>
      </c>
      <c r="H27" s="21" t="s">
        <v>528</v>
      </c>
      <c r="I27" s="13">
        <v>42804.253969907404</v>
      </c>
      <c r="J27" s="7">
        <v>0</v>
      </c>
      <c r="K27" s="98" t="str">
        <f t="shared" si="0"/>
        <v>4053/4054</v>
      </c>
      <c r="L27" s="21" t="str">
        <f>VLOOKUP(A27,'Trips&amp;Operators'!$C$1:$G$99999,5,FALSE)</f>
        <v>ROCHA YAOTL</v>
      </c>
      <c r="M27" s="6">
        <f t="shared" si="1"/>
        <v>2.6886574072705116E-2</v>
      </c>
      <c r="N27" s="7">
        <f t="shared" si="2"/>
        <v>38.716666664695367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-10T04:25:08-0700',mode:absolute,to:'2017-03-10T07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4.2599999999999999E-2</v>
      </c>
      <c r="Z27" s="62">
        <f t="shared" si="9"/>
        <v>23.330500000000001</v>
      </c>
      <c r="AA27" s="62">
        <f t="shared" si="10"/>
        <v>23.2879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0115-10</v>
      </c>
      <c r="AE27" s="85" t="str">
        <f t="shared" si="12"/>
        <v>aws s3 cp s3://rtdc.mdm.uploadarchive.raw/RTDC4053/ "%USERPROFILE%\AppData\Local\Temp\OnboardLogs"\RTDC4053\2017-03-10 --exclude "*" --recursive --include "*20170310*" &amp; "%USERPROFILE%\Documents\GitHub\mrs-test-scripts\Headless Mode &amp; Sideloading\WalkAndUnGZ.bat" "%USERPROFILE%\AppData\Local\Temp\OnboardLogs"\RTDC4053\2017-03-10 &amp; aws s3 cp s3://rtdc.mdm.uploadarchive.raw/RTDC4053/ "%USERPROFILE%\AppData\Local\Temp\OnboardLogs"\RTDC4053\2017-03-11 --exclude "*" --recursive --include "*20170311*" &amp; "%USERPROFILE%\Documents\GitHub\mrs-test-scripts\Headless Mode &amp; Sideloading\WalkAndUnGZ.bat" "%USERPROFILE%\AppData\Local\Temp\OnboardLogs"\RTDC4053\2017-03-11</v>
      </c>
      <c r="AF27" s="82" t="str">
        <f t="shared" si="13"/>
        <v>"C:\Program Files (x86)\AstroGrep\AstroGrep.exe" /e /r /s /spath="%USERPROFILE%\AppData\Local\Temp\OnboardLogs" /stypes="app*4053*20170310*" /stext=" 13:.+((SYSTEM_STATE.+slice.+state.+changed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115-10 --locoid 4053 --swversion DE.1.0.9.0 --startMP 204:426 --initTime 2017-03-10T05:25:08 --startdatetime 2017-03-10T05:27:00 --delay 1 --endMP 204:233305 --enddatetime 2017-03-10T06:05:43 --enforcementcount 0 &gt;&gt;C:\Users\stu\Documents\GitHub\eaglep3-reporting\EC\2017-03-10-refined-times.txt</v>
      </c>
      <c r="AI27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{"issue":{"subject":"","project_id":79,"tracker_id":40,"status_id":1,"priority_id":2,"assigned_to_id":23,"start_date":"2017-03-10","description":"","custom_fields":[{"id":1,"name":"Subdivision","value":"EC"},{"id":4,"name":"Milepost","value":"23.3305"},{"id":17,"name":"Train ID","value":"115-10"},{"id":16,"name":"Locomotive ID","value":"4053"},{"id":130,"name":"Impact","value":""},{"id":150,"name":"Time of Event (Mountain Time)","value":"06:05:43"},{"id":151,"name":"Denver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4053 --day 2017-03-10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"%USERPROFILE%\AppData\Local\Temp\OnboardLogs"\RTDC4053\*4053*20170310* | grep -SE "(Enforcement Action)|(\[TIMEOUT)|(CHR.+\|PRM\|1\|D.+(SWITCH|SIGNAL).+UNKNOWN)" - &gt;&gt; 2017-03-10-UncaughtWiMAX.txt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639</v>
      </c>
      <c r="B28" s="7">
        <v>4054</v>
      </c>
      <c r="C28" s="21" t="s">
        <v>239</v>
      </c>
      <c r="D28" s="21" t="s">
        <v>415</v>
      </c>
      <c r="E28" s="13">
        <v>42804.267314814817</v>
      </c>
      <c r="F28" s="13">
        <v>42804.268229166664</v>
      </c>
      <c r="G28" s="7">
        <v>1</v>
      </c>
      <c r="H28" s="21" t="s">
        <v>232</v>
      </c>
      <c r="I28" s="13">
        <v>42804.295266203706</v>
      </c>
      <c r="J28" s="7">
        <v>0</v>
      </c>
      <c r="K28" s="98" t="str">
        <f t="shared" si="0"/>
        <v>4053/4054</v>
      </c>
      <c r="L28" s="21" t="str">
        <f>VLOOKUP(A28,'Trips&amp;Operators'!$C$1:$G$99999,5,FALSE)</f>
        <v>ROCHA YAOTL</v>
      </c>
      <c r="M28" s="6">
        <f t="shared" si="1"/>
        <v>2.7037037041736767E-2</v>
      </c>
      <c r="N28" s="7">
        <f t="shared" si="2"/>
        <v>38.933333340100944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-10T05:24:56-0700',mode:absolute,to:'2017-03-10T08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23.297999999999998</v>
      </c>
      <c r="Z28" s="62">
        <f t="shared" si="9"/>
        <v>1.47E-2</v>
      </c>
      <c r="AA28" s="62">
        <f t="shared" si="10"/>
        <v>23.283299999999997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0116-10</v>
      </c>
      <c r="AE28" s="85" t="str">
        <f t="shared" si="12"/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AF28" s="82" t="str">
        <f t="shared" si="13"/>
        <v>"C:\Program Files (x86)\AstroGrep\AstroGrep.exe" /e /r /s /spath="%USERPROFILE%\AppData\Local\Temp\OnboardLogs" /stypes="app*4054*20170310*" /stext=" 14:.+((SYSTEM_STATE.+slice.+state.+changed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116-10 --locoid 4054 --swversion DE.1.0.9.0 --startMP 204:232980 --initTime 2017-03-10T06:24:56 --startdatetime 2017-03-10T06:26:15 --delay 1 --endMP 204:147 --enddatetime 2017-03-10T07:05:11 --enforcementcount 0 &gt;&gt;C:\Users\stu\Documents\GitHub\eaglep3-reporting\EC\2017-03-10-refined-times.txt</v>
      </c>
      <c r="AI28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{"issue":{"subject":"","project_id":79,"tracker_id":40,"status_id":1,"priority_id":2,"assigned_to_id":23,"start_date":"2017-03-10","description":"","custom_fields":[{"id":1,"name":"Subdivision","value":"EC"},{"id":4,"name":"Milepost","value":"0.0147"},{"id":17,"name":"Train ID","value":"116-10"},{"id":16,"name":"Locomotive ID","value":"4054"},{"id":130,"name":"Impact","value":""},{"id":150,"name":"Time of Event (Mountain Time)","value":"07:05:11"},{"id":151,"name":"Denver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4054 --day 2017-03-10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"%USERPROFILE%\AppData\Local\Temp\OnboardLogs"\RTDC4054\*4054*20170310* | grep -SE "(Enforcement Action)|(\[TIMEOUT)|(CHR.+\|PRM\|1\|D.+(SWITCH|SIGNAL).+UNKNOWN)" - &gt;&gt; 2017-03-10-UncaughtWiMAX.txt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631</v>
      </c>
      <c r="B29" s="7">
        <v>4046</v>
      </c>
      <c r="C29" s="21" t="s">
        <v>239</v>
      </c>
      <c r="D29" s="21" t="s">
        <v>826</v>
      </c>
      <c r="E29" s="13">
        <v>42804.233090277776</v>
      </c>
      <c r="F29" s="13">
        <v>42804.233993055554</v>
      </c>
      <c r="G29" s="7">
        <v>1</v>
      </c>
      <c r="H29" s="21" t="s">
        <v>244</v>
      </c>
      <c r="I29" s="13">
        <v>42804.267546296294</v>
      </c>
      <c r="J29" s="7">
        <v>0</v>
      </c>
      <c r="K29" s="98" t="str">
        <f t="shared" si="0"/>
        <v>4045/4046</v>
      </c>
      <c r="L29" s="21" t="str">
        <f>VLOOKUP(A29,'Trips&amp;Operators'!$C$1:$G$99999,5,FALSE)</f>
        <v>DAVIS WENDY</v>
      </c>
      <c r="M29" s="6">
        <f t="shared" si="1"/>
        <v>3.3553240740729962E-2</v>
      </c>
      <c r="N29" s="7">
        <f t="shared" si="2"/>
        <v>48.316666666651145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-10T04:35:39-0700',mode:absolute,to:'2017-03-10T07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7.6600000000000001E-2</v>
      </c>
      <c r="Z29" s="62">
        <f t="shared" si="9"/>
        <v>23.331399999999999</v>
      </c>
      <c r="AA29" s="62">
        <f t="shared" si="10"/>
        <v>23.254799999999999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0117-10</v>
      </c>
      <c r="AE29" s="85" t="str">
        <f t="shared" si="12"/>
        <v>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 &amp; 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</v>
      </c>
      <c r="AF29" s="82" t="str">
        <f t="shared" si="13"/>
        <v>"C:\Program Files (x86)\AstroGrep\AstroGrep.exe" /e /r /s /spath="%USERPROFILE%\AppData\Local\Temp\OnboardLogs" /stypes="app*4046*20170310*" /stext=" 13:.+((SYSTEM_STATE.+slice.+state.+changed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117-10 --locoid 4046 --swversion DE.1.0.9.0 --startMP 204:766 --initTime 2017-03-10T05:35:39 --startdatetime 2017-03-10T05:36:57 --delay 1 --endMP 204:233314 --enddatetime 2017-03-10T06:25:16 --enforcementcount 0 &gt;&gt;C:\Users\stu\Documents\GitHub\eaglep3-reporting\EC\2017-03-10-refined-times.txt</v>
      </c>
      <c r="AI29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{"issue":{"subject":"","project_id":79,"tracker_id":40,"status_id":1,"priority_id":2,"assigned_to_id":23,"start_date":"2017-03-10","description":"","custom_fields":[{"id":1,"name":"Subdivision","value":"EC"},{"id":4,"name":"Milepost","value":"23.3314"},{"id":17,"name":"Train ID","value":"117-10"},{"id":16,"name":"Locomotive ID","value":"4046"},{"id":130,"name":"Impact","value":""},{"id":150,"name":"Time of Event (Mountain Time)","value":"06:25:16"},{"id":151,"name":"Denver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4046 --day 2017-03-10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"%USERPROFILE%\AppData\Local\Temp\OnboardLogs"\RTDC4046\*4046*20170310* | grep -SE "(Enforcement Action)|(\[TIMEOUT)|(CHR.+\|PRM\|1\|D.+(SWITCH|SIGNAL).+UNKNOWN)" - &gt;&gt; 2017-03-10-UncaughtWiMAX.txt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643</v>
      </c>
      <c r="B30" s="7">
        <v>4045</v>
      </c>
      <c r="C30" s="21" t="s">
        <v>239</v>
      </c>
      <c r="D30" s="21" t="s">
        <v>416</v>
      </c>
      <c r="E30" s="13">
        <v>42804.276979166665</v>
      </c>
      <c r="F30" s="13">
        <v>42804.278101851851</v>
      </c>
      <c r="G30" s="7">
        <v>1</v>
      </c>
      <c r="H30" s="21" t="s">
        <v>203</v>
      </c>
      <c r="I30" s="13">
        <v>42804.307928240742</v>
      </c>
      <c r="J30" s="7">
        <v>0</v>
      </c>
      <c r="K30" s="98" t="str">
        <f t="shared" si="0"/>
        <v>4045/4046</v>
      </c>
      <c r="L30" s="21" t="str">
        <f>VLOOKUP(A30,'Trips&amp;Operators'!$C$1:$G$99999,5,FALSE)</f>
        <v>DAVIS WENDY</v>
      </c>
      <c r="M30" s="6">
        <f t="shared" si="1"/>
        <v>2.9826388890796807E-2</v>
      </c>
      <c r="N30" s="7">
        <f t="shared" si="2"/>
        <v>42.950000002747402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-10T05:38:51-0700',mode:absolute,to:'2017-03-10T08:23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23.2989</v>
      </c>
      <c r="Z30" s="62">
        <f t="shared" si="9"/>
        <v>1.5800000000000002E-2</v>
      </c>
      <c r="AA30" s="62">
        <f t="shared" si="10"/>
        <v>23.283100000000001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0118-10</v>
      </c>
      <c r="AE30" s="85" t="str">
        <f t="shared" si="12"/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AF30" s="82" t="str">
        <f t="shared" si="13"/>
        <v>"C:\Program Files (x86)\AstroGrep\AstroGrep.exe" /e /r /s /spath="%USERPROFILE%\AppData\Local\Temp\OnboardLogs" /stypes="app*4045*20170310*" /stext=" 14:.+((SYSTEM_STATE.+slice.+state.+changed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118-10 --locoid 4045 --swversion DE.1.0.9.0 --startMP 204:232989 --initTime 2017-03-10T06:38:51 --startdatetime 2017-03-10T06:40:28 --delay 1 --endMP 204:158 --enddatetime 2017-03-10T07:23:25 --enforcementcount 0 &gt;&gt;C:\Users\stu\Documents\GitHub\eaglep3-reporting\EC\2017-03-10-refined-times.txt</v>
      </c>
      <c r="AI30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{"issue":{"subject":"","project_id":79,"tracker_id":40,"status_id":1,"priority_id":2,"assigned_to_id":23,"start_date":"2017-03-10","description":"","custom_fields":[{"id":1,"name":"Subdivision","value":"EC"},{"id":4,"name":"Milepost","value":"0.0158"},{"id":17,"name":"Train ID","value":"118-10"},{"id":16,"name":"Locomotive ID","value":"4045"},{"id":130,"name":"Impact","value":""},{"id":150,"name":"Time of Event (Mountain Time)","value":"07:23:25"},{"id":151,"name":"Denver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4045 --day 2017-03-10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"%USERPROFILE%\AppData\Local\Temp\OnboardLogs"\RTDC4045\*4045*20170310* | grep -SE "(Enforcement Action)|(\[TIMEOUT)|(CHR.+\|PRM\|1\|D.+(SWITCH|SIGNAL).+UNKNOWN)" - &gt;&gt; 2017-03-10-UncaughtWiMAX.txt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635</v>
      </c>
      <c r="B31" s="7">
        <v>4031</v>
      </c>
      <c r="C31" s="21" t="s">
        <v>239</v>
      </c>
      <c r="D31" s="21" t="s">
        <v>485</v>
      </c>
      <c r="E31" s="13">
        <v>42804.247245370374</v>
      </c>
      <c r="F31" s="13">
        <v>42804.248333333337</v>
      </c>
      <c r="G31" s="7">
        <v>1</v>
      </c>
      <c r="H31" s="21" t="s">
        <v>267</v>
      </c>
      <c r="I31" s="13">
        <v>42804.275254629632</v>
      </c>
      <c r="J31" s="7">
        <v>0</v>
      </c>
      <c r="K31" s="98" t="str">
        <f t="shared" si="0"/>
        <v>4031/4032</v>
      </c>
      <c r="L31" s="21" t="str">
        <f>VLOOKUP(A31,'Trips&amp;Operators'!$C$1:$G$99999,5,FALSE)</f>
        <v>ROBINSON KADDIBA</v>
      </c>
      <c r="M31" s="6">
        <f t="shared" si="1"/>
        <v>2.6921296295768116E-2</v>
      </c>
      <c r="N31" s="7">
        <f t="shared" si="2"/>
        <v>38.766666665906087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-10T04:56:02-0700',mode:absolute,to:'2017-03-10T07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4.3799999999999999E-2</v>
      </c>
      <c r="Z31" s="62">
        <f t="shared" si="9"/>
        <v>23.330300000000001</v>
      </c>
      <c r="AA31" s="62">
        <f t="shared" si="10"/>
        <v>23.2865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0119-10</v>
      </c>
      <c r="AE31" s="85" t="str">
        <f t="shared" si="12"/>
        <v>aws s3 cp s3://rtdc.mdm.uploadarchive.raw/RTDC4031/ "%USERPROFILE%\AppData\Local\Temp\OnboardLogs"\RTDC4031\2017-03-10 --exclude "*" --recursive --include "*20170310*" &amp; "%USERPROFILE%\Documents\GitHub\mrs-test-scripts\Headless Mode &amp; Sideloading\WalkAndUnGZ.bat" "%USERPROFILE%\AppData\Local\Temp\OnboardLogs"\RTDC4031\2017-03-10 &amp; aws s3 cp s3://rtdc.mdm.uploadarchive.raw/RTDC4031/ "%USERPROFILE%\AppData\Local\Temp\OnboardLogs"\RTDC4031\2017-03-11 --exclude "*" --recursive --include "*20170311*" &amp; "%USERPROFILE%\Documents\GitHub\mrs-test-scripts\Headless Mode &amp; Sideloading\WalkAndUnGZ.bat" "%USERPROFILE%\AppData\Local\Temp\OnboardLogs"\RTDC4031\2017-03-11</v>
      </c>
      <c r="AF31" s="82" t="str">
        <f t="shared" si="13"/>
        <v>"C:\Program Files (x86)\AstroGrep\AstroGrep.exe" /e /r /s /spath="%USERPROFILE%\AppData\Local\Temp\OnboardLogs" /stypes="app*4031*20170310*" /stext=" 13:.+((SYSTEM_STATE.+slice.+state.+changed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119-10 --locoid 4031 --swversion DE.1.0.9.0 --startMP 204:438 --initTime 2017-03-10T05:56:02 --startdatetime 2017-03-10T05:57:36 --delay 1 --endMP 204:233303 --enddatetime 2017-03-10T06:36:22 --enforcementcount 0 &gt;&gt;C:\Users\stu\Documents\GitHub\eaglep3-reporting\EC\2017-03-10-refined-times.txt</v>
      </c>
      <c r="AI31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{"issue":{"subject":"","project_id":79,"tracker_id":40,"status_id":1,"priority_id":2,"assigned_to_id":23,"start_date":"2017-03-10","description":"","custom_fields":[{"id":1,"name":"Subdivision","value":"EC"},{"id":4,"name":"Milepost","value":"23.3303"},{"id":17,"name":"Train ID","value":"119-10"},{"id":16,"name":"Locomotive ID","value":"4031"},{"id":130,"name":"Impact","value":""},{"id":150,"name":"Time of Event (Mountain Time)","value":"06:36:22"},{"id":151,"name":"Denver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4031 --day 2017-03-10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"%USERPROFILE%\AppData\Local\Temp\OnboardLogs"\RTDC4031\*4031*20170310* | grep -SE "(Enforcement Action)|(\[TIMEOUT)|(CHR.+\|PRM\|1\|D.+(SWITCH|SIGNAL).+UNKNOWN)" - &gt;&gt; 2017-03-10-UncaughtWiMAX.txt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571</v>
      </c>
      <c r="B32" s="7">
        <v>4032</v>
      </c>
      <c r="C32" s="21" t="s">
        <v>239</v>
      </c>
      <c r="D32" s="21" t="s">
        <v>827</v>
      </c>
      <c r="E32" s="13">
        <v>42804.285821759258</v>
      </c>
      <c r="F32" s="13">
        <v>42804.286782407406</v>
      </c>
      <c r="G32" s="7">
        <v>1</v>
      </c>
      <c r="H32" s="21" t="s">
        <v>828</v>
      </c>
      <c r="I32" s="13">
        <v>42804.30431712963</v>
      </c>
      <c r="J32" s="7">
        <v>0</v>
      </c>
      <c r="K32" s="98" t="str">
        <f t="shared" si="0"/>
        <v>4031/4032</v>
      </c>
      <c r="L32" s="21" t="str">
        <f>VLOOKUP(A32,'Trips&amp;Operators'!$C$1:$G$99999,5,FALSE)</f>
        <v>DAVIS WENDY</v>
      </c>
      <c r="M32" s="6">
        <f t="shared" si="1"/>
        <v>1.7534722224809229E-2</v>
      </c>
      <c r="N32" s="7">
        <f>24*60*SUM($M32:$M33)</f>
        <v>46.833333332324401</v>
      </c>
      <c r="O32" s="7"/>
      <c r="P32" s="7"/>
      <c r="Q32" s="22"/>
      <c r="R32" s="22" t="s">
        <v>1013</v>
      </c>
      <c r="S32" s="31">
        <f>SUM(U32:U33)/IF(AG32="EC",12,1)</f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-10T05:51:35-0700',mode:absolute,to:'2017-03-10T08:18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2" s="187" t="str">
        <f t="shared" si="6"/>
        <v>Y</v>
      </c>
      <c r="X32" s="187">
        <f t="shared" ref="X32:X40" si="55">VALUE(LEFT(AD32,4))-VALUE(LEFT(AD31,4))</f>
        <v>1</v>
      </c>
      <c r="Y32" s="62">
        <f t="shared" si="8"/>
        <v>23.297499999999999</v>
      </c>
      <c r="Z32" s="62">
        <f t="shared" si="9"/>
        <v>8.6020000000000003</v>
      </c>
      <c r="AA32" s="62">
        <f t="shared" si="10"/>
        <v>14.695499999999999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0120-10</v>
      </c>
      <c r="AE32" s="85" t="str">
        <f t="shared" si="12"/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AF32" s="82" t="str">
        <f t="shared" si="13"/>
        <v>"C:\Program Files (x86)\AstroGrep\AstroGrep.exe" /e /r /s /spath="%USERPROFILE%\AppData\Local\Temp\OnboardLogs" /stypes="app*4032*20170310*" /stext=" 14:.+((SYSTEM_STATE.+slice.+state.+changed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120-10 --locoid 4032 --swversion DE.1.0.9.0 --startMP 204:232975 --initTime 2017-03-10T06:51:35 --startdatetime 2017-03-10T06:52:58 --delay 1 --endMP 204:86020 --enddatetime 2017-03-10T07:18:13 --enforcementcount 0 &gt;&gt;C:\Users\stu\Documents\GitHub\eaglep3-reporting\EC\2017-03-10-refined-times.txt</v>
      </c>
      <c r="AI32" s="108" t="str">
        <f t="shared" si="19"/>
        <v>echo {"issue":{"subject":"Overshot platform","project_id":79,"tracker_id":40,"status_id":1,"priority_id":2,"assigned_to_id":23,"start_date":"2017-03-10","description":"","custom_fields":[{"id":1,"name":"Subdivision","value":"EC"},{"id":4,"name":"Milepost","value":"8.602"},{"id":17,"name":"Train ID","value":"120-10"},{"id":16,"name":"Locomotive ID","value":"4032"},{"id":130,"name":"Impact","value":""},{"id":150,"name":"Time of Event (Mountain Time)","value":"07:18:13"},{"id":151,"name":"Denver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4032 --day 2017-03-10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"%USERPROFILE%\AppData\Local\Temp\OnboardLogs"\RTDC4032\*4032*20170310* | grep -SE "(Enforcement Action)|(\[TIMEOUT)|(CHR.+\|PRM\|1\|D.+(SWITCH|SIGNAL).+UNKNOWN)" - &gt;&gt; 2017-03-10-UncaughtWiMAX.txt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571</v>
      </c>
      <c r="B33" s="7">
        <v>4032</v>
      </c>
      <c r="C33" s="21" t="s">
        <v>239</v>
      </c>
      <c r="D33" s="21" t="s">
        <v>829</v>
      </c>
      <c r="E33" s="13">
        <v>42804.306655092594</v>
      </c>
      <c r="F33" s="13">
        <v>42804.307534722226</v>
      </c>
      <c r="G33" s="7">
        <v>1</v>
      </c>
      <c r="H33" s="21" t="s">
        <v>202</v>
      </c>
      <c r="I33" s="13">
        <v>42804.322523148148</v>
      </c>
      <c r="J33" s="7">
        <v>0</v>
      </c>
      <c r="K33" s="98" t="str">
        <f t="shared" si="0"/>
        <v>4031/4032</v>
      </c>
      <c r="L33" s="21" t="str">
        <f>VLOOKUP(A33,'Trips&amp;Operators'!$C$1:$G$99999,5,FALSE)</f>
        <v>DAVIS WENDY</v>
      </c>
      <c r="M33" s="6">
        <f t="shared" si="1"/>
        <v>1.4988425922638271E-2</v>
      </c>
      <c r="N33" s="7"/>
      <c r="O33" s="7"/>
      <c r="P33" s="7"/>
      <c r="Q33" s="22"/>
      <c r="R33" s="22"/>
      <c r="S33" s="31"/>
      <c r="T33" s="46" t="str">
        <f t="shared" si="4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10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-10T06:21:35-0700',mode:absolute,to:'2017-03-10T08:44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187" t="str">
        <f t="shared" si="6"/>
        <v>Y</v>
      </c>
      <c r="X33" s="187">
        <f t="shared" si="55"/>
        <v>0</v>
      </c>
      <c r="Y33" s="62">
        <f t="shared" si="8"/>
        <v>8.6359999999999992</v>
      </c>
      <c r="Z33" s="62">
        <f t="shared" si="9"/>
        <v>1.52E-2</v>
      </c>
      <c r="AA33" s="62">
        <f t="shared" si="10"/>
        <v>8.6207999999999991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0120-10</v>
      </c>
      <c r="AE33" s="85" t="str">
        <f t="shared" si="12"/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AF33" s="82" t="str">
        <f t="shared" si="13"/>
        <v>"C:\Program Files (x86)\AstroGrep\AstroGrep.exe" /e /r /s /spath="%USERPROFILE%\AppData\Local\Temp\OnboardLogs" /stypes="app*4032*20170310*" /stext=" 14:.+((SYSTEM_STATE.+slice.+state.+changed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120-10 --locoid 4032 --swversion DE.1.0.9.0 --startMP 204:86360 --initTime 2017-03-10T07:21:35 --startdatetime 2017-03-10T07:22:51 --delay 1 --endMP 204:152 --enddatetime 2017-03-10T07:44:26 --enforcementcount 0 &gt;&gt;C:\Users\stu\Documents\GitHub\eaglep3-reporting\EC\2017-03-10-refined-times.txt</v>
      </c>
      <c r="AI33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{"issue":{"subject":"","project_id":79,"tracker_id":40,"status_id":1,"priority_id":2,"assigned_to_id":23,"start_date":"2017-03-10","description":"","custom_fields":[{"id":1,"name":"Subdivision","value":"EC"},{"id":4,"name":"Milepost","value":"0.0152"},{"id":17,"name":"Train ID","value":"120-10"},{"id":16,"name":"Locomotive ID","value":"4032"},{"id":130,"name":"Impact","value":""},{"id":150,"name":"Time of Event (Mountain Time)","value":"07:44:26"},{"id":151,"name":"Denver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4032 --day 2017-03-10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"%USERPROFILE%\AppData\Local\Temp\OnboardLogs"\RTDC4032\*4032*20170310* | grep -SE "(Enforcement Action)|(\[TIMEOUT)|(CHR.+\|PRM\|1\|D.+(SWITCH|SIGNAL).+UNKNOWN)" - &gt;&gt; 2017-03-10-UncaughtWiMAX.txt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1022</v>
      </c>
      <c r="B34" s="7">
        <v>4040</v>
      </c>
      <c r="C34" s="21"/>
      <c r="D34" s="21"/>
      <c r="E34" s="13"/>
      <c r="F34" s="13">
        <v>42804.262499999997</v>
      </c>
      <c r="G34" s="7"/>
      <c r="H34" s="21"/>
      <c r="I34" s="13">
        <v>42804.262499999997</v>
      </c>
      <c r="J34" s="7">
        <v>0</v>
      </c>
      <c r="K34" s="98" t="str">
        <f t="shared" ref="K34:K35" si="56">IF(ISEVEN(B34),(B34-1)&amp;"/"&amp;B34,B34&amp;"/"&amp;(B34+1))</f>
        <v>4039/4040</v>
      </c>
      <c r="L34" s="21" t="e">
        <f>VLOOKUP(A34,'Trips&amp;Operators'!$C$1:$G$99999,5,FALSE)</f>
        <v>#N/A</v>
      </c>
      <c r="M34" s="6">
        <f t="shared" ref="M34:M35" si="57">I34-F34</f>
        <v>0</v>
      </c>
      <c r="N34" s="7"/>
      <c r="O34" s="7"/>
      <c r="P34" s="7">
        <v>1</v>
      </c>
      <c r="Q34" s="22"/>
      <c r="R34" s="22" t="s">
        <v>1023</v>
      </c>
      <c r="S34" s="31"/>
      <c r="T34" s="46" t="str">
        <f t="shared" ref="T34:T35" si="58">IF(ISEVEN(LEFT(AD34,4)),"Southbound","NorthBound")</f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186" t="e">
        <f t="shared" si="5"/>
        <v>#VALUE!</v>
      </c>
      <c r="W34" s="187" t="e">
        <f t="shared" ref="W34:W35" si="59">IF(AA34&lt;IF(AG34="EC",23,5.65),"Y","N")</f>
        <v>#VALUE!</v>
      </c>
      <c r="X34" s="187">
        <f t="shared" si="55"/>
        <v>1</v>
      </c>
      <c r="Y34" s="62" t="e">
        <f t="shared" ref="Y34:Y35" si="60">RIGHT(D34,LEN(D34)-4)/10000</f>
        <v>#VALUE!</v>
      </c>
      <c r="Z34" s="62" t="e">
        <f t="shared" ref="Z34:Z35" si="61">RIGHT(H34,LEN(H34)-4)/10000</f>
        <v>#VALUE!</v>
      </c>
      <c r="AA34" s="62" t="e">
        <f t="shared" ref="AA34:AA35" si="62">ABS(Z34-Y34)</f>
        <v>#VALUE!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ref="AD34:AD35" si="63">IF(LEN(A34)=6,"0"&amp;A34,A34)</f>
        <v>0121-10</v>
      </c>
      <c r="AE34" s="85" t="str">
        <f t="shared" si="12"/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AF34" s="82" t="str">
        <f t="shared" si="13"/>
        <v>"C:\Program Files (x86)\AstroGrep\AstroGrep.exe" /e /r /s /spath="%USERPROFILE%\AppData\Local\Temp\OnboardLogs" /stypes="app*4040*20170310*" /stext=" 13:.+((SYSTEM_STATE.+slice.+state.+changed )|(ment ac)|(multiple cpu faults)|(system.+state.+changed )|(\[timeout)|(PRM\|1\|D)|(kpr)|(kdp)|(\|lc)|(penalty))"</v>
      </c>
      <c r="AG34" s="1" t="str">
        <f t="shared" ref="AG34:AG35" si="64">IFERROR(IF(VALUE(LEFT(AD34,2))&lt;=2,"EC",IF(OR(VALUE(LEFT(AD34,2))=8,VALUE(LEFT(AD34,2))=18),"NW","Other")),"Other")</f>
        <v>EC</v>
      </c>
      <c r="AH34" s="86" t="str">
        <f t="shared" ref="AH34:AH35" si="65"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"&amp;J34&amp;IF(outputrefinedruntimes," &gt;&gt;"&amp;RefinedRTDCRunTimesOutputFile,"")</f>
        <v>"%USERPROFILE%\Documents\GitHub\eaglep3\Utilities\RefineRTDCRunTimes.py" --tripid 121-10 --locoid 4040 --swversion  --startMP  --initTime 1900-01-00T00:00:00 --startdatetime 2017-03-10T06:18:00 --delay  --endMP  --enddatetime 2017-03-10T06:18:00 --enforcementcount 0 &gt;&gt;C:\Users\stu\Documents\GitHub\eaglep3-reporting\EC\2017-03-10-refined-times.txt</v>
      </c>
      <c r="AI34" s="108" t="e">
        <f t="shared" ref="AI34:AI35" si="66"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-X POST -H ""Content-Type: application/json"" -H ""X-Redmine-API-Key: "&amp;redm_api_key&amp;""" "&amp;redm_url&amp;" --data @-"</f>
        <v>#VALUE!</v>
      </c>
      <c r="AJ34" s="48"/>
      <c r="AK34" s="48"/>
      <c r="AL34" s="48"/>
      <c r="AM34" s="154" t="str">
        <f t="shared" ref="AM34:AM35" si="67">"start /low /b "&amp;dls3logs&amp;" --loco "&amp;B34&amp;" --day "&amp;TEXT(F34,"YYYY-MM-DD")</f>
        <v>start /low /b %USERPROFILE%\Documents\GitHub\eaglep3\Utilities\DownloadLogsFromS3.py --loco 4040 --day 2017-03-10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"%USERPROFILE%\AppData\Local\Temp\OnboardLogs"\RTDC4040\*4040*20170310* | grep -SE "(Enforcement Action)|(\[TIMEOUT)|(CHR.+\|PRM\|1\|D.+(SWITCH|SIGNAL).+UNKNOWN)" - &gt;&gt; 2017-03-10-UncaughtWiMAX.txt</v>
      </c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</row>
    <row r="35" spans="1:91" s="1" customFormat="1" x14ac:dyDescent="0.25">
      <c r="A35" s="33" t="s">
        <v>647</v>
      </c>
      <c r="B35" s="7">
        <v>4027</v>
      </c>
      <c r="C35" s="21"/>
      <c r="D35" s="21"/>
      <c r="E35" s="13"/>
      <c r="F35" s="13"/>
      <c r="G35" s="7"/>
      <c r="H35" s="21"/>
      <c r="I35" s="13"/>
      <c r="J35" s="7">
        <v>0</v>
      </c>
      <c r="K35" s="98" t="str">
        <f t="shared" si="56"/>
        <v>4027/4028</v>
      </c>
      <c r="L35" s="21" t="str">
        <f>VLOOKUP(A35,'Trips&amp;Operators'!$C$1:$G$99999,5,FALSE)</f>
        <v>STARKS ANGELINA</v>
      </c>
      <c r="M35" s="6">
        <f t="shared" si="57"/>
        <v>0</v>
      </c>
      <c r="N35" s="7"/>
      <c r="O35" s="7"/>
      <c r="P35" s="7">
        <v>1</v>
      </c>
      <c r="Q35" s="22"/>
      <c r="R35" s="22" t="s">
        <v>1026</v>
      </c>
      <c r="S35" s="31"/>
      <c r="T35" s="46" t="str">
        <f t="shared" si="58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186" t="e">
        <f t="shared" si="5"/>
        <v>#VALUE!</v>
      </c>
      <c r="W35" s="187" t="e">
        <f t="shared" si="59"/>
        <v>#VALUE!</v>
      </c>
      <c r="X35" s="187">
        <f t="shared" si="55"/>
        <v>1</v>
      </c>
      <c r="Y35" s="62" t="e">
        <f t="shared" si="60"/>
        <v>#VALUE!</v>
      </c>
      <c r="Z35" s="62" t="e">
        <f t="shared" si="61"/>
        <v>#VALUE!</v>
      </c>
      <c r="AA35" s="62" t="e">
        <f t="shared" si="62"/>
        <v>#VALUE!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63"/>
        <v>0122-10</v>
      </c>
      <c r="AE35" s="85" t="str">
        <f t="shared" si="12"/>
        <v>aws s3 cp s3://rtdc.mdm.uploadarchive.raw/RTDC4027/ "%USERPROFILE%\AppData\Local\Temp\OnboardLogs"\RTDC4027\1900-01-00 --exclude "*" --recursive --include "*19000100*" &amp; "%USERPROFILE%\Documents\GitHub\mrs-test-scripts\Headless Mode &amp; Sideloading\WalkAndUnGZ.bat" "%USERPROFILE%\AppData\Local\Temp\OnboardLogs"\RTDC4027\1900-01-00 &amp; aws s3 cp s3://rtdc.mdm.uploadarchive.raw/RTDC4027/ "%USERPROFILE%\AppData\Local\Temp\OnboardLogs"\RTDC4027\1900-01-01 --exclude "*" --recursive --include "*19000101*" &amp; "%USERPROFILE%\Documents\GitHub\mrs-test-scripts\Headless Mode &amp; Sideloading\WalkAndUnGZ.bat" "%USERPROFILE%\AppData\Local\Temp\OnboardLogs"\RTDC4027\1900-01-01</v>
      </c>
      <c r="AF35" s="82" t="str">
        <f t="shared" si="13"/>
        <v>"C:\Program Files (x86)\AstroGrep\AstroGrep.exe" /e /r /s /spath="%USERPROFILE%\AppData\Local\Temp\OnboardLogs" /stypes="app*4027*19000100*" /stext=" 07:.+((SYSTEM_STATE.+slice.+state.+changed )|(ment ac)|(multiple cpu faults)|(system.+state.+changed )|(\[timeout)|(PRM\|1\|D)|(kpr)|(kdp)|(\|lc)|(penalty))"</v>
      </c>
      <c r="AG35" s="1" t="str">
        <f t="shared" si="64"/>
        <v>EC</v>
      </c>
      <c r="AH35" s="86" t="str">
        <f t="shared" si="65"/>
        <v>"%USERPROFILE%\Documents\GitHub\eaglep3\Utilities\RefineRTDCRunTimes.py" --tripid 122-10 --locoid 4027 --swversion  --startMP  --initTime 1900-01-00T00:00:00 --startdatetime 1900-01-00T00:00:00 --delay  --endMP  --enddatetime 1900-01-00T00:00:00 --enforcementcount 0 &gt;&gt;C:\Users\stu\Documents\GitHub\eaglep3-reporting\EC\2017-03-10-refined-times.txt</v>
      </c>
      <c r="AI35" s="108" t="e">
        <f t="shared" si="66"/>
        <v>#VALUE!</v>
      </c>
      <c r="AJ35" s="48"/>
      <c r="AK35" s="48"/>
      <c r="AL35" s="48"/>
      <c r="AM35" s="154" t="str">
        <f t="shared" si="67"/>
        <v>start /low /b %USERPROFILE%\Documents\GitHub\eaglep3\Utilities\DownloadLogsFromS3.py --loco 4027 --day 1900-01-00</v>
      </c>
      <c r="AN35" s="163" t="e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#DIV/0!</v>
      </c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</row>
    <row r="36" spans="1:91" s="1" customFormat="1" x14ac:dyDescent="0.25">
      <c r="A36" s="33" t="s">
        <v>641</v>
      </c>
      <c r="B36" s="7">
        <v>4011</v>
      </c>
      <c r="C36" s="21" t="s">
        <v>239</v>
      </c>
      <c r="D36" s="21" t="s">
        <v>233</v>
      </c>
      <c r="E36" s="13">
        <v>42804.269988425927</v>
      </c>
      <c r="F36" s="13">
        <v>42804.271053240744</v>
      </c>
      <c r="G36" s="7">
        <v>1</v>
      </c>
      <c r="H36" s="21" t="s">
        <v>830</v>
      </c>
      <c r="I36" s="13">
        <v>42804.297303240739</v>
      </c>
      <c r="J36" s="7">
        <v>0</v>
      </c>
      <c r="K36" s="98" t="str">
        <f t="shared" ref="K36:K99" si="68">IF(ISEVEN(B36),(B36-1)&amp;"/"&amp;B36,B36&amp;"/"&amp;(B36+1))</f>
        <v>4011/4012</v>
      </c>
      <c r="L36" s="21" t="str">
        <f>VLOOKUP(A36,'Trips&amp;Operators'!$C$1:$G$99999,5,FALSE)</f>
        <v>LOZA FIDEL</v>
      </c>
      <c r="M36" s="6">
        <f t="shared" ref="M36:M99" si="69">I36-F36</f>
        <v>2.6249999995343387E-2</v>
      </c>
      <c r="N36" s="7">
        <f t="shared" ref="N36:N72" si="70">24*60*SUM($M36:$M36)</f>
        <v>37.799999993294477</v>
      </c>
      <c r="O36" s="7"/>
      <c r="P36" s="7"/>
      <c r="Q36" s="22"/>
      <c r="R36" s="22"/>
      <c r="S36" s="31">
        <f t="shared" ref="S36:S67" si="71">SUM(U36:U36)/IF(AG36="EC",12,1)</f>
        <v>1</v>
      </c>
      <c r="T36" s="46" t="str">
        <f t="shared" ref="T36:T99" si="72">IF(ISEVEN(LEFT(AD36,4)),"Southbound","NorthBound")</f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-10T05:28:47-0700',mode:absolute,to:'2017-03-10T08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6" s="187" t="str">
        <f t="shared" ref="W36:W99" si="73">IF(AA36&lt;IF(AG36="EC",23,5.65),"Y","N")</f>
        <v>N</v>
      </c>
      <c r="X36" s="187">
        <f t="shared" si="55"/>
        <v>1</v>
      </c>
      <c r="Y36" s="62">
        <f t="shared" ref="Y36:Y99" si="74">RIGHT(D36,LEN(D36)-4)/10000</f>
        <v>4.4699999999999997E-2</v>
      </c>
      <c r="Z36" s="62">
        <f t="shared" ref="Z36:Z67" si="75">RIGHT(H36,LEN(H36)-4)/10000</f>
        <v>23.337599999999998</v>
      </c>
      <c r="AA36" s="62">
        <f t="shared" ref="AA36:AA99" si="76">ABS(Z36-Y36)</f>
        <v>23.292899999999999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ref="AD36:AD99" si="77">IF(LEN(A36)=6,"0"&amp;A36,A36)</f>
        <v>0123-10</v>
      </c>
      <c r="AE36" s="85" t="str">
        <f t="shared" si="12"/>
        <v>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 &amp; aws s3 cp s3://rtdc.mdm.uploadarchive.raw/RTDC4011/ "%USERPROFILE%\AppData\Local\Temp\OnboardLogs"\RTDC4011\2017-03-11 --exclude "*" --recursive --include "*20170311*" &amp; "%USERPROFILE%\Documents\GitHub\mrs-test-scripts\Headless Mode &amp; Sideloading\WalkAndUnGZ.bat" "%USERPROFILE%\AppData\Local\Temp\OnboardLogs"\RTDC4011\2017-03-11</v>
      </c>
      <c r="AF36" s="82" t="str">
        <f t="shared" si="13"/>
        <v>"C:\Program Files (x86)\AstroGrep\AstroGrep.exe" /e /r /s /spath="%USERPROFILE%\AppData\Local\Temp\OnboardLogs" /stypes="app*4011*20170310*" /stext=" 14:.+((SYSTEM_STATE.+slice.+state.+changed )|(ment ac)|(multiple cpu faults)|(system.+state.+changed )|(\[timeout)|(PRM\|1\|D)|(kpr)|(kdp)|(\|lc)|(penalty))"</v>
      </c>
      <c r="AG36" s="1" t="str">
        <f t="shared" ref="AG36:AG99" si="78">IFERROR(IF(VALUE(LEFT(AD36,2))&lt;=2,"EC",IF(OR(VALUE(LEFT(AD36,2))=8,VALUE(LEFT(AD36,2))=18),"NW","Other")),"Other")</f>
        <v>EC</v>
      </c>
      <c r="AH36" s="86" t="str">
        <f t="shared" si="18"/>
        <v>"%USERPROFILE%\Documents\GitHub\eaglep3\Utilities\RefineRTDCRunTimes.py" --tripid 123-10 --locoid 4011 --swversion DE.1.0.9.0 --startMP 204:447 --initTime 2017-03-10T06:28:47 --startdatetime 2017-03-10T06:30:19 --delay 1 --endMP 204:233376 --enddatetime 2017-03-10T07:08:07 --enforcementcount 0 &gt;&gt;C:\Users\stu\Documents\GitHub\eaglep3-reporting\EC\2017-03-10-refined-times.txt</v>
      </c>
      <c r="AI36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{"issue":{"subject":"","project_id":79,"tracker_id":40,"status_id":1,"priority_id":2,"assigned_to_id":23,"start_date":"2017-03-10","description":"","custom_fields":[{"id":1,"name":"Subdivision","value":"EC"},{"id":4,"name":"Milepost","value":"23.3376"},{"id":17,"name":"Train ID","value":"123-10"},{"id":16,"name":"Locomotive ID","value":"4011"},{"id":130,"name":"Impact","value":""},{"id":150,"name":"Time of Event (Mountain Time)","value":"07:08:07"},{"id":151,"name":"Denver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4011 --day 2017-03-10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2017-03-10-UncaughtWiMAX.txt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650</v>
      </c>
      <c r="B37" s="7">
        <v>4012</v>
      </c>
      <c r="C37" s="21" t="s">
        <v>239</v>
      </c>
      <c r="D37" s="21" t="s">
        <v>831</v>
      </c>
      <c r="E37" s="13">
        <v>42804.306990740741</v>
      </c>
      <c r="F37" s="13">
        <v>42804.307916666665</v>
      </c>
      <c r="G37" s="7">
        <v>1</v>
      </c>
      <c r="H37" s="21" t="s">
        <v>832</v>
      </c>
      <c r="I37" s="13">
        <v>42804.338101851848</v>
      </c>
      <c r="J37" s="7">
        <v>0</v>
      </c>
      <c r="K37" s="98" t="str">
        <f t="shared" si="68"/>
        <v>4011/4012</v>
      </c>
      <c r="L37" s="21" t="str">
        <f>VLOOKUP(A37,'Trips&amp;Operators'!$C$1:$G$99999,5,FALSE)</f>
        <v>LOZA FIDEL</v>
      </c>
      <c r="M37" s="6">
        <f t="shared" si="69"/>
        <v>3.0185185183654539E-2</v>
      </c>
      <c r="N37" s="7">
        <f t="shared" si="70"/>
        <v>43.466666664462537</v>
      </c>
      <c r="O37" s="7"/>
      <c r="P37" s="7"/>
      <c r="Q37" s="22"/>
      <c r="R37" s="22"/>
      <c r="S37" s="31">
        <f t="shared" si="71"/>
        <v>1</v>
      </c>
      <c r="T37" s="46" t="str">
        <f t="shared" si="72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-10T06:22:04-0700',mode:absolute,to:'2017-03-10T09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7" s="187" t="str">
        <f t="shared" si="73"/>
        <v>N</v>
      </c>
      <c r="X37" s="187">
        <f t="shared" si="55"/>
        <v>1</v>
      </c>
      <c r="Y37" s="62">
        <f t="shared" si="74"/>
        <v>23.3065</v>
      </c>
      <c r="Z37" s="62">
        <f t="shared" si="75"/>
        <v>3.4500000000000003E-2</v>
      </c>
      <c r="AA37" s="62">
        <f t="shared" si="76"/>
        <v>23.271999999999998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77"/>
        <v>0124-10</v>
      </c>
      <c r="AE37" s="85" t="str">
        <f t="shared" si="12"/>
        <v>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 &amp; aws s3 cp s3://rtdc.mdm.uploadarchive.raw/RTDC4012/ "%USERPROFILE%\AppData\Local\Temp\OnboardLogs"\RTDC4012\2017-03-11 --exclude "*" --recursive --include "*20170311*" &amp; "%USERPROFILE%\Documents\GitHub\mrs-test-scripts\Headless Mode &amp; Sideloading\WalkAndUnGZ.bat" "%USERPROFILE%\AppData\Local\Temp\OnboardLogs"\RTDC4012\2017-03-11</v>
      </c>
      <c r="AF37" s="82" t="str">
        <f t="shared" si="13"/>
        <v>"C:\Program Files (x86)\AstroGrep\AstroGrep.exe" /e /r /s /spath="%USERPROFILE%\AppData\Local\Temp\OnboardLogs" /stypes="app*4012*20170310*" /stext=" 15:.+((SYSTEM_STATE.+slice.+state.+changed )|(ment ac)|(multiple cpu faults)|(system.+state.+changed )|(\[timeout)|(PRM\|1\|D)|(kpr)|(kdp)|(\|lc)|(penalty))"</v>
      </c>
      <c r="AG37" s="1" t="str">
        <f t="shared" si="78"/>
        <v>EC</v>
      </c>
      <c r="AH37" s="86" t="str">
        <f t="shared" si="18"/>
        <v>"%USERPROFILE%\Documents\GitHub\eaglep3\Utilities\RefineRTDCRunTimes.py" --tripid 124-10 --locoid 4012 --swversion DE.1.0.9.0 --startMP 204:233065 --initTime 2017-03-10T07:22:04 --startdatetime 2017-03-10T07:23:24 --delay 1 --endMP 204:345 --enddatetime 2017-03-10T08:06:52 --enforcementcount 0 &gt;&gt;C:\Users\stu\Documents\GitHub\eaglep3-reporting\EC\2017-03-10-refined-times.txt</v>
      </c>
      <c r="AI37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{"issue":{"subject":"","project_id":79,"tracker_id":40,"status_id":1,"priority_id":2,"assigned_to_id":23,"start_date":"2017-03-10","description":"","custom_fields":[{"id":1,"name":"Subdivision","value":"EC"},{"id":4,"name":"Milepost","value":"0.0345"},{"id":17,"name":"Train ID","value":"124-10"},{"id":16,"name":"Locomotive ID","value":"4012"},{"id":130,"name":"Impact","value":""},{"id":150,"name":"Time of Event (Mountain Time)","value":"08:06:52"},{"id":151,"name":"Denver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4012 --day 2017-03-10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2017-03-10-UncaughtWiMAX.txt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644</v>
      </c>
      <c r="B38" s="7">
        <v>4009</v>
      </c>
      <c r="C38" s="21" t="s">
        <v>239</v>
      </c>
      <c r="D38" s="21" t="s">
        <v>217</v>
      </c>
      <c r="E38" s="13">
        <v>42804.277696759258</v>
      </c>
      <c r="F38" s="13">
        <v>42804.278761574074</v>
      </c>
      <c r="G38" s="7">
        <v>1</v>
      </c>
      <c r="H38" s="21" t="s">
        <v>245</v>
      </c>
      <c r="I38" s="13">
        <v>42804.307847222219</v>
      </c>
      <c r="J38" s="7">
        <v>0</v>
      </c>
      <c r="K38" s="98" t="str">
        <f t="shared" si="68"/>
        <v>4009/4010</v>
      </c>
      <c r="L38" s="21" t="str">
        <f>VLOOKUP(A38,'Trips&amp;Operators'!$C$1:$G$99999,5,FALSE)</f>
        <v>BONDS REYNALDO</v>
      </c>
      <c r="M38" s="6">
        <f t="shared" si="69"/>
        <v>2.9085648144246079E-2</v>
      </c>
      <c r="N38" s="7">
        <f t="shared" si="70"/>
        <v>41.883333327714354</v>
      </c>
      <c r="O38" s="7"/>
      <c r="P38" s="7"/>
      <c r="Q38" s="22"/>
      <c r="R38" s="22"/>
      <c r="S38" s="31">
        <f t="shared" si="71"/>
        <v>1</v>
      </c>
      <c r="T38" s="46" t="str">
        <f t="shared" si="72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-10T05:39:53-0700',mode:absolute,to:'2017-03-10T08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187" t="str">
        <f t="shared" si="73"/>
        <v>N</v>
      </c>
      <c r="X38" s="187">
        <f t="shared" si="55"/>
        <v>1</v>
      </c>
      <c r="Y38" s="62">
        <f t="shared" si="74"/>
        <v>4.5699999999999998E-2</v>
      </c>
      <c r="Z38" s="62">
        <f t="shared" si="75"/>
        <v>23.330400000000001</v>
      </c>
      <c r="AA38" s="62">
        <f t="shared" si="76"/>
        <v>23.284700000000001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77"/>
        <v>0125-10</v>
      </c>
      <c r="AE38" s="85" t="str">
        <f t="shared" si="12"/>
        <v>aws s3 cp s3://rtdc.mdm.uploadarchive.raw/RTDC4009/ "%USERPROFILE%\AppData\Local\Temp\OnboardLogs"\RTDC4009\2017-03-10 --exclude "*" --recursive --include "*20170310*" &amp; "%USERPROFILE%\Documents\GitHub\mrs-test-scripts\Headless Mode &amp; Sideloading\WalkAndUnGZ.bat" "%USERPROFILE%\AppData\Local\Temp\OnboardLogs"\RTDC4009\2017-03-10 &amp; 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</v>
      </c>
      <c r="AF38" s="82" t="str">
        <f t="shared" si="13"/>
        <v>"C:\Program Files (x86)\AstroGrep\AstroGrep.exe" /e /r /s /spath="%USERPROFILE%\AppData\Local\Temp\OnboardLogs" /stypes="app*4009*20170310*" /stext=" 14:.+((SYSTEM_STATE.+slice.+state.+changed )|(ment ac)|(multiple cpu faults)|(system.+state.+changed )|(\[timeout)|(PRM\|1\|D)|(kpr)|(kdp)|(\|lc)|(penalty))"</v>
      </c>
      <c r="AG38" s="1" t="str">
        <f t="shared" si="78"/>
        <v>EC</v>
      </c>
      <c r="AH38" s="86" t="str">
        <f t="shared" si="18"/>
        <v>"%USERPROFILE%\Documents\GitHub\eaglep3\Utilities\RefineRTDCRunTimes.py" --tripid 125-10 --locoid 4009 --swversion DE.1.0.9.0 --startMP 204:457 --initTime 2017-03-10T06:39:53 --startdatetime 2017-03-10T06:41:25 --delay 1 --endMP 204:233304 --enddatetime 2017-03-10T07:23:18 --enforcementcount 0 &gt;&gt;C:\Users\stu\Documents\GitHub\eaglep3-reporting\EC\2017-03-10-refined-times.txt</v>
      </c>
      <c r="AI38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{"issue":{"subject":"","project_id":79,"tracker_id":40,"status_id":1,"priority_id":2,"assigned_to_id":23,"start_date":"2017-03-10","description":"","custom_fields":[{"id":1,"name":"Subdivision","value":"EC"},{"id":4,"name":"Milepost","value":"23.3304"},{"id":17,"name":"Train ID","value":"125-10"},{"id":16,"name":"Locomotive ID","value":"4009"},{"id":130,"name":"Impact","value":""},{"id":150,"name":"Time of Event (Mountain Time)","value":"07:23:18"},{"id":151,"name":"Denver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4009 --day 2017-03-10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"%USERPROFILE%\AppData\Local\Temp\OnboardLogs"\RTDC4009\*4009*20170310* | grep -SE "(Enforcement Action)|(\[TIMEOUT)|(CHR.+\|PRM\|1\|D.+(SWITCH|SIGNAL).+UNKNOWN)" - &gt;&gt; 2017-03-10-UncaughtWiMAX.txt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653</v>
      </c>
      <c r="B39" s="7">
        <v>4010</v>
      </c>
      <c r="C39" s="21" t="s">
        <v>239</v>
      </c>
      <c r="D39" s="21" t="s">
        <v>821</v>
      </c>
      <c r="E39" s="13">
        <v>42804.317349537036</v>
      </c>
      <c r="F39" s="13">
        <v>42804.318402777775</v>
      </c>
      <c r="G39" s="7">
        <v>1</v>
      </c>
      <c r="H39" s="21" t="s">
        <v>411</v>
      </c>
      <c r="I39" s="13">
        <v>42804.348900462966</v>
      </c>
      <c r="J39" s="7">
        <v>0</v>
      </c>
      <c r="K39" s="98" t="str">
        <f t="shared" si="68"/>
        <v>4009/4010</v>
      </c>
      <c r="L39" s="21" t="str">
        <f>VLOOKUP(A39,'Trips&amp;Operators'!$C$1:$G$99999,5,FALSE)</f>
        <v>BONDS REYNALDO</v>
      </c>
      <c r="M39" s="6">
        <f t="shared" si="69"/>
        <v>3.0497685191221535E-2</v>
      </c>
      <c r="N39" s="7">
        <f t="shared" si="70"/>
        <v>43.916666675359011</v>
      </c>
      <c r="O39" s="7"/>
      <c r="P39" s="7"/>
      <c r="Q39" s="22"/>
      <c r="R39" s="22"/>
      <c r="S39" s="31">
        <f t="shared" si="71"/>
        <v>1</v>
      </c>
      <c r="T39" s="46" t="str">
        <f t="shared" si="72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-10T06:36:59-0700',mode:absolute,to:'2017-03-10T09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9" s="187" t="str">
        <f t="shared" si="73"/>
        <v>N</v>
      </c>
      <c r="X39" s="187">
        <f t="shared" si="55"/>
        <v>1</v>
      </c>
      <c r="Y39" s="62">
        <f t="shared" si="74"/>
        <v>23.2987</v>
      </c>
      <c r="Z39" s="62">
        <f t="shared" si="75"/>
        <v>1.6E-2</v>
      </c>
      <c r="AA39" s="62">
        <f t="shared" si="76"/>
        <v>23.282700000000002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77"/>
        <v>0126-10</v>
      </c>
      <c r="AE39" s="85" t="str">
        <f t="shared" si="12"/>
        <v>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 &amp; 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</v>
      </c>
      <c r="AF39" s="82" t="str">
        <f t="shared" si="13"/>
        <v>"C:\Program Files (x86)\AstroGrep\AstroGrep.exe" /e /r /s /spath="%USERPROFILE%\AppData\Local\Temp\OnboardLogs" /stypes="app*4010*20170310*" /stext=" 15:.+((SYSTEM_STATE.+slice.+state.+changed )|(ment ac)|(multiple cpu faults)|(system.+state.+changed )|(\[timeout)|(PRM\|1\|D)|(kpr)|(kdp)|(\|lc)|(penalty))"</v>
      </c>
      <c r="AG39" s="1" t="str">
        <f t="shared" si="78"/>
        <v>EC</v>
      </c>
      <c r="AH39" s="86" t="str">
        <f t="shared" si="18"/>
        <v>"%USERPROFILE%\Documents\GitHub\eaglep3\Utilities\RefineRTDCRunTimes.py" --tripid 126-10 --locoid 4010 --swversion DE.1.0.9.0 --startMP 204:232987 --initTime 2017-03-10T07:36:59 --startdatetime 2017-03-10T07:38:30 --delay 1 --endMP 204:160 --enddatetime 2017-03-10T08:22:25 --enforcementcount 0 &gt;&gt;C:\Users\stu\Documents\GitHub\eaglep3-reporting\EC\2017-03-10-refined-times.txt</v>
      </c>
      <c r="AI39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{"issue":{"subject":"","project_id":79,"tracker_id":40,"status_id":1,"priority_id":2,"assigned_to_id":23,"start_date":"2017-03-10","description":"","custom_fields":[{"id":1,"name":"Subdivision","value":"EC"},{"id":4,"name":"Milepost","value":"0.016"},{"id":17,"name":"Train ID","value":"126-10"},{"id":16,"name":"Locomotive ID","value":"4010"},{"id":130,"name":"Impact","value":""},{"id":150,"name":"Time of Event (Mountain Time)","value":"08:22:25"},{"id":151,"name":"Denver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4010 --day 2017-03-10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"%USERPROFILE%\AppData\Local\Temp\OnboardLogs"\RTDC4010\*4010*20170310* | grep -SE "(Enforcement Action)|(\[TIMEOUT)|(CHR.+\|PRM\|1\|D.+(SWITCH|SIGNAL).+UNKNOWN)" - &gt;&gt; 2017-03-10-UncaughtWiMAX.txt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646</v>
      </c>
      <c r="B40" s="7">
        <v>4007</v>
      </c>
      <c r="C40" s="21" t="s">
        <v>239</v>
      </c>
      <c r="D40" s="21" t="s">
        <v>262</v>
      </c>
      <c r="E40" s="13">
        <v>42804.290648148148</v>
      </c>
      <c r="F40" s="13">
        <v>42804.292094907411</v>
      </c>
      <c r="G40" s="7">
        <v>2</v>
      </c>
      <c r="H40" s="21" t="s">
        <v>483</v>
      </c>
      <c r="I40" s="13">
        <v>42804.318344907406</v>
      </c>
      <c r="J40" s="7">
        <v>0</v>
      </c>
      <c r="K40" s="98" t="str">
        <f t="shared" si="68"/>
        <v>4007/4008</v>
      </c>
      <c r="L40" s="21" t="str">
        <f>VLOOKUP(A40,'Trips&amp;Operators'!$C$1:$G$99999,5,FALSE)</f>
        <v>BADERTSCHER DIANE</v>
      </c>
      <c r="M40" s="6">
        <f t="shared" si="69"/>
        <v>2.6249999995343387E-2</v>
      </c>
      <c r="N40" s="7">
        <f t="shared" si="70"/>
        <v>37.799999993294477</v>
      </c>
      <c r="O40" s="7"/>
      <c r="P40" s="7"/>
      <c r="Q40" s="22"/>
      <c r="R40" s="22"/>
      <c r="S40" s="31">
        <f t="shared" si="71"/>
        <v>1</v>
      </c>
      <c r="T40" s="46" t="str">
        <f t="shared" si="72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-10T05:58:32-0700',mode:absolute,to:'2017-03-10T08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187" t="str">
        <f t="shared" si="73"/>
        <v>N</v>
      </c>
      <c r="X40" s="187">
        <f t="shared" si="55"/>
        <v>1</v>
      </c>
      <c r="Y40" s="62">
        <f t="shared" si="74"/>
        <v>4.4900000000000002E-2</v>
      </c>
      <c r="Z40" s="62">
        <f t="shared" si="75"/>
        <v>23.328800000000001</v>
      </c>
      <c r="AA40" s="62">
        <f t="shared" si="76"/>
        <v>23.283900000000003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77"/>
        <v>0127-10</v>
      </c>
      <c r="AE40" s="85" t="str">
        <f t="shared" si="12"/>
        <v>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 &amp; aws s3 cp s3://rtdc.mdm.uploadarchive.raw/RTDC4007/ "%USERPROFILE%\AppData\Local\Temp\OnboardLogs"\RTDC4007\2017-03-11 --exclude "*" --recursive --include "*20170311*" &amp; "%USERPROFILE%\Documents\GitHub\mrs-test-scripts\Headless Mode &amp; Sideloading\WalkAndUnGZ.bat" "%USERPROFILE%\AppData\Local\Temp\OnboardLogs"\RTDC4007\2017-03-11</v>
      </c>
      <c r="AF40" s="82" t="str">
        <f t="shared" si="13"/>
        <v>"C:\Program Files (x86)\AstroGrep\AstroGrep.exe" /e /r /s /spath="%USERPROFILE%\AppData\Local\Temp\OnboardLogs" /stypes="app*4007*20170310*" /stext=" 14:.+((SYSTEM_STATE.+slice.+state.+changed )|(ment ac)|(multiple cpu faults)|(system.+state.+changed )|(\[timeout)|(PRM\|1\|D)|(kpr)|(kdp)|(\|lc)|(penalty))"</v>
      </c>
      <c r="AG40" s="1" t="str">
        <f t="shared" si="78"/>
        <v>EC</v>
      </c>
      <c r="AH40" s="86" t="str">
        <f t="shared" si="18"/>
        <v>"%USERPROFILE%\Documents\GitHub\eaglep3\Utilities\RefineRTDCRunTimes.py" --tripid 127-10 --locoid 4007 --swversion DE.1.0.9.0 --startMP 204:449 --initTime 2017-03-10T06:58:32 --startdatetime 2017-03-10T07:00:37 --delay 2 --endMP 204:233288 --enddatetime 2017-03-10T07:38:25 --enforcementcount 0 &gt;&gt;C:\Users\stu\Documents\GitHub\eaglep3-reporting\EC\2017-03-10-refined-times.txt</v>
      </c>
      <c r="AI40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{"issue":{"subject":"","project_id":79,"tracker_id":40,"status_id":1,"priority_id":2,"assigned_to_id":23,"start_date":"2017-03-10","description":"","custom_fields":[{"id":1,"name":"Subdivision","value":"EC"},{"id":4,"name":"Milepost","value":"23.3288"},{"id":17,"name":"Train ID","value":"127-10"},{"id":16,"name":"Locomotive ID","value":"4007"},{"id":130,"name":"Impact","value":""},{"id":150,"name":"Time of Event (Mountain Time)","value":"07:38:25"},{"id":151,"name":"Denver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4007 --day 2017-03-10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"%USERPROFILE%\AppData\Local\Temp\OnboardLogs"\RTDC4007\*4007*20170310* | grep -SE "(Enforcement Action)|(\[TIMEOUT)|(CHR.+\|PRM\|1\|D.+(SWITCH|SIGNAL).+UNKNOWN)" - &gt;&gt; 2017-03-10-UncaughtWiMAX.txt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655</v>
      </c>
      <c r="B41" s="7">
        <v>4008</v>
      </c>
      <c r="C41" s="21" t="s">
        <v>239</v>
      </c>
      <c r="D41" s="21" t="s">
        <v>827</v>
      </c>
      <c r="E41" s="13">
        <v>42804.320659722223</v>
      </c>
      <c r="F41" s="13">
        <v>42804.321736111109</v>
      </c>
      <c r="G41" s="7">
        <v>1</v>
      </c>
      <c r="H41" s="21" t="s">
        <v>194</v>
      </c>
      <c r="I41" s="13">
        <v>42804.360451388886</v>
      </c>
      <c r="J41" s="7">
        <v>0</v>
      </c>
      <c r="K41" s="98" t="str">
        <f t="shared" si="68"/>
        <v>4007/4008</v>
      </c>
      <c r="L41" s="21" t="str">
        <f>VLOOKUP(A41,'Trips&amp;Operators'!$C$1:$G$99999,5,FALSE)</f>
        <v>BADERTSCHER DIANE</v>
      </c>
      <c r="M41" s="6">
        <f t="shared" si="69"/>
        <v>3.8715277776645962E-2</v>
      </c>
      <c r="N41" s="7">
        <f t="shared" si="70"/>
        <v>55.749999998370185</v>
      </c>
      <c r="O41" s="7"/>
      <c r="P41" s="7"/>
      <c r="Q41" s="22"/>
      <c r="R41" s="22"/>
      <c r="S41" s="31">
        <f t="shared" si="71"/>
        <v>1</v>
      </c>
      <c r="T41" s="46" t="str">
        <f t="shared" si="72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-10T06:41:45-0700',mode:absolute,to:'2017-03-10T09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1" s="187" t="str">
        <f t="shared" si="73"/>
        <v>N</v>
      </c>
      <c r="X41" s="187">
        <f t="shared" ref="X41:X64" si="79">VALUE(LEFT(AD41,4))-VALUE(LEFT(AD40,4))</f>
        <v>1</v>
      </c>
      <c r="Y41" s="62">
        <f t="shared" si="74"/>
        <v>23.297499999999999</v>
      </c>
      <c r="Z41" s="62">
        <f t="shared" si="75"/>
        <v>1.4500000000000001E-2</v>
      </c>
      <c r="AA41" s="62">
        <f t="shared" si="76"/>
        <v>23.282999999999998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77"/>
        <v>0128-10</v>
      </c>
      <c r="AE41" s="85" t="str">
        <f t="shared" si="12"/>
        <v>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 &amp; aws s3 cp s3://rtdc.mdm.uploadarchive.raw/RTDC4008/ "%USERPROFILE%\AppData\Local\Temp\OnboardLogs"\RTDC4008\2017-03-11 --exclude "*" --recursive --include "*20170311*" &amp; "%USERPROFILE%\Documents\GitHub\mrs-test-scripts\Headless Mode &amp; Sideloading\WalkAndUnGZ.bat" "%USERPROFILE%\AppData\Local\Temp\OnboardLogs"\RTDC4008\2017-03-11</v>
      </c>
      <c r="AF41" s="82" t="str">
        <f t="shared" si="13"/>
        <v>"C:\Program Files (x86)\AstroGrep\AstroGrep.exe" /e /r /s /spath="%USERPROFILE%\AppData\Local\Temp\OnboardLogs" /stypes="app*4008*20170310*" /stext=" 15:.+((SYSTEM_STATE.+slice.+state.+changed )|(ment ac)|(multiple cpu faults)|(system.+state.+changed )|(\[timeout)|(PRM\|1\|D)|(kpr)|(kdp)|(\|lc)|(penalty))"</v>
      </c>
      <c r="AG41" s="1" t="str">
        <f t="shared" si="78"/>
        <v>EC</v>
      </c>
      <c r="AH41" s="86" t="str">
        <f t="shared" si="18"/>
        <v>"%USERPROFILE%\Documents\GitHub\eaglep3\Utilities\RefineRTDCRunTimes.py" --tripid 128-10 --locoid 4008 --swversion DE.1.0.9.0 --startMP 204:232975 --initTime 2017-03-10T07:41:45 --startdatetime 2017-03-10T07:43:18 --delay 1 --endMP 204:145 --enddatetime 2017-03-10T08:39:03 --enforcementcount 0 &gt;&gt;C:\Users\stu\Documents\GitHub\eaglep3-reporting\EC\2017-03-10-refined-times.txt</v>
      </c>
      <c r="AI41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{"issue":{"subject":"","project_id":79,"tracker_id":40,"status_id":1,"priority_id":2,"assigned_to_id":23,"start_date":"2017-03-10","description":"","custom_fields":[{"id":1,"name":"Subdivision","value":"EC"},{"id":4,"name":"Milepost","value":"0.0145"},{"id":17,"name":"Train ID","value":"128-10"},{"id":16,"name":"Locomotive ID","value":"4008"},{"id":130,"name":"Impact","value":""},{"id":150,"name":"Time of Event (Mountain Time)","value":"08:39:03"},{"id":151,"name":"Denver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4008 --day 2017-03-10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"%USERPROFILE%\AppData\Local\Temp\OnboardLogs"\RTDC4008\*4008*20170310* | grep -SE "(Enforcement Action)|(\[TIMEOUT)|(CHR.+\|PRM\|1\|D.+(SWITCH|SIGNAL).+UNKNOWN)" - &gt;&gt; 2017-03-10-UncaughtWiMAX.txt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649</v>
      </c>
      <c r="B42" s="7">
        <v>4053</v>
      </c>
      <c r="C42" s="21" t="s">
        <v>239</v>
      </c>
      <c r="D42" s="21" t="s">
        <v>254</v>
      </c>
      <c r="E42" s="13">
        <v>42804.300370370373</v>
      </c>
      <c r="F42" s="13">
        <v>42804.301585648151</v>
      </c>
      <c r="G42" s="7">
        <v>1</v>
      </c>
      <c r="H42" s="21" t="s">
        <v>260</v>
      </c>
      <c r="I42" s="13">
        <v>42804.327291666668</v>
      </c>
      <c r="J42" s="7">
        <v>0</v>
      </c>
      <c r="K42" s="98" t="str">
        <f t="shared" si="68"/>
        <v>4053/4054</v>
      </c>
      <c r="L42" s="21" t="str">
        <f>VLOOKUP(A42,'Trips&amp;Operators'!$C$1:$G$99999,5,FALSE)</f>
        <v>ROCHA YAOTL</v>
      </c>
      <c r="M42" s="6">
        <f t="shared" si="69"/>
        <v>2.5706018517666962E-2</v>
      </c>
      <c r="N42" s="7">
        <f t="shared" si="70"/>
        <v>37.016666665440425</v>
      </c>
      <c r="O42" s="7"/>
      <c r="P42" s="7"/>
      <c r="Q42" s="22"/>
      <c r="R42" s="22"/>
      <c r="S42" s="31">
        <f t="shared" si="71"/>
        <v>1</v>
      </c>
      <c r="T42" s="46" t="str">
        <f t="shared" si="72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-10T06:12:32-0700',mode:absolute,to:'2017-03-10T08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87" t="str">
        <f t="shared" si="73"/>
        <v>N</v>
      </c>
      <c r="X42" s="187">
        <f t="shared" si="79"/>
        <v>1</v>
      </c>
      <c r="Y42" s="62">
        <f t="shared" si="74"/>
        <v>4.7300000000000002E-2</v>
      </c>
      <c r="Z42" s="62">
        <f t="shared" si="75"/>
        <v>23.329499999999999</v>
      </c>
      <c r="AA42" s="62">
        <f t="shared" si="76"/>
        <v>23.2822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77"/>
        <v>0129-10</v>
      </c>
      <c r="AE42" s="85" t="str">
        <f t="shared" si="12"/>
        <v>aws s3 cp s3://rtdc.mdm.uploadarchive.raw/RTDC4053/ "%USERPROFILE%\AppData\Local\Temp\OnboardLogs"\RTDC4053\2017-03-10 --exclude "*" --recursive --include "*20170310*" &amp; "%USERPROFILE%\Documents\GitHub\mrs-test-scripts\Headless Mode &amp; Sideloading\WalkAndUnGZ.bat" "%USERPROFILE%\AppData\Local\Temp\OnboardLogs"\RTDC4053\2017-03-10 &amp; aws s3 cp s3://rtdc.mdm.uploadarchive.raw/RTDC4053/ "%USERPROFILE%\AppData\Local\Temp\OnboardLogs"\RTDC4053\2017-03-11 --exclude "*" --recursive --include "*20170311*" &amp; "%USERPROFILE%\Documents\GitHub\mrs-test-scripts\Headless Mode &amp; Sideloading\WalkAndUnGZ.bat" "%USERPROFILE%\AppData\Local\Temp\OnboardLogs"\RTDC4053\2017-03-11</v>
      </c>
      <c r="AF42" s="82" t="str">
        <f t="shared" si="13"/>
        <v>"C:\Program Files (x86)\AstroGrep\AstroGrep.exe" /e /r /s /spath="%USERPROFILE%\AppData\Local\Temp\OnboardLogs" /stypes="app*4053*20170310*" /stext=" 14:.+((SYSTEM_STATE.+slice.+state.+changed )|(ment ac)|(multiple cpu faults)|(system.+state.+changed )|(\[timeout)|(PRM\|1\|D)|(kpr)|(kdp)|(\|lc)|(penalty))"</v>
      </c>
      <c r="AG42" s="1" t="str">
        <f t="shared" si="78"/>
        <v>EC</v>
      </c>
      <c r="AH42" s="86" t="str">
        <f t="shared" si="18"/>
        <v>"%USERPROFILE%\Documents\GitHub\eaglep3\Utilities\RefineRTDCRunTimes.py" --tripid 129-10 --locoid 4053 --swversion DE.1.0.9.0 --startMP 204:473 --initTime 2017-03-10T07:12:32 --startdatetime 2017-03-10T07:14:17 --delay 1 --endMP 204:233295 --enddatetime 2017-03-10T07:51:18 --enforcementcount 0 &gt;&gt;C:\Users\stu\Documents\GitHub\eaglep3-reporting\EC\2017-03-10-refined-times.txt</v>
      </c>
      <c r="AI42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{"issue":{"subject":"","project_id":79,"tracker_id":40,"status_id":1,"priority_id":2,"assigned_to_id":23,"start_date":"2017-03-10","description":"","custom_fields":[{"id":1,"name":"Subdivision","value":"EC"},{"id":4,"name":"Milepost","value":"23.3295"},{"id":17,"name":"Train ID","value":"129-10"},{"id":16,"name":"Locomotive ID","value":"4053"},{"id":130,"name":"Impact","value":""},{"id":150,"name":"Time of Event (Mountain Time)","value":"07:51:18"},{"id":151,"name":"Denver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4053 --day 2017-03-10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"%USERPROFILE%\AppData\Local\Temp\OnboardLogs"\RTDC4053\*4053*20170310* | grep -SE "(Enforcement Action)|(\[TIMEOUT)|(CHR.+\|PRM\|1\|D.+(SWITCH|SIGNAL).+UNKNOWN)" - &gt;&gt; 2017-03-10-UncaughtWiMAX.txt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659</v>
      </c>
      <c r="B43" s="7">
        <v>4054</v>
      </c>
      <c r="C43" s="21" t="s">
        <v>239</v>
      </c>
      <c r="D43" s="21" t="s">
        <v>821</v>
      </c>
      <c r="E43" s="13">
        <v>42804.337835648148</v>
      </c>
      <c r="F43" s="13">
        <v>42804.338796296295</v>
      </c>
      <c r="G43" s="7">
        <v>1</v>
      </c>
      <c r="H43" s="21" t="s">
        <v>232</v>
      </c>
      <c r="I43" s="13">
        <v>42804.36922453704</v>
      </c>
      <c r="J43" s="7">
        <v>0</v>
      </c>
      <c r="K43" s="98" t="str">
        <f t="shared" si="68"/>
        <v>4053/4054</v>
      </c>
      <c r="L43" s="21" t="str">
        <f>VLOOKUP(A43,'Trips&amp;Operators'!$C$1:$G$99999,5,FALSE)</f>
        <v>ROCHA YAOTL</v>
      </c>
      <c r="M43" s="6">
        <f t="shared" si="69"/>
        <v>3.0428240745095536E-2</v>
      </c>
      <c r="N43" s="7">
        <f t="shared" si="70"/>
        <v>43.816666672937572</v>
      </c>
      <c r="O43" s="7"/>
      <c r="P43" s="7"/>
      <c r="Q43" s="22"/>
      <c r="R43" s="22"/>
      <c r="S43" s="31">
        <f t="shared" si="71"/>
        <v>1</v>
      </c>
      <c r="T43" s="46" t="str">
        <f t="shared" si="72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-10T07:06:29-0700',mode:absolute,to:'2017-03-10T09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187" t="str">
        <f t="shared" si="73"/>
        <v>N</v>
      </c>
      <c r="X43" s="187">
        <f t="shared" si="79"/>
        <v>1</v>
      </c>
      <c r="Y43" s="62">
        <f t="shared" si="74"/>
        <v>23.2987</v>
      </c>
      <c r="Z43" s="62">
        <f t="shared" si="75"/>
        <v>1.47E-2</v>
      </c>
      <c r="AA43" s="62">
        <f t="shared" si="76"/>
        <v>23.283999999999999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77"/>
        <v>0130-10</v>
      </c>
      <c r="AE43" s="85" t="str">
        <f t="shared" si="12"/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AF43" s="82" t="str">
        <f t="shared" si="13"/>
        <v>"C:\Program Files (x86)\AstroGrep\AstroGrep.exe" /e /r /s /spath="%USERPROFILE%\AppData\Local\Temp\OnboardLogs" /stypes="app*4054*20170310*" /stext=" 15:.+((SYSTEM_STATE.+slice.+state.+changed )|(ment ac)|(multiple cpu faults)|(system.+state.+changed )|(\[timeout)|(PRM\|1\|D)|(kpr)|(kdp)|(\|lc)|(penalty))"</v>
      </c>
      <c r="AG43" s="1" t="str">
        <f t="shared" si="78"/>
        <v>EC</v>
      </c>
      <c r="AH43" s="86" t="str">
        <f t="shared" si="18"/>
        <v>"%USERPROFILE%\Documents\GitHub\eaglep3\Utilities\RefineRTDCRunTimes.py" --tripid 130-10 --locoid 4054 --swversion DE.1.0.9.0 --startMP 204:232987 --initTime 2017-03-10T08:06:29 --startdatetime 2017-03-10T08:07:52 --delay 1 --endMP 204:147 --enddatetime 2017-03-10T08:51:41 --enforcementcount 0 &gt;&gt;C:\Users\stu\Documents\GitHub\eaglep3-reporting\EC\2017-03-10-refined-times.txt</v>
      </c>
      <c r="AI43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{"issue":{"subject":"","project_id":79,"tracker_id":40,"status_id":1,"priority_id":2,"assigned_to_id":23,"start_date":"2017-03-10","description":"","custom_fields":[{"id":1,"name":"Subdivision","value":"EC"},{"id":4,"name":"Milepost","value":"0.0147"},{"id":17,"name":"Train ID","value":"130-10"},{"id":16,"name":"Locomotive ID","value":"4054"},{"id":130,"name":"Impact","value":""},{"id":150,"name":"Time of Event (Mountain Time)","value":"08:51:41"},{"id":151,"name":"Denver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4054 --day 2017-03-10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"%USERPROFILE%\AppData\Local\Temp\OnboardLogs"\RTDC4054\*4054*20170310* | grep -SE "(Enforcement Action)|(\[TIMEOUT)|(CHR.+\|PRM\|1\|D.+(SWITCH|SIGNAL).+UNKNOWN)" - &gt;&gt; 2017-03-10-UncaughtWiMAX.txt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651</v>
      </c>
      <c r="B44" s="7">
        <v>4046</v>
      </c>
      <c r="C44" s="21" t="s">
        <v>239</v>
      </c>
      <c r="D44" s="21" t="s">
        <v>253</v>
      </c>
      <c r="E44" s="13">
        <v>42804.30914351852</v>
      </c>
      <c r="F44" s="13">
        <v>42804.310150462959</v>
      </c>
      <c r="G44" s="7">
        <v>1</v>
      </c>
      <c r="H44" s="21" t="s">
        <v>833</v>
      </c>
      <c r="I44" s="13">
        <v>42804.338333333333</v>
      </c>
      <c r="J44" s="7">
        <v>0</v>
      </c>
      <c r="K44" s="98" t="str">
        <f t="shared" si="68"/>
        <v>4045/4046</v>
      </c>
      <c r="L44" s="21" t="str">
        <f>VLOOKUP(A44,'Trips&amp;Operators'!$C$1:$G$99999,5,FALSE)</f>
        <v>DAVIS WENDY</v>
      </c>
      <c r="M44" s="6">
        <f t="shared" si="69"/>
        <v>2.8182870373711921E-2</v>
      </c>
      <c r="N44" s="7">
        <f t="shared" si="70"/>
        <v>40.583333338145167</v>
      </c>
      <c r="O44" s="7"/>
      <c r="P44" s="7"/>
      <c r="Q44" s="22"/>
      <c r="R44" s="22"/>
      <c r="S44" s="31">
        <f t="shared" si="71"/>
        <v>1</v>
      </c>
      <c r="T44" s="46" t="str">
        <f t="shared" si="72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-10T06:25:10-0700',mode:absolute,to:'2017-03-10T09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4" s="187" t="str">
        <f t="shared" si="73"/>
        <v>N</v>
      </c>
      <c r="X44" s="187">
        <f t="shared" si="79"/>
        <v>1</v>
      </c>
      <c r="Y44" s="62">
        <f t="shared" si="74"/>
        <v>4.6699999999999998E-2</v>
      </c>
      <c r="Z44" s="62">
        <f t="shared" si="75"/>
        <v>23.330100000000002</v>
      </c>
      <c r="AA44" s="62">
        <f t="shared" si="76"/>
        <v>23.2834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77"/>
        <v>0131-10</v>
      </c>
      <c r="AE44" s="85" t="str">
        <f t="shared" si="12"/>
        <v>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 &amp; 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</v>
      </c>
      <c r="AF44" s="82" t="str">
        <f t="shared" si="13"/>
        <v>"C:\Program Files (x86)\AstroGrep\AstroGrep.exe" /e /r /s /spath="%USERPROFILE%\AppData\Local\Temp\OnboardLogs" /stypes="app*4046*20170310*" /stext=" 15:.+((SYSTEM_STATE.+slice.+state.+changed )|(ment ac)|(multiple cpu faults)|(system.+state.+changed )|(\[timeout)|(PRM\|1\|D)|(kpr)|(kdp)|(\|lc)|(penalty))"</v>
      </c>
      <c r="AG44" s="1" t="str">
        <f t="shared" si="78"/>
        <v>EC</v>
      </c>
      <c r="AH44" s="86" t="str">
        <f t="shared" si="18"/>
        <v>"%USERPROFILE%\Documents\GitHub\eaglep3\Utilities\RefineRTDCRunTimes.py" --tripid 131-10 --locoid 4046 --swversion DE.1.0.9.0 --startMP 204:467 --initTime 2017-03-10T07:25:10 --startdatetime 2017-03-10T07:26:37 --delay 1 --endMP 204:233301 --enddatetime 2017-03-10T08:07:12 --enforcementcount 0 &gt;&gt;C:\Users\stu\Documents\GitHub\eaglep3-reporting\EC\2017-03-10-refined-times.txt</v>
      </c>
      <c r="AI44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{"issue":{"subject":"","project_id":79,"tracker_id":40,"status_id":1,"priority_id":2,"assigned_to_id":23,"start_date":"2017-03-10","description":"","custom_fields":[{"id":1,"name":"Subdivision","value":"EC"},{"id":4,"name":"Milepost","value":"23.3301"},{"id":17,"name":"Train ID","value":"131-10"},{"id":16,"name":"Locomotive ID","value":"4046"},{"id":130,"name":"Impact","value":""},{"id":150,"name":"Time of Event (Mountain Time)","value":"08:07:12"},{"id":151,"name":"Denver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4046 --day 2017-03-10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"%USERPROFILE%\AppData\Local\Temp\OnboardLogs"\RTDC4046\*4046*20170310* | grep -SE "(Enforcement Action)|(\[TIMEOUT)|(CHR.+\|PRM\|1\|D.+(SWITCH|SIGNAL).+UNKNOWN)" - &gt;&gt; 2017-03-10-UncaughtWiMAX.txt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573</v>
      </c>
      <c r="B45" s="7">
        <v>4045</v>
      </c>
      <c r="C45" s="21" t="s">
        <v>239</v>
      </c>
      <c r="D45" s="21" t="s">
        <v>834</v>
      </c>
      <c r="E45" s="13">
        <v>42804.349895833337</v>
      </c>
      <c r="F45" s="13">
        <v>42804.351354166669</v>
      </c>
      <c r="G45" s="7">
        <v>2</v>
      </c>
      <c r="H45" s="21" t="s">
        <v>229</v>
      </c>
      <c r="I45" s="13">
        <v>42804.381203703706</v>
      </c>
      <c r="J45" s="7">
        <v>0</v>
      </c>
      <c r="K45" s="98" t="str">
        <f t="shared" si="68"/>
        <v>4045/4046</v>
      </c>
      <c r="L45" s="21" t="str">
        <f>VLOOKUP(A45,'Trips&amp;Operators'!$C$1:$G$99999,5,FALSE)</f>
        <v>DAVIS WENDY</v>
      </c>
      <c r="M45" s="6">
        <f t="shared" si="69"/>
        <v>2.9849537037080154E-2</v>
      </c>
      <c r="N45" s="7">
        <f t="shared" si="70"/>
        <v>42.983333333395422</v>
      </c>
      <c r="O45" s="7"/>
      <c r="P45" s="7"/>
      <c r="Q45" s="22"/>
      <c r="R45" s="22"/>
      <c r="S45" s="31">
        <f t="shared" si="71"/>
        <v>1</v>
      </c>
      <c r="T45" s="46" t="str">
        <f t="shared" si="72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-10T07:23:51-0700',mode:absolute,to:'2017-03-10T10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5" s="187" t="str">
        <f t="shared" si="73"/>
        <v>N</v>
      </c>
      <c r="X45" s="187">
        <f t="shared" si="79"/>
        <v>1</v>
      </c>
      <c r="Y45" s="62">
        <f t="shared" si="74"/>
        <v>23.297699999999999</v>
      </c>
      <c r="Z45" s="62">
        <f t="shared" si="75"/>
        <v>1.5599999999999999E-2</v>
      </c>
      <c r="AA45" s="62">
        <f t="shared" si="76"/>
        <v>23.2821</v>
      </c>
      <c r="AB45" s="59" t="str">
        <f>VLOOKUP(A45,Enforcements!$C$7:$K$13,8,0)</f>
        <v>Bulletin (2)</v>
      </c>
      <c r="AC45" s="55" t="str">
        <f>VLOOKUP(A45,Enforcements!$C$7:$E$13,3,0)</f>
        <v>GRADE CROSSING</v>
      </c>
      <c r="AD45" s="56" t="str">
        <f t="shared" si="77"/>
        <v>0132-10</v>
      </c>
      <c r="AE45" s="85" t="str">
        <f t="shared" si="12"/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AF45" s="82" t="str">
        <f t="shared" si="13"/>
        <v>"C:\Program Files (x86)\AstroGrep\AstroGrep.exe" /e /r /s /spath="%USERPROFILE%\AppData\Local\Temp\OnboardLogs" /stypes="app*4045*20170310*" /stext=" 16:.+((SYSTEM_STATE.+slice.+state.+changed )|(ment ac)|(multiple cpu faults)|(system.+state.+changed )|(\[timeout)|(PRM\|1\|D)|(kpr)|(kdp)|(\|lc)|(penalty))"</v>
      </c>
      <c r="AG45" s="1" t="str">
        <f t="shared" si="78"/>
        <v>EC</v>
      </c>
      <c r="AH45" s="86" t="str">
        <f t="shared" si="18"/>
        <v>"%USERPROFILE%\Documents\GitHub\eaglep3\Utilities\RefineRTDCRunTimes.py" --tripid 132-10 --locoid 4045 --swversion DE.1.0.9.0 --startMP 204:232977 --initTime 2017-03-10T08:23:51 --startdatetime 2017-03-10T08:25:57 --delay 2 --endMP 204:156 --enddatetime 2017-03-10T09:08:56 --enforcementcount 0 &gt;&gt;C:\Users\stu\Documents\GitHub\eaglep3-reporting\EC\2017-03-10-refined-times.txt</v>
      </c>
      <c r="AI45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{"issue":{"subject":"","project_id":79,"tracker_id":40,"status_id":1,"priority_id":2,"assigned_to_id":23,"start_date":"2017-03-10","description":"","custom_fields":[{"id":1,"name":"Subdivision","value":"EC"},{"id":4,"name":"Milepost","value":"0.0156"},{"id":17,"name":"Train ID","value":"132-10"},{"id":16,"name":"Locomotive ID","value":"4045"},{"id":130,"name":"Impact","value":""},{"id":150,"name":"Time of Event (Mountain Time)","value":"09:08:56"},{"id":151,"name":"Denver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4045 --day 2017-03-10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"%USERPROFILE%\AppData\Local\Temp\OnboardLogs"\RTDC4045\*4045*20170310* | grep -SE "(Enforcement Action)|(\[TIMEOUT)|(CHR.+\|PRM\|1\|D.+(SWITCH|SIGNAL).+UNKNOWN)" - &gt;&gt; 2017-03-10-UncaughtWiMAX.txt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656</v>
      </c>
      <c r="B46" s="7">
        <v>4031</v>
      </c>
      <c r="C46" s="21" t="s">
        <v>239</v>
      </c>
      <c r="D46" s="21" t="s">
        <v>225</v>
      </c>
      <c r="E46" s="13">
        <v>42804.323865740742</v>
      </c>
      <c r="F46" s="13">
        <v>42804.324930555558</v>
      </c>
      <c r="G46" s="7">
        <v>1</v>
      </c>
      <c r="H46" s="21" t="s">
        <v>244</v>
      </c>
      <c r="I46" s="13">
        <v>42804.350902777776</v>
      </c>
      <c r="J46" s="7">
        <v>0</v>
      </c>
      <c r="K46" s="98" t="str">
        <f t="shared" si="68"/>
        <v>4031/4032</v>
      </c>
      <c r="L46" s="21" t="str">
        <f>VLOOKUP(A46,'Trips&amp;Operators'!$C$1:$G$99999,5,FALSE)</f>
        <v>ROBINSON KADDIBA</v>
      </c>
      <c r="M46" s="6">
        <f t="shared" si="69"/>
        <v>2.5972222218115348E-2</v>
      </c>
      <c r="N46" s="7">
        <f t="shared" si="70"/>
        <v>37.399999994086102</v>
      </c>
      <c r="O46" s="7"/>
      <c r="P46" s="7"/>
      <c r="Q46" s="22"/>
      <c r="R46" s="22"/>
      <c r="S46" s="31">
        <f t="shared" si="71"/>
        <v>1</v>
      </c>
      <c r="T46" s="46" t="str">
        <f t="shared" si="72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-10T06:46:22-0700',mode:absolute,to:'2017-03-10T09:25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87" t="str">
        <f t="shared" si="73"/>
        <v>N</v>
      </c>
      <c r="X46" s="187">
        <f t="shared" si="79"/>
        <v>1</v>
      </c>
      <c r="Y46" s="62">
        <f t="shared" si="74"/>
        <v>4.5499999999999999E-2</v>
      </c>
      <c r="Z46" s="62">
        <f t="shared" si="75"/>
        <v>23.331399999999999</v>
      </c>
      <c r="AA46" s="62">
        <f t="shared" si="76"/>
        <v>23.285899999999998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77"/>
        <v>0133-10</v>
      </c>
      <c r="AE46" s="85" t="str">
        <f t="shared" si="12"/>
        <v>aws s3 cp s3://rtdc.mdm.uploadarchive.raw/RTDC4031/ "%USERPROFILE%\AppData\Local\Temp\OnboardLogs"\RTDC4031\2017-03-10 --exclude "*" --recursive --include "*20170310*" &amp; "%USERPROFILE%\Documents\GitHub\mrs-test-scripts\Headless Mode &amp; Sideloading\WalkAndUnGZ.bat" "%USERPROFILE%\AppData\Local\Temp\OnboardLogs"\RTDC4031\2017-03-10 &amp; aws s3 cp s3://rtdc.mdm.uploadarchive.raw/RTDC4031/ "%USERPROFILE%\AppData\Local\Temp\OnboardLogs"\RTDC4031\2017-03-11 --exclude "*" --recursive --include "*20170311*" &amp; "%USERPROFILE%\Documents\GitHub\mrs-test-scripts\Headless Mode &amp; Sideloading\WalkAndUnGZ.bat" "%USERPROFILE%\AppData\Local\Temp\OnboardLogs"\RTDC4031\2017-03-11</v>
      </c>
      <c r="AF46" s="82" t="str">
        <f t="shared" si="13"/>
        <v>"C:\Program Files (x86)\AstroGrep\AstroGrep.exe" /e /r /s /spath="%USERPROFILE%\AppData\Local\Temp\OnboardLogs" /stypes="app*4031*20170310*" /stext=" 15:.+((SYSTEM_STATE.+slice.+state.+changed )|(ment ac)|(multiple cpu faults)|(system.+state.+changed )|(\[timeout)|(PRM\|1\|D)|(kpr)|(kdp)|(\|lc)|(penalty))"</v>
      </c>
      <c r="AG46" s="1" t="str">
        <f t="shared" si="78"/>
        <v>EC</v>
      </c>
      <c r="AH46" s="86" t="str">
        <f t="shared" si="18"/>
        <v>"%USERPROFILE%\Documents\GitHub\eaglep3\Utilities\RefineRTDCRunTimes.py" --tripid 133-10 --locoid 4031 --swversion DE.1.0.9.0 --startMP 204:455 --initTime 2017-03-10T07:46:22 --startdatetime 2017-03-10T07:47:54 --delay 1 --endMP 204:233314 --enddatetime 2017-03-10T08:25:18 --enforcementcount 0 &gt;&gt;C:\Users\stu\Documents\GitHub\eaglep3-reporting\EC\2017-03-10-refined-times.txt</v>
      </c>
      <c r="AI46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{"issue":{"subject":"","project_id":79,"tracker_id":40,"status_id":1,"priority_id":2,"assigned_to_id":23,"start_date":"2017-03-10","description":"","custom_fields":[{"id":1,"name":"Subdivision","value":"EC"},{"id":4,"name":"Milepost","value":"23.3314"},{"id":17,"name":"Train ID","value":"133-10"},{"id":16,"name":"Locomotive ID","value":"4031"},{"id":130,"name":"Impact","value":""},{"id":150,"name":"Time of Event (Mountain Time)","value":"08:25:18"},{"id":151,"name":"Denver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4031 --day 2017-03-10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"%USERPROFILE%\AppData\Local\Temp\OnboardLogs"\RTDC4031\*4031*20170310* | grep -SE "(Enforcement Action)|(\[TIMEOUT)|(CHR.+\|PRM\|1\|D.+(SWITCH|SIGNAL).+UNKNOWN)" - &gt;&gt; 2017-03-10-UncaughtWiMAX.txt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662</v>
      </c>
      <c r="B47" s="7">
        <v>4032</v>
      </c>
      <c r="C47" s="21" t="s">
        <v>239</v>
      </c>
      <c r="D47" s="21" t="s">
        <v>257</v>
      </c>
      <c r="E47" s="13">
        <v>42804.358773148146</v>
      </c>
      <c r="F47" s="13">
        <v>42804.359606481485</v>
      </c>
      <c r="G47" s="7">
        <v>1</v>
      </c>
      <c r="H47" s="21" t="s">
        <v>484</v>
      </c>
      <c r="I47" s="13">
        <v>42804.389884259261</v>
      </c>
      <c r="J47" s="7">
        <v>0</v>
      </c>
      <c r="K47" s="98" t="str">
        <f t="shared" si="68"/>
        <v>4031/4032</v>
      </c>
      <c r="L47" s="21" t="str">
        <f>VLOOKUP(A47,'Trips&amp;Operators'!$C$1:$G$99999,5,FALSE)</f>
        <v>DAVIS WENDY</v>
      </c>
      <c r="M47" s="6">
        <f t="shared" si="69"/>
        <v>3.0277777776063886E-2</v>
      </c>
      <c r="N47" s="7">
        <f t="shared" si="70"/>
        <v>43.599999997531995</v>
      </c>
      <c r="O47" s="7"/>
      <c r="P47" s="7"/>
      <c r="Q47" s="22"/>
      <c r="R47" s="22"/>
      <c r="S47" s="31">
        <f t="shared" si="71"/>
        <v>1</v>
      </c>
      <c r="T47" s="46" t="str">
        <f t="shared" si="72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-10T07:36:38-0700',mode:absolute,to:'2017-03-10T10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187" t="str">
        <f t="shared" si="73"/>
        <v>N</v>
      </c>
      <c r="X47" s="187">
        <f t="shared" si="79"/>
        <v>1</v>
      </c>
      <c r="Y47" s="62">
        <f t="shared" si="74"/>
        <v>23.3004</v>
      </c>
      <c r="Z47" s="62">
        <f t="shared" si="75"/>
        <v>1.6500000000000001E-2</v>
      </c>
      <c r="AA47" s="62">
        <f t="shared" si="76"/>
        <v>23.283899999999999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77"/>
        <v>0134-10</v>
      </c>
      <c r="AE47" s="85" t="str">
        <f t="shared" si="12"/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AF47" s="82" t="str">
        <f t="shared" si="13"/>
        <v>"C:\Program Files (x86)\AstroGrep\AstroGrep.exe" /e /r /s /spath="%USERPROFILE%\AppData\Local\Temp\OnboardLogs" /stypes="app*4032*20170310*" /stext=" 16:.+((SYSTEM_STATE.+slice.+state.+changed )|(ment ac)|(multiple cpu faults)|(system.+state.+changed )|(\[timeout)|(PRM\|1\|D)|(kpr)|(kdp)|(\|lc)|(penalty))"</v>
      </c>
      <c r="AG47" s="1" t="str">
        <f t="shared" si="78"/>
        <v>EC</v>
      </c>
      <c r="AH47" s="86" t="str">
        <f t="shared" si="18"/>
        <v>"%USERPROFILE%\Documents\GitHub\eaglep3\Utilities\RefineRTDCRunTimes.py" --tripid 134-10 --locoid 4032 --swversion DE.1.0.9.0 --startMP 204:233004 --initTime 2017-03-10T08:36:38 --startdatetime 2017-03-10T08:37:50 --delay 1 --endMP 204:165 --enddatetime 2017-03-10T09:21:26 --enforcementcount 0 &gt;&gt;C:\Users\stu\Documents\GitHub\eaglep3-reporting\EC\2017-03-10-refined-times.txt</v>
      </c>
      <c r="AI47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{"issue":{"subject":"","project_id":79,"tracker_id":40,"status_id":1,"priority_id":2,"assigned_to_id":23,"start_date":"2017-03-10","description":"","custom_fields":[{"id":1,"name":"Subdivision","value":"EC"},{"id":4,"name":"Milepost","value":"0.0165"},{"id":17,"name":"Train ID","value":"134-10"},{"id":16,"name":"Locomotive ID","value":"4032"},{"id":130,"name":"Impact","value":""},{"id":150,"name":"Time of Event (Mountain Time)","value":"09:21:26"},{"id":151,"name":"Denver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4032 --day 2017-03-10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"%USERPROFILE%\AppData\Local\Temp\OnboardLogs"\RTDC4032\*4032*20170310* | grep -SE "(Enforcement Action)|(\[TIMEOUT)|(CHR.+\|PRM\|1\|D.+(SWITCH|SIGNAL).+UNKNOWN)" - &gt;&gt; 2017-03-10-UncaughtWiMAX.txt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665</v>
      </c>
      <c r="B48" s="7">
        <v>4039</v>
      </c>
      <c r="C48" s="21" t="s">
        <v>239</v>
      </c>
      <c r="D48" s="21" t="s">
        <v>403</v>
      </c>
      <c r="E48" s="13">
        <v>42804.373414351852</v>
      </c>
      <c r="F48" s="13">
        <v>42804.374409722222</v>
      </c>
      <c r="G48" s="7">
        <v>1</v>
      </c>
      <c r="H48" s="21" t="s">
        <v>817</v>
      </c>
      <c r="I48" s="13">
        <v>42804.403321759259</v>
      </c>
      <c r="J48" s="7">
        <v>0</v>
      </c>
      <c r="K48" s="98" t="str">
        <f t="shared" si="68"/>
        <v>4039/4040</v>
      </c>
      <c r="L48" s="21" t="str">
        <f>VLOOKUP(A48,'Trips&amp;Operators'!$C$1:$G$99999,5,FALSE)</f>
        <v>STARKS ANGELINA</v>
      </c>
      <c r="M48" s="6">
        <f t="shared" si="69"/>
        <v>2.8912037036207039E-2</v>
      </c>
      <c r="N48" s="7">
        <f t="shared" si="70"/>
        <v>41.633333332138136</v>
      </c>
      <c r="O48" s="7"/>
      <c r="P48" s="7"/>
      <c r="Q48" s="22"/>
      <c r="R48" s="22"/>
      <c r="S48" s="31">
        <f t="shared" si="71"/>
        <v>1</v>
      </c>
      <c r="T48" s="46" t="str">
        <f t="shared" si="72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-10T07:57:43-0700',mode:absolute,to:'2017-03-10T10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187" t="str">
        <f t="shared" si="73"/>
        <v>N</v>
      </c>
      <c r="X48" s="187">
        <f t="shared" si="79"/>
        <v>2</v>
      </c>
      <c r="Y48" s="62">
        <f t="shared" si="74"/>
        <v>23.298200000000001</v>
      </c>
      <c r="Z48" s="62">
        <f t="shared" si="75"/>
        <v>1.32E-2</v>
      </c>
      <c r="AA48" s="62">
        <f t="shared" si="76"/>
        <v>23.285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77"/>
        <v>0136-10</v>
      </c>
      <c r="AE48" s="85" t="str">
        <f t="shared" si="12"/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AF48" s="82" t="str">
        <f t="shared" si="13"/>
        <v>"C:\Program Files (x86)\AstroGrep\AstroGrep.exe" /e /r /s /spath="%USERPROFILE%\AppData\Local\Temp\OnboardLogs" /stypes="app*4039*20170310*" /stext=" 16:.+((SYSTEM_STATE.+slice.+state.+changed )|(ment ac)|(multiple cpu faults)|(system.+state.+changed )|(\[timeout)|(PRM\|1\|D)|(kpr)|(kdp)|(\|lc)|(penalty))"</v>
      </c>
      <c r="AG48" s="1" t="str">
        <f t="shared" si="78"/>
        <v>EC</v>
      </c>
      <c r="AH48" s="86" t="str">
        <f t="shared" si="18"/>
        <v>"%USERPROFILE%\Documents\GitHub\eaglep3\Utilities\RefineRTDCRunTimes.py" --tripid 136-10 --locoid 4039 --swversion DE.1.0.9.0 --startMP 204:232982 --initTime 2017-03-10T08:57:43 --startdatetime 2017-03-10T08:59:09 --delay 1 --endMP 204:132 --enddatetime 2017-03-10T09:40:47 --enforcementcount 0 &gt;&gt;C:\Users\stu\Documents\GitHub\eaglep3-reporting\EC\2017-03-10-refined-times.txt</v>
      </c>
      <c r="AI48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{"issue":{"subject":"","project_id":79,"tracker_id":40,"status_id":1,"priority_id":2,"assigned_to_id":23,"start_date":"2017-03-10","description":"","custom_fields":[{"id":1,"name":"Subdivision","value":"EC"},{"id":4,"name":"Milepost","value":"0.0132"},{"id":17,"name":"Train ID","value":"136-10"},{"id":16,"name":"Locomotive ID","value":"4039"},{"id":130,"name":"Impact","value":""},{"id":150,"name":"Time of Event (Mountain Time)","value":"09:40:47"},{"id":151,"name":"Denver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4039 --day 2017-03-10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"%USERPROFILE%\AppData\Local\Temp\OnboardLogs"\RTDC4039\*4039*20170310* | grep -SE "(Enforcement Action)|(\[TIMEOUT)|(CHR.+\|PRM\|1\|D.+(SWITCH|SIGNAL).+UNKNOWN)" - &gt;&gt; 2017-03-10-UncaughtWiMAX.txt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660</v>
      </c>
      <c r="B49" s="7">
        <v>4011</v>
      </c>
      <c r="C49" s="21" t="s">
        <v>239</v>
      </c>
      <c r="D49" s="21" t="s">
        <v>835</v>
      </c>
      <c r="E49" s="13">
        <v>42804.340729166666</v>
      </c>
      <c r="F49" s="13">
        <v>42804.342442129629</v>
      </c>
      <c r="G49" s="7">
        <v>2</v>
      </c>
      <c r="H49" s="21" t="s">
        <v>252</v>
      </c>
      <c r="I49" s="13">
        <v>42804.36891203704</v>
      </c>
      <c r="J49" s="7">
        <v>0</v>
      </c>
      <c r="K49" s="98" t="str">
        <f t="shared" si="68"/>
        <v>4011/4012</v>
      </c>
      <c r="L49" s="21" t="str">
        <f>VLOOKUP(A49,'Trips&amp;Operators'!$C$1:$G$99999,5,FALSE)</f>
        <v>LOZA FIDEL</v>
      </c>
      <c r="M49" s="6">
        <f t="shared" si="69"/>
        <v>2.6469907410501037E-2</v>
      </c>
      <c r="N49" s="7">
        <f t="shared" si="70"/>
        <v>38.116666671121493</v>
      </c>
      <c r="O49" s="7"/>
      <c r="P49" s="7"/>
      <c r="Q49" s="22"/>
      <c r="R49" s="22"/>
      <c r="S49" s="31">
        <f t="shared" si="71"/>
        <v>1</v>
      </c>
      <c r="T49" s="46" t="str">
        <f t="shared" si="72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-10T07:10:39-0700',mode:absolute,to:'2017-03-10T09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9" s="187" t="str">
        <f t="shared" si="73"/>
        <v>N</v>
      </c>
      <c r="X49" s="187">
        <f t="shared" si="79"/>
        <v>1</v>
      </c>
      <c r="Y49" s="62">
        <f t="shared" si="74"/>
        <v>6.0999999999999999E-2</v>
      </c>
      <c r="Z49" s="62">
        <f t="shared" si="75"/>
        <v>23.331199999999999</v>
      </c>
      <c r="AA49" s="62">
        <f t="shared" si="76"/>
        <v>23.270199999999999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77"/>
        <v>0137-10</v>
      </c>
      <c r="AE49" s="85" t="str">
        <f t="shared" si="12"/>
        <v>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 &amp; aws s3 cp s3://rtdc.mdm.uploadarchive.raw/RTDC4011/ "%USERPROFILE%\AppData\Local\Temp\OnboardLogs"\RTDC4011\2017-03-11 --exclude "*" --recursive --include "*20170311*" &amp; "%USERPROFILE%\Documents\GitHub\mrs-test-scripts\Headless Mode &amp; Sideloading\WalkAndUnGZ.bat" "%USERPROFILE%\AppData\Local\Temp\OnboardLogs"\RTDC4011\2017-03-11</v>
      </c>
      <c r="AF49" s="82" t="str">
        <f t="shared" si="13"/>
        <v>"C:\Program Files (x86)\AstroGrep\AstroGrep.exe" /e /r /s /spath="%USERPROFILE%\AppData\Local\Temp\OnboardLogs" /stypes="app*4011*20170310*" /stext=" 15:.+((SYSTEM_STATE.+slice.+state.+changed )|(ment ac)|(multiple cpu faults)|(system.+state.+changed )|(\[timeout)|(PRM\|1\|D)|(kpr)|(kdp)|(\|lc)|(penalty))"</v>
      </c>
      <c r="AG49" s="1" t="str">
        <f t="shared" si="78"/>
        <v>EC</v>
      </c>
      <c r="AH49" s="86" t="str">
        <f t="shared" si="18"/>
        <v>"%USERPROFILE%\Documents\GitHub\eaglep3\Utilities\RefineRTDCRunTimes.py" --tripid 137-10 --locoid 4011 --swversion DE.1.0.9.0 --startMP 204:610 --initTime 2017-03-10T08:10:39 --startdatetime 2017-03-10T08:13:07 --delay 2 --endMP 204:233312 --enddatetime 2017-03-10T08:51:14 --enforcementcount 0 &gt;&gt;C:\Users\stu\Documents\GitHub\eaglep3-reporting\EC\2017-03-10-refined-times.txt</v>
      </c>
      <c r="AI49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{"issue":{"subject":"","project_id":79,"tracker_id":40,"status_id":1,"priority_id":2,"assigned_to_id":23,"start_date":"2017-03-10","description":"","custom_fields":[{"id":1,"name":"Subdivision","value":"EC"},{"id":4,"name":"Milepost","value":"23.3312"},{"id":17,"name":"Train ID","value":"137-10"},{"id":16,"name":"Locomotive ID","value":"4011"},{"id":130,"name":"Impact","value":""},{"id":150,"name":"Time of Event (Mountain Time)","value":"08:51:14"},{"id":151,"name":"Denver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4011 --day 2017-03-10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2017-03-10-UncaughtWiMAX.txt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668</v>
      </c>
      <c r="B50" s="7">
        <v>4012</v>
      </c>
      <c r="C50" s="21" t="s">
        <v>239</v>
      </c>
      <c r="D50" s="21" t="s">
        <v>257</v>
      </c>
      <c r="E50" s="13">
        <v>42804.379861111112</v>
      </c>
      <c r="F50" s="13">
        <v>42804.380509259259</v>
      </c>
      <c r="G50" s="7">
        <v>0</v>
      </c>
      <c r="H50" s="21" t="s">
        <v>226</v>
      </c>
      <c r="I50" s="13">
        <v>42804.41064814815</v>
      </c>
      <c r="J50" s="7">
        <v>0</v>
      </c>
      <c r="K50" s="98" t="str">
        <f t="shared" si="68"/>
        <v>4011/4012</v>
      </c>
      <c r="L50" s="21" t="str">
        <f>VLOOKUP(A50,'Trips&amp;Operators'!$C$1:$G$99999,5,FALSE)</f>
        <v>LOZA FIDEL</v>
      </c>
      <c r="M50" s="6">
        <f t="shared" si="69"/>
        <v>3.0138888891087845E-2</v>
      </c>
      <c r="N50" s="7">
        <f t="shared" si="70"/>
        <v>43.400000003166497</v>
      </c>
      <c r="O50" s="7"/>
      <c r="P50" s="7"/>
      <c r="Q50" s="22"/>
      <c r="R50" s="22"/>
      <c r="S50" s="31">
        <f t="shared" si="71"/>
        <v>1</v>
      </c>
      <c r="T50" s="46" t="str">
        <f t="shared" si="72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-10T08:07:00-0700',mode:absolute,to:'2017-03-10T10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0" s="187" t="str">
        <f t="shared" si="73"/>
        <v>N</v>
      </c>
      <c r="X50" s="187">
        <f t="shared" si="79"/>
        <v>1</v>
      </c>
      <c r="Y50" s="62">
        <f t="shared" si="74"/>
        <v>23.3004</v>
      </c>
      <c r="Z50" s="62">
        <f t="shared" si="75"/>
        <v>1.3899999999999999E-2</v>
      </c>
      <c r="AA50" s="62">
        <f t="shared" si="76"/>
        <v>23.2865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77"/>
        <v>0138-10</v>
      </c>
      <c r="AE50" s="85" t="str">
        <f t="shared" si="12"/>
        <v>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 &amp; aws s3 cp s3://rtdc.mdm.uploadarchive.raw/RTDC4012/ "%USERPROFILE%\AppData\Local\Temp\OnboardLogs"\RTDC4012\2017-03-11 --exclude "*" --recursive --include "*20170311*" &amp; "%USERPROFILE%\Documents\GitHub\mrs-test-scripts\Headless Mode &amp; Sideloading\WalkAndUnGZ.bat" "%USERPROFILE%\AppData\Local\Temp\OnboardLogs"\RTDC4012\2017-03-11</v>
      </c>
      <c r="AF50" s="82" t="str">
        <f t="shared" si="13"/>
        <v>"C:\Program Files (x86)\AstroGrep\AstroGrep.exe" /e /r /s /spath="%USERPROFILE%\AppData\Local\Temp\OnboardLogs" /stypes="app*4012*20170310*" /stext=" 16:.+((SYSTEM_STATE.+slice.+state.+changed )|(ment ac)|(multiple cpu faults)|(system.+state.+changed )|(\[timeout)|(PRM\|1\|D)|(kpr)|(kdp)|(\|lc)|(penalty))"</v>
      </c>
      <c r="AG50" s="1" t="str">
        <f t="shared" si="78"/>
        <v>EC</v>
      </c>
      <c r="AH50" s="86" t="str">
        <f t="shared" si="18"/>
        <v>"%USERPROFILE%\Documents\GitHub\eaglep3\Utilities\RefineRTDCRunTimes.py" --tripid 138-10 --locoid 4012 --swversion DE.1.0.9.0 --startMP 204:233004 --initTime 2017-03-10T09:07:00 --startdatetime 2017-03-10T09:07:56 --delay 0 --endMP 204:139 --enddatetime 2017-03-10T09:51:20 --enforcementcount 0 &gt;&gt;C:\Users\stu\Documents\GitHub\eaglep3-reporting\EC\2017-03-10-refined-times.txt</v>
      </c>
      <c r="AI50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{"issue":{"subject":"","project_id":79,"tracker_id":40,"status_id":1,"priority_id":2,"assigned_to_id":23,"start_date":"2017-03-10","description":"","custom_fields":[{"id":1,"name":"Subdivision","value":"EC"},{"id":4,"name":"Milepost","value":"0.0139"},{"id":17,"name":"Train ID","value":"138-10"},{"id":16,"name":"Locomotive ID","value":"4012"},{"id":130,"name":"Impact","value":""},{"id":150,"name":"Time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4012 --day 2017-03-10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2017-03-10-UncaughtWiMAX.txt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572</v>
      </c>
      <c r="B51" s="7">
        <v>4009</v>
      </c>
      <c r="C51" s="21" t="s">
        <v>239</v>
      </c>
      <c r="D51" s="21" t="s">
        <v>224</v>
      </c>
      <c r="E51" s="13">
        <v>42804.350416666668</v>
      </c>
      <c r="F51" s="13">
        <v>42804.351388888892</v>
      </c>
      <c r="G51" s="7">
        <v>1</v>
      </c>
      <c r="H51" s="21" t="s">
        <v>486</v>
      </c>
      <c r="I51" s="13">
        <v>42804.381956018522</v>
      </c>
      <c r="J51" s="7">
        <v>0</v>
      </c>
      <c r="K51" s="98" t="str">
        <f t="shared" si="68"/>
        <v>4009/4010</v>
      </c>
      <c r="L51" s="21" t="str">
        <f>VLOOKUP(A51,'Trips&amp;Operators'!$C$1:$G$99999,5,FALSE)</f>
        <v>BONDS REYNALDO</v>
      </c>
      <c r="M51" s="6">
        <f t="shared" si="69"/>
        <v>3.0567129630071577E-2</v>
      </c>
      <c r="N51" s="7">
        <f t="shared" si="70"/>
        <v>44.01666666730307</v>
      </c>
      <c r="O51" s="7"/>
      <c r="P51" s="7"/>
      <c r="Q51" s="22"/>
      <c r="R51" s="22"/>
      <c r="S51" s="31">
        <f t="shared" si="71"/>
        <v>1</v>
      </c>
      <c r="T51" s="46" t="str">
        <f t="shared" si="72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-10T07:24:36-0700',mode:absolute,to:'2017-03-10T10:10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1" s="187" t="str">
        <f t="shared" si="73"/>
        <v>N</v>
      </c>
      <c r="X51" s="187">
        <f t="shared" si="79"/>
        <v>1</v>
      </c>
      <c r="Y51" s="62">
        <f t="shared" si="74"/>
        <v>4.4600000000000001E-2</v>
      </c>
      <c r="Z51" s="62">
        <f t="shared" si="75"/>
        <v>23.328399999999998</v>
      </c>
      <c r="AA51" s="62">
        <f t="shared" si="76"/>
        <v>23.283799999999999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77"/>
        <v>0139-10</v>
      </c>
      <c r="AE51" s="85" t="str">
        <f t="shared" si="12"/>
        <v>aws s3 cp s3://rtdc.mdm.uploadarchive.raw/RTDC4009/ "%USERPROFILE%\AppData\Local\Temp\OnboardLogs"\RTDC4009\2017-03-10 --exclude "*" --recursive --include "*20170310*" &amp; "%USERPROFILE%\Documents\GitHub\mrs-test-scripts\Headless Mode &amp; Sideloading\WalkAndUnGZ.bat" "%USERPROFILE%\AppData\Local\Temp\OnboardLogs"\RTDC4009\2017-03-10 &amp; 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</v>
      </c>
      <c r="AF51" s="82" t="str">
        <f t="shared" si="13"/>
        <v>"C:\Program Files (x86)\AstroGrep\AstroGrep.exe" /e /r /s /spath="%USERPROFILE%\AppData\Local\Temp\OnboardLogs" /stypes="app*4009*20170310*" /stext=" 16:.+((SYSTEM_STATE.+slice.+state.+changed )|(ment ac)|(multiple cpu faults)|(system.+state.+changed )|(\[timeout)|(PRM\|1\|D)|(kpr)|(kdp)|(\|lc)|(penalty))"</v>
      </c>
      <c r="AG51" s="1" t="str">
        <f t="shared" si="78"/>
        <v>EC</v>
      </c>
      <c r="AH51" s="86" t="str">
        <f t="shared" si="18"/>
        <v>"%USERPROFILE%\Documents\GitHub\eaglep3\Utilities\RefineRTDCRunTimes.py" --tripid 139-10 --locoid 4009 --swversion DE.1.0.9.0 --startMP 204:446 --initTime 2017-03-10T08:24:36 --startdatetime 2017-03-10T08:26:00 --delay 1 --endMP 204:233284 --enddatetime 2017-03-10T09:10:01 --enforcementcount 0 &gt;&gt;C:\Users\stu\Documents\GitHub\eaglep3-reporting\EC\2017-03-10-refined-times.txt</v>
      </c>
      <c r="AI51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{"issue":{"subject":"","project_id":79,"tracker_id":40,"status_id":1,"priority_id":2,"assigned_to_id":23,"start_date":"2017-03-10","description":"","custom_fields":[{"id":1,"name":"Subdivision","value":"EC"},{"id":4,"name":"Milepost","value":"23.3284"},{"id":17,"name":"Train ID","value":"139-10"},{"id":16,"name":"Locomotive ID","value":"4009"},{"id":130,"name":"Impact","value":""},{"id":150,"name":"Time of Event (Mountain Time)","value":"09:10:01"},{"id":151,"name":"Denver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4009 --day 2017-03-10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"%USERPROFILE%\AppData\Local\Temp\OnboardLogs"\RTDC4009\*4009*20170310* | grep -SE "(Enforcement Action)|(\[TIMEOUT)|(CHR.+\|PRM\|1\|D.+(SWITCH|SIGNAL).+UNKNOWN)" - &gt;&gt; 2017-03-10-UncaughtWiMAX.txt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669</v>
      </c>
      <c r="B52" s="7">
        <v>4010</v>
      </c>
      <c r="C52" s="21" t="s">
        <v>239</v>
      </c>
      <c r="D52" s="21" t="s">
        <v>836</v>
      </c>
      <c r="E52" s="13">
        <v>42804.388761574075</v>
      </c>
      <c r="F52" s="13">
        <v>42804.389675925922</v>
      </c>
      <c r="G52" s="7">
        <v>1</v>
      </c>
      <c r="H52" s="21" t="s">
        <v>194</v>
      </c>
      <c r="I52" s="13">
        <v>42804.422638888886</v>
      </c>
      <c r="J52" s="7">
        <v>0</v>
      </c>
      <c r="K52" s="98" t="str">
        <f t="shared" si="68"/>
        <v>4009/4010</v>
      </c>
      <c r="L52" s="21" t="str">
        <f>VLOOKUP(A52,'Trips&amp;Operators'!$C$1:$G$99999,5,FALSE)</f>
        <v>BONDS REYNALDO</v>
      </c>
      <c r="M52" s="6">
        <f t="shared" si="69"/>
        <v>3.2962962963210884E-2</v>
      </c>
      <c r="N52" s="7">
        <f t="shared" si="70"/>
        <v>47.466666667023674</v>
      </c>
      <c r="O52" s="7"/>
      <c r="P52" s="7"/>
      <c r="Q52" s="22"/>
      <c r="R52" s="22"/>
      <c r="S52" s="31">
        <f t="shared" si="71"/>
        <v>1</v>
      </c>
      <c r="T52" s="46" t="str">
        <f t="shared" si="72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-10T08:19:49-0700',mode:absolute,to:'2017-03-10T11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2" s="187" t="str">
        <f t="shared" si="73"/>
        <v>N</v>
      </c>
      <c r="X52" s="187">
        <f t="shared" si="79"/>
        <v>1</v>
      </c>
      <c r="Y52" s="62">
        <f t="shared" si="74"/>
        <v>23.296099999999999</v>
      </c>
      <c r="Z52" s="62">
        <f t="shared" si="75"/>
        <v>1.4500000000000001E-2</v>
      </c>
      <c r="AA52" s="62">
        <f t="shared" si="76"/>
        <v>23.281599999999997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77"/>
        <v>0140-10</v>
      </c>
      <c r="AE52" s="85" t="str">
        <f t="shared" si="12"/>
        <v>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 &amp; 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</v>
      </c>
      <c r="AF52" s="82" t="str">
        <f t="shared" si="13"/>
        <v>"C:\Program Files (x86)\AstroGrep\AstroGrep.exe" /e /r /s /spath="%USERPROFILE%\AppData\Local\Temp\OnboardLogs" /stypes="app*4010*20170310*" /stext=" 17:.+((SYSTEM_STATE.+slice.+state.+changed )|(ment ac)|(multiple cpu faults)|(system.+state.+changed )|(\[timeout)|(PRM\|1\|D)|(kpr)|(kdp)|(\|lc)|(penalty))"</v>
      </c>
      <c r="AG52" s="1" t="str">
        <f t="shared" si="78"/>
        <v>EC</v>
      </c>
      <c r="AH52" s="86" t="str">
        <f t="shared" si="18"/>
        <v>"%USERPROFILE%\Documents\GitHub\eaglep3\Utilities\RefineRTDCRunTimes.py" --tripid 140-10 --locoid 4010 --swversion DE.1.0.9.0 --startMP 204:232961 --initTime 2017-03-10T09:19:49 --startdatetime 2017-03-10T09:21:08 --delay 1 --endMP 204:145 --enddatetime 2017-03-10T10:08:36 --enforcementcount 0 &gt;&gt;C:\Users\stu\Documents\GitHub\eaglep3-reporting\EC\2017-03-10-refined-times.txt</v>
      </c>
      <c r="AI52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{"issue":{"subject":"","project_id":79,"tracker_id":40,"status_id":1,"priority_id":2,"assigned_to_id":23,"start_date":"2017-03-10","description":"","custom_fields":[{"id":1,"name":"Subdivision","value":"EC"},{"id":4,"name":"Milepost","value":"0.0145"},{"id":17,"name":"Train ID","value":"140-10"},{"id":16,"name":"Locomotive ID","value":"4010"},{"id":130,"name":"Impact","value":""},{"id":150,"name":"Time of Event (Mountain Time)","value":"10:08:36"},{"id":151,"name":"Denver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4010 --day 2017-03-10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"%USERPROFILE%\AppData\Local\Temp\OnboardLogs"\RTDC4010\*4010*20170310* | grep -SE "(Enforcement Action)|(\[TIMEOUT)|(CHR.+\|PRM\|1\|D.+(SWITCH|SIGNAL).+UNKNOWN)" - &gt;&gt; 2017-03-10-UncaughtWiMAX.txt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664</v>
      </c>
      <c r="B53" s="7">
        <v>4007</v>
      </c>
      <c r="C53" s="21" t="s">
        <v>239</v>
      </c>
      <c r="D53" s="21" t="s">
        <v>218</v>
      </c>
      <c r="E53" s="13">
        <v>42804.36277777778</v>
      </c>
      <c r="F53" s="13">
        <v>42804.363518518519</v>
      </c>
      <c r="G53" s="7">
        <v>1</v>
      </c>
      <c r="H53" s="21" t="s">
        <v>434</v>
      </c>
      <c r="I53" s="13">
        <v>42804.391504629632</v>
      </c>
      <c r="J53" s="7">
        <v>0</v>
      </c>
      <c r="K53" s="98" t="str">
        <f t="shared" si="68"/>
        <v>4007/4008</v>
      </c>
      <c r="L53" s="21" t="str">
        <f>VLOOKUP(A53,'Trips&amp;Operators'!$C$1:$G$99999,5,FALSE)</f>
        <v>BADERTSCHER DIANE</v>
      </c>
      <c r="M53" s="6">
        <f t="shared" si="69"/>
        <v>2.7986111112113576E-2</v>
      </c>
      <c r="N53" s="7">
        <f t="shared" si="70"/>
        <v>40.30000000144355</v>
      </c>
      <c r="O53" s="7"/>
      <c r="P53" s="7"/>
      <c r="Q53" s="22"/>
      <c r="R53" s="22"/>
      <c r="S53" s="31">
        <f t="shared" si="71"/>
        <v>1</v>
      </c>
      <c r="T53" s="46" t="str">
        <f t="shared" si="72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-10T07:42:24-0700',mode:absolute,to:'2017-03-10T10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87" t="str">
        <f t="shared" si="73"/>
        <v>N</v>
      </c>
      <c r="X53" s="187">
        <f t="shared" si="79"/>
        <v>1</v>
      </c>
      <c r="Y53" s="62">
        <f t="shared" si="74"/>
        <v>4.5999999999999999E-2</v>
      </c>
      <c r="Z53" s="62">
        <f t="shared" si="75"/>
        <v>23.3308</v>
      </c>
      <c r="AA53" s="62">
        <f t="shared" si="76"/>
        <v>23.284800000000001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77"/>
        <v>0141-10</v>
      </c>
      <c r="AE53" s="85" t="str">
        <f t="shared" si="12"/>
        <v>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 &amp; aws s3 cp s3://rtdc.mdm.uploadarchive.raw/RTDC4007/ "%USERPROFILE%\AppData\Local\Temp\OnboardLogs"\RTDC4007\2017-03-11 --exclude "*" --recursive --include "*20170311*" &amp; "%USERPROFILE%\Documents\GitHub\mrs-test-scripts\Headless Mode &amp; Sideloading\WalkAndUnGZ.bat" "%USERPROFILE%\AppData\Local\Temp\OnboardLogs"\RTDC4007\2017-03-11</v>
      </c>
      <c r="AF53" s="82" t="str">
        <f t="shared" si="13"/>
        <v>"C:\Program Files (x86)\AstroGrep\AstroGrep.exe" /e /r /s /spath="%USERPROFILE%\AppData\Local\Temp\OnboardLogs" /stypes="app*4007*20170310*" /stext=" 16:.+((SYSTEM_STATE.+slice.+state.+changed )|(ment ac)|(multiple cpu faults)|(system.+state.+changed )|(\[timeout)|(PRM\|1\|D)|(kpr)|(kdp)|(\|lc)|(penalty))"</v>
      </c>
      <c r="AG53" s="1" t="str">
        <f t="shared" si="78"/>
        <v>EC</v>
      </c>
      <c r="AH53" s="86" t="str">
        <f t="shared" si="18"/>
        <v>"%USERPROFILE%\Documents\GitHub\eaglep3\Utilities\RefineRTDCRunTimes.py" --tripid 141-10 --locoid 4007 --swversion DE.1.0.9.0 --startMP 204:460 --initTime 2017-03-10T08:42:24 --startdatetime 2017-03-10T08:43:28 --delay 1 --endMP 204:233308 --enddatetime 2017-03-10T09:23:46 --enforcementcount 0 &gt;&gt;C:\Users\stu\Documents\GitHub\eaglep3-reporting\EC\2017-03-10-refined-times.txt</v>
      </c>
      <c r="AI53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{"issue":{"subject":"","project_id":79,"tracker_id":40,"status_id":1,"priority_id":2,"assigned_to_id":23,"start_date":"2017-03-10","description":"","custom_fields":[{"id":1,"name":"Subdivision","value":"EC"},{"id":4,"name":"Milepost","value":"23.3308"},{"id":17,"name":"Train ID","value":"141-10"},{"id":16,"name":"Locomotive ID","value":"4007"},{"id":130,"name":"Impact","value":""},{"id":150,"name":"Time of Event (Mountain Time)","value":"09:23:46"},{"id":151,"name":"Denver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4007 --day 2017-03-10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"%USERPROFILE%\AppData\Local\Temp\OnboardLogs"\RTDC4007\*4007*20170310* | grep -SE "(Enforcement Action)|(\[TIMEOUT)|(CHR.+\|PRM\|1\|D.+(SWITCH|SIGNAL).+UNKNOWN)" - &gt;&gt; 2017-03-10-UncaughtWiMAX.txt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576</v>
      </c>
      <c r="B54" s="7">
        <v>4008</v>
      </c>
      <c r="C54" s="21" t="s">
        <v>239</v>
      </c>
      <c r="D54" s="21" t="s">
        <v>821</v>
      </c>
      <c r="E54" s="13">
        <v>42804.396643518521</v>
      </c>
      <c r="F54" s="13">
        <v>42804.398657407408</v>
      </c>
      <c r="G54" s="7">
        <v>2</v>
      </c>
      <c r="H54" s="21" t="s">
        <v>837</v>
      </c>
      <c r="I54" s="13">
        <v>42804.4375</v>
      </c>
      <c r="J54" s="7">
        <v>0</v>
      </c>
      <c r="K54" s="98" t="str">
        <f t="shared" si="68"/>
        <v>4007/4008</v>
      </c>
      <c r="L54" s="21" t="str">
        <f>VLOOKUP(A54,'Trips&amp;Operators'!$C$1:$G$99999,5,FALSE)</f>
        <v>BADERTSCHER DIANE</v>
      </c>
      <c r="M54" s="6">
        <f t="shared" si="69"/>
        <v>3.8842592592118308E-2</v>
      </c>
      <c r="N54" s="7">
        <f t="shared" si="70"/>
        <v>55.933333332650363</v>
      </c>
      <c r="O54" s="7"/>
      <c r="P54" s="7"/>
      <c r="Q54" s="22"/>
      <c r="R54" s="22"/>
      <c r="S54" s="31">
        <f t="shared" si="71"/>
        <v>1</v>
      </c>
      <c r="T54" s="46" t="str">
        <f t="shared" si="72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-10T08:31:10-0700',mode:absolute,to:'2017-03-10T11:30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4" s="187" t="str">
        <f t="shared" si="73"/>
        <v>N</v>
      </c>
      <c r="X54" s="187">
        <f t="shared" si="79"/>
        <v>1</v>
      </c>
      <c r="Y54" s="62">
        <f t="shared" si="74"/>
        <v>23.2987</v>
      </c>
      <c r="Z54" s="62">
        <f t="shared" si="75"/>
        <v>0.11990000000000001</v>
      </c>
      <c r="AA54" s="62">
        <f t="shared" si="76"/>
        <v>23.178799999999999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77"/>
        <v>0142-10</v>
      </c>
      <c r="AE54" s="85" t="str">
        <f t="shared" si="12"/>
        <v>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 &amp; aws s3 cp s3://rtdc.mdm.uploadarchive.raw/RTDC4008/ "%USERPROFILE%\AppData\Local\Temp\OnboardLogs"\RTDC4008\2017-03-11 --exclude "*" --recursive --include "*20170311*" &amp; "%USERPROFILE%\Documents\GitHub\mrs-test-scripts\Headless Mode &amp; Sideloading\WalkAndUnGZ.bat" "%USERPROFILE%\AppData\Local\Temp\OnboardLogs"\RTDC4008\2017-03-11</v>
      </c>
      <c r="AF54" s="82" t="str">
        <f t="shared" si="13"/>
        <v>"C:\Program Files (x86)\AstroGrep\AstroGrep.exe" /e /r /s /spath="%USERPROFILE%\AppData\Local\Temp\OnboardLogs" /stypes="app*4008*20170310*" /stext=" 17:.+((SYSTEM_STATE.+slice.+state.+changed )|(ment ac)|(multiple cpu faults)|(system.+state.+changed )|(\[timeout)|(PRM\|1\|D)|(kpr)|(kdp)|(\|lc)|(penalty))"</v>
      </c>
      <c r="AG54" s="1" t="str">
        <f t="shared" si="78"/>
        <v>EC</v>
      </c>
      <c r="AH54" s="86" t="str">
        <f t="shared" si="18"/>
        <v>"%USERPROFILE%\Documents\GitHub\eaglep3\Utilities\RefineRTDCRunTimes.py" --tripid 142-10 --locoid 4008 --swversion DE.1.0.9.0 --startMP 204:232987 --initTime 2017-03-10T09:31:10 --startdatetime 2017-03-10T09:34:04 --delay 2 --endMP 204:1199 --enddatetime 2017-03-10T10:30:00 --enforcementcount 0 &gt;&gt;C:\Users\stu\Documents\GitHub\eaglep3-reporting\EC\2017-03-10-refined-times.txt</v>
      </c>
      <c r="AI54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{"issue":{"subject":"","project_id":79,"tracker_id":40,"status_id":1,"priority_id":2,"assigned_to_id":23,"start_date":"2017-03-10","description":"","custom_fields":[{"id":1,"name":"Subdivision","value":"EC"},{"id":4,"name":"Milepost","value":"0.1199"},{"id":17,"name":"Train ID","value":"142-10"},{"id":16,"name":"Locomotive ID","value":"4008"},{"id":130,"name":"Impact","value":""},{"id":150,"name":"Time of Event (Mountain Time)","value":"10:30:00"},{"id":151,"name":"Denver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4008 --day 2017-03-10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"%USERPROFILE%\AppData\Local\Temp\OnboardLogs"\RTDC4008\*4008*20170310* | grep -SE "(Enforcement Action)|(\[TIMEOUT)|(CHR.+\|PRM\|1\|D.+(SWITCH|SIGNAL).+UNKNOWN)" - &gt;&gt; 2017-03-10-UncaughtWiMAX.txt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666</v>
      </c>
      <c r="B55" s="7">
        <v>4053</v>
      </c>
      <c r="C55" s="21" t="s">
        <v>239</v>
      </c>
      <c r="D55" s="21" t="s">
        <v>485</v>
      </c>
      <c r="E55" s="13">
        <v>42804.373171296298</v>
      </c>
      <c r="F55" s="13">
        <v>42804.374155092592</v>
      </c>
      <c r="G55" s="7">
        <v>1</v>
      </c>
      <c r="H55" s="21" t="s">
        <v>483</v>
      </c>
      <c r="I55" s="13">
        <v>42804.401423611111</v>
      </c>
      <c r="J55" s="7">
        <v>0</v>
      </c>
      <c r="K55" s="98" t="str">
        <f t="shared" si="68"/>
        <v>4053/4054</v>
      </c>
      <c r="L55" s="21" t="str">
        <f>VLOOKUP(A55,'Trips&amp;Operators'!$C$1:$G$99999,5,FALSE)</f>
        <v>ROCHA YAOTL</v>
      </c>
      <c r="M55" s="6">
        <f t="shared" si="69"/>
        <v>2.7268518519122154E-2</v>
      </c>
      <c r="N55" s="7">
        <f t="shared" si="70"/>
        <v>39.266666667535901</v>
      </c>
      <c r="O55" s="7"/>
      <c r="P55" s="7"/>
      <c r="Q55" s="22"/>
      <c r="R55" s="22"/>
      <c r="S55" s="31">
        <f t="shared" si="71"/>
        <v>1</v>
      </c>
      <c r="T55" s="46" t="str">
        <f t="shared" si="72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-10T07:57:22-0700',mode:absolute,to:'2017-03-10T10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5" s="187" t="str">
        <f t="shared" si="73"/>
        <v>N</v>
      </c>
      <c r="X55" s="187">
        <f t="shared" si="79"/>
        <v>1</v>
      </c>
      <c r="Y55" s="62">
        <f t="shared" si="74"/>
        <v>4.3799999999999999E-2</v>
      </c>
      <c r="Z55" s="62">
        <f t="shared" si="75"/>
        <v>23.328800000000001</v>
      </c>
      <c r="AA55" s="62">
        <f t="shared" si="76"/>
        <v>23.285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77"/>
        <v>0143-10</v>
      </c>
      <c r="AE55" s="85" t="str">
        <f t="shared" si="12"/>
        <v>aws s3 cp s3://rtdc.mdm.uploadarchive.raw/RTDC4053/ "%USERPROFILE%\AppData\Local\Temp\OnboardLogs"\RTDC4053\2017-03-10 --exclude "*" --recursive --include "*20170310*" &amp; "%USERPROFILE%\Documents\GitHub\mrs-test-scripts\Headless Mode &amp; Sideloading\WalkAndUnGZ.bat" "%USERPROFILE%\AppData\Local\Temp\OnboardLogs"\RTDC4053\2017-03-10 &amp; aws s3 cp s3://rtdc.mdm.uploadarchive.raw/RTDC4053/ "%USERPROFILE%\AppData\Local\Temp\OnboardLogs"\RTDC4053\2017-03-11 --exclude "*" --recursive --include "*20170311*" &amp; "%USERPROFILE%\Documents\GitHub\mrs-test-scripts\Headless Mode &amp; Sideloading\WalkAndUnGZ.bat" "%USERPROFILE%\AppData\Local\Temp\OnboardLogs"\RTDC4053\2017-03-11</v>
      </c>
      <c r="AF55" s="82" t="str">
        <f t="shared" si="13"/>
        <v>"C:\Program Files (x86)\AstroGrep\AstroGrep.exe" /e /r /s /spath="%USERPROFILE%\AppData\Local\Temp\OnboardLogs" /stypes="app*4053*20170310*" /stext=" 16:.+((SYSTEM_STATE.+slice.+state.+changed )|(ment ac)|(multiple cpu faults)|(system.+state.+changed )|(\[timeout)|(PRM\|1\|D)|(kpr)|(kdp)|(\|lc)|(penalty))"</v>
      </c>
      <c r="AG55" s="1" t="str">
        <f t="shared" si="78"/>
        <v>EC</v>
      </c>
      <c r="AH55" s="86" t="str">
        <f t="shared" si="18"/>
        <v>"%USERPROFILE%\Documents\GitHub\eaglep3\Utilities\RefineRTDCRunTimes.py" --tripid 143-10 --locoid 4053 --swversion DE.1.0.9.0 --startMP 204:438 --initTime 2017-03-10T08:57:22 --startdatetime 2017-03-10T08:58:47 --delay 1 --endMP 204:233288 --enddatetime 2017-03-10T09:38:03 --enforcementcount 0 &gt;&gt;C:\Users\stu\Documents\GitHub\eaglep3-reporting\EC\2017-03-10-refined-times.txt</v>
      </c>
      <c r="AI55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{"issue":{"subject":"","project_id":79,"tracker_id":40,"status_id":1,"priority_id":2,"assigned_to_id":23,"start_date":"2017-03-10","description":"","custom_fields":[{"id":1,"name":"Subdivision","value":"EC"},{"id":4,"name":"Milepost","value":"23.3288"},{"id":17,"name":"Train ID","value":"143-10"},{"id":16,"name":"Locomotive ID","value":"4053"},{"id":130,"name":"Impact","value":""},{"id":150,"name":"Time of Event (Mountain Time)","value":"09:38:03"},{"id":151,"name":"Denver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4053 --day 2017-03-10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"%USERPROFILE%\AppData\Local\Temp\OnboardLogs"\RTDC4053\*4053*20170310* | grep -SE "(Enforcement Action)|(\[TIMEOUT)|(CHR.+\|PRM\|1\|D.+(SWITCH|SIGNAL).+UNKNOWN)" - &gt;&gt; 2017-03-10-UncaughtWiMAX.txt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671</v>
      </c>
      <c r="B56" s="7">
        <v>4054</v>
      </c>
      <c r="C56" s="21" t="s">
        <v>239</v>
      </c>
      <c r="D56" s="21" t="s">
        <v>838</v>
      </c>
      <c r="E56" s="13">
        <v>42804.41302083333</v>
      </c>
      <c r="F56" s="13">
        <v>42804.413738425923</v>
      </c>
      <c r="G56" s="7">
        <v>1</v>
      </c>
      <c r="H56" s="21" t="s">
        <v>522</v>
      </c>
      <c r="I56" s="13">
        <v>42804.461423611108</v>
      </c>
      <c r="J56" s="7">
        <v>0</v>
      </c>
      <c r="K56" s="98" t="str">
        <f t="shared" si="68"/>
        <v>4053/4054</v>
      </c>
      <c r="L56" s="21" t="str">
        <f>VLOOKUP(A56,'Trips&amp;Operators'!$C$1:$G$99999,5,FALSE)</f>
        <v>ROCHA YAOTL</v>
      </c>
      <c r="M56" s="6">
        <f t="shared" si="69"/>
        <v>4.7685185185400769E-2</v>
      </c>
      <c r="N56" s="7">
        <f t="shared" si="70"/>
        <v>68.666666666977108</v>
      </c>
      <c r="O56" s="7"/>
      <c r="P56" s="7"/>
      <c r="Q56" s="22"/>
      <c r="R56" s="22"/>
      <c r="S56" s="31">
        <f t="shared" si="71"/>
        <v>1</v>
      </c>
      <c r="T56" s="46" t="str">
        <f t="shared" si="72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-10T08:54:45-0700',mode:absolute,to:'2017-03-10T12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6" s="187" t="str">
        <f t="shared" si="73"/>
        <v>N</v>
      </c>
      <c r="X56" s="187">
        <f t="shared" si="79"/>
        <v>1</v>
      </c>
      <c r="Y56" s="62">
        <f t="shared" si="74"/>
        <v>23.298999999999999</v>
      </c>
      <c r="Z56" s="62">
        <f t="shared" si="75"/>
        <v>0.1171</v>
      </c>
      <c r="AA56" s="62">
        <f t="shared" si="76"/>
        <v>23.181899999999999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77"/>
        <v>0144-10</v>
      </c>
      <c r="AE56" s="85" t="str">
        <f t="shared" si="12"/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AF56" s="82" t="str">
        <f t="shared" si="13"/>
        <v>"C:\Program Files (x86)\AstroGrep\AstroGrep.exe" /e /r /s /spath="%USERPROFILE%\AppData\Local\Temp\OnboardLogs" /stypes="app*4054*20170310*" /stext=" 18:.+((SYSTEM_STATE.+slice.+state.+changed )|(ment ac)|(multiple cpu faults)|(system.+state.+changed )|(\[timeout)|(PRM\|1\|D)|(kpr)|(kdp)|(\|lc)|(penalty))"</v>
      </c>
      <c r="AG56" s="1" t="str">
        <f t="shared" si="78"/>
        <v>EC</v>
      </c>
      <c r="AH56" s="86" t="str">
        <f t="shared" si="18"/>
        <v>"%USERPROFILE%\Documents\GitHub\eaglep3\Utilities\RefineRTDCRunTimes.py" --tripid 144-10 --locoid 4054 --swversion DE.1.0.9.0 --startMP 204:232990 --initTime 2017-03-10T09:54:45 --startdatetime 2017-03-10T09:55:47 --delay 1 --endMP 204:1171 --enddatetime 2017-03-10T11:04:27 --enforcementcount 0 &gt;&gt;C:\Users\stu\Documents\GitHub\eaglep3-reporting\EC\2017-03-10-refined-times.txt</v>
      </c>
      <c r="AI56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{"issue":{"subject":"","project_id":79,"tracker_id":40,"status_id":1,"priority_id":2,"assigned_to_id":23,"start_date":"2017-03-10","description":"","custom_fields":[{"id":1,"name":"Subdivision","value":"EC"},{"id":4,"name":"Milepost","value":"0.1171"},{"id":17,"name":"Train ID","value":"144-10"},{"id":16,"name":"Locomotive ID","value":"4054"},{"id":130,"name":"Impact","value":""},{"id":150,"name":"Time of Event (Mountain Time)","value":"11:04:27"},{"id":151,"name":"Denver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4054 --day 2017-03-10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"%USERPROFILE%\AppData\Local\Temp\OnboardLogs"\RTDC4054\*4054*20170310* | grep -SE "(Enforcement Action)|(\[TIMEOUT)|(CHR.+\|PRM\|1\|D.+(SWITCH|SIGNAL).+UNKNOWN)" - &gt;&gt; 2017-03-10-UncaughtWiMAX.txt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674</v>
      </c>
      <c r="B57" s="7">
        <v>4045</v>
      </c>
      <c r="C57" s="21" t="s">
        <v>239</v>
      </c>
      <c r="D57" s="21" t="s">
        <v>241</v>
      </c>
      <c r="E57" s="13">
        <v>42804.4218287037</v>
      </c>
      <c r="F57" s="13">
        <v>42804.422534722224</v>
      </c>
      <c r="G57" s="7">
        <v>1</v>
      </c>
      <c r="H57" s="21" t="s">
        <v>229</v>
      </c>
      <c r="I57" s="13">
        <v>42804.467951388891</v>
      </c>
      <c r="J57" s="7">
        <v>0</v>
      </c>
      <c r="K57" s="98" t="str">
        <f t="shared" si="68"/>
        <v>4045/4046</v>
      </c>
      <c r="L57" s="21" t="str">
        <f>VLOOKUP(A57,'Trips&amp;Operators'!$C$1:$G$99999,5,FALSE)</f>
        <v>DAVIS WENDY</v>
      </c>
      <c r="M57" s="6">
        <f t="shared" si="69"/>
        <v>4.5416666667733807E-2</v>
      </c>
      <c r="N57" s="7">
        <f t="shared" si="70"/>
        <v>65.400000001536682</v>
      </c>
      <c r="O57" s="7"/>
      <c r="P57" s="7"/>
      <c r="Q57" s="22"/>
      <c r="R57" s="22"/>
      <c r="S57" s="31">
        <f t="shared" si="71"/>
        <v>1</v>
      </c>
      <c r="T57" s="46" t="str">
        <f t="shared" si="72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-10T09:07:26-0700',mode:absolute,to:'2017-03-10T12:13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187" t="str">
        <f t="shared" si="73"/>
        <v>N</v>
      </c>
      <c r="X57" s="187">
        <f t="shared" si="79"/>
        <v>2</v>
      </c>
      <c r="Y57" s="62">
        <f t="shared" si="74"/>
        <v>23.299399999999999</v>
      </c>
      <c r="Z57" s="62">
        <f t="shared" si="75"/>
        <v>1.5599999999999999E-2</v>
      </c>
      <c r="AA57" s="62">
        <f t="shared" si="76"/>
        <v>23.283799999999999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77"/>
        <v>0146-10</v>
      </c>
      <c r="AE57" s="85" t="str">
        <f t="shared" si="12"/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AF57" s="82" t="str">
        <f t="shared" si="13"/>
        <v>"C:\Program Files (x86)\AstroGrep\AstroGrep.exe" /e /r /s /spath="%USERPROFILE%\AppData\Local\Temp\OnboardLogs" /stypes="app*4045*20170310*" /stext=" 18:.+((SYSTEM_STATE.+slice.+state.+changed )|(ment ac)|(multiple cpu faults)|(system.+state.+changed )|(\[timeout)|(PRM\|1\|D)|(kpr)|(kdp)|(\|lc)|(penalty))"</v>
      </c>
      <c r="AG57" s="1" t="str">
        <f t="shared" si="78"/>
        <v>EC</v>
      </c>
      <c r="AH57" s="86" t="str">
        <f t="shared" si="18"/>
        <v>"%USERPROFILE%\Documents\GitHub\eaglep3\Utilities\RefineRTDCRunTimes.py" --tripid 146-10 --locoid 4045 --swversion DE.1.0.9.0 --startMP 204:232994 --initTime 2017-03-10T10:07:26 --startdatetime 2017-03-10T10:08:27 --delay 1 --endMP 204:156 --enddatetime 2017-03-10T11:13:51 --enforcementcount 0 &gt;&gt;C:\Users\stu\Documents\GitHub\eaglep3-reporting\EC\2017-03-10-refined-times.txt</v>
      </c>
      <c r="AI57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{"issue":{"subject":"","project_id":79,"tracker_id":40,"status_id":1,"priority_id":2,"assigned_to_id":23,"start_date":"2017-03-10","description":"","custom_fields":[{"id":1,"name":"Subdivision","value":"EC"},{"id":4,"name":"Milepost","value":"0.0156"},{"id":17,"name":"Train ID","value":"146-10"},{"id":16,"name":"Locomotive ID","value":"4045"},{"id":130,"name":"Impact","value":""},{"id":150,"name":"Time of Event (Mountain Time)","value":"11:13:51"},{"id":151,"name":"Denver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4045 --day 2017-03-10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"%USERPROFILE%\AppData\Local\Temp\OnboardLogs"\RTDC4045\*4045*20170310* | grep -SE "(Enforcement Action)|(\[TIMEOUT)|(CHR.+\|PRM\|1\|D.+(SWITCH|SIGNAL).+UNKNOWN)" - &gt;&gt; 2017-03-10-UncaughtWiMAX.txt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575</v>
      </c>
      <c r="B58" s="7">
        <v>4031</v>
      </c>
      <c r="C58" s="21" t="s">
        <v>239</v>
      </c>
      <c r="D58" s="21" t="s">
        <v>218</v>
      </c>
      <c r="E58" s="13">
        <v>42804.391250000001</v>
      </c>
      <c r="F58" s="13">
        <v>42804.39234953704</v>
      </c>
      <c r="G58" s="7">
        <v>1</v>
      </c>
      <c r="H58" s="21" t="s">
        <v>246</v>
      </c>
      <c r="I58" s="13">
        <v>42804.420787037037</v>
      </c>
      <c r="J58" s="7">
        <v>0</v>
      </c>
      <c r="K58" s="98" t="str">
        <f t="shared" si="68"/>
        <v>4031/4032</v>
      </c>
      <c r="L58" s="21" t="str">
        <f>VLOOKUP(A58,'Trips&amp;Operators'!$C$1:$G$99999,5,FALSE)</f>
        <v>ROBINSON KADDIBA</v>
      </c>
      <c r="M58" s="6">
        <f t="shared" si="69"/>
        <v>2.8437499997380655E-2</v>
      </c>
      <c r="N58" s="7">
        <f t="shared" si="70"/>
        <v>40.949999996228144</v>
      </c>
      <c r="O58" s="7"/>
      <c r="P58" s="7"/>
      <c r="Q58" s="22"/>
      <c r="R58" s="22"/>
      <c r="S58" s="31">
        <f t="shared" si="71"/>
        <v>1</v>
      </c>
      <c r="T58" s="46" t="str">
        <f t="shared" si="72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-10T08:23:24-0700',mode:absolute,to:'2017-03-10T11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187" t="str">
        <f t="shared" si="73"/>
        <v>N</v>
      </c>
      <c r="X58" s="187">
        <f t="shared" si="79"/>
        <v>1</v>
      </c>
      <c r="Y58" s="62">
        <f t="shared" si="74"/>
        <v>4.5999999999999999E-2</v>
      </c>
      <c r="Z58" s="62">
        <f t="shared" si="75"/>
        <v>23.329899999999999</v>
      </c>
      <c r="AA58" s="62">
        <f t="shared" si="76"/>
        <v>23.283899999999999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77"/>
        <v>0147-10</v>
      </c>
      <c r="AE58" s="85" t="str">
        <f t="shared" si="12"/>
        <v>aws s3 cp s3://rtdc.mdm.uploadarchive.raw/RTDC4031/ "%USERPROFILE%\AppData\Local\Temp\OnboardLogs"\RTDC4031\2017-03-10 --exclude "*" --recursive --include "*20170310*" &amp; "%USERPROFILE%\Documents\GitHub\mrs-test-scripts\Headless Mode &amp; Sideloading\WalkAndUnGZ.bat" "%USERPROFILE%\AppData\Local\Temp\OnboardLogs"\RTDC4031\2017-03-10 &amp; aws s3 cp s3://rtdc.mdm.uploadarchive.raw/RTDC4031/ "%USERPROFILE%\AppData\Local\Temp\OnboardLogs"\RTDC4031\2017-03-11 --exclude "*" --recursive --include "*20170311*" &amp; "%USERPROFILE%\Documents\GitHub\mrs-test-scripts\Headless Mode &amp; Sideloading\WalkAndUnGZ.bat" "%USERPROFILE%\AppData\Local\Temp\OnboardLogs"\RTDC4031\2017-03-11</v>
      </c>
      <c r="AF58" s="82" t="str">
        <f t="shared" si="13"/>
        <v>"C:\Program Files (x86)\AstroGrep\AstroGrep.exe" /e /r /s /spath="%USERPROFILE%\AppData\Local\Temp\OnboardLogs" /stypes="app*4031*20170310*" /stext=" 17:.+((SYSTEM_STATE.+slice.+state.+changed )|(ment ac)|(multiple cpu faults)|(system.+state.+changed )|(\[timeout)|(PRM\|1\|D)|(kpr)|(kdp)|(\|lc)|(penalty))"</v>
      </c>
      <c r="AG58" s="1" t="str">
        <f t="shared" si="78"/>
        <v>EC</v>
      </c>
      <c r="AH58" s="86" t="str">
        <f t="shared" si="18"/>
        <v>"%USERPROFILE%\Documents\GitHub\eaglep3\Utilities\RefineRTDCRunTimes.py" --tripid 147-10 --locoid 4031 --swversion DE.1.0.9.0 --startMP 204:460 --initTime 2017-03-10T09:23:24 --startdatetime 2017-03-10T09:24:59 --delay 1 --endMP 204:233299 --enddatetime 2017-03-10T10:05:56 --enforcementcount 0 &gt;&gt;C:\Users\stu\Documents\GitHub\eaglep3-reporting\EC\2017-03-10-refined-times.txt</v>
      </c>
      <c r="AI58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{"issue":{"subject":"","project_id":79,"tracker_id":40,"status_id":1,"priority_id":2,"assigned_to_id":23,"start_date":"2017-03-10","description":"","custom_fields":[{"id":1,"name":"Subdivision","value":"EC"},{"id":4,"name":"Milepost","value":"23.3299"},{"id":17,"name":"Train ID","value":"147-10"},{"id":16,"name":"Locomotive ID","value":"4031"},{"id":130,"name":"Impact","value":""},{"id":150,"name":"Time of Event (Mountain Time)","value":"10:05:56"},{"id":151,"name":"Denver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4031 --day 2017-03-10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"%USERPROFILE%\AppData\Local\Temp\OnboardLogs"\RTDC4031\*4031*20170310* | grep -SE "(Enforcement Action)|(\[TIMEOUT)|(CHR.+\|PRM\|1\|D.+(SWITCH|SIGNAL).+UNKNOWN)" - &gt;&gt; 2017-03-10-UncaughtWiMAX.txt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676</v>
      </c>
      <c r="B59" s="7">
        <v>4032</v>
      </c>
      <c r="C59" s="21" t="s">
        <v>239</v>
      </c>
      <c r="D59" s="21" t="s">
        <v>839</v>
      </c>
      <c r="E59" s="13">
        <v>42804.427094907405</v>
      </c>
      <c r="F59" s="13">
        <v>42804.428240740737</v>
      </c>
      <c r="G59" s="7">
        <v>1</v>
      </c>
      <c r="H59" s="21" t="s">
        <v>817</v>
      </c>
      <c r="I59" s="13">
        <v>42804.472488425927</v>
      </c>
      <c r="J59" s="7">
        <v>0</v>
      </c>
      <c r="K59" s="98" t="str">
        <f t="shared" si="68"/>
        <v>4031/4032</v>
      </c>
      <c r="L59" s="21" t="str">
        <f>VLOOKUP(A59,'Trips&amp;Operators'!$C$1:$G$99999,5,FALSE)</f>
        <v>DAVIS WENDY</v>
      </c>
      <c r="M59" s="6">
        <f t="shared" si="69"/>
        <v>4.4247685189475305E-2</v>
      </c>
      <c r="N59" s="7">
        <f t="shared" si="70"/>
        <v>63.71666667284444</v>
      </c>
      <c r="O59" s="7"/>
      <c r="P59" s="7"/>
      <c r="Q59" s="22"/>
      <c r="R59" s="22"/>
      <c r="S59" s="31">
        <f t="shared" si="71"/>
        <v>1</v>
      </c>
      <c r="T59" s="46" t="str">
        <f t="shared" si="72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-10T09:15:01-0700',mode:absolute,to:'2017-03-10T12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9" s="187" t="str">
        <f t="shared" si="73"/>
        <v>N</v>
      </c>
      <c r="X59" s="187">
        <f t="shared" si="79"/>
        <v>1</v>
      </c>
      <c r="Y59" s="62">
        <f t="shared" si="74"/>
        <v>23.296900000000001</v>
      </c>
      <c r="Z59" s="62">
        <f t="shared" si="75"/>
        <v>1.32E-2</v>
      </c>
      <c r="AA59" s="62">
        <f t="shared" si="76"/>
        <v>23.2837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77"/>
        <v>0148-10</v>
      </c>
      <c r="AE59" s="85" t="str">
        <f t="shared" si="12"/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AF59" s="82" t="str">
        <f t="shared" si="13"/>
        <v>"C:\Program Files (x86)\AstroGrep\AstroGrep.exe" /e /r /s /spath="%USERPROFILE%\AppData\Local\Temp\OnboardLogs" /stypes="app*4032*20170310*" /stext=" 18:.+((SYSTEM_STATE.+slice.+state.+changed )|(ment ac)|(multiple cpu faults)|(system.+state.+changed )|(\[timeout)|(PRM\|1\|D)|(kpr)|(kdp)|(\|lc)|(penalty))"</v>
      </c>
      <c r="AG59" s="1" t="str">
        <f t="shared" si="78"/>
        <v>EC</v>
      </c>
      <c r="AH59" s="86" t="str">
        <f t="shared" si="18"/>
        <v>"%USERPROFILE%\Documents\GitHub\eaglep3\Utilities\RefineRTDCRunTimes.py" --tripid 148-10 --locoid 4032 --swversion DE.1.0.9.0 --startMP 204:232969 --initTime 2017-03-10T10:15:01 --startdatetime 2017-03-10T10:16:40 --delay 1 --endMP 204:132 --enddatetime 2017-03-10T11:20:23 --enforcementcount 0 &gt;&gt;C:\Users\stu\Documents\GitHub\eaglep3-reporting\EC\2017-03-10-refined-times.txt</v>
      </c>
      <c r="AI59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{"issue":{"subject":"","project_id":79,"tracker_id":40,"status_id":1,"priority_id":2,"assigned_to_id":23,"start_date":"2017-03-10","description":"","custom_fields":[{"id":1,"name":"Subdivision","value":"EC"},{"id":4,"name":"Milepost","value":"0.0132"},{"id":17,"name":"Train ID","value":"148-10"},{"id":16,"name":"Locomotive ID","value":"4032"},{"id":130,"name":"Impact","value":""},{"id":150,"name":"Time of Event (Mountain Time)","value":"11:20:23"},{"id":151,"name":"Denver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4032 --day 2017-03-10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"%USERPROFILE%\AppData\Local\Temp\OnboardLogs"\RTDC4032\*4032*20170310* | grep -SE "(Enforcement Action)|(\[TIMEOUT)|(CHR.+\|PRM\|1\|D.+(SWITCH|SIGNAL).+UNKNOWN)" - &gt;&gt; 2017-03-10-UncaughtWiMAX.txt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577</v>
      </c>
      <c r="B60" s="7">
        <v>4040</v>
      </c>
      <c r="C60" s="21" t="s">
        <v>239</v>
      </c>
      <c r="D60" s="21" t="s">
        <v>224</v>
      </c>
      <c r="E60" s="13">
        <v>42804.404895833337</v>
      </c>
      <c r="F60" s="13">
        <v>42804.406273148146</v>
      </c>
      <c r="G60" s="7">
        <v>1</v>
      </c>
      <c r="H60" s="21" t="s">
        <v>840</v>
      </c>
      <c r="I60" s="13">
        <v>42804.433206018519</v>
      </c>
      <c r="J60" s="7">
        <v>0</v>
      </c>
      <c r="K60" s="98" t="str">
        <f t="shared" si="68"/>
        <v>4039/4040</v>
      </c>
      <c r="L60" s="21" t="str">
        <f>VLOOKUP(A60,'Trips&amp;Operators'!$C$1:$G$99999,5,FALSE)</f>
        <v>STARKS ANGELINA</v>
      </c>
      <c r="M60" s="6">
        <f t="shared" si="69"/>
        <v>2.6932870372547768E-2</v>
      </c>
      <c r="N60" s="7">
        <f t="shared" si="70"/>
        <v>38.783333336468786</v>
      </c>
      <c r="O60" s="7"/>
      <c r="P60" s="7"/>
      <c r="Q60" s="22"/>
      <c r="R60" s="22"/>
      <c r="S60" s="31">
        <f t="shared" si="71"/>
        <v>1</v>
      </c>
      <c r="T60" s="46" t="str">
        <f t="shared" si="72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-10T08:43:03-0700',mode:absolute,to:'2017-03-10T11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0" s="187" t="str">
        <f t="shared" si="73"/>
        <v>N</v>
      </c>
      <c r="X60" s="187">
        <f t="shared" si="79"/>
        <v>1</v>
      </c>
      <c r="Y60" s="62">
        <f t="shared" si="74"/>
        <v>4.4600000000000001E-2</v>
      </c>
      <c r="Z60" s="62">
        <f t="shared" si="75"/>
        <v>23.323599999999999</v>
      </c>
      <c r="AA60" s="62">
        <f t="shared" si="76"/>
        <v>23.279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77"/>
        <v>0149-10</v>
      </c>
      <c r="AE60" s="85" t="str">
        <f t="shared" si="12"/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AF60" s="82" t="str">
        <f t="shared" si="13"/>
        <v>"C:\Program Files (x86)\AstroGrep\AstroGrep.exe" /e /r /s /spath="%USERPROFILE%\AppData\Local\Temp\OnboardLogs" /stypes="app*4040*20170310*" /stext=" 17:.+((SYSTEM_STATE.+slice.+state.+changed )|(ment ac)|(multiple cpu faults)|(system.+state.+changed )|(\[timeout)|(PRM\|1\|D)|(kpr)|(kdp)|(\|lc)|(penalty))"</v>
      </c>
      <c r="AG60" s="1" t="str">
        <f t="shared" si="78"/>
        <v>EC</v>
      </c>
      <c r="AH60" s="86" t="str">
        <f t="shared" si="18"/>
        <v>"%USERPROFILE%\Documents\GitHub\eaglep3\Utilities\RefineRTDCRunTimes.py" --tripid 149-10 --locoid 4040 --swversion DE.1.0.9.0 --startMP 204:446 --initTime 2017-03-10T09:43:03 --startdatetime 2017-03-10T09:45:02 --delay 1 --endMP 204:233236 --enddatetime 2017-03-10T10:23:49 --enforcementcount 0 &gt;&gt;C:\Users\stu\Documents\GitHub\eaglep3-reporting\EC\2017-03-10-refined-times.txt</v>
      </c>
      <c r="AI60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{"issue":{"subject":"","project_id":79,"tracker_id":40,"status_id":1,"priority_id":2,"assigned_to_id":23,"start_date":"2017-03-10","description":"","custom_fields":[{"id":1,"name":"Subdivision","value":"EC"},{"id":4,"name":"Milepost","value":"23.3236"},{"id":17,"name":"Train ID","value":"149-10"},{"id":16,"name":"Locomotive ID","value":"4040"},{"id":130,"name":"Impact","value":""},{"id":150,"name":"Time of Event (Mountain Time)","value":"10:23:49"},{"id":151,"name":"Denver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4040 --day 2017-03-10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"%USERPROFILE%\AppData\Local\Temp\OnboardLogs"\RTDC4040\*4040*20170310* | grep -SE "(Enforcement Action)|(\[TIMEOUT)|(CHR.+\|PRM\|1\|D.+(SWITCH|SIGNAL).+UNKNOWN)" - &gt;&gt; 2017-03-10-UncaughtWiMAX.txt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672</v>
      </c>
      <c r="B61" s="7">
        <v>4011</v>
      </c>
      <c r="C61" s="21" t="s">
        <v>239</v>
      </c>
      <c r="D61" s="21" t="s">
        <v>225</v>
      </c>
      <c r="E61" s="13">
        <v>42804.413877314815</v>
      </c>
      <c r="F61" s="13">
        <v>42804.414930555555</v>
      </c>
      <c r="G61" s="7">
        <v>1</v>
      </c>
      <c r="H61" s="21" t="s">
        <v>530</v>
      </c>
      <c r="I61" s="13">
        <v>42804.471886574072</v>
      </c>
      <c r="J61" s="7">
        <v>0</v>
      </c>
      <c r="K61" s="98" t="str">
        <f t="shared" si="68"/>
        <v>4011/4012</v>
      </c>
      <c r="L61" s="21" t="str">
        <f>VLOOKUP(A61,'Trips&amp;Operators'!$C$1:$G$99999,5,FALSE)</f>
        <v>LOZA FIDEL</v>
      </c>
      <c r="M61" s="6">
        <f t="shared" si="69"/>
        <v>5.6956018517666962E-2</v>
      </c>
      <c r="N61" s="7">
        <f t="shared" si="70"/>
        <v>82.016666665440425</v>
      </c>
      <c r="O61" s="7"/>
      <c r="P61" s="7"/>
      <c r="Q61" s="22"/>
      <c r="R61" s="22"/>
      <c r="S61" s="31">
        <f t="shared" si="71"/>
        <v>1</v>
      </c>
      <c r="T61" s="46" t="str">
        <f t="shared" si="72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-10T08:55:59-0700',mode:absolute,to:'2017-03-10T12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1" s="187" t="str">
        <f t="shared" si="73"/>
        <v>N</v>
      </c>
      <c r="X61" s="187">
        <f t="shared" si="79"/>
        <v>2</v>
      </c>
      <c r="Y61" s="62">
        <f t="shared" si="74"/>
        <v>4.5499999999999999E-2</v>
      </c>
      <c r="Z61" s="62">
        <f t="shared" si="75"/>
        <v>23.334199999999999</v>
      </c>
      <c r="AA61" s="62">
        <f t="shared" si="76"/>
        <v>23.288699999999999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77"/>
        <v>0151-10</v>
      </c>
      <c r="AE61" s="85" t="str">
        <f t="shared" si="12"/>
        <v>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 &amp; aws s3 cp s3://rtdc.mdm.uploadarchive.raw/RTDC4011/ "%USERPROFILE%\AppData\Local\Temp\OnboardLogs"\RTDC4011\2017-03-11 --exclude "*" --recursive --include "*20170311*" &amp; "%USERPROFILE%\Documents\GitHub\mrs-test-scripts\Headless Mode &amp; Sideloading\WalkAndUnGZ.bat" "%USERPROFILE%\AppData\Local\Temp\OnboardLogs"\RTDC4011\2017-03-11</v>
      </c>
      <c r="AF61" s="82" t="str">
        <f t="shared" si="13"/>
        <v>"C:\Program Files (x86)\AstroGrep\AstroGrep.exe" /e /r /s /spath="%USERPROFILE%\AppData\Local\Temp\OnboardLogs" /stypes="app*4011*20170310*" /stext=" 18:.+((SYSTEM_STATE.+slice.+state.+changed )|(ment ac)|(multiple cpu faults)|(system.+state.+changed )|(\[timeout)|(PRM\|1\|D)|(kpr)|(kdp)|(\|lc)|(penalty))"</v>
      </c>
      <c r="AG61" s="1" t="str">
        <f t="shared" si="78"/>
        <v>EC</v>
      </c>
      <c r="AH61" s="86" t="str">
        <f t="shared" si="18"/>
        <v>"%USERPROFILE%\Documents\GitHub\eaglep3\Utilities\RefineRTDCRunTimes.py" --tripid 151-10 --locoid 4011 --swversion DE.1.0.9.0 --startMP 204:455 --initTime 2017-03-10T09:55:59 --startdatetime 2017-03-10T09:57:30 --delay 1 --endMP 204:233342 --enddatetime 2017-03-10T11:19:31 --enforcementcount 0 &gt;&gt;C:\Users\stu\Documents\GitHub\eaglep3-reporting\EC\2017-03-10-refined-times.txt</v>
      </c>
      <c r="AI61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{"issue":{"subject":"","project_id":79,"tracker_id":40,"status_id":1,"priority_id":2,"assigned_to_id":23,"start_date":"2017-03-10","description":"","custom_fields":[{"id":1,"name":"Subdivision","value":"EC"},{"id":4,"name":"Milepost","value":"23.3342"},{"id":17,"name":"Train ID","value":"151-10"},{"id":16,"name":"Locomotive ID","value":"4011"},{"id":130,"name":"Impact","value":""},{"id":150,"name":"Time of Event (Mountain Time)","value":"11:19:31"},{"id":151,"name":"Denver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4011 --day 2017-03-10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2017-03-10-UncaughtWiMAX.txt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680</v>
      </c>
      <c r="B62" s="7">
        <v>4039</v>
      </c>
      <c r="C62" s="21" t="s">
        <v>239</v>
      </c>
      <c r="D62" s="21" t="s">
        <v>841</v>
      </c>
      <c r="E62" s="13">
        <v>42804.452870370369</v>
      </c>
      <c r="F62" s="13">
        <v>42804.454351851855</v>
      </c>
      <c r="G62" s="7">
        <v>2</v>
      </c>
      <c r="H62" s="21" t="s">
        <v>411</v>
      </c>
      <c r="I62" s="13">
        <v>42804.486932870372</v>
      </c>
      <c r="J62" s="7">
        <v>0</v>
      </c>
      <c r="K62" s="98" t="str">
        <f t="shared" si="68"/>
        <v>4039/4040</v>
      </c>
      <c r="L62" s="21" t="str">
        <f>VLOOKUP(A62,'Trips&amp;Operators'!$C$1:$G$99999,5,FALSE)</f>
        <v>STARKS ANGELINA</v>
      </c>
      <c r="M62" s="6">
        <f t="shared" si="69"/>
        <v>3.2581018516793847E-2</v>
      </c>
      <c r="N62" s="7">
        <f t="shared" si="70"/>
        <v>46.91666666418314</v>
      </c>
      <c r="O62" s="7"/>
      <c r="P62" s="7"/>
      <c r="Q62" s="22"/>
      <c r="R62" s="22"/>
      <c r="S62" s="31">
        <f t="shared" si="71"/>
        <v>1</v>
      </c>
      <c r="T62" s="46" t="str">
        <f t="shared" si="72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-10T09:52:08-0700',mode:absolute,to:'2017-03-10T12:41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2" s="187" t="str">
        <f t="shared" si="73"/>
        <v>N</v>
      </c>
      <c r="X62" s="187">
        <f t="shared" si="79"/>
        <v>1</v>
      </c>
      <c r="Y62" s="62">
        <f t="shared" si="74"/>
        <v>23.2926</v>
      </c>
      <c r="Z62" s="62">
        <f t="shared" si="75"/>
        <v>1.6E-2</v>
      </c>
      <c r="AA62" s="62">
        <f t="shared" si="76"/>
        <v>23.276600000000002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77"/>
        <v>0152-10</v>
      </c>
      <c r="AE62" s="85" t="str">
        <f t="shared" si="12"/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AF62" s="82" t="str">
        <f t="shared" si="13"/>
        <v>"C:\Program Files (x86)\AstroGrep\AstroGrep.exe" /e /r /s /spath="%USERPROFILE%\AppData\Local\Temp\OnboardLogs" /stypes="app*4039*20170310*" /stext=" 18:.+((SYSTEM_STATE.+slice.+state.+changed )|(ment ac)|(multiple cpu faults)|(system.+state.+changed )|(\[timeout)|(PRM\|1\|D)|(kpr)|(kdp)|(\|lc)|(penalty))"</v>
      </c>
      <c r="AG62" s="1" t="str">
        <f t="shared" si="78"/>
        <v>EC</v>
      </c>
      <c r="AH62" s="86" t="str">
        <f t="shared" si="18"/>
        <v>"%USERPROFILE%\Documents\GitHub\eaglep3\Utilities\RefineRTDCRunTimes.py" --tripid 152-10 --locoid 4039 --swversion DE.1.0.9.0 --startMP 204:232926 --initTime 2017-03-10T10:52:08 --startdatetime 2017-03-10T10:54:16 --delay 2 --endMP 204:160 --enddatetime 2017-03-10T11:41:11 --enforcementcount 0 &gt;&gt;C:\Users\stu\Documents\GitHub\eaglep3-reporting\EC\2017-03-10-refined-times.txt</v>
      </c>
      <c r="AI62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{"issue":{"subject":"","project_id":79,"tracker_id":40,"status_id":1,"priority_id":2,"assigned_to_id":23,"start_date":"2017-03-10","description":"","custom_fields":[{"id":1,"name":"Subdivision","value":"EC"},{"id":4,"name":"Milepost","value":"0.016"},{"id":17,"name":"Train ID","value":"152-10"},{"id":16,"name":"Locomotive ID","value":"4039"},{"id":130,"name":"Impact","value":""},{"id":150,"name":"Time of Event (Mountain Time)","value":"11:41:11"},{"id":151,"name":"Denver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4039 --day 2017-03-10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"%USERPROFILE%\AppData\Local\Temp\OnboardLogs"\RTDC4039\*4039*20170310* | grep -SE "(Enforcement Action)|(\[TIMEOUT)|(CHR.+\|PRM\|1\|D.+(SWITCH|SIGNAL).+UNKNOWN)" - &gt;&gt; 2017-03-10-UncaughtWiMAX.txt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675</v>
      </c>
      <c r="B63" s="7">
        <v>4009</v>
      </c>
      <c r="C63" s="21" t="s">
        <v>239</v>
      </c>
      <c r="D63" s="21" t="s">
        <v>258</v>
      </c>
      <c r="E63" s="13">
        <v>42804.424421296295</v>
      </c>
      <c r="F63" s="13">
        <v>42804.425324074073</v>
      </c>
      <c r="G63" s="7">
        <v>1</v>
      </c>
      <c r="H63" s="21" t="s">
        <v>842</v>
      </c>
      <c r="I63" s="13">
        <v>42804.462604166663</v>
      </c>
      <c r="J63" s="7">
        <v>0</v>
      </c>
      <c r="K63" s="98" t="str">
        <f t="shared" si="68"/>
        <v>4009/4010</v>
      </c>
      <c r="L63" s="21" t="str">
        <f>VLOOKUP(A63,'Trips&amp;Operators'!$C$1:$G$99999,5,FALSE)</f>
        <v>BONDS REYNALDO</v>
      </c>
      <c r="M63" s="6">
        <f t="shared" si="69"/>
        <v>3.7280092590663116E-2</v>
      </c>
      <c r="N63" s="7">
        <f t="shared" si="70"/>
        <v>53.683333330554888</v>
      </c>
      <c r="O63" s="7"/>
      <c r="P63" s="7"/>
      <c r="Q63" s="22"/>
      <c r="R63" s="22"/>
      <c r="S63" s="31">
        <f t="shared" si="71"/>
        <v>1</v>
      </c>
      <c r="T63" s="46" t="str">
        <f t="shared" si="72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-10T09:11:10-0700',mode:absolute,to:'2017-03-10T12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3" s="187" t="str">
        <f t="shared" si="73"/>
        <v>N</v>
      </c>
      <c r="X63" s="187">
        <f t="shared" si="79"/>
        <v>1</v>
      </c>
      <c r="Y63" s="62">
        <f t="shared" si="74"/>
        <v>4.4200000000000003E-2</v>
      </c>
      <c r="Z63" s="62">
        <f t="shared" si="75"/>
        <v>23.326599999999999</v>
      </c>
      <c r="AA63" s="62">
        <f t="shared" si="76"/>
        <v>23.282399999999999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77"/>
        <v>0153-10</v>
      </c>
      <c r="AE63" s="85" t="str">
        <f t="shared" si="12"/>
        <v>aws s3 cp s3://rtdc.mdm.uploadarchive.raw/RTDC4009/ "%USERPROFILE%\AppData\Local\Temp\OnboardLogs"\RTDC4009\2017-03-10 --exclude "*" --recursive --include "*20170310*" &amp; "%USERPROFILE%\Documents\GitHub\mrs-test-scripts\Headless Mode &amp; Sideloading\WalkAndUnGZ.bat" "%USERPROFILE%\AppData\Local\Temp\OnboardLogs"\RTDC4009\2017-03-10 &amp; 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</v>
      </c>
      <c r="AF63" s="82" t="str">
        <f t="shared" si="13"/>
        <v>"C:\Program Files (x86)\AstroGrep\AstroGrep.exe" /e /r /s /spath="%USERPROFILE%\AppData\Local\Temp\OnboardLogs" /stypes="app*4009*20170310*" /stext=" 18:.+((SYSTEM_STATE.+slice.+state.+changed )|(ment ac)|(multiple cpu faults)|(system.+state.+changed )|(\[timeout)|(PRM\|1\|D)|(kpr)|(kdp)|(\|lc)|(penalty))"</v>
      </c>
      <c r="AG63" s="1" t="str">
        <f t="shared" si="78"/>
        <v>EC</v>
      </c>
      <c r="AH63" s="86" t="str">
        <f t="shared" si="18"/>
        <v>"%USERPROFILE%\Documents\GitHub\eaglep3\Utilities\RefineRTDCRunTimes.py" --tripid 153-10 --locoid 4009 --swversion DE.1.0.9.0 --startMP 204:442 --initTime 2017-03-10T10:11:10 --startdatetime 2017-03-10T10:12:28 --delay 1 --endMP 204:233266 --enddatetime 2017-03-10T11:06:09 --enforcementcount 0 &gt;&gt;C:\Users\stu\Documents\GitHub\eaglep3-reporting\EC\2017-03-10-refined-times.txt</v>
      </c>
      <c r="AI63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{"issue":{"subject":"","project_id":79,"tracker_id":40,"status_id":1,"priority_id":2,"assigned_to_id":23,"start_date":"2017-03-10","description":"","custom_fields":[{"id":1,"name":"Subdivision","value":"EC"},{"id":4,"name":"Milepost","value":"23.3266"},{"id":17,"name":"Train ID","value":"153-10"},{"id":16,"name":"Locomotive ID","value":"4009"},{"id":130,"name":"Impact","value":""},{"id":150,"name":"Time of Event (Mountain Time)","value":"11:06:09"},{"id":151,"name":"Denver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4009 --day 2017-03-10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"%USERPROFILE%\AppData\Local\Temp\OnboardLogs"\RTDC4009\*4009*20170310* | grep -SE "(Enforcement Action)|(\[TIMEOUT)|(CHR.+\|PRM\|1\|D.+(SWITCH|SIGNAL).+UNKNOWN)" - &gt;&gt; 2017-03-10-UncaughtWiMAX.txt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579</v>
      </c>
      <c r="B64" s="7">
        <v>4010</v>
      </c>
      <c r="C64" s="21" t="s">
        <v>239</v>
      </c>
      <c r="D64" s="21" t="s">
        <v>843</v>
      </c>
      <c r="E64" s="13">
        <v>42804.463564814818</v>
      </c>
      <c r="F64" s="13">
        <v>42804.46429398148</v>
      </c>
      <c r="G64" s="7">
        <v>1</v>
      </c>
      <c r="H64" s="21" t="s">
        <v>192</v>
      </c>
      <c r="I64" s="13">
        <v>42804.496921296297</v>
      </c>
      <c r="J64" s="7">
        <v>0</v>
      </c>
      <c r="K64" s="98" t="str">
        <f t="shared" si="68"/>
        <v>4009/4010</v>
      </c>
      <c r="L64" s="21" t="str">
        <f>VLOOKUP(A64,'Trips&amp;Operators'!$C$1:$G$99999,5,FALSE)</f>
        <v>BONDS REYNALDO</v>
      </c>
      <c r="M64" s="6">
        <f t="shared" si="69"/>
        <v>3.2627314816636499E-2</v>
      </c>
      <c r="N64" s="7">
        <f t="shared" si="70"/>
        <v>46.983333335956559</v>
      </c>
      <c r="O64" s="7"/>
      <c r="P64" s="7"/>
      <c r="Q64" s="22"/>
      <c r="R64" s="22"/>
      <c r="S64" s="31">
        <f t="shared" si="71"/>
        <v>1</v>
      </c>
      <c r="T64" s="46" t="str">
        <f t="shared" si="72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-10T10:07:32-0700',mode:absolute,to:'2017-03-10T12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187" t="str">
        <f t="shared" si="73"/>
        <v>N</v>
      </c>
      <c r="X64" s="187">
        <f t="shared" si="79"/>
        <v>1</v>
      </c>
      <c r="Y64" s="62">
        <f t="shared" si="74"/>
        <v>23.294</v>
      </c>
      <c r="Z64" s="62">
        <f t="shared" si="75"/>
        <v>1.4999999999999999E-2</v>
      </c>
      <c r="AA64" s="62">
        <f t="shared" si="76"/>
        <v>23.279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77"/>
        <v>0154-10</v>
      </c>
      <c r="AE64" s="85" t="str">
        <f t="shared" si="12"/>
        <v>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 &amp; 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</v>
      </c>
      <c r="AF64" s="82" t="str">
        <f t="shared" si="13"/>
        <v>"C:\Program Files (x86)\AstroGrep\AstroGrep.exe" /e /r /s /spath="%USERPROFILE%\AppData\Local\Temp\OnboardLogs" /stypes="app*4010*20170310*" /stext=" 18:.+((SYSTEM_STATE.+slice.+state.+changed )|(ment ac)|(multiple cpu faults)|(system.+state.+changed )|(\[timeout)|(PRM\|1\|D)|(kpr)|(kdp)|(\|lc)|(penalty))"</v>
      </c>
      <c r="AG64" s="1" t="str">
        <f t="shared" si="78"/>
        <v>EC</v>
      </c>
      <c r="AH64" s="86" t="str">
        <f t="shared" si="18"/>
        <v>"%USERPROFILE%\Documents\GitHub\eaglep3\Utilities\RefineRTDCRunTimes.py" --tripid 154-10 --locoid 4010 --swversion DE.1.0.9.0 --startMP 204:232940 --initTime 2017-03-10T11:07:32 --startdatetime 2017-03-10T11:08:35 --delay 1 --endMP 204:150 --enddatetime 2017-03-10T11:55:34 --enforcementcount 0 &gt;&gt;C:\Users\stu\Documents\GitHub\eaglep3-reporting\EC\2017-03-10-refined-times.txt</v>
      </c>
      <c r="AI64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{"issue":{"subject":"","project_id":79,"tracker_id":40,"status_id":1,"priority_id":2,"assigned_to_id":23,"start_date":"2017-03-10","description":"","custom_fields":[{"id":1,"name":"Subdivision","value":"EC"},{"id":4,"name":"Milepost","value":"0.015"},{"id":17,"name":"Train ID","value":"154-10"},{"id":16,"name":"Locomotive ID","value":"4010"},{"id":130,"name":"Impact","value":""},{"id":150,"name":"Time of Event (Mountain Time)","value":"11:55:34"},{"id":151,"name":"Denver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4010 --day 2017-03-10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"%USERPROFILE%\AppData\Local\Temp\OnboardLogs"\RTDC4010\*4010*20170310* | grep -SE "(Enforcement Action)|(\[TIMEOUT)|(CHR.+\|PRM\|1\|D.+(SWITCH|SIGNAL).+UNKNOWN)" - &gt;&gt; 2017-03-10-UncaughtWiMAX.txt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687</v>
      </c>
      <c r="B65" s="7">
        <v>4012</v>
      </c>
      <c r="C65" s="21" t="s">
        <v>239</v>
      </c>
      <c r="D65" s="21" t="s">
        <v>844</v>
      </c>
      <c r="E65" s="13">
        <v>42804.473726851851</v>
      </c>
      <c r="F65" s="13">
        <v>42804.474710648145</v>
      </c>
      <c r="G65" s="7">
        <v>1</v>
      </c>
      <c r="H65" s="21" t="s">
        <v>184</v>
      </c>
      <c r="I65" s="13">
        <v>42804.504143518519</v>
      </c>
      <c r="J65" s="7">
        <v>0</v>
      </c>
      <c r="K65" s="98" t="str">
        <f t="shared" si="68"/>
        <v>4011/4012</v>
      </c>
      <c r="L65" s="21" t="str">
        <f>VLOOKUP(A65,'Trips&amp;Operators'!$C$1:$G$99999,5,FALSE)</f>
        <v>LOZA FIDEL</v>
      </c>
      <c r="M65" s="6">
        <f t="shared" si="69"/>
        <v>2.9432870374876074E-2</v>
      </c>
      <c r="N65" s="7">
        <f t="shared" si="70"/>
        <v>42.383333339821547</v>
      </c>
      <c r="O65" s="7"/>
      <c r="P65" s="7"/>
      <c r="Q65" s="22"/>
      <c r="R65" s="22"/>
      <c r="S65" s="31">
        <f t="shared" si="71"/>
        <v>1</v>
      </c>
      <c r="T65" s="46" t="str">
        <f t="shared" si="72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-10T10:22:10-0700',mode:absolute,to:'2017-03-10T13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5" s="187" t="str">
        <f t="shared" si="73"/>
        <v>N</v>
      </c>
      <c r="X65" s="187">
        <f t="shared" ref="X65:X68" si="80">VALUE(LEFT(AD65,4))-VALUE(LEFT(AD64,4))</f>
        <v>2</v>
      </c>
      <c r="Y65" s="62">
        <f t="shared" si="74"/>
        <v>23.304500000000001</v>
      </c>
      <c r="Z65" s="62">
        <f t="shared" si="75"/>
        <v>1.49E-2</v>
      </c>
      <c r="AA65" s="62">
        <f t="shared" si="76"/>
        <v>23.2896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77"/>
        <v>0156-10</v>
      </c>
      <c r="AE65" s="85" t="str">
        <f t="shared" si="12"/>
        <v>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 &amp; aws s3 cp s3://rtdc.mdm.uploadarchive.raw/RTDC4012/ "%USERPROFILE%\AppData\Local\Temp\OnboardLogs"\RTDC4012\2017-03-11 --exclude "*" --recursive --include "*20170311*" &amp; "%USERPROFILE%\Documents\GitHub\mrs-test-scripts\Headless Mode &amp; Sideloading\WalkAndUnGZ.bat" "%USERPROFILE%\AppData\Local\Temp\OnboardLogs"\RTDC4012\2017-03-11</v>
      </c>
      <c r="AF65" s="82" t="str">
        <f t="shared" si="13"/>
        <v>"C:\Program Files (x86)\AstroGrep\AstroGrep.exe" /e /r /s /spath="%USERPROFILE%\AppData\Local\Temp\OnboardLogs" /stypes="app*4012*20170310*" /stext=" 19:.+((SYSTEM_STATE.+slice.+state.+changed )|(ment ac)|(multiple cpu faults)|(system.+state.+changed )|(\[timeout)|(PRM\|1\|D)|(kpr)|(kdp)|(\|lc)|(penalty))"</v>
      </c>
      <c r="AG65" s="1" t="str">
        <f t="shared" si="78"/>
        <v>EC</v>
      </c>
      <c r="AH65" s="86" t="str">
        <f t="shared" si="18"/>
        <v>"%USERPROFILE%\Documents\GitHub\eaglep3\Utilities\RefineRTDCRunTimes.py" --tripid 156-10 --locoid 4012 --swversion DE.1.0.9.0 --startMP 204:233045 --initTime 2017-03-10T11:22:10 --startdatetime 2017-03-10T11:23:35 --delay 1 --endMP 204:149 --enddatetime 2017-03-10T12:05:58 --enforcementcount 0 &gt;&gt;C:\Users\stu\Documents\GitHub\eaglep3-reporting\EC\2017-03-10-refined-times.txt</v>
      </c>
      <c r="AI65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{"issue":{"subject":"","project_id":79,"tracker_id":40,"status_id":1,"priority_id":2,"assigned_to_id":23,"start_date":"2017-03-10","description":"","custom_fields":[{"id":1,"name":"Subdivision","value":"EC"},{"id":4,"name":"Milepost","value":"0.0149"},{"id":17,"name":"Train ID","value":"156-10"},{"id":16,"name":"Locomotive ID","value":"4012"},{"id":130,"name":"Impact","value":""},{"id":150,"name":"Time of Event (Mountain Time)","value":"12:05:58"},{"id":151,"name":"Denver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4012 --day 2017-03-10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2017-03-10-UncaughtWiMAX.txt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678</v>
      </c>
      <c r="B66" s="7">
        <v>4027</v>
      </c>
      <c r="C66" s="21" t="s">
        <v>239</v>
      </c>
      <c r="D66" s="21" t="s">
        <v>225</v>
      </c>
      <c r="E66" s="13">
        <v>42804.436481481483</v>
      </c>
      <c r="F66" s="13">
        <v>42804.437777777777</v>
      </c>
      <c r="G66" s="7">
        <v>1</v>
      </c>
      <c r="H66" s="21" t="s">
        <v>845</v>
      </c>
      <c r="I66" s="13">
        <v>42804.475115740737</v>
      </c>
      <c r="J66" s="7">
        <v>0</v>
      </c>
      <c r="K66" s="98" t="str">
        <f t="shared" si="68"/>
        <v>4027/4028</v>
      </c>
      <c r="L66" s="21" t="str">
        <f>VLOOKUP(A66,'Trips&amp;Operators'!$C$1:$G$99999,5,FALSE)</f>
        <v>GEBRETEKLE DAGNEW</v>
      </c>
      <c r="M66" s="6">
        <f t="shared" si="69"/>
        <v>3.7337962960009463E-2</v>
      </c>
      <c r="N66" s="7">
        <f t="shared" si="70"/>
        <v>53.766666662413627</v>
      </c>
      <c r="O66" s="7"/>
      <c r="P66" s="7"/>
      <c r="Q66" s="22"/>
      <c r="R66" s="22"/>
      <c r="S66" s="31">
        <f t="shared" si="71"/>
        <v>1</v>
      </c>
      <c r="T66" s="46" t="str">
        <f t="shared" si="72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-10T09:28:32-0700',mode:absolute,to:'2017-03-10T12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6" s="187" t="str">
        <f t="shared" si="73"/>
        <v>N</v>
      </c>
      <c r="X66" s="187">
        <f t="shared" si="80"/>
        <v>1</v>
      </c>
      <c r="Y66" s="62">
        <f t="shared" si="74"/>
        <v>4.5499999999999999E-2</v>
      </c>
      <c r="Z66" s="62">
        <f t="shared" si="75"/>
        <v>23.331800000000001</v>
      </c>
      <c r="AA66" s="62">
        <f t="shared" si="76"/>
        <v>23.286300000000001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77"/>
        <v>0157-10</v>
      </c>
      <c r="AE66" s="85" t="str">
        <f t="shared" si="12"/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AF66" s="82" t="str">
        <f t="shared" si="13"/>
        <v>"C:\Program Files (x86)\AstroGrep\AstroGrep.exe" /e /r /s /spath="%USERPROFILE%\AppData\Local\Temp\OnboardLogs" /stypes="app*4027*20170310*" /stext=" 18:.+((SYSTEM_STATE.+slice.+state.+changed )|(ment ac)|(multiple cpu faults)|(system.+state.+changed )|(\[timeout)|(PRM\|1\|D)|(kpr)|(kdp)|(\|lc)|(penalty))"</v>
      </c>
      <c r="AG66" s="1" t="str">
        <f t="shared" si="78"/>
        <v>EC</v>
      </c>
      <c r="AH66" s="86" t="str">
        <f t="shared" si="18"/>
        <v>"%USERPROFILE%\Documents\GitHub\eaglep3\Utilities\RefineRTDCRunTimes.py" --tripid 157-10 --locoid 4027 --swversion DE.1.0.9.0 --startMP 204:455 --initTime 2017-03-10T10:28:32 --startdatetime 2017-03-10T10:30:24 --delay 1 --endMP 204:233318 --enddatetime 2017-03-10T11:24:10 --enforcementcount 0 &gt;&gt;C:\Users\stu\Documents\GitHub\eaglep3-reporting\EC\2017-03-10-refined-times.txt</v>
      </c>
      <c r="AI66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{"issue":{"subject":"","project_id":79,"tracker_id":40,"status_id":1,"priority_id":2,"assigned_to_id":23,"start_date":"2017-03-10","description":"","custom_fields":[{"id":1,"name":"Subdivision","value":"EC"},{"id":4,"name":"Milepost","value":"23.3318"},{"id":17,"name":"Train ID","value":"157-10"},{"id":16,"name":"Locomotive ID","value":"4027"},{"id":130,"name":"Impact","value":""},{"id":150,"name":"Time of Event (Mountain Time)","value":"11:24:10"},{"id":151,"name":"Denver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4027 --day 2017-03-10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"%USERPROFILE%\AppData\Local\Temp\OnboardLogs"\RTDC4027\*4027*20170310* | grep -SE "(Enforcement Action)|(\[TIMEOUT)|(CHR.+\|PRM\|1\|D.+(SWITCH|SIGNAL).+UNKNOWN)" - &gt;&gt; 2017-03-10-UncaughtWiMAX.txt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581</v>
      </c>
      <c r="B67" s="7">
        <v>4028</v>
      </c>
      <c r="C67" s="21" t="s">
        <v>239</v>
      </c>
      <c r="D67" s="21" t="s">
        <v>846</v>
      </c>
      <c r="E67" s="13">
        <v>42804.484050925923</v>
      </c>
      <c r="F67" s="13">
        <v>42804.484976851854</v>
      </c>
      <c r="G67" s="7">
        <v>1</v>
      </c>
      <c r="H67" s="21" t="s">
        <v>202</v>
      </c>
      <c r="I67" s="13">
        <v>42804.515682870369</v>
      </c>
      <c r="J67" s="7">
        <v>0</v>
      </c>
      <c r="K67" s="98" t="str">
        <f t="shared" si="68"/>
        <v>4027/4028</v>
      </c>
      <c r="L67" s="21" t="str">
        <f>VLOOKUP(A67,'Trips&amp;Operators'!$C$1:$G$99999,5,FALSE)</f>
        <v>GEBRETEKLE DAGNEW</v>
      </c>
      <c r="M67" s="6">
        <f t="shared" si="69"/>
        <v>3.0706018515047617E-2</v>
      </c>
      <c r="N67" s="7">
        <f t="shared" si="70"/>
        <v>44.216666661668569</v>
      </c>
      <c r="O67" s="7"/>
      <c r="P67" s="7"/>
      <c r="Q67" s="22"/>
      <c r="R67" s="22"/>
      <c r="S67" s="31">
        <f t="shared" si="71"/>
        <v>1</v>
      </c>
      <c r="T67" s="46" t="str">
        <f t="shared" si="72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-10T10:37:02-0700',mode:absolute,to:'2017-03-10T13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7" s="187" t="str">
        <f t="shared" si="73"/>
        <v>N</v>
      </c>
      <c r="X67" s="187">
        <f t="shared" si="80"/>
        <v>1</v>
      </c>
      <c r="Y67" s="62">
        <f t="shared" si="74"/>
        <v>23.300699999999999</v>
      </c>
      <c r="Z67" s="62">
        <f t="shared" si="75"/>
        <v>1.52E-2</v>
      </c>
      <c r="AA67" s="62">
        <f t="shared" si="76"/>
        <v>23.285499999999999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77"/>
        <v>0158-10</v>
      </c>
      <c r="AE67" s="85" t="str">
        <f t="shared" si="12"/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AF67" s="82" t="str">
        <f t="shared" si="13"/>
        <v>"C:\Program Files (x86)\AstroGrep\AstroGrep.exe" /e /r /s /spath="%USERPROFILE%\AppData\Local\Temp\OnboardLogs" /stypes="app*4028*20170310*" /stext=" 19:.+((SYSTEM_STATE.+slice.+state.+changed )|(ment ac)|(multiple cpu faults)|(system.+state.+changed )|(\[timeout)|(PRM\|1\|D)|(kpr)|(kdp)|(\|lc)|(penalty))"</v>
      </c>
      <c r="AG67" s="1" t="str">
        <f t="shared" si="78"/>
        <v>EC</v>
      </c>
      <c r="AH67" s="86" t="str">
        <f t="shared" si="18"/>
        <v>"%USERPROFILE%\Documents\GitHub\eaglep3\Utilities\RefineRTDCRunTimes.py" --tripid 158-10 --locoid 4028 --swversion DE.1.0.9.0 --startMP 204:233007 --initTime 2017-03-10T11:37:02 --startdatetime 2017-03-10T11:38:22 --delay 1 --endMP 204:152 --enddatetime 2017-03-10T12:22:35 --enforcementcount 0 &gt;&gt;C:\Users\stu\Documents\GitHub\eaglep3-reporting\EC\2017-03-10-refined-times.txt</v>
      </c>
      <c r="AI67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{"issue":{"subject":"","project_id":79,"tracker_id":40,"status_id":1,"priority_id":2,"assigned_to_id":23,"start_date":"2017-03-10","description":"","custom_fields":[{"id":1,"name":"Subdivision","value":"EC"},{"id":4,"name":"Milepost","value":"0.0152"},{"id":17,"name":"Train ID","value":"158-10"},{"id":16,"name":"Locomotive ID","value":"4028"},{"id":130,"name":"Impact","value":""},{"id":150,"name":"Time of Event (Mountain Time)","value":"12:22:35"},{"id":151,"name":"Denver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4028 --day 2017-03-10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"%USERPROFILE%\AppData\Local\Temp\OnboardLogs"\RTDC4028\*4028*20170310* | grep -SE "(Enforcement Action)|(\[TIMEOUT)|(CHR.+\|PRM\|1\|D.+(SWITCH|SIGNAL).+UNKNOWN)" - &gt;&gt; 2017-03-10-UncaughtWiMAX.txt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682</v>
      </c>
      <c r="B68" s="7">
        <v>4007</v>
      </c>
      <c r="C68" s="21" t="s">
        <v>239</v>
      </c>
      <c r="D68" s="21" t="s">
        <v>216</v>
      </c>
      <c r="E68" s="13">
        <v>42804.461180555554</v>
      </c>
      <c r="F68" s="13">
        <v>42804.462685185186</v>
      </c>
      <c r="G68" s="7">
        <v>2</v>
      </c>
      <c r="H68" s="21" t="s">
        <v>528</v>
      </c>
      <c r="I68" s="13">
        <v>42804.491770833331</v>
      </c>
      <c r="J68" s="7">
        <v>0</v>
      </c>
      <c r="K68" s="98" t="str">
        <f t="shared" si="68"/>
        <v>4007/4008</v>
      </c>
      <c r="L68" s="21" t="str">
        <f>VLOOKUP(A68,'Trips&amp;Operators'!$C$1:$G$99999,5,FALSE)</f>
        <v>STEWART MICHAEL</v>
      </c>
      <c r="M68" s="6">
        <f t="shared" si="69"/>
        <v>2.9085648144246079E-2</v>
      </c>
      <c r="N68" s="7">
        <f t="shared" si="70"/>
        <v>41.883333327714354</v>
      </c>
      <c r="O68" s="7"/>
      <c r="P68" s="7"/>
      <c r="Q68" s="22"/>
      <c r="R68" s="22"/>
      <c r="S68" s="31">
        <f t="shared" ref="S68:S84" si="81">SUM(U68:U68)/IF(AG68="EC",12,1)</f>
        <v>1</v>
      </c>
      <c r="T68" s="46" t="str">
        <f t="shared" si="72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-10T10:04:06-0700',mode:absolute,to:'2017-03-10T12:48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187" t="str">
        <f t="shared" si="73"/>
        <v>N</v>
      </c>
      <c r="X68" s="187">
        <f t="shared" si="80"/>
        <v>1</v>
      </c>
      <c r="Y68" s="62">
        <f t="shared" si="74"/>
        <v>4.5100000000000001E-2</v>
      </c>
      <c r="Z68" s="62">
        <f t="shared" ref="Z68:Z99" si="82">RIGHT(H68,LEN(H68)-4)/10000</f>
        <v>23.330500000000001</v>
      </c>
      <c r="AA68" s="62">
        <f t="shared" si="76"/>
        <v>23.285399999999999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77"/>
        <v>0159-10</v>
      </c>
      <c r="AE68" s="85" t="str">
        <f t="shared" si="12"/>
        <v>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 &amp; aws s3 cp s3://rtdc.mdm.uploadarchive.raw/RTDC4007/ "%USERPROFILE%\AppData\Local\Temp\OnboardLogs"\RTDC4007\2017-03-11 --exclude "*" --recursive --include "*20170311*" &amp; "%USERPROFILE%\Documents\GitHub\mrs-test-scripts\Headless Mode &amp; Sideloading\WalkAndUnGZ.bat" "%USERPROFILE%\AppData\Local\Temp\OnboardLogs"\RTDC4007\2017-03-11</v>
      </c>
      <c r="AF68" s="82" t="str">
        <f t="shared" si="13"/>
        <v>"C:\Program Files (x86)\AstroGrep\AstroGrep.exe" /e /r /s /spath="%USERPROFILE%\AppData\Local\Temp\OnboardLogs" /stypes="app*4007*20170310*" /stext=" 18:.+((SYSTEM_STATE.+slice.+state.+changed )|(ment ac)|(multiple cpu faults)|(system.+state.+changed )|(\[timeout)|(PRM\|1\|D)|(kpr)|(kdp)|(\|lc)|(penalty))"</v>
      </c>
      <c r="AG68" s="1" t="str">
        <f t="shared" si="78"/>
        <v>EC</v>
      </c>
      <c r="AH68" s="86" t="str">
        <f t="shared" si="18"/>
        <v>"%USERPROFILE%\Documents\GitHub\eaglep3\Utilities\RefineRTDCRunTimes.py" --tripid 159-10 --locoid 4007 --swversion DE.1.0.9.0 --startMP 204:451 --initTime 2017-03-10T11:04:06 --startdatetime 2017-03-10T11:06:16 --delay 2 --endMP 204:233305 --enddatetime 2017-03-10T11:48:09 --enforcementcount 0 &gt;&gt;C:\Users\stu\Documents\GitHub\eaglep3-reporting\EC\2017-03-10-refined-times.txt</v>
      </c>
      <c r="AI68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{"issue":{"subject":"","project_id":79,"tracker_id":40,"status_id":1,"priority_id":2,"assigned_to_id":23,"start_date":"2017-03-10","description":"","custom_fields":[{"id":1,"name":"Subdivision","value":"EC"},{"id":4,"name":"Milepost","value":"23.3305"},{"id":17,"name":"Train ID","value":"159-10"},{"id":16,"name":"Locomotive ID","value":"4007"},{"id":130,"name":"Impact","value":""},{"id":150,"name":"Time of Event (Mountain Time)","value":"11:48:09"},{"id":151,"name":"Denver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4007 --day 2017-03-10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"%USERPROFILE%\AppData\Local\Temp\OnboardLogs"\RTDC4007\*4007*20170310* | grep -SE "(Enforcement Action)|(\[TIMEOUT)|(CHR.+\|PRM\|1\|D.+(SWITCH|SIGNAL).+UNKNOWN)" - &gt;&gt; 2017-03-10-UncaughtWiMAX.txt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691</v>
      </c>
      <c r="B69" s="7">
        <v>4008</v>
      </c>
      <c r="C69" s="21" t="s">
        <v>239</v>
      </c>
      <c r="D69" s="21" t="s">
        <v>403</v>
      </c>
      <c r="E69" s="13">
        <v>42804.493472222224</v>
      </c>
      <c r="F69" s="13">
        <v>42804.495069444441</v>
      </c>
      <c r="G69" s="7">
        <v>2</v>
      </c>
      <c r="H69" s="21" t="s">
        <v>522</v>
      </c>
      <c r="I69" s="13">
        <v>42804.525902777779</v>
      </c>
      <c r="J69" s="7">
        <v>0</v>
      </c>
      <c r="K69" s="98" t="str">
        <f t="shared" si="68"/>
        <v>4007/4008</v>
      </c>
      <c r="L69" s="21" t="str">
        <f>VLOOKUP(A69,'Trips&amp;Operators'!$C$1:$G$99999,5,FALSE)</f>
        <v>STEWART MICHAEL</v>
      </c>
      <c r="M69" s="6">
        <f t="shared" si="69"/>
        <v>3.0833333337795921E-2</v>
      </c>
      <c r="N69" s="7">
        <f t="shared" si="70"/>
        <v>44.400000006426126</v>
      </c>
      <c r="O69" s="7"/>
      <c r="P69" s="7"/>
      <c r="Q69" s="22"/>
      <c r="R69" s="22"/>
      <c r="S69" s="31">
        <f t="shared" si="81"/>
        <v>1</v>
      </c>
      <c r="T69" s="46" t="str">
        <f t="shared" si="72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-10T10:50:36-0700',mode:absolute,to:'2017-03-10T13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9" s="187" t="str">
        <f t="shared" si="73"/>
        <v>N</v>
      </c>
      <c r="X69" s="187">
        <f t="shared" ref="X69:X100" si="83">VALUE(LEFT(AD69,4))-VALUE(LEFT(AD68,4))</f>
        <v>1</v>
      </c>
      <c r="Y69" s="62">
        <f t="shared" si="74"/>
        <v>23.298200000000001</v>
      </c>
      <c r="Z69" s="62">
        <f t="shared" si="82"/>
        <v>0.1171</v>
      </c>
      <c r="AA69" s="62">
        <f t="shared" si="76"/>
        <v>23.181100000000001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77"/>
        <v>0160-10</v>
      </c>
      <c r="AE69" s="85" t="str">
        <f t="shared" si="12"/>
        <v>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 &amp; aws s3 cp s3://rtdc.mdm.uploadarchive.raw/RTDC4008/ "%USERPROFILE%\AppData\Local\Temp\OnboardLogs"\RTDC4008\2017-03-11 --exclude "*" --recursive --include "*20170311*" &amp; "%USERPROFILE%\Documents\GitHub\mrs-test-scripts\Headless Mode &amp; Sideloading\WalkAndUnGZ.bat" "%USERPROFILE%\AppData\Local\Temp\OnboardLogs"\RTDC4008\2017-03-11</v>
      </c>
      <c r="AF69" s="82" t="str">
        <f t="shared" si="13"/>
        <v>"C:\Program Files (x86)\AstroGrep\AstroGrep.exe" /e /r /s /spath="%USERPROFILE%\AppData\Local\Temp\OnboardLogs" /stypes="app*4008*20170310*" /stext=" 19:.+((SYSTEM_STATE.+slice.+state.+changed )|(ment ac)|(multiple cpu faults)|(system.+state.+changed )|(\[timeout)|(PRM\|1\|D)|(kpr)|(kdp)|(\|lc)|(penalty))"</v>
      </c>
      <c r="AG69" s="1" t="str">
        <f t="shared" si="78"/>
        <v>EC</v>
      </c>
      <c r="AH69" s="86" t="str">
        <f t="shared" si="18"/>
        <v>"%USERPROFILE%\Documents\GitHub\eaglep3\Utilities\RefineRTDCRunTimes.py" --tripid 160-10 --locoid 4008 --swversion DE.1.0.9.0 --startMP 204:232982 --initTime 2017-03-10T11:50:36 --startdatetime 2017-03-10T11:52:54 --delay 2 --endMP 204:1171 --enddatetime 2017-03-10T12:37:18 --enforcementcount 0 &gt;&gt;C:\Users\stu\Documents\GitHub\eaglep3-reporting\EC\2017-03-10-refined-times.txt</v>
      </c>
      <c r="AI69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{"issue":{"subject":"","project_id":79,"tracker_id":40,"status_id":1,"priority_id":2,"assigned_to_id":23,"start_date":"2017-03-10","description":"","custom_fields":[{"id":1,"name":"Subdivision","value":"EC"},{"id":4,"name":"Milepost","value":"0.1171"},{"id":17,"name":"Train ID","value":"160-10"},{"id":16,"name":"Locomotive ID","value":"4008"},{"id":130,"name":"Impact","value":""},{"id":150,"name":"Time of Event (Mountain Time)","value":"12:37:18"},{"id":151,"name":"Denver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4008 --day 2017-03-10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"%USERPROFILE%\AppData\Local\Temp\OnboardLogs"\RTDC4008\*4008*20170310* | grep -SE "(Enforcement Action)|(\[TIMEOUT)|(CHR.+\|PRM\|1\|D.+(SWITCH|SIGNAL).+UNKNOWN)" - &gt;&gt; 2017-03-10-UncaughtWiMAX.txt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684</v>
      </c>
      <c r="B70" s="7">
        <v>4046</v>
      </c>
      <c r="C70" s="21" t="s">
        <v>239</v>
      </c>
      <c r="D70" s="21" t="s">
        <v>534</v>
      </c>
      <c r="E70" s="13">
        <v>42804.469375000001</v>
      </c>
      <c r="F70" s="13">
        <v>42804.470590277779</v>
      </c>
      <c r="G70" s="7">
        <v>1</v>
      </c>
      <c r="H70" s="21" t="s">
        <v>847</v>
      </c>
      <c r="I70" s="13">
        <v>42804.501250000001</v>
      </c>
      <c r="J70" s="7">
        <v>0</v>
      </c>
      <c r="K70" s="98" t="str">
        <f t="shared" si="68"/>
        <v>4045/4046</v>
      </c>
      <c r="L70" s="21" t="str">
        <f>VLOOKUP(A70,'Trips&amp;Operators'!$C$1:$G$99999,5,FALSE)</f>
        <v>ROMERO CHAD</v>
      </c>
      <c r="M70" s="6">
        <f t="shared" si="69"/>
        <v>3.0659722222480923E-2</v>
      </c>
      <c r="N70" s="7">
        <f t="shared" si="70"/>
        <v>44.150000000372529</v>
      </c>
      <c r="O70" s="7"/>
      <c r="P70" s="7"/>
      <c r="Q70" s="22"/>
      <c r="R70" s="22"/>
      <c r="S70" s="31">
        <f t="shared" si="81"/>
        <v>1</v>
      </c>
      <c r="T70" s="46" t="str">
        <f t="shared" si="72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-10T10:15:54-0700',mode:absolute,to:'2017-03-10T13:01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0" s="187" t="str">
        <f t="shared" si="73"/>
        <v>N</v>
      </c>
      <c r="X70" s="187">
        <f t="shared" si="83"/>
        <v>1</v>
      </c>
      <c r="Y70" s="62">
        <f t="shared" si="74"/>
        <v>4.6199999999999998E-2</v>
      </c>
      <c r="Z70" s="62">
        <f t="shared" si="82"/>
        <v>23.334099999999999</v>
      </c>
      <c r="AA70" s="62">
        <f t="shared" si="76"/>
        <v>23.2879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77"/>
        <v>0161-10</v>
      </c>
      <c r="AE70" s="85" t="str">
        <f t="shared" si="12"/>
        <v>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 &amp; 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</v>
      </c>
      <c r="AF70" s="82" t="str">
        <f t="shared" si="13"/>
        <v>"C:\Program Files (x86)\AstroGrep\AstroGrep.exe" /e /r /s /spath="%USERPROFILE%\AppData\Local\Temp\OnboardLogs" /stypes="app*4046*20170310*" /stext=" 19:.+((SYSTEM_STATE.+slice.+state.+changed )|(ment ac)|(multiple cpu faults)|(system.+state.+changed )|(\[timeout)|(PRM\|1\|D)|(kpr)|(kdp)|(\|lc)|(penalty))"</v>
      </c>
      <c r="AG70" s="1" t="str">
        <f t="shared" si="78"/>
        <v>EC</v>
      </c>
      <c r="AH70" s="86" t="str">
        <f t="shared" si="18"/>
        <v>"%USERPROFILE%\Documents\GitHub\eaglep3\Utilities\RefineRTDCRunTimes.py" --tripid 161-10 --locoid 4046 --swversion DE.1.0.9.0 --startMP 204:462 --initTime 2017-03-10T11:15:54 --startdatetime 2017-03-10T11:17:39 --delay 1 --endMP 204:233341 --enddatetime 2017-03-10T12:01:48 --enforcementcount 0 &gt;&gt;C:\Users\stu\Documents\GitHub\eaglep3-reporting\EC\2017-03-10-refined-times.txt</v>
      </c>
      <c r="AI70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{"issue":{"subject":"","project_id":79,"tracker_id":40,"status_id":1,"priority_id":2,"assigned_to_id":23,"start_date":"2017-03-10","description":"","custom_fields":[{"id":1,"name":"Subdivision","value":"EC"},{"id":4,"name":"Milepost","value":"23.3341"},{"id":17,"name":"Train ID","value":"161-10"},{"id":16,"name":"Locomotive ID","value":"4046"},{"id":130,"name":"Impact","value":""},{"id":150,"name":"Time of Event (Mountain Time)","value":"12:01:48"},{"id":151,"name":"Denver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4046 --day 2017-03-10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"%USERPROFILE%\AppData\Local\Temp\OnboardLogs"\RTDC4046\*4046*20170310* | grep -SE "(Enforcement Action)|(\[TIMEOUT)|(CHR.+\|PRM\|1\|D.+(SWITCH|SIGNAL).+UNKNOWN)" - &gt;&gt; 2017-03-10-UncaughtWiMAX.txt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582</v>
      </c>
      <c r="B71" s="7">
        <v>4045</v>
      </c>
      <c r="C71" s="21" t="s">
        <v>239</v>
      </c>
      <c r="D71" s="21" t="s">
        <v>848</v>
      </c>
      <c r="E71" s="13">
        <v>42804.504224537035</v>
      </c>
      <c r="F71" s="13">
        <v>42804.505300925928</v>
      </c>
      <c r="G71" s="7">
        <v>1</v>
      </c>
      <c r="H71" s="21" t="s">
        <v>404</v>
      </c>
      <c r="I71" s="13">
        <v>42804.540682870371</v>
      </c>
      <c r="J71" s="7">
        <v>0</v>
      </c>
      <c r="K71" s="98" t="str">
        <f t="shared" si="68"/>
        <v>4045/4046</v>
      </c>
      <c r="L71" s="21" t="str">
        <f>VLOOKUP(A71,'Trips&amp;Operators'!$C$1:$G$99999,5,FALSE)</f>
        <v>ROMERO CHAD</v>
      </c>
      <c r="M71" s="6">
        <f t="shared" si="69"/>
        <v>3.5381944442633539E-2</v>
      </c>
      <c r="N71" s="7">
        <f t="shared" si="70"/>
        <v>50.949999997392297</v>
      </c>
      <c r="O71" s="7"/>
      <c r="P71" s="7"/>
      <c r="Q71" s="22"/>
      <c r="R71" s="22"/>
      <c r="S71" s="31">
        <f t="shared" si="81"/>
        <v>1</v>
      </c>
      <c r="T71" s="46" t="str">
        <f t="shared" si="72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-10T11:06:05-0700',mode:absolute,to:'2017-03-10T13:58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1" s="187" t="str">
        <f t="shared" si="73"/>
        <v>N</v>
      </c>
      <c r="X71" s="187">
        <f t="shared" si="83"/>
        <v>1</v>
      </c>
      <c r="Y71" s="62">
        <f t="shared" si="74"/>
        <v>23.301100000000002</v>
      </c>
      <c r="Z71" s="62">
        <f t="shared" si="82"/>
        <v>1.43E-2</v>
      </c>
      <c r="AA71" s="62">
        <f t="shared" si="76"/>
        <v>23.286800000000003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77"/>
        <v>0162-10</v>
      </c>
      <c r="AE71" s="85" t="str">
        <f t="shared" si="12"/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AF71" s="82" t="str">
        <f t="shared" si="13"/>
        <v>"C:\Program Files (x86)\AstroGrep\AstroGrep.exe" /e /r /s /spath="%USERPROFILE%\AppData\Local\Temp\OnboardLogs" /stypes="app*4045*20170310*" /stext=" 19:.+((SYSTEM_STATE.+slice.+state.+changed )|(ment ac)|(multiple cpu faults)|(system.+state.+changed )|(\[timeout)|(PRM\|1\|D)|(kpr)|(kdp)|(\|lc)|(penalty))"</v>
      </c>
      <c r="AG71" s="1" t="str">
        <f t="shared" si="78"/>
        <v>EC</v>
      </c>
      <c r="AH71" s="86" t="str">
        <f t="shared" si="18"/>
        <v>"%USERPROFILE%\Documents\GitHub\eaglep3\Utilities\RefineRTDCRunTimes.py" --tripid 162-10 --locoid 4045 --swversion DE.1.0.9.0 --startMP 204:233011 --initTime 2017-03-10T12:06:05 --startdatetime 2017-03-10T12:07:38 --delay 1 --endMP 204:143 --enddatetime 2017-03-10T12:58:35 --enforcementcount 0 &gt;&gt;C:\Users\stu\Documents\GitHub\eaglep3-reporting\EC\2017-03-10-refined-times.txt</v>
      </c>
      <c r="AI71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{"issue":{"subject":"","project_id":79,"tracker_id":40,"status_id":1,"priority_id":2,"assigned_to_id":23,"start_date":"2017-03-10","description":"","custom_fields":[{"id":1,"name":"Subdivision","value":"EC"},{"id":4,"name":"Milepost","value":"0.0143"},{"id":17,"name":"Train ID","value":"162-10"},{"id":16,"name":"Locomotive ID","value":"4045"},{"id":130,"name":"Impact","value":""},{"id":150,"name":"Time of Event (Mountain Time)","value":"12:58:35"},{"id":151,"name":"Denver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4045 --day 2017-03-10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"%USERPROFILE%\AppData\Local\Temp\OnboardLogs"\RTDC4045\*4045*20170310* | grep -SE "(Enforcement Action)|(\[TIMEOUT)|(CHR.+\|PRM\|1\|D.+(SWITCH|SIGNAL).+UNKNOWN)" - &gt;&gt; 2017-03-10-UncaughtWiMAX.txt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688</v>
      </c>
      <c r="B72" s="7">
        <v>4031</v>
      </c>
      <c r="C72" s="21" t="s">
        <v>239</v>
      </c>
      <c r="D72" s="21" t="s">
        <v>233</v>
      </c>
      <c r="E72" s="13">
        <v>42804.474456018521</v>
      </c>
      <c r="F72" s="13">
        <v>42804.475358796299</v>
      </c>
      <c r="G72" s="7">
        <v>1</v>
      </c>
      <c r="H72" s="21" t="s">
        <v>849</v>
      </c>
      <c r="I72" s="13">
        <v>42804.513599537036</v>
      </c>
      <c r="J72" s="7">
        <v>0</v>
      </c>
      <c r="K72" s="98" t="str">
        <f t="shared" si="68"/>
        <v>4031/4032</v>
      </c>
      <c r="L72" s="21" t="str">
        <f>VLOOKUP(A72,'Trips&amp;Operators'!$C$1:$G$99999,5,FALSE)</f>
        <v>CLARK KATHLEEN</v>
      </c>
      <c r="M72" s="6">
        <f t="shared" si="69"/>
        <v>3.8240740737819578E-2</v>
      </c>
      <c r="N72" s="7">
        <f t="shared" si="70"/>
        <v>55.066666662460193</v>
      </c>
      <c r="O72" s="7"/>
      <c r="P72" s="7"/>
      <c r="Q72" s="22"/>
      <c r="R72" s="22"/>
      <c r="S72" s="31">
        <f t="shared" si="81"/>
        <v>1</v>
      </c>
      <c r="T72" s="46" t="str">
        <f t="shared" si="72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-10T10:23:13-0700',mode:absolute,to:'2017-03-10T13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2" s="187" t="str">
        <f t="shared" si="73"/>
        <v>N</v>
      </c>
      <c r="X72" s="187">
        <f t="shared" si="83"/>
        <v>1</v>
      </c>
      <c r="Y72" s="62">
        <f t="shared" si="74"/>
        <v>4.4699999999999997E-2</v>
      </c>
      <c r="Z72" s="62">
        <f t="shared" si="82"/>
        <v>23.328299999999999</v>
      </c>
      <c r="AA72" s="62">
        <f t="shared" si="76"/>
        <v>23.2836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77"/>
        <v>0163-10</v>
      </c>
      <c r="AE72" s="85" t="str">
        <f t="shared" si="12"/>
        <v>aws s3 cp s3://rtdc.mdm.uploadarchive.raw/RTDC4031/ "%USERPROFILE%\AppData\Local\Temp\OnboardLogs"\RTDC4031\2017-03-10 --exclude "*" --recursive --include "*20170310*" &amp; "%USERPROFILE%\Documents\GitHub\mrs-test-scripts\Headless Mode &amp; Sideloading\WalkAndUnGZ.bat" "%USERPROFILE%\AppData\Local\Temp\OnboardLogs"\RTDC4031\2017-03-10 &amp; aws s3 cp s3://rtdc.mdm.uploadarchive.raw/RTDC4031/ "%USERPROFILE%\AppData\Local\Temp\OnboardLogs"\RTDC4031\2017-03-11 --exclude "*" --recursive --include "*20170311*" &amp; "%USERPROFILE%\Documents\GitHub\mrs-test-scripts\Headless Mode &amp; Sideloading\WalkAndUnGZ.bat" "%USERPROFILE%\AppData\Local\Temp\OnboardLogs"\RTDC4031\2017-03-11</v>
      </c>
      <c r="AF72" s="82" t="str">
        <f t="shared" si="13"/>
        <v>"C:\Program Files (x86)\AstroGrep\AstroGrep.exe" /e /r /s /spath="%USERPROFILE%\AppData\Local\Temp\OnboardLogs" /stypes="app*4031*20170310*" /stext=" 19:.+((SYSTEM_STATE.+slice.+state.+changed )|(ment ac)|(multiple cpu faults)|(system.+state.+changed )|(\[timeout)|(PRM\|1\|D)|(kpr)|(kdp)|(\|lc)|(penalty))"</v>
      </c>
      <c r="AG72" s="1" t="str">
        <f t="shared" si="78"/>
        <v>EC</v>
      </c>
      <c r="AH72" s="86" t="str">
        <f t="shared" si="18"/>
        <v>"%USERPROFILE%\Documents\GitHub\eaglep3\Utilities\RefineRTDCRunTimes.py" --tripid 163-10 --locoid 4031 --swversion DE.1.0.9.0 --startMP 204:447 --initTime 2017-03-10T11:23:13 --startdatetime 2017-03-10T11:24:31 --delay 1 --endMP 204:233283 --enddatetime 2017-03-10T12:19:35 --enforcementcount 0 &gt;&gt;C:\Users\stu\Documents\GitHub\eaglep3-reporting\EC\2017-03-10-refined-times.txt</v>
      </c>
      <c r="AI72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{"issue":{"subject":"","project_id":79,"tracker_id":40,"status_id":1,"priority_id":2,"assigned_to_id":23,"start_date":"2017-03-10","description":"","custom_fields":[{"id":1,"name":"Subdivision","value":"EC"},{"id":4,"name":"Milepost","value":"23.3283"},{"id":17,"name":"Train ID","value":"163-10"},{"id":16,"name":"Locomotive ID","value":"4031"},{"id":130,"name":"Impact","value":""},{"id":150,"name":"Time of Event (Mountain Time)","value":"12:19:35"},{"id":151,"name":"Denver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4031 --day 2017-03-10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"%USERPROFILE%\AppData\Local\Temp\OnboardLogs"\RTDC4031\*4031*20170310* | grep -SE "(Enforcement Action)|(\[TIMEOUT)|(CHR.+\|PRM\|1\|D.+(SWITCH|SIGNAL).+UNKNOWN)" - &gt;&gt; 2017-03-10-UncaughtWiMAX.txt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583</v>
      </c>
      <c r="B73" s="7">
        <v>4032</v>
      </c>
      <c r="C73" s="21" t="s">
        <v>239</v>
      </c>
      <c r="D73" s="21" t="s">
        <v>850</v>
      </c>
      <c r="E73" s="13">
        <v>42804.517118055555</v>
      </c>
      <c r="F73" s="13">
        <v>42804.518009259256</v>
      </c>
      <c r="G73" s="7">
        <v>1</v>
      </c>
      <c r="H73" s="21" t="s">
        <v>851</v>
      </c>
      <c r="I73" s="13">
        <v>42804.539780092593</v>
      </c>
      <c r="J73" s="7">
        <v>0</v>
      </c>
      <c r="K73" s="98" t="str">
        <f t="shared" si="68"/>
        <v>4031/4032</v>
      </c>
      <c r="L73" s="21" t="str">
        <f>VLOOKUP(A73,'Trips&amp;Operators'!$C$1:$G$99999,5,FALSE)</f>
        <v>CLARK KATHLEEN</v>
      </c>
      <c r="M73" s="6">
        <f t="shared" si="69"/>
        <v>2.1770833336631767E-2</v>
      </c>
      <c r="N73" s="7"/>
      <c r="O73" s="7"/>
      <c r="P73" s="7">
        <f>24*60*SUM($M73:$M73)</f>
        <v>31.350000004749745</v>
      </c>
      <c r="Q73" s="22"/>
      <c r="R73" s="22" t="s">
        <v>1015</v>
      </c>
      <c r="S73" s="31">
        <f t="shared" si="81"/>
        <v>0.58333333333333337</v>
      </c>
      <c r="T73" s="46" t="str">
        <f t="shared" si="72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7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-10T11:24:39-0700',mode:absolute,to:'2017-03-10T13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187" t="str">
        <f t="shared" si="73"/>
        <v>Y</v>
      </c>
      <c r="X73" s="187">
        <f t="shared" si="83"/>
        <v>1</v>
      </c>
      <c r="Y73" s="62">
        <f t="shared" si="74"/>
        <v>23.296199999999999</v>
      </c>
      <c r="Z73" s="62">
        <f t="shared" si="82"/>
        <v>4.8489000000000004</v>
      </c>
      <c r="AA73" s="62">
        <f t="shared" si="76"/>
        <v>18.447299999999998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77"/>
        <v>0164-10</v>
      </c>
      <c r="AE73" s="85" t="str">
        <f t="shared" si="12"/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AF73" s="82" t="str">
        <f t="shared" si="13"/>
        <v>"C:\Program Files (x86)\AstroGrep\AstroGrep.exe" /e /r /s /spath="%USERPROFILE%\AppData\Local\Temp\OnboardLogs" /stypes="app*4032*20170310*" /stext=" 19:.+((SYSTEM_STATE.+slice.+state.+changed )|(ment ac)|(multiple cpu faults)|(system.+state.+changed )|(\[timeout)|(PRM\|1\|D)|(kpr)|(kdp)|(\|lc)|(penalty))"</v>
      </c>
      <c r="AG73" s="1" t="str">
        <f t="shared" si="78"/>
        <v>EC</v>
      </c>
      <c r="AH73" s="86" t="str">
        <f t="shared" si="18"/>
        <v>"%USERPROFILE%\Documents\GitHub\eaglep3\Utilities\RefineRTDCRunTimes.py" --tripid 164-10 --locoid 4032 --swversion DE.1.0.9.0 --startMP 204:232962 --initTime 2017-03-10T12:24:39 --startdatetime 2017-03-10T12:25:56 --delay 1 --endMP 204:48489 --enddatetime 2017-03-10T12:57:17 --enforcementcount 0 &gt;&gt;C:\Users\stu\Documents\GitHub\eaglep3-reporting\EC\2017-03-10-refined-times.txt</v>
      </c>
      <c r="AI73" s="108" t="str">
        <f t="shared" si="19"/>
        <v>echo {"issue":{"subject":"Form C enforcement, followed by Early arrival enforcement at Holly","project_id":79,"tracker_id":40,"status_id":1,"priority_id":2,"assigned_to_id":23,"start_date":"2017-03-10","description":"","custom_fields":[{"id":1,"name":"Subdivision","value":"EC"},{"id":4,"name":"Milepost","value":"4.8489"},{"id":17,"name":"Train ID","value":"164-10"},{"id":16,"name":"Locomotive ID","value":"4032"},{"id":130,"name":"Impact","value":""},{"id":150,"name":"Time of Event (Mountain Time)","value":"12:57:17"},{"id":151,"name":"Denver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4032 --day 2017-03-10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"%USERPROFILE%\AppData\Local\Temp\OnboardLogs"\RTDC4032\*4032*20170310* | grep -SE "(Enforcement Action)|(\[TIMEOUT)|(CHR.+\|PRM\|1\|D.+(SWITCH|SIGNAL).+UNKNOWN)" - &gt;&gt; 2017-03-10-UncaughtWiMAX.txt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690</v>
      </c>
      <c r="B74" s="7">
        <v>4040</v>
      </c>
      <c r="C74" s="21" t="s">
        <v>239</v>
      </c>
      <c r="D74" s="21" t="s">
        <v>218</v>
      </c>
      <c r="E74" s="13">
        <v>42804.490254629629</v>
      </c>
      <c r="F74" s="13">
        <v>42804.491400462961</v>
      </c>
      <c r="G74" s="7">
        <v>1</v>
      </c>
      <c r="H74" s="21" t="s">
        <v>252</v>
      </c>
      <c r="I74" s="13">
        <v>42804.524641203701</v>
      </c>
      <c r="J74" s="7">
        <v>0</v>
      </c>
      <c r="K74" s="98" t="str">
        <f t="shared" si="68"/>
        <v>4039/4040</v>
      </c>
      <c r="L74" s="21" t="str">
        <f>VLOOKUP(A74,'Trips&amp;Operators'!$C$1:$G$99999,5,FALSE)</f>
        <v>BRUDER RICHARD</v>
      </c>
      <c r="M74" s="6">
        <f t="shared" si="69"/>
        <v>3.3240740740438923E-2</v>
      </c>
      <c r="N74" s="7">
        <f t="shared" ref="N74:N84" si="84">24*60*SUM($M74:$M74)</f>
        <v>47.866666666232049</v>
      </c>
      <c r="O74" s="7"/>
      <c r="P74" s="7"/>
      <c r="Q74" s="22"/>
      <c r="R74" s="22"/>
      <c r="S74" s="31">
        <f t="shared" si="81"/>
        <v>1</v>
      </c>
      <c r="T74" s="46" t="str">
        <f t="shared" si="72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-10T10:45:58-0700',mode:absolute,to:'2017-03-10T13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4" s="187" t="str">
        <f t="shared" si="73"/>
        <v>N</v>
      </c>
      <c r="X74" s="187">
        <f t="shared" si="83"/>
        <v>1</v>
      </c>
      <c r="Y74" s="62">
        <f t="shared" si="74"/>
        <v>4.5999999999999999E-2</v>
      </c>
      <c r="Z74" s="62">
        <f t="shared" si="82"/>
        <v>23.331199999999999</v>
      </c>
      <c r="AA74" s="62">
        <f t="shared" si="76"/>
        <v>23.2852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77"/>
        <v>0165-10</v>
      </c>
      <c r="AE74" s="85" t="str">
        <f t="shared" si="12"/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AF74" s="82" t="str">
        <f t="shared" si="13"/>
        <v>"C:\Program Files (x86)\AstroGrep\AstroGrep.exe" /e /r /s /spath="%USERPROFILE%\AppData\Local\Temp\OnboardLogs" /stypes="app*4040*20170310*" /stext=" 19:.+((SYSTEM_STATE.+slice.+state.+changed )|(ment ac)|(multiple cpu faults)|(system.+state.+changed )|(\[timeout)|(PRM\|1\|D)|(kpr)|(kdp)|(\|lc)|(penalty))"</v>
      </c>
      <c r="AG74" s="1" t="str">
        <f t="shared" si="78"/>
        <v>EC</v>
      </c>
      <c r="AH74" s="86" t="str">
        <f t="shared" si="18"/>
        <v>"%USERPROFILE%\Documents\GitHub\eaglep3\Utilities\RefineRTDCRunTimes.py" --tripid 165-10 --locoid 4040 --swversion DE.1.0.9.0 --startMP 204:460 --initTime 2017-03-10T11:45:58 --startdatetime 2017-03-10T11:47:37 --delay 1 --endMP 204:233312 --enddatetime 2017-03-10T12:35:29 --enforcementcount 0 &gt;&gt;C:\Users\stu\Documents\GitHub\eaglep3-reporting\EC\2017-03-10-refined-times.txt</v>
      </c>
      <c r="AI74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{"issue":{"subject":"","project_id":79,"tracker_id":40,"status_id":1,"priority_id":2,"assigned_to_id":23,"start_date":"2017-03-10","description":"","custom_fields":[{"id":1,"name":"Subdivision","value":"EC"},{"id":4,"name":"Milepost","value":"23.3312"},{"id":17,"name":"Train ID","value":"165-10"},{"id":16,"name":"Locomotive ID","value":"4040"},{"id":130,"name":"Impact","value":""},{"id":150,"name":"Time of Event (Mountain Time)","value":"12:35:29"},{"id":151,"name":"Denver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4040 --day 2017-03-10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"%USERPROFILE%\AppData\Local\Temp\OnboardLogs"\RTDC4040\*4040*20170310* | grep -SE "(Enforcement Action)|(\[TIMEOUT)|(CHR.+\|PRM\|1\|D.+(SWITCH|SIGNAL).+UNKNOWN)" - &gt;&gt; 2017-03-10-UncaughtWiMAX.txt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702</v>
      </c>
      <c r="B75" s="7">
        <v>4039</v>
      </c>
      <c r="C75" s="21" t="s">
        <v>239</v>
      </c>
      <c r="D75" s="21" t="s">
        <v>481</v>
      </c>
      <c r="E75" s="13">
        <v>42804.525891203702</v>
      </c>
      <c r="F75" s="13">
        <v>42804.527488425927</v>
      </c>
      <c r="G75" s="7">
        <v>2</v>
      </c>
      <c r="H75" s="21" t="s">
        <v>411</v>
      </c>
      <c r="I75" s="13">
        <v>42804.557662037034</v>
      </c>
      <c r="J75" s="7">
        <v>0</v>
      </c>
      <c r="K75" s="98" t="str">
        <f t="shared" si="68"/>
        <v>4039/4040</v>
      </c>
      <c r="L75" s="21" t="str">
        <f>VLOOKUP(A75,'Trips&amp;Operators'!$C$1:$G$99999,5,FALSE)</f>
        <v>BRUDER RICHARD</v>
      </c>
      <c r="M75" s="6">
        <f t="shared" si="69"/>
        <v>3.0173611106874887E-2</v>
      </c>
      <c r="N75" s="7">
        <f t="shared" si="84"/>
        <v>43.449999993899837</v>
      </c>
      <c r="O75" s="7"/>
      <c r="P75" s="7"/>
      <c r="Q75" s="22"/>
      <c r="R75" s="22"/>
      <c r="S75" s="31">
        <f t="shared" si="81"/>
        <v>1</v>
      </c>
      <c r="T75" s="46" t="str">
        <f t="shared" si="72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-10T11:37:17-0700',mode:absolute,to:'2017-03-10T14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5" s="187" t="str">
        <f t="shared" si="73"/>
        <v>N</v>
      </c>
      <c r="X75" s="187">
        <f t="shared" si="83"/>
        <v>1</v>
      </c>
      <c r="Y75" s="62">
        <f t="shared" si="74"/>
        <v>23.299600000000002</v>
      </c>
      <c r="Z75" s="62">
        <f t="shared" si="82"/>
        <v>1.6E-2</v>
      </c>
      <c r="AA75" s="62">
        <f t="shared" si="76"/>
        <v>23.283600000000003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77"/>
        <v>0166-10</v>
      </c>
      <c r="AE75" s="85" t="str">
        <f t="shared" si="12"/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AF75" s="82" t="str">
        <f t="shared" si="13"/>
        <v>"C:\Program Files (x86)\AstroGrep\AstroGrep.exe" /e /r /s /spath="%USERPROFILE%\AppData\Local\Temp\OnboardLogs" /stypes="app*4039*20170310*" /stext=" 20:.+((SYSTEM_STATE.+slice.+state.+changed )|(ment ac)|(multiple cpu faults)|(system.+state.+changed )|(\[timeout)|(PRM\|1\|D)|(kpr)|(kdp)|(\|lc)|(penalty))"</v>
      </c>
      <c r="AG75" s="1" t="str">
        <f t="shared" si="78"/>
        <v>EC</v>
      </c>
      <c r="AH75" s="86" t="str">
        <f t="shared" si="18"/>
        <v>"%USERPROFILE%\Documents\GitHub\eaglep3\Utilities\RefineRTDCRunTimes.py" --tripid 166-10 --locoid 4039 --swversion DE.1.0.9.0 --startMP 204:232996 --initTime 2017-03-10T12:37:17 --startdatetime 2017-03-10T12:39:35 --delay 2 --endMP 204:160 --enddatetime 2017-03-10T13:23:02 --enforcementcount 0 &gt;&gt;C:\Users\stu\Documents\GitHub\eaglep3-reporting\EC\2017-03-10-refined-times.txt</v>
      </c>
      <c r="AI75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{"issue":{"subject":"","project_id":79,"tracker_id":40,"status_id":1,"priority_id":2,"assigned_to_id":23,"start_date":"2017-03-10","description":"","custom_fields":[{"id":1,"name":"Subdivision","value":"EC"},{"id":4,"name":"Milepost","value":"0.016"},{"id":17,"name":"Train ID","value":"166-10"},{"id":16,"name":"Locomotive ID","value":"4039"},{"id":130,"name":"Impact","value":""},{"id":150,"name":"Time of Event (Mountain Time)","value":"13:23:02"},{"id":151,"name":"Denver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4039 --day 2017-03-10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"%USERPROFILE%\AppData\Local\Temp\OnboardLogs"\RTDC4039\*4039*20170310* | grep -SE "(Enforcement Action)|(\[TIMEOUT)|(CHR.+\|PRM\|1\|D.+(SWITCH|SIGNAL).+UNKNOWN)" - &gt;&gt; 2017-03-10-UncaughtWiMAX.txt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694</v>
      </c>
      <c r="B76" s="7">
        <v>4009</v>
      </c>
      <c r="C76" s="21" t="s">
        <v>239</v>
      </c>
      <c r="D76" s="21" t="s">
        <v>240</v>
      </c>
      <c r="E76" s="13">
        <v>42804.501134259262</v>
      </c>
      <c r="F76" s="13">
        <v>42804.502326388887</v>
      </c>
      <c r="G76" s="7">
        <v>1</v>
      </c>
      <c r="H76" s="21" t="s">
        <v>852</v>
      </c>
      <c r="I76" s="13">
        <v>42804.534710648149</v>
      </c>
      <c r="J76" s="7">
        <v>0</v>
      </c>
      <c r="K76" s="98" t="str">
        <f t="shared" si="68"/>
        <v>4009/4010</v>
      </c>
      <c r="L76" s="21" t="str">
        <f>VLOOKUP(A76,'Trips&amp;Operators'!$C$1:$G$99999,5,FALSE)</f>
        <v>ARVIDSON DANIEL</v>
      </c>
      <c r="M76" s="6">
        <f t="shared" si="69"/>
        <v>3.238425926247146E-2</v>
      </c>
      <c r="N76" s="7">
        <f t="shared" si="84"/>
        <v>46.633333337958902</v>
      </c>
      <c r="O76" s="7"/>
      <c r="P76" s="7"/>
      <c r="Q76" s="22"/>
      <c r="R76" s="22"/>
      <c r="S76" s="31">
        <f t="shared" si="81"/>
        <v>1</v>
      </c>
      <c r="T76" s="46" t="str">
        <f t="shared" si="72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-10T11:01:38-0700',mode:absolute,to:'2017-03-10T13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6" s="187" t="str">
        <f t="shared" si="73"/>
        <v>N</v>
      </c>
      <c r="X76" s="187">
        <f t="shared" si="83"/>
        <v>1</v>
      </c>
      <c r="Y76" s="62">
        <f t="shared" si="74"/>
        <v>4.58E-2</v>
      </c>
      <c r="Z76" s="62">
        <f t="shared" si="82"/>
        <v>23.3261</v>
      </c>
      <c r="AA76" s="62">
        <f t="shared" si="76"/>
        <v>23.2803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77"/>
        <v>0167-10</v>
      </c>
      <c r="AE76" s="85" t="str">
        <f t="shared" si="12"/>
        <v>aws s3 cp s3://rtdc.mdm.uploadarchive.raw/RTDC4009/ "%USERPROFILE%\AppData\Local\Temp\OnboardLogs"\RTDC4009\2017-03-10 --exclude "*" --recursive --include "*20170310*" &amp; "%USERPROFILE%\Documents\GitHub\mrs-test-scripts\Headless Mode &amp; Sideloading\WalkAndUnGZ.bat" "%USERPROFILE%\AppData\Local\Temp\OnboardLogs"\RTDC4009\2017-03-10 &amp; 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</v>
      </c>
      <c r="AF76" s="82" t="str">
        <f t="shared" si="13"/>
        <v>"C:\Program Files (x86)\AstroGrep\AstroGrep.exe" /e /r /s /spath="%USERPROFILE%\AppData\Local\Temp\OnboardLogs" /stypes="app*4009*20170310*" /stext=" 19:.+((SYSTEM_STATE.+slice.+state.+changed )|(ment ac)|(multiple cpu faults)|(system.+state.+changed )|(\[timeout)|(PRM\|1\|D)|(kpr)|(kdp)|(\|lc)|(penalty))"</v>
      </c>
      <c r="AG76" s="1" t="str">
        <f t="shared" si="78"/>
        <v>EC</v>
      </c>
      <c r="AH76" s="86" t="str">
        <f t="shared" si="18"/>
        <v>"%USERPROFILE%\Documents\GitHub\eaglep3\Utilities\RefineRTDCRunTimes.py" --tripid 167-10 --locoid 4009 --swversion DE.1.0.9.0 --startMP 204:458 --initTime 2017-03-10T12:01:38 --startdatetime 2017-03-10T12:03:21 --delay 1 --endMP 204:233261 --enddatetime 2017-03-10T12:49:59 --enforcementcount 0 &gt;&gt;C:\Users\stu\Documents\GitHub\eaglep3-reporting\EC\2017-03-10-refined-times.txt</v>
      </c>
      <c r="AI76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{"issue":{"subject":"","project_id":79,"tracker_id":40,"status_id":1,"priority_id":2,"assigned_to_id":23,"start_date":"2017-03-10","description":"","custom_fields":[{"id":1,"name":"Subdivision","value":"EC"},{"id":4,"name":"Milepost","value":"23.3261"},{"id":17,"name":"Train ID","value":"167-10"},{"id":16,"name":"Locomotive ID","value":"4009"},{"id":130,"name":"Impact","value":""},{"id":150,"name":"Time of Event (Mountain Time)","value":"12:49:59"},{"id":151,"name":"Denver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4009 --day 2017-03-10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"%USERPROFILE%\AppData\Local\Temp\OnboardLogs"\RTDC4009\*4009*20170310* | grep -SE "(Enforcement Action)|(\[TIMEOUT)|(CHR.+\|PRM\|1\|D.+(SWITCH|SIGNAL).+UNKNOWN)" - &gt;&gt; 2017-03-10-UncaughtWiMAX.txt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703</v>
      </c>
      <c r="B77" s="7">
        <v>4010</v>
      </c>
      <c r="C77" s="21" t="s">
        <v>239</v>
      </c>
      <c r="D77" s="21" t="s">
        <v>525</v>
      </c>
      <c r="E77" s="13">
        <v>42804.535856481481</v>
      </c>
      <c r="F77" s="13">
        <v>42804.536817129629</v>
      </c>
      <c r="G77" s="7">
        <v>1</v>
      </c>
      <c r="H77" s="21" t="s">
        <v>853</v>
      </c>
      <c r="I77" s="13">
        <v>42804.570381944446</v>
      </c>
      <c r="J77" s="7">
        <v>0</v>
      </c>
      <c r="K77" s="98" t="str">
        <f t="shared" si="68"/>
        <v>4009/4010</v>
      </c>
      <c r="L77" s="21" t="str">
        <f>VLOOKUP(A77,'Trips&amp;Operators'!$C$1:$G$99999,5,FALSE)</f>
        <v>ARVIDSON DANIEL</v>
      </c>
      <c r="M77" s="6">
        <f t="shared" si="69"/>
        <v>3.3564814817509614E-2</v>
      </c>
      <c r="N77" s="7">
        <f t="shared" si="84"/>
        <v>48.333333337213844</v>
      </c>
      <c r="O77" s="7"/>
      <c r="P77" s="7"/>
      <c r="Q77" s="22"/>
      <c r="R77" s="22"/>
      <c r="S77" s="31">
        <f t="shared" si="81"/>
        <v>1</v>
      </c>
      <c r="T77" s="46" t="str">
        <f t="shared" si="72"/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si="5"/>
        <v>https://d0f6bd738d7f1b3e5a7ca70fe4ff75f0.us-east-1.aws.found.io/app/kibana#/discover/Steve-Slow-Train-Analysis-(2080s-and-2083s)?_g=(refreshInterval:(display:Off,pause:!f,section:0,value:0),time:(from:'2017-03-10T11:51:38-0700',mode:absolute,to:'2017-03-10T14:41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187" t="str">
        <f t="shared" si="73"/>
        <v>N</v>
      </c>
      <c r="X77" s="187">
        <f t="shared" si="83"/>
        <v>1</v>
      </c>
      <c r="Y77" s="62">
        <f t="shared" si="74"/>
        <v>23.2959</v>
      </c>
      <c r="Z77" s="62">
        <f t="shared" si="82"/>
        <v>1.3599999999999999E-2</v>
      </c>
      <c r="AA77" s="62">
        <f t="shared" si="76"/>
        <v>23.282299999999999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77"/>
        <v>0168-10</v>
      </c>
      <c r="AE77" s="85" t="str">
        <f t="shared" si="12"/>
        <v>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 &amp; 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</v>
      </c>
      <c r="AF77" s="82" t="str">
        <f t="shared" si="13"/>
        <v>"C:\Program Files (x86)\AstroGrep\AstroGrep.exe" /e /r /s /spath="%USERPROFILE%\AppData\Local\Temp\OnboardLogs" /stypes="app*4010*20170310*" /stext=" 20:.+((SYSTEM_STATE.+slice.+state.+changed )|(ment ac)|(multiple cpu faults)|(system.+state.+changed )|(\[timeout)|(PRM\|1\|D)|(kpr)|(kdp)|(\|lc)|(penalty))"</v>
      </c>
      <c r="AG77" s="1" t="str">
        <f t="shared" si="78"/>
        <v>EC</v>
      </c>
      <c r="AH77" s="86" t="str">
        <f t="shared" si="18"/>
        <v>"%USERPROFILE%\Documents\GitHub\eaglep3\Utilities\RefineRTDCRunTimes.py" --tripid 168-10 --locoid 4010 --swversion DE.1.0.9.0 --startMP 204:232959 --initTime 2017-03-10T12:51:38 --startdatetime 2017-03-10T12:53:01 --delay 1 --endMP 204:136 --enddatetime 2017-03-10T13:41:21 --enforcementcount 0 &gt;&gt;C:\Users\stu\Documents\GitHub\eaglep3-reporting\EC\2017-03-10-refined-times.txt</v>
      </c>
      <c r="AI77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{"issue":{"subject":"","project_id":79,"tracker_id":40,"status_id":1,"priority_id":2,"assigned_to_id":23,"start_date":"2017-03-10","description":"","custom_fields":[{"id":1,"name":"Subdivision","value":"EC"},{"id":4,"name":"Milepost","value":"0.0136"},{"id":17,"name":"Train ID","value":"168-10"},{"id":16,"name":"Locomotive ID","value":"4010"},{"id":130,"name":"Impact","value":""},{"id":150,"name":"Time of Event (Mountain Time)","value":"13:41:21"},{"id":151,"name":"Denver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4010 --day 2017-03-10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"%USERPROFILE%\AppData\Local\Temp\OnboardLogs"\RTDC4010\*4010*20170310* | grep -SE "(Enforcement Action)|(\[TIMEOUT)|(CHR.+\|PRM\|1\|D.+(SWITCH|SIGNAL).+UNKNOWN)" - &gt;&gt; 2017-03-10-UncaughtWiMAX.txt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697</v>
      </c>
      <c r="B78" s="7">
        <v>4011</v>
      </c>
      <c r="C78" s="21" t="s">
        <v>239</v>
      </c>
      <c r="D78" s="21" t="s">
        <v>225</v>
      </c>
      <c r="E78" s="13">
        <v>42804.506516203706</v>
      </c>
      <c r="F78" s="13">
        <v>42804.507685185185</v>
      </c>
      <c r="G78" s="7">
        <v>1</v>
      </c>
      <c r="H78" s="21" t="s">
        <v>854</v>
      </c>
      <c r="I78" s="13">
        <v>42804.537662037037</v>
      </c>
      <c r="J78" s="7">
        <v>0</v>
      </c>
      <c r="K78" s="98" t="str">
        <f t="shared" si="68"/>
        <v>4011/4012</v>
      </c>
      <c r="L78" s="21" t="str">
        <f>VLOOKUP(A78,'Trips&amp;Operators'!$C$1:$G$99999,5,FALSE)</f>
        <v>DELGADO DIANAH</v>
      </c>
      <c r="M78" s="6">
        <f t="shared" si="69"/>
        <v>2.99768518525525E-2</v>
      </c>
      <c r="N78" s="7">
        <f t="shared" si="84"/>
        <v>43.166666667675599</v>
      </c>
      <c r="O78" s="7"/>
      <c r="P78" s="7"/>
      <c r="Q78" s="22"/>
      <c r="R78" s="22"/>
      <c r="S78" s="31">
        <f t="shared" si="81"/>
        <v>1</v>
      </c>
      <c r="T78" s="46" t="str">
        <f t="shared" si="72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5"/>
        <v>https://d0f6bd738d7f1b3e5a7ca70fe4ff75f0.us-east-1.aws.found.io/app/kibana#/discover/Steve-Slow-Train-Analysis-(2080s-and-2083s)?_g=(refreshInterval:(display:Off,pause:!f,section:0,value:0),time:(from:'2017-03-10T11:09:23-0700',mode:absolute,to:'2017-03-10T13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8" s="187" t="str">
        <f t="shared" si="73"/>
        <v>N</v>
      </c>
      <c r="X78" s="187">
        <f t="shared" si="83"/>
        <v>1</v>
      </c>
      <c r="Y78" s="62">
        <f t="shared" si="74"/>
        <v>4.5499999999999999E-2</v>
      </c>
      <c r="Z78" s="62">
        <f t="shared" si="82"/>
        <v>23.332699999999999</v>
      </c>
      <c r="AA78" s="62">
        <f t="shared" si="76"/>
        <v>23.287199999999999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77"/>
        <v>0169-10</v>
      </c>
      <c r="AE78" s="85" t="str">
        <f t="shared" si="12"/>
        <v>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 &amp; aws s3 cp s3://rtdc.mdm.uploadarchive.raw/RTDC4011/ "%USERPROFILE%\AppData\Local\Temp\OnboardLogs"\RTDC4011\2017-03-11 --exclude "*" --recursive --include "*20170311*" &amp; "%USERPROFILE%\Documents\GitHub\mrs-test-scripts\Headless Mode &amp; Sideloading\WalkAndUnGZ.bat" "%USERPROFILE%\AppData\Local\Temp\OnboardLogs"\RTDC4011\2017-03-11</v>
      </c>
      <c r="AF78" s="82" t="str">
        <f t="shared" si="13"/>
        <v>"C:\Program Files (x86)\AstroGrep\AstroGrep.exe" /e /r /s /spath="%USERPROFILE%\AppData\Local\Temp\OnboardLogs" /stypes="app*4011*20170310*" /stext=" 19:.+((SYSTEM_STATE.+slice.+state.+changed )|(ment ac)|(multiple cpu faults)|(system.+state.+changed )|(\[timeout)|(PRM\|1\|D)|(kpr)|(kdp)|(\|lc)|(penalty))"</v>
      </c>
      <c r="AG78" s="1" t="str">
        <f t="shared" si="78"/>
        <v>EC</v>
      </c>
      <c r="AH78" s="86" t="str">
        <f t="shared" si="18"/>
        <v>"%USERPROFILE%\Documents\GitHub\eaglep3\Utilities\RefineRTDCRunTimes.py" --tripid 169-10 --locoid 4011 --swversion DE.1.0.9.0 --startMP 204:455 --initTime 2017-03-10T12:09:23 --startdatetime 2017-03-10T12:11:04 --delay 1 --endMP 204:233327 --enddatetime 2017-03-10T12:54:14 --enforcementcount 0 &gt;&gt;C:\Users\stu\Documents\GitHub\eaglep3-reporting\EC\2017-03-10-refined-times.txt</v>
      </c>
      <c r="AI78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{"issue":{"subject":"","project_id":79,"tracker_id":40,"status_id":1,"priority_id":2,"assigned_to_id":23,"start_date":"2017-03-10","description":"","custom_fields":[{"id":1,"name":"Subdivision","value":"EC"},{"id":4,"name":"Milepost","value":"23.3327"},{"id":17,"name":"Train ID","value":"169-10"},{"id":16,"name":"Locomotive ID","value":"4011"},{"id":130,"name":"Impact","value":""},{"id":150,"name":"Time of Event (Mountain Time)","value":"12:54:14"},{"id":151,"name":"Denver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20"/>
        <v>start /low /b %USERPROFILE%\Documents\GitHub\eaglep3\Utilities\DownloadLogsFromS3.py --loco 4011 --day 2017-03-10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2017-03-10-UncaughtWiMAX.txt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705</v>
      </c>
      <c r="B79" s="7">
        <v>4012</v>
      </c>
      <c r="C79" s="21" t="s">
        <v>239</v>
      </c>
      <c r="D79" s="21" t="s">
        <v>855</v>
      </c>
      <c r="E79" s="13">
        <v>42804.544085648151</v>
      </c>
      <c r="F79" s="13">
        <v>42804.545694444445</v>
      </c>
      <c r="G79" s="7">
        <v>2</v>
      </c>
      <c r="H79" s="21" t="s">
        <v>817</v>
      </c>
      <c r="I79" s="13">
        <v>42804.579965277779</v>
      </c>
      <c r="J79" s="7">
        <v>0</v>
      </c>
      <c r="K79" s="98" t="str">
        <f t="shared" si="68"/>
        <v>4011/4012</v>
      </c>
      <c r="L79" s="21" t="str">
        <f>VLOOKUP(A79,'Trips&amp;Operators'!$C$1:$G$99999,5,FALSE)</f>
        <v>DELGADO DIANAH</v>
      </c>
      <c r="M79" s="6">
        <f t="shared" si="69"/>
        <v>3.4270833333721384E-2</v>
      </c>
      <c r="N79" s="7">
        <f t="shared" si="84"/>
        <v>49.350000000558794</v>
      </c>
      <c r="O79" s="7"/>
      <c r="P79" s="7"/>
      <c r="Q79" s="22"/>
      <c r="R79" s="22"/>
      <c r="S79" s="31">
        <f t="shared" si="81"/>
        <v>1</v>
      </c>
      <c r="T79" s="46" t="str">
        <f t="shared" si="72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ref="V79:V142" si="85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-03-10T12:03:29-0700',mode:absolute,to:'2017-03-10T14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9" s="187" t="str">
        <f t="shared" si="73"/>
        <v>N</v>
      </c>
      <c r="X79" s="187">
        <f t="shared" si="83"/>
        <v>1</v>
      </c>
      <c r="Y79" s="62">
        <f t="shared" si="74"/>
        <v>23.3032</v>
      </c>
      <c r="Z79" s="62">
        <f t="shared" si="82"/>
        <v>1.32E-2</v>
      </c>
      <c r="AA79" s="62">
        <f t="shared" si="76"/>
        <v>23.29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77"/>
        <v>0170-10</v>
      </c>
      <c r="AE79" s="85" t="str">
        <f t="shared" ref="AE79:AE142" si="86"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 &amp; aws s3 cp s3://rtdc.mdm.uploadarchive.raw/RTDC4012/ "%USERPROFILE%\AppData\Local\Temp\OnboardLogs"\RTDC4012\2017-03-11 --exclude "*" --recursive --include "*20170311*" &amp; "%USERPROFILE%\Documents\GitHub\mrs-test-scripts\Headless Mode &amp; Sideloading\WalkAndUnGZ.bat" "%USERPROFILE%\AppData\Local\Temp\OnboardLogs"\RTDC4012\2017-03-11</v>
      </c>
      <c r="AF79" s="82" t="str">
        <f t="shared" ref="AF79:AF142" si="87"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/stypes="app*4012*20170310*" /stext=" 20:.+((SYSTEM_STATE.+slice.+state.+changed )|(ment ac)|(multiple cpu faults)|(system.+state.+changed )|(\[timeout)|(PRM\|1\|D)|(kpr)|(kdp)|(\|lc)|(penalty))"</v>
      </c>
      <c r="AG79" s="1" t="str">
        <f t="shared" si="78"/>
        <v>EC</v>
      </c>
      <c r="AH79" s="86" t="str">
        <f t="shared" si="18"/>
        <v>"%USERPROFILE%\Documents\GitHub\eaglep3\Utilities\RefineRTDCRunTimes.py" --tripid 170-10 --locoid 4012 --swversion DE.1.0.9.0 --startMP 204:233032 --initTime 2017-03-10T13:03:29 --startdatetime 2017-03-10T13:05:48 --delay 2 --endMP 204:132 --enddatetime 2017-03-10T13:55:09 --enforcementcount 0 &gt;&gt;C:\Users\stu\Documents\GitHub\eaglep3-reporting\EC\2017-03-10-refined-times.txt</v>
      </c>
      <c r="AI79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{"issue":{"subject":"","project_id":79,"tracker_id":40,"status_id":1,"priority_id":2,"assigned_to_id":23,"start_date":"2017-03-10","description":"","custom_fields":[{"id":1,"name":"Subdivision","value":"EC"},{"id":4,"name":"Milepost","value":"0.0132"},{"id":17,"name":"Train ID","value":"170-10"},{"id":16,"name":"Locomotive ID","value":"4012"},{"id":130,"name":"Impact","value":""},{"id":150,"name":"Time of Event (Mountain Time)","value":"13:55:09"},{"id":151,"name":"Denver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20"/>
        <v>start /low /b %USERPROFILE%\Documents\GitHub\eaglep3\Utilities\DownloadLogsFromS3.py --loco 4012 --day 2017-03-10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2017-03-10-UncaughtWiMAX.txt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700</v>
      </c>
      <c r="B80" s="7">
        <v>4027</v>
      </c>
      <c r="C80" s="21" t="s">
        <v>239</v>
      </c>
      <c r="D80" s="21" t="s">
        <v>217</v>
      </c>
      <c r="E80" s="13">
        <v>42804.517569444448</v>
      </c>
      <c r="F80" s="13">
        <v>42804.518726851849</v>
      </c>
      <c r="G80" s="7">
        <v>1</v>
      </c>
      <c r="H80" s="21" t="s">
        <v>833</v>
      </c>
      <c r="I80" s="13">
        <v>42804.547418981485</v>
      </c>
      <c r="J80" s="7">
        <v>0</v>
      </c>
      <c r="K80" s="98" t="str">
        <f t="shared" si="68"/>
        <v>4027/4028</v>
      </c>
      <c r="L80" s="21" t="str">
        <f>VLOOKUP(A80,'Trips&amp;Operators'!$C$1:$G$99999,5,FALSE)</f>
        <v>LOPES KIMBERLY</v>
      </c>
      <c r="M80" s="6">
        <f t="shared" si="69"/>
        <v>2.8692129635601304E-2</v>
      </c>
      <c r="N80" s="7">
        <f t="shared" si="84"/>
        <v>41.316666675265878</v>
      </c>
      <c r="O80" s="7"/>
      <c r="P80" s="7"/>
      <c r="Q80" s="22"/>
      <c r="R80" s="22"/>
      <c r="S80" s="31">
        <f t="shared" si="81"/>
        <v>1</v>
      </c>
      <c r="T80" s="46" t="str">
        <f t="shared" si="72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85"/>
        <v>https://d0f6bd738d7f1b3e5a7ca70fe4ff75f0.us-east-1.aws.found.io/app/kibana#/discover/Steve-Slow-Train-Analysis-(2080s-and-2083s)?_g=(refreshInterval:(display:Off,pause:!f,section:0,value:0),time:(from:'2017-03-10T11:25:18-0700',mode:absolute,to:'2017-03-10T14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0" s="187" t="str">
        <f t="shared" si="73"/>
        <v>N</v>
      </c>
      <c r="X80" s="187">
        <f t="shared" si="83"/>
        <v>1</v>
      </c>
      <c r="Y80" s="62">
        <f t="shared" si="74"/>
        <v>4.5699999999999998E-2</v>
      </c>
      <c r="Z80" s="62">
        <f t="shared" si="82"/>
        <v>23.330100000000002</v>
      </c>
      <c r="AA80" s="62">
        <f t="shared" si="76"/>
        <v>23.284400000000002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77"/>
        <v>0171-10</v>
      </c>
      <c r="AE80" s="85" t="str">
        <f t="shared" si="86"/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AF80" s="82" t="str">
        <f t="shared" si="87"/>
        <v>"C:\Program Files (x86)\AstroGrep\AstroGrep.exe" /e /r /s /spath="%USERPROFILE%\AppData\Local\Temp\OnboardLogs" /stypes="app*4027*20170310*" /stext=" 20:.+((SYSTEM_STATE.+slice.+state.+changed )|(ment ac)|(multiple cpu faults)|(system.+state.+changed )|(\[timeout)|(PRM\|1\|D)|(kpr)|(kdp)|(\|lc)|(penalty))"</v>
      </c>
      <c r="AG80" s="1" t="str">
        <f t="shared" si="78"/>
        <v>EC</v>
      </c>
      <c r="AH80" s="86" t="str">
        <f t="shared" si="18"/>
        <v>"%USERPROFILE%\Documents\GitHub\eaglep3\Utilities\RefineRTDCRunTimes.py" --tripid 171-10 --locoid 4027 --swversion DE.1.0.9.0 --startMP 204:457 --initTime 2017-03-10T12:25:18 --startdatetime 2017-03-10T12:26:58 --delay 1 --endMP 204:233301 --enddatetime 2017-03-10T13:08:17 --enforcementcount 0 &gt;&gt;C:\Users\stu\Documents\GitHub\eaglep3-reporting\EC\2017-03-10-refined-times.txt</v>
      </c>
      <c r="AI80" s="108" t="str">
        <f t="shared" si="19"/>
        <v>echo {"issue":{"subject":"","project_id":79,"tracker_id":40,"status_id":1,"priority_id":2,"assigned_to_id":23,"start_date":"2017-03-10","description":"","custom_fields":[{"id":1,"name":"Subdivision","value":"EC"},{"id":4,"name":"Milepost","value":"23.3301"},{"id":17,"name":"Train ID","value":"171-10"},{"id":16,"name":"Locomotive ID","value":"4027"},{"id":130,"name":"Impact","value":""},{"id":150,"name":"Time of Event (Mountain Time)","value":"13:08:17"},{"id":151,"name":"Denver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20"/>
        <v>start /low /b %USERPROFILE%\Documents\GitHub\eaglep3\Utilities\DownloadLogsFromS3.py --loco 4027 --day 2017-03-10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"%USERPROFILE%\AppData\Local\Temp\OnboardLogs"\RTDC4027\*4027*20170310* | grep -SE "(Enforcement Action)|(\[TIMEOUT)|(CHR.+\|PRM\|1\|D.+(SWITCH|SIGNAL).+UNKNOWN)" - &gt;&gt; 2017-03-10-UncaughtWiMAX.txt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708</v>
      </c>
      <c r="B81" s="7">
        <v>4028</v>
      </c>
      <c r="C81" s="21" t="s">
        <v>239</v>
      </c>
      <c r="D81" s="21" t="s">
        <v>856</v>
      </c>
      <c r="E81" s="13">
        <v>42804.553391203706</v>
      </c>
      <c r="F81" s="13">
        <v>42804.554305555554</v>
      </c>
      <c r="G81" s="7">
        <v>1</v>
      </c>
      <c r="H81" s="21" t="s">
        <v>232</v>
      </c>
      <c r="I81" s="13">
        <v>42804.590775462966</v>
      </c>
      <c r="J81" s="7">
        <v>0</v>
      </c>
      <c r="K81" s="98" t="str">
        <f t="shared" si="68"/>
        <v>4027/4028</v>
      </c>
      <c r="L81" s="21" t="str">
        <f>VLOOKUP(A81,'Trips&amp;Operators'!$C$1:$G$99999,5,FALSE)</f>
        <v>LOPES KIMBERLY</v>
      </c>
      <c r="M81" s="6">
        <f t="shared" si="69"/>
        <v>3.6469907412538305E-2</v>
      </c>
      <c r="N81" s="7">
        <f t="shared" si="84"/>
        <v>52.516666674055159</v>
      </c>
      <c r="O81" s="7"/>
      <c r="P81" s="7"/>
      <c r="Q81" s="22"/>
      <c r="R81" s="22"/>
      <c r="S81" s="31">
        <f t="shared" si="81"/>
        <v>1</v>
      </c>
      <c r="T81" s="46" t="str">
        <f t="shared" si="72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85"/>
        <v>https://d0f6bd738d7f1b3e5a7ca70fe4ff75f0.us-east-1.aws.found.io/app/kibana#/discover/Steve-Slow-Train-Analysis-(2080s-and-2083s)?_g=(refreshInterval:(display:Off,pause:!f,section:0,value:0),time:(from:'2017-03-10T12:16:53-0700',mode:absolute,to:'2017-03-10T15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87" t="str">
        <f t="shared" si="73"/>
        <v>N</v>
      </c>
      <c r="X81" s="187">
        <f t="shared" si="83"/>
        <v>1</v>
      </c>
      <c r="Y81" s="62">
        <f t="shared" si="74"/>
        <v>23.2973</v>
      </c>
      <c r="Z81" s="62">
        <f t="shared" si="82"/>
        <v>1.47E-2</v>
      </c>
      <c r="AA81" s="62">
        <f t="shared" si="76"/>
        <v>23.282599999999999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77"/>
        <v>0172-10</v>
      </c>
      <c r="AE81" s="85" t="str">
        <f t="shared" si="86"/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AF81" s="82" t="str">
        <f t="shared" si="87"/>
        <v>"C:\Program Files (x86)\AstroGrep\AstroGrep.exe" /e /r /s /spath="%USERPROFILE%\AppData\Local\Temp\OnboardLogs" /stypes="app*4028*20170310*" /stext=" 21:.+((SYSTEM_STATE.+slice.+state.+changed )|(ment ac)|(multiple cpu faults)|(system.+state.+changed )|(\[timeout)|(PRM\|1\|D)|(kpr)|(kdp)|(\|lc)|(penalty))"</v>
      </c>
      <c r="AG81" s="1" t="str">
        <f t="shared" si="78"/>
        <v>EC</v>
      </c>
      <c r="AH81" s="86" t="str">
        <f t="shared" ref="AH81:AH144" si="88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172-10 --locoid 4028 --swversion DE.1.0.9.0 --startMP 204:232973 --initTime 2017-03-10T13:16:53 --startdatetime 2017-03-10T13:18:12 --delay 1 --endMP 204:147 --enddatetime 2017-03-10T14:10:43 --enforcementcount 0 &gt;&gt;C:\Users\stu\Documents\GitHub\eaglep3-reporting\EC\2017-03-10-refined-times.txt</v>
      </c>
      <c r="AI81" s="108" t="str">
        <f t="shared" ref="AI81:AI144" si="89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{"issue":{"subject":"","project_id":79,"tracker_id":40,"status_id":1,"priority_id":2,"assigned_to_id":23,"start_date":"2017-03-10","description":"","custom_fields":[{"id":1,"name":"Subdivision","value":"EC"},{"id":4,"name":"Milepost","value":"0.0147"},{"id":17,"name":"Train ID","value":"172-10"},{"id":16,"name":"Locomotive ID","value":"4028"},{"id":130,"name":"Impact","value":""},{"id":150,"name":"Time of Event (Mountain Time)","value":"14:10:43"},{"id":151,"name":"Denver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ref="AM81:AM144" si="90">"start /low /b "&amp;dls3logs&amp;" --loco "&amp;B81&amp;" --day "&amp;TEXT(F81,"YYYY-MM-DD")</f>
        <v>start /low /b %USERPROFILE%\Documents\GitHub\eaglep3\Utilities\DownloadLogsFromS3.py --loco 4028 --day 2017-03-10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"%USERPROFILE%\AppData\Local\Temp\OnboardLogs"\RTDC4028\*4028*20170310* | grep -SE "(Enforcement Action)|(\[TIMEOUT)|(CHR.+\|PRM\|1\|D.+(SWITCH|SIGNAL).+UNKNOWN)" - &gt;&gt; 2017-03-10-UncaughtWiMAX.txt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585</v>
      </c>
      <c r="B82" s="7">
        <v>4053</v>
      </c>
      <c r="C82" s="21" t="s">
        <v>239</v>
      </c>
      <c r="D82" s="21" t="s">
        <v>225</v>
      </c>
      <c r="E82" s="13">
        <v>42804.520729166667</v>
      </c>
      <c r="F82" s="13">
        <v>42804.522083333337</v>
      </c>
      <c r="G82" s="7">
        <v>1</v>
      </c>
      <c r="H82" s="21" t="s">
        <v>849</v>
      </c>
      <c r="I82" s="13">
        <v>42804.559398148151</v>
      </c>
      <c r="J82" s="7">
        <v>0</v>
      </c>
      <c r="K82" s="98" t="str">
        <f t="shared" si="68"/>
        <v>4053/4054</v>
      </c>
      <c r="L82" s="21" t="str">
        <f>VLOOKUP(A82,'Trips&amp;Operators'!$C$1:$G$99999,5,FALSE)</f>
        <v>STEWART MICHAEL</v>
      </c>
      <c r="M82" s="6">
        <f t="shared" si="69"/>
        <v>3.7314814813726116E-2</v>
      </c>
      <c r="N82" s="7">
        <f t="shared" si="84"/>
        <v>53.733333331765607</v>
      </c>
      <c r="O82" s="7"/>
      <c r="P82" s="7"/>
      <c r="Q82" s="22"/>
      <c r="R82" s="22"/>
      <c r="S82" s="31">
        <f t="shared" si="81"/>
        <v>1</v>
      </c>
      <c r="T82" s="46" t="str">
        <f t="shared" si="72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85"/>
        <v>https://d0f6bd738d7f1b3e5a7ca70fe4ff75f0.us-east-1.aws.found.io/app/kibana#/discover/Steve-Slow-Train-Analysis-(2080s-and-2083s)?_g=(refreshInterval:(display:Off,pause:!f,section:0,value:0),time:(from:'2017-03-10T11:29:51-0700',mode:absolute,to:'2017-03-10T14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2" s="187" t="str">
        <f t="shared" si="73"/>
        <v>N</v>
      </c>
      <c r="X82" s="187">
        <f t="shared" si="83"/>
        <v>1</v>
      </c>
      <c r="Y82" s="62">
        <f t="shared" si="74"/>
        <v>4.5499999999999999E-2</v>
      </c>
      <c r="Z82" s="62">
        <f t="shared" si="82"/>
        <v>23.328299999999999</v>
      </c>
      <c r="AA82" s="62">
        <f t="shared" si="76"/>
        <v>23.282799999999998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77"/>
        <v>0173-10</v>
      </c>
      <c r="AE82" s="85" t="str">
        <f t="shared" si="86"/>
        <v>aws s3 cp s3://rtdc.mdm.uploadarchive.raw/RTDC4053/ "%USERPROFILE%\AppData\Local\Temp\OnboardLogs"\RTDC4053\2017-03-10 --exclude "*" --recursive --include "*20170310*" &amp; "%USERPROFILE%\Documents\GitHub\mrs-test-scripts\Headless Mode &amp; Sideloading\WalkAndUnGZ.bat" "%USERPROFILE%\AppData\Local\Temp\OnboardLogs"\RTDC4053\2017-03-10 &amp; aws s3 cp s3://rtdc.mdm.uploadarchive.raw/RTDC4053/ "%USERPROFILE%\AppData\Local\Temp\OnboardLogs"\RTDC4053\2017-03-11 --exclude "*" --recursive --include "*20170311*" &amp; "%USERPROFILE%\Documents\GitHub\mrs-test-scripts\Headless Mode &amp; Sideloading\WalkAndUnGZ.bat" "%USERPROFILE%\AppData\Local\Temp\OnboardLogs"\RTDC4053\2017-03-11</v>
      </c>
      <c r="AF82" s="82" t="str">
        <f t="shared" si="87"/>
        <v>"C:\Program Files (x86)\AstroGrep\AstroGrep.exe" /e /r /s /spath="%USERPROFILE%\AppData\Local\Temp\OnboardLogs" /stypes="app*4053*20170310*" /stext=" 20:.+((SYSTEM_STATE.+slice.+state.+changed )|(ment ac)|(multiple cpu faults)|(system.+state.+changed )|(\[timeout)|(PRM\|1\|D)|(kpr)|(kdp)|(\|lc)|(penalty))"</v>
      </c>
      <c r="AG82" s="1" t="str">
        <f t="shared" si="78"/>
        <v>EC</v>
      </c>
      <c r="AH82" s="86" t="str">
        <f t="shared" si="88"/>
        <v>"%USERPROFILE%\Documents\GitHub\eaglep3\Utilities\RefineRTDCRunTimes.py" --tripid 173-10 --locoid 4053 --swversion DE.1.0.9.0 --startMP 204:455 --initTime 2017-03-10T12:29:51 --startdatetime 2017-03-10T12:31:48 --delay 1 --endMP 204:233283 --enddatetime 2017-03-10T13:25:32 --enforcementcount 0 &gt;&gt;C:\Users\stu\Documents\GitHub\eaglep3-reporting\EC\2017-03-10-refined-times.txt</v>
      </c>
      <c r="AI82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{"issue":{"subject":"","project_id":79,"tracker_id":40,"status_id":1,"priority_id":2,"assigned_to_id":23,"start_date":"2017-03-10","description":"","custom_fields":[{"id":1,"name":"Subdivision","value":"EC"},{"id":4,"name":"Milepost","value":"23.3283"},{"id":17,"name":"Train ID","value":"173-10"},{"id":16,"name":"Locomotive ID","value":"4053"},{"id":130,"name":"Impact","value":""},{"id":150,"name":"Time of Event (Mountain Time)","value":"13:25:32"},{"id":151,"name":"Denver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90"/>
        <v>start /low /b %USERPROFILE%\Documents\GitHub\eaglep3\Utilities\DownloadLogsFromS3.py --loco 4053 --day 2017-03-10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"%USERPROFILE%\AppData\Local\Temp\OnboardLogs"\RTDC4053\*4053*20170310* | grep -SE "(Enforcement Action)|(\[TIMEOUT)|(CHR.+\|PRM\|1\|D.+(SWITCH|SIGNAL).+UNKNOWN)" - &gt;&gt; 2017-03-10-UncaughtWiMAX.txt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587</v>
      </c>
      <c r="B83" s="7">
        <v>4054</v>
      </c>
      <c r="C83" s="21" t="s">
        <v>239</v>
      </c>
      <c r="D83" s="21" t="s">
        <v>857</v>
      </c>
      <c r="E83" s="13">
        <v>42804.566446759258</v>
      </c>
      <c r="F83" s="13">
        <v>42804.567858796298</v>
      </c>
      <c r="G83" s="7">
        <v>2</v>
      </c>
      <c r="H83" s="21" t="s">
        <v>858</v>
      </c>
      <c r="I83" s="13">
        <v>42804.673900462964</v>
      </c>
      <c r="J83" s="7">
        <v>0</v>
      </c>
      <c r="K83" s="98" t="str">
        <f t="shared" si="68"/>
        <v>4053/4054</v>
      </c>
      <c r="L83" s="21" t="str">
        <f>VLOOKUP(A83,'Trips&amp;Operators'!$C$1:$G$99999,5,FALSE)</f>
        <v>STEWART MICHAEL</v>
      </c>
      <c r="M83" s="6">
        <f t="shared" si="69"/>
        <v>0.10604166666598758</v>
      </c>
      <c r="N83" s="7">
        <f t="shared" si="84"/>
        <v>152.69999999902211</v>
      </c>
      <c r="O83" s="7"/>
      <c r="P83" s="7"/>
      <c r="Q83" s="22"/>
      <c r="R83" s="22"/>
      <c r="S83" s="31">
        <f t="shared" si="81"/>
        <v>1</v>
      </c>
      <c r="T83" s="46" t="str">
        <f t="shared" si="72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85"/>
        <v>https://d0f6bd738d7f1b3e5a7ca70fe4ff75f0.us-east-1.aws.found.io/app/kibana#/discover/Steve-Slow-Train-Analysis-(2080s-and-2083s)?_g=(refreshInterval:(display:Off,pause:!f,section:0,value:0),time:(from:'2017-03-10T12:35:41-0700',mode:absolute,to:'2017-03-10T17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187" t="str">
        <f t="shared" si="73"/>
        <v>N</v>
      </c>
      <c r="X83" s="187">
        <f t="shared" si="83"/>
        <v>1</v>
      </c>
      <c r="Y83" s="62">
        <f t="shared" si="74"/>
        <v>23.296600000000002</v>
      </c>
      <c r="Z83" s="62">
        <f t="shared" si="82"/>
        <v>1.9199999999999998E-2</v>
      </c>
      <c r="AA83" s="62">
        <f t="shared" si="76"/>
        <v>23.2774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77"/>
        <v>0174-10</v>
      </c>
      <c r="AE83" s="85" t="str">
        <f t="shared" si="86"/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AF83" s="82" t="str">
        <f t="shared" si="87"/>
        <v>"C:\Program Files (x86)\AstroGrep\AstroGrep.exe" /e /r /s /spath="%USERPROFILE%\AppData\Local\Temp\OnboardLogs" /stypes="app*4054*20170310*" /stext=" 23:.+((SYSTEM_STATE.+slice.+state.+changed )|(ment ac)|(multiple cpu faults)|(system.+state.+changed )|(\[timeout)|(PRM\|1\|D)|(kpr)|(kdp)|(\|lc)|(penalty))"</v>
      </c>
      <c r="AG83" s="1" t="str">
        <f t="shared" si="78"/>
        <v>EC</v>
      </c>
      <c r="AH83" s="86" t="str">
        <f t="shared" si="88"/>
        <v>"%USERPROFILE%\Documents\GitHub\eaglep3\Utilities\RefineRTDCRunTimes.py" --tripid 174-10 --locoid 4054 --swversion DE.1.0.9.0 --startMP 204:232966 --initTime 2017-03-10T13:35:41 --startdatetime 2017-03-10T13:37:43 --delay 2 --endMP 204:192 --enddatetime 2017-03-10T16:10:25 --enforcementcount 0 &gt;&gt;C:\Users\stu\Documents\GitHub\eaglep3-reporting\EC\2017-03-10-refined-times.txt</v>
      </c>
      <c r="AI83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{"issue":{"subject":"","project_id":79,"tracker_id":40,"status_id":1,"priority_id":2,"assigned_to_id":23,"start_date":"2017-03-10","description":"","custom_fields":[{"id":1,"name":"Subdivision","value":"EC"},{"id":4,"name":"Milepost","value":"0.0192"},{"id":17,"name":"Train ID","value":"174-10"},{"id":16,"name":"Locomotive ID","value":"4054"},{"id":130,"name":"Impact","value":""},{"id":150,"name":"Time of Event (Mountain Time)","value":"16:10:25"},{"id":151,"name":"Denver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90"/>
        <v>start /low /b %USERPROFILE%\Documents\GitHub\eaglep3\Utilities\DownloadLogsFromS3.py --loco 4054 --day 2017-03-10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"%USERPROFILE%\AppData\Local\Temp\OnboardLogs"\RTDC4054\*4054*20170310* | grep -SE "(Enforcement Action)|(\[TIMEOUT)|(CHR.+\|PRM\|1\|D.+(SWITCH|SIGNAL).+UNKNOWN)" - &gt;&gt; 2017-03-10-UncaughtWiMAX.txt</v>
      </c>
    </row>
    <row r="84" spans="1:91" s="20" customFormat="1" x14ac:dyDescent="0.25">
      <c r="A84" s="33" t="s">
        <v>704</v>
      </c>
      <c r="B84" s="7">
        <v>4046</v>
      </c>
      <c r="C84" s="21" t="s">
        <v>239</v>
      </c>
      <c r="D84" s="21" t="s">
        <v>218</v>
      </c>
      <c r="E84" s="13">
        <v>42804.542118055557</v>
      </c>
      <c r="F84" s="13">
        <v>42804.543171296296</v>
      </c>
      <c r="G84" s="7">
        <v>1</v>
      </c>
      <c r="H84" s="21" t="s">
        <v>859</v>
      </c>
      <c r="I84" s="13">
        <v>42804.569178240738</v>
      </c>
      <c r="J84" s="7">
        <v>0</v>
      </c>
      <c r="K84" s="98" t="str">
        <f t="shared" si="68"/>
        <v>4045/4046</v>
      </c>
      <c r="L84" s="21" t="str">
        <f>VLOOKUP(A84,'Trips&amp;Operators'!$C$1:$G$99999,5,FALSE)</f>
        <v>ROMERO CHAD</v>
      </c>
      <c r="M84" s="6">
        <f t="shared" si="69"/>
        <v>2.6006944441178348E-2</v>
      </c>
      <c r="N84" s="7">
        <f t="shared" si="84"/>
        <v>37.449999995296821</v>
      </c>
      <c r="O84" s="7"/>
      <c r="P84" s="7"/>
      <c r="Q84" s="22"/>
      <c r="R84" s="22"/>
      <c r="S84" s="31">
        <f t="shared" si="81"/>
        <v>1</v>
      </c>
      <c r="T84" s="46" t="str">
        <f t="shared" si="72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85"/>
        <v>https://d0f6bd738d7f1b3e5a7ca70fe4ff75f0.us-east-1.aws.found.io/app/kibana#/discover/Steve-Slow-Train-Analysis-(2080s-and-2083s)?_g=(refreshInterval:(display:Off,pause:!f,section:0,value:0),time:(from:'2017-03-10T12:00:39-0700',mode:absolute,to:'2017-03-10T14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4" s="187" t="str">
        <f t="shared" si="73"/>
        <v>N</v>
      </c>
      <c r="X84" s="187">
        <f t="shared" si="83"/>
        <v>1</v>
      </c>
      <c r="Y84" s="62">
        <f t="shared" si="74"/>
        <v>4.5999999999999999E-2</v>
      </c>
      <c r="Z84" s="62">
        <f t="shared" si="82"/>
        <v>23.337399999999999</v>
      </c>
      <c r="AA84" s="62">
        <f t="shared" si="76"/>
        <v>23.291399999999999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77"/>
        <v>0175-10</v>
      </c>
      <c r="AE84" s="85" t="str">
        <f t="shared" si="86"/>
        <v>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 &amp; 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</v>
      </c>
      <c r="AF84" s="82" t="str">
        <f t="shared" si="87"/>
        <v>"C:\Program Files (x86)\AstroGrep\AstroGrep.exe" /e /r /s /spath="%USERPROFILE%\AppData\Local\Temp\OnboardLogs" /stypes="app*4046*20170310*" /stext=" 20:.+((SYSTEM_STATE.+slice.+state.+changed )|(ment ac)|(multiple cpu faults)|(system.+state.+changed )|(\[timeout)|(PRM\|1\|D)|(kpr)|(kdp)|(\|lc)|(penalty))"</v>
      </c>
      <c r="AG84" s="1" t="str">
        <f t="shared" si="78"/>
        <v>EC</v>
      </c>
      <c r="AH84" s="86" t="str">
        <f t="shared" si="88"/>
        <v>"%USERPROFILE%\Documents\GitHub\eaglep3\Utilities\RefineRTDCRunTimes.py" --tripid 175-10 --locoid 4046 --swversion DE.1.0.9.0 --startMP 204:460 --initTime 2017-03-10T13:00:39 --startdatetime 2017-03-10T13:02:10 --delay 1 --endMP 204:233374 --enddatetime 2017-03-10T13:39:37 --enforcementcount 0 &gt;&gt;C:\Users\stu\Documents\GitHub\eaglep3-reporting\EC\2017-03-10-refined-times.txt</v>
      </c>
      <c r="AI84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{"issue":{"subject":"","project_id":79,"tracker_id":40,"status_id":1,"priority_id":2,"assigned_to_id":23,"start_date":"2017-03-10","description":"","custom_fields":[{"id":1,"name":"Subdivision","value":"EC"},{"id":4,"name":"Milepost","value":"23.3374"},{"id":17,"name":"Train ID","value":"175-10"},{"id":16,"name":"Locomotive ID","value":"4046"},{"id":130,"name":"Impact","value":""},{"id":150,"name":"Time of Event (Mountain Time)","value":"13:39:37"},{"id":151,"name":"Denver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90"/>
        <v>start /low /b %USERPROFILE%\Documents\GitHub\eaglep3\Utilities\DownloadLogsFromS3.py --loco 4046 --day 2017-03-10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"%USERPROFILE%\AppData\Local\Temp\OnboardLogs"\RTDC4046\*4046*20170310* | grep -SE "(Enforcement Action)|(\[TIMEOUT)|(CHR.+\|PRM\|1\|D.+(SWITCH|SIGNAL).+UNKNOWN)" - &gt;&gt; 2017-03-10-UncaughtWiMAX.txt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589</v>
      </c>
      <c r="B85" s="7">
        <v>4045</v>
      </c>
      <c r="C85" s="21" t="s">
        <v>239</v>
      </c>
      <c r="D85" s="21" t="s">
        <v>860</v>
      </c>
      <c r="E85" s="13">
        <v>42804.571134259262</v>
      </c>
      <c r="F85" s="13">
        <v>42804.571921296294</v>
      </c>
      <c r="G85" s="7">
        <v>1</v>
      </c>
      <c r="H85" s="21" t="s">
        <v>861</v>
      </c>
      <c r="I85" s="13">
        <v>42804.615960648145</v>
      </c>
      <c r="J85" s="7">
        <v>0</v>
      </c>
      <c r="K85" s="98" t="str">
        <f t="shared" si="68"/>
        <v>4045/4046</v>
      </c>
      <c r="L85" s="21" t="str">
        <f>VLOOKUP(A85,'Trips&amp;Operators'!$C$1:$G$99999,5,FALSE)</f>
        <v>ROMERO CHAD</v>
      </c>
      <c r="M85" s="6">
        <f t="shared" si="69"/>
        <v>4.4039351851097308E-2</v>
      </c>
      <c r="N85" s="7"/>
      <c r="O85" s="7"/>
      <c r="P85" s="7">
        <f>24*60*SUM($M85:$M86)</f>
        <v>76.583333329763263</v>
      </c>
      <c r="Q85" s="22"/>
      <c r="R85" s="22" t="s">
        <v>1016</v>
      </c>
      <c r="S85" s="31">
        <f>SUM(U85:U86)/IF(AG85="EC",12,1)</f>
        <v>0.83333333333333337</v>
      </c>
      <c r="T85" s="46" t="str">
        <f t="shared" si="72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7</v>
      </c>
      <c r="V85" s="186" t="str">
        <f t="shared" si="85"/>
        <v>https://d0f6bd738d7f1b3e5a7ca70fe4ff75f0.us-east-1.aws.found.io/app/kibana#/discover/Steve-Slow-Train-Analysis-(2080s-and-2083s)?_g=(refreshInterval:(display:Off,pause:!f,section:0,value:0),time:(from:'2017-03-10T12:42:26-0700',mode:absolute,to:'2017-03-10T15:46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5" s="187" t="str">
        <f t="shared" si="73"/>
        <v>Y</v>
      </c>
      <c r="X85" s="187">
        <f t="shared" si="83"/>
        <v>1</v>
      </c>
      <c r="Y85" s="62">
        <f t="shared" si="74"/>
        <v>23.307400000000001</v>
      </c>
      <c r="Z85" s="62">
        <f t="shared" si="82"/>
        <v>4.8354999999999997</v>
      </c>
      <c r="AA85" s="62">
        <f t="shared" si="76"/>
        <v>18.471900000000002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77"/>
        <v>0176-10</v>
      </c>
      <c r="AE85" s="85" t="str">
        <f t="shared" si="86"/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AF85" s="82" t="str">
        <f t="shared" si="87"/>
        <v>"C:\Program Files (x86)\AstroGrep\AstroGrep.exe" /e /r /s /spath="%USERPROFILE%\AppData\Local\Temp\OnboardLogs" /stypes="app*4045*20170310*" /stext=" 21:.+((SYSTEM_STATE.+slice.+state.+changed )|(ment ac)|(multiple cpu faults)|(system.+state.+changed )|(\[timeout)|(PRM\|1\|D)|(kpr)|(kdp)|(\|lc)|(penalty))"</v>
      </c>
      <c r="AG85" s="1" t="str">
        <f t="shared" si="78"/>
        <v>EC</v>
      </c>
      <c r="AH85" s="86" t="str">
        <f t="shared" si="88"/>
        <v>"%USERPROFILE%\Documents\GitHub\eaglep3\Utilities\RefineRTDCRunTimes.py" --tripid 176-10 --locoid 4045 --swversion DE.1.0.9.0 --startMP 204:233074 --initTime 2017-03-10T13:42:26 --startdatetime 2017-03-10T13:43:34 --delay 1 --endMP 204:48355 --enddatetime 2017-03-10T14:46:59 --enforcementcount 0 &gt;&gt;C:\Users\stu\Documents\GitHub\eaglep3-reporting\EC\2017-03-10-refined-times.txt</v>
      </c>
      <c r="AI85" s="108" t="str">
        <f t="shared" si="89"/>
        <v>echo {"issue":{"subject":"Early arrival enforcements at Holly","project_id":79,"tracker_id":40,"status_id":1,"priority_id":2,"assigned_to_id":23,"start_date":"2017-03-10","description":"","custom_fields":[{"id":1,"name":"Subdivision","value":"EC"},{"id":4,"name":"Milepost","value":"4.8355"},{"id":17,"name":"Train ID","value":"176-10"},{"id":16,"name":"Locomotive ID","value":"4045"},{"id":130,"name":"Impact","value":""},{"id":150,"name":"Time of Event (Mountain Time)","value":"14:46:59"},{"id":151,"name":"Denver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90"/>
        <v>start /low /b %USERPROFILE%\Documents\GitHub\eaglep3\Utilities\DownloadLogsFromS3.py --loco 4045 --day 2017-03-10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"%USERPROFILE%\AppData\Local\Temp\OnboardLogs"\RTDC4045\*4045*20170310* | grep -SE "(Enforcement Action)|(\[TIMEOUT)|(CHR.+\|PRM\|1\|D.+(SWITCH|SIGNAL).+UNKNOWN)" - &gt;&gt; 2017-03-10-UncaughtWiMAX.txt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589</v>
      </c>
      <c r="B86" s="7">
        <v>4045</v>
      </c>
      <c r="C86" s="21" t="s">
        <v>239</v>
      </c>
      <c r="D86" s="21" t="s">
        <v>862</v>
      </c>
      <c r="E86" s="13">
        <v>42804.617685185185</v>
      </c>
      <c r="F86" s="13">
        <v>42804.618437500001</v>
      </c>
      <c r="G86" s="7">
        <v>1</v>
      </c>
      <c r="H86" s="21" t="s">
        <v>863</v>
      </c>
      <c r="I86" s="13">
        <v>42804.627581018518</v>
      </c>
      <c r="J86" s="7">
        <v>0</v>
      </c>
      <c r="K86" s="98" t="str">
        <f t="shared" si="68"/>
        <v>4045/4046</v>
      </c>
      <c r="L86" s="21" t="str">
        <f>VLOOKUP(A86,'Trips&amp;Operators'!$C$1:$G$99999,5,FALSE)</f>
        <v>ROMERO CHAD</v>
      </c>
      <c r="M86" s="6">
        <f t="shared" si="69"/>
        <v>9.1435185167938471E-3</v>
      </c>
      <c r="N86" s="7"/>
      <c r="O86" s="7"/>
      <c r="P86" s="7"/>
      <c r="Q86" s="22"/>
      <c r="R86" s="22"/>
      <c r="S86" s="31"/>
      <c r="T86" s="46" t="str">
        <f t="shared" si="72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3</v>
      </c>
      <c r="V86" s="186" t="str">
        <f t="shared" si="85"/>
        <v>https://d0f6bd738d7f1b3e5a7ca70fe4ff75f0.us-east-1.aws.found.io/app/kibana#/discover/Steve-Slow-Train-Analysis-(2080s-and-2083s)?_g=(refreshInterval:(display:Off,pause:!f,section:0,value:0),time:(from:'2017-03-10T13:49:28-0700',mode:absolute,to:'2017-03-10T16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187" t="str">
        <f t="shared" si="73"/>
        <v>Y</v>
      </c>
      <c r="X86" s="187">
        <f t="shared" si="83"/>
        <v>0</v>
      </c>
      <c r="Y86" s="62">
        <f t="shared" si="74"/>
        <v>3.6781000000000001</v>
      </c>
      <c r="Z86" s="62">
        <f t="shared" si="82"/>
        <v>0.12820000000000001</v>
      </c>
      <c r="AA86" s="62">
        <f t="shared" si="76"/>
        <v>3.5499000000000001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77"/>
        <v>0176-10</v>
      </c>
      <c r="AE86" s="85" t="str">
        <f t="shared" si="86"/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AF86" s="82" t="str">
        <f t="shared" si="87"/>
        <v>"C:\Program Files (x86)\AstroGrep\AstroGrep.exe" /e /r /s /spath="%USERPROFILE%\AppData\Local\Temp\OnboardLogs" /stypes="app*4045*20170310*" /stext=" 22:.+((SYSTEM_STATE.+slice.+state.+changed )|(ment ac)|(multiple cpu faults)|(system.+state.+changed )|(\[timeout)|(PRM\|1\|D)|(kpr)|(kdp)|(\|lc)|(penalty))"</v>
      </c>
      <c r="AG86" s="1" t="str">
        <f t="shared" si="78"/>
        <v>EC</v>
      </c>
      <c r="AH86" s="86" t="str">
        <f t="shared" si="88"/>
        <v>"%USERPROFILE%\Documents\GitHub\eaglep3\Utilities\RefineRTDCRunTimes.py" --tripid 176-10 --locoid 4045 --swversion DE.1.0.9.0 --startMP 204:36781 --initTime 2017-03-10T14:49:28 --startdatetime 2017-03-10T14:50:33 --delay 1 --endMP 204:1282 --enddatetime 2017-03-10T15:03:43 --enforcementcount 0 &gt;&gt;C:\Users\stu\Documents\GitHub\eaglep3-reporting\EC\2017-03-10-refined-times.txt</v>
      </c>
      <c r="AI86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{"issue":{"subject":"","project_id":79,"tracker_id":40,"status_id":1,"priority_id":2,"assigned_to_id":23,"start_date":"2017-03-10","description":"","custom_fields":[{"id":1,"name":"Subdivision","value":"EC"},{"id":4,"name":"Milepost","value":"0.1282"},{"id":17,"name":"Train ID","value":"176-10"},{"id":16,"name":"Locomotive ID","value":"4045"},{"id":130,"name":"Impact","value":""},{"id":150,"name":"Time of Event (Mountain Time)","value":"15:03:43"},{"id":151,"name":"Denver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90"/>
        <v>start /low /b %USERPROFILE%\Documents\GitHub\eaglep3\Utilities\DownloadLogsFromS3.py --loco 4045 --day 2017-03-10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"%USERPROFILE%\AppData\Local\Temp\OnboardLogs"\RTDC4045\*4045*20170310* | grep -SE "(Enforcement Action)|(\[TIMEOUT)|(CHR.+\|PRM\|1\|D.+(SWITCH|SIGNAL).+UNKNOWN)" - &gt;&gt; 2017-03-10-UncaughtWiMAX.txt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707</v>
      </c>
      <c r="B87" s="7">
        <v>4031</v>
      </c>
      <c r="C87" s="21" t="s">
        <v>239</v>
      </c>
      <c r="D87" s="21" t="s">
        <v>534</v>
      </c>
      <c r="E87" s="13">
        <v>42804.550902777781</v>
      </c>
      <c r="F87" s="13">
        <v>42804.551805555559</v>
      </c>
      <c r="G87" s="7">
        <v>1</v>
      </c>
      <c r="H87" s="21" t="s">
        <v>864</v>
      </c>
      <c r="I87" s="13">
        <v>42804.58021990741</v>
      </c>
      <c r="J87" s="7">
        <v>0</v>
      </c>
      <c r="K87" s="98" t="str">
        <f t="shared" si="68"/>
        <v>4031/4032</v>
      </c>
      <c r="L87" s="21" t="str">
        <f>VLOOKUP(A87,'Trips&amp;Operators'!$C$1:$G$99999,5,FALSE)</f>
        <v>CLARK KATHLEEN</v>
      </c>
      <c r="M87" s="6">
        <f t="shared" si="69"/>
        <v>2.8414351851097308E-2</v>
      </c>
      <c r="N87" s="7">
        <f t="shared" ref="N87:N114" si="91">24*60*SUM($M87:$M87)</f>
        <v>40.916666665580124</v>
      </c>
      <c r="O87" s="7"/>
      <c r="P87" s="7"/>
      <c r="Q87" s="22"/>
      <c r="R87" s="22"/>
      <c r="S87" s="31">
        <f t="shared" ref="S87:S126" si="92">SUM(U87:U87)/IF(AG87="EC",12,1)</f>
        <v>1</v>
      </c>
      <c r="T87" s="46" t="str">
        <f t="shared" si="72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85"/>
        <v>https://d0f6bd738d7f1b3e5a7ca70fe4ff75f0.us-east-1.aws.found.io/app/kibana#/discover/Steve-Slow-Train-Analysis-(2080s-and-2083s)?_g=(refreshInterval:(display:Off,pause:!f,section:0,value:0),time:(from:'2017-03-10T12:13:18-0700',mode:absolute,to:'2017-03-10T14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7" s="187" t="str">
        <f t="shared" si="73"/>
        <v>N</v>
      </c>
      <c r="X87" s="187">
        <f t="shared" si="83"/>
        <v>1</v>
      </c>
      <c r="Y87" s="62">
        <f t="shared" si="74"/>
        <v>4.6199999999999998E-2</v>
      </c>
      <c r="Z87" s="62">
        <f t="shared" si="82"/>
        <v>23.328499999999998</v>
      </c>
      <c r="AA87" s="62">
        <f t="shared" si="76"/>
        <v>23.282299999999999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77"/>
        <v>0177-10</v>
      </c>
      <c r="AE87" s="85" t="str">
        <f t="shared" si="86"/>
        <v>aws s3 cp s3://rtdc.mdm.uploadarchive.raw/RTDC4031/ "%USERPROFILE%\AppData\Local\Temp\OnboardLogs"\RTDC4031\2017-03-10 --exclude "*" --recursive --include "*20170310*" &amp; "%USERPROFILE%\Documents\GitHub\mrs-test-scripts\Headless Mode &amp; Sideloading\WalkAndUnGZ.bat" "%USERPROFILE%\AppData\Local\Temp\OnboardLogs"\RTDC4031\2017-03-10 &amp; aws s3 cp s3://rtdc.mdm.uploadarchive.raw/RTDC4031/ "%USERPROFILE%\AppData\Local\Temp\OnboardLogs"\RTDC4031\2017-03-11 --exclude "*" --recursive --include "*20170311*" &amp; "%USERPROFILE%\Documents\GitHub\mrs-test-scripts\Headless Mode &amp; Sideloading\WalkAndUnGZ.bat" "%USERPROFILE%\AppData\Local\Temp\OnboardLogs"\RTDC4031\2017-03-11</v>
      </c>
      <c r="AF87" s="82" t="str">
        <f t="shared" si="87"/>
        <v>"C:\Program Files (x86)\AstroGrep\AstroGrep.exe" /e /r /s /spath="%USERPROFILE%\AppData\Local\Temp\OnboardLogs" /stypes="app*4031*20170310*" /stext=" 20:.+((SYSTEM_STATE.+slice.+state.+changed )|(ment ac)|(multiple cpu faults)|(system.+state.+changed )|(\[timeout)|(PRM\|1\|D)|(kpr)|(kdp)|(\|lc)|(penalty))"</v>
      </c>
      <c r="AG87" s="1" t="str">
        <f t="shared" si="78"/>
        <v>EC</v>
      </c>
      <c r="AH87" s="86" t="str">
        <f t="shared" si="88"/>
        <v>"%USERPROFILE%\Documents\GitHub\eaglep3\Utilities\RefineRTDCRunTimes.py" --tripid 177-10 --locoid 4031 --swversion DE.1.0.9.0 --startMP 204:462 --initTime 2017-03-10T13:13:18 --startdatetime 2017-03-10T13:14:36 --delay 1 --endMP 204:233285 --enddatetime 2017-03-10T13:55:31 --enforcementcount 0 &gt;&gt;C:\Users\stu\Documents\GitHub\eaglep3-reporting\EC\2017-03-10-refined-times.txt</v>
      </c>
      <c r="AI87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{"issue":{"subject":"","project_id":79,"tracker_id":40,"status_id":1,"priority_id":2,"assigned_to_id":23,"start_date":"2017-03-10","description":"","custom_fields":[{"id":1,"name":"Subdivision","value":"EC"},{"id":4,"name":"Milepost","value":"23.3285"},{"id":17,"name":"Train ID","value":"177-10"},{"id":16,"name":"Locomotive ID","value":"4031"},{"id":130,"name":"Impact","value":""},{"id":150,"name":"Time of Event (Mountain Time)","value":"13:55:31"},{"id":151,"name":"Denver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90"/>
        <v>start /low /b %USERPROFILE%\Documents\GitHub\eaglep3\Utilities\DownloadLogsFromS3.py --loco 4031 --day 2017-03-10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"%USERPROFILE%\AppData\Local\Temp\OnboardLogs"\RTDC4031\*4031*20170310* | grep -SE "(Enforcement Action)|(\[TIMEOUT)|(CHR.+\|PRM\|1\|D.+(SWITCH|SIGNAL).+UNKNOWN)" - &gt;&gt; 2017-03-10-UncaughtWiMAX.txt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3" t="s">
        <v>715</v>
      </c>
      <c r="B88" s="7">
        <v>4032</v>
      </c>
      <c r="C88" s="21" t="s">
        <v>239</v>
      </c>
      <c r="D88" s="21" t="s">
        <v>865</v>
      </c>
      <c r="E88" s="13">
        <v>42804.587719907409</v>
      </c>
      <c r="F88" s="13">
        <v>42804.588530092595</v>
      </c>
      <c r="G88" s="7">
        <v>1</v>
      </c>
      <c r="H88" s="21" t="s">
        <v>866</v>
      </c>
      <c r="I88" s="13">
        <v>42804.630949074075</v>
      </c>
      <c r="J88" s="7">
        <v>0</v>
      </c>
      <c r="K88" s="98" t="str">
        <f t="shared" si="68"/>
        <v>4031/4032</v>
      </c>
      <c r="L88" s="21" t="str">
        <f>VLOOKUP(A88,'Trips&amp;Operators'!$C$1:$G$99999,5,FALSE)</f>
        <v>CLARK KATHLEEN</v>
      </c>
      <c r="M88" s="6">
        <f t="shared" si="69"/>
        <v>4.241898148029577E-2</v>
      </c>
      <c r="N88" s="7">
        <f t="shared" si="91"/>
        <v>61.083333331625909</v>
      </c>
      <c r="O88" s="7"/>
      <c r="P88" s="7"/>
      <c r="Q88" s="22"/>
      <c r="R88" s="22"/>
      <c r="S88" s="31">
        <f t="shared" si="92"/>
        <v>1</v>
      </c>
      <c r="T88" s="46" t="str">
        <f t="shared" si="72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85"/>
        <v>https://d0f6bd738d7f1b3e5a7ca70fe4ff75f0.us-east-1.aws.found.io/app/kibana#/discover/Steve-Slow-Train-Analysis-(2080s-and-2083s)?_g=(refreshInterval:(display:Off,pause:!f,section:0,value:0),time:(from:'2017-03-10T13:06:19-0700',mode:absolute,to:'2017-03-10T16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8" s="187" t="str">
        <f t="shared" si="73"/>
        <v>N</v>
      </c>
      <c r="X88" s="187">
        <f t="shared" si="83"/>
        <v>1</v>
      </c>
      <c r="Y88" s="62">
        <f t="shared" si="74"/>
        <v>23.297899999999998</v>
      </c>
      <c r="Z88" s="62">
        <f t="shared" si="82"/>
        <v>2.1600000000000001E-2</v>
      </c>
      <c r="AA88" s="62">
        <f t="shared" si="76"/>
        <v>23.276299999999999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77"/>
        <v>0178-10</v>
      </c>
      <c r="AE88" s="85" t="str">
        <f t="shared" si="86"/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AF88" s="82" t="str">
        <f t="shared" si="87"/>
        <v>"C:\Program Files (x86)\AstroGrep\AstroGrep.exe" /e /r /s /spath="%USERPROFILE%\AppData\Local\Temp\OnboardLogs" /stypes="app*4032*20170310*" /stext=" 22:.+((SYSTEM_STATE.+slice.+state.+changed )|(ment ac)|(multiple cpu faults)|(system.+state.+changed )|(\[timeout)|(PRM\|1\|D)|(kpr)|(kdp)|(\|lc)|(penalty))"</v>
      </c>
      <c r="AG88" s="1" t="str">
        <f t="shared" si="78"/>
        <v>EC</v>
      </c>
      <c r="AH88" s="86" t="str">
        <f t="shared" si="88"/>
        <v>"%USERPROFILE%\Documents\GitHub\eaglep3\Utilities\RefineRTDCRunTimes.py" --tripid 178-10 --locoid 4032 --swversion DE.1.0.9.0 --startMP 204:232979 --initTime 2017-03-10T14:06:19 --startdatetime 2017-03-10T14:07:29 --delay 1 --endMP 204:216 --enddatetime 2017-03-10T15:08:34 --enforcementcount 0 &gt;&gt;C:\Users\stu\Documents\GitHub\eaglep3-reporting\EC\2017-03-10-refined-times.txt</v>
      </c>
      <c r="AI88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{"issue":{"subject":"","project_id":79,"tracker_id":40,"status_id":1,"priority_id":2,"assigned_to_id":23,"start_date":"2017-03-10","description":"","custom_fields":[{"id":1,"name":"Subdivision","value":"EC"},{"id":4,"name":"Milepost","value":"0.0216"},{"id":17,"name":"Train ID","value":"178-10"},{"id":16,"name":"Locomotive ID","value":"4032"},{"id":130,"name":"Impact","value":""},{"id":150,"name":"Time of Event (Mountain Time)","value":"15:08:34"},{"id":151,"name":"Denver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90"/>
        <v>start /low /b %USERPROFILE%\Documents\GitHub\eaglep3\Utilities\DownloadLogsFromS3.py --loco 4032 --day 2017-03-10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"%USERPROFILE%\AppData\Local\Temp\OnboardLogs"\RTDC4032\*4032*20170310* | grep -SE "(Enforcement Action)|(\[TIMEOUT)|(CHR.+\|PRM\|1\|D.+(SWITCH|SIGNAL).+UNKNOWN)" - &gt;&gt; 2017-03-10-UncaughtWiMAX.txt</v>
      </c>
    </row>
    <row r="89" spans="1:91" s="20" customFormat="1" x14ac:dyDescent="0.25">
      <c r="A89" s="33" t="s">
        <v>709</v>
      </c>
      <c r="B89" s="7">
        <v>4040</v>
      </c>
      <c r="C89" s="21" t="s">
        <v>239</v>
      </c>
      <c r="D89" s="21" t="s">
        <v>478</v>
      </c>
      <c r="E89" s="13">
        <v>42804.559027777781</v>
      </c>
      <c r="F89" s="13">
        <v>42804.560208333336</v>
      </c>
      <c r="G89" s="7">
        <v>1</v>
      </c>
      <c r="H89" s="21" t="s">
        <v>260</v>
      </c>
      <c r="I89" s="13">
        <v>42804.588506944441</v>
      </c>
      <c r="J89" s="7">
        <v>0</v>
      </c>
      <c r="K89" s="98" t="str">
        <f t="shared" si="68"/>
        <v>4039/4040</v>
      </c>
      <c r="L89" s="21" t="str">
        <f>VLOOKUP(A89,'Trips&amp;Operators'!$C$1:$G$99999,5,FALSE)</f>
        <v>BRUDER RICHARD</v>
      </c>
      <c r="M89" s="6">
        <f t="shared" si="69"/>
        <v>2.8298611105128657E-2</v>
      </c>
      <c r="N89" s="7">
        <f t="shared" si="91"/>
        <v>40.749999991385266</v>
      </c>
      <c r="O89" s="7"/>
      <c r="P89" s="7"/>
      <c r="Q89" s="22"/>
      <c r="R89" s="22"/>
      <c r="S89" s="31">
        <f t="shared" si="92"/>
        <v>1</v>
      </c>
      <c r="T89" s="46" t="str">
        <f t="shared" si="72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85"/>
        <v>https://d0f6bd738d7f1b3e5a7ca70fe4ff75f0.us-east-1.aws.found.io/app/kibana#/discover/Steve-Slow-Train-Analysis-(2080s-and-2083s)?_g=(refreshInterval:(display:Off,pause:!f,section:0,value:0),time:(from:'2017-03-10T12:25:00-0700',mode:absolute,to:'2017-03-10T15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187" t="str">
        <f t="shared" si="73"/>
        <v>N</v>
      </c>
      <c r="X89" s="187">
        <f t="shared" si="83"/>
        <v>1</v>
      </c>
      <c r="Y89" s="62">
        <f t="shared" si="74"/>
        <v>4.6399999999999997E-2</v>
      </c>
      <c r="Z89" s="62">
        <f t="shared" si="82"/>
        <v>23.329499999999999</v>
      </c>
      <c r="AA89" s="62">
        <f t="shared" si="76"/>
        <v>23.283100000000001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77"/>
        <v>0179-10</v>
      </c>
      <c r="AE89" s="85" t="str">
        <f t="shared" si="86"/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AF89" s="82" t="str">
        <f t="shared" si="87"/>
        <v>"C:\Program Files (x86)\AstroGrep\AstroGrep.exe" /e /r /s /spath="%USERPROFILE%\AppData\Local\Temp\OnboardLogs" /stypes="app*4040*20170310*" /stext=" 21:.+((SYSTEM_STATE.+slice.+state.+changed )|(ment ac)|(multiple cpu faults)|(system.+state.+changed )|(\[timeout)|(PRM\|1\|D)|(kpr)|(kdp)|(\|lc)|(penalty))"</v>
      </c>
      <c r="AG89" s="1" t="str">
        <f t="shared" si="78"/>
        <v>EC</v>
      </c>
      <c r="AH89" s="86" t="str">
        <f t="shared" si="88"/>
        <v>"%USERPROFILE%\Documents\GitHub\eaglep3\Utilities\RefineRTDCRunTimes.py" --tripid 179-10 --locoid 4040 --swversion DE.1.0.9.0 --startMP 204:464 --initTime 2017-03-10T13:25:00 --startdatetime 2017-03-10T13:26:42 --delay 1 --endMP 204:233295 --enddatetime 2017-03-10T14:07:27 --enforcementcount 0 &gt;&gt;C:\Users\stu\Documents\GitHub\eaglep3-reporting\EC\2017-03-10-refined-times.txt</v>
      </c>
      <c r="AI89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{"issue":{"subject":"","project_id":79,"tracker_id":40,"status_id":1,"priority_id":2,"assigned_to_id":23,"start_date":"2017-03-10","description":"","custom_fields":[{"id":1,"name":"Subdivision","value":"EC"},{"id":4,"name":"Milepost","value":"23.3295"},{"id":17,"name":"Train ID","value":"179-10"},{"id":16,"name":"Locomotive ID","value":"4040"},{"id":130,"name":"Impact","value":""},{"id":150,"name":"Time of Event (Mountain Time)","value":"14:07:27"},{"id":151,"name":"Denver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90"/>
        <v>start /low /b %USERPROFILE%\Documents\GitHub\eaglep3\Utilities\DownloadLogsFromS3.py --loco 4040 --day 2017-03-10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"%USERPROFILE%\AppData\Local\Temp\OnboardLogs"\RTDC4040\*4040*20170310* | grep -SE "(Enforcement Action)|(\[TIMEOUT)|(CHR.+\|PRM\|1\|D.+(SWITCH|SIGNAL).+UNKNOWN)" - &gt;&gt; 2017-03-10-UncaughtWiMAX.txt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717</v>
      </c>
      <c r="B90" s="7">
        <v>4039</v>
      </c>
      <c r="C90" s="21" t="s">
        <v>239</v>
      </c>
      <c r="D90" s="21" t="s">
        <v>839</v>
      </c>
      <c r="E90" s="13">
        <v>42804.596666666665</v>
      </c>
      <c r="F90" s="13">
        <v>42804.597662037035</v>
      </c>
      <c r="G90" s="7">
        <v>1</v>
      </c>
      <c r="H90" s="21" t="s">
        <v>232</v>
      </c>
      <c r="I90" s="13">
        <v>42804.634085648147</v>
      </c>
      <c r="J90" s="7">
        <v>0</v>
      </c>
      <c r="K90" s="98" t="str">
        <f t="shared" si="68"/>
        <v>4039/4040</v>
      </c>
      <c r="L90" s="21" t="str">
        <f>VLOOKUP(A90,'Trips&amp;Operators'!$C$1:$G$99999,5,FALSE)</f>
        <v>BRUDER RICHARD</v>
      </c>
      <c r="M90" s="6">
        <f t="shared" si="69"/>
        <v>3.6423611112695653E-2</v>
      </c>
      <c r="N90" s="7">
        <f t="shared" si="91"/>
        <v>52.45000000228174</v>
      </c>
      <c r="O90" s="7"/>
      <c r="P90" s="7"/>
      <c r="Q90" s="22"/>
      <c r="R90" s="22"/>
      <c r="S90" s="31">
        <f t="shared" si="92"/>
        <v>1</v>
      </c>
      <c r="T90" s="46" t="str">
        <f t="shared" si="72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85"/>
        <v>https://d0f6bd738d7f1b3e5a7ca70fe4ff75f0.us-east-1.aws.found.io/app/kibana#/discover/Steve-Slow-Train-Analysis-(2080s-and-2083s)?_g=(refreshInterval:(display:Off,pause:!f,section:0,value:0),time:(from:'2017-03-10T13:19:12-0700',mode:absolute,to:'2017-03-10T16:13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187" t="str">
        <f t="shared" si="73"/>
        <v>N</v>
      </c>
      <c r="X90" s="187">
        <f t="shared" si="83"/>
        <v>1</v>
      </c>
      <c r="Y90" s="62">
        <f t="shared" si="74"/>
        <v>23.296900000000001</v>
      </c>
      <c r="Z90" s="62">
        <f t="shared" si="82"/>
        <v>1.47E-2</v>
      </c>
      <c r="AA90" s="62">
        <f t="shared" si="76"/>
        <v>23.2822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77"/>
        <v>0180-10</v>
      </c>
      <c r="AE90" s="85" t="str">
        <f t="shared" si="86"/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AF90" s="82" t="str">
        <f t="shared" si="87"/>
        <v>"C:\Program Files (x86)\AstroGrep\AstroGrep.exe" /e /r /s /spath="%USERPROFILE%\AppData\Local\Temp\OnboardLogs" /stypes="app*4039*20170310*" /stext=" 22:.+((SYSTEM_STATE.+slice.+state.+changed )|(ment ac)|(multiple cpu faults)|(system.+state.+changed )|(\[timeout)|(PRM\|1\|D)|(kpr)|(kdp)|(\|lc)|(penalty))"</v>
      </c>
      <c r="AG90" s="1" t="str">
        <f t="shared" si="78"/>
        <v>EC</v>
      </c>
      <c r="AH90" s="86" t="str">
        <f t="shared" si="88"/>
        <v>"%USERPROFILE%\Documents\GitHub\eaglep3\Utilities\RefineRTDCRunTimes.py" --tripid 180-10 --locoid 4039 --swversion DE.1.0.9.0 --startMP 204:232969 --initTime 2017-03-10T14:19:12 --startdatetime 2017-03-10T14:20:38 --delay 1 --endMP 204:147 --enddatetime 2017-03-10T15:13:05 --enforcementcount 0 &gt;&gt;C:\Users\stu\Documents\GitHub\eaglep3-reporting\EC\2017-03-10-refined-times.txt</v>
      </c>
      <c r="AI90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{"issue":{"subject":"","project_id":79,"tracker_id":40,"status_id":1,"priority_id":2,"assigned_to_id":23,"start_date":"2017-03-10","description":"","custom_fields":[{"id":1,"name":"Subdivision","value":"EC"},{"id":4,"name":"Milepost","value":"0.0147"},{"id":17,"name":"Train ID","value":"180-10"},{"id":16,"name":"Locomotive ID","value":"4039"},{"id":130,"name":"Impact","value":""},{"id":150,"name":"Time of Event (Mountain Time)","value":"15:13:05"},{"id":151,"name":"Denver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90"/>
        <v>start /low /b %USERPROFILE%\Documents\GitHub\eaglep3\Utilities\DownloadLogsFromS3.py --loco 4039 --day 2017-03-10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"%USERPROFILE%\AppData\Local\Temp\OnboardLogs"\RTDC4039\*4039*20170310* | grep -SE "(Enforcement Action)|(\[TIMEOUT)|(CHR.+\|PRM\|1\|D.+(SWITCH|SIGNAL).+UNKNOWN)" - &gt;&gt; 2017-03-10-UncaughtWiMAX.txt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711</v>
      </c>
      <c r="B91" s="7">
        <v>4009</v>
      </c>
      <c r="C91" s="21" t="s">
        <v>239</v>
      </c>
      <c r="D91" s="21" t="s">
        <v>485</v>
      </c>
      <c r="E91" s="13">
        <v>42804.573414351849</v>
      </c>
      <c r="F91" s="13">
        <v>42804.57440972222</v>
      </c>
      <c r="G91" s="7">
        <v>1</v>
      </c>
      <c r="H91" s="21" t="s">
        <v>867</v>
      </c>
      <c r="I91" s="13">
        <v>42804.601388888892</v>
      </c>
      <c r="J91" s="7">
        <v>0</v>
      </c>
      <c r="K91" s="98" t="str">
        <f t="shared" si="68"/>
        <v>4009/4010</v>
      </c>
      <c r="L91" s="21" t="str">
        <f>VLOOKUP(A91,'Trips&amp;Operators'!$C$1:$G$99999,5,FALSE)</f>
        <v>HOLCOMB KAMDEN</v>
      </c>
      <c r="M91" s="6">
        <f t="shared" si="69"/>
        <v>2.697916667239042E-2</v>
      </c>
      <c r="N91" s="7">
        <f t="shared" si="91"/>
        <v>38.850000008242205</v>
      </c>
      <c r="O91" s="7"/>
      <c r="P91" s="7"/>
      <c r="Q91" s="22"/>
      <c r="R91" s="22"/>
      <c r="S91" s="31">
        <f t="shared" si="92"/>
        <v>1</v>
      </c>
      <c r="T91" s="46" t="str">
        <f t="shared" si="72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85"/>
        <v>https://d0f6bd738d7f1b3e5a7ca70fe4ff75f0.us-east-1.aws.found.io/app/kibana#/discover/Steve-Slow-Train-Analysis-(2080s-and-2083s)?_g=(refreshInterval:(display:Off,pause:!f,section:0,value:0),time:(from:'2017-03-10T12:45:43-0700',mode:absolute,to:'2017-03-10T15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1" s="187" t="str">
        <f t="shared" si="73"/>
        <v>N</v>
      </c>
      <c r="X91" s="187">
        <f t="shared" si="83"/>
        <v>1</v>
      </c>
      <c r="Y91" s="62">
        <f t="shared" si="74"/>
        <v>4.3799999999999999E-2</v>
      </c>
      <c r="Z91" s="62">
        <f t="shared" si="82"/>
        <v>23.333400000000001</v>
      </c>
      <c r="AA91" s="62">
        <f t="shared" si="76"/>
        <v>23.2896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77"/>
        <v>0181-10</v>
      </c>
      <c r="AE91" s="85" t="str">
        <f t="shared" si="86"/>
        <v>aws s3 cp s3://rtdc.mdm.uploadarchive.raw/RTDC4009/ "%USERPROFILE%\AppData\Local\Temp\OnboardLogs"\RTDC4009\2017-03-10 --exclude "*" --recursive --include "*20170310*" &amp; "%USERPROFILE%\Documents\GitHub\mrs-test-scripts\Headless Mode &amp; Sideloading\WalkAndUnGZ.bat" "%USERPROFILE%\AppData\Local\Temp\OnboardLogs"\RTDC4009\2017-03-10 &amp; 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</v>
      </c>
      <c r="AF91" s="82" t="str">
        <f t="shared" si="87"/>
        <v>"C:\Program Files (x86)\AstroGrep\AstroGrep.exe" /e /r /s /spath="%USERPROFILE%\AppData\Local\Temp\OnboardLogs" /stypes="app*4009*20170310*" /stext=" 21:.+((SYSTEM_STATE.+slice.+state.+changed )|(ment ac)|(multiple cpu faults)|(system.+state.+changed )|(\[timeout)|(PRM\|1\|D)|(kpr)|(kdp)|(\|lc)|(penalty))"</v>
      </c>
      <c r="AG91" s="1" t="str">
        <f t="shared" si="78"/>
        <v>EC</v>
      </c>
      <c r="AH91" s="86" t="str">
        <f t="shared" si="88"/>
        <v>"%USERPROFILE%\Documents\GitHub\eaglep3\Utilities\RefineRTDCRunTimes.py" --tripid 181-10 --locoid 4009 --swversion DE.1.0.9.0 --startMP 204:438 --initTime 2017-03-10T13:45:43 --startdatetime 2017-03-10T13:47:09 --delay 1 --endMP 204:233334 --enddatetime 2017-03-10T14:26:00 --enforcementcount 0 &gt;&gt;C:\Users\stu\Documents\GitHub\eaglep3-reporting\EC\2017-03-10-refined-times.txt</v>
      </c>
      <c r="AI91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{"issue":{"subject":"","project_id":79,"tracker_id":40,"status_id":1,"priority_id":2,"assigned_to_id":23,"start_date":"2017-03-10","description":"","custom_fields":[{"id":1,"name":"Subdivision","value":"EC"},{"id":4,"name":"Milepost","value":"23.3334"},{"id":17,"name":"Train ID","value":"181-10"},{"id":16,"name":"Locomotive ID","value":"4009"},{"id":130,"name":"Impact","value":""},{"id":150,"name":"Time of Event (Mountain Time)","value":"14:26:00"},{"id":151,"name":"Denver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90"/>
        <v>start /low /b %USERPROFILE%\Documents\GitHub\eaglep3\Utilities\DownloadLogsFromS3.py --loco 4009 --day 2017-03-10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"%USERPROFILE%\AppData\Local\Temp\OnboardLogs"\RTDC4009\*4009*20170310* | grep -SE "(Enforcement Action)|(\[TIMEOUT)|(CHR.+\|PRM\|1\|D.+(SWITCH|SIGNAL).+UNKNOWN)" - &gt;&gt; 2017-03-10-UncaughtWiMAX.txt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718</v>
      </c>
      <c r="B92" s="7">
        <v>4010</v>
      </c>
      <c r="C92" s="21" t="s">
        <v>239</v>
      </c>
      <c r="D92" s="21" t="s">
        <v>257</v>
      </c>
      <c r="E92" s="13">
        <v>42804.602581018517</v>
      </c>
      <c r="F92" s="13">
        <v>42804.603437500002</v>
      </c>
      <c r="G92" s="7">
        <v>1</v>
      </c>
      <c r="H92" s="21" t="s">
        <v>868</v>
      </c>
      <c r="I92" s="13">
        <v>42804.642060185186</v>
      </c>
      <c r="J92" s="7">
        <v>0</v>
      </c>
      <c r="K92" s="98" t="str">
        <f t="shared" si="68"/>
        <v>4009/4010</v>
      </c>
      <c r="L92" s="21" t="str">
        <f>VLOOKUP(A92,'Trips&amp;Operators'!$C$1:$G$99999,5,FALSE)</f>
        <v>HOLCOMB KAMDEN</v>
      </c>
      <c r="M92" s="6">
        <f t="shared" si="69"/>
        <v>3.8622685184236616E-2</v>
      </c>
      <c r="N92" s="7">
        <f t="shared" si="91"/>
        <v>55.616666665300727</v>
      </c>
      <c r="O92" s="7"/>
      <c r="P92" s="7"/>
      <c r="Q92" s="22"/>
      <c r="R92" s="22"/>
      <c r="S92" s="31">
        <f t="shared" si="92"/>
        <v>1</v>
      </c>
      <c r="T92" s="46" t="str">
        <f t="shared" si="72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85"/>
        <v>https://d0f6bd738d7f1b3e5a7ca70fe4ff75f0.us-east-1.aws.found.io/app/kibana#/discover/Steve-Slow-Train-Analysis-(2080s-and-2083s)?_g=(refreshInterval:(display:Off,pause:!f,section:0,value:0),time:(from:'2017-03-10T13:27:43-0700',mode:absolute,to:'2017-03-10T16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2" s="187" t="str">
        <f t="shared" si="73"/>
        <v>N</v>
      </c>
      <c r="X92" s="187">
        <f t="shared" si="83"/>
        <v>1</v>
      </c>
      <c r="Y92" s="62">
        <f t="shared" si="74"/>
        <v>23.3004</v>
      </c>
      <c r="Z92" s="62">
        <f t="shared" si="82"/>
        <v>1.2500000000000001E-2</v>
      </c>
      <c r="AA92" s="62">
        <f t="shared" si="76"/>
        <v>23.2879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77"/>
        <v>0182-10</v>
      </c>
      <c r="AE92" s="85" t="str">
        <f t="shared" si="86"/>
        <v>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 &amp; 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</v>
      </c>
      <c r="AF92" s="82" t="str">
        <f t="shared" si="87"/>
        <v>"C:\Program Files (x86)\AstroGrep\AstroGrep.exe" /e /r /s /spath="%USERPROFILE%\AppData\Local\Temp\OnboardLogs" /stypes="app*4010*20170310*" /stext=" 22:.+((SYSTEM_STATE.+slice.+state.+changed )|(ment ac)|(multiple cpu faults)|(system.+state.+changed )|(\[timeout)|(PRM\|1\|D)|(kpr)|(kdp)|(\|lc)|(penalty))"</v>
      </c>
      <c r="AG92" s="1" t="str">
        <f t="shared" si="78"/>
        <v>EC</v>
      </c>
      <c r="AH92" s="86" t="str">
        <f t="shared" si="88"/>
        <v>"%USERPROFILE%\Documents\GitHub\eaglep3\Utilities\RefineRTDCRunTimes.py" --tripid 182-10 --locoid 4010 --swversion DE.1.0.9.0 --startMP 204:233004 --initTime 2017-03-10T14:27:43 --startdatetime 2017-03-10T14:28:57 --delay 1 --endMP 204:125 --enddatetime 2017-03-10T15:24:34 --enforcementcount 0 &gt;&gt;C:\Users\stu\Documents\GitHub\eaglep3-reporting\EC\2017-03-10-refined-times.txt</v>
      </c>
      <c r="AI92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{"issue":{"subject":"","project_id":79,"tracker_id":40,"status_id":1,"priority_id":2,"assigned_to_id":23,"start_date":"2017-03-10","description":"","custom_fields":[{"id":1,"name":"Subdivision","value":"EC"},{"id":4,"name":"Milepost","value":"0.0125"},{"id":17,"name":"Train ID","value":"182-10"},{"id":16,"name":"Locomotive ID","value":"4010"},{"id":130,"name":"Impact","value":""},{"id":150,"name":"Time of Event (Mountain Time)","value":"15:24:34"},{"id":151,"name":"Denver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90"/>
        <v>start /low /b %USERPROFILE%\Documents\GitHub\eaglep3\Utilities\DownloadLogsFromS3.py --loco 4010 --day 2017-03-10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"%USERPROFILE%\AppData\Local\Temp\OnboardLogs"\RTDC4010\*4010*20170310* | grep -SE "(Enforcement Action)|(\[TIMEOUT)|(CHR.+\|PRM\|1\|D.+(SWITCH|SIGNAL).+UNKNOWN)" - &gt;&gt; 2017-03-10-UncaughtWiMAX.txt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588</v>
      </c>
      <c r="B93" s="7">
        <v>4011</v>
      </c>
      <c r="C93" s="21" t="s">
        <v>239</v>
      </c>
      <c r="D93" s="21" t="s">
        <v>234</v>
      </c>
      <c r="E93" s="13">
        <v>42804.581550925926</v>
      </c>
      <c r="F93" s="13">
        <v>42804.58222222222</v>
      </c>
      <c r="G93" s="7">
        <v>0</v>
      </c>
      <c r="H93" s="21" t="s">
        <v>869</v>
      </c>
      <c r="I93" s="13">
        <v>42804.611909722225</v>
      </c>
      <c r="J93" s="7">
        <v>0</v>
      </c>
      <c r="K93" s="98" t="str">
        <f t="shared" si="68"/>
        <v>4011/4012</v>
      </c>
      <c r="L93" s="21" t="str">
        <f>VLOOKUP(A93,'Trips&amp;Operators'!$C$1:$G$99999,5,FALSE)</f>
        <v>DELGADO DIANAH</v>
      </c>
      <c r="M93" s="6">
        <f t="shared" si="69"/>
        <v>2.9687500005820766E-2</v>
      </c>
      <c r="N93" s="7">
        <f t="shared" si="91"/>
        <v>42.750000008381903</v>
      </c>
      <c r="O93" s="7"/>
      <c r="P93" s="7"/>
      <c r="Q93" s="22"/>
      <c r="R93" s="22"/>
      <c r="S93" s="31">
        <f t="shared" si="92"/>
        <v>1</v>
      </c>
      <c r="T93" s="46" t="str">
        <f t="shared" si="72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85"/>
        <v>https://d0f6bd738d7f1b3e5a7ca70fe4ff75f0.us-east-1.aws.found.io/app/kibana#/discover/Steve-Slow-Train-Analysis-(2080s-and-2083s)?_g=(refreshInterval:(display:Off,pause:!f,section:0,value:0),time:(from:'2017-03-10T12:57:26-0700',mode:absolute,to:'2017-03-10T15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3" s="187" t="str">
        <f t="shared" si="73"/>
        <v>N</v>
      </c>
      <c r="X93" s="187">
        <f t="shared" si="83"/>
        <v>1</v>
      </c>
      <c r="Y93" s="62">
        <f t="shared" si="74"/>
        <v>4.6600000000000003E-2</v>
      </c>
      <c r="Z93" s="62">
        <f t="shared" si="82"/>
        <v>23.3399</v>
      </c>
      <c r="AA93" s="62">
        <f t="shared" si="76"/>
        <v>23.293299999999999</v>
      </c>
      <c r="AB93" s="59" t="str">
        <f>VLOOKUP(A93,Enforcements!$C$7:$K$13,8,0)</f>
        <v>Bulletin (2)</v>
      </c>
      <c r="AC93" s="55" t="str">
        <f>VLOOKUP(A93,Enforcements!$C$7:$E$13,3,0)</f>
        <v>GRADE CROSSING</v>
      </c>
      <c r="AD93" s="56" t="str">
        <f t="shared" si="77"/>
        <v>0183-10</v>
      </c>
      <c r="AE93" s="85" t="str">
        <f t="shared" si="86"/>
        <v>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 &amp; aws s3 cp s3://rtdc.mdm.uploadarchive.raw/RTDC4011/ "%USERPROFILE%\AppData\Local\Temp\OnboardLogs"\RTDC4011\2017-03-11 --exclude "*" --recursive --include "*20170311*" &amp; "%USERPROFILE%\Documents\GitHub\mrs-test-scripts\Headless Mode &amp; Sideloading\WalkAndUnGZ.bat" "%USERPROFILE%\AppData\Local\Temp\OnboardLogs"\RTDC4011\2017-03-11</v>
      </c>
      <c r="AF93" s="82" t="str">
        <f t="shared" si="87"/>
        <v>"C:\Program Files (x86)\AstroGrep\AstroGrep.exe" /e /r /s /spath="%USERPROFILE%\AppData\Local\Temp\OnboardLogs" /stypes="app*4011*20170310*" /stext=" 21:.+((SYSTEM_STATE.+slice.+state.+changed )|(ment ac)|(multiple cpu faults)|(system.+state.+changed )|(\[timeout)|(PRM\|1\|D)|(kpr)|(kdp)|(\|lc)|(penalty))"</v>
      </c>
      <c r="AG93" s="1" t="str">
        <f t="shared" si="78"/>
        <v>EC</v>
      </c>
      <c r="AH93" s="86" t="str">
        <f t="shared" si="88"/>
        <v>"%USERPROFILE%\Documents\GitHub\eaglep3\Utilities\RefineRTDCRunTimes.py" --tripid 183-10 --locoid 4011 --swversion DE.1.0.9.0 --startMP 204:466 --initTime 2017-03-10T13:57:26 --startdatetime 2017-03-10T13:58:24 --delay 0 --endMP 204:233399 --enddatetime 2017-03-10T14:41:09 --enforcementcount 0 &gt;&gt;C:\Users\stu\Documents\GitHub\eaglep3-reporting\EC\2017-03-10-refined-times.txt</v>
      </c>
      <c r="AI93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{"issue":{"subject":"","project_id":79,"tracker_id":40,"status_id":1,"priority_id":2,"assigned_to_id":23,"start_date":"2017-03-10","description":"","custom_fields":[{"id":1,"name":"Subdivision","value":"EC"},{"id":4,"name":"Milepost","value":"23.3399"},{"id":17,"name":"Train ID","value":"183-10"},{"id":16,"name":"Locomotive ID","value":"4011"},{"id":130,"name":"Impact","value":""},{"id":150,"name":"Time of Event (Mountain Time)","value":"14:41:09"},{"id":151,"name":"Denver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90"/>
        <v>start /low /b %USERPROFILE%\Documents\GitHub\eaglep3\Utilities\DownloadLogsFromS3.py --loco 4011 --day 2017-03-10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2017-03-10-UncaughtWiMAX.txt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590</v>
      </c>
      <c r="B94" s="7">
        <v>4012</v>
      </c>
      <c r="C94" s="21" t="s">
        <v>239</v>
      </c>
      <c r="D94" s="21" t="s">
        <v>870</v>
      </c>
      <c r="E94" s="13">
        <v>42804.615046296298</v>
      </c>
      <c r="F94" s="13">
        <v>42804.616249999999</v>
      </c>
      <c r="G94" s="7">
        <v>1</v>
      </c>
      <c r="H94" s="21" t="s">
        <v>232</v>
      </c>
      <c r="I94" s="13">
        <v>42804.65388888889</v>
      </c>
      <c r="J94" s="7">
        <v>0</v>
      </c>
      <c r="K94" s="98" t="str">
        <f t="shared" si="68"/>
        <v>4011/4012</v>
      </c>
      <c r="L94" s="21" t="str">
        <f>VLOOKUP(A94,'Trips&amp;Operators'!$C$1:$G$99999,5,FALSE)</f>
        <v>DELGADO DIANAH</v>
      </c>
      <c r="M94" s="6">
        <f t="shared" si="69"/>
        <v>3.7638888890796807E-2</v>
      </c>
      <c r="N94" s="7">
        <f t="shared" si="91"/>
        <v>54.200000002747402</v>
      </c>
      <c r="O94" s="7"/>
      <c r="P94" s="7"/>
      <c r="Q94" s="22"/>
      <c r="R94" s="22"/>
      <c r="S94" s="31">
        <f t="shared" si="92"/>
        <v>1</v>
      </c>
      <c r="T94" s="46" t="str">
        <f t="shared" si="72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85"/>
        <v>https://d0f6bd738d7f1b3e5a7ca70fe4ff75f0.us-east-1.aws.found.io/app/kibana#/discover/Steve-Slow-Train-Analysis-(2080s-and-2083s)?_g=(refreshInterval:(display:Off,pause:!f,section:0,value:0),time:(from:'2017-03-10T13:45:40-0700',mode:absolute,to:'2017-03-10T16:41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4" s="187" t="str">
        <f t="shared" si="73"/>
        <v>N</v>
      </c>
      <c r="X94" s="187">
        <f t="shared" si="83"/>
        <v>1</v>
      </c>
      <c r="Y94" s="62">
        <f t="shared" si="74"/>
        <v>23.308399999999999</v>
      </c>
      <c r="Z94" s="62">
        <f t="shared" si="82"/>
        <v>1.47E-2</v>
      </c>
      <c r="AA94" s="62">
        <f t="shared" si="76"/>
        <v>23.293699999999998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77"/>
        <v>0184-10</v>
      </c>
      <c r="AE94" s="85" t="str">
        <f t="shared" si="86"/>
        <v>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 &amp; aws s3 cp s3://rtdc.mdm.uploadarchive.raw/RTDC4012/ "%USERPROFILE%\AppData\Local\Temp\OnboardLogs"\RTDC4012\2017-03-11 --exclude "*" --recursive --include "*20170311*" &amp; "%USERPROFILE%\Documents\GitHub\mrs-test-scripts\Headless Mode &amp; Sideloading\WalkAndUnGZ.bat" "%USERPROFILE%\AppData\Local\Temp\OnboardLogs"\RTDC4012\2017-03-11</v>
      </c>
      <c r="AF94" s="82" t="str">
        <f t="shared" si="87"/>
        <v>"C:\Program Files (x86)\AstroGrep\AstroGrep.exe" /e /r /s /spath="%USERPROFILE%\AppData\Local\Temp\OnboardLogs" /stypes="app*4012*20170310*" /stext=" 22:.+((SYSTEM_STATE.+slice.+state.+changed )|(ment ac)|(multiple cpu faults)|(system.+state.+changed )|(\[timeout)|(PRM\|1\|D)|(kpr)|(kdp)|(\|lc)|(penalty))"</v>
      </c>
      <c r="AG94" s="1" t="str">
        <f t="shared" si="78"/>
        <v>EC</v>
      </c>
      <c r="AH94" s="86" t="str">
        <f t="shared" si="88"/>
        <v>"%USERPROFILE%\Documents\GitHub\eaglep3\Utilities\RefineRTDCRunTimes.py" --tripid 184-10 --locoid 4012 --swversion DE.1.0.9.0 --startMP 204:233084 --initTime 2017-03-10T14:45:40 --startdatetime 2017-03-10T14:47:24 --delay 1 --endMP 204:147 --enddatetime 2017-03-10T15:41:36 --enforcementcount 0 &gt;&gt;C:\Users\stu\Documents\GitHub\eaglep3-reporting\EC\2017-03-10-refined-times.txt</v>
      </c>
      <c r="AI94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{"issue":{"subject":"","project_id":79,"tracker_id":40,"status_id":1,"priority_id":2,"assigned_to_id":23,"start_date":"2017-03-10","description":"","custom_fields":[{"id":1,"name":"Subdivision","value":"EC"},{"id":4,"name":"Milepost","value":"0.0147"},{"id":17,"name":"Train ID","value":"184-10"},{"id":16,"name":"Locomotive ID","value":"4012"},{"id":130,"name":"Impact","value":""},{"id":150,"name":"Time of Event (Mountain Time)","value":"15:41:36"},{"id":151,"name":"Denver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90"/>
        <v>start /low /b %USERPROFILE%\Documents\GitHub\eaglep3\Utilities\DownloadLogsFromS3.py --loco 4012 --day 2017-03-10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2017-03-10-UncaughtWiMAX.txt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716</v>
      </c>
      <c r="B95" s="7">
        <v>4027</v>
      </c>
      <c r="C95" s="21" t="s">
        <v>239</v>
      </c>
      <c r="D95" s="21" t="s">
        <v>266</v>
      </c>
      <c r="E95" s="13">
        <v>42804.591874999998</v>
      </c>
      <c r="F95" s="13">
        <v>42804.592881944445</v>
      </c>
      <c r="G95" s="7">
        <v>1</v>
      </c>
      <c r="H95" s="21" t="s">
        <v>245</v>
      </c>
      <c r="I95" s="13">
        <v>42804.628935185188</v>
      </c>
      <c r="J95" s="7">
        <v>0</v>
      </c>
      <c r="K95" s="98" t="str">
        <f t="shared" si="68"/>
        <v>4027/4028</v>
      </c>
      <c r="L95" s="21" t="str">
        <f>VLOOKUP(A95,'Trips&amp;Operators'!$C$1:$G$99999,5,FALSE)</f>
        <v>LOPES KIMBERLY</v>
      </c>
      <c r="M95" s="6">
        <f t="shared" si="69"/>
        <v>3.6053240743058268E-2</v>
      </c>
      <c r="N95" s="7">
        <f t="shared" si="91"/>
        <v>51.916666670003906</v>
      </c>
      <c r="O95" s="7"/>
      <c r="P95" s="7"/>
      <c r="Q95" s="22"/>
      <c r="R95" s="22"/>
      <c r="S95" s="31">
        <f t="shared" si="92"/>
        <v>1</v>
      </c>
      <c r="T95" s="46" t="str">
        <f t="shared" si="72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85"/>
        <v>https://d0f6bd738d7f1b3e5a7ca70fe4ff75f0.us-east-1.aws.found.io/app/kibana#/discover/Steve-Slow-Train-Analysis-(2080s-and-2083s)?_g=(refreshInterval:(display:Off,pause:!f,section:0,value:0),time:(from:'2017-03-10T13:12:18-0700',mode:absolute,to:'2017-03-10T16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5" s="187" t="str">
        <f t="shared" si="73"/>
        <v>N</v>
      </c>
      <c r="X95" s="187">
        <f t="shared" si="83"/>
        <v>1</v>
      </c>
      <c r="Y95" s="62">
        <f t="shared" si="74"/>
        <v>4.6899999999999997E-2</v>
      </c>
      <c r="Z95" s="62">
        <f t="shared" si="82"/>
        <v>23.330400000000001</v>
      </c>
      <c r="AA95" s="62">
        <f t="shared" si="76"/>
        <v>23.2835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77"/>
        <v>0185-10</v>
      </c>
      <c r="AE95" s="85" t="str">
        <f t="shared" si="86"/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AF95" s="82" t="str">
        <f t="shared" si="87"/>
        <v>"C:\Program Files (x86)\AstroGrep\AstroGrep.exe" /e /r /s /spath="%USERPROFILE%\AppData\Local\Temp\OnboardLogs" /stypes="app*4027*20170310*" /stext=" 22:.+((SYSTEM_STATE.+slice.+state.+changed )|(ment ac)|(multiple cpu faults)|(system.+state.+changed )|(\[timeout)|(PRM\|1\|D)|(kpr)|(kdp)|(\|lc)|(penalty))"</v>
      </c>
      <c r="AG95" s="1" t="str">
        <f t="shared" si="78"/>
        <v>EC</v>
      </c>
      <c r="AH95" s="86" t="str">
        <f t="shared" si="88"/>
        <v>"%USERPROFILE%\Documents\GitHub\eaglep3\Utilities\RefineRTDCRunTimes.py" --tripid 185-10 --locoid 4027 --swversion DE.1.0.9.0 --startMP 204:469 --initTime 2017-03-10T14:12:18 --startdatetime 2017-03-10T14:13:45 --delay 1 --endMP 204:233304 --enddatetime 2017-03-10T15:05:40 --enforcementcount 0 &gt;&gt;C:\Users\stu\Documents\GitHub\eaglep3-reporting\EC\2017-03-10-refined-times.txt</v>
      </c>
      <c r="AI95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{"issue":{"subject":"","project_id":79,"tracker_id":40,"status_id":1,"priority_id":2,"assigned_to_id":23,"start_date":"2017-03-10","description":"","custom_fields":[{"id":1,"name":"Subdivision","value":"EC"},{"id":4,"name":"Milepost","value":"23.3304"},{"id":17,"name":"Train ID","value":"185-10"},{"id":16,"name":"Locomotive ID","value":"4027"},{"id":130,"name":"Impact","value":""},{"id":150,"name":"Time of Event (Mountain Time)","value":"15:05:40"},{"id":151,"name":"Denver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90"/>
        <v>start /low /b %USERPROFILE%\Documents\GitHub\eaglep3\Utilities\DownloadLogsFromS3.py --loco 4027 --day 2017-03-10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"%USERPROFILE%\AppData\Local\Temp\OnboardLogs"\RTDC4027\*4027*20170310* | grep -SE "(Enforcement Action)|(\[TIMEOUT)|(CHR.+\|PRM\|1\|D.+(SWITCH|SIGNAL).+UNKNOWN)" - &gt;&gt; 2017-03-10-UncaughtWiMAX.txt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3" t="s">
        <v>591</v>
      </c>
      <c r="B96" s="7">
        <v>4028</v>
      </c>
      <c r="C96" s="21" t="s">
        <v>239</v>
      </c>
      <c r="D96" s="21" t="s">
        <v>412</v>
      </c>
      <c r="E96" s="13">
        <v>42804.629976851851</v>
      </c>
      <c r="F96" s="13">
        <v>42804.630833333336</v>
      </c>
      <c r="G96" s="7">
        <v>1</v>
      </c>
      <c r="H96" s="21" t="s">
        <v>202</v>
      </c>
      <c r="I96" s="13">
        <v>42804.66196759259</v>
      </c>
      <c r="J96" s="7">
        <v>0</v>
      </c>
      <c r="K96" s="98" t="str">
        <f t="shared" si="68"/>
        <v>4027/4028</v>
      </c>
      <c r="L96" s="21" t="str">
        <f>VLOOKUP(A96,'Trips&amp;Operators'!$C$1:$G$99999,5,FALSE)</f>
        <v>LOPES KIMBERLY</v>
      </c>
      <c r="M96" s="6">
        <f t="shared" si="69"/>
        <v>3.1134259254031349E-2</v>
      </c>
      <c r="N96" s="7">
        <f t="shared" si="91"/>
        <v>44.833333325805143</v>
      </c>
      <c r="O96" s="7"/>
      <c r="P96" s="7"/>
      <c r="Q96" s="22"/>
      <c r="R96" s="22"/>
      <c r="S96" s="31">
        <f t="shared" si="92"/>
        <v>1</v>
      </c>
      <c r="T96" s="46" t="str">
        <f t="shared" si="72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85"/>
        <v>https://d0f6bd738d7f1b3e5a7ca70fe4ff75f0.us-east-1.aws.found.io/app/kibana#/discover/Steve-Slow-Train-Analysis-(2080s-and-2083s)?_g=(refreshInterval:(display:Off,pause:!f,section:0,value:0),time:(from:'2017-03-10T14:07:10-0700',mode:absolute,to:'2017-03-10T16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187" t="str">
        <f t="shared" si="73"/>
        <v>N</v>
      </c>
      <c r="X96" s="187">
        <f t="shared" si="83"/>
        <v>1</v>
      </c>
      <c r="Y96" s="62">
        <f t="shared" si="74"/>
        <v>23.299299999999999</v>
      </c>
      <c r="Z96" s="62">
        <f t="shared" si="82"/>
        <v>1.52E-2</v>
      </c>
      <c r="AA96" s="62">
        <f t="shared" si="76"/>
        <v>23.284099999999999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77"/>
        <v>0186-10</v>
      </c>
      <c r="AE96" s="85" t="str">
        <f t="shared" si="86"/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AF96" s="82" t="str">
        <f t="shared" si="87"/>
        <v>"C:\Program Files (x86)\AstroGrep\AstroGrep.exe" /e /r /s /spath="%USERPROFILE%\AppData\Local\Temp\OnboardLogs" /stypes="app*4028*20170310*" /stext=" 22:.+((SYSTEM_STATE.+slice.+state.+changed )|(ment ac)|(multiple cpu faults)|(system.+state.+changed )|(\[timeout)|(PRM\|1\|D)|(kpr)|(kdp)|(\|lc)|(penalty))"</v>
      </c>
      <c r="AG96" s="1" t="str">
        <f t="shared" si="78"/>
        <v>EC</v>
      </c>
      <c r="AH96" s="86" t="str">
        <f t="shared" si="88"/>
        <v>"%USERPROFILE%\Documents\GitHub\eaglep3\Utilities\RefineRTDCRunTimes.py" --tripid 186-10 --locoid 4028 --swversion DE.1.0.9.0 --startMP 204:232993 --initTime 2017-03-10T15:07:10 --startdatetime 2017-03-10T15:08:24 --delay 1 --endMP 204:152 --enddatetime 2017-03-10T15:53:14 --enforcementcount 0 &gt;&gt;C:\Users\stu\Documents\GitHub\eaglep3-reporting\EC\2017-03-10-refined-times.txt</v>
      </c>
      <c r="AI96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{"issue":{"subject":"","project_id":79,"tracker_id":40,"status_id":1,"priority_id":2,"assigned_to_id":23,"start_date":"2017-03-10","description":"","custom_fields":[{"id":1,"name":"Subdivision","value":"EC"},{"id":4,"name":"Milepost","value":"0.0152"},{"id":17,"name":"Train ID","value":"186-10"},{"id":16,"name":"Locomotive ID","value":"4028"},{"id":130,"name":"Impact","value":""},{"id":150,"name":"Time of Event (Mountain Time)","value":"15:53:14"},{"id":151,"name":"Denver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90"/>
        <v>start /low /b %USERPROFILE%\Documents\GitHub\eaglep3\Utilities\DownloadLogsFromS3.py --loco 4028 --day 2017-03-10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"%USERPROFILE%\AppData\Local\Temp\OnboardLogs"\RTDC4028\*4028*20170310* | grep -SE "(Enforcement Action)|(\[TIMEOUT)|(CHR.+\|PRM\|1\|D.+(SWITCH|SIGNAL).+UNKNOWN)" - &gt;&gt; 2017-03-10-UncaughtWiMAX.txt</v>
      </c>
    </row>
    <row r="97" spans="1:91" s="20" customFormat="1" x14ac:dyDescent="0.25">
      <c r="A97" s="33" t="s">
        <v>719</v>
      </c>
      <c r="B97" s="7">
        <v>4053</v>
      </c>
      <c r="C97" s="21" t="s">
        <v>239</v>
      </c>
      <c r="D97" s="21" t="s">
        <v>871</v>
      </c>
      <c r="E97" s="13">
        <v>42804.602743055555</v>
      </c>
      <c r="F97" s="13">
        <v>42804.604351851849</v>
      </c>
      <c r="G97" s="7">
        <v>2</v>
      </c>
      <c r="H97" s="21" t="s">
        <v>822</v>
      </c>
      <c r="I97" s="13">
        <v>42804.633217592593</v>
      </c>
      <c r="J97" s="7">
        <v>0</v>
      </c>
      <c r="K97" s="98" t="str">
        <f t="shared" si="68"/>
        <v>4053/4054</v>
      </c>
      <c r="L97" s="21" t="str">
        <f>VLOOKUP(A97,'Trips&amp;Operators'!$C$1:$G$99999,5,FALSE)</f>
        <v>STEWART MICHAEL</v>
      </c>
      <c r="M97" s="6">
        <f t="shared" si="69"/>
        <v>2.8865740743640345E-2</v>
      </c>
      <c r="N97" s="7">
        <f t="shared" si="91"/>
        <v>41.566666670842096</v>
      </c>
      <c r="O97" s="7"/>
      <c r="P97" s="7"/>
      <c r="Q97" s="22"/>
      <c r="R97" s="22"/>
      <c r="S97" s="31">
        <f t="shared" si="92"/>
        <v>1</v>
      </c>
      <c r="T97" s="46" t="str">
        <f t="shared" si="72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85"/>
        <v>https://d0f6bd738d7f1b3e5a7ca70fe4ff75f0.us-east-1.aws.found.io/app/kibana#/discover/Steve-Slow-Train-Analysis-(2080s-and-2083s)?_g=(refreshInterval:(display:Off,pause:!f,section:0,value:0),time:(from:'2017-03-10T13:27:57-0700',mode:absolute,to:'2017-03-10T16:11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7" s="187" t="str">
        <f t="shared" si="73"/>
        <v>N</v>
      </c>
      <c r="X97" s="187">
        <f t="shared" si="83"/>
        <v>1</v>
      </c>
      <c r="Y97" s="62">
        <f t="shared" si="74"/>
        <v>4.3499999999999997E-2</v>
      </c>
      <c r="Z97" s="62">
        <f t="shared" si="82"/>
        <v>23.328600000000002</v>
      </c>
      <c r="AA97" s="62">
        <f t="shared" si="76"/>
        <v>23.2851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77"/>
        <v>0187-10</v>
      </c>
      <c r="AE97" s="85" t="str">
        <f t="shared" si="86"/>
        <v>aws s3 cp s3://rtdc.mdm.uploadarchive.raw/RTDC4053/ "%USERPROFILE%\AppData\Local\Temp\OnboardLogs"\RTDC4053\2017-03-10 --exclude "*" --recursive --include "*20170310*" &amp; "%USERPROFILE%\Documents\GitHub\mrs-test-scripts\Headless Mode &amp; Sideloading\WalkAndUnGZ.bat" "%USERPROFILE%\AppData\Local\Temp\OnboardLogs"\RTDC4053\2017-03-10 &amp; aws s3 cp s3://rtdc.mdm.uploadarchive.raw/RTDC4053/ "%USERPROFILE%\AppData\Local\Temp\OnboardLogs"\RTDC4053\2017-03-11 --exclude "*" --recursive --include "*20170311*" &amp; "%USERPROFILE%\Documents\GitHub\mrs-test-scripts\Headless Mode &amp; Sideloading\WalkAndUnGZ.bat" "%USERPROFILE%\AppData\Local\Temp\OnboardLogs"\RTDC4053\2017-03-11</v>
      </c>
      <c r="AF97" s="82" t="str">
        <f t="shared" si="87"/>
        <v>"C:\Program Files (x86)\AstroGrep\AstroGrep.exe" /e /r /s /spath="%USERPROFILE%\AppData\Local\Temp\OnboardLogs" /stypes="app*4053*20170310*" /stext=" 22:.+((SYSTEM_STATE.+slice.+state.+changed )|(ment ac)|(multiple cpu faults)|(system.+state.+changed )|(\[timeout)|(PRM\|1\|D)|(kpr)|(kdp)|(\|lc)|(penalty))"</v>
      </c>
      <c r="AG97" s="1" t="str">
        <f t="shared" si="78"/>
        <v>EC</v>
      </c>
      <c r="AH97" s="86" t="str">
        <f t="shared" si="88"/>
        <v>"%USERPROFILE%\Documents\GitHub\eaglep3\Utilities\RefineRTDCRunTimes.py" --tripid 187-10 --locoid 4053 --swversion DE.1.0.9.0 --startMP 204:435 --initTime 2017-03-10T14:27:57 --startdatetime 2017-03-10T14:30:16 --delay 2 --endMP 204:233286 --enddatetime 2017-03-10T15:11:50 --enforcementcount 0 &gt;&gt;C:\Users\stu\Documents\GitHub\eaglep3-reporting\EC\2017-03-10-refined-times.txt</v>
      </c>
      <c r="AI97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{"issue":{"subject":"","project_id":79,"tracker_id":40,"status_id":1,"priority_id":2,"assigned_to_id":23,"start_date":"2017-03-10","description":"","custom_fields":[{"id":1,"name":"Subdivision","value":"EC"},{"id":4,"name":"Milepost","value":"23.3286"},{"id":17,"name":"Train ID","value":"187-10"},{"id":16,"name":"Locomotive ID","value":"4053"},{"id":130,"name":"Impact","value":""},{"id":150,"name":"Time of Event (Mountain Time)","value":"15:11:50"},{"id":151,"name":"Denver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90"/>
        <v>start /low /b %USERPROFILE%\Documents\GitHub\eaglep3\Utilities\DownloadLogsFromS3.py --loco 4053 --day 2017-03-10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"%USERPROFILE%\AppData\Local\Temp\OnboardLogs"\RTDC4053\*4053*20170310* | grep -SE "(Enforcement Action)|(\[TIMEOUT)|(CHR.+\|PRM\|1\|D.+(SWITCH|SIGNAL).+UNKNOWN)" - &gt;&gt; 2017-03-10-UncaughtWiMAX.txt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592</v>
      </c>
      <c r="B98" s="7">
        <v>4054</v>
      </c>
      <c r="C98" s="21" t="s">
        <v>239</v>
      </c>
      <c r="D98" s="21" t="s">
        <v>836</v>
      </c>
      <c r="E98" s="13">
        <v>42804.640185185184</v>
      </c>
      <c r="F98" s="13">
        <v>42804.641840277778</v>
      </c>
      <c r="G98" s="7">
        <v>2</v>
      </c>
      <c r="H98" s="21" t="s">
        <v>858</v>
      </c>
      <c r="I98" s="13">
        <v>42804.673900462964</v>
      </c>
      <c r="J98" s="7">
        <v>0</v>
      </c>
      <c r="K98" s="98" t="str">
        <f t="shared" si="68"/>
        <v>4053/4054</v>
      </c>
      <c r="L98" s="21" t="str">
        <f>VLOOKUP(A98,'Trips&amp;Operators'!$C$1:$G$99999,5,FALSE)</f>
        <v>STEWART MICHAEL</v>
      </c>
      <c r="M98" s="6">
        <f t="shared" si="69"/>
        <v>3.2060185185400769E-2</v>
      </c>
      <c r="N98" s="7">
        <f t="shared" si="91"/>
        <v>46.166666666977108</v>
      </c>
      <c r="O98" s="7"/>
      <c r="P98" s="7"/>
      <c r="Q98" s="22"/>
      <c r="R98" s="22"/>
      <c r="S98" s="31">
        <f t="shared" si="92"/>
        <v>1</v>
      </c>
      <c r="T98" s="46" t="str">
        <f t="shared" si="72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85"/>
        <v>https://d0f6bd738d7f1b3e5a7ca70fe4ff75f0.us-east-1.aws.found.io/app/kibana#/discover/Steve-Slow-Train-Analysis-(2080s-and-2083s)?_g=(refreshInterval:(display:Off,pause:!f,section:0,value:0),time:(from:'2017-03-10T14:21:52-0700',mode:absolute,to:'2017-03-10T17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8" s="187" t="str">
        <f t="shared" si="73"/>
        <v>N</v>
      </c>
      <c r="X98" s="187">
        <f t="shared" si="83"/>
        <v>1</v>
      </c>
      <c r="Y98" s="62">
        <f t="shared" si="74"/>
        <v>23.296099999999999</v>
      </c>
      <c r="Z98" s="62">
        <f t="shared" si="82"/>
        <v>1.9199999999999998E-2</v>
      </c>
      <c r="AA98" s="62">
        <f t="shared" si="76"/>
        <v>23.276899999999998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77"/>
        <v>0188-10</v>
      </c>
      <c r="AE98" s="85" t="str">
        <f t="shared" si="86"/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AF98" s="82" t="str">
        <f t="shared" si="87"/>
        <v>"C:\Program Files (x86)\AstroGrep\AstroGrep.exe" /e /r /s /spath="%USERPROFILE%\AppData\Local\Temp\OnboardLogs" /stypes="app*4054*20170310*" /stext=" 23:.+((SYSTEM_STATE.+slice.+state.+changed )|(ment ac)|(multiple cpu faults)|(system.+state.+changed )|(\[timeout)|(PRM\|1\|D)|(kpr)|(kdp)|(\|lc)|(penalty))"</v>
      </c>
      <c r="AG98" s="1" t="str">
        <f t="shared" si="78"/>
        <v>EC</v>
      </c>
      <c r="AH98" s="86" t="str">
        <f t="shared" si="88"/>
        <v>"%USERPROFILE%\Documents\GitHub\eaglep3\Utilities\RefineRTDCRunTimes.py" --tripid 188-10 --locoid 4054 --swversion DE.1.0.9.0 --startMP 204:232961 --initTime 2017-03-10T15:21:52 --startdatetime 2017-03-10T15:24:15 --delay 2 --endMP 204:192 --enddatetime 2017-03-10T16:10:25 --enforcementcount 0 &gt;&gt;C:\Users\stu\Documents\GitHub\eaglep3-reporting\EC\2017-03-10-refined-times.txt</v>
      </c>
      <c r="AI98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{"issue":{"subject":"","project_id":79,"tracker_id":40,"status_id":1,"priority_id":2,"assigned_to_id":23,"start_date":"2017-03-10","description":"","custom_fields":[{"id":1,"name":"Subdivision","value":"EC"},{"id":4,"name":"Milepost","value":"0.0192"},{"id":17,"name":"Train ID","value":"188-10"},{"id":16,"name":"Locomotive ID","value":"4054"},{"id":130,"name":"Impact","value":""},{"id":150,"name":"Time of Event (Mountain Time)","value":"16:10:25"},{"id":151,"name":"Denver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90"/>
        <v>start /low /b %USERPROFILE%\Documents\GitHub\eaglep3\Utilities\DownloadLogsFromS3.py --loco 4054 --day 2017-03-10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"%USERPROFILE%\AppData\Local\Temp\OnboardLogs"\RTDC4054\*4054*20170310* | grep -SE "(Enforcement Action)|(\[TIMEOUT)|(CHR.+\|PRM\|1\|D.+(SWITCH|SIGNAL).+UNKNOWN)" - &gt;&gt; 2017-03-10-UncaughtWiMAX.txt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721</v>
      </c>
      <c r="B99" s="7">
        <v>4003</v>
      </c>
      <c r="C99" s="21" t="s">
        <v>239</v>
      </c>
      <c r="D99" s="21" t="s">
        <v>872</v>
      </c>
      <c r="E99" s="13">
        <v>42804.613518518519</v>
      </c>
      <c r="F99" s="13">
        <v>42804.61582175926</v>
      </c>
      <c r="G99" s="7">
        <v>3</v>
      </c>
      <c r="H99" s="21" t="s">
        <v>245</v>
      </c>
      <c r="I99" s="13">
        <v>42804.64702546296</v>
      </c>
      <c r="J99" s="7">
        <v>0</v>
      </c>
      <c r="K99" s="98" t="str">
        <f t="shared" si="68"/>
        <v>4003/4004</v>
      </c>
      <c r="L99" s="21" t="str">
        <f>VLOOKUP(A99,'Trips&amp;Operators'!$C$1:$G$99999,5,FALSE)</f>
        <v>DE LA ROSA ALEX</v>
      </c>
      <c r="M99" s="6">
        <f t="shared" si="69"/>
        <v>3.1203703700157348E-2</v>
      </c>
      <c r="N99" s="7">
        <f t="shared" si="91"/>
        <v>44.933333328226581</v>
      </c>
      <c r="O99" s="7"/>
      <c r="P99" s="7"/>
      <c r="Q99" s="22"/>
      <c r="R99" s="22"/>
      <c r="S99" s="31">
        <f t="shared" si="92"/>
        <v>1</v>
      </c>
      <c r="T99" s="46" t="str">
        <f t="shared" si="72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85"/>
        <v>https://d0f6bd738d7f1b3e5a7ca70fe4ff75f0.us-east-1.aws.found.io/app/kibana#/discover/Steve-Slow-Train-Analysis-(2080s-and-2083s)?_g=(refreshInterval:(display:Off,pause:!f,section:0,value:0),time:(from:'2017-03-10T13:43:28-0700',mode:absolute,to:'2017-03-10T16:31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87" t="str">
        <f t="shared" si="73"/>
        <v>N</v>
      </c>
      <c r="X99" s="187">
        <f t="shared" si="83"/>
        <v>1</v>
      </c>
      <c r="Y99" s="62">
        <f t="shared" si="74"/>
        <v>0.14860000000000001</v>
      </c>
      <c r="Z99" s="62">
        <f t="shared" si="82"/>
        <v>23.330400000000001</v>
      </c>
      <c r="AA99" s="62">
        <f t="shared" si="76"/>
        <v>23.181800000000003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77"/>
        <v>0189-10</v>
      </c>
      <c r="AE99" s="85" t="str">
        <f t="shared" si="86"/>
        <v>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 &amp; 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</v>
      </c>
      <c r="AF99" s="82" t="str">
        <f t="shared" si="87"/>
        <v>"C:\Program Files (x86)\AstroGrep\AstroGrep.exe" /e /r /s /spath="%USERPROFILE%\AppData\Local\Temp\OnboardLogs" /stypes="app*4003*20170310*" /stext=" 22:.+((SYSTEM_STATE.+slice.+state.+changed )|(ment ac)|(multiple cpu faults)|(system.+state.+changed )|(\[timeout)|(PRM\|1\|D)|(kpr)|(kdp)|(\|lc)|(penalty))"</v>
      </c>
      <c r="AG99" s="1" t="str">
        <f t="shared" si="78"/>
        <v>EC</v>
      </c>
      <c r="AH99" s="86" t="str">
        <f t="shared" si="88"/>
        <v>"%USERPROFILE%\Documents\GitHub\eaglep3\Utilities\RefineRTDCRunTimes.py" --tripid 189-10 --locoid 4003 --swversion DE.1.0.9.0 --startMP 204:1486 --initTime 2017-03-10T14:43:28 --startdatetime 2017-03-10T14:46:47 --delay 3 --endMP 204:233304 --enddatetime 2017-03-10T15:31:43 --enforcementcount 0 &gt;&gt;C:\Users\stu\Documents\GitHub\eaglep3-reporting\EC\2017-03-10-refined-times.txt</v>
      </c>
      <c r="AI99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{"issue":{"subject":"","project_id":79,"tracker_id":40,"status_id":1,"priority_id":2,"assigned_to_id":23,"start_date":"2017-03-10","description":"","custom_fields":[{"id":1,"name":"Subdivision","value":"EC"},{"id":4,"name":"Milepost","value":"23.3304"},{"id":17,"name":"Train ID","value":"189-10"},{"id":16,"name":"Locomotive ID","value":"4003"},{"id":130,"name":"Impact","value":""},{"id":150,"name":"Time of Event (Mountain Time)","value":"15:31:43"},{"id":151,"name":"Denver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90"/>
        <v>start /low /b %USERPROFILE%\Documents\GitHub\eaglep3\Utilities\DownloadLogsFromS3.py --loco 4003 --day 2017-03-10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"%USERPROFILE%\AppData\Local\Temp\OnboardLogs"\RTDC4003\*4003*20170310* | grep -SE "(Enforcement Action)|(\[TIMEOUT)|(CHR.+\|PRM\|1\|D.+(SWITCH|SIGNAL).+UNKNOWN)" - &gt;&gt; 2017-03-10-UncaughtWiMAX.txt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598</v>
      </c>
      <c r="B100" s="7">
        <v>4004</v>
      </c>
      <c r="C100" s="21" t="s">
        <v>239</v>
      </c>
      <c r="D100" s="21" t="s">
        <v>481</v>
      </c>
      <c r="E100" s="13">
        <v>42804.651759259257</v>
      </c>
      <c r="F100" s="13">
        <v>42804.652789351851</v>
      </c>
      <c r="G100" s="7">
        <v>1</v>
      </c>
      <c r="H100" s="21" t="s">
        <v>873</v>
      </c>
      <c r="I100" s="13">
        <v>42804.684317129628</v>
      </c>
      <c r="J100" s="7">
        <v>0</v>
      </c>
      <c r="K100" s="98" t="str">
        <f t="shared" ref="K100:K163" si="93">IF(ISEVEN(B100),(B100-1)&amp;"/"&amp;B100,B100&amp;"/"&amp;(B100+1))</f>
        <v>4003/4004</v>
      </c>
      <c r="L100" s="21" t="str">
        <f>VLOOKUP(A100,'Trips&amp;Operators'!$C$1:$G$99999,5,FALSE)</f>
        <v>DE LA ROSA ALEX</v>
      </c>
      <c r="M100" s="6">
        <f t="shared" ref="M100:M163" si="94">I100-F100</f>
        <v>3.1527777777228039E-2</v>
      </c>
      <c r="N100" s="7">
        <f t="shared" si="91"/>
        <v>45.399999999208376</v>
      </c>
      <c r="O100" s="7"/>
      <c r="P100" s="7"/>
      <c r="Q100" s="22"/>
      <c r="R100" s="22"/>
      <c r="S100" s="31">
        <f t="shared" si="92"/>
        <v>1</v>
      </c>
      <c r="T100" s="46" t="str">
        <f t="shared" ref="T100:T163" si="95">IF(ISEVEN(LEFT(AD100,4)),"Southbound","NorthBound")</f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85"/>
        <v>https://d0f6bd738d7f1b3e5a7ca70fe4ff75f0.us-east-1.aws.found.io/app/kibana#/discover/Steve-Slow-Train-Analysis-(2080s-and-2083s)?_g=(refreshInterval:(display:Off,pause:!f,section:0,value:0),time:(from:'2017-03-10T14:38:32-0700',mode:absolute,to:'2017-03-10T17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0" s="187" t="str">
        <f t="shared" ref="W100:W163" si="96">IF(AA100&lt;IF(AG100="EC",23,5.65),"Y","N")</f>
        <v>N</v>
      </c>
      <c r="X100" s="187">
        <f t="shared" si="83"/>
        <v>1</v>
      </c>
      <c r="Y100" s="62">
        <f t="shared" ref="Y100:Y163" si="97">RIGHT(D100,LEN(D100)-4)/10000</f>
        <v>23.299600000000002</v>
      </c>
      <c r="Z100" s="62">
        <f t="shared" ref="Z100:Z114" si="98">RIGHT(H100,LEN(H100)-4)/10000</f>
        <v>1.7399999999999999E-2</v>
      </c>
      <c r="AA100" s="62">
        <f t="shared" ref="AA100:AA163" si="99">ABS(Z100-Y100)</f>
        <v>23.282200000000003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ref="AD100:AD163" si="100">IF(LEN(A100)=6,"0"&amp;A100,A100)</f>
        <v>0190-10</v>
      </c>
      <c r="AE100" s="85" t="str">
        <f t="shared" si="86"/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AF100" s="82" t="str">
        <f t="shared" si="87"/>
        <v>"C:\Program Files (x86)\AstroGrep\AstroGrep.exe" /e /r /s /spath="%USERPROFILE%\AppData\Local\Temp\OnboardLogs" /stypes="app*4004*20170310*" /stext=" 23:.+((SYSTEM_STATE.+slice.+state.+changed )|(ment ac)|(multiple cpu faults)|(system.+state.+changed )|(\[timeout)|(PRM\|1\|D)|(kpr)|(kdp)|(\|lc)|(penalty))"</v>
      </c>
      <c r="AG100" s="1" t="str">
        <f t="shared" ref="AG100:AG163" si="101">IFERROR(IF(VALUE(LEFT(AD100,2))&lt;=2,"EC",IF(OR(VALUE(LEFT(AD100,2))=8,VALUE(LEFT(AD100,2))=18),"NW","Other")),"Other")</f>
        <v>EC</v>
      </c>
      <c r="AH100" s="86" t="str">
        <f t="shared" si="88"/>
        <v>"%USERPROFILE%\Documents\GitHub\eaglep3\Utilities\RefineRTDCRunTimes.py" --tripid 190-10 --locoid 4004 --swversion DE.1.0.9.0 --startMP 204:232996 --initTime 2017-03-10T15:38:32 --startdatetime 2017-03-10T15:40:01 --delay 1 --endMP 204:174 --enddatetime 2017-03-10T16:25:25 --enforcementcount 0 &gt;&gt;C:\Users\stu\Documents\GitHub\eaglep3-reporting\EC\2017-03-10-refined-times.txt</v>
      </c>
      <c r="AI100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{"issue":{"subject":"","project_id":79,"tracker_id":40,"status_id":1,"priority_id":2,"assigned_to_id":23,"start_date":"2017-03-10","description":"","custom_fields":[{"id":1,"name":"Subdivision","value":"EC"},{"id":4,"name":"Milepost","value":"0.0174"},{"id":17,"name":"Train ID","value":"190-10"},{"id":16,"name":"Locomotive ID","value":"4004"},{"id":130,"name":"Impact","value":""},{"id":150,"name":"Time of Event (Mountain Time)","value":"16:25:25"},{"id":151,"name":"Denver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90"/>
        <v>start /low /b %USERPROFILE%\Documents\GitHub\eaglep3\Utilities\DownloadLogsFromS3.py --loco 4004 --day 2017-03-10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2017-03-10-UncaughtWiMAX.txt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723</v>
      </c>
      <c r="B101" s="7">
        <v>4031</v>
      </c>
      <c r="C101" s="21" t="s">
        <v>239</v>
      </c>
      <c r="D101" s="21" t="s">
        <v>874</v>
      </c>
      <c r="E101" s="13">
        <v>42804.632048611114</v>
      </c>
      <c r="F101" s="13">
        <v>42804.632951388892</v>
      </c>
      <c r="G101" s="7">
        <v>1</v>
      </c>
      <c r="H101" s="21" t="s">
        <v>529</v>
      </c>
      <c r="I101" s="13">
        <v>42804.664363425924</v>
      </c>
      <c r="J101" s="7">
        <v>0</v>
      </c>
      <c r="K101" s="98" t="str">
        <f t="shared" si="93"/>
        <v>4031/4032</v>
      </c>
      <c r="L101" s="21" t="str">
        <f>VLOOKUP(A101,'Trips&amp;Operators'!$C$1:$G$99999,5,FALSE)</f>
        <v>CLARK KATHLEEN</v>
      </c>
      <c r="M101" s="6">
        <f t="shared" si="94"/>
        <v>3.1412037031259388E-2</v>
      </c>
      <c r="N101" s="7">
        <f t="shared" si="91"/>
        <v>45.233333325013518</v>
      </c>
      <c r="O101" s="7"/>
      <c r="P101" s="7"/>
      <c r="Q101" s="22"/>
      <c r="R101" s="22"/>
      <c r="S101" s="31">
        <f t="shared" si="92"/>
        <v>1</v>
      </c>
      <c r="T101" s="46" t="str">
        <f t="shared" si="95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85"/>
        <v>https://d0f6bd738d7f1b3e5a7ca70fe4ff75f0.us-east-1.aws.found.io/app/kibana#/discover/Steve-Slow-Train-Analysis-(2080s-and-2083s)?_g=(refreshInterval:(display:Off,pause:!f,section:0,value:0),time:(from:'2017-03-10T14:10:09-0700',mode:absolute,to:'2017-03-10T16:56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1" s="187" t="str">
        <f t="shared" si="96"/>
        <v>N</v>
      </c>
      <c r="X101" s="187">
        <f t="shared" ref="X101:X132" si="102">VALUE(LEFT(AD101,4))-VALUE(LEFT(AD100,4))</f>
        <v>1</v>
      </c>
      <c r="Y101" s="62">
        <f t="shared" si="97"/>
        <v>5.1999999999999998E-2</v>
      </c>
      <c r="Z101" s="62">
        <f t="shared" si="98"/>
        <v>23.3309</v>
      </c>
      <c r="AA101" s="62">
        <f t="shared" si="99"/>
        <v>23.2789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100"/>
        <v>0191-10</v>
      </c>
      <c r="AE101" s="85" t="str">
        <f t="shared" si="86"/>
        <v>aws s3 cp s3://rtdc.mdm.uploadarchive.raw/RTDC4031/ "%USERPROFILE%\AppData\Local\Temp\OnboardLogs"\RTDC4031\2017-03-10 --exclude "*" --recursive --include "*20170310*" &amp; "%USERPROFILE%\Documents\GitHub\mrs-test-scripts\Headless Mode &amp; Sideloading\WalkAndUnGZ.bat" "%USERPROFILE%\AppData\Local\Temp\OnboardLogs"\RTDC4031\2017-03-10 &amp; aws s3 cp s3://rtdc.mdm.uploadarchive.raw/RTDC4031/ "%USERPROFILE%\AppData\Local\Temp\OnboardLogs"\RTDC4031\2017-03-11 --exclude "*" --recursive --include "*20170311*" &amp; "%USERPROFILE%\Documents\GitHub\mrs-test-scripts\Headless Mode &amp; Sideloading\WalkAndUnGZ.bat" "%USERPROFILE%\AppData\Local\Temp\OnboardLogs"\RTDC4031\2017-03-11</v>
      </c>
      <c r="AF101" s="82" t="str">
        <f t="shared" si="87"/>
        <v>"C:\Program Files (x86)\AstroGrep\AstroGrep.exe" /e /r /s /spath="%USERPROFILE%\AppData\Local\Temp\OnboardLogs" /stypes="app*4031*20170310*" /stext=" 22:.+((SYSTEM_STATE.+slice.+state.+changed )|(ment ac)|(multiple cpu faults)|(system.+state.+changed )|(\[timeout)|(PRM\|1\|D)|(kpr)|(kdp)|(\|lc)|(penalty))"</v>
      </c>
      <c r="AG101" s="1" t="str">
        <f t="shared" si="101"/>
        <v>EC</v>
      </c>
      <c r="AH101" s="86" t="str">
        <f t="shared" si="88"/>
        <v>"%USERPROFILE%\Documents\GitHub\eaglep3\Utilities\RefineRTDCRunTimes.py" --tripid 191-10 --locoid 4031 --swversion DE.1.0.9.0 --startMP 204:520 --initTime 2017-03-10T15:10:09 --startdatetime 2017-03-10T15:11:27 --delay 1 --endMP 204:233309 --enddatetime 2017-03-10T15:56:41 --enforcementcount 0 &gt;&gt;C:\Users\stu\Documents\GitHub\eaglep3-reporting\EC\2017-03-10-refined-times.txt</v>
      </c>
      <c r="AI101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{"issue":{"subject":"","project_id":79,"tracker_id":40,"status_id":1,"priority_id":2,"assigned_to_id":23,"start_date":"2017-03-10","description":"","custom_fields":[{"id":1,"name":"Subdivision","value":"EC"},{"id":4,"name":"Milepost","value":"23.3309"},{"id":17,"name":"Train ID","value":"191-10"},{"id":16,"name":"Locomotive ID","value":"4031"},{"id":130,"name":"Impact","value":""},{"id":150,"name":"Time of Event (Mountain Time)","value":"15:56:41"},{"id":151,"name":"Denver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90"/>
        <v>start /low /b %USERPROFILE%\Documents\GitHub\eaglep3\Utilities\DownloadLogsFromS3.py --loco 4031 --day 2017-03-10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"%USERPROFILE%\AppData\Local\Temp\OnboardLogs"\RTDC4031\*4031*20170310* | grep -SE "(Enforcement Action)|(\[TIMEOUT)|(CHR.+\|PRM\|1\|D.+(SWITCH|SIGNAL).+UNKNOWN)" - &gt;&gt; 2017-03-10-UncaughtWiMAX.txt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724</v>
      </c>
      <c r="B102" s="7">
        <v>4040</v>
      </c>
      <c r="C102" s="21" t="s">
        <v>239</v>
      </c>
      <c r="D102" s="21" t="s">
        <v>254</v>
      </c>
      <c r="E102" s="13">
        <v>42804.635231481479</v>
      </c>
      <c r="F102" s="13">
        <v>42804.636307870373</v>
      </c>
      <c r="G102" s="7">
        <v>1</v>
      </c>
      <c r="H102" s="21" t="s">
        <v>527</v>
      </c>
      <c r="I102" s="13">
        <v>42804.670902777776</v>
      </c>
      <c r="J102" s="7">
        <v>0</v>
      </c>
      <c r="K102" s="98" t="str">
        <f t="shared" si="93"/>
        <v>4039/4040</v>
      </c>
      <c r="L102" s="21" t="str">
        <f>VLOOKUP(A102,'Trips&amp;Operators'!$C$1:$G$99999,5,FALSE)</f>
        <v>BRUDER RICHARD</v>
      </c>
      <c r="M102" s="6">
        <f t="shared" si="94"/>
        <v>3.4594907403516117E-2</v>
      </c>
      <c r="N102" s="7">
        <f t="shared" si="91"/>
        <v>49.816666661063209</v>
      </c>
      <c r="O102" s="7"/>
      <c r="P102" s="7"/>
      <c r="Q102" s="22"/>
      <c r="R102" s="22"/>
      <c r="S102" s="31">
        <f t="shared" si="92"/>
        <v>1</v>
      </c>
      <c r="T102" s="46" t="str">
        <f t="shared" si="95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85"/>
        <v>https://d0f6bd738d7f1b3e5a7ca70fe4ff75f0.us-east-1.aws.found.io/app/kibana#/discover/Steve-Slow-Train-Analysis-(2080s-and-2083s)?_g=(refreshInterval:(display:Off,pause:!f,section:0,value:0),time:(from:'2017-03-10T14:14:44-0700',mode:absolute,to:'2017-03-10T17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2" s="187" t="str">
        <f t="shared" si="96"/>
        <v>N</v>
      </c>
      <c r="X102" s="187">
        <f t="shared" si="102"/>
        <v>2</v>
      </c>
      <c r="Y102" s="62">
        <f t="shared" si="97"/>
        <v>4.7300000000000002E-2</v>
      </c>
      <c r="Z102" s="62">
        <f t="shared" si="98"/>
        <v>23.331700000000001</v>
      </c>
      <c r="AA102" s="62">
        <f t="shared" si="99"/>
        <v>23.284400000000002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100"/>
        <v>0193-10</v>
      </c>
      <c r="AE102" s="85" t="str">
        <f t="shared" si="86"/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AF102" s="82" t="str">
        <f t="shared" si="87"/>
        <v>"C:\Program Files (x86)\AstroGrep\AstroGrep.exe" /e /r /s /spath="%USERPROFILE%\AppData\Local\Temp\OnboardLogs" /stypes="app*4040*20170310*" /stext=" 23:.+((SYSTEM_STATE.+slice.+state.+changed )|(ment ac)|(multiple cpu faults)|(system.+state.+changed )|(\[timeout)|(PRM\|1\|D)|(kpr)|(kdp)|(\|lc)|(penalty))"</v>
      </c>
      <c r="AG102" s="1" t="str">
        <f t="shared" si="101"/>
        <v>EC</v>
      </c>
      <c r="AH102" s="86" t="str">
        <f t="shared" si="88"/>
        <v>"%USERPROFILE%\Documents\GitHub\eaglep3\Utilities\RefineRTDCRunTimes.py" --tripid 193-10 --locoid 4040 --swversion DE.1.0.9.0 --startMP 204:473 --initTime 2017-03-10T15:14:44 --startdatetime 2017-03-10T15:16:17 --delay 1 --endMP 204:233317 --enddatetime 2017-03-10T16:06:06 --enforcementcount 0 &gt;&gt;C:\Users\stu\Documents\GitHub\eaglep3-reporting\EC\2017-03-10-refined-times.txt</v>
      </c>
      <c r="AI102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{"issue":{"subject":"","project_id":79,"tracker_id":40,"status_id":1,"priority_id":2,"assigned_to_id":23,"start_date":"2017-03-10","description":"","custom_fields":[{"id":1,"name":"Subdivision","value":"EC"},{"id":4,"name":"Milepost","value":"23.3317"},{"id":17,"name":"Train ID","value":"193-10"},{"id":16,"name":"Locomotive ID","value":"4040"},{"id":130,"name":"Impact","value":""},{"id":150,"name":"Time of Event (Mountain Time)","value":"16:06:06"},{"id":151,"name":"Denver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90"/>
        <v>start /low /b %USERPROFILE%\Documents\GitHub\eaglep3\Utilities\DownloadLogsFromS3.py --loco 4040 --day 2017-03-10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"%USERPROFILE%\AppData\Local\Temp\OnboardLogs"\RTDC4040\*4040*20170310* | grep -SE "(Enforcement Action)|(\[TIMEOUT)|(CHR.+\|PRM\|1\|D.+(SWITCH|SIGNAL).+UNKNOWN)" - &gt;&gt; 2017-03-10-UncaughtWiMAX.txt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731</v>
      </c>
      <c r="B103" s="7">
        <v>4039</v>
      </c>
      <c r="C103" s="21" t="s">
        <v>239</v>
      </c>
      <c r="D103" s="21" t="s">
        <v>412</v>
      </c>
      <c r="E103" s="13">
        <v>42804.67491898148</v>
      </c>
      <c r="F103" s="13">
        <v>42804.675833333335</v>
      </c>
      <c r="G103" s="7">
        <v>1</v>
      </c>
      <c r="H103" s="21" t="s">
        <v>184</v>
      </c>
      <c r="I103" s="13">
        <v>42804.705543981479</v>
      </c>
      <c r="J103" s="7">
        <v>0</v>
      </c>
      <c r="K103" s="98" t="str">
        <f t="shared" si="93"/>
        <v>4039/4040</v>
      </c>
      <c r="L103" s="21" t="str">
        <f>VLOOKUP(A103,'Trips&amp;Operators'!$C$1:$G$99999,5,FALSE)</f>
        <v>BRUDER RICHARD</v>
      </c>
      <c r="M103" s="6">
        <f t="shared" si="94"/>
        <v>2.9710648144828156E-2</v>
      </c>
      <c r="N103" s="7">
        <f t="shared" si="91"/>
        <v>42.783333328552544</v>
      </c>
      <c r="O103" s="7"/>
      <c r="P103" s="7"/>
      <c r="Q103" s="22"/>
      <c r="R103" s="22"/>
      <c r="S103" s="31">
        <f t="shared" si="92"/>
        <v>1</v>
      </c>
      <c r="T103" s="46" t="str">
        <f t="shared" si="95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85"/>
        <v>https://d0f6bd738d7f1b3e5a7ca70fe4ff75f0.us-east-1.aws.found.io/app/kibana#/discover/Steve-Slow-Train-Analysis-(2080s-and-2083s)?_g=(refreshInterval:(display:Off,pause:!f,section:0,value:0),time:(from:'2017-03-10T15:11:53-0700',mode:absolute,to:'2017-03-10T17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3" s="187" t="str">
        <f t="shared" si="96"/>
        <v>N</v>
      </c>
      <c r="X103" s="187">
        <f t="shared" si="102"/>
        <v>1</v>
      </c>
      <c r="Y103" s="62">
        <f t="shared" si="97"/>
        <v>23.299299999999999</v>
      </c>
      <c r="Z103" s="62">
        <f t="shared" si="98"/>
        <v>1.49E-2</v>
      </c>
      <c r="AA103" s="62">
        <f t="shared" si="99"/>
        <v>23.284399999999998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100"/>
        <v>0194-10</v>
      </c>
      <c r="AE103" s="85" t="str">
        <f t="shared" si="86"/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AF103" s="82" t="str">
        <f t="shared" si="87"/>
        <v>"C:\Program Files (x86)\AstroGrep\AstroGrep.exe" /e /r /s /spath="%USERPROFILE%\AppData\Local\Temp\OnboardLogs" /stypes="app*4039*20170310*" /stext=" 23:.+((SYSTEM_STATE.+slice.+state.+changed )|(ment ac)|(multiple cpu faults)|(system.+state.+changed )|(\[timeout)|(PRM\|1\|D)|(kpr)|(kdp)|(\|lc)|(penalty))"</v>
      </c>
      <c r="AG103" s="1" t="str">
        <f t="shared" si="101"/>
        <v>EC</v>
      </c>
      <c r="AH103" s="86" t="str">
        <f t="shared" si="88"/>
        <v>"%USERPROFILE%\Documents\GitHub\eaglep3\Utilities\RefineRTDCRunTimes.py" --tripid 194-10 --locoid 4039 --swversion DE.1.0.9.0 --startMP 204:232993 --initTime 2017-03-10T16:11:53 --startdatetime 2017-03-10T16:13:12 --delay 1 --endMP 204:149 --enddatetime 2017-03-10T16:55:59 --enforcementcount 0 &gt;&gt;C:\Users\stu\Documents\GitHub\eaglep3-reporting\EC\2017-03-10-refined-times.txt</v>
      </c>
      <c r="AI103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{"issue":{"subject":"","project_id":79,"tracker_id":40,"status_id":1,"priority_id":2,"assigned_to_id":23,"start_date":"2017-03-10","description":"","custom_fields":[{"id":1,"name":"Subdivision","value":"EC"},{"id":4,"name":"Milepost","value":"0.0149"},{"id":17,"name":"Train ID","value":"194-10"},{"id":16,"name":"Locomotive ID","value":"4039"},{"id":130,"name":"Impact","value":""},{"id":150,"name":"Time of Event (Mountain Time)","value":"16:55:59"},{"id":151,"name":"Denver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90"/>
        <v>start /low /b %USERPROFILE%\Documents\GitHub\eaglep3\Utilities\DownloadLogsFromS3.py --loco 4039 --day 2017-03-10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"%USERPROFILE%\AppData\Local\Temp\OnboardLogs"\RTDC4039\*4039*20170310* | grep -SE "(Enforcement Action)|(\[TIMEOUT)|(CHR.+\|PRM\|1\|D.+(SWITCH|SIGNAL).+UNKNOWN)" - &gt;&gt; 2017-03-10-UncaughtWiMAX.txt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726</v>
      </c>
      <c r="B104" s="7">
        <v>4009</v>
      </c>
      <c r="C104" s="21" t="s">
        <v>239</v>
      </c>
      <c r="D104" s="21" t="s">
        <v>875</v>
      </c>
      <c r="E104" s="13">
        <v>42804.64340277778</v>
      </c>
      <c r="F104" s="13">
        <v>42804.64435185185</v>
      </c>
      <c r="G104" s="7">
        <v>1</v>
      </c>
      <c r="H104" s="21" t="s">
        <v>834</v>
      </c>
      <c r="I104" s="13">
        <v>42804.677256944444</v>
      </c>
      <c r="J104" s="7">
        <v>0</v>
      </c>
      <c r="K104" s="98" t="str">
        <f t="shared" si="93"/>
        <v>4009/4010</v>
      </c>
      <c r="L104" s="21" t="str">
        <f>VLOOKUP(A104,'Trips&amp;Operators'!$C$1:$G$99999,5,FALSE)</f>
        <v>HOLCOMB KAMDEN</v>
      </c>
      <c r="M104" s="6">
        <f t="shared" si="94"/>
        <v>3.2905092593864538E-2</v>
      </c>
      <c r="N104" s="7">
        <f t="shared" si="91"/>
        <v>47.383333335164934</v>
      </c>
      <c r="O104" s="7"/>
      <c r="P104" s="7"/>
      <c r="Q104" s="22"/>
      <c r="R104" s="22"/>
      <c r="S104" s="31">
        <f t="shared" si="92"/>
        <v>1</v>
      </c>
      <c r="T104" s="46" t="str">
        <f t="shared" si="95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85"/>
        <v>https://d0f6bd738d7f1b3e5a7ca70fe4ff75f0.us-east-1.aws.found.io/app/kibana#/discover/Steve-Slow-Train-Analysis-(2080s-and-2083s)?_g=(refreshInterval:(display:Off,pause:!f,section:0,value:0),time:(from:'2017-03-10T14:26:30-0700',mode:absolute,to:'2017-03-10T17:15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4" s="187" t="str">
        <f t="shared" si="96"/>
        <v>N</v>
      </c>
      <c r="X104" s="187">
        <f t="shared" si="102"/>
        <v>1</v>
      </c>
      <c r="Y104" s="62">
        <f t="shared" si="97"/>
        <v>4.24E-2</v>
      </c>
      <c r="Z104" s="62">
        <f t="shared" si="98"/>
        <v>23.297699999999999</v>
      </c>
      <c r="AA104" s="62">
        <f t="shared" si="99"/>
        <v>23.255299999999998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100"/>
        <v>0195-10</v>
      </c>
      <c r="AE104" s="85" t="str">
        <f t="shared" si="86"/>
        <v>aws s3 cp s3://rtdc.mdm.uploadarchive.raw/RTDC4009/ "%USERPROFILE%\AppData\Local\Temp\OnboardLogs"\RTDC4009\2017-03-10 --exclude "*" --recursive --include "*20170310*" &amp; "%USERPROFILE%\Documents\GitHub\mrs-test-scripts\Headless Mode &amp; Sideloading\WalkAndUnGZ.bat" "%USERPROFILE%\AppData\Local\Temp\OnboardLogs"\RTDC4009\2017-03-10 &amp; 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</v>
      </c>
      <c r="AF104" s="82" t="str">
        <f t="shared" si="87"/>
        <v>"C:\Program Files (x86)\AstroGrep\AstroGrep.exe" /e /r /s /spath="%USERPROFILE%\AppData\Local\Temp\OnboardLogs" /stypes="app*4009*20170310*" /stext=" 23:.+((SYSTEM_STATE.+slice.+state.+changed )|(ment ac)|(multiple cpu faults)|(system.+state.+changed )|(\[timeout)|(PRM\|1\|D)|(kpr)|(kdp)|(\|lc)|(penalty))"</v>
      </c>
      <c r="AG104" s="1" t="str">
        <f t="shared" si="101"/>
        <v>EC</v>
      </c>
      <c r="AH104" s="86" t="str">
        <f t="shared" si="88"/>
        <v>"%USERPROFILE%\Documents\GitHub\eaglep3\Utilities\RefineRTDCRunTimes.py" --tripid 195-10 --locoid 4009 --swversion DE.1.0.9.0 --startMP 204:424 --initTime 2017-03-10T15:26:30 --startdatetime 2017-03-10T15:27:52 --delay 1 --endMP 204:232977 --enddatetime 2017-03-10T16:15:15 --enforcementcount 0 &gt;&gt;C:\Users\stu\Documents\GitHub\eaglep3-reporting\EC\2017-03-10-refined-times.txt</v>
      </c>
      <c r="AI104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{"issue":{"subject":"","project_id":79,"tracker_id":40,"status_id":1,"priority_id":2,"assigned_to_id":23,"start_date":"2017-03-10","description":"","custom_fields":[{"id":1,"name":"Subdivision","value":"EC"},{"id":4,"name":"Milepost","value":"23.2977"},{"id":17,"name":"Train ID","value":"195-10"},{"id":16,"name":"Locomotive ID","value":"4009"},{"id":130,"name":"Impact","value":""},{"id":150,"name":"Time of Event (Mountain Time)","value":"16:15:15"},{"id":151,"name":"Denver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90"/>
        <v>start /low /b %USERPROFILE%\Documents\GitHub\eaglep3\Utilities\DownloadLogsFromS3.py --loco 4009 --day 2017-03-10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"%USERPROFILE%\AppData\Local\Temp\OnboardLogs"\RTDC4009\*4009*20170310* | grep -SE "(Enforcement Action)|(\[TIMEOUT)|(CHR.+\|PRM\|1\|D.+(SWITCH|SIGNAL).+UNKNOWN)" - &gt;&gt; 2017-03-10-UncaughtWiMAX.txt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599</v>
      </c>
      <c r="B105" s="7">
        <v>4010</v>
      </c>
      <c r="C105" s="21" t="s">
        <v>239</v>
      </c>
      <c r="D105" s="21" t="s">
        <v>876</v>
      </c>
      <c r="E105" s="13">
        <v>42804.678518518522</v>
      </c>
      <c r="F105" s="13">
        <v>42804.679328703707</v>
      </c>
      <c r="G105" s="7">
        <v>1</v>
      </c>
      <c r="H105" s="21" t="s">
        <v>184</v>
      </c>
      <c r="I105" s="13">
        <v>42804.717465277776</v>
      </c>
      <c r="J105" s="7">
        <v>0</v>
      </c>
      <c r="K105" s="98" t="str">
        <f t="shared" si="93"/>
        <v>4009/4010</v>
      </c>
      <c r="L105" s="21" t="str">
        <f>VLOOKUP(A105,'Trips&amp;Operators'!$C$1:$G$99999,5,FALSE)</f>
        <v>HOLCOMB KAMDEN</v>
      </c>
      <c r="M105" s="6">
        <f t="shared" si="94"/>
        <v>3.813657406863058E-2</v>
      </c>
      <c r="N105" s="7">
        <f t="shared" si="91"/>
        <v>54.916666658828035</v>
      </c>
      <c r="O105" s="7"/>
      <c r="P105" s="7"/>
      <c r="Q105" s="22"/>
      <c r="R105" s="22"/>
      <c r="S105" s="31">
        <f t="shared" si="92"/>
        <v>1</v>
      </c>
      <c r="T105" s="46" t="str">
        <f t="shared" si="95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85"/>
        <v>https://d0f6bd738d7f1b3e5a7ca70fe4ff75f0.us-east-1.aws.found.io/app/kibana#/discover/Steve-Slow-Train-Analysis-(2080s-and-2083s)?_g=(refreshInterval:(display:Off,pause:!f,section:0,value:0),time:(from:'2017-03-10T15:17:04-0700',mode:absolute,to:'2017-03-10T18:13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5" s="187" t="str">
        <f t="shared" si="96"/>
        <v>N</v>
      </c>
      <c r="X105" s="187">
        <f t="shared" si="102"/>
        <v>1</v>
      </c>
      <c r="Y105" s="62">
        <f t="shared" si="97"/>
        <v>23.264099999999999</v>
      </c>
      <c r="Z105" s="62">
        <f t="shared" si="98"/>
        <v>1.49E-2</v>
      </c>
      <c r="AA105" s="62">
        <f t="shared" si="99"/>
        <v>23.249199999999998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100"/>
        <v>0196-10</v>
      </c>
      <c r="AE105" s="85" t="str">
        <f t="shared" si="86"/>
        <v>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 &amp; 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</v>
      </c>
      <c r="AF105" s="82" t="str">
        <f t="shared" si="87"/>
        <v>"C:\Program Files (x86)\AstroGrep\AstroGrep.exe" /e /r /s /spath="%USERPROFILE%\AppData\Local\Temp\OnboardLogs" /stypes="app*4010*20170311*" /stext=" 00:.+((SYSTEM_STATE.+slice.+state.+changed )|(ment ac)|(multiple cpu faults)|(system.+state.+changed )|(\[timeout)|(PRM\|1\|D)|(kpr)|(kdp)|(\|lc)|(penalty))"</v>
      </c>
      <c r="AG105" s="1" t="str">
        <f t="shared" si="101"/>
        <v>EC</v>
      </c>
      <c r="AH105" s="86" t="str">
        <f t="shared" si="88"/>
        <v>"%USERPROFILE%\Documents\GitHub\eaglep3\Utilities\RefineRTDCRunTimes.py" --tripid 196-10 --locoid 4010 --swversion DE.1.0.9.0 --startMP 204:232641 --initTime 2017-03-10T16:17:04 --startdatetime 2017-03-10T16:18:14 --delay 1 --endMP 204:149 --enddatetime 2017-03-10T17:13:09 --enforcementcount 0 &gt;&gt;C:\Users\stu\Documents\GitHub\eaglep3-reporting\EC\2017-03-10-refined-times.txt</v>
      </c>
      <c r="AI105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{"issue":{"subject":"","project_id":79,"tracker_id":40,"status_id":1,"priority_id":2,"assigned_to_id":23,"start_date":"2017-03-10","description":"","custom_fields":[{"id":1,"name":"Subdivision","value":"EC"},{"id":4,"name":"Milepost","value":"0.0149"},{"id":17,"name":"Train ID","value":"196-10"},{"id":16,"name":"Locomotive ID","value":"4010"},{"id":130,"name":"Impact","value":""},{"id":150,"name":"Time of Event (Mountain Time)","value":"17:13:09"},{"id":151,"name":"Denver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90"/>
        <v>start /low /b %USERPROFILE%\Documents\GitHub\eaglep3\Utilities\DownloadLogsFromS3.py --loco 4010 --day 2017-03-10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"%USERPROFILE%\AppData\Local\Temp\OnboardLogs"\RTDC4010\*4010*20170310* | grep -SE "(Enforcement Action)|(\[TIMEOUT)|(CHR.+\|PRM\|1\|D.+(SWITCH|SIGNAL).+UNKNOWN)" - &gt;&gt; 2017-03-10-UncaughtWiMAX.txt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729</v>
      </c>
      <c r="B106" s="7">
        <v>4011</v>
      </c>
      <c r="C106" s="21" t="s">
        <v>239</v>
      </c>
      <c r="D106" s="21" t="s">
        <v>253</v>
      </c>
      <c r="E106" s="13">
        <v>42804.65519675926</v>
      </c>
      <c r="F106" s="13">
        <v>42804.656134259261</v>
      </c>
      <c r="G106" s="7">
        <v>1</v>
      </c>
      <c r="H106" s="21" t="s">
        <v>877</v>
      </c>
      <c r="I106" s="13">
        <v>42804.682708333334</v>
      </c>
      <c r="J106" s="7">
        <v>0</v>
      </c>
      <c r="K106" s="98" t="str">
        <f t="shared" si="93"/>
        <v>4011/4012</v>
      </c>
      <c r="L106" s="21" t="str">
        <f>VLOOKUP(A106,'Trips&amp;Operators'!$C$1:$G$99999,5,FALSE)</f>
        <v>DELGADO DIANAH</v>
      </c>
      <c r="M106" s="6">
        <f t="shared" si="94"/>
        <v>2.6574074072414078E-2</v>
      </c>
      <c r="N106" s="7">
        <f t="shared" si="91"/>
        <v>38.266666664276272</v>
      </c>
      <c r="O106" s="7"/>
      <c r="P106" s="7"/>
      <c r="Q106" s="22"/>
      <c r="R106" s="22"/>
      <c r="S106" s="31">
        <f t="shared" si="92"/>
        <v>1</v>
      </c>
      <c r="T106" s="46" t="str">
        <f t="shared" si="95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85"/>
        <v>https://d0f6bd738d7f1b3e5a7ca70fe4ff75f0.us-east-1.aws.found.io/app/kibana#/discover/Steve-Slow-Train-Analysis-(2080s-and-2083s)?_g=(refreshInterval:(display:Off,pause:!f,section:0,value:0),time:(from:'2017-03-10T14:43:29-0700',mode:absolute,to:'2017-03-10T17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6" s="187" t="str">
        <f t="shared" si="96"/>
        <v>N</v>
      </c>
      <c r="X106" s="187">
        <f t="shared" si="102"/>
        <v>1</v>
      </c>
      <c r="Y106" s="62">
        <f t="shared" si="97"/>
        <v>4.6699999999999998E-2</v>
      </c>
      <c r="Z106" s="62">
        <f t="shared" si="98"/>
        <v>23.329799999999999</v>
      </c>
      <c r="AA106" s="62">
        <f t="shared" si="99"/>
        <v>23.283099999999997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100"/>
        <v>0197-10</v>
      </c>
      <c r="AE106" s="85" t="str">
        <f t="shared" si="86"/>
        <v>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 &amp; aws s3 cp s3://rtdc.mdm.uploadarchive.raw/RTDC4011/ "%USERPROFILE%\AppData\Local\Temp\OnboardLogs"\RTDC4011\2017-03-11 --exclude "*" --recursive --include "*20170311*" &amp; "%USERPROFILE%\Documents\GitHub\mrs-test-scripts\Headless Mode &amp; Sideloading\WalkAndUnGZ.bat" "%USERPROFILE%\AppData\Local\Temp\OnboardLogs"\RTDC4011\2017-03-11</v>
      </c>
      <c r="AF106" s="82" t="str">
        <f t="shared" si="87"/>
        <v>"C:\Program Files (x86)\AstroGrep\AstroGrep.exe" /e /r /s /spath="%USERPROFILE%\AppData\Local\Temp\OnboardLogs" /stypes="app*4011*20170310*" /stext=" 23:.+((SYSTEM_STATE.+slice.+state.+changed )|(ment ac)|(multiple cpu faults)|(system.+state.+changed )|(\[timeout)|(PRM\|1\|D)|(kpr)|(kdp)|(\|lc)|(penalty))"</v>
      </c>
      <c r="AG106" s="1" t="str">
        <f t="shared" si="101"/>
        <v>EC</v>
      </c>
      <c r="AH106" s="86" t="str">
        <f t="shared" si="88"/>
        <v>"%USERPROFILE%\Documents\GitHub\eaglep3\Utilities\RefineRTDCRunTimes.py" --tripid 197-10 --locoid 4011 --swversion DE.1.0.9.0 --startMP 204:467 --initTime 2017-03-10T15:43:29 --startdatetime 2017-03-10T15:44:50 --delay 1 --endMP 204:233298 --enddatetime 2017-03-10T16:23:06 --enforcementcount 0 &gt;&gt;C:\Users\stu\Documents\GitHub\eaglep3-reporting\EC\2017-03-10-refined-times.txt</v>
      </c>
      <c r="AI106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{"issue":{"subject":"","project_id":79,"tracker_id":40,"status_id":1,"priority_id":2,"assigned_to_id":23,"start_date":"2017-03-10","description":"","custom_fields":[{"id":1,"name":"Subdivision","value":"EC"},{"id":4,"name":"Milepost","value":"23.3298"},{"id":17,"name":"Train ID","value":"197-10"},{"id":16,"name":"Locomotive ID","value":"4011"},{"id":130,"name":"Impact","value":""},{"id":150,"name":"Time of Event (Mountain Time)","value":"16:23:06"},{"id":151,"name":"Denver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90"/>
        <v>start /low /b %USERPROFILE%\Documents\GitHub\eaglep3\Utilities\DownloadLogsFromS3.py --loco 4011 --day 2017-03-10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2017-03-10-UncaughtWiMAX.txt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737</v>
      </c>
      <c r="B107" s="7">
        <v>4012</v>
      </c>
      <c r="C107" s="21" t="s">
        <v>239</v>
      </c>
      <c r="D107" s="21" t="s">
        <v>480</v>
      </c>
      <c r="E107" s="13">
        <v>42804.693344907406</v>
      </c>
      <c r="F107" s="13">
        <v>42804.694305555553</v>
      </c>
      <c r="G107" s="7">
        <v>1</v>
      </c>
      <c r="H107" s="21" t="s">
        <v>184</v>
      </c>
      <c r="I107" s="13">
        <v>42804.725543981483</v>
      </c>
      <c r="J107" s="7">
        <v>0</v>
      </c>
      <c r="K107" s="98" t="str">
        <f t="shared" si="93"/>
        <v>4011/4012</v>
      </c>
      <c r="L107" s="21" t="str">
        <f>VLOOKUP(A107,'Trips&amp;Operators'!$C$1:$G$99999,5,FALSE)</f>
        <v>DELGADO DIANAH</v>
      </c>
      <c r="M107" s="6">
        <f t="shared" si="94"/>
        <v>3.1238425930496305E-2</v>
      </c>
      <c r="N107" s="7">
        <f t="shared" si="91"/>
        <v>44.98333333991468</v>
      </c>
      <c r="O107" s="7"/>
      <c r="P107" s="7"/>
      <c r="Q107" s="22"/>
      <c r="R107" s="22"/>
      <c r="S107" s="31">
        <f t="shared" si="92"/>
        <v>1</v>
      </c>
      <c r="T107" s="46" t="str">
        <f t="shared" si="95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85"/>
        <v>https://d0f6bd738d7f1b3e5a7ca70fe4ff75f0.us-east-1.aws.found.io/app/kibana#/discover/Steve-Slow-Train-Analysis-(2080s-and-2083s)?_g=(refreshInterval:(display:Off,pause:!f,section:0,value:0),time:(from:'2017-03-10T15:38:25-0700',mode:absolute,to:'2017-03-10T18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187" t="str">
        <f t="shared" si="96"/>
        <v>N</v>
      </c>
      <c r="X107" s="187">
        <f t="shared" si="102"/>
        <v>1</v>
      </c>
      <c r="Y107" s="62">
        <f t="shared" si="97"/>
        <v>23.3002</v>
      </c>
      <c r="Z107" s="62">
        <f t="shared" si="98"/>
        <v>1.49E-2</v>
      </c>
      <c r="AA107" s="62">
        <f t="shared" si="99"/>
        <v>23.285299999999999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100"/>
        <v>0198-10</v>
      </c>
      <c r="AE107" s="85" t="str">
        <f t="shared" si="86"/>
        <v>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 &amp; aws s3 cp s3://rtdc.mdm.uploadarchive.raw/RTDC4012/ "%USERPROFILE%\AppData\Local\Temp\OnboardLogs"\RTDC4012\2017-03-11 --exclude "*" --recursive --include "*20170311*" &amp; "%USERPROFILE%\Documents\GitHub\mrs-test-scripts\Headless Mode &amp; Sideloading\WalkAndUnGZ.bat" "%USERPROFILE%\AppData\Local\Temp\OnboardLogs"\RTDC4012\2017-03-11</v>
      </c>
      <c r="AF107" s="82" t="str">
        <f t="shared" si="87"/>
        <v>"C:\Program Files (x86)\AstroGrep\AstroGrep.exe" /e /r /s /spath="%USERPROFILE%\AppData\Local\Temp\OnboardLogs" /stypes="app*4012*20170311*" /stext=" 00:.+((SYSTEM_STATE.+slice.+state.+changed )|(ment ac)|(multiple cpu faults)|(system.+state.+changed )|(\[timeout)|(PRM\|1\|D)|(kpr)|(kdp)|(\|lc)|(penalty))"</v>
      </c>
      <c r="AG107" s="1" t="str">
        <f t="shared" si="101"/>
        <v>EC</v>
      </c>
      <c r="AH107" s="86" t="str">
        <f t="shared" si="88"/>
        <v>"%USERPROFILE%\Documents\GitHub\eaglep3\Utilities\RefineRTDCRunTimes.py" --tripid 198-10 --locoid 4012 --swversion DE.1.0.9.0 --startMP 204:233002 --initTime 2017-03-10T16:38:25 --startdatetime 2017-03-10T16:39:48 --delay 1 --endMP 204:149 --enddatetime 2017-03-10T17:24:47 --enforcementcount 0 &gt;&gt;C:\Users\stu\Documents\GitHub\eaglep3-reporting\EC\2017-03-10-refined-times.txt</v>
      </c>
      <c r="AI107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{"issue":{"subject":"","project_id":79,"tracker_id":40,"status_id":1,"priority_id":2,"assigned_to_id":23,"start_date":"2017-03-10","description":"","custom_fields":[{"id":1,"name":"Subdivision","value":"EC"},{"id":4,"name":"Milepost","value":"0.0149"},{"id":17,"name":"Train ID","value":"198-10"},{"id":16,"name":"Locomotive ID","value":"4012"},{"id":130,"name":"Impact","value":""},{"id":150,"name":"Time of Event (Mountain Time)","value":"17:24:47"},{"id":151,"name":"Denver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90"/>
        <v>start /low /b %USERPROFILE%\Documents\GitHub\eaglep3\Utilities\DownloadLogsFromS3.py --loco 4012 --day 2017-03-10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"%USERPROFILE%\AppData\Local\Temp\OnboardLogs"\RTDC4012\*4012*20170311* | grep -SE "(Enforcement Action)|(\[TIMEOUT)|(CHR.+\|PRM\|1\|D.+(SWITCH|SIGNAL).+UNKNOWN)" - &gt;&gt; 2017-03-10-UncaughtWiMAX.txt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594</v>
      </c>
      <c r="B108" s="7">
        <v>4027</v>
      </c>
      <c r="C108" s="21" t="s">
        <v>239</v>
      </c>
      <c r="D108" s="21" t="s">
        <v>234</v>
      </c>
      <c r="E108" s="13">
        <v>42804.663460648146</v>
      </c>
      <c r="F108" s="13">
        <v>42804.664560185185</v>
      </c>
      <c r="G108" s="7">
        <v>1</v>
      </c>
      <c r="H108" s="21" t="s">
        <v>528</v>
      </c>
      <c r="I108" s="13">
        <v>42804.694930555554</v>
      </c>
      <c r="J108" s="7">
        <v>0</v>
      </c>
      <c r="K108" s="98" t="str">
        <f t="shared" si="93"/>
        <v>4027/4028</v>
      </c>
      <c r="L108" s="21" t="str">
        <f>VLOOKUP(A108,'Trips&amp;Operators'!$C$1:$G$99999,5,FALSE)</f>
        <v>LOPES KIMBERLY</v>
      </c>
      <c r="M108" s="6">
        <f t="shared" si="94"/>
        <v>3.0370370368473232E-2</v>
      </c>
      <c r="N108" s="7">
        <f t="shared" si="91"/>
        <v>43.733333330601454</v>
      </c>
      <c r="O108" s="7"/>
      <c r="P108" s="7"/>
      <c r="Q108" s="22"/>
      <c r="R108" s="22"/>
      <c r="S108" s="31">
        <f t="shared" si="92"/>
        <v>1</v>
      </c>
      <c r="T108" s="46" t="str">
        <f t="shared" si="95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85"/>
        <v>https://d0f6bd738d7f1b3e5a7ca70fe4ff75f0.us-east-1.aws.found.io/app/kibana#/discover/Steve-Slow-Train-Analysis-(2080s-and-2083s)?_g=(refreshInterval:(display:Off,pause:!f,section:0,value:0),time:(from:'2017-03-10T14:55:23-0700',mode:absolute,to:'2017-03-10T17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8" s="187" t="str">
        <f t="shared" si="96"/>
        <v>N</v>
      </c>
      <c r="X108" s="187">
        <f t="shared" si="102"/>
        <v>1</v>
      </c>
      <c r="Y108" s="62">
        <f t="shared" si="97"/>
        <v>4.6600000000000003E-2</v>
      </c>
      <c r="Z108" s="62">
        <f t="shared" si="98"/>
        <v>23.330500000000001</v>
      </c>
      <c r="AA108" s="62">
        <f t="shared" si="99"/>
        <v>23.283899999999999</v>
      </c>
      <c r="AB108" s="59" t="str">
        <f>VLOOKUP(A108,Enforcements!$C$7:$K$13,8,0)</f>
        <v>Bulletin (2)</v>
      </c>
      <c r="AC108" s="55" t="str">
        <f>VLOOKUP(A108,Enforcements!$C$7:$E$13,3,0)</f>
        <v>GRADE CROSSING</v>
      </c>
      <c r="AD108" s="56" t="str">
        <f t="shared" si="100"/>
        <v>0199-10</v>
      </c>
      <c r="AE108" s="85" t="str">
        <f t="shared" si="86"/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AF108" s="82" t="str">
        <f t="shared" si="87"/>
        <v>"C:\Program Files (x86)\AstroGrep\AstroGrep.exe" /e /r /s /spath="%USERPROFILE%\AppData\Local\Temp\OnboardLogs" /stypes="app*4027*20170310*" /stext=" 23:.+((SYSTEM_STATE.+slice.+state.+changed )|(ment ac)|(multiple cpu faults)|(system.+state.+changed )|(\[timeout)|(PRM\|1\|D)|(kpr)|(kdp)|(\|lc)|(penalty))"</v>
      </c>
      <c r="AG108" s="1" t="str">
        <f t="shared" si="101"/>
        <v>EC</v>
      </c>
      <c r="AH108" s="86" t="str">
        <f t="shared" si="88"/>
        <v>"%USERPROFILE%\Documents\GitHub\eaglep3\Utilities\RefineRTDCRunTimes.py" --tripid 199-10 --locoid 4027 --swversion DE.1.0.9.0 --startMP 204:466 --initTime 2017-03-10T15:55:23 --startdatetime 2017-03-10T15:56:58 --delay 1 --endMP 204:233305 --enddatetime 2017-03-10T16:40:42 --enforcementcount 0 &gt;&gt;C:\Users\stu\Documents\GitHub\eaglep3-reporting\EC\2017-03-10-refined-times.txt</v>
      </c>
      <c r="AI108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{"issue":{"subject":"","project_id":79,"tracker_id":40,"status_id":1,"priority_id":2,"assigned_to_id":23,"start_date":"2017-03-10","description":"","custom_fields":[{"id":1,"name":"Subdivision","value":"EC"},{"id":4,"name":"Milepost","value":"23.3305"},{"id":17,"name":"Train ID","value":"199-10"},{"id":16,"name":"Locomotive ID","value":"4027"},{"id":130,"name":"Impact","value":""},{"id":150,"name":"Time of Event (Mountain Time)","value":"16:40:42"},{"id":151,"name":"Denver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90"/>
        <v>start /low /b %USERPROFILE%\Documents\GitHub\eaglep3\Utilities\DownloadLogsFromS3.py --loco 4027 --day 2017-03-10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"%USERPROFILE%\AppData\Local\Temp\OnboardLogs"\RTDC4027\*4027*20170310* | grep -SE "(Enforcement Action)|(\[TIMEOUT)|(CHR.+\|PRM\|1\|D.+(SWITCH|SIGNAL).+UNKNOWN)" - &gt;&gt; 2017-03-10-UncaughtWiMAX.txt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738</v>
      </c>
      <c r="B109" s="7">
        <v>4028</v>
      </c>
      <c r="C109" s="21" t="s">
        <v>239</v>
      </c>
      <c r="D109" s="21" t="s">
        <v>265</v>
      </c>
      <c r="E109" s="13">
        <v>42804.702696759261</v>
      </c>
      <c r="F109" s="13">
        <v>42804.704282407409</v>
      </c>
      <c r="G109" s="7">
        <v>2</v>
      </c>
      <c r="H109" s="21" t="s">
        <v>208</v>
      </c>
      <c r="I109" s="13">
        <v>42804.735833333332</v>
      </c>
      <c r="J109" s="7">
        <v>0</v>
      </c>
      <c r="K109" s="98" t="str">
        <f t="shared" si="93"/>
        <v>4027/4028</v>
      </c>
      <c r="L109" s="21" t="str">
        <f>VLOOKUP(A109,'Trips&amp;Operators'!$C$1:$G$99999,5,FALSE)</f>
        <v>LOPES KIMBERLY</v>
      </c>
      <c r="M109" s="6">
        <f t="shared" si="94"/>
        <v>3.1550925923511386E-2</v>
      </c>
      <c r="N109" s="7">
        <f t="shared" si="91"/>
        <v>45.433333329856396</v>
      </c>
      <c r="O109" s="7"/>
      <c r="P109" s="7"/>
      <c r="Q109" s="22"/>
      <c r="R109" s="22"/>
      <c r="S109" s="31">
        <f t="shared" si="92"/>
        <v>1</v>
      </c>
      <c r="T109" s="46" t="str">
        <f t="shared" si="95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85"/>
        <v>https://d0f6bd738d7f1b3e5a7ca70fe4ff75f0.us-east-1.aws.found.io/app/kibana#/discover/Steve-Slow-Train-Analysis-(2080s-and-2083s)?_g=(refreshInterval:(display:Off,pause:!f,section:0,value:0),time:(from:'2017-03-10T15:51:53-0700',mode:absolute,to:'2017-03-10T18:39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87" t="str">
        <f t="shared" si="96"/>
        <v>N</v>
      </c>
      <c r="X109" s="187">
        <f t="shared" si="102"/>
        <v>1</v>
      </c>
      <c r="Y109" s="62">
        <f t="shared" si="97"/>
        <v>23.297799999999999</v>
      </c>
      <c r="Z109" s="62">
        <f t="shared" si="98"/>
        <v>1.54E-2</v>
      </c>
      <c r="AA109" s="62">
        <f t="shared" si="99"/>
        <v>23.282399999999999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100"/>
        <v>0200-10</v>
      </c>
      <c r="AE109" s="85" t="str">
        <f t="shared" si="86"/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AF109" s="82" t="str">
        <f t="shared" si="87"/>
        <v>"C:\Program Files (x86)\AstroGrep\AstroGrep.exe" /e /r /s /spath="%USERPROFILE%\AppData\Local\Temp\OnboardLogs" /stypes="app*4028*20170311*" /stext=" 00:.+((SYSTEM_STATE.+slice.+state.+changed )|(ment ac)|(multiple cpu faults)|(system.+state.+changed )|(\[timeout)|(PRM\|1\|D)|(kpr)|(kdp)|(\|lc)|(penalty))"</v>
      </c>
      <c r="AG109" s="1" t="str">
        <f t="shared" si="101"/>
        <v>EC</v>
      </c>
      <c r="AH109" s="86" t="str">
        <f t="shared" si="88"/>
        <v>"%USERPROFILE%\Documents\GitHub\eaglep3\Utilities\RefineRTDCRunTimes.py" --tripid 200-10 --locoid 4028 --swversion DE.1.0.9.0 --startMP 204:232978 --initTime 2017-03-10T16:51:53 --startdatetime 2017-03-10T16:54:10 --delay 2 --endMP 204:154 --enddatetime 2017-03-10T17:39:36 --enforcementcount 0 &gt;&gt;C:\Users\stu\Documents\GitHub\eaglep3-reporting\EC\2017-03-10-refined-times.txt</v>
      </c>
      <c r="AI109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{"issue":{"subject":"","project_id":79,"tracker_id":40,"status_id":1,"priority_id":2,"assigned_to_id":23,"start_date":"2017-03-10","description":"","custom_fields":[{"id":1,"name":"Subdivision","value":"EC"},{"id":4,"name":"Milepost","value":"0.0154"},{"id":17,"name":"Train ID","value":"200-10"},{"id":16,"name":"Locomotive ID","value":"4028"},{"id":130,"name":"Impact","value":""},{"id":150,"name":"Time of Event (Mountain Time)","value":"17:39:36"},{"id":151,"name":"Denver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90"/>
        <v>start /low /b %USERPROFILE%\Documents\GitHub\eaglep3\Utilities\DownloadLogsFromS3.py --loco 4028 --day 2017-03-10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"%USERPROFILE%\AppData\Local\Temp\OnboardLogs"\RTDC4028\*4028*20170311* | grep -SE "(Enforcement Action)|(\[TIMEOUT)|(CHR.+\|PRM\|1\|D.+(SWITCH|SIGNAL).+UNKNOWN)" - &gt;&gt; 2017-03-10-UncaughtWiMAX.txt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732</v>
      </c>
      <c r="B110" s="7">
        <v>4053</v>
      </c>
      <c r="C110" s="21" t="s">
        <v>239</v>
      </c>
      <c r="D110" s="21" t="s">
        <v>526</v>
      </c>
      <c r="E110" s="13">
        <v>42804.67523148148</v>
      </c>
      <c r="F110" s="13">
        <v>42804.676365740743</v>
      </c>
      <c r="G110" s="7">
        <v>1</v>
      </c>
      <c r="H110" s="21" t="s">
        <v>878</v>
      </c>
      <c r="I110" s="13">
        <v>42804.703657407408</v>
      </c>
      <c r="J110" s="7">
        <v>0</v>
      </c>
      <c r="K110" s="98" t="str">
        <f t="shared" si="93"/>
        <v>4053/4054</v>
      </c>
      <c r="L110" s="21" t="str">
        <f>VLOOKUP(A110,'Trips&amp;Operators'!$C$1:$G$99999,5,FALSE)</f>
        <v>STEWART MICHAEL</v>
      </c>
      <c r="M110" s="6">
        <f t="shared" si="94"/>
        <v>2.7291666665405501E-2</v>
      </c>
      <c r="N110" s="7">
        <f t="shared" si="91"/>
        <v>39.299999998183921</v>
      </c>
      <c r="O110" s="7"/>
      <c r="P110" s="7"/>
      <c r="Q110" s="22"/>
      <c r="R110" s="22"/>
      <c r="S110" s="31">
        <f t="shared" si="92"/>
        <v>1</v>
      </c>
      <c r="T110" s="46" t="str">
        <f t="shared" si="95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85"/>
        <v>https://d0f6bd738d7f1b3e5a7ca70fe4ff75f0.us-east-1.aws.found.io/app/kibana#/discover/Steve-Slow-Train-Analysis-(2080s-and-2083s)?_g=(refreshInterval:(display:Off,pause:!f,section:0,value:0),time:(from:'2017-03-10T15:12:20-0700',mode:absolute,to:'2017-03-10T17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87" t="str">
        <f t="shared" si="96"/>
        <v>N</v>
      </c>
      <c r="X110" s="187">
        <f t="shared" si="102"/>
        <v>1</v>
      </c>
      <c r="Y110" s="62">
        <f t="shared" si="97"/>
        <v>4.8000000000000001E-2</v>
      </c>
      <c r="Z110" s="62">
        <f t="shared" si="98"/>
        <v>23.325700000000001</v>
      </c>
      <c r="AA110" s="62">
        <f t="shared" si="99"/>
        <v>23.277700000000003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100"/>
        <v>0201-10</v>
      </c>
      <c r="AE110" s="85" t="str">
        <f t="shared" si="86"/>
        <v>aws s3 cp s3://rtdc.mdm.uploadarchive.raw/RTDC4053/ "%USERPROFILE%\AppData\Local\Temp\OnboardLogs"\RTDC4053\2017-03-10 --exclude "*" --recursive --include "*20170310*" &amp; "%USERPROFILE%\Documents\GitHub\mrs-test-scripts\Headless Mode &amp; Sideloading\WalkAndUnGZ.bat" "%USERPROFILE%\AppData\Local\Temp\OnboardLogs"\RTDC4053\2017-03-10 &amp; aws s3 cp s3://rtdc.mdm.uploadarchive.raw/RTDC4053/ "%USERPROFILE%\AppData\Local\Temp\OnboardLogs"\RTDC4053\2017-03-11 --exclude "*" --recursive --include "*20170311*" &amp; "%USERPROFILE%\Documents\GitHub\mrs-test-scripts\Headless Mode &amp; Sideloading\WalkAndUnGZ.bat" "%USERPROFILE%\AppData\Local\Temp\OnboardLogs"\RTDC4053\2017-03-11</v>
      </c>
      <c r="AF110" s="82" t="str">
        <f t="shared" si="87"/>
        <v>"C:\Program Files (x86)\AstroGrep\AstroGrep.exe" /e /r /s /spath="%USERPROFILE%\AppData\Local\Temp\OnboardLogs" /stypes="app*4053*20170310*" /stext=" 23:.+((SYSTEM_STATE.+slice.+state.+changed )|(ment ac)|(multiple cpu faults)|(system.+state.+changed )|(\[timeout)|(PRM\|1\|D)|(kpr)|(kdp)|(\|lc)|(penalty))"</v>
      </c>
      <c r="AG110" s="1" t="str">
        <f t="shared" si="101"/>
        <v>EC</v>
      </c>
      <c r="AH110" s="86" t="str">
        <f t="shared" si="88"/>
        <v>"%USERPROFILE%\Documents\GitHub\eaglep3\Utilities\RefineRTDCRunTimes.py" --tripid 201-10 --locoid 4053 --swversion DE.1.0.9.0 --startMP 204:480 --initTime 2017-03-10T16:12:20 --startdatetime 2017-03-10T16:13:58 --delay 1 --endMP 204:233257 --enddatetime 2017-03-10T16:53:16 --enforcementcount 0 &gt;&gt;C:\Users\stu\Documents\GitHub\eaglep3-reporting\EC\2017-03-10-refined-times.txt</v>
      </c>
      <c r="AI110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{"issue":{"subject":"","project_id":79,"tracker_id":40,"status_id":1,"priority_id":2,"assigned_to_id":23,"start_date":"2017-03-10","description":"","custom_fields":[{"id":1,"name":"Subdivision","value":"EC"},{"id":4,"name":"Milepost","value":"23.3257"},{"id":17,"name":"Train ID","value":"201-10"},{"id":16,"name":"Locomotive ID","value":"4053"},{"id":130,"name":"Impact","value":""},{"id":150,"name":"Time of Event (Mountain Time)","value":"16:53:16"},{"id":151,"name":"Denver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90"/>
        <v>start /low /b %USERPROFILE%\Documents\GitHub\eaglep3\Utilities\DownloadLogsFromS3.py --loco 4053 --day 2017-03-10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"%USERPROFILE%\AppData\Local\Temp\OnboardLogs"\RTDC4053\*4053*20170310* | grep -SE "(Enforcement Action)|(\[TIMEOUT)|(CHR.+\|PRM\|1\|D.+(SWITCH|SIGNAL).+UNKNOWN)" - &gt;&gt; 2017-03-10-UncaughtWiMAX.txt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601</v>
      </c>
      <c r="B111" s="7">
        <v>4054</v>
      </c>
      <c r="C111" s="21" t="s">
        <v>239</v>
      </c>
      <c r="D111" s="21" t="s">
        <v>533</v>
      </c>
      <c r="E111" s="13">
        <v>42804.714548611111</v>
      </c>
      <c r="F111" s="13">
        <v>42804.715497685182</v>
      </c>
      <c r="G111" s="7">
        <v>1</v>
      </c>
      <c r="H111" s="21" t="s">
        <v>259</v>
      </c>
      <c r="I111" s="13">
        <v>42804.745578703703</v>
      </c>
      <c r="J111" s="7">
        <v>0</v>
      </c>
      <c r="K111" s="98" t="str">
        <f t="shared" si="93"/>
        <v>4053/4054</v>
      </c>
      <c r="L111" s="21" t="e">
        <f>VLOOKUP(A111,'Trips&amp;Operators'!$C$1:$G$99999,5,FALSE)</f>
        <v>#N/A</v>
      </c>
      <c r="M111" s="6">
        <f t="shared" si="94"/>
        <v>3.0081018521741498E-2</v>
      </c>
      <c r="N111" s="7">
        <f t="shared" si="91"/>
        <v>43.316666671307757</v>
      </c>
      <c r="O111" s="7"/>
      <c r="P111" s="7"/>
      <c r="Q111" s="22"/>
      <c r="R111" s="22"/>
      <c r="S111" s="31">
        <f t="shared" si="92"/>
        <v>1</v>
      </c>
      <c r="T111" s="46" t="str">
        <f t="shared" si="95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85"/>
        <v>https://d0f6bd738d7f1b3e5a7ca70fe4ff75f0.us-east-1.aws.found.io/app/kibana#/discover/Steve-Slow-Train-Analysis-(2080s-and-2083s)?_g=(refreshInterval:(display:Off,pause:!f,section:0,value:0),time:(from:'2017-03-10T16:08:57-0700',mode:absolute,to:'2017-03-10T18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1" s="187" t="str">
        <f t="shared" si="96"/>
        <v>N</v>
      </c>
      <c r="X111" s="187">
        <f t="shared" si="102"/>
        <v>1</v>
      </c>
      <c r="Y111" s="62">
        <f t="shared" si="97"/>
        <v>23.295500000000001</v>
      </c>
      <c r="Z111" s="62">
        <f t="shared" si="98"/>
        <v>1.61E-2</v>
      </c>
      <c r="AA111" s="62">
        <f t="shared" si="99"/>
        <v>23.279399999999999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100"/>
        <v>0202-10</v>
      </c>
      <c r="AE111" s="85" t="str">
        <f t="shared" si="86"/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AF111" s="82" t="str">
        <f t="shared" si="87"/>
        <v>"C:\Program Files (x86)\AstroGrep\AstroGrep.exe" /e /r /s /spath="%USERPROFILE%\AppData\Local\Temp\OnboardLogs" /stypes="app*4054*20170311*" /stext=" 00:.+((SYSTEM_STATE.+slice.+state.+changed )|(ment ac)|(multiple cpu faults)|(system.+state.+changed )|(\[timeout)|(PRM\|1\|D)|(kpr)|(kdp)|(\|lc)|(penalty))"</v>
      </c>
      <c r="AG111" s="1" t="str">
        <f t="shared" si="101"/>
        <v>EC</v>
      </c>
      <c r="AH111" s="86" t="str">
        <f t="shared" si="88"/>
        <v>"%USERPROFILE%\Documents\GitHub\eaglep3\Utilities\RefineRTDCRunTimes.py" --tripid 202-10 --locoid 4054 --swversion DE.1.0.9.0 --startMP 204:232955 --initTime 2017-03-10T17:08:57 --startdatetime 2017-03-10T17:10:19 --delay 1 --endMP 204:161 --enddatetime 2017-03-10T17:53:38 --enforcementcount 0 &gt;&gt;C:\Users\stu\Documents\GitHub\eaglep3-reporting\EC\2017-03-10-refined-times.txt</v>
      </c>
      <c r="AI111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{"issue":{"subject":"","project_id":79,"tracker_id":40,"status_id":1,"priority_id":2,"assigned_to_id":23,"start_date":"2017-03-10","description":"","custom_fields":[{"id":1,"name":"Subdivision","value":"EC"},{"id":4,"name":"Milepost","value":"0.0161"},{"id":17,"name":"Train ID","value":"202-10"},{"id":16,"name":"Locomotive ID","value":"4054"},{"id":130,"name":"Impact","value":""},{"id":150,"name":"Time of Event (Mountain Time)","value":"17:53:38"},{"id":151,"name":"Denver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90"/>
        <v>start /low /b %USERPROFILE%\Documents\GitHub\eaglep3\Utilities\DownloadLogsFromS3.py --loco 4054 --day 2017-03-10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"%USERPROFILE%\AppData\Local\Temp\OnboardLogs"\RTDC4054\*4054*20170311* | grep -SE "(Enforcement Action)|(\[TIMEOUT)|(CHR.+\|PRM\|1\|D.+(SWITCH|SIGNAL).+UNKNOWN)" - &gt;&gt; 2017-03-10-UncaughtWiMAX.txt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734</v>
      </c>
      <c r="B112" s="7">
        <v>4003</v>
      </c>
      <c r="C112" s="21" t="s">
        <v>239</v>
      </c>
      <c r="D112" s="21" t="s">
        <v>879</v>
      </c>
      <c r="E112" s="13">
        <v>42804.688194444447</v>
      </c>
      <c r="F112" s="13">
        <v>42804.689097222225</v>
      </c>
      <c r="G112" s="7">
        <v>1</v>
      </c>
      <c r="H112" s="21" t="s">
        <v>880</v>
      </c>
      <c r="I112" s="13">
        <v>42804.720127314817</v>
      </c>
      <c r="J112" s="7">
        <v>0</v>
      </c>
      <c r="K112" s="98" t="str">
        <f t="shared" si="93"/>
        <v>4003/4004</v>
      </c>
      <c r="L112" s="21" t="str">
        <f>VLOOKUP(A112,'Trips&amp;Operators'!$C$1:$G$99999,5,FALSE)</f>
        <v>ROMERO CHAD</v>
      </c>
      <c r="M112" s="6">
        <f t="shared" si="94"/>
        <v>3.1030092592118308E-2</v>
      </c>
      <c r="N112" s="7">
        <f t="shared" si="91"/>
        <v>44.683333332650363</v>
      </c>
      <c r="O112" s="7"/>
      <c r="P112" s="7"/>
      <c r="Q112" s="22"/>
      <c r="R112" s="22"/>
      <c r="S112" s="31">
        <f t="shared" si="92"/>
        <v>1</v>
      </c>
      <c r="T112" s="46" t="str">
        <f t="shared" si="95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85"/>
        <v>https://d0f6bd738d7f1b3e5a7ca70fe4ff75f0.us-east-1.aws.found.io/app/kibana#/discover/Steve-Slow-Train-Analysis-(2080s-and-2083s)?_g=(refreshInterval:(display:Off,pause:!f,section:0,value:0),time:(from:'2017-03-10T15:31:00-0700',mode:absolute,to:'2017-03-10T18:16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2" s="187" t="str">
        <f t="shared" si="96"/>
        <v>N</v>
      </c>
      <c r="X112" s="187">
        <f t="shared" si="102"/>
        <v>1</v>
      </c>
      <c r="Y112" s="62">
        <f t="shared" si="97"/>
        <v>4.9799999999999997E-2</v>
      </c>
      <c r="Z112" s="62">
        <f t="shared" si="98"/>
        <v>23.3325</v>
      </c>
      <c r="AA112" s="62">
        <f t="shared" si="99"/>
        <v>23.282699999999998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100"/>
        <v>0203-10</v>
      </c>
      <c r="AE112" s="85" t="str">
        <f t="shared" si="86"/>
        <v>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 &amp; 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</v>
      </c>
      <c r="AF112" s="82" t="str">
        <f t="shared" si="87"/>
        <v>"C:\Program Files (x86)\AstroGrep\AstroGrep.exe" /e /r /s /spath="%USERPROFILE%\AppData\Local\Temp\OnboardLogs" /stypes="app*4003*20170311*" /stext=" 00:.+((SYSTEM_STATE.+slice.+state.+changed )|(ment ac)|(multiple cpu faults)|(system.+state.+changed )|(\[timeout)|(PRM\|1\|D)|(kpr)|(kdp)|(\|lc)|(penalty))"</v>
      </c>
      <c r="AG112" s="1" t="str">
        <f t="shared" si="101"/>
        <v>EC</v>
      </c>
      <c r="AH112" s="86" t="str">
        <f t="shared" si="88"/>
        <v>"%USERPROFILE%\Documents\GitHub\eaglep3\Utilities\RefineRTDCRunTimes.py" --tripid 203-10 --locoid 4003 --swversion DE.1.0.9.0 --startMP 204:498 --initTime 2017-03-10T16:31:00 --startdatetime 2017-03-10T16:32:18 --delay 1 --endMP 204:233325 --enddatetime 2017-03-10T17:16:59 --enforcementcount 0 &gt;&gt;C:\Users\stu\Documents\GitHub\eaglep3-reporting\EC\2017-03-10-refined-times.txt</v>
      </c>
      <c r="AI112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{"issue":{"subject":"","project_id":79,"tracker_id":40,"status_id":1,"priority_id":2,"assigned_to_id":23,"start_date":"2017-03-10","description":"","custom_fields":[{"id":1,"name":"Subdivision","value":"EC"},{"id":4,"name":"Milepost","value":"23.3325"},{"id":17,"name":"Train ID","value":"203-10"},{"id":16,"name":"Locomotive ID","value":"4003"},{"id":130,"name":"Impact","value":""},{"id":150,"name":"Time of Event (Mountain Time)","value":"17:16:59"},{"id":151,"name":"Denver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90"/>
        <v>start /low /b %USERPROFILE%\Documents\GitHub\eaglep3\Utilities\DownloadLogsFromS3.py --loco 4003 --day 2017-03-10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"%USERPROFILE%\AppData\Local\Temp\OnboardLogs"\RTDC4003\*4003*20170310* | grep -SE "(Enforcement Action)|(\[TIMEOUT)|(CHR.+\|PRM\|1\|D.+(SWITCH|SIGNAL).+UNKNOWN)" - &gt;&gt; 2017-03-10-UncaughtWiMAX.txt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602</v>
      </c>
      <c r="B113" s="7">
        <v>4004</v>
      </c>
      <c r="C113" s="21" t="s">
        <v>239</v>
      </c>
      <c r="D113" s="21" t="s">
        <v>480</v>
      </c>
      <c r="E113" s="13">
        <v>42804.724340277775</v>
      </c>
      <c r="F113" s="13">
        <v>42804.725543981483</v>
      </c>
      <c r="G113" s="7">
        <v>1</v>
      </c>
      <c r="H113" s="21" t="s">
        <v>853</v>
      </c>
      <c r="I113" s="13">
        <v>42804.754305555558</v>
      </c>
      <c r="J113" s="7">
        <v>0</v>
      </c>
      <c r="K113" s="98" t="str">
        <f t="shared" si="93"/>
        <v>4003/4004</v>
      </c>
      <c r="L113" s="21" t="str">
        <f>VLOOKUP(A113,'Trips&amp;Operators'!$C$1:$G$99999,5,FALSE)</f>
        <v>ROMERO CHAD</v>
      </c>
      <c r="M113" s="6">
        <f t="shared" si="94"/>
        <v>2.8761574074451346E-2</v>
      </c>
      <c r="N113" s="7">
        <f t="shared" si="91"/>
        <v>41.416666667209938</v>
      </c>
      <c r="O113" s="7"/>
      <c r="P113" s="7"/>
      <c r="Q113" s="22"/>
      <c r="R113" s="22"/>
      <c r="S113" s="31">
        <f t="shared" si="92"/>
        <v>1</v>
      </c>
      <c r="T113" s="46" t="str">
        <f t="shared" si="95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85"/>
        <v>https://d0f6bd738d7f1b3e5a7ca70fe4ff75f0.us-east-1.aws.found.io/app/kibana#/discover/Steve-Slow-Train-Analysis-(2080s-and-2083s)?_g=(refreshInterval:(display:Off,pause:!f,section:0,value:0),time:(from:'2017-03-10T16:23:03-0700',mode:absolute,to:'2017-03-10T19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3" s="187" t="str">
        <f t="shared" si="96"/>
        <v>N</v>
      </c>
      <c r="X113" s="187">
        <f t="shared" si="102"/>
        <v>1</v>
      </c>
      <c r="Y113" s="62">
        <f t="shared" si="97"/>
        <v>23.3002</v>
      </c>
      <c r="Z113" s="62">
        <f t="shared" si="98"/>
        <v>1.3599999999999999E-2</v>
      </c>
      <c r="AA113" s="62">
        <f t="shared" si="99"/>
        <v>23.2866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100"/>
        <v>0204-10</v>
      </c>
      <c r="AE113" s="85" t="str">
        <f t="shared" si="86"/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AF113" s="82" t="str">
        <f t="shared" si="87"/>
        <v>"C:\Program Files (x86)\AstroGrep\AstroGrep.exe" /e /r /s /spath="%USERPROFILE%\AppData\Local\Temp\OnboardLogs" /stypes="app*4004*20170311*" /stext=" 01:.+((SYSTEM_STATE.+slice.+state.+changed )|(ment ac)|(multiple cpu faults)|(system.+state.+changed )|(\[timeout)|(PRM\|1\|D)|(kpr)|(kdp)|(\|lc)|(penalty))"</v>
      </c>
      <c r="AG113" s="1" t="str">
        <f t="shared" si="101"/>
        <v>EC</v>
      </c>
      <c r="AH113" s="86" t="str">
        <f t="shared" si="88"/>
        <v>"%USERPROFILE%\Documents\GitHub\eaglep3\Utilities\RefineRTDCRunTimes.py" --tripid 204-10 --locoid 4004 --swversion DE.1.0.9.0 --startMP 204:233002 --initTime 2017-03-10T17:23:03 --startdatetime 2017-03-10T17:24:47 --delay 1 --endMP 204:136 --enddatetime 2017-03-10T18:06:12 --enforcementcount 0 &gt;&gt;C:\Users\stu\Documents\GitHub\eaglep3-reporting\EC\2017-03-10-refined-times.txt</v>
      </c>
      <c r="AI113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{"issue":{"subject":"","project_id":79,"tracker_id":40,"status_id":1,"priority_id":2,"assigned_to_id":23,"start_date":"2017-03-10","description":"","custom_fields":[{"id":1,"name":"Subdivision","value":"EC"},{"id":4,"name":"Milepost","value":"0.0136"},{"id":17,"name":"Train ID","value":"204-10"},{"id":16,"name":"Locomotive ID","value":"4004"},{"id":130,"name":"Impact","value":""},{"id":150,"name":"Time of Event (Mountain Time)","value":"18:06:12"},{"id":151,"name":"Denver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90"/>
        <v>start /low /b %USERPROFILE%\Documents\GitHub\eaglep3\Utilities\DownloadLogsFromS3.py --loco 4004 --day 2017-03-10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"%USERPROFILE%\AppData\Local\Temp\OnboardLogs"\RTDC4004\*4004*20170311* | grep -SE "(Enforcement Action)|(\[TIMEOUT)|(CHR.+\|PRM\|1\|D.+(SWITCH|SIGNAL).+UNKNOWN)" - &gt;&gt; 2017-03-10-UncaughtWiMAX.txt</v>
      </c>
    </row>
    <row r="114" spans="1:91" s="20" customFormat="1" x14ac:dyDescent="0.25">
      <c r="A114" s="33" t="s">
        <v>600</v>
      </c>
      <c r="B114" s="7">
        <v>4046</v>
      </c>
      <c r="C114" s="21" t="s">
        <v>239</v>
      </c>
      <c r="D114" s="21" t="s">
        <v>432</v>
      </c>
      <c r="E114" s="13">
        <v>42804.694548611114</v>
      </c>
      <c r="F114" s="13">
        <v>42804.695729166669</v>
      </c>
      <c r="G114" s="7">
        <v>1</v>
      </c>
      <c r="H114" s="21" t="s">
        <v>246</v>
      </c>
      <c r="I114" s="13">
        <v>42804.731365740743</v>
      </c>
      <c r="J114" s="7">
        <v>0</v>
      </c>
      <c r="K114" s="98" t="str">
        <f t="shared" si="93"/>
        <v>4045/4046</v>
      </c>
      <c r="L114" s="21" t="str">
        <f>VLOOKUP(A114,'Trips&amp;Operators'!$C$1:$G$99999,5,FALSE)</f>
        <v>BRANDNER MELINDA</v>
      </c>
      <c r="M114" s="6">
        <f t="shared" si="94"/>
        <v>3.5636574073578231E-2</v>
      </c>
      <c r="N114" s="7">
        <f t="shared" si="91"/>
        <v>51.316666665952653</v>
      </c>
      <c r="O114" s="7"/>
      <c r="P114" s="7"/>
      <c r="Q114" s="22"/>
      <c r="R114" s="22"/>
      <c r="S114" s="31">
        <f t="shared" si="92"/>
        <v>1</v>
      </c>
      <c r="T114" s="46" t="str">
        <f t="shared" si="95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85"/>
        <v>https://d0f6bd738d7f1b3e5a7ca70fe4ff75f0.us-east-1.aws.found.io/app/kibana#/discover/Steve-Slow-Train-Analysis-(2080s-and-2083s)?_g=(refreshInterval:(display:Off,pause:!f,section:0,value:0),time:(from:'2017-03-10T15:40:09-0700',mode:absolute,to:'2017-03-10T18:33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4" s="187" t="str">
        <f t="shared" si="96"/>
        <v>N</v>
      </c>
      <c r="X114" s="187">
        <f t="shared" si="102"/>
        <v>1</v>
      </c>
      <c r="Y114" s="62">
        <f t="shared" si="97"/>
        <v>4.7500000000000001E-2</v>
      </c>
      <c r="Z114" s="62">
        <f t="shared" si="98"/>
        <v>23.329899999999999</v>
      </c>
      <c r="AA114" s="62">
        <f t="shared" si="99"/>
        <v>23.282399999999999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100"/>
        <v>0205-10</v>
      </c>
      <c r="AE114" s="85" t="str">
        <f t="shared" si="86"/>
        <v>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 &amp; 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</v>
      </c>
      <c r="AF114" s="82" t="str">
        <f t="shared" si="87"/>
        <v>"C:\Program Files (x86)\AstroGrep\AstroGrep.exe" /e /r /s /spath="%USERPROFILE%\AppData\Local\Temp\OnboardLogs" /stypes="app*4046*20170311*" /stext=" 00:.+((SYSTEM_STATE.+slice.+state.+changed )|(ment ac)|(multiple cpu faults)|(system.+state.+changed )|(\[timeout)|(PRM\|1\|D)|(kpr)|(kdp)|(\|lc)|(penalty))"</v>
      </c>
      <c r="AG114" s="1" t="str">
        <f t="shared" si="101"/>
        <v>EC</v>
      </c>
      <c r="AH114" s="86" t="str">
        <f t="shared" si="88"/>
        <v>"%USERPROFILE%\Documents\GitHub\eaglep3\Utilities\RefineRTDCRunTimes.py" --tripid 205-10 --locoid 4046 --swversion DE.1.0.9.0 --startMP 204:475 --initTime 2017-03-10T16:40:09 --startdatetime 2017-03-10T16:41:51 --delay 1 --endMP 204:233299 --enddatetime 2017-03-10T17:33:10 --enforcementcount 0 &gt;&gt;C:\Users\stu\Documents\GitHub\eaglep3-reporting\EC\2017-03-10-refined-times.txt</v>
      </c>
      <c r="AI114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{"issue":{"subject":"","project_id":79,"tracker_id":40,"status_id":1,"priority_id":2,"assigned_to_id":23,"start_date":"2017-03-10","description":"","custom_fields":[{"id":1,"name":"Subdivision","value":"EC"},{"id":4,"name":"Milepost","value":"23.3299"},{"id":17,"name":"Train ID","value":"205-10"},{"id":16,"name":"Locomotive ID","value":"4046"},{"id":130,"name":"Impact","value":""},{"id":150,"name":"Time of Event (Mountain Time)","value":"17:33:10"},{"id":151,"name":"Denver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90"/>
        <v>start /low /b %USERPROFILE%\Documents\GitHub\eaglep3\Utilities\DownloadLogsFromS3.py --loco 4046 --day 2017-03-10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"%USERPROFILE%\AppData\Local\Temp\OnboardLogs"\RTDC4046\*4046*20170311* | grep -SE "(Enforcement Action)|(\[TIMEOUT)|(CHR.+\|PRM\|1\|D.+(SWITCH|SIGNAL).+UNKNOWN)" - &gt;&gt; 2017-03-10-UncaughtWiMAX.txt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746</v>
      </c>
      <c r="B115" s="7">
        <v>4045</v>
      </c>
      <c r="C115" s="21" t="s">
        <v>239</v>
      </c>
      <c r="D115" s="21" t="s">
        <v>881</v>
      </c>
      <c r="E115" s="13">
        <v>42804.733657407407</v>
      </c>
      <c r="F115" s="13">
        <v>42804.734583333331</v>
      </c>
      <c r="G115" s="7">
        <v>1</v>
      </c>
      <c r="H115" s="21" t="s">
        <v>202</v>
      </c>
      <c r="I115" s="13">
        <v>42804.755509259259</v>
      </c>
      <c r="J115" s="7">
        <v>0</v>
      </c>
      <c r="K115" s="98" t="str">
        <f t="shared" si="93"/>
        <v>4045/4046</v>
      </c>
      <c r="L115" s="21" t="str">
        <f>VLOOKUP(A115,'Trips&amp;Operators'!$C$1:$G$99999,5,FALSE)</f>
        <v>BRANDNER MELINDA</v>
      </c>
      <c r="M115" s="6">
        <f t="shared" si="94"/>
        <v>2.0925925928167999E-2</v>
      </c>
      <c r="N115" s="7"/>
      <c r="O115" s="7"/>
      <c r="P115" s="7">
        <f>24*60*SUM($M115:$M115)</f>
        <v>30.133333336561918</v>
      </c>
      <c r="Q115" s="22"/>
      <c r="R115" s="22" t="s">
        <v>560</v>
      </c>
      <c r="S115" s="31">
        <f t="shared" si="92"/>
        <v>0.58333333333333337</v>
      </c>
      <c r="T115" s="46" t="str">
        <f t="shared" si="95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7</v>
      </c>
      <c r="V115" s="186" t="str">
        <f t="shared" si="85"/>
        <v>https://d0f6bd738d7f1b3e5a7ca70fe4ff75f0.us-east-1.aws.found.io/app/kibana#/discover/Steve-Slow-Train-Analysis-(2080s-and-2083s)?_g=(refreshInterval:(display:Off,pause:!f,section:0,value:0),time:(from:'2017-03-10T16:36:28-0700',mode:absolute,to:'2017-03-10T19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5" s="187" t="str">
        <f t="shared" si="96"/>
        <v>Y</v>
      </c>
      <c r="X115" s="187">
        <f t="shared" si="102"/>
        <v>1</v>
      </c>
      <c r="Y115" s="62">
        <f t="shared" si="97"/>
        <v>23.2957</v>
      </c>
      <c r="Z115" s="62">
        <v>5.0599999999999996</v>
      </c>
      <c r="AA115" s="62">
        <f t="shared" si="99"/>
        <v>18.235700000000001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100"/>
        <v>0206-10</v>
      </c>
      <c r="AE115" s="85" t="str">
        <f t="shared" si="86"/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AF115" s="82" t="str">
        <f t="shared" si="87"/>
        <v>"C:\Program Files (x86)\AstroGrep\AstroGrep.exe" /e /r /s /spath="%USERPROFILE%\AppData\Local\Temp\OnboardLogs" /stypes="app*4045*20170311*" /stext=" 01:.+((SYSTEM_STATE.+slice.+state.+changed )|(ment ac)|(multiple cpu faults)|(system.+state.+changed )|(\[timeout)|(PRM\|1\|D)|(kpr)|(kdp)|(\|lc)|(penalty))"</v>
      </c>
      <c r="AG115" s="1" t="str">
        <f t="shared" si="101"/>
        <v>EC</v>
      </c>
      <c r="AH115" s="86" t="str">
        <f t="shared" si="88"/>
        <v>"%USERPROFILE%\Documents\GitHub\eaglep3\Utilities\RefineRTDCRunTimes.py" --tripid 206-10 --locoid 4045 --swversion DE.1.0.9.0 --startMP 204:232957 --initTime 2017-03-10T17:36:28 --startdatetime 2017-03-10T17:37:48 --delay 1 --endMP 204:152 --enddatetime 2017-03-10T18:07:56 --enforcementcount 0 &gt;&gt;C:\Users\stu\Documents\GitHub\eaglep3-reporting\EC\2017-03-10-refined-times.txt</v>
      </c>
      <c r="AI115" s="108" t="str">
        <f t="shared" si="89"/>
        <v>echo {"issue":{"subject":"Onboard in-route failure","project_id":79,"tracker_id":40,"status_id":1,"priority_id":2,"assigned_to_id":23,"start_date":"2017-03-10","description":"","custom_fields":[{"id":1,"name":"Subdivision","value":"EC"},{"id":4,"name":"Milepost","value":"5.06"},{"id":17,"name":"Train ID","value":"206-10"},{"id":16,"name":"Locomotive ID","value":"4045"},{"id":130,"name":"Impact","value":""},{"id":150,"name":"Time of Event (Mountain Time)","value":"18:07:56"},{"id":151,"name":"Denver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90"/>
        <v>start /low /b %USERPROFILE%\Documents\GitHub\eaglep3\Utilities\DownloadLogsFromS3.py --loco 4045 --day 2017-03-10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"%USERPROFILE%\AppData\Local\Temp\OnboardLogs"\RTDC4045\*4045*20170311* | grep -SE "(Enforcement Action)|(\[TIMEOUT)|(CHR.+\|PRM\|1\|D.+(SWITCH|SIGNAL).+UNKNOWN)" - &gt;&gt; 2017-03-10-UncaughtWiMAX.txt</v>
      </c>
    </row>
    <row r="116" spans="1:91" s="20" customFormat="1" x14ac:dyDescent="0.25">
      <c r="A116" s="33" t="s">
        <v>739</v>
      </c>
      <c r="B116" s="7">
        <v>4040</v>
      </c>
      <c r="C116" s="21" t="s">
        <v>239</v>
      </c>
      <c r="D116" s="21" t="s">
        <v>240</v>
      </c>
      <c r="E116" s="13">
        <v>42804.706689814811</v>
      </c>
      <c r="F116" s="13">
        <v>42804.707615740743</v>
      </c>
      <c r="G116" s="7">
        <v>1</v>
      </c>
      <c r="H116" s="21" t="s">
        <v>527</v>
      </c>
      <c r="I116" s="13">
        <v>42804.734375</v>
      </c>
      <c r="J116" s="7">
        <v>0</v>
      </c>
      <c r="K116" s="98" t="str">
        <f t="shared" si="93"/>
        <v>4039/4040</v>
      </c>
      <c r="L116" s="21" t="str">
        <f>VLOOKUP(A116,'Trips&amp;Operators'!$C$1:$G$99999,5,FALSE)</f>
        <v>BRUDER RICHARD</v>
      </c>
      <c r="M116" s="6">
        <f t="shared" si="94"/>
        <v>2.675925925723277E-2</v>
      </c>
      <c r="N116" s="7">
        <f t="shared" ref="N116:N126" si="103">24*60*SUM($M116:$M116)</f>
        <v>38.533333330415189</v>
      </c>
      <c r="O116" s="7"/>
      <c r="P116" s="7"/>
      <c r="Q116" s="22"/>
      <c r="R116" s="22"/>
      <c r="S116" s="31">
        <f t="shared" si="92"/>
        <v>1</v>
      </c>
      <c r="T116" s="46" t="str">
        <f t="shared" si="95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85"/>
        <v>https://d0f6bd738d7f1b3e5a7ca70fe4ff75f0.us-east-1.aws.found.io/app/kibana#/discover/Steve-Slow-Train-Analysis-(2080s-and-2083s)?_g=(refreshInterval:(display:Off,pause:!f,section:0,value:0),time:(from:'2017-03-10T15:57:38-0700',mode:absolute,to:'2017-03-10T18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6" s="187" t="str">
        <f t="shared" si="96"/>
        <v>N</v>
      </c>
      <c r="X116" s="187">
        <f t="shared" si="102"/>
        <v>1</v>
      </c>
      <c r="Y116" s="62">
        <f t="shared" si="97"/>
        <v>4.58E-2</v>
      </c>
      <c r="Z116" s="62">
        <f t="shared" ref="Z116:Z147" si="104">RIGHT(H116,LEN(H116)-4)/10000</f>
        <v>23.331700000000001</v>
      </c>
      <c r="AA116" s="62">
        <f t="shared" si="99"/>
        <v>23.285900000000002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100"/>
        <v>0207-10</v>
      </c>
      <c r="AE116" s="85" t="str">
        <f t="shared" si="86"/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AF116" s="82" t="str">
        <f t="shared" si="87"/>
        <v>"C:\Program Files (x86)\AstroGrep\AstroGrep.exe" /e /r /s /spath="%USERPROFILE%\AppData\Local\Temp\OnboardLogs" /stypes="app*4040*20170311*" /stext=" 00:.+((SYSTEM_STATE.+slice.+state.+changed )|(ment ac)|(multiple cpu faults)|(system.+state.+changed )|(\[timeout)|(PRM\|1\|D)|(kpr)|(kdp)|(\|lc)|(penalty))"</v>
      </c>
      <c r="AG116" s="1" t="str">
        <f t="shared" si="101"/>
        <v>EC</v>
      </c>
      <c r="AH116" s="86" t="str">
        <f t="shared" si="88"/>
        <v>"%USERPROFILE%\Documents\GitHub\eaglep3\Utilities\RefineRTDCRunTimes.py" --tripid 207-10 --locoid 4040 --swversion DE.1.0.9.0 --startMP 204:458 --initTime 2017-03-10T16:57:38 --startdatetime 2017-03-10T16:58:58 --delay 1 --endMP 204:233317 --enddatetime 2017-03-10T17:37:30 --enforcementcount 0 &gt;&gt;C:\Users\stu\Documents\GitHub\eaglep3-reporting\EC\2017-03-10-refined-times.txt</v>
      </c>
      <c r="AI116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{"issue":{"subject":"","project_id":79,"tracker_id":40,"status_id":1,"priority_id":2,"assigned_to_id":23,"start_date":"2017-03-10","description":"","custom_fields":[{"id":1,"name":"Subdivision","value":"EC"},{"id":4,"name":"Milepost","value":"23.3317"},{"id":17,"name":"Train ID","value":"207-10"},{"id":16,"name":"Locomotive ID","value":"4040"},{"id":130,"name":"Impact","value":""},{"id":150,"name":"Time of Event (Mountain Time)","value":"17:37:30"},{"id":151,"name":"Denver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90"/>
        <v>start /low /b %USERPROFILE%\Documents\GitHub\eaglep3\Utilities\DownloadLogsFromS3.py --loco 4040 --day 2017-03-10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"%USERPROFILE%\AppData\Local\Temp\OnboardLogs"\RTDC4040\*4040*20170311* | grep -SE "(Enforcement Action)|(\[TIMEOUT)|(CHR.+\|PRM\|1\|D.+(SWITCH|SIGNAL).+UNKNOWN)" - &gt;&gt; 2017-03-10-UncaughtWiMAX.txt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748</v>
      </c>
      <c r="B117" s="7">
        <v>4039</v>
      </c>
      <c r="C117" s="21" t="s">
        <v>239</v>
      </c>
      <c r="D117" s="21" t="s">
        <v>241</v>
      </c>
      <c r="E117" s="13">
        <v>42804.742071759261</v>
      </c>
      <c r="F117" s="13">
        <v>42804.743206018517</v>
      </c>
      <c r="G117" s="7">
        <v>1</v>
      </c>
      <c r="H117" s="21" t="s">
        <v>226</v>
      </c>
      <c r="I117" s="13">
        <v>42804.782199074078</v>
      </c>
      <c r="J117" s="7">
        <v>0</v>
      </c>
      <c r="K117" s="98" t="str">
        <f t="shared" si="93"/>
        <v>4039/4040</v>
      </c>
      <c r="L117" s="21" t="str">
        <f>VLOOKUP(A117,'Trips&amp;Operators'!$C$1:$G$99999,5,FALSE)</f>
        <v>BRUDER RICHARD</v>
      </c>
      <c r="M117" s="6">
        <f t="shared" si="94"/>
        <v>3.8993055561149959E-2</v>
      </c>
      <c r="N117" s="7">
        <f t="shared" si="103"/>
        <v>56.15000000805594</v>
      </c>
      <c r="O117" s="7"/>
      <c r="P117" s="7"/>
      <c r="Q117" s="22"/>
      <c r="R117" s="22"/>
      <c r="S117" s="31">
        <f t="shared" si="92"/>
        <v>1</v>
      </c>
      <c r="T117" s="46" t="str">
        <f t="shared" si="95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85"/>
        <v>https://d0f6bd738d7f1b3e5a7ca70fe4ff75f0.us-east-1.aws.found.io/app/kibana#/discover/Steve-Slow-Train-Analysis-(2080s-and-2083s)?_g=(refreshInterval:(display:Off,pause:!f,section:0,value:0),time:(from:'2017-03-10T16:48:35-0700',mode:absolute,to:'2017-03-10T19:46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7" s="187" t="str">
        <f t="shared" si="96"/>
        <v>N</v>
      </c>
      <c r="X117" s="187">
        <f t="shared" si="102"/>
        <v>1</v>
      </c>
      <c r="Y117" s="62">
        <f t="shared" si="97"/>
        <v>23.299399999999999</v>
      </c>
      <c r="Z117" s="62">
        <f t="shared" si="104"/>
        <v>1.3899999999999999E-2</v>
      </c>
      <c r="AA117" s="62">
        <f t="shared" si="99"/>
        <v>23.285499999999999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100"/>
        <v>0208-10</v>
      </c>
      <c r="AE117" s="85" t="str">
        <f t="shared" si="86"/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AF117" s="82" t="str">
        <f t="shared" si="87"/>
        <v>"C:\Program Files (x86)\AstroGrep\AstroGrep.exe" /e /r /s /spath="%USERPROFILE%\AppData\Local\Temp\OnboardLogs" /stypes="app*4039*20170311*" /stext=" 01:.+((SYSTEM_STATE.+slice.+state.+changed )|(ment ac)|(multiple cpu faults)|(system.+state.+changed )|(\[timeout)|(PRM\|1\|D)|(kpr)|(kdp)|(\|lc)|(penalty))"</v>
      </c>
      <c r="AG117" s="1" t="str">
        <f t="shared" si="101"/>
        <v>EC</v>
      </c>
      <c r="AH117" s="86" t="str">
        <f t="shared" si="88"/>
        <v>"%USERPROFILE%\Documents\GitHub\eaglep3\Utilities\RefineRTDCRunTimes.py" --tripid 208-10 --locoid 4039 --swversion DE.1.0.9.0 --startMP 204:232994 --initTime 2017-03-10T17:48:35 --startdatetime 2017-03-10T17:50:13 --delay 1 --endMP 204:139 --enddatetime 2017-03-10T18:46:22 --enforcementcount 0 &gt;&gt;C:\Users\stu\Documents\GitHub\eaglep3-reporting\EC\2017-03-10-refined-times.txt</v>
      </c>
      <c r="AI117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{"issue":{"subject":"","project_id":79,"tracker_id":40,"status_id":1,"priority_id":2,"assigned_to_id":23,"start_date":"2017-03-10","description":"","custom_fields":[{"id":1,"name":"Subdivision","value":"EC"},{"id":4,"name":"Milepost","value":"0.0139"},{"id":17,"name":"Train ID","value":"208-10"},{"id":16,"name":"Locomotive ID","value":"4039"},{"id":130,"name":"Impact","value":""},{"id":150,"name":"Time of Event (Mountain Time)","value":"18:46:22"},{"id":151,"name":"Denver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90"/>
        <v>start /low /b %USERPROFILE%\Documents\GitHub\eaglep3\Utilities\DownloadLogsFromS3.py --loco 4039 --day 2017-03-10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"%USERPROFILE%\AppData\Local\Temp\OnboardLogs"\RTDC4039\*4039*20170311* | grep -SE "(Enforcement Action)|(\[TIMEOUT)|(CHR.+\|PRM\|1\|D.+(SWITCH|SIGNAL).+UNKNOWN)" - &gt;&gt; 2017-03-10-UncaughtWiMAX.txt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742</v>
      </c>
      <c r="B118" s="7">
        <v>4051</v>
      </c>
      <c r="C118" s="21" t="s">
        <v>239</v>
      </c>
      <c r="D118" s="21" t="s">
        <v>231</v>
      </c>
      <c r="E118" s="13">
        <v>42804.723217592589</v>
      </c>
      <c r="F118" s="13">
        <v>42804.724479166667</v>
      </c>
      <c r="G118" s="7">
        <v>1</v>
      </c>
      <c r="H118" s="21" t="s">
        <v>535</v>
      </c>
      <c r="I118" s="13">
        <v>42804.752847222226</v>
      </c>
      <c r="J118" s="7">
        <v>0</v>
      </c>
      <c r="K118" s="98" t="str">
        <f t="shared" si="93"/>
        <v>4051/4052</v>
      </c>
      <c r="L118" s="21" t="str">
        <f>VLOOKUP(A118,'Trips&amp;Operators'!$C$1:$G$99999,5,FALSE)</f>
        <v>HOLCOMB KAMDEN</v>
      </c>
      <c r="M118" s="6">
        <f t="shared" si="94"/>
        <v>2.8368055558530614E-2</v>
      </c>
      <c r="N118" s="7">
        <f t="shared" si="103"/>
        <v>40.850000004284084</v>
      </c>
      <c r="O118" s="7"/>
      <c r="P118" s="7"/>
      <c r="Q118" s="22"/>
      <c r="R118" s="22"/>
      <c r="S118" s="31">
        <f t="shared" si="92"/>
        <v>1</v>
      </c>
      <c r="T118" s="46" t="str">
        <f t="shared" si="95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85"/>
        <v>https://d0f6bd738d7f1b3e5a7ca70fe4ff75f0.us-east-1.aws.found.io/app/kibana#/discover/Steve-Slow-Train-Analysis-(2080s-and-2083s)?_g=(refreshInterval:(display:Off,pause:!f,section:0,value:0),time:(from:'2017-03-10T16:21:26-0700',mode:absolute,to:'2017-03-10T19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8" s="187" t="str">
        <f t="shared" si="96"/>
        <v>N</v>
      </c>
      <c r="X118" s="187">
        <f t="shared" si="102"/>
        <v>1</v>
      </c>
      <c r="Y118" s="62">
        <f t="shared" si="97"/>
        <v>4.4400000000000002E-2</v>
      </c>
      <c r="Z118" s="62">
        <f t="shared" si="104"/>
        <v>23.331900000000001</v>
      </c>
      <c r="AA118" s="62">
        <f t="shared" si="99"/>
        <v>23.287500000000001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100"/>
        <v>0209-10</v>
      </c>
      <c r="AE118" s="85" t="str">
        <f t="shared" si="86"/>
        <v>aws s3 cp s3://rtdc.mdm.uploadarchive.raw/RTDC4051/ "%USERPROFILE%\AppData\Local\Temp\OnboardLogs"\RTDC4051\2017-03-10 --exclude "*" --recursive --include "*20170310*" &amp; "%USERPROFILE%\Documents\GitHub\mrs-test-scripts\Headless Mode &amp; Sideloading\WalkAndUnGZ.bat" "%USERPROFILE%\AppData\Local\Temp\OnboardLogs"\RTDC4051\2017-03-10 &amp; aws s3 cp s3://rtdc.mdm.uploadarchive.raw/RTDC4051/ "%USERPROFILE%\AppData\Local\Temp\OnboardLogs"\RTDC4051\2017-03-11 --exclude "*" --recursive --include "*20170311*" &amp; "%USERPROFILE%\Documents\GitHub\mrs-test-scripts\Headless Mode &amp; Sideloading\WalkAndUnGZ.bat" "%USERPROFILE%\AppData\Local\Temp\OnboardLogs"\RTDC4051\2017-03-11</v>
      </c>
      <c r="AF118" s="82" t="str">
        <f t="shared" si="87"/>
        <v>"C:\Program Files (x86)\AstroGrep\AstroGrep.exe" /e /r /s /spath="%USERPROFILE%\AppData\Local\Temp\OnboardLogs" /stypes="app*4051*20170311*" /stext=" 01:.+((SYSTEM_STATE.+slice.+state.+changed )|(ment ac)|(multiple cpu faults)|(system.+state.+changed )|(\[timeout)|(PRM\|1\|D)|(kpr)|(kdp)|(\|lc)|(penalty))"</v>
      </c>
      <c r="AG118" s="1" t="str">
        <f t="shared" si="101"/>
        <v>EC</v>
      </c>
      <c r="AH118" s="86" t="str">
        <f t="shared" si="88"/>
        <v>"%USERPROFILE%\Documents\GitHub\eaglep3\Utilities\RefineRTDCRunTimes.py" --tripid 209-10 --locoid 4051 --swversion DE.1.0.9.0 --startMP 204:444 --initTime 2017-03-10T17:21:26 --startdatetime 2017-03-10T17:23:15 --delay 1 --endMP 204:233319 --enddatetime 2017-03-10T18:04:06 --enforcementcount 0 &gt;&gt;C:\Users\stu\Documents\GitHub\eaglep3-reporting\EC\2017-03-10-refined-times.txt</v>
      </c>
      <c r="AI118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{"issue":{"subject":"","project_id":79,"tracker_id":40,"status_id":1,"priority_id":2,"assigned_to_id":23,"start_date":"2017-03-10","description":"","custom_fields":[{"id":1,"name":"Subdivision","value":"EC"},{"id":4,"name":"Milepost","value":"23.3319"},{"id":17,"name":"Train ID","value":"209-10"},{"id":16,"name":"Locomotive ID","value":"4051"},{"id":130,"name":"Impact","value":""},{"id":150,"name":"Time of Event (Mountain Time)","value":"18:04:06"},{"id":151,"name":"Denver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90"/>
        <v>start /low /b %USERPROFILE%\Documents\GitHub\eaglep3\Utilities\DownloadLogsFromS3.py --loco 4051 --day 2017-03-10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"%USERPROFILE%\AppData\Local\Temp\OnboardLogs"\RTDC4051\*4051*20170311* | grep -SE "(Enforcement Action)|(\[TIMEOUT)|(CHR.+\|PRM\|1\|D.+(SWITCH|SIGNAL).+UNKNOWN)" - &gt;&gt; 2017-03-10-UncaughtWiMAX.txt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605</v>
      </c>
      <c r="B119" s="7">
        <v>4052</v>
      </c>
      <c r="C119" s="21" t="s">
        <v>239</v>
      </c>
      <c r="D119" s="21" t="s">
        <v>882</v>
      </c>
      <c r="E119" s="13">
        <v>42804.754027777781</v>
      </c>
      <c r="F119" s="13">
        <v>42804.755497685182</v>
      </c>
      <c r="G119" s="7">
        <v>2</v>
      </c>
      <c r="H119" s="21" t="s">
        <v>256</v>
      </c>
      <c r="I119" s="13">
        <v>42804.789444444446</v>
      </c>
      <c r="J119" s="7">
        <v>0</v>
      </c>
      <c r="K119" s="98" t="str">
        <f t="shared" si="93"/>
        <v>4051/4052</v>
      </c>
      <c r="L119" s="21" t="str">
        <f>VLOOKUP(A119,'Trips&amp;Operators'!$C$1:$G$99999,5,FALSE)</f>
        <v>HOLCOMB KAMDEN</v>
      </c>
      <c r="M119" s="6">
        <f t="shared" si="94"/>
        <v>3.3946759263926651E-2</v>
      </c>
      <c r="N119" s="7">
        <f t="shared" si="103"/>
        <v>48.883333340054378</v>
      </c>
      <c r="O119" s="7"/>
      <c r="P119" s="7"/>
      <c r="Q119" s="22"/>
      <c r="R119" s="22"/>
      <c r="S119" s="31">
        <f t="shared" si="92"/>
        <v>1</v>
      </c>
      <c r="T119" s="46" t="str">
        <f t="shared" si="95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85"/>
        <v>https://d0f6bd738d7f1b3e5a7ca70fe4ff75f0.us-east-1.aws.found.io/app/kibana#/discover/Steve-Slow-Train-Analysis-(2080s-and-2083s)?_g=(refreshInterval:(display:Off,pause:!f,section:0,value:0),time:(from:'2017-03-10T17:05:48-0700',mode:absolute,to:'2017-03-10T19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9" s="187" t="str">
        <f t="shared" si="96"/>
        <v>N</v>
      </c>
      <c r="X119" s="187">
        <f t="shared" si="102"/>
        <v>1</v>
      </c>
      <c r="Y119" s="62">
        <f t="shared" si="97"/>
        <v>23.300799999999999</v>
      </c>
      <c r="Z119" s="62">
        <f t="shared" si="104"/>
        <v>1.34E-2</v>
      </c>
      <c r="AA119" s="62">
        <f t="shared" si="99"/>
        <v>23.287399999999998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100"/>
        <v>0210-10</v>
      </c>
      <c r="AE119" s="85" t="str">
        <f t="shared" si="86"/>
        <v>aws s3 cp s3://rtdc.mdm.uploadarchive.raw/RTDC4052/ "%USERPROFILE%\AppData\Local\Temp\OnboardLogs"\RTDC4052\2017-03-10 --exclude "*" --recursive --include "*20170310*" &amp; "%USERPROFILE%\Documents\GitHub\mrs-test-scripts\Headless Mode &amp; Sideloading\WalkAndUnGZ.bat" "%USERPROFILE%\AppData\Local\Temp\OnboardLogs"\RTDC4052\2017-03-10 &amp; aws s3 cp s3://rtdc.mdm.uploadarchive.raw/RTDC4052/ "%USERPROFILE%\AppData\Local\Temp\OnboardLogs"\RTDC4052\2017-03-11 --exclude "*" --recursive --include "*20170311*" &amp; "%USERPROFILE%\Documents\GitHub\mrs-test-scripts\Headless Mode &amp; Sideloading\WalkAndUnGZ.bat" "%USERPROFILE%\AppData\Local\Temp\OnboardLogs"\RTDC4052\2017-03-11</v>
      </c>
      <c r="AF119" s="82" t="str">
        <f t="shared" si="87"/>
        <v>"C:\Program Files (x86)\AstroGrep\AstroGrep.exe" /e /r /s /spath="%USERPROFILE%\AppData\Local\Temp\OnboardLogs" /stypes="app*4052*20170311*" /stext=" 01:.+((SYSTEM_STATE.+slice.+state.+changed )|(ment ac)|(multiple cpu faults)|(system.+state.+changed )|(\[timeout)|(PRM\|1\|D)|(kpr)|(kdp)|(\|lc)|(penalty))"</v>
      </c>
      <c r="AG119" s="1" t="str">
        <f t="shared" si="101"/>
        <v>EC</v>
      </c>
      <c r="AH119" s="86" t="str">
        <f t="shared" si="88"/>
        <v>"%USERPROFILE%\Documents\GitHub\eaglep3\Utilities\RefineRTDCRunTimes.py" --tripid 210-10 --locoid 4052 --swversion DE.1.0.9.0 --startMP 204:233008 --initTime 2017-03-10T18:05:48 --startdatetime 2017-03-10T18:07:55 --delay 2 --endMP 204:134 --enddatetime 2017-03-10T18:56:48 --enforcementcount 0 &gt;&gt;C:\Users\stu\Documents\GitHub\eaglep3-reporting\EC\2017-03-10-refined-times.txt</v>
      </c>
      <c r="AI119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{"issue":{"subject":"","project_id":79,"tracker_id":40,"status_id":1,"priority_id":2,"assigned_to_id":23,"start_date":"2017-03-10","description":"","custom_fields":[{"id":1,"name":"Subdivision","value":"EC"},{"id":4,"name":"Milepost","value":"0.0134"},{"id":17,"name":"Train ID","value":"210-10"},{"id":16,"name":"Locomotive ID","value":"4052"},{"id":130,"name":"Impact","value":""},{"id":150,"name":"Time of Event (Mountain Time)","value":"18:56:48"},{"id":151,"name":"Denver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90"/>
        <v>start /low /b %USERPROFILE%\Documents\GitHub\eaglep3\Utilities\DownloadLogsFromS3.py --loco 4052 --day 2017-03-10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"%USERPROFILE%\AppData\Local\Temp\OnboardLogs"\RTDC4052\*4052*20170311* | grep -SE "(Enforcement Action)|(\[TIMEOUT)|(CHR.+\|PRM\|1\|D.+(SWITCH|SIGNAL).+UNKNOWN)" - &gt;&gt; 2017-03-10-UncaughtWiMAX.txt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743</v>
      </c>
      <c r="B120" s="7">
        <v>4011</v>
      </c>
      <c r="C120" s="21" t="s">
        <v>239</v>
      </c>
      <c r="D120" s="21" t="s">
        <v>231</v>
      </c>
      <c r="E120" s="13">
        <v>42804.726886574077</v>
      </c>
      <c r="F120" s="13">
        <v>42804.727627314816</v>
      </c>
      <c r="G120" s="7">
        <v>1</v>
      </c>
      <c r="H120" s="21" t="s">
        <v>815</v>
      </c>
      <c r="I120" s="13">
        <v>42804.761180555557</v>
      </c>
      <c r="J120" s="7">
        <v>0</v>
      </c>
      <c r="K120" s="98" t="str">
        <f t="shared" si="93"/>
        <v>4011/4012</v>
      </c>
      <c r="L120" s="21" t="str">
        <f>VLOOKUP(A120,'Trips&amp;Operators'!$C$1:$G$99999,5,FALSE)</f>
        <v>DELGADO DIANAH</v>
      </c>
      <c r="M120" s="6">
        <f t="shared" si="94"/>
        <v>3.3553240740729962E-2</v>
      </c>
      <c r="N120" s="7">
        <f t="shared" si="103"/>
        <v>48.316666666651145</v>
      </c>
      <c r="O120" s="7"/>
      <c r="P120" s="7"/>
      <c r="Q120" s="22"/>
      <c r="R120" s="22"/>
      <c r="S120" s="31">
        <f t="shared" si="92"/>
        <v>1</v>
      </c>
      <c r="T120" s="46" t="str">
        <f t="shared" si="95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85"/>
        <v>https://d0f6bd738d7f1b3e5a7ca70fe4ff75f0.us-east-1.aws.found.io/app/kibana#/discover/Steve-Slow-Train-Analysis-(2080s-and-2083s)?_g=(refreshInterval:(display:Off,pause:!f,section:0,value:0),time:(from:'2017-03-10T16:26:43-0700',mode:absolute,to:'2017-03-10T19:16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187" t="str">
        <f t="shared" si="96"/>
        <v>N</v>
      </c>
      <c r="X120" s="187">
        <f t="shared" si="102"/>
        <v>1</v>
      </c>
      <c r="Y120" s="62">
        <f t="shared" si="97"/>
        <v>4.4400000000000002E-2</v>
      </c>
      <c r="Z120" s="62">
        <f t="shared" si="104"/>
        <v>23.328199999999999</v>
      </c>
      <c r="AA120" s="62">
        <f t="shared" si="99"/>
        <v>23.283799999999999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100"/>
        <v>0211-10</v>
      </c>
      <c r="AE120" s="85" t="str">
        <f t="shared" si="86"/>
        <v>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 &amp; aws s3 cp s3://rtdc.mdm.uploadarchive.raw/RTDC4011/ "%USERPROFILE%\AppData\Local\Temp\OnboardLogs"\RTDC4011\2017-03-11 --exclude "*" --recursive --include "*20170311*" &amp; "%USERPROFILE%\Documents\GitHub\mrs-test-scripts\Headless Mode &amp; Sideloading\WalkAndUnGZ.bat" "%USERPROFILE%\AppData\Local\Temp\OnboardLogs"\RTDC4011\2017-03-11</v>
      </c>
      <c r="AF120" s="82" t="str">
        <f t="shared" si="87"/>
        <v>"C:\Program Files (x86)\AstroGrep\AstroGrep.exe" /e /r /s /spath="%USERPROFILE%\AppData\Local\Temp\OnboardLogs" /stypes="app*4011*20170311*" /stext=" 01:.+((SYSTEM_STATE.+slice.+state.+changed )|(ment ac)|(multiple cpu faults)|(system.+state.+changed )|(\[timeout)|(PRM\|1\|D)|(kpr)|(kdp)|(\|lc)|(penalty))"</v>
      </c>
      <c r="AG120" s="1" t="str">
        <f t="shared" si="101"/>
        <v>EC</v>
      </c>
      <c r="AH120" s="86" t="str">
        <f t="shared" si="88"/>
        <v>"%USERPROFILE%\Documents\GitHub\eaglep3\Utilities\RefineRTDCRunTimes.py" --tripid 211-10 --locoid 4011 --swversion DE.1.0.9.0 --startMP 204:444 --initTime 2017-03-10T17:26:43 --startdatetime 2017-03-10T17:27:47 --delay 1 --endMP 204:233282 --enddatetime 2017-03-10T18:16:06 --enforcementcount 0 &gt;&gt;C:\Users\stu\Documents\GitHub\eaglep3-reporting\EC\2017-03-10-refined-times.txt</v>
      </c>
      <c r="AI120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{"issue":{"subject":"","project_id":79,"tracker_id":40,"status_id":1,"priority_id":2,"assigned_to_id":23,"start_date":"2017-03-10","description":"","custom_fields":[{"id":1,"name":"Subdivision","value":"EC"},{"id":4,"name":"Milepost","value":"23.3282"},{"id":17,"name":"Train ID","value":"211-10"},{"id":16,"name":"Locomotive ID","value":"4011"},{"id":130,"name":"Impact","value":""},{"id":150,"name":"Time of Event (Mountain Time)","value":"18:16:06"},{"id":151,"name":"Denver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90"/>
        <v>start /low /b %USERPROFILE%\Documents\GitHub\eaglep3\Utilities\DownloadLogsFromS3.py --loco 4011 --day 2017-03-10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"%USERPROFILE%\AppData\Local\Temp\OnboardLogs"\RTDC4011\*4011*20170311* | grep -SE "(Enforcement Action)|(\[TIMEOUT)|(CHR.+\|PRM\|1\|D.+(SWITCH|SIGNAL).+UNKNOWN)" - &gt;&gt; 2017-03-10-UncaughtWiMAX.txt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757</v>
      </c>
      <c r="B121" s="7">
        <v>4012</v>
      </c>
      <c r="C121" s="21" t="s">
        <v>239</v>
      </c>
      <c r="D121" s="21" t="s">
        <v>856</v>
      </c>
      <c r="E121" s="13">
        <v>42804.76363425926</v>
      </c>
      <c r="F121" s="13">
        <v>42804.764398148145</v>
      </c>
      <c r="G121" s="7">
        <v>1</v>
      </c>
      <c r="H121" s="21" t="s">
        <v>229</v>
      </c>
      <c r="I121" s="13">
        <v>42804.798379629632</v>
      </c>
      <c r="J121" s="7">
        <v>0</v>
      </c>
      <c r="K121" s="98" t="str">
        <f t="shared" si="93"/>
        <v>4011/4012</v>
      </c>
      <c r="L121" s="21" t="str">
        <f>VLOOKUP(A121,'Trips&amp;Operators'!$C$1:$G$99999,5,FALSE)</f>
        <v>DELGADO DIANAH</v>
      </c>
      <c r="M121" s="6">
        <f t="shared" si="94"/>
        <v>3.3981481486989651E-2</v>
      </c>
      <c r="N121" s="7">
        <f t="shared" si="103"/>
        <v>48.933333341265097</v>
      </c>
      <c r="O121" s="7"/>
      <c r="P121" s="7"/>
      <c r="Q121" s="22"/>
      <c r="R121" s="22"/>
      <c r="S121" s="31">
        <f t="shared" si="92"/>
        <v>1</v>
      </c>
      <c r="T121" s="46" t="str">
        <f t="shared" si="95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85"/>
        <v>https://d0f6bd738d7f1b3e5a7ca70fe4ff75f0.us-east-1.aws.found.io/app/kibana#/discover/Steve-Slow-Train-Analysis-(2080s-and-2083s)?_g=(refreshInterval:(display:Off,pause:!f,section:0,value:0),time:(from:'2017-03-10T17:19:38-0700',mode:absolute,to:'2017-03-10T20:09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1" s="187" t="str">
        <f t="shared" si="96"/>
        <v>N</v>
      </c>
      <c r="X121" s="187">
        <f t="shared" si="102"/>
        <v>1</v>
      </c>
      <c r="Y121" s="62">
        <f t="shared" si="97"/>
        <v>23.2973</v>
      </c>
      <c r="Z121" s="62">
        <f t="shared" si="104"/>
        <v>1.5599999999999999E-2</v>
      </c>
      <c r="AA121" s="62">
        <f t="shared" si="99"/>
        <v>23.281700000000001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100"/>
        <v>0212-10</v>
      </c>
      <c r="AE121" s="85" t="str">
        <f t="shared" si="86"/>
        <v>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 &amp; aws s3 cp s3://rtdc.mdm.uploadarchive.raw/RTDC4012/ "%USERPROFILE%\AppData\Local\Temp\OnboardLogs"\RTDC4012\2017-03-11 --exclude "*" --recursive --include "*20170311*" &amp; "%USERPROFILE%\Documents\GitHub\mrs-test-scripts\Headless Mode &amp; Sideloading\WalkAndUnGZ.bat" "%USERPROFILE%\AppData\Local\Temp\OnboardLogs"\RTDC4012\2017-03-11</v>
      </c>
      <c r="AF121" s="82" t="str">
        <f t="shared" si="87"/>
        <v>"C:\Program Files (x86)\AstroGrep\AstroGrep.exe" /e /r /s /spath="%USERPROFILE%\AppData\Local\Temp\OnboardLogs" /stypes="app*4012*20170311*" /stext=" 02:.+((SYSTEM_STATE.+slice.+state.+changed )|(ment ac)|(multiple cpu faults)|(system.+state.+changed )|(\[timeout)|(PRM\|1\|D)|(kpr)|(kdp)|(\|lc)|(penalty))"</v>
      </c>
      <c r="AG121" s="1" t="str">
        <f t="shared" si="101"/>
        <v>EC</v>
      </c>
      <c r="AH121" s="86" t="str">
        <f t="shared" si="88"/>
        <v>"%USERPROFILE%\Documents\GitHub\eaglep3\Utilities\RefineRTDCRunTimes.py" --tripid 212-10 --locoid 4012 --swversion DE.1.0.9.0 --startMP 204:232973 --initTime 2017-03-10T18:19:38 --startdatetime 2017-03-10T18:20:44 --delay 1 --endMP 204:156 --enddatetime 2017-03-10T19:09:40 --enforcementcount 0 &gt;&gt;C:\Users\stu\Documents\GitHub\eaglep3-reporting\EC\2017-03-10-refined-times.txt</v>
      </c>
      <c r="AI121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{"issue":{"subject":"","project_id":79,"tracker_id":40,"status_id":1,"priority_id":2,"assigned_to_id":23,"start_date":"2017-03-10","description":"","custom_fields":[{"id":1,"name":"Subdivision","value":"EC"},{"id":4,"name":"Milepost","value":"0.0156"},{"id":17,"name":"Train ID","value":"212-10"},{"id":16,"name":"Locomotive ID","value":"4012"},{"id":130,"name":"Impact","value":""},{"id":150,"name":"Time of Event (Mountain Time)","value":"19:09:40"},{"id":151,"name":"Denver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90"/>
        <v>start /low /b %USERPROFILE%\Documents\GitHub\eaglep3\Utilities\DownloadLogsFromS3.py --loco 4012 --day 2017-03-10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"%USERPROFILE%\AppData\Local\Temp\OnboardLogs"\RTDC4012\*4012*20170311* | grep -SE "(Enforcement Action)|(\[TIMEOUT)|(CHR.+\|PRM\|1\|D.+(SWITCH|SIGNAL).+UNKNOWN)" - &gt;&gt; 2017-03-10-UncaughtWiMAX.txt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603</v>
      </c>
      <c r="B122" s="7">
        <v>4027</v>
      </c>
      <c r="C122" s="21" t="s">
        <v>239</v>
      </c>
      <c r="D122" s="21" t="s">
        <v>253</v>
      </c>
      <c r="E122" s="13">
        <v>42804.738263888888</v>
      </c>
      <c r="F122" s="13">
        <v>42804.738958333335</v>
      </c>
      <c r="G122" s="7">
        <v>0</v>
      </c>
      <c r="H122" s="21" t="s">
        <v>852</v>
      </c>
      <c r="I122" s="13">
        <v>42804.766863425924</v>
      </c>
      <c r="J122" s="7">
        <v>0</v>
      </c>
      <c r="K122" s="98" t="str">
        <f t="shared" si="93"/>
        <v>4027/4028</v>
      </c>
      <c r="L122" s="21" t="str">
        <f>VLOOKUP(A122,'Trips&amp;Operators'!$C$1:$G$99999,5,FALSE)</f>
        <v>STORY SAMANTHA</v>
      </c>
      <c r="M122" s="6">
        <f t="shared" si="94"/>
        <v>2.7905092589207925E-2</v>
      </c>
      <c r="N122" s="7">
        <f t="shared" si="103"/>
        <v>40.183333328459412</v>
      </c>
      <c r="O122" s="7"/>
      <c r="P122" s="7"/>
      <c r="Q122" s="22"/>
      <c r="R122" s="22"/>
      <c r="S122" s="31">
        <f t="shared" si="92"/>
        <v>1</v>
      </c>
      <c r="T122" s="46" t="str">
        <f t="shared" si="95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85"/>
        <v>https://d0f6bd738d7f1b3e5a7ca70fe4ff75f0.us-east-1.aws.found.io/app/kibana#/discover/Steve-Slow-Train-Analysis-(2080s-and-2083s)?_g=(refreshInterval:(display:Off,pause:!f,section:0,value:0),time:(from:'2017-03-10T16:43:06-0700',mode:absolute,to:'2017-03-10T19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2" s="187" t="str">
        <f t="shared" si="96"/>
        <v>N</v>
      </c>
      <c r="X122" s="187">
        <f t="shared" si="102"/>
        <v>1</v>
      </c>
      <c r="Y122" s="62">
        <f t="shared" si="97"/>
        <v>4.6699999999999998E-2</v>
      </c>
      <c r="Z122" s="62">
        <f t="shared" si="104"/>
        <v>23.3261</v>
      </c>
      <c r="AA122" s="62">
        <f t="shared" si="99"/>
        <v>23.279399999999999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100"/>
        <v>0213-10</v>
      </c>
      <c r="AE122" s="85" t="str">
        <f t="shared" si="86"/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AF122" s="82" t="str">
        <f t="shared" si="87"/>
        <v>"C:\Program Files (x86)\AstroGrep\AstroGrep.exe" /e /r /s /spath="%USERPROFILE%\AppData\Local\Temp\OnboardLogs" /stypes="app*4027*20170311*" /stext=" 01:.+((SYSTEM_STATE.+slice.+state.+changed )|(ment ac)|(multiple cpu faults)|(system.+state.+changed )|(\[timeout)|(PRM\|1\|D)|(kpr)|(kdp)|(\|lc)|(penalty))"</v>
      </c>
      <c r="AG122" s="1" t="str">
        <f t="shared" si="101"/>
        <v>EC</v>
      </c>
      <c r="AH122" s="86" t="str">
        <f t="shared" si="88"/>
        <v>"%USERPROFILE%\Documents\GitHub\eaglep3\Utilities\RefineRTDCRunTimes.py" --tripid 213-10 --locoid 4027 --swversion DE.1.0.9.0 --startMP 204:467 --initTime 2017-03-10T17:43:06 --startdatetime 2017-03-10T17:44:06 --delay 0 --endMP 204:233261 --enddatetime 2017-03-10T18:24:17 --enforcementcount 0 &gt;&gt;C:\Users\stu\Documents\GitHub\eaglep3-reporting\EC\2017-03-10-refined-times.txt</v>
      </c>
      <c r="AI122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{"issue":{"subject":"","project_id":79,"tracker_id":40,"status_id":1,"priority_id":2,"assigned_to_id":23,"start_date":"2017-03-10","description":"","custom_fields":[{"id":1,"name":"Subdivision","value":"EC"},{"id":4,"name":"Milepost","value":"23.3261"},{"id":17,"name":"Train ID","value":"213-10"},{"id":16,"name":"Locomotive ID","value":"4027"},{"id":130,"name":"Impact","value":""},{"id":150,"name":"Time of Event (Mountain Time)","value":"18:24:17"},{"id":151,"name":"Denver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90"/>
        <v>start /low /b %USERPROFILE%\Documents\GitHub\eaglep3\Utilities\DownloadLogsFromS3.py --loco 4027 --day 2017-03-10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"%USERPROFILE%\AppData\Local\Temp\OnboardLogs"\RTDC4027\*4027*20170311* | grep -SE "(Enforcement Action)|(\[TIMEOUT)|(CHR.+\|PRM\|1\|D.+(SWITCH|SIGNAL).+UNKNOWN)" - &gt;&gt; 2017-03-10-UncaughtWiMAX.txt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606</v>
      </c>
      <c r="B123" s="7">
        <v>4028</v>
      </c>
      <c r="C123" s="21" t="s">
        <v>239</v>
      </c>
      <c r="D123" s="21" t="s">
        <v>883</v>
      </c>
      <c r="E123" s="13">
        <v>42804.776921296296</v>
      </c>
      <c r="F123" s="13">
        <v>42804.777997685182</v>
      </c>
      <c r="G123" s="7">
        <v>1</v>
      </c>
      <c r="H123" s="21" t="s">
        <v>884</v>
      </c>
      <c r="I123" s="13">
        <v>42804.808344907404</v>
      </c>
      <c r="J123" s="7">
        <v>0</v>
      </c>
      <c r="K123" s="98" t="str">
        <f t="shared" si="93"/>
        <v>4027/4028</v>
      </c>
      <c r="L123" s="21" t="str">
        <f>VLOOKUP(A123,'Trips&amp;Operators'!$C$1:$G$99999,5,FALSE)</f>
        <v>STORY SAMANTHA</v>
      </c>
      <c r="M123" s="6">
        <f t="shared" si="94"/>
        <v>3.0347222222189885E-2</v>
      </c>
      <c r="N123" s="7">
        <f t="shared" si="103"/>
        <v>43.699999999953434</v>
      </c>
      <c r="O123" s="7"/>
      <c r="P123" s="7"/>
      <c r="Q123" s="22"/>
      <c r="R123" s="22"/>
      <c r="S123" s="31">
        <f t="shared" si="92"/>
        <v>1</v>
      </c>
      <c r="T123" s="46" t="str">
        <f t="shared" si="95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85"/>
        <v>https://d0f6bd738d7f1b3e5a7ca70fe4ff75f0.us-east-1.aws.found.io/app/kibana#/discover/Steve-Slow-Train-Analysis-(2080s-and-2083s)?_g=(refreshInterval:(display:Off,pause:!f,section:0,value:0),time:(from:'2017-03-10T17:38:46-0700',mode:absolute,to:'2017-03-10T20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187" t="str">
        <f t="shared" si="96"/>
        <v>N</v>
      </c>
      <c r="X123" s="187">
        <f t="shared" si="102"/>
        <v>1</v>
      </c>
      <c r="Y123" s="62">
        <f t="shared" si="97"/>
        <v>23.295100000000001</v>
      </c>
      <c r="Z123" s="62">
        <f t="shared" si="104"/>
        <v>1.7999999999999999E-2</v>
      </c>
      <c r="AA123" s="62">
        <f t="shared" si="99"/>
        <v>23.277100000000001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100"/>
        <v>0214-10</v>
      </c>
      <c r="AE123" s="85" t="str">
        <f t="shared" si="86"/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AF123" s="82" t="str">
        <f t="shared" si="87"/>
        <v>"C:\Program Files (x86)\AstroGrep\AstroGrep.exe" /e /r /s /spath="%USERPROFILE%\AppData\Local\Temp\OnboardLogs" /stypes="app*4028*20170311*" /stext=" 02:.+((SYSTEM_STATE.+slice.+state.+changed )|(ment ac)|(multiple cpu faults)|(system.+state.+changed )|(\[timeout)|(PRM\|1\|D)|(kpr)|(kdp)|(\|lc)|(penalty))"</v>
      </c>
      <c r="AG123" s="1" t="str">
        <f t="shared" si="101"/>
        <v>EC</v>
      </c>
      <c r="AH123" s="86" t="str">
        <f t="shared" si="88"/>
        <v>"%USERPROFILE%\Documents\GitHub\eaglep3\Utilities\RefineRTDCRunTimes.py" --tripid 214-10 --locoid 4028 --swversion DE.1.0.9.0 --startMP 204:232951 --initTime 2017-03-10T18:38:46 --startdatetime 2017-03-10T18:40:19 --delay 1 --endMP 204:180 --enddatetime 2017-03-10T19:24:01 --enforcementcount 0 &gt;&gt;C:\Users\stu\Documents\GitHub\eaglep3-reporting\EC\2017-03-10-refined-times.txt</v>
      </c>
      <c r="AI123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{"issue":{"subject":"","project_id":79,"tracker_id":40,"status_id":1,"priority_id":2,"assigned_to_id":23,"start_date":"2017-03-10","description":"","custom_fields":[{"id":1,"name":"Subdivision","value":"EC"},{"id":4,"name":"Milepost","value":"0.018"},{"id":17,"name":"Train ID","value":"214-10"},{"id":16,"name":"Locomotive ID","value":"4028"},{"id":130,"name":"Impact","value":""},{"id":150,"name":"Time of Event (Mountain Time)","value":"19:24:01"},{"id":151,"name":"Denver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90"/>
        <v>start /low /b %USERPROFILE%\Documents\GitHub\eaglep3\Utilities\DownloadLogsFromS3.py --loco 4028 --day 2017-03-10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"%USERPROFILE%\AppData\Local\Temp\OnboardLogs"\RTDC4028\*4028*20170311* | grep -SE "(Enforcement Action)|(\[TIMEOUT)|(CHR.+\|PRM\|1\|D.+(SWITCH|SIGNAL).+UNKNOWN)" - &gt;&gt; 2017-03-10-UncaughtWiMAX.txt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753</v>
      </c>
      <c r="B124" s="7">
        <v>4053</v>
      </c>
      <c r="C124" s="21" t="s">
        <v>239</v>
      </c>
      <c r="D124" s="21" t="s">
        <v>478</v>
      </c>
      <c r="E124" s="13">
        <v>42804.746805555558</v>
      </c>
      <c r="F124" s="13">
        <v>42804.748680555553</v>
      </c>
      <c r="G124" s="7">
        <v>2</v>
      </c>
      <c r="H124" s="21" t="s">
        <v>482</v>
      </c>
      <c r="I124" s="13">
        <v>42804.776736111111</v>
      </c>
      <c r="J124" s="7">
        <v>0</v>
      </c>
      <c r="K124" s="98" t="str">
        <f t="shared" si="93"/>
        <v>4053/4054</v>
      </c>
      <c r="L124" s="21" t="str">
        <f>VLOOKUP(A124,'Trips&amp;Operators'!$C$1:$G$99999,5,FALSE)</f>
        <v>LOPES KIMBERLY</v>
      </c>
      <c r="M124" s="6">
        <f t="shared" si="94"/>
        <v>2.8055555558239575E-2</v>
      </c>
      <c r="N124" s="7">
        <f t="shared" si="103"/>
        <v>40.400000003864989</v>
      </c>
      <c r="O124" s="7"/>
      <c r="P124" s="7"/>
      <c r="Q124" s="22"/>
      <c r="R124" s="22"/>
      <c r="S124" s="31">
        <f t="shared" si="92"/>
        <v>1</v>
      </c>
      <c r="T124" s="46" t="str">
        <f t="shared" si="95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85"/>
        <v>https://d0f6bd738d7f1b3e5a7ca70fe4ff75f0.us-east-1.aws.found.io/app/kibana#/discover/Steve-Slow-Train-Analysis-(2080s-and-2083s)?_g=(refreshInterval:(display:Off,pause:!f,section:0,value:0),time:(from:'2017-03-10T16:55:24-0700',mode:absolute,to:'2017-03-10T19:38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187" t="str">
        <f t="shared" si="96"/>
        <v>N</v>
      </c>
      <c r="X124" s="187">
        <f t="shared" si="102"/>
        <v>1</v>
      </c>
      <c r="Y124" s="62">
        <f t="shared" si="97"/>
        <v>4.6399999999999997E-2</v>
      </c>
      <c r="Z124" s="62">
        <f t="shared" si="104"/>
        <v>23.3293</v>
      </c>
      <c r="AA124" s="62">
        <f t="shared" si="99"/>
        <v>23.282900000000001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100"/>
        <v>0215-10</v>
      </c>
      <c r="AE124" s="85" t="str">
        <f t="shared" si="86"/>
        <v>aws s3 cp s3://rtdc.mdm.uploadarchive.raw/RTDC4053/ "%USERPROFILE%\AppData\Local\Temp\OnboardLogs"\RTDC4053\2017-03-10 --exclude "*" --recursive --include "*20170310*" &amp; "%USERPROFILE%\Documents\GitHub\mrs-test-scripts\Headless Mode &amp; Sideloading\WalkAndUnGZ.bat" "%USERPROFILE%\AppData\Local\Temp\OnboardLogs"\RTDC4053\2017-03-10 &amp; aws s3 cp s3://rtdc.mdm.uploadarchive.raw/RTDC4053/ "%USERPROFILE%\AppData\Local\Temp\OnboardLogs"\RTDC4053\2017-03-11 --exclude "*" --recursive --include "*20170311*" &amp; "%USERPROFILE%\Documents\GitHub\mrs-test-scripts\Headless Mode &amp; Sideloading\WalkAndUnGZ.bat" "%USERPROFILE%\AppData\Local\Temp\OnboardLogs"\RTDC4053\2017-03-11</v>
      </c>
      <c r="AF124" s="82" t="str">
        <f t="shared" si="87"/>
        <v>"C:\Program Files (x86)\AstroGrep\AstroGrep.exe" /e /r /s /spath="%USERPROFILE%\AppData\Local\Temp\OnboardLogs" /stypes="app*4053*20170311*" /stext=" 01:.+((SYSTEM_STATE.+slice.+state.+changed )|(ment ac)|(multiple cpu faults)|(system.+state.+changed )|(\[timeout)|(PRM\|1\|D)|(kpr)|(kdp)|(\|lc)|(penalty))"</v>
      </c>
      <c r="AG124" s="1" t="str">
        <f t="shared" si="101"/>
        <v>EC</v>
      </c>
      <c r="AH124" s="86" t="str">
        <f t="shared" si="88"/>
        <v>"%USERPROFILE%\Documents\GitHub\eaglep3\Utilities\RefineRTDCRunTimes.py" --tripid 215-10 --locoid 4053 --swversion DE.1.0.9.0 --startMP 204:464 --initTime 2017-03-10T17:55:24 --startdatetime 2017-03-10T17:58:06 --delay 2 --endMP 204:233293 --enddatetime 2017-03-10T18:38:30 --enforcementcount 0 &gt;&gt;C:\Users\stu\Documents\GitHub\eaglep3-reporting\EC\2017-03-10-refined-times.txt</v>
      </c>
      <c r="AI124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{"issue":{"subject":"","project_id":79,"tracker_id":40,"status_id":1,"priority_id":2,"assigned_to_id":23,"start_date":"2017-03-10","description":"","custom_fields":[{"id":1,"name":"Subdivision","value":"EC"},{"id":4,"name":"Milepost","value":"23.3293"},{"id":17,"name":"Train ID","value":"215-10"},{"id":16,"name":"Locomotive ID","value":"4053"},{"id":130,"name":"Impact","value":""},{"id":150,"name":"Time of Event (Mountain Time)","value":"18:38:30"},{"id":151,"name":"Denver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90"/>
        <v>start /low /b %USERPROFILE%\Documents\GitHub\eaglep3\Utilities\DownloadLogsFromS3.py --loco 4053 --day 2017-03-10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"%USERPROFILE%\AppData\Local\Temp\OnboardLogs"\RTDC4053\*4053*20170311* | grep -SE "(Enforcement Action)|(\[TIMEOUT)|(CHR.+\|PRM\|1\|D.+(SWITCH|SIGNAL).+UNKNOWN)" - &gt;&gt; 2017-03-10-UncaughtWiMAX.txt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761</v>
      </c>
      <c r="B125" s="7">
        <v>4054</v>
      </c>
      <c r="C125" s="21" t="s">
        <v>239</v>
      </c>
      <c r="D125" s="21" t="s">
        <v>403</v>
      </c>
      <c r="E125" s="13">
        <v>42804.781782407408</v>
      </c>
      <c r="F125" s="13">
        <v>42804.783055555556</v>
      </c>
      <c r="G125" s="7">
        <v>1</v>
      </c>
      <c r="H125" s="21" t="s">
        <v>208</v>
      </c>
      <c r="I125" s="13">
        <v>42804.81763888889</v>
      </c>
      <c r="J125" s="7">
        <v>0</v>
      </c>
      <c r="K125" s="98" t="str">
        <f t="shared" si="93"/>
        <v>4053/4054</v>
      </c>
      <c r="L125" s="21" t="str">
        <f>VLOOKUP(A125,'Trips&amp;Operators'!$C$1:$G$99999,5,FALSE)</f>
        <v>LOPES KIMBERLY</v>
      </c>
      <c r="M125" s="6">
        <f t="shared" si="94"/>
        <v>3.4583333334012423E-2</v>
      </c>
      <c r="N125" s="7">
        <f t="shared" si="103"/>
        <v>49.800000000977889</v>
      </c>
      <c r="O125" s="7"/>
      <c r="P125" s="7"/>
      <c r="Q125" s="22"/>
      <c r="R125" s="22"/>
      <c r="S125" s="31">
        <f t="shared" si="92"/>
        <v>1</v>
      </c>
      <c r="T125" s="46" t="str">
        <f t="shared" si="95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85"/>
        <v>https://d0f6bd738d7f1b3e5a7ca70fe4ff75f0.us-east-1.aws.found.io/app/kibana#/discover/Steve-Slow-Train-Analysis-(2080s-and-2083s)?_g=(refreshInterval:(display:Off,pause:!f,section:0,value:0),time:(from:'2017-03-10T17:45:46-0700',mode:absolute,to:'2017-03-10T20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5" s="187" t="str">
        <f t="shared" si="96"/>
        <v>N</v>
      </c>
      <c r="X125" s="187">
        <f t="shared" si="102"/>
        <v>1</v>
      </c>
      <c r="Y125" s="62">
        <f t="shared" si="97"/>
        <v>23.298200000000001</v>
      </c>
      <c r="Z125" s="62">
        <f t="shared" si="104"/>
        <v>1.54E-2</v>
      </c>
      <c r="AA125" s="62">
        <f t="shared" si="99"/>
        <v>23.282800000000002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100"/>
        <v>0216-10</v>
      </c>
      <c r="AE125" s="85" t="str">
        <f t="shared" si="86"/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AF125" s="82" t="str">
        <f t="shared" si="87"/>
        <v>"C:\Program Files (x86)\AstroGrep\AstroGrep.exe" /e /r /s /spath="%USERPROFILE%\AppData\Local\Temp\OnboardLogs" /stypes="app*4054*20170311*" /stext=" 02:.+((SYSTEM_STATE.+slice.+state.+changed )|(ment ac)|(multiple cpu faults)|(system.+state.+changed )|(\[timeout)|(PRM\|1\|D)|(kpr)|(kdp)|(\|lc)|(penalty))"</v>
      </c>
      <c r="AG125" s="1" t="str">
        <f t="shared" si="101"/>
        <v>EC</v>
      </c>
      <c r="AH125" s="86" t="str">
        <f t="shared" si="88"/>
        <v>"%USERPROFILE%\Documents\GitHub\eaglep3\Utilities\RefineRTDCRunTimes.py" --tripid 216-10 --locoid 4054 --swversion DE.1.0.9.0 --startMP 204:232982 --initTime 2017-03-10T18:45:46 --startdatetime 2017-03-10T18:47:36 --delay 1 --endMP 204:154 --enddatetime 2017-03-10T19:37:24 --enforcementcount 0 &gt;&gt;C:\Users\stu\Documents\GitHub\eaglep3-reporting\EC\2017-03-10-refined-times.txt</v>
      </c>
      <c r="AI125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{"issue":{"subject":"","project_id":79,"tracker_id":40,"status_id":1,"priority_id":2,"assigned_to_id":23,"start_date":"2017-03-10","description":"","custom_fields":[{"id":1,"name":"Subdivision","value":"EC"},{"id":4,"name":"Milepost","value":"0.0154"},{"id":17,"name":"Train ID","value":"216-10"},{"id":16,"name":"Locomotive ID","value":"4054"},{"id":130,"name":"Impact","value":""},{"id":150,"name":"Time of Event (Mountain Time)","value":"19:37:24"},{"id":151,"name":"Denver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90"/>
        <v>start /low /b %USERPROFILE%\Documents\GitHub\eaglep3\Utilities\DownloadLogsFromS3.py --loco 4054 --day 2017-03-10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"%USERPROFILE%\AppData\Local\Temp\OnboardLogs"\RTDC4054\*4054*20170311* | grep -SE "(Enforcement Action)|(\[TIMEOUT)|(CHR.+\|PRM\|1\|D.+(SWITCH|SIGNAL).+UNKNOWN)" - &gt;&gt; 2017-03-10-UncaughtWiMAX.txt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755</v>
      </c>
      <c r="B126" s="7">
        <v>4003</v>
      </c>
      <c r="C126" s="21" t="s">
        <v>239</v>
      </c>
      <c r="D126" s="21" t="s">
        <v>233</v>
      </c>
      <c r="E126" s="13">
        <v>42804.755937499998</v>
      </c>
      <c r="F126" s="13">
        <v>42804.757268518515</v>
      </c>
      <c r="G126" s="7">
        <v>1</v>
      </c>
      <c r="H126" s="21" t="s">
        <v>885</v>
      </c>
      <c r="I126" s="13">
        <v>42804.786273148151</v>
      </c>
      <c r="J126" s="7">
        <v>0</v>
      </c>
      <c r="K126" s="98" t="str">
        <f t="shared" si="93"/>
        <v>4003/4004</v>
      </c>
      <c r="L126" s="21" t="str">
        <f>VLOOKUP(A126,'Trips&amp;Operators'!$C$1:$G$99999,5,FALSE)</f>
        <v>STAMBAUGH JAMES</v>
      </c>
      <c r="M126" s="6">
        <f t="shared" si="94"/>
        <v>2.9004629635892343E-2</v>
      </c>
      <c r="N126" s="7">
        <f t="shared" si="103"/>
        <v>41.766666675684974</v>
      </c>
      <c r="O126" s="7"/>
      <c r="P126" s="7"/>
      <c r="Q126" s="22"/>
      <c r="R126" s="22"/>
      <c r="S126" s="31">
        <f t="shared" si="92"/>
        <v>1</v>
      </c>
      <c r="T126" s="46" t="str">
        <f t="shared" si="95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85"/>
        <v>https://d0f6bd738d7f1b3e5a7ca70fe4ff75f0.us-east-1.aws.found.io/app/kibana#/discover/Steve-Slow-Train-Analysis-(2080s-and-2083s)?_g=(refreshInterval:(display:Off,pause:!f,section:0,value:0),time:(from:'2017-03-10T17:08:33-0700',mode:absolute,to:'2017-03-10T19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187" t="str">
        <f t="shared" si="96"/>
        <v>N</v>
      </c>
      <c r="X126" s="187">
        <f t="shared" si="102"/>
        <v>1</v>
      </c>
      <c r="Y126" s="62">
        <f t="shared" si="97"/>
        <v>4.4699999999999997E-2</v>
      </c>
      <c r="Z126" s="62">
        <f t="shared" si="104"/>
        <v>23.340800000000002</v>
      </c>
      <c r="AA126" s="62">
        <f t="shared" si="99"/>
        <v>23.296100000000003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100"/>
        <v>0217-10</v>
      </c>
      <c r="AE126" s="85" t="str">
        <f t="shared" si="86"/>
        <v>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 &amp; 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</v>
      </c>
      <c r="AF126" s="82" t="str">
        <f t="shared" si="87"/>
        <v>"C:\Program Files (x86)\AstroGrep\AstroGrep.exe" /e /r /s /spath="%USERPROFILE%\AppData\Local\Temp\OnboardLogs" /stypes="app*4003*20170311*" /stext=" 01:.+((SYSTEM_STATE.+slice.+state.+changed )|(ment ac)|(multiple cpu faults)|(system.+state.+changed )|(\[timeout)|(PRM\|1\|D)|(kpr)|(kdp)|(\|lc)|(penalty))"</v>
      </c>
      <c r="AG126" s="1" t="str">
        <f t="shared" si="101"/>
        <v>EC</v>
      </c>
      <c r="AH126" s="86" t="str">
        <f t="shared" si="88"/>
        <v>"%USERPROFILE%\Documents\GitHub\eaglep3\Utilities\RefineRTDCRunTimes.py" --tripid 217-10 --locoid 4003 --swversion DE.1.0.9.0 --startMP 204:447 --initTime 2017-03-10T18:08:33 --startdatetime 2017-03-10T18:10:28 --delay 1 --endMP 204:233408 --enddatetime 2017-03-10T18:52:14 --enforcementcount 0 &gt;&gt;C:\Users\stu\Documents\GitHub\eaglep3-reporting\EC\2017-03-10-refined-times.txt</v>
      </c>
      <c r="AI126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{"issue":{"subject":"","project_id":79,"tracker_id":40,"status_id":1,"priority_id":2,"assigned_to_id":23,"start_date":"2017-03-10","description":"","custom_fields":[{"id":1,"name":"Subdivision","value":"EC"},{"id":4,"name":"Milepost","value":"23.3408"},{"id":17,"name":"Train ID","value":"217-10"},{"id":16,"name":"Locomotive ID","value":"4003"},{"id":130,"name":"Impact","value":""},{"id":150,"name":"Time of Event (Mountain Time)","value":"18:52:14"},{"id":151,"name":"Denver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90"/>
        <v>start /low /b %USERPROFILE%\Documents\GitHub\eaglep3\Utilities\DownloadLogsFromS3.py --loco 4003 --day 2017-03-10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"%USERPROFILE%\AppData\Local\Temp\OnboardLogs"\RTDC4003\*4003*20170311* | grep -SE "(Enforcement Action)|(\[TIMEOUT)|(CHR.+\|PRM\|1\|D.+(SWITCH|SIGNAL).+UNKNOWN)" - &gt;&gt; 2017-03-10-UncaughtWiMAX.txt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607</v>
      </c>
      <c r="B127" s="7">
        <v>4004</v>
      </c>
      <c r="C127" s="21" t="s">
        <v>239</v>
      </c>
      <c r="D127" s="21" t="s">
        <v>886</v>
      </c>
      <c r="E127" s="13">
        <v>42804.792094907411</v>
      </c>
      <c r="F127" s="13">
        <v>42804.793993055559</v>
      </c>
      <c r="G127" s="7">
        <v>2</v>
      </c>
      <c r="H127" s="21" t="s">
        <v>887</v>
      </c>
      <c r="I127" s="13">
        <v>42804.820775462962</v>
      </c>
      <c r="J127" s="7">
        <v>0</v>
      </c>
      <c r="K127" s="98" t="str">
        <f t="shared" si="93"/>
        <v>4003/4004</v>
      </c>
      <c r="L127" s="21" t="str">
        <f>VLOOKUP(A127,'Trips&amp;Operators'!$C$1:$G$99999,5,FALSE)</f>
        <v>STAMBAUGH JAMES</v>
      </c>
      <c r="M127" s="6">
        <f t="shared" si="94"/>
        <v>2.6782407403516117E-2</v>
      </c>
      <c r="N127" s="7"/>
      <c r="O127" s="7"/>
      <c r="P127" s="7">
        <f>24*60*SUM($M127:$M128)</f>
        <v>49.249999998137355</v>
      </c>
      <c r="Q127" s="22"/>
      <c r="R127" s="22" t="s">
        <v>1028</v>
      </c>
      <c r="S127" s="31">
        <f>SUM(U127:U128)/IF(AG127="EC",12,1)</f>
        <v>0.83333333333333337</v>
      </c>
      <c r="T127" s="46" t="str">
        <f t="shared" si="95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7</v>
      </c>
      <c r="V127" s="186" t="str">
        <f t="shared" si="85"/>
        <v>https://d0f6bd738d7f1b3e5a7ca70fe4ff75f0.us-east-1.aws.found.io/app/kibana#/discover/Steve-Slow-Train-Analysis-(2080s-and-2083s)?_g=(refreshInterval:(display:Off,pause:!f,section:0,value:0),time:(from:'2017-03-10T18:00:37-0700',mode:absolute,to:'2017-03-10T20:41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7" s="187" t="str">
        <f t="shared" si="96"/>
        <v>Y</v>
      </c>
      <c r="X127" s="187">
        <f t="shared" si="102"/>
        <v>1</v>
      </c>
      <c r="Y127" s="62">
        <f t="shared" si="97"/>
        <v>23.3108</v>
      </c>
      <c r="Z127" s="62">
        <f t="shared" si="104"/>
        <v>4.8274999999999997</v>
      </c>
      <c r="AA127" s="62">
        <f t="shared" si="99"/>
        <v>18.4833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100"/>
        <v>0218-10</v>
      </c>
      <c r="AE127" s="85" t="str">
        <f t="shared" si="86"/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AF127" s="82" t="str">
        <f t="shared" si="87"/>
        <v>"C:\Program Files (x86)\AstroGrep\AstroGrep.exe" /e /r /s /spath="%USERPROFILE%\AppData\Local\Temp\OnboardLogs" /stypes="app*4004*20170311*" /stext=" 02:.+((SYSTEM_STATE.+slice.+state.+changed )|(ment ac)|(multiple cpu faults)|(system.+state.+changed )|(\[timeout)|(PRM\|1\|D)|(kpr)|(kdp)|(\|lc)|(penalty))"</v>
      </c>
      <c r="AG127" s="1" t="str">
        <f t="shared" si="101"/>
        <v>EC</v>
      </c>
      <c r="AH127" s="86" t="str">
        <f t="shared" si="88"/>
        <v>"%USERPROFILE%\Documents\GitHub\eaglep3\Utilities\RefineRTDCRunTimes.py" --tripid 218-10 --locoid 4004 --swversion DE.1.0.9.0 --startMP 204:233108 --initTime 2017-03-10T19:00:37 --startdatetime 2017-03-10T19:03:21 --delay 2 --endMP 204:48275 --enddatetime 2017-03-10T19:41:55 --enforcementcount 0 &gt;&gt;C:\Users\stu\Documents\GitHub\eaglep3-reporting\EC\2017-03-10-refined-times.txt</v>
      </c>
      <c r="AI127" s="108" t="str">
        <f t="shared" si="89"/>
        <v>echo {"issue":{"subject":"Form C enforcement, followed by Early arrival enforcement at Holly (conservative crossing times)","project_id":79,"tracker_id":40,"status_id":1,"priority_id":2,"assigned_to_id":23,"start_date":"2017-03-10","description":"","custom_fields":[{"id":1,"name":"Subdivision","value":"EC"},{"id":4,"name":"Milepost","value":"4.8275"},{"id":17,"name":"Train ID","value":"218-10"},{"id":16,"name":"Locomotive ID","value":"4004"},{"id":130,"name":"Impact","value":""},{"id":150,"name":"Time of Event (Mountain Time)","value":"19:41:55"},{"id":151,"name":"Denver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90"/>
        <v>start /low /b %USERPROFILE%\Documents\GitHub\eaglep3\Utilities\DownloadLogsFromS3.py --loco 4004 --day 2017-03-10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"%USERPROFILE%\AppData\Local\Temp\OnboardLogs"\RTDC4004\*4004*20170311* | grep -SE "(Enforcement Action)|(\[TIMEOUT)|(CHR.+\|PRM\|1\|D.+(SWITCH|SIGNAL).+UNKNOWN)" - &gt;&gt; 2017-03-10-UncaughtWiMAX.txt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607</v>
      </c>
      <c r="B128" s="7">
        <v>4004</v>
      </c>
      <c r="C128" s="21" t="s">
        <v>239</v>
      </c>
      <c r="D128" s="21" t="s">
        <v>888</v>
      </c>
      <c r="E128" s="13">
        <v>42804.822453703702</v>
      </c>
      <c r="F128" s="13">
        <v>42804.823113425926</v>
      </c>
      <c r="G128" s="7">
        <v>0</v>
      </c>
      <c r="H128" s="21" t="s">
        <v>229</v>
      </c>
      <c r="I128" s="13">
        <v>42804.83053240741</v>
      </c>
      <c r="J128" s="7">
        <v>0</v>
      </c>
      <c r="K128" s="98" t="str">
        <f t="shared" si="93"/>
        <v>4003/4004</v>
      </c>
      <c r="L128" s="21" t="str">
        <f>VLOOKUP(A128,'Trips&amp;Operators'!$C$1:$G$99999,5,FALSE)</f>
        <v>STAMBAUGH JAMES</v>
      </c>
      <c r="M128" s="6">
        <f t="shared" si="94"/>
        <v>7.4189814840792678E-3</v>
      </c>
      <c r="N128" s="7"/>
      <c r="O128" s="7"/>
      <c r="P128" s="7"/>
      <c r="Q128" s="22"/>
      <c r="R128" s="22"/>
      <c r="S128" s="31"/>
      <c r="T128" s="46" t="str">
        <f t="shared" si="95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3</v>
      </c>
      <c r="V128" s="186" t="str">
        <f t="shared" si="85"/>
        <v>https://d0f6bd738d7f1b3e5a7ca70fe4ff75f0.us-east-1.aws.found.io/app/kibana#/discover/Steve-Slow-Train-Analysis-(2080s-and-2083s)?_g=(refreshInterval:(display:Off,pause:!f,section:0,value:0),time:(from:'2017-03-10T18:44:20-0700',mode:absolute,to:'2017-03-10T20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8" s="187" t="str">
        <f t="shared" si="96"/>
        <v>Y</v>
      </c>
      <c r="X128" s="187">
        <f t="shared" si="102"/>
        <v>0</v>
      </c>
      <c r="Y128" s="62">
        <f t="shared" si="97"/>
        <v>3.6758000000000002</v>
      </c>
      <c r="Z128" s="62">
        <f t="shared" si="104"/>
        <v>1.5599999999999999E-2</v>
      </c>
      <c r="AA128" s="62">
        <f t="shared" si="99"/>
        <v>3.6602000000000001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100"/>
        <v>0218-10</v>
      </c>
      <c r="AE128" s="85" t="str">
        <f t="shared" si="86"/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AF128" s="82" t="str">
        <f t="shared" si="87"/>
        <v>"C:\Program Files (x86)\AstroGrep\AstroGrep.exe" /e /r /s /spath="%USERPROFILE%\AppData\Local\Temp\OnboardLogs" /stypes="app*4004*20170311*" /stext=" 02:.+((SYSTEM_STATE.+slice.+state.+changed )|(ment ac)|(multiple cpu faults)|(system.+state.+changed )|(\[timeout)|(PRM\|1\|D)|(kpr)|(kdp)|(\|lc)|(penalty))"</v>
      </c>
      <c r="AG128" s="1" t="str">
        <f t="shared" si="101"/>
        <v>EC</v>
      </c>
      <c r="AH128" s="86" t="str">
        <f t="shared" si="88"/>
        <v>"%USERPROFILE%\Documents\GitHub\eaglep3\Utilities\RefineRTDCRunTimes.py" --tripid 218-10 --locoid 4004 --swversion DE.1.0.9.0 --startMP 204:36758 --initTime 2017-03-10T19:44:20 --startdatetime 2017-03-10T19:45:17 --delay 0 --endMP 204:156 --enddatetime 2017-03-10T19:55:58 --enforcementcount 0 &gt;&gt;C:\Users\stu\Documents\GitHub\eaglep3-reporting\EC\2017-03-10-refined-times.txt</v>
      </c>
      <c r="AI128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{"issue":{"subject":"","project_id":79,"tracker_id":40,"status_id":1,"priority_id":2,"assigned_to_id":23,"start_date":"2017-03-10","description":"","custom_fields":[{"id":1,"name":"Subdivision","value":"EC"},{"id":4,"name":"Milepost","value":"0.0156"},{"id":17,"name":"Train ID","value":"218-10"},{"id":16,"name":"Locomotive ID","value":"4004"},{"id":130,"name":"Impact","value":""},{"id":150,"name":"Time of Event (Mountain Time)","value":"19:55:58"},{"id":151,"name":"Denver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90"/>
        <v>start /low /b %USERPROFILE%\Documents\GitHub\eaglep3\Utilities\DownloadLogsFromS3.py --loco 4004 --day 2017-03-10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"%USERPROFILE%\AppData\Local\Temp\OnboardLogs"\RTDC4004\*4004*20170311* | grep -SE "(Enforcement Action)|(\[TIMEOUT)|(CHR.+\|PRM\|1\|D.+(SWITCH|SIGNAL).+UNKNOWN)" - &gt;&gt; 2017-03-10-UncaughtWiMAX.txt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759</v>
      </c>
      <c r="B129" s="7">
        <v>4020</v>
      </c>
      <c r="C129" s="21" t="s">
        <v>239</v>
      </c>
      <c r="D129" s="21" t="s">
        <v>223</v>
      </c>
      <c r="E129" s="13">
        <v>42804.773715277777</v>
      </c>
      <c r="F129" s="13">
        <v>42804.774444444447</v>
      </c>
      <c r="G129" s="7">
        <v>1</v>
      </c>
      <c r="H129" s="21" t="s">
        <v>889</v>
      </c>
      <c r="I129" s="13">
        <v>42804.804108796299</v>
      </c>
      <c r="J129" s="7">
        <v>0</v>
      </c>
      <c r="K129" s="98" t="str">
        <f t="shared" si="93"/>
        <v>4019/4020</v>
      </c>
      <c r="L129" s="21" t="str">
        <f>VLOOKUP(A129,'Trips&amp;Operators'!$C$1:$G$99999,5,FALSE)</f>
        <v>SWANSON BRYCE</v>
      </c>
      <c r="M129" s="6">
        <f t="shared" si="94"/>
        <v>2.9664351852261461E-2</v>
      </c>
      <c r="N129" s="7">
        <f t="shared" ref="N129:N141" si="105">24*60*SUM($M129:$M129)</f>
        <v>42.716666667256504</v>
      </c>
      <c r="O129" s="7"/>
      <c r="P129" s="7"/>
      <c r="Q129" s="22"/>
      <c r="R129" s="22"/>
      <c r="S129" s="31">
        <f t="shared" ref="S129:S141" si="106">SUM(U129:U129)/IF(AG129="EC",12,1)</f>
        <v>1</v>
      </c>
      <c r="T129" s="46" t="str">
        <f t="shared" si="95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85"/>
        <v>https://d0f6bd738d7f1b3e5a7ca70fe4ff75f0.us-east-1.aws.found.io/app/kibana#/discover/Steve-Slow-Train-Analysis-(2080s-and-2083s)?_g=(refreshInterval:(display:Off,pause:!f,section:0,value:0),time:(from:'2017-03-10T17:34:09-0700',mode:absolute,to:'2017-03-10T20:17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187" t="str">
        <f t="shared" si="96"/>
        <v>N</v>
      </c>
      <c r="X129" s="187">
        <f t="shared" si="102"/>
        <v>1</v>
      </c>
      <c r="Y129" s="62">
        <f t="shared" si="97"/>
        <v>4.53E-2</v>
      </c>
      <c r="Z129" s="62">
        <f t="shared" si="104"/>
        <v>23.3247</v>
      </c>
      <c r="AA129" s="62">
        <f t="shared" si="99"/>
        <v>23.279399999999999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100"/>
        <v>0219-10</v>
      </c>
      <c r="AE129" s="85" t="str">
        <f t="shared" si="86"/>
        <v>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 &amp; aws s3 cp s3://rtdc.mdm.uploadarchive.raw/RTDC4020/ "%USERPROFILE%\AppData\Local\Temp\OnboardLogs"\RTDC4020\2017-03-11 --exclude "*" --recursive --include "*20170311*" &amp; "%USERPROFILE%\Documents\GitHub\mrs-test-scripts\Headless Mode &amp; Sideloading\WalkAndUnGZ.bat" "%USERPROFILE%\AppData\Local\Temp\OnboardLogs"\RTDC4020\2017-03-11</v>
      </c>
      <c r="AF129" s="82" t="str">
        <f t="shared" si="87"/>
        <v>"C:\Program Files (x86)\AstroGrep\AstroGrep.exe" /e /r /s /spath="%USERPROFILE%\AppData\Local\Temp\OnboardLogs" /stypes="app*4020*20170311*" /stext=" 02:.+((SYSTEM_STATE.+slice.+state.+changed )|(ment ac)|(multiple cpu faults)|(system.+state.+changed )|(\[timeout)|(PRM\|1\|D)|(kpr)|(kdp)|(\|lc)|(penalty))"</v>
      </c>
      <c r="AG129" s="1" t="str">
        <f t="shared" si="101"/>
        <v>EC</v>
      </c>
      <c r="AH129" s="86" t="str">
        <f t="shared" si="88"/>
        <v>"%USERPROFILE%\Documents\GitHub\eaglep3\Utilities\RefineRTDCRunTimes.py" --tripid 219-10 --locoid 4020 --swversion DE.1.0.9.0 --startMP 204:453 --initTime 2017-03-10T18:34:09 --startdatetime 2017-03-10T18:35:12 --delay 1 --endMP 204:233247 --enddatetime 2017-03-10T19:17:55 --enforcementcount 0 &gt;&gt;C:\Users\stu\Documents\GitHub\eaglep3-reporting\EC\2017-03-10-refined-times.txt</v>
      </c>
      <c r="AI129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{"issue":{"subject":"","project_id":79,"tracker_id":40,"status_id":1,"priority_id":2,"assigned_to_id":23,"start_date":"2017-03-10","description":"","custom_fields":[{"id":1,"name":"Subdivision","value":"EC"},{"id":4,"name":"Milepost","value":"23.3247"},{"id":17,"name":"Train ID","value":"219-10"},{"id":16,"name":"Locomotive ID","value":"4020"},{"id":130,"name":"Impact","value":""},{"id":150,"name":"Time of Event (Mountain Time)","value":"19:17:55"},{"id":151,"name":"Denver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90"/>
        <v>start /low /b %USERPROFILE%\Documents\GitHub\eaglep3\Utilities\DownloadLogsFromS3.py --loco 4020 --day 2017-03-10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"%USERPROFILE%\AppData\Local\Temp\OnboardLogs"\RTDC4020\*4020*20170311* | grep -SE "(Enforcement Action)|(\[TIMEOUT)|(CHR.+\|PRM\|1\|D.+(SWITCH|SIGNAL).+UNKNOWN)" - &gt;&gt; 2017-03-10-UncaughtWiMAX.txt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769</v>
      </c>
      <c r="B130" s="7">
        <v>4019</v>
      </c>
      <c r="C130" s="21" t="s">
        <v>239</v>
      </c>
      <c r="D130" s="21" t="s">
        <v>890</v>
      </c>
      <c r="E130" s="13">
        <v>42804.805347222224</v>
      </c>
      <c r="F130" s="13">
        <v>42804.807488425926</v>
      </c>
      <c r="G130" s="7">
        <v>3</v>
      </c>
      <c r="H130" s="21" t="s">
        <v>891</v>
      </c>
      <c r="I130" s="13">
        <v>42804.842766203707</v>
      </c>
      <c r="J130" s="7">
        <v>0</v>
      </c>
      <c r="K130" s="98" t="str">
        <f t="shared" si="93"/>
        <v>4019/4020</v>
      </c>
      <c r="L130" s="21" t="str">
        <f>VLOOKUP(A130,'Trips&amp;Operators'!$C$1:$G$99999,5,FALSE)</f>
        <v>SWANSON BRYCE</v>
      </c>
      <c r="M130" s="6">
        <f t="shared" si="94"/>
        <v>3.5277777780720498E-2</v>
      </c>
      <c r="N130" s="7">
        <f t="shared" si="105"/>
        <v>50.800000004237518</v>
      </c>
      <c r="O130" s="7"/>
      <c r="P130" s="7"/>
      <c r="Q130" s="22"/>
      <c r="R130" s="22"/>
      <c r="S130" s="31">
        <f t="shared" si="106"/>
        <v>1</v>
      </c>
      <c r="T130" s="46" t="str">
        <f t="shared" si="95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85"/>
        <v>https://d0f6bd738d7f1b3e5a7ca70fe4ff75f0.us-east-1.aws.found.io/app/kibana#/discover/Steve-Slow-Train-Analysis-(2080s-and-2083s)?_g=(refreshInterval:(display:Off,pause:!f,section:0,value:0),time:(from:'2017-03-10T18:19:42-0700',mode:absolute,to:'2017-03-10T21:13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187" t="str">
        <f t="shared" si="96"/>
        <v>N</v>
      </c>
      <c r="X130" s="187">
        <f t="shared" si="102"/>
        <v>1</v>
      </c>
      <c r="Y130" s="62">
        <f t="shared" si="97"/>
        <v>23.2925</v>
      </c>
      <c r="Z130" s="62">
        <f t="shared" si="104"/>
        <v>1.67E-2</v>
      </c>
      <c r="AA130" s="62">
        <f t="shared" si="99"/>
        <v>23.2758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100"/>
        <v>0220-10</v>
      </c>
      <c r="AE130" s="85" t="str">
        <f t="shared" si="86"/>
        <v>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 &amp; aws s3 cp s3://rtdc.mdm.uploadarchive.raw/RTDC4019/ "%USERPROFILE%\AppData\Local\Temp\OnboardLogs"\RTDC4019\2017-03-11 --exclude "*" --recursive --include "*20170311*" &amp; "%USERPROFILE%\Documents\GitHub\mrs-test-scripts\Headless Mode &amp; Sideloading\WalkAndUnGZ.bat" "%USERPROFILE%\AppData\Local\Temp\OnboardLogs"\RTDC4019\2017-03-11</v>
      </c>
      <c r="AF130" s="82" t="str">
        <f t="shared" si="87"/>
        <v>"C:\Program Files (x86)\AstroGrep\AstroGrep.exe" /e /r /s /spath="%USERPROFILE%\AppData\Local\Temp\OnboardLogs" /stypes="app*4019*20170311*" /stext=" 03:.+((SYSTEM_STATE.+slice.+state.+changed )|(ment ac)|(multiple cpu faults)|(system.+state.+changed )|(\[timeout)|(PRM\|1\|D)|(kpr)|(kdp)|(\|lc)|(penalty))"</v>
      </c>
      <c r="AG130" s="1" t="str">
        <f t="shared" si="101"/>
        <v>EC</v>
      </c>
      <c r="AH130" s="86" t="str">
        <f t="shared" si="88"/>
        <v>"%USERPROFILE%\Documents\GitHub\eaglep3\Utilities\RefineRTDCRunTimes.py" --tripid 220-10 --locoid 4019 --swversion DE.1.0.9.0 --startMP 204:232925 --initTime 2017-03-10T19:19:42 --startdatetime 2017-03-10T19:22:47 --delay 3 --endMP 204:167 --enddatetime 2017-03-10T20:13:35 --enforcementcount 0 &gt;&gt;C:\Users\stu\Documents\GitHub\eaglep3-reporting\EC\2017-03-10-refined-times.txt</v>
      </c>
      <c r="AI130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{"issue":{"subject":"","project_id":79,"tracker_id":40,"status_id":1,"priority_id":2,"assigned_to_id":23,"start_date":"2017-03-10","description":"","custom_fields":[{"id":1,"name":"Subdivision","value":"EC"},{"id":4,"name":"Milepost","value":"0.0167"},{"id":17,"name":"Train ID","value":"220-10"},{"id":16,"name":"Locomotive ID","value":"4019"},{"id":130,"name":"Impact","value":""},{"id":150,"name":"Time of Event (Mountain Time)","value":"20:13:35"},{"id":151,"name":"Denver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90"/>
        <v>start /low /b %USERPROFILE%\Documents\GitHub\eaglep3\Utilities\DownloadLogsFromS3.py --loco 4019 --day 2017-03-10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"%USERPROFILE%\AppData\Local\Temp\OnboardLogs"\RTDC4019\*4019*20170311* | grep -SE "(Enforcement Action)|(\[TIMEOUT)|(CHR.+\|PRM\|1\|D.+(SWITCH|SIGNAL).+UNKNOWN)" - &gt;&gt; 2017-03-10-UncaughtWiMAX.txt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763</v>
      </c>
      <c r="B131" s="7">
        <v>4051</v>
      </c>
      <c r="C131" s="21" t="s">
        <v>239</v>
      </c>
      <c r="D131" s="21" t="s">
        <v>258</v>
      </c>
      <c r="E131" s="13">
        <v>42804.791724537034</v>
      </c>
      <c r="F131" s="13">
        <v>42804.793182870373</v>
      </c>
      <c r="G131" s="7">
        <v>2</v>
      </c>
      <c r="H131" s="21" t="s">
        <v>531</v>
      </c>
      <c r="I131" s="13">
        <v>42804.820983796293</v>
      </c>
      <c r="J131" s="7">
        <v>0</v>
      </c>
      <c r="K131" s="98" t="str">
        <f t="shared" si="93"/>
        <v>4051/4052</v>
      </c>
      <c r="L131" s="21" t="str">
        <f>VLOOKUP(A131,'Trips&amp;Operators'!$C$1:$G$99999,5,FALSE)</f>
        <v>BROWN JACOB</v>
      </c>
      <c r="M131" s="6">
        <f t="shared" si="94"/>
        <v>2.7800925920018926E-2</v>
      </c>
      <c r="N131" s="7">
        <f t="shared" si="105"/>
        <v>40.033333324827254</v>
      </c>
      <c r="O131" s="7"/>
      <c r="P131" s="7"/>
      <c r="Q131" s="22"/>
      <c r="R131" s="22"/>
      <c r="S131" s="31">
        <f t="shared" si="106"/>
        <v>1</v>
      </c>
      <c r="T131" s="46" t="str">
        <f t="shared" si="95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85"/>
        <v>https://d0f6bd738d7f1b3e5a7ca70fe4ff75f0.us-east-1.aws.found.io/app/kibana#/discover/Steve-Slow-Train-Analysis-(2080s-and-2083s)?_g=(refreshInterval:(display:Off,pause:!f,section:0,value:0),time:(from:'2017-03-10T18:00:05-0700',mode:absolute,to:'2017-03-10T20:42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1" s="187" t="str">
        <f t="shared" si="96"/>
        <v>N</v>
      </c>
      <c r="X131" s="187">
        <f t="shared" si="102"/>
        <v>1</v>
      </c>
      <c r="Y131" s="62">
        <f t="shared" si="97"/>
        <v>4.4200000000000003E-2</v>
      </c>
      <c r="Z131" s="62">
        <f t="shared" si="104"/>
        <v>23.333100000000002</v>
      </c>
      <c r="AA131" s="62">
        <f t="shared" si="99"/>
        <v>23.288900000000002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100"/>
        <v>0221-10</v>
      </c>
      <c r="AE131" s="85" t="str">
        <f t="shared" si="86"/>
        <v>aws s3 cp s3://rtdc.mdm.uploadarchive.raw/RTDC4051/ "%USERPROFILE%\AppData\Local\Temp\OnboardLogs"\RTDC4051\2017-03-10 --exclude "*" --recursive --include "*20170310*" &amp; "%USERPROFILE%\Documents\GitHub\mrs-test-scripts\Headless Mode &amp; Sideloading\WalkAndUnGZ.bat" "%USERPROFILE%\AppData\Local\Temp\OnboardLogs"\RTDC4051\2017-03-10 &amp; aws s3 cp s3://rtdc.mdm.uploadarchive.raw/RTDC4051/ "%USERPROFILE%\AppData\Local\Temp\OnboardLogs"\RTDC4051\2017-03-11 --exclude "*" --recursive --include "*20170311*" &amp; "%USERPROFILE%\Documents\GitHub\mrs-test-scripts\Headless Mode &amp; Sideloading\WalkAndUnGZ.bat" "%USERPROFILE%\AppData\Local\Temp\OnboardLogs"\RTDC4051\2017-03-11</v>
      </c>
      <c r="AF131" s="82" t="str">
        <f t="shared" si="87"/>
        <v>"C:\Program Files (x86)\AstroGrep\AstroGrep.exe" /e /r /s /spath="%USERPROFILE%\AppData\Local\Temp\OnboardLogs" /stypes="app*4051*20170311*" /stext=" 02:.+((SYSTEM_STATE.+slice.+state.+changed )|(ment ac)|(multiple cpu faults)|(system.+state.+changed )|(\[timeout)|(PRM\|1\|D)|(kpr)|(kdp)|(\|lc)|(penalty))"</v>
      </c>
      <c r="AG131" s="1" t="str">
        <f t="shared" si="101"/>
        <v>EC</v>
      </c>
      <c r="AH131" s="86" t="str">
        <f t="shared" si="88"/>
        <v>"%USERPROFILE%\Documents\GitHub\eaglep3\Utilities\RefineRTDCRunTimes.py" --tripid 221-10 --locoid 4051 --swversion DE.1.0.9.0 --startMP 204:442 --initTime 2017-03-10T19:00:05 --startdatetime 2017-03-10T19:02:11 --delay 2 --endMP 204:233331 --enddatetime 2017-03-10T19:42:13 --enforcementcount 0 &gt;&gt;C:\Users\stu\Documents\GitHub\eaglep3-reporting\EC\2017-03-10-refined-times.txt</v>
      </c>
      <c r="AI131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{"issue":{"subject":"","project_id":79,"tracker_id":40,"status_id":1,"priority_id":2,"assigned_to_id":23,"start_date":"2017-03-10","description":"","custom_fields":[{"id":1,"name":"Subdivision","value":"EC"},{"id":4,"name":"Milepost","value":"23.3331"},{"id":17,"name":"Train ID","value":"221-10"},{"id":16,"name":"Locomotive ID","value":"4051"},{"id":130,"name":"Impact","value":""},{"id":150,"name":"Time of Event (Mountain Time)","value":"19:42:13"},{"id":151,"name":"Denver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90"/>
        <v>start /low /b %USERPROFILE%\Documents\GitHub\eaglep3\Utilities\DownloadLogsFromS3.py --loco 4051 --day 2017-03-10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"%USERPROFILE%\AppData\Local\Temp\OnboardLogs"\RTDC4051\*4051*20170311* | grep -SE "(Enforcement Action)|(\[TIMEOUT)|(CHR.+\|PRM\|1\|D.+(SWITCH|SIGNAL).+UNKNOWN)" - &gt;&gt; 2017-03-10-UncaughtWiMAX.txt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775</v>
      </c>
      <c r="B132" s="7">
        <v>4052</v>
      </c>
      <c r="C132" s="21" t="s">
        <v>239</v>
      </c>
      <c r="D132" s="21" t="s">
        <v>257</v>
      </c>
      <c r="E132" s="13">
        <v>42804.825046296297</v>
      </c>
      <c r="F132" s="13">
        <v>42804.826516203706</v>
      </c>
      <c r="G132" s="7">
        <v>2</v>
      </c>
      <c r="H132" s="21" t="s">
        <v>208</v>
      </c>
      <c r="I132" s="13">
        <v>42804.862187500003</v>
      </c>
      <c r="J132" s="7">
        <v>0</v>
      </c>
      <c r="K132" s="98" t="str">
        <f t="shared" si="93"/>
        <v>4051/4052</v>
      </c>
      <c r="L132" s="21" t="str">
        <f>VLOOKUP(A132,'Trips&amp;Operators'!$C$1:$G$99999,5,FALSE)</f>
        <v>BROWN JACOB</v>
      </c>
      <c r="M132" s="6">
        <f t="shared" si="94"/>
        <v>3.5671296296641231E-2</v>
      </c>
      <c r="N132" s="7">
        <f t="shared" si="105"/>
        <v>51.366666667163372</v>
      </c>
      <c r="O132" s="7"/>
      <c r="P132" s="7"/>
      <c r="Q132" s="22"/>
      <c r="R132" s="22"/>
      <c r="S132" s="31">
        <f t="shared" si="106"/>
        <v>1</v>
      </c>
      <c r="T132" s="46" t="str">
        <f t="shared" si="95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85"/>
        <v>https://d0f6bd738d7f1b3e5a7ca70fe4ff75f0.us-east-1.aws.found.io/app/kibana#/discover/Steve-Slow-Train-Analysis-(2080s-and-2083s)?_g=(refreshInterval:(display:Off,pause:!f,section:0,value:0),time:(from:'2017-03-10T18:48:04-0700',mode:absolute,to:'2017-03-10T21:41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2" s="187" t="str">
        <f t="shared" si="96"/>
        <v>N</v>
      </c>
      <c r="X132" s="187">
        <f t="shared" si="102"/>
        <v>1</v>
      </c>
      <c r="Y132" s="62">
        <f t="shared" si="97"/>
        <v>23.3004</v>
      </c>
      <c r="Z132" s="62">
        <f t="shared" si="104"/>
        <v>1.54E-2</v>
      </c>
      <c r="AA132" s="62">
        <f t="shared" si="99"/>
        <v>23.285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100"/>
        <v>0222-10</v>
      </c>
      <c r="AE132" s="85" t="str">
        <f t="shared" si="86"/>
        <v>aws s3 cp s3://rtdc.mdm.uploadarchive.raw/RTDC4052/ "%USERPROFILE%\AppData\Local\Temp\OnboardLogs"\RTDC4052\2017-03-10 --exclude "*" --recursive --include "*20170310*" &amp; "%USERPROFILE%\Documents\GitHub\mrs-test-scripts\Headless Mode &amp; Sideloading\WalkAndUnGZ.bat" "%USERPROFILE%\AppData\Local\Temp\OnboardLogs"\RTDC4052\2017-03-10 &amp; aws s3 cp s3://rtdc.mdm.uploadarchive.raw/RTDC4052/ "%USERPROFILE%\AppData\Local\Temp\OnboardLogs"\RTDC4052\2017-03-11 --exclude "*" --recursive --include "*20170311*" &amp; "%USERPROFILE%\Documents\GitHub\mrs-test-scripts\Headless Mode &amp; Sideloading\WalkAndUnGZ.bat" "%USERPROFILE%\AppData\Local\Temp\OnboardLogs"\RTDC4052\2017-03-11</v>
      </c>
      <c r="AF132" s="82" t="str">
        <f t="shared" si="87"/>
        <v>"C:\Program Files (x86)\AstroGrep\AstroGrep.exe" /e /r /s /spath="%USERPROFILE%\AppData\Local\Temp\OnboardLogs" /stypes="app*4052*20170311*" /stext=" 03:.+((SYSTEM_STATE.+slice.+state.+changed )|(ment ac)|(multiple cpu faults)|(system.+state.+changed )|(\[timeout)|(PRM\|1\|D)|(kpr)|(kdp)|(\|lc)|(penalty))"</v>
      </c>
      <c r="AG132" s="1" t="str">
        <f t="shared" si="101"/>
        <v>EC</v>
      </c>
      <c r="AH132" s="86" t="str">
        <f t="shared" si="88"/>
        <v>"%USERPROFILE%\Documents\GitHub\eaglep3\Utilities\RefineRTDCRunTimes.py" --tripid 222-10 --locoid 4052 --swversion DE.1.0.9.0 --startMP 204:233004 --initTime 2017-03-10T19:48:04 --startdatetime 2017-03-10T19:50:11 --delay 2 --endMP 204:154 --enddatetime 2017-03-10T20:41:33 --enforcementcount 0 &gt;&gt;C:\Users\stu\Documents\GitHub\eaglep3-reporting\EC\2017-03-10-refined-times.txt</v>
      </c>
      <c r="AI132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{"issue":{"subject":"","project_id":79,"tracker_id":40,"status_id":1,"priority_id":2,"assigned_to_id":23,"start_date":"2017-03-10","description":"","custom_fields":[{"id":1,"name":"Subdivision","value":"EC"},{"id":4,"name":"Milepost","value":"0.0154"},{"id":17,"name":"Train ID","value":"222-10"},{"id":16,"name":"Locomotive ID","value":"4052"},{"id":130,"name":"Impact","value":""},{"id":150,"name":"Time of Event (Mountain Time)","value":"20:41:33"},{"id":151,"name":"Denver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90"/>
        <v>start /low /b %USERPROFILE%\Documents\GitHub\eaglep3\Utilities\DownloadLogsFromS3.py --loco 4052 --day 2017-03-10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"%USERPROFILE%\AppData\Local\Temp\OnboardLogs"\RTDC4052\*4052*20170311* | grep -SE "(Enforcement Action)|(\[TIMEOUT)|(CHR.+\|PRM\|1\|D.+(SWITCH|SIGNAL).+UNKNOWN)" - &gt;&gt; 2017-03-10-UncaughtWiMAX.txt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770</v>
      </c>
      <c r="B133" s="7">
        <v>4027</v>
      </c>
      <c r="C133" s="21" t="s">
        <v>239</v>
      </c>
      <c r="D133" s="21" t="s">
        <v>534</v>
      </c>
      <c r="E133" s="13">
        <v>42804.809907407405</v>
      </c>
      <c r="F133" s="13">
        <v>42804.811157407406</v>
      </c>
      <c r="G133" s="7">
        <v>1</v>
      </c>
      <c r="H133" s="21" t="s">
        <v>892</v>
      </c>
      <c r="I133" s="13">
        <v>42804.840208333335</v>
      </c>
      <c r="J133" s="7">
        <v>0</v>
      </c>
      <c r="K133" s="98" t="str">
        <f t="shared" si="93"/>
        <v>4027/4028</v>
      </c>
      <c r="L133" s="21" t="str">
        <f>VLOOKUP(A133,'Trips&amp;Operators'!$C$1:$G$99999,5,FALSE)</f>
        <v>MACDONALD THOMAS</v>
      </c>
      <c r="M133" s="6">
        <f t="shared" si="94"/>
        <v>2.9050925928459037E-2</v>
      </c>
      <c r="N133" s="7">
        <f t="shared" si="105"/>
        <v>41.833333336981013</v>
      </c>
      <c r="O133" s="7"/>
      <c r="P133" s="7"/>
      <c r="Q133" s="22"/>
      <c r="R133" s="22"/>
      <c r="S133" s="31">
        <f t="shared" si="106"/>
        <v>1</v>
      </c>
      <c r="T133" s="46" t="str">
        <f t="shared" si="95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85"/>
        <v>https://d0f6bd738d7f1b3e5a7ca70fe4ff75f0.us-east-1.aws.found.io/app/kibana#/discover/Steve-Slow-Train-Analysis-(2080s-and-2083s)?_g=(refreshInterval:(display:Off,pause:!f,section:0,value:0),time:(from:'2017-03-10T18:26:16-0700',mode:absolute,to:'2017-03-10T21:09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187" t="str">
        <f t="shared" si="96"/>
        <v>N</v>
      </c>
      <c r="X133" s="187">
        <f t="shared" ref="X133:X164" si="107">VALUE(LEFT(AD133,4))-VALUE(LEFT(AD132,4))</f>
        <v>1</v>
      </c>
      <c r="Y133" s="62">
        <f t="shared" si="97"/>
        <v>4.6199999999999998E-2</v>
      </c>
      <c r="Z133" s="62">
        <f t="shared" si="104"/>
        <v>23.284400000000002</v>
      </c>
      <c r="AA133" s="62">
        <f t="shared" si="99"/>
        <v>23.238200000000003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100"/>
        <v>0223-10</v>
      </c>
      <c r="AE133" s="85" t="str">
        <f t="shared" si="86"/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AF133" s="82" t="str">
        <f t="shared" si="87"/>
        <v>"C:\Program Files (x86)\AstroGrep\AstroGrep.exe" /e /r /s /spath="%USERPROFILE%\AppData\Local\Temp\OnboardLogs" /stypes="app*4027*20170311*" /stext=" 03:.+((SYSTEM_STATE.+slice.+state.+changed )|(ment ac)|(multiple cpu faults)|(system.+state.+changed )|(\[timeout)|(PRM\|1\|D)|(kpr)|(kdp)|(\|lc)|(penalty))"</v>
      </c>
      <c r="AG133" s="1" t="str">
        <f t="shared" si="101"/>
        <v>EC</v>
      </c>
      <c r="AH133" s="86" t="str">
        <f t="shared" si="88"/>
        <v>"%USERPROFILE%\Documents\GitHub\eaglep3\Utilities\RefineRTDCRunTimes.py" --tripid 223-10 --locoid 4027 --swversion DE.1.0.9.0 --startMP 204:462 --initTime 2017-03-10T19:26:16 --startdatetime 2017-03-10T19:28:04 --delay 1 --endMP 204:232844 --enddatetime 2017-03-10T20:09:54 --enforcementcount 0 &gt;&gt;C:\Users\stu\Documents\GitHub\eaglep3-reporting\EC\2017-03-10-refined-times.txt</v>
      </c>
      <c r="AI133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{"issue":{"subject":"","project_id":79,"tracker_id":40,"status_id":1,"priority_id":2,"assigned_to_id":23,"start_date":"2017-03-10","description":"","custom_fields":[{"id":1,"name":"Subdivision","value":"EC"},{"id":4,"name":"Milepost","value":"23.2844"},{"id":17,"name":"Train ID","value":"223-10"},{"id":16,"name":"Locomotive ID","value":"4027"},{"id":130,"name":"Impact","value":""},{"id":150,"name":"Time of Event (Mountain Time)","value":"20:09:54"},{"id":151,"name":"Denver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90"/>
        <v>start /low /b %USERPROFILE%\Documents\GitHub\eaglep3\Utilities\DownloadLogsFromS3.py --loco 4027 --day 2017-03-10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"%USERPROFILE%\AppData\Local\Temp\OnboardLogs"\RTDC4027\*4027*20170311* | grep -SE "(Enforcement Action)|(\[TIMEOUT)|(CHR.+\|PRM\|1\|D.+(SWITCH|SIGNAL).+UNKNOWN)" - &gt;&gt; 2017-03-10-UncaughtWiMAX.txt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608</v>
      </c>
      <c r="B134" s="7">
        <v>4028</v>
      </c>
      <c r="C134" s="21" t="s">
        <v>239</v>
      </c>
      <c r="D134" s="21" t="s">
        <v>521</v>
      </c>
      <c r="E134" s="13">
        <v>42804.84851851852</v>
      </c>
      <c r="F134" s="13">
        <v>42804.850671296299</v>
      </c>
      <c r="G134" s="7">
        <v>3</v>
      </c>
      <c r="H134" s="21" t="s">
        <v>208</v>
      </c>
      <c r="I134" s="13">
        <v>42804.884479166663</v>
      </c>
      <c r="J134" s="7">
        <v>0</v>
      </c>
      <c r="K134" s="98" t="str">
        <f t="shared" si="93"/>
        <v>4027/4028</v>
      </c>
      <c r="L134" s="21" t="str">
        <f>VLOOKUP(A134,'Trips&amp;Operators'!$C$1:$G$99999,5,FALSE)</f>
        <v>MACDONALD THOMAS</v>
      </c>
      <c r="M134" s="6">
        <f t="shared" si="94"/>
        <v>3.3807870364398696E-2</v>
      </c>
      <c r="N134" s="7">
        <f t="shared" si="105"/>
        <v>48.683333324734122</v>
      </c>
      <c r="O134" s="7"/>
      <c r="P134" s="7"/>
      <c r="Q134" s="22"/>
      <c r="R134" s="22"/>
      <c r="S134" s="31">
        <f t="shared" si="106"/>
        <v>1</v>
      </c>
      <c r="T134" s="46" t="str">
        <f t="shared" si="95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85"/>
        <v>https://d0f6bd738d7f1b3e5a7ca70fe4ff75f0.us-east-1.aws.found.io/app/kibana#/discover/Steve-Slow-Train-Analysis-(2080s-and-2083s)?_g=(refreshInterval:(display:Off,pause:!f,section:0,value:0),time:(from:'2017-03-10T19:21:52-0700',mode:absolute,to:'2017-03-10T22:13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4" s="187" t="str">
        <f t="shared" si="96"/>
        <v>N</v>
      </c>
      <c r="X134" s="187">
        <f t="shared" si="107"/>
        <v>1</v>
      </c>
      <c r="Y134" s="62">
        <f t="shared" si="97"/>
        <v>23.296700000000001</v>
      </c>
      <c r="Z134" s="62">
        <f t="shared" si="104"/>
        <v>1.54E-2</v>
      </c>
      <c r="AA134" s="62">
        <f t="shared" si="99"/>
        <v>23.281300000000002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100"/>
        <v>0224-10</v>
      </c>
      <c r="AE134" s="85" t="str">
        <f t="shared" si="86"/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AF134" s="82" t="str">
        <f t="shared" si="87"/>
        <v>"C:\Program Files (x86)\AstroGrep\AstroGrep.exe" /e /r /s /spath="%USERPROFILE%\AppData\Local\Temp\OnboardLogs" /stypes="app*4028*20170311*" /stext=" 04:.+((SYSTEM_STATE.+slice.+state.+changed )|(ment ac)|(multiple cpu faults)|(system.+state.+changed )|(\[timeout)|(PRM\|1\|D)|(kpr)|(kdp)|(\|lc)|(penalty))"</v>
      </c>
      <c r="AG134" s="1" t="str">
        <f t="shared" si="101"/>
        <v>EC</v>
      </c>
      <c r="AH134" s="86" t="str">
        <f t="shared" si="88"/>
        <v>"%USERPROFILE%\Documents\GitHub\eaglep3\Utilities\RefineRTDCRunTimes.py" --tripid 224-10 --locoid 4028 --swversion DE.1.0.9.0 --startMP 204:232967 --initTime 2017-03-10T20:21:52 --startdatetime 2017-03-10T20:24:58 --delay 3 --endMP 204:154 --enddatetime 2017-03-10T21:13:39 --enforcementcount 0 &gt;&gt;C:\Users\stu\Documents\GitHub\eaglep3-reporting\EC\2017-03-10-refined-times.txt</v>
      </c>
      <c r="AI134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{"issue":{"subject":"","project_id":79,"tracker_id":40,"status_id":1,"priority_id":2,"assigned_to_id":23,"start_date":"2017-03-10","description":"","custom_fields":[{"id":1,"name":"Subdivision","value":"EC"},{"id":4,"name":"Milepost","value":"0.0154"},{"id":17,"name":"Train ID","value":"224-10"},{"id":16,"name":"Locomotive ID","value":"4028"},{"id":130,"name":"Impact","value":""},{"id":150,"name":"Time of Event (Mountain Time)","value":"21:13:39"},{"id":151,"name":"Denver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90"/>
        <v>start /low /b %USERPROFILE%\Documents\GitHub\eaglep3\Utilities\DownloadLogsFromS3.py --loco 4028 --day 2017-03-10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"%USERPROFILE%\AppData\Local\Temp\OnboardLogs"\RTDC4028\*4028*20170311* | grep -SE "(Enforcement Action)|(\[TIMEOUT)|(CHR.+\|PRM\|1\|D.+(SWITCH|SIGNAL).+UNKNOWN)" - &gt;&gt; 2017-03-10-UncaughtWiMAX.txt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776</v>
      </c>
      <c r="B135" s="7">
        <v>4003</v>
      </c>
      <c r="C135" s="21" t="s">
        <v>239</v>
      </c>
      <c r="D135" s="21" t="s">
        <v>225</v>
      </c>
      <c r="E135" s="13">
        <v>42804.832094907404</v>
      </c>
      <c r="F135" s="13">
        <v>42804.833182870374</v>
      </c>
      <c r="G135" s="7">
        <v>1</v>
      </c>
      <c r="H135" s="21" t="s">
        <v>524</v>
      </c>
      <c r="I135" s="13">
        <v>42804.85900462963</v>
      </c>
      <c r="J135" s="7">
        <v>0</v>
      </c>
      <c r="K135" s="98" t="str">
        <f t="shared" si="93"/>
        <v>4003/4004</v>
      </c>
      <c r="L135" s="21" t="str">
        <f>VLOOKUP(A135,'Trips&amp;Operators'!$C$1:$G$99999,5,FALSE)</f>
        <v>STAMBAUGH JAMES</v>
      </c>
      <c r="M135" s="6">
        <f t="shared" si="94"/>
        <v>2.5821759256359655E-2</v>
      </c>
      <c r="N135" s="7">
        <f t="shared" si="105"/>
        <v>37.183333329157904</v>
      </c>
      <c r="O135" s="7"/>
      <c r="P135" s="7"/>
      <c r="Q135" s="22"/>
      <c r="R135" s="22"/>
      <c r="S135" s="31">
        <f t="shared" si="106"/>
        <v>1</v>
      </c>
      <c r="T135" s="46" t="str">
        <f t="shared" si="95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85"/>
        <v>https://d0f6bd738d7f1b3e5a7ca70fe4ff75f0.us-east-1.aws.found.io/app/kibana#/discover/Steve-Slow-Train-Analysis-(2080s-and-2083s)?_g=(refreshInterval:(display:Off,pause:!f,section:0,value:0),time:(from:'2017-03-10T18:58:13-0700',mode:absolute,to:'2017-03-10T21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5" s="187" t="str">
        <f t="shared" si="96"/>
        <v>N</v>
      </c>
      <c r="X135" s="187">
        <f t="shared" si="107"/>
        <v>1</v>
      </c>
      <c r="Y135" s="62">
        <f t="shared" si="97"/>
        <v>4.5499999999999999E-2</v>
      </c>
      <c r="Z135" s="62">
        <f t="shared" si="104"/>
        <v>23.3323</v>
      </c>
      <c r="AA135" s="62">
        <f t="shared" si="99"/>
        <v>23.286799999999999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100"/>
        <v>0225-10</v>
      </c>
      <c r="AE135" s="85" t="str">
        <f t="shared" si="86"/>
        <v>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 &amp; 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</v>
      </c>
      <c r="AF135" s="82" t="str">
        <f t="shared" si="87"/>
        <v>"C:\Program Files (x86)\AstroGrep\AstroGrep.exe" /e /r /s /spath="%USERPROFILE%\AppData\Local\Temp\OnboardLogs" /stypes="app*4003*20170311*" /stext=" 03:.+((SYSTEM_STATE.+slice.+state.+changed )|(ment ac)|(multiple cpu faults)|(system.+state.+changed )|(\[timeout)|(PRM\|1\|D)|(kpr)|(kdp)|(\|lc)|(penalty))"</v>
      </c>
      <c r="AG135" s="1" t="str">
        <f t="shared" si="101"/>
        <v>EC</v>
      </c>
      <c r="AH135" s="86" t="str">
        <f t="shared" si="88"/>
        <v>"%USERPROFILE%\Documents\GitHub\eaglep3\Utilities\RefineRTDCRunTimes.py" --tripid 225-10 --locoid 4003 --swversion DE.1.0.9.0 --startMP 204:455 --initTime 2017-03-10T19:58:13 --startdatetime 2017-03-10T19:59:47 --delay 1 --endMP 204:233323 --enddatetime 2017-03-10T20:36:58 --enforcementcount 0 &gt;&gt;C:\Users\stu\Documents\GitHub\eaglep3-reporting\EC\2017-03-10-refined-times.txt</v>
      </c>
      <c r="AI135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{"issue":{"subject":"","project_id":79,"tracker_id":40,"status_id":1,"priority_id":2,"assigned_to_id":23,"start_date":"2017-03-10","description":"","custom_fields":[{"id":1,"name":"Subdivision","value":"EC"},{"id":4,"name":"Milepost","value":"23.3323"},{"id":17,"name":"Train ID","value":"225-10"},{"id":16,"name":"Locomotive ID","value":"4003"},{"id":130,"name":"Impact","value":""},{"id":150,"name":"Time of Event (Mountain Time)","value":"20:36:58"},{"id":151,"name":"Denver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90"/>
        <v>start /low /b %USERPROFILE%\Documents\GitHub\eaglep3\Utilities\DownloadLogsFromS3.py --loco 4003 --day 2017-03-10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"%USERPROFILE%\AppData\Local\Temp\OnboardLogs"\RTDC4003\*4003*20170311* | grep -SE "(Enforcement Action)|(\[TIMEOUT)|(CHR.+\|PRM\|1\|D.+(SWITCH|SIGNAL).+UNKNOWN)" - &gt;&gt; 2017-03-10-UncaughtWiMAX.txt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783</v>
      </c>
      <c r="B136" s="7">
        <v>4004</v>
      </c>
      <c r="C136" s="21" t="s">
        <v>239</v>
      </c>
      <c r="D136" s="21" t="s">
        <v>268</v>
      </c>
      <c r="E136" s="13">
        <v>42804.870300925926</v>
      </c>
      <c r="F136" s="13">
        <v>42804.871111111112</v>
      </c>
      <c r="G136" s="7">
        <v>1</v>
      </c>
      <c r="H136" s="21" t="s">
        <v>227</v>
      </c>
      <c r="I136" s="13">
        <v>42804.903009259258</v>
      </c>
      <c r="J136" s="7">
        <v>0</v>
      </c>
      <c r="K136" s="98" t="str">
        <f t="shared" si="93"/>
        <v>4003/4004</v>
      </c>
      <c r="L136" s="21" t="str">
        <f>VLOOKUP(A136,'Trips&amp;Operators'!$C$1:$G$99999,5,FALSE)</f>
        <v>STAMBAUGH JAMES</v>
      </c>
      <c r="M136" s="6">
        <f t="shared" si="94"/>
        <v>3.1898148146865424E-2</v>
      </c>
      <c r="N136" s="7">
        <f t="shared" si="105"/>
        <v>45.93333333148621</v>
      </c>
      <c r="O136" s="7"/>
      <c r="P136" s="7"/>
      <c r="Q136" s="22"/>
      <c r="R136" s="22"/>
      <c r="S136" s="31">
        <f t="shared" si="106"/>
        <v>1</v>
      </c>
      <c r="T136" s="46" t="str">
        <f t="shared" si="95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85"/>
        <v>https://d0f6bd738d7f1b3e5a7ca70fe4ff75f0.us-east-1.aws.found.io/app/kibana#/discover/Steve-Slow-Train-Analysis-(2080s-and-2083s)?_g=(refreshInterval:(display:Off,pause:!f,section:0,value:0),time:(from:'2017-03-10T19:53:14-0700',mode:absolute,to:'2017-03-10T22:40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187" t="str">
        <f t="shared" si="96"/>
        <v>N</v>
      </c>
      <c r="X136" s="187">
        <f t="shared" si="107"/>
        <v>1</v>
      </c>
      <c r="Y136" s="62">
        <f t="shared" si="97"/>
        <v>23.300599999999999</v>
      </c>
      <c r="Z136" s="62">
        <f t="shared" si="104"/>
        <v>1.41E-2</v>
      </c>
      <c r="AA136" s="62">
        <f t="shared" si="99"/>
        <v>23.2865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100"/>
        <v>0226-10</v>
      </c>
      <c r="AE136" s="85" t="str">
        <f t="shared" si="86"/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AF136" s="82" t="str">
        <f t="shared" si="87"/>
        <v>"C:\Program Files (x86)\AstroGrep\AstroGrep.exe" /e /r /s /spath="%USERPROFILE%\AppData\Local\Temp\OnboardLogs" /stypes="app*4004*20170311*" /stext=" 04:.+((SYSTEM_STATE.+slice.+state.+changed )|(ment ac)|(multiple cpu faults)|(system.+state.+changed )|(\[timeout)|(PRM\|1\|D)|(kpr)|(kdp)|(\|lc)|(penalty))"</v>
      </c>
      <c r="AG136" s="1" t="str">
        <f t="shared" si="101"/>
        <v>EC</v>
      </c>
      <c r="AH136" s="86" t="str">
        <f t="shared" si="88"/>
        <v>"%USERPROFILE%\Documents\GitHub\eaglep3\Utilities\RefineRTDCRunTimes.py" --tripid 226-10 --locoid 4004 --swversion DE.1.0.9.0 --startMP 204:233006 --initTime 2017-03-10T20:53:14 --startdatetime 2017-03-10T20:54:24 --delay 1 --endMP 204:141 --enddatetime 2017-03-10T21:40:20 --enforcementcount 0 &gt;&gt;C:\Users\stu\Documents\GitHub\eaglep3-reporting\EC\2017-03-10-refined-times.txt</v>
      </c>
      <c r="AI136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{"issue":{"subject":"","project_id":79,"tracker_id":40,"status_id":1,"priority_id":2,"assigned_to_id":23,"start_date":"2017-03-10","description":"","custom_fields":[{"id":1,"name":"Subdivision","value":"EC"},{"id":4,"name":"Milepost","value":"0.0141"},{"id":17,"name":"Train ID","value":"226-10"},{"id":16,"name":"Locomotive ID","value":"4004"},{"id":130,"name":"Impact","value":""},{"id":150,"name":"Time of Event (Mountain Time)","value":"21:40:20"},{"id":151,"name":"Denver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90"/>
        <v>start /low /b %USERPROFILE%\Documents\GitHub\eaglep3\Utilities\DownloadLogsFromS3.py --loco 4004 --day 2017-03-10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"%USERPROFILE%\AppData\Local\Temp\OnboardLogs"\RTDC4004\*4004*20170311* | grep -SE "(Enforcement Action)|(\[TIMEOUT)|(CHR.+\|PRM\|1\|D.+(SWITCH|SIGNAL).+UNKNOWN)" - &gt;&gt; 2017-03-10-UncaughtWiMAX.txt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778</v>
      </c>
      <c r="B137" s="7">
        <v>4020</v>
      </c>
      <c r="C137" s="21" t="s">
        <v>239</v>
      </c>
      <c r="D137" s="21" t="s">
        <v>417</v>
      </c>
      <c r="E137" s="13">
        <v>42804.84542824074</v>
      </c>
      <c r="F137" s="13">
        <v>42804.846770833334</v>
      </c>
      <c r="G137" s="7">
        <v>1</v>
      </c>
      <c r="H137" s="21" t="s">
        <v>893</v>
      </c>
      <c r="I137" s="13">
        <v>42804.881307870368</v>
      </c>
      <c r="J137" s="7">
        <v>0</v>
      </c>
      <c r="K137" s="98" t="str">
        <f t="shared" si="93"/>
        <v>4019/4020</v>
      </c>
      <c r="L137" s="21" t="str">
        <f>VLOOKUP(A137,'Trips&amp;Operators'!$C$1:$G$99999,5,FALSE)</f>
        <v>SWANSON BRYCE</v>
      </c>
      <c r="M137" s="6">
        <f t="shared" si="94"/>
        <v>3.4537037034169771E-2</v>
      </c>
      <c r="N137" s="7">
        <f t="shared" si="105"/>
        <v>49.73333332920447</v>
      </c>
      <c r="O137" s="7"/>
      <c r="P137" s="7"/>
      <c r="Q137" s="22"/>
      <c r="R137" s="22"/>
      <c r="S137" s="31">
        <f t="shared" si="106"/>
        <v>1</v>
      </c>
      <c r="T137" s="46" t="str">
        <f t="shared" si="95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85"/>
        <v>https://d0f6bd738d7f1b3e5a7ca70fe4ff75f0.us-east-1.aws.found.io/app/kibana#/discover/Steve-Slow-Train-Analysis-(2080s-and-2083s)?_g=(refreshInterval:(display:Off,pause:!f,section:0,value:0),time:(from:'2017-03-10T19:17:25-0700',mode:absolute,to:'2017-03-10T22:09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187" t="str">
        <f t="shared" si="96"/>
        <v>N</v>
      </c>
      <c r="X137" s="187">
        <f t="shared" si="107"/>
        <v>1</v>
      </c>
      <c r="Y137" s="62">
        <f t="shared" si="97"/>
        <v>4.7100000000000003E-2</v>
      </c>
      <c r="Z137" s="62">
        <f t="shared" si="104"/>
        <v>23.3232</v>
      </c>
      <c r="AA137" s="62">
        <f t="shared" si="99"/>
        <v>23.2761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100"/>
        <v>0227-10</v>
      </c>
      <c r="AE137" s="85" t="str">
        <f t="shared" si="86"/>
        <v>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 &amp; aws s3 cp s3://rtdc.mdm.uploadarchive.raw/RTDC4020/ "%USERPROFILE%\AppData\Local\Temp\OnboardLogs"\RTDC4020\2017-03-11 --exclude "*" --recursive --include "*20170311*" &amp; "%USERPROFILE%\Documents\GitHub\mrs-test-scripts\Headless Mode &amp; Sideloading\WalkAndUnGZ.bat" "%USERPROFILE%\AppData\Local\Temp\OnboardLogs"\RTDC4020\2017-03-11</v>
      </c>
      <c r="AF137" s="82" t="str">
        <f t="shared" si="87"/>
        <v>"C:\Program Files (x86)\AstroGrep\AstroGrep.exe" /e /r /s /spath="%USERPROFILE%\AppData\Local\Temp\OnboardLogs" /stypes="app*4020*20170311*" /stext=" 04:.+((SYSTEM_STATE.+slice.+state.+changed )|(ment ac)|(multiple cpu faults)|(system.+state.+changed )|(\[timeout)|(PRM\|1\|D)|(kpr)|(kdp)|(\|lc)|(penalty))"</v>
      </c>
      <c r="AG137" s="1" t="str">
        <f t="shared" si="101"/>
        <v>EC</v>
      </c>
      <c r="AH137" s="86" t="str">
        <f t="shared" si="88"/>
        <v>"%USERPROFILE%\Documents\GitHub\eaglep3\Utilities\RefineRTDCRunTimes.py" --tripid 227-10 --locoid 4020 --swversion DE.1.0.9.0 --startMP 204:471 --initTime 2017-03-10T20:17:25 --startdatetime 2017-03-10T20:19:21 --delay 1 --endMP 204:233232 --enddatetime 2017-03-10T21:09:05 --enforcementcount 0 &gt;&gt;C:\Users\stu\Documents\GitHub\eaglep3-reporting\EC\2017-03-10-refined-times.txt</v>
      </c>
      <c r="AI137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{"issue":{"subject":"","project_id":79,"tracker_id":40,"status_id":1,"priority_id":2,"assigned_to_id":23,"start_date":"2017-03-10","description":"","custom_fields":[{"id":1,"name":"Subdivision","value":"EC"},{"id":4,"name":"Milepost","value":"23.3232"},{"id":17,"name":"Train ID","value":"227-10"},{"id":16,"name":"Locomotive ID","value":"4020"},{"id":130,"name":"Impact","value":""},{"id":150,"name":"Time of Event (Mountain Time)","value":"21:09:05"},{"id":151,"name":"Denver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90"/>
        <v>start /low /b %USERPROFILE%\Documents\GitHub\eaglep3\Utilities\DownloadLogsFromS3.py --loco 4020 --day 2017-03-10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"%USERPROFILE%\AppData\Local\Temp\OnboardLogs"\RTDC4020\*4020*20170311* | grep -SE "(Enforcement Action)|(\[TIMEOUT)|(CHR.+\|PRM\|1\|D.+(SWITCH|SIGNAL).+UNKNOWN)" - &gt;&gt; 2017-03-10-UncaughtWiMAX.txt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787</v>
      </c>
      <c r="B138" s="7">
        <v>4019</v>
      </c>
      <c r="C138" s="21" t="s">
        <v>239</v>
      </c>
      <c r="D138" s="21" t="s">
        <v>894</v>
      </c>
      <c r="E138" s="13">
        <v>42804.883020833331</v>
      </c>
      <c r="F138" s="13">
        <v>42804.883842592593</v>
      </c>
      <c r="G138" s="7">
        <v>1</v>
      </c>
      <c r="H138" s="21" t="s">
        <v>202</v>
      </c>
      <c r="I138" s="13">
        <v>42804.924826388888</v>
      </c>
      <c r="J138" s="7">
        <v>0</v>
      </c>
      <c r="K138" s="98" t="str">
        <f t="shared" si="93"/>
        <v>4019/4020</v>
      </c>
      <c r="L138" s="21" t="str">
        <f>VLOOKUP(A138,'Trips&amp;Operators'!$C$1:$G$99999,5,FALSE)</f>
        <v>SWANSON BRYCE</v>
      </c>
      <c r="M138" s="6">
        <f t="shared" si="94"/>
        <v>4.0983796294312924E-2</v>
      </c>
      <c r="N138" s="7">
        <f t="shared" si="105"/>
        <v>59.016666663810611</v>
      </c>
      <c r="O138" s="7"/>
      <c r="P138" s="7"/>
      <c r="Q138" s="22"/>
      <c r="R138" s="22"/>
      <c r="S138" s="31">
        <f t="shared" si="106"/>
        <v>1</v>
      </c>
      <c r="T138" s="46" t="str">
        <f t="shared" si="95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85"/>
        <v>https://d0f6bd738d7f1b3e5a7ca70fe4ff75f0.us-east-1.aws.found.io/app/kibana#/discover/Steve-Slow-Train-Analysis-(2080s-and-2083s)?_g=(refreshInterval:(display:Off,pause:!f,section:0,value:0),time:(from:'2017-03-10T20:11:33-0700',mode:absolute,to:'2017-03-10T23:11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187" t="str">
        <f t="shared" si="96"/>
        <v>N</v>
      </c>
      <c r="X138" s="187">
        <f t="shared" si="107"/>
        <v>1</v>
      </c>
      <c r="Y138" s="62">
        <f t="shared" si="97"/>
        <v>23.2913</v>
      </c>
      <c r="Z138" s="62">
        <f t="shared" si="104"/>
        <v>1.52E-2</v>
      </c>
      <c r="AA138" s="62">
        <f t="shared" si="99"/>
        <v>23.2761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100"/>
        <v>0228-10</v>
      </c>
      <c r="AE138" s="85" t="str">
        <f t="shared" si="86"/>
        <v>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 &amp; aws s3 cp s3://rtdc.mdm.uploadarchive.raw/RTDC4019/ "%USERPROFILE%\AppData\Local\Temp\OnboardLogs"\RTDC4019\2017-03-11 --exclude "*" --recursive --include "*20170311*" &amp; "%USERPROFILE%\Documents\GitHub\mrs-test-scripts\Headless Mode &amp; Sideloading\WalkAndUnGZ.bat" "%USERPROFILE%\AppData\Local\Temp\OnboardLogs"\RTDC4019\2017-03-11</v>
      </c>
      <c r="AF138" s="82" t="str">
        <f t="shared" si="87"/>
        <v>"C:\Program Files (x86)\AstroGrep\AstroGrep.exe" /e /r /s /spath="%USERPROFILE%\AppData\Local\Temp\OnboardLogs" /stypes="app*4019*20170311*" /stext=" 05:.+((SYSTEM_STATE.+slice.+state.+changed )|(ment ac)|(multiple cpu faults)|(system.+state.+changed )|(\[timeout)|(PRM\|1\|D)|(kpr)|(kdp)|(\|lc)|(penalty))"</v>
      </c>
      <c r="AG138" s="1" t="str">
        <f t="shared" si="101"/>
        <v>EC</v>
      </c>
      <c r="AH138" s="86" t="str">
        <f t="shared" si="88"/>
        <v>"%USERPROFILE%\Documents\GitHub\eaglep3\Utilities\RefineRTDCRunTimes.py" --tripid 228-10 --locoid 4019 --swversion DE.1.0.9.0 --startMP 204:232913 --initTime 2017-03-10T21:11:33 --startdatetime 2017-03-10T21:12:44 --delay 1 --endMP 204:152 --enddatetime 2017-03-10T22:11:45 --enforcementcount 0 &gt;&gt;C:\Users\stu\Documents\GitHub\eaglep3-reporting\EC\2017-03-10-refined-times.txt</v>
      </c>
      <c r="AI138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{"issue":{"subject":"","project_id":79,"tracker_id":40,"status_id":1,"priority_id":2,"assigned_to_id":23,"start_date":"2017-03-10","description":"","custom_fields":[{"id":1,"name":"Subdivision","value":"EC"},{"id":4,"name":"Milepost","value":"0.0152"},{"id":17,"name":"Train ID","value":"228-10"},{"id":16,"name":"Locomotive ID","value":"4019"},{"id":130,"name":"Impact","value":""},{"id":150,"name":"Time of Event (Mountain Time)","value":"22:11:45"},{"id":151,"name":"Denver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90"/>
        <v>start /low /b %USERPROFILE%\Documents\GitHub\eaglep3\Utilities\DownloadLogsFromS3.py --loco 4019 --day 2017-03-10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"%USERPROFILE%\AppData\Local\Temp\OnboardLogs"\RTDC4019\*4019*20170311* | grep -SE "(Enforcement Action)|(\[TIMEOUT)|(CHR.+\|PRM\|1\|D.+(SWITCH|SIGNAL).+UNKNOWN)" - &gt;&gt; 2017-03-10-UncaughtWiMAX.txt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784</v>
      </c>
      <c r="B139" s="7">
        <v>4051</v>
      </c>
      <c r="C139" s="21" t="s">
        <v>239</v>
      </c>
      <c r="D139" s="21" t="s">
        <v>231</v>
      </c>
      <c r="E139" s="13">
        <v>42804.870474537034</v>
      </c>
      <c r="F139" s="13">
        <v>42804.871759259258</v>
      </c>
      <c r="G139" s="7">
        <v>1</v>
      </c>
      <c r="H139" s="21" t="s">
        <v>895</v>
      </c>
      <c r="I139" s="13">
        <v>42804.905532407407</v>
      </c>
      <c r="J139" s="7">
        <v>0</v>
      </c>
      <c r="K139" s="98" t="str">
        <f t="shared" si="93"/>
        <v>4051/4052</v>
      </c>
      <c r="L139" s="21" t="str">
        <f>VLOOKUP(A139,'Trips&amp;Operators'!$C$1:$G$99999,5,FALSE)</f>
        <v>BROWN JACOB</v>
      </c>
      <c r="M139" s="6">
        <f t="shared" si="94"/>
        <v>3.3773148148611654E-2</v>
      </c>
      <c r="N139" s="7">
        <f t="shared" si="105"/>
        <v>48.633333334000781</v>
      </c>
      <c r="O139" s="7"/>
      <c r="P139" s="7"/>
      <c r="Q139" s="22"/>
      <c r="R139" s="22"/>
      <c r="S139" s="31">
        <f t="shared" si="106"/>
        <v>1</v>
      </c>
      <c r="T139" s="46" t="str">
        <f t="shared" si="95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85"/>
        <v>https://d0f6bd738d7f1b3e5a7ca70fe4ff75f0.us-east-1.aws.found.io/app/kibana#/discover/Steve-Slow-Train-Analysis-(2080s-and-2083s)?_g=(refreshInterval:(display:Off,pause:!f,section:0,value:0),time:(from:'2017-03-10T19:53:29-0700',mode:absolute,to:'2017-03-10T22:43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9" s="187" t="str">
        <f t="shared" si="96"/>
        <v>N</v>
      </c>
      <c r="X139" s="187">
        <f t="shared" si="107"/>
        <v>1</v>
      </c>
      <c r="Y139" s="62">
        <f t="shared" si="97"/>
        <v>4.4400000000000002E-2</v>
      </c>
      <c r="Z139" s="62">
        <f t="shared" si="104"/>
        <v>23.334399999999999</v>
      </c>
      <c r="AA139" s="62">
        <f t="shared" si="99"/>
        <v>23.29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100"/>
        <v>0229-10</v>
      </c>
      <c r="AE139" s="85" t="str">
        <f t="shared" si="86"/>
        <v>aws s3 cp s3://rtdc.mdm.uploadarchive.raw/RTDC4051/ "%USERPROFILE%\AppData\Local\Temp\OnboardLogs"\RTDC4051\2017-03-10 --exclude "*" --recursive --include "*20170310*" &amp; "%USERPROFILE%\Documents\GitHub\mrs-test-scripts\Headless Mode &amp; Sideloading\WalkAndUnGZ.bat" "%USERPROFILE%\AppData\Local\Temp\OnboardLogs"\RTDC4051\2017-03-10 &amp; aws s3 cp s3://rtdc.mdm.uploadarchive.raw/RTDC4051/ "%USERPROFILE%\AppData\Local\Temp\OnboardLogs"\RTDC4051\2017-03-11 --exclude "*" --recursive --include "*20170311*" &amp; "%USERPROFILE%\Documents\GitHub\mrs-test-scripts\Headless Mode &amp; Sideloading\WalkAndUnGZ.bat" "%USERPROFILE%\AppData\Local\Temp\OnboardLogs"\RTDC4051\2017-03-11</v>
      </c>
      <c r="AF139" s="82" t="str">
        <f t="shared" si="87"/>
        <v>"C:\Program Files (x86)\AstroGrep\AstroGrep.exe" /e /r /s /spath="%USERPROFILE%\AppData\Local\Temp\OnboardLogs" /stypes="app*4051*20170311*" /stext=" 04:.+((SYSTEM_STATE.+slice.+state.+changed )|(ment ac)|(multiple cpu faults)|(system.+state.+changed )|(\[timeout)|(PRM\|1\|D)|(kpr)|(kdp)|(\|lc)|(penalty))"</v>
      </c>
      <c r="AG139" s="1" t="str">
        <f t="shared" si="101"/>
        <v>EC</v>
      </c>
      <c r="AH139" s="86" t="str">
        <f t="shared" si="88"/>
        <v>"%USERPROFILE%\Documents\GitHub\eaglep3\Utilities\RefineRTDCRunTimes.py" --tripid 229-10 --locoid 4051 --swversion DE.1.0.9.0 --startMP 204:444 --initTime 2017-03-10T20:53:29 --startdatetime 2017-03-10T20:55:20 --delay 1 --endMP 204:233344 --enddatetime 2017-03-10T21:43:58 --enforcementcount 0 &gt;&gt;C:\Users\stu\Documents\GitHub\eaglep3-reporting\EC\2017-03-10-refined-times.txt</v>
      </c>
      <c r="AI139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{"issue":{"subject":"","project_id":79,"tracker_id":40,"status_id":1,"priority_id":2,"assigned_to_id":23,"start_date":"2017-03-10","description":"","custom_fields":[{"id":1,"name":"Subdivision","value":"EC"},{"id":4,"name":"Milepost","value":"23.3344"},{"id":17,"name":"Train ID","value":"229-10"},{"id":16,"name":"Locomotive ID","value":"4051"},{"id":130,"name":"Impact","value":""},{"id":150,"name":"Time of Event (Mountain Time)","value":"21:43:58"},{"id":151,"name":"Denver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90"/>
        <v>start /low /b %USERPROFILE%\Documents\GitHub\eaglep3\Utilities\DownloadLogsFromS3.py --loco 4051 --day 2017-03-10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"%USERPROFILE%\AppData\Local\Temp\OnboardLogs"\RTDC4051\*4051*20170311* | grep -SE "(Enforcement Action)|(\[TIMEOUT)|(CHR.+\|PRM\|1\|D.+(SWITCH|SIGNAL).+UNKNOWN)" - &gt;&gt; 2017-03-10-UncaughtWiMAX.txt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790</v>
      </c>
      <c r="B140" s="7">
        <v>4052</v>
      </c>
      <c r="C140" s="21" t="s">
        <v>239</v>
      </c>
      <c r="D140" s="21" t="s">
        <v>261</v>
      </c>
      <c r="E140" s="13">
        <v>42804.910034722219</v>
      </c>
      <c r="F140" s="13">
        <v>42804.911226851851</v>
      </c>
      <c r="G140" s="7">
        <v>1</v>
      </c>
      <c r="H140" s="21" t="s">
        <v>208</v>
      </c>
      <c r="I140" s="13">
        <v>42804.944710648146</v>
      </c>
      <c r="J140" s="7">
        <v>0</v>
      </c>
      <c r="K140" s="98" t="str">
        <f t="shared" si="93"/>
        <v>4051/4052</v>
      </c>
      <c r="L140" s="21" t="str">
        <f>VLOOKUP(A140,'Trips&amp;Operators'!$C$1:$G$99999,5,FALSE)</f>
        <v>BROWN JACOB</v>
      </c>
      <c r="M140" s="6">
        <f t="shared" si="94"/>
        <v>3.3483796294603962E-2</v>
      </c>
      <c r="N140" s="7">
        <f t="shared" si="105"/>
        <v>48.216666664229706</v>
      </c>
      <c r="O140" s="7"/>
      <c r="P140" s="7"/>
      <c r="Q140" s="22"/>
      <c r="R140" s="22"/>
      <c r="S140" s="31">
        <f t="shared" si="106"/>
        <v>1</v>
      </c>
      <c r="T140" s="46" t="str">
        <f t="shared" si="95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85"/>
        <v>https://d0f6bd738d7f1b3e5a7ca70fe4ff75f0.us-east-1.aws.found.io/app/kibana#/discover/Steve-Slow-Train-Analysis-(2080s-and-2083s)?_g=(refreshInterval:(display:Off,pause:!f,section:0,value:0),time:(from:'2017-03-10T20:50:27-0700',mode:absolute,to:'2017-03-10T23:40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0" s="187" t="str">
        <f t="shared" si="96"/>
        <v>N</v>
      </c>
      <c r="X140" s="187">
        <f t="shared" si="107"/>
        <v>1</v>
      </c>
      <c r="Y140" s="62">
        <f t="shared" si="97"/>
        <v>23.299099999999999</v>
      </c>
      <c r="Z140" s="62">
        <f t="shared" si="104"/>
        <v>1.54E-2</v>
      </c>
      <c r="AA140" s="62">
        <f t="shared" si="99"/>
        <v>23.2837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100"/>
        <v>0230-10</v>
      </c>
      <c r="AE140" s="85" t="str">
        <f t="shared" si="86"/>
        <v>aws s3 cp s3://rtdc.mdm.uploadarchive.raw/RTDC4052/ "%USERPROFILE%\AppData\Local\Temp\OnboardLogs"\RTDC4052\2017-03-10 --exclude "*" --recursive --include "*20170310*" &amp; "%USERPROFILE%\Documents\GitHub\mrs-test-scripts\Headless Mode &amp; Sideloading\WalkAndUnGZ.bat" "%USERPROFILE%\AppData\Local\Temp\OnboardLogs"\RTDC4052\2017-03-10 &amp; aws s3 cp s3://rtdc.mdm.uploadarchive.raw/RTDC4052/ "%USERPROFILE%\AppData\Local\Temp\OnboardLogs"\RTDC4052\2017-03-11 --exclude "*" --recursive --include "*20170311*" &amp; "%USERPROFILE%\Documents\GitHub\mrs-test-scripts\Headless Mode &amp; Sideloading\WalkAndUnGZ.bat" "%USERPROFILE%\AppData\Local\Temp\OnboardLogs"\RTDC4052\2017-03-11</v>
      </c>
      <c r="AF140" s="82" t="str">
        <f t="shared" si="87"/>
        <v>"C:\Program Files (x86)\AstroGrep\AstroGrep.exe" /e /r /s /spath="%USERPROFILE%\AppData\Local\Temp\OnboardLogs" /stypes="app*4052*20170311*" /stext=" 05:.+((SYSTEM_STATE.+slice.+state.+changed )|(ment ac)|(multiple cpu faults)|(system.+state.+changed )|(\[timeout)|(PRM\|1\|D)|(kpr)|(kdp)|(\|lc)|(penalty))"</v>
      </c>
      <c r="AG140" s="1" t="str">
        <f t="shared" si="101"/>
        <v>EC</v>
      </c>
      <c r="AH140" s="86" t="str">
        <f t="shared" si="88"/>
        <v>"%USERPROFILE%\Documents\GitHub\eaglep3\Utilities\RefineRTDCRunTimes.py" --tripid 230-10 --locoid 4052 --swversion DE.1.0.9.0 --startMP 204:232991 --initTime 2017-03-10T21:50:27 --startdatetime 2017-03-10T21:52:10 --delay 1 --endMP 204:154 --enddatetime 2017-03-10T22:40:23 --enforcementcount 0 &gt;&gt;C:\Users\stu\Documents\GitHub\eaglep3-reporting\EC\2017-03-10-refined-times.txt</v>
      </c>
      <c r="AI140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{"issue":{"subject":"","project_id":79,"tracker_id":40,"status_id":1,"priority_id":2,"assigned_to_id":23,"start_date":"2017-03-10","description":"","custom_fields":[{"id":1,"name":"Subdivision","value":"EC"},{"id":4,"name":"Milepost","value":"0.0154"},{"id":17,"name":"Train ID","value":"230-10"},{"id":16,"name":"Locomotive ID","value":"4052"},{"id":130,"name":"Impact","value":""},{"id":150,"name":"Time of Event (Mountain Time)","value":"22:40:23"},{"id":151,"name":"Denver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90"/>
        <v>start /low /b %USERPROFILE%\Documents\GitHub\eaglep3\Utilities\DownloadLogsFromS3.py --loco 4052 --day 2017-03-10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"%USERPROFILE%\AppData\Local\Temp\OnboardLogs"\RTDC4052\*4052*20170311* | grep -SE "(Enforcement Action)|(\[TIMEOUT)|(CHR.+\|PRM\|1\|D.+(SWITCH|SIGNAL).+UNKNOWN)" - &gt;&gt; 2017-03-10-UncaughtWiMAX.txt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788</v>
      </c>
      <c r="B141" s="7">
        <v>4027</v>
      </c>
      <c r="C141" s="21" t="s">
        <v>239</v>
      </c>
      <c r="D141" s="21" t="s">
        <v>223</v>
      </c>
      <c r="E141" s="13">
        <v>42804.88826388889</v>
      </c>
      <c r="F141" s="13">
        <v>42804.890787037039</v>
      </c>
      <c r="G141" s="7">
        <v>3</v>
      </c>
      <c r="H141" s="21" t="s">
        <v>849</v>
      </c>
      <c r="I141" s="13">
        <v>42804.925196759257</v>
      </c>
      <c r="J141" s="7">
        <v>0</v>
      </c>
      <c r="K141" s="98" t="str">
        <f t="shared" si="93"/>
        <v>4027/4028</v>
      </c>
      <c r="L141" s="21" t="str">
        <f>VLOOKUP(A141,'Trips&amp;Operators'!$C$1:$G$99999,5,FALSE)</f>
        <v>STORY SAMANTHA</v>
      </c>
      <c r="M141" s="6">
        <f t="shared" si="94"/>
        <v>3.4409722218697425E-2</v>
      </c>
      <c r="N141" s="7">
        <f t="shared" si="105"/>
        <v>49.549999994924292</v>
      </c>
      <c r="O141" s="7"/>
      <c r="P141" s="7"/>
      <c r="Q141" s="22"/>
      <c r="R141" s="22"/>
      <c r="S141" s="31">
        <f t="shared" si="106"/>
        <v>1</v>
      </c>
      <c r="T141" s="46" t="str">
        <f t="shared" si="95"/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si="85"/>
        <v>https://d0f6bd738d7f1b3e5a7ca70fe4ff75f0.us-east-1.aws.found.io/app/kibana#/discover/Steve-Slow-Train-Analysis-(2080s-and-2083s)?_g=(refreshInterval:(display:Off,pause:!f,section:0,value:0),time:(from:'2017-03-10T20:19:06-0700',mode:absolute,to:'2017-03-10T23:12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1" s="187" t="str">
        <f t="shared" si="96"/>
        <v>N</v>
      </c>
      <c r="X141" s="187">
        <f t="shared" si="107"/>
        <v>1</v>
      </c>
      <c r="Y141" s="62">
        <f t="shared" si="97"/>
        <v>4.53E-2</v>
      </c>
      <c r="Z141" s="62">
        <f t="shared" si="104"/>
        <v>23.328299999999999</v>
      </c>
      <c r="AA141" s="62">
        <f t="shared" si="99"/>
        <v>23.282999999999998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100"/>
        <v>0231-10</v>
      </c>
      <c r="AE141" s="85" t="str">
        <f t="shared" si="86"/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AF141" s="82" t="str">
        <f t="shared" si="87"/>
        <v>"C:\Program Files (x86)\AstroGrep\AstroGrep.exe" /e /r /s /spath="%USERPROFILE%\AppData\Local\Temp\OnboardLogs" /stypes="app*4027*20170311*" /stext=" 05:.+((SYSTEM_STATE.+slice.+state.+changed )|(ment ac)|(multiple cpu faults)|(system.+state.+changed )|(\[timeout)|(PRM\|1\|D)|(kpr)|(kdp)|(\|lc)|(penalty))"</v>
      </c>
      <c r="AG141" s="1" t="str">
        <f t="shared" si="101"/>
        <v>EC</v>
      </c>
      <c r="AH141" s="86" t="str">
        <f t="shared" si="88"/>
        <v>"%USERPROFILE%\Documents\GitHub\eaglep3\Utilities\RefineRTDCRunTimes.py" --tripid 231-10 --locoid 4027 --swversion DE.1.0.9.0 --startMP 204:453 --initTime 2017-03-10T21:19:06 --startdatetime 2017-03-10T21:22:44 --delay 3 --endMP 204:233283 --enddatetime 2017-03-10T22:12:17 --enforcementcount 0 &gt;&gt;C:\Users\stu\Documents\GitHub\eaglep3-reporting\EC\2017-03-10-refined-times.txt</v>
      </c>
      <c r="AI141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{"issue":{"subject":"","project_id":79,"tracker_id":40,"status_id":1,"priority_id":2,"assigned_to_id":23,"start_date":"2017-03-10","description":"","custom_fields":[{"id":1,"name":"Subdivision","value":"EC"},{"id":4,"name":"Milepost","value":"23.3283"},{"id":17,"name":"Train ID","value":"231-10"},{"id":16,"name":"Locomotive ID","value":"4027"},{"id":130,"name":"Impact","value":""},{"id":150,"name":"Time of Event (Mountain Time)","value":"22:12:17"},{"id":151,"name":"Denver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90"/>
        <v>start /low /b %USERPROFILE%\Documents\GitHub\eaglep3\Utilities\DownloadLogsFromS3.py --loco 4027 --day 2017-03-10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"%USERPROFILE%\AppData\Local\Temp\OnboardLogs"\RTDC4027\*4027*20170311* | grep -SE "(Enforcement Action)|(\[TIMEOUT)|(CHR.+\|PRM\|1\|D.+(SWITCH|SIGNAL).+UNKNOWN)" - &gt;&gt; 2017-03-10-UncaughtWiMAX.txt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792</v>
      </c>
      <c r="B142" s="7">
        <v>4028</v>
      </c>
      <c r="C142" s="21" t="s">
        <v>239</v>
      </c>
      <c r="D142" s="21" t="s">
        <v>865</v>
      </c>
      <c r="E142" s="13">
        <v>42804.929027777776</v>
      </c>
      <c r="F142" s="13">
        <v>42804.930335648147</v>
      </c>
      <c r="G142" s="7">
        <v>1</v>
      </c>
      <c r="H142" s="21" t="s">
        <v>229</v>
      </c>
      <c r="I142" s="13">
        <v>42804.968611111108</v>
      </c>
      <c r="J142" s="7">
        <v>0</v>
      </c>
      <c r="K142" s="98" t="str">
        <f t="shared" si="93"/>
        <v>4027/4028</v>
      </c>
      <c r="L142" s="21" t="str">
        <f>VLOOKUP(A142,'Trips&amp;Operators'!$C$1:$G$99999,5,FALSE)</f>
        <v>STORY SAMANTHA</v>
      </c>
      <c r="M142" s="6">
        <f t="shared" si="94"/>
        <v>3.8275462960882578E-2</v>
      </c>
      <c r="N142" s="7"/>
      <c r="O142" s="7"/>
      <c r="P142" s="7"/>
      <c r="Q142" s="22"/>
      <c r="R142" s="22"/>
      <c r="S142" s="31"/>
      <c r="T142" s="46" t="str">
        <f t="shared" si="95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85"/>
        <v>https://d0f6bd738d7f1b3e5a7ca70fe4ff75f0.us-east-1.aws.found.io/app/kibana#/discover/Steve-Slow-Train-Analysis-(2080s-and-2083s)?_g=(refreshInterval:(display:Off,pause:!f,section:0,value:0),time:(from:'2017-03-10T21:17:48-0700',mode:absolute,to:'2017-03-11T00:14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2" s="187" t="str">
        <f t="shared" si="96"/>
        <v>N</v>
      </c>
      <c r="X142" s="187">
        <f t="shared" si="107"/>
        <v>1</v>
      </c>
      <c r="Y142" s="62">
        <f t="shared" si="97"/>
        <v>23.297899999999998</v>
      </c>
      <c r="Z142" s="62">
        <f t="shared" si="104"/>
        <v>1.5599999999999999E-2</v>
      </c>
      <c r="AA142" s="62">
        <f t="shared" si="99"/>
        <v>23.282299999999999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100"/>
        <v>0232-10</v>
      </c>
      <c r="AE142" s="85" t="str">
        <f t="shared" si="86"/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AF142" s="82" t="str">
        <f t="shared" si="87"/>
        <v>"C:\Program Files (x86)\AstroGrep\AstroGrep.exe" /e /r /s /spath="%USERPROFILE%\AppData\Local\Temp\OnboardLogs" /stypes="app*4028*20170311*" /stext=" 06:.+((SYSTEM_STATE.+slice.+state.+changed )|(ment ac)|(multiple cpu faults)|(system.+state.+changed )|(\[timeout)|(PRM\|1\|D)|(kpr)|(kdp)|(\|lc)|(penalty))"</v>
      </c>
      <c r="AG142" s="1" t="str">
        <f t="shared" si="101"/>
        <v>EC</v>
      </c>
      <c r="AH142" s="86" t="str">
        <f t="shared" si="88"/>
        <v>"%USERPROFILE%\Documents\GitHub\eaglep3\Utilities\RefineRTDCRunTimes.py" --tripid 232-10 --locoid 4028 --swversion DE.1.0.9.0 --startMP 204:232979 --initTime 2017-03-10T22:17:48 --startdatetime 2017-03-10T22:19:41 --delay 1 --endMP 204:156 --enddatetime 2017-03-10T23:14:48 --enforcementcount 0 &gt;&gt;C:\Users\stu\Documents\GitHub\eaglep3-reporting\EC\2017-03-10-refined-times.txt</v>
      </c>
      <c r="AI142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{"issue":{"subject":"","project_id":79,"tracker_id":40,"status_id":1,"priority_id":2,"assigned_to_id":23,"start_date":"2017-03-10","description":"","custom_fields":[{"id":1,"name":"Subdivision","value":"EC"},{"id":4,"name":"Milepost","value":"0.0156"},{"id":17,"name":"Train ID","value":"232-10"},{"id":16,"name":"Locomotive ID","value":"4028"},{"id":130,"name":"Impact","value":""},{"id":150,"name":"Time of Event (Mountain Time)","value":"23:14:48"},{"id":151,"name":"Denver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90"/>
        <v>start /low /b %USERPROFILE%\Documents\GitHub\eaglep3\Utilities\DownloadLogsFromS3.py --loco 4028 --day 2017-03-10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"%USERPROFILE%\AppData\Local\Temp\OnboardLogs"\RTDC4028\*4028*20170311* | grep -SE "(Enforcement Action)|(\[TIMEOUT)|(CHR.+\|PRM\|1\|D.+(SWITCH|SIGNAL).+UNKNOWN)" - &gt;&gt; 2017-03-10-UncaughtWiMAX.txt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792</v>
      </c>
      <c r="B143" s="7">
        <v>4028</v>
      </c>
      <c r="C143" s="21" t="s">
        <v>239</v>
      </c>
      <c r="D143" s="21" t="s">
        <v>523</v>
      </c>
      <c r="E143" s="13">
        <v>42804.929027777776</v>
      </c>
      <c r="F143" s="13">
        <v>42804.938333333332</v>
      </c>
      <c r="G143" s="7">
        <v>13</v>
      </c>
      <c r="H143" s="21" t="s">
        <v>229</v>
      </c>
      <c r="I143" s="13">
        <v>42804.968611111108</v>
      </c>
      <c r="J143" s="7">
        <v>0</v>
      </c>
      <c r="K143" s="98" t="str">
        <f t="shared" si="93"/>
        <v>4027/4028</v>
      </c>
      <c r="L143" s="21" t="str">
        <f>VLOOKUP(A143,'Trips&amp;Operators'!$C$1:$G$99999,5,FALSE)</f>
        <v>STORY SAMANTHA</v>
      </c>
      <c r="M143" s="6">
        <f t="shared" si="94"/>
        <v>3.0277777776063886E-2</v>
      </c>
      <c r="N143" s="7">
        <f t="shared" ref="N143:N174" si="108">24*60*SUM($M143:$M143)</f>
        <v>43.599999997531995</v>
      </c>
      <c r="O143" s="7"/>
      <c r="P143" s="7"/>
      <c r="Q143" s="22"/>
      <c r="R143" s="22" t="s">
        <v>1018</v>
      </c>
      <c r="S143" s="31">
        <f t="shared" ref="S143:S174" si="109">SUM(U143:U143)/IF(AG143="EC",12,1)</f>
        <v>1</v>
      </c>
      <c r="T143" s="46" t="str">
        <f t="shared" si="95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ref="V143:V206" si="110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-03-10T21:17:48-0700',mode:absolute,to:'2017-03-11T00:14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87" t="str">
        <f t="shared" si="96"/>
        <v>N</v>
      </c>
      <c r="X143" s="187">
        <f t="shared" si="107"/>
        <v>0</v>
      </c>
      <c r="Y143" s="62">
        <f t="shared" si="97"/>
        <v>23.298500000000001</v>
      </c>
      <c r="Z143" s="62">
        <f t="shared" si="104"/>
        <v>1.5599999999999999E-2</v>
      </c>
      <c r="AA143" s="62">
        <f t="shared" si="99"/>
        <v>23.282900000000001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100"/>
        <v>0232-10</v>
      </c>
      <c r="AE143" s="85" t="str">
        <f t="shared" ref="AE143:AE206" si="111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AF143" s="82" t="str">
        <f t="shared" ref="AF143:AF206" si="112"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/stypes="app*4028*20170311*" /stext=" 06:.+((SYSTEM_STATE.+slice.+state.+changed )|(ment ac)|(multiple cpu faults)|(system.+state.+changed )|(\[timeout)|(PRM\|1\|D)|(kpr)|(kdp)|(\|lc)|(penalty))"</v>
      </c>
      <c r="AG143" s="1" t="str">
        <f t="shared" si="101"/>
        <v>EC</v>
      </c>
      <c r="AH143" s="86" t="str">
        <f t="shared" si="88"/>
        <v>"%USERPROFILE%\Documents\GitHub\eaglep3\Utilities\RefineRTDCRunTimes.py" --tripid 232-10 --locoid 4028 --swversion DE.1.0.9.0 --startMP 204:232985 --initTime 2017-03-10T22:17:48 --startdatetime 2017-03-10T22:31:12 --delay 13 --endMP 204:156 --enddatetime 2017-03-10T23:14:48 --enforcementcount 0 &gt;&gt;C:\Users\stu\Documents\GitHub\eaglep3-reporting\EC\2017-03-10-refined-times.txt</v>
      </c>
      <c r="AI143" s="108" t="str">
        <f t="shared" si="89"/>
        <v>echo {"issue":{"subject":"Onboard in-route failure delayed departure","project_id":79,"tracker_id":40,"status_id":1,"priority_id":2,"assigned_to_id":23,"start_date":"2017-03-10","description":"","custom_fields":[{"id":1,"name":"Subdivision","value":"EC"},{"id":4,"name":"Milepost","value":"0.0156"},{"id":17,"name":"Train ID","value":"232-10"},{"id":16,"name":"Locomotive ID","value":"4028"},{"id":130,"name":"Impact","value":""},{"id":150,"name":"Time of Event (Mountain Time)","value":"23:14:48"},{"id":151,"name":"Denver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90"/>
        <v>start /low /b %USERPROFILE%\Documents\GitHub\eaglep3\Utilities\DownloadLogsFromS3.py --loco 4028 --day 2017-03-10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"%USERPROFILE%\AppData\Local\Temp\OnboardLogs"\RTDC4028\*4028*20170311* | grep -SE "(Enforcement Action)|(\[TIMEOUT)|(CHR.+\|PRM\|1\|D.+(SWITCH|SIGNAL).+UNKNOWN)" - &gt;&gt; 2017-03-10-UncaughtWiMAX.txt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609</v>
      </c>
      <c r="B144" s="7">
        <v>4003</v>
      </c>
      <c r="C144" s="21" t="s">
        <v>239</v>
      </c>
      <c r="D144" s="21" t="s">
        <v>896</v>
      </c>
      <c r="E144" s="13">
        <v>42804.905023148145</v>
      </c>
      <c r="F144" s="13">
        <v>42804.906041666669</v>
      </c>
      <c r="G144" s="7">
        <v>1</v>
      </c>
      <c r="H144" s="21" t="s">
        <v>897</v>
      </c>
      <c r="I144" s="13">
        <v>42804.942800925928</v>
      </c>
      <c r="J144" s="7">
        <v>0</v>
      </c>
      <c r="K144" s="98" t="str">
        <f t="shared" si="93"/>
        <v>4003/4004</v>
      </c>
      <c r="L144" s="21" t="str">
        <f>VLOOKUP(A144,'Trips&amp;Operators'!$C$1:$G$99999,5,FALSE)</f>
        <v>STAMBAUGH JAMES</v>
      </c>
      <c r="M144" s="6">
        <f t="shared" si="94"/>
        <v>3.6759259259270038E-2</v>
      </c>
      <c r="N144" s="7">
        <f t="shared" si="108"/>
        <v>52.933333333348855</v>
      </c>
      <c r="O144" s="7"/>
      <c r="P144" s="7"/>
      <c r="Q144" s="22"/>
      <c r="R144" s="22"/>
      <c r="S144" s="31">
        <f t="shared" si="109"/>
        <v>1</v>
      </c>
      <c r="T144" s="46" t="str">
        <f t="shared" si="95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110"/>
        <v>https://d0f6bd738d7f1b3e5a7ca70fe4ff75f0.us-east-1.aws.found.io/app/kibana#/discover/Steve-Slow-Train-Analysis-(2080s-and-2083s)?_g=(refreshInterval:(display:Off,pause:!f,section:0,value:0),time:(from:'2017-03-10T20:43:14-0700',mode:absolute,to:'2017-03-10T23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4" s="187" t="str">
        <f t="shared" si="96"/>
        <v>N</v>
      </c>
      <c r="X144" s="187">
        <f t="shared" si="107"/>
        <v>1</v>
      </c>
      <c r="Y144" s="62">
        <f t="shared" si="97"/>
        <v>4.3099999999999999E-2</v>
      </c>
      <c r="Z144" s="62">
        <f t="shared" si="104"/>
        <v>23.336600000000001</v>
      </c>
      <c r="AA144" s="62">
        <f t="shared" si="99"/>
        <v>23.293500000000002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100"/>
        <v>0233-10</v>
      </c>
      <c r="AE144" s="85" t="str">
        <f t="shared" si="111"/>
        <v>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 &amp; 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</v>
      </c>
      <c r="AF144" s="82" t="str">
        <f t="shared" si="112"/>
        <v>"C:\Program Files (x86)\AstroGrep\AstroGrep.exe" /e /r /s /spath="%USERPROFILE%\AppData\Local\Temp\OnboardLogs" /stypes="app*4003*20170311*" /stext=" 05:.+((SYSTEM_STATE.+slice.+state.+changed )|(ment ac)|(multiple cpu faults)|(system.+state.+changed )|(\[timeout)|(PRM\|1\|D)|(kpr)|(kdp)|(\|lc)|(penalty))"</v>
      </c>
      <c r="AG144" s="1" t="str">
        <f t="shared" si="101"/>
        <v>EC</v>
      </c>
      <c r="AH144" s="86" t="str">
        <f t="shared" si="88"/>
        <v>"%USERPROFILE%\Documents\GitHub\eaglep3\Utilities\RefineRTDCRunTimes.py" --tripid 233-10 --locoid 4003 --swversion DE.1.0.9.0 --startMP 204:431 --initTime 2017-03-10T21:43:14 --startdatetime 2017-03-10T21:44:42 --delay 1 --endMP 204:233366 --enddatetime 2017-03-10T22:37:38 --enforcementcount 0 &gt;&gt;C:\Users\stu\Documents\GitHub\eaglep3-reporting\EC\2017-03-10-refined-times.txt</v>
      </c>
      <c r="AI144" s="108" t="str">
        <f t="shared" si="89"/>
        <v>echo {"issue":{"subject":"","project_id":79,"tracker_id":40,"status_id":1,"priority_id":2,"assigned_to_id":23,"start_date":"2017-03-10","description":"","custom_fields":[{"id":1,"name":"Subdivision","value":"EC"},{"id":4,"name":"Milepost","value":"23.3366"},{"id":17,"name":"Train ID","value":"233-10"},{"id":16,"name":"Locomotive ID","value":"4003"},{"id":130,"name":"Impact","value":""},{"id":150,"name":"Time of Event (Mountain Time)","value":"22:37:38"},{"id":151,"name":"Denver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90"/>
        <v>start /low /b %USERPROFILE%\Documents\GitHub\eaglep3\Utilities\DownloadLogsFromS3.py --loco 4003 --day 2017-03-10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"%USERPROFILE%\AppData\Local\Temp\OnboardLogs"\RTDC4003\*4003*20170311* | grep -SE "(Enforcement Action)|(\[TIMEOUT)|(CHR.+\|PRM\|1\|D.+(SWITCH|SIGNAL).+UNKNOWN)" - &gt;&gt; 2017-03-10-UncaughtWiMAX.txt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795</v>
      </c>
      <c r="B145" s="7">
        <v>4004</v>
      </c>
      <c r="C145" s="21" t="s">
        <v>239</v>
      </c>
      <c r="D145" s="21" t="s">
        <v>898</v>
      </c>
      <c r="E145" s="13">
        <v>42804.944560185184</v>
      </c>
      <c r="F145" s="13">
        <v>42804.951168981483</v>
      </c>
      <c r="G145" s="7">
        <v>9</v>
      </c>
      <c r="H145" s="21" t="s">
        <v>817</v>
      </c>
      <c r="I145" s="13">
        <v>42804.984282407408</v>
      </c>
      <c r="J145" s="7">
        <v>0</v>
      </c>
      <c r="K145" s="98" t="str">
        <f t="shared" si="93"/>
        <v>4003/4004</v>
      </c>
      <c r="L145" s="21" t="str">
        <f>VLOOKUP(A145,'Trips&amp;Operators'!$C$1:$G$99999,5,FALSE)</f>
        <v>STAMBAUGH JAMES</v>
      </c>
      <c r="M145" s="6">
        <f t="shared" si="94"/>
        <v>3.3113425924966577E-2</v>
      </c>
      <c r="N145" s="7">
        <f t="shared" si="108"/>
        <v>47.683333331951872</v>
      </c>
      <c r="O145" s="7"/>
      <c r="P145" s="7"/>
      <c r="Q145" s="22"/>
      <c r="R145" s="22"/>
      <c r="S145" s="31">
        <f t="shared" si="109"/>
        <v>1</v>
      </c>
      <c r="T145" s="46" t="str">
        <f t="shared" si="95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110"/>
        <v>https://d0f6bd738d7f1b3e5a7ca70fe4ff75f0.us-east-1.aws.found.io/app/kibana#/discover/Steve-Slow-Train-Analysis-(2080s-and-2083s)?_g=(refreshInterval:(display:Off,pause:!f,section:0,value:0),time:(from:'2017-03-10T21:40:10-0700',mode:absolute,to:'2017-03-11T00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5" s="187" t="str">
        <f t="shared" si="96"/>
        <v>N</v>
      </c>
      <c r="X145" s="187">
        <f t="shared" si="107"/>
        <v>1</v>
      </c>
      <c r="Y145" s="62">
        <f t="shared" si="97"/>
        <v>23.308499999999999</v>
      </c>
      <c r="Z145" s="62">
        <f t="shared" si="104"/>
        <v>1.32E-2</v>
      </c>
      <c r="AA145" s="62">
        <f t="shared" si="99"/>
        <v>23.295299999999997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100"/>
        <v>0234-10</v>
      </c>
      <c r="AE145" s="85" t="str">
        <f t="shared" si="111"/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AF145" s="82" t="str">
        <f t="shared" si="112"/>
        <v>"C:\Program Files (x86)\AstroGrep\AstroGrep.exe" /e /r /s /spath="%USERPROFILE%\AppData\Local\Temp\OnboardLogs" /stypes="app*4004*20170311*" /stext=" 06:.+((SYSTEM_STATE.+slice.+state.+changed )|(ment ac)|(multiple cpu faults)|(system.+state.+changed )|(\[timeout)|(PRM\|1\|D)|(kpr)|(kdp)|(\|lc)|(penalty))"</v>
      </c>
      <c r="AG145" s="1" t="str">
        <f t="shared" si="101"/>
        <v>EC</v>
      </c>
      <c r="AH145" s="86" t="str">
        <f t="shared" ref="AH145:AH206" si="113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234-10 --locoid 4004 --swversion DE.1.0.9.0 --startMP 204:233085 --initTime 2017-03-10T22:40:10 --startdatetime 2017-03-10T22:49:41 --delay 9 --endMP 204:132 --enddatetime 2017-03-10T23:37:22 --enforcementcount 0 &gt;&gt;C:\Users\stu\Documents\GitHub\eaglep3-reporting\EC\2017-03-10-refined-times.txt</v>
      </c>
      <c r="AI145" s="108" t="str">
        <f t="shared" ref="AI145:AI206" si="114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{"issue":{"subject":"","project_id":79,"tracker_id":40,"status_id":1,"priority_id":2,"assigned_to_id":23,"start_date":"2017-03-10","description":"","custom_fields":[{"id":1,"name":"Subdivision","value":"EC"},{"id":4,"name":"Milepost","value":"0.0132"},{"id":17,"name":"Train ID","value":"234-10"},{"id":16,"name":"Locomotive ID","value":"4004"},{"id":130,"name":"Impact","value":""},{"id":150,"name":"Time of Event (Mountain Time)","value":"23:37:22"},{"id":151,"name":"Denver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ref="AM145:AM206" si="115">"start /low /b "&amp;dls3logs&amp;" --loco "&amp;B145&amp;" --day "&amp;TEXT(F145,"YYYY-MM-DD")</f>
        <v>start /low /b %USERPROFILE%\Documents\GitHub\eaglep3\Utilities\DownloadLogsFromS3.py --loco 4004 --day 2017-03-10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"%USERPROFILE%\AppData\Local\Temp\OnboardLogs"\RTDC4004\*4004*20170311* | grep -SE "(Enforcement Action)|(\[TIMEOUT)|(CHR.+\|PRM\|1\|D.+(SWITCH|SIGNAL).+UNKNOWN)" - &gt;&gt; 2017-03-10-UncaughtWiMAX.txt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793</v>
      </c>
      <c r="B146" s="7">
        <v>4020</v>
      </c>
      <c r="C146" s="21" t="s">
        <v>239</v>
      </c>
      <c r="D146" s="21" t="s">
        <v>262</v>
      </c>
      <c r="E146" s="13">
        <v>42804.935162037036</v>
      </c>
      <c r="F146" s="13">
        <v>42804.936145833337</v>
      </c>
      <c r="G146" s="7">
        <v>1</v>
      </c>
      <c r="H146" s="21" t="s">
        <v>519</v>
      </c>
      <c r="I146" s="13">
        <v>42804.964722222219</v>
      </c>
      <c r="J146" s="7">
        <v>0</v>
      </c>
      <c r="K146" s="98" t="str">
        <f t="shared" si="93"/>
        <v>4019/4020</v>
      </c>
      <c r="L146" s="21" t="str">
        <f>VLOOKUP(A146,'Trips&amp;Operators'!$C$1:$G$99999,5,FALSE)</f>
        <v>SWANSON BRYCE</v>
      </c>
      <c r="M146" s="6">
        <f t="shared" si="94"/>
        <v>2.8576388882356696E-2</v>
      </c>
      <c r="N146" s="7">
        <f t="shared" si="108"/>
        <v>41.149999990593642</v>
      </c>
      <c r="O146" s="7"/>
      <c r="P146" s="7"/>
      <c r="Q146" s="22"/>
      <c r="R146" s="22"/>
      <c r="S146" s="31">
        <f t="shared" si="109"/>
        <v>1</v>
      </c>
      <c r="T146" s="46" t="str">
        <f t="shared" si="95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110"/>
        <v>https://d0f6bd738d7f1b3e5a7ca70fe4ff75f0.us-east-1.aws.found.io/app/kibana#/discover/Steve-Slow-Train-Analysis-(2080s-and-2083s)?_g=(refreshInterval:(display:Off,pause:!f,section:0,value:0),time:(from:'2017-03-10T21:26:38-0700',mode:absolute,to:'2017-03-11T00:09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87" t="str">
        <f t="shared" si="96"/>
        <v>N</v>
      </c>
      <c r="X146" s="187">
        <f t="shared" si="107"/>
        <v>1</v>
      </c>
      <c r="Y146" s="62">
        <f t="shared" si="97"/>
        <v>4.4900000000000002E-2</v>
      </c>
      <c r="Z146" s="62">
        <f t="shared" si="104"/>
        <v>23.328700000000001</v>
      </c>
      <c r="AA146" s="62">
        <f t="shared" si="99"/>
        <v>23.283800000000003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100"/>
        <v>0235-10</v>
      </c>
      <c r="AE146" s="85" t="str">
        <f t="shared" si="111"/>
        <v>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 &amp; aws s3 cp s3://rtdc.mdm.uploadarchive.raw/RTDC4020/ "%USERPROFILE%\AppData\Local\Temp\OnboardLogs"\RTDC4020\2017-03-11 --exclude "*" --recursive --include "*20170311*" &amp; "%USERPROFILE%\Documents\GitHub\mrs-test-scripts\Headless Mode &amp; Sideloading\WalkAndUnGZ.bat" "%USERPROFILE%\AppData\Local\Temp\OnboardLogs"\RTDC4020\2017-03-11</v>
      </c>
      <c r="AF146" s="82" t="str">
        <f t="shared" si="112"/>
        <v>"C:\Program Files (x86)\AstroGrep\AstroGrep.exe" /e /r /s /spath="%USERPROFILE%\AppData\Local\Temp\OnboardLogs" /stypes="app*4020*20170311*" /stext=" 06:.+((SYSTEM_STATE.+slice.+state.+changed )|(ment ac)|(multiple cpu faults)|(system.+state.+changed )|(\[timeout)|(PRM\|1\|D)|(kpr)|(kdp)|(\|lc)|(penalty))"</v>
      </c>
      <c r="AG146" s="1" t="str">
        <f t="shared" si="101"/>
        <v>EC</v>
      </c>
      <c r="AH146" s="86" t="str">
        <f t="shared" si="113"/>
        <v>"%USERPROFILE%\Documents\GitHub\eaglep3\Utilities\RefineRTDCRunTimes.py" --tripid 235-10 --locoid 4020 --swversion DE.1.0.9.0 --startMP 204:449 --initTime 2017-03-10T22:26:38 --startdatetime 2017-03-10T22:28:03 --delay 1 --endMP 204:233287 --enddatetime 2017-03-10T23:09:12 --enforcementcount 0 &gt;&gt;C:\Users\stu\Documents\GitHub\eaglep3-reporting\EC\2017-03-10-refined-times.txt</v>
      </c>
      <c r="AI146" s="108" t="str">
        <f t="shared" si="114"/>
        <v>echo {"issue":{"subject":"","project_id":79,"tracker_id":40,"status_id":1,"priority_id":2,"assigned_to_id":23,"start_date":"2017-03-10","description":"","custom_fields":[{"id":1,"name":"Subdivision","value":"EC"},{"id":4,"name":"Milepost","value":"23.3287"},{"id":17,"name":"Train ID","value":"235-10"},{"id":16,"name":"Locomotive ID","value":"4020"},{"id":130,"name":"Impact","value":""},{"id":150,"name":"Time of Event (Mountain Time)","value":"23:09:12"},{"id":151,"name":"Denver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115"/>
        <v>start /low /b %USERPROFILE%\Documents\GitHub\eaglep3\Utilities\DownloadLogsFromS3.py --loco 4020 --day 2017-03-10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"%USERPROFILE%\AppData\Local\Temp\OnboardLogs"\RTDC4020\*4020*20170311* | grep -SE "(Enforcement Action)|(\[TIMEOUT)|(CHR.+\|PRM\|1\|D.+(SWITCH|SIGNAL).+UNKNOWN)" - &gt;&gt; 2017-03-10-UncaughtWiMAX.txt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798</v>
      </c>
      <c r="B147" s="7">
        <v>4019</v>
      </c>
      <c r="C147" s="21" t="s">
        <v>239</v>
      </c>
      <c r="D147" s="21" t="s">
        <v>834</v>
      </c>
      <c r="E147" s="13">
        <v>42804.965810185182</v>
      </c>
      <c r="F147" s="13">
        <v>42804.966562499998</v>
      </c>
      <c r="G147" s="7">
        <v>1</v>
      </c>
      <c r="H147" s="21" t="s">
        <v>259</v>
      </c>
      <c r="I147" s="13">
        <v>42805.007476851853</v>
      </c>
      <c r="J147" s="7">
        <v>0</v>
      </c>
      <c r="K147" s="98" t="str">
        <f t="shared" si="93"/>
        <v>4019/4020</v>
      </c>
      <c r="L147" s="21" t="str">
        <f>VLOOKUP(A147,'Trips&amp;Operators'!$C$1:$G$99999,5,FALSE)</f>
        <v>SWANSON BRYCE</v>
      </c>
      <c r="M147" s="6">
        <f t="shared" si="94"/>
        <v>4.0914351855462883E-2</v>
      </c>
      <c r="N147" s="7">
        <f t="shared" si="108"/>
        <v>58.916666671866551</v>
      </c>
      <c r="O147" s="7"/>
      <c r="P147" s="7"/>
      <c r="Q147" s="22"/>
      <c r="R147" s="22"/>
      <c r="S147" s="31">
        <f t="shared" si="109"/>
        <v>1</v>
      </c>
      <c r="T147" s="46" t="str">
        <f t="shared" si="95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110"/>
        <v>https://d0f6bd738d7f1b3e5a7ca70fe4ff75f0.us-east-1.aws.found.io/app/kibana#/discover/Steve-Slow-Train-Analysis-(2080s-and-2083s)?_g=(refreshInterval:(display:Off,pause:!f,section:0,value:0),time:(from:'2017-03-10T22:10:46-0700',mode:absolute,to:'2017-03-11T01:10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87" t="str">
        <f t="shared" si="96"/>
        <v>N</v>
      </c>
      <c r="X147" s="187">
        <f t="shared" si="107"/>
        <v>1</v>
      </c>
      <c r="Y147" s="62">
        <f t="shared" si="97"/>
        <v>23.297699999999999</v>
      </c>
      <c r="Z147" s="62">
        <f t="shared" si="104"/>
        <v>1.61E-2</v>
      </c>
      <c r="AA147" s="62">
        <f t="shared" si="99"/>
        <v>23.281599999999997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100"/>
        <v>0236-10</v>
      </c>
      <c r="AE147" s="85" t="str">
        <f t="shared" si="111"/>
        <v>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 &amp; aws s3 cp s3://rtdc.mdm.uploadarchive.raw/RTDC4019/ "%USERPROFILE%\AppData\Local\Temp\OnboardLogs"\RTDC4019\2017-03-11 --exclude "*" --recursive --include "*20170311*" &amp; "%USERPROFILE%\Documents\GitHub\mrs-test-scripts\Headless Mode &amp; Sideloading\WalkAndUnGZ.bat" "%USERPROFILE%\AppData\Local\Temp\OnboardLogs"\RTDC4019\2017-03-11</v>
      </c>
      <c r="AF147" s="82" t="str">
        <f t="shared" si="112"/>
        <v>"C:\Program Files (x86)\AstroGrep\AstroGrep.exe" /e /r /s /spath="%USERPROFILE%\AppData\Local\Temp\OnboardLogs" /stypes="app*4019*20170311*" /stext=" 07:.+((SYSTEM_STATE.+slice.+state.+changed )|(ment ac)|(multiple cpu faults)|(system.+state.+changed )|(\[timeout)|(PRM\|1\|D)|(kpr)|(kdp)|(\|lc)|(penalty))"</v>
      </c>
      <c r="AG147" s="1" t="str">
        <f t="shared" si="101"/>
        <v>EC</v>
      </c>
      <c r="AH147" s="86" t="str">
        <f t="shared" si="113"/>
        <v>"%USERPROFILE%\Documents\GitHub\eaglep3\Utilities\RefineRTDCRunTimes.py" --tripid 236-10 --locoid 4019 --swversion DE.1.0.9.0 --startMP 204:232977 --initTime 2017-03-10T23:10:46 --startdatetime 2017-03-10T23:11:51 --delay 1 --endMP 204:161 --enddatetime 2017-03-11T00:10:46 --enforcementcount 0 &gt;&gt;C:\Users\stu\Documents\GitHub\eaglep3-reporting\EC\2017-03-10-refined-times.txt</v>
      </c>
      <c r="AI147" s="108" t="str">
        <f t="shared" si="114"/>
        <v>echo {"issue":{"subject":"","project_id":79,"tracker_id":40,"status_id":1,"priority_id":2,"assigned_to_id":23,"start_date":"2017-03-11","description":"","custom_fields":[{"id":1,"name":"Subdivision","value":"EC"},{"id":4,"name":"Milepost","value":"0.0161"},{"id":17,"name":"Train ID","value":"236-10"},{"id":16,"name":"Locomotive ID","value":"4019"},{"id":130,"name":"Impact","value":""},{"id":150,"name":"Time of Event (Mountain Time)","value":"00:10:46"},{"id":151,"name":"Denver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15"/>
        <v>start /low /b %USERPROFILE%\Documents\GitHub\eaglep3\Utilities\DownloadLogsFromS3.py --loco 4019 --day 2017-03-10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"%USERPROFILE%\AppData\Local\Temp\OnboardLogs"\RTDC4019\*4019*20170311* | grep -SE "(Enforcement Action)|(\[TIMEOUT)|(CHR.+\|PRM\|1\|D.+(SWITCH|SIGNAL).+UNKNOWN)" - &gt;&gt; 2017-03-10-UncaughtWiMAX.txt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797</v>
      </c>
      <c r="B148" s="7">
        <v>4051</v>
      </c>
      <c r="C148" s="21" t="s">
        <v>239</v>
      </c>
      <c r="D148" s="21" t="s">
        <v>414</v>
      </c>
      <c r="E148" s="13">
        <v>42804.952962962961</v>
      </c>
      <c r="F148" s="13">
        <v>42804.954143518517</v>
      </c>
      <c r="G148" s="7">
        <v>1</v>
      </c>
      <c r="H148" s="21" t="s">
        <v>517</v>
      </c>
      <c r="I148" s="13">
        <v>42804.985312500001</v>
      </c>
      <c r="J148" s="7">
        <v>0</v>
      </c>
      <c r="K148" s="98" t="str">
        <f t="shared" si="93"/>
        <v>4051/4052</v>
      </c>
      <c r="L148" s="21" t="str">
        <f>VLOOKUP(A148,'Trips&amp;Operators'!$C$1:$G$99999,5,FALSE)</f>
        <v>BROWN JACOB</v>
      </c>
      <c r="M148" s="6">
        <f t="shared" si="94"/>
        <v>3.1168981484370306E-2</v>
      </c>
      <c r="N148" s="7">
        <f t="shared" si="108"/>
        <v>44.883333337493241</v>
      </c>
      <c r="O148" s="7"/>
      <c r="P148" s="7"/>
      <c r="Q148" s="22"/>
      <c r="R148" s="22"/>
      <c r="S148" s="31">
        <f t="shared" si="109"/>
        <v>1</v>
      </c>
      <c r="T148" s="46" t="str">
        <f t="shared" si="95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110"/>
        <v>https://d0f6bd738d7f1b3e5a7ca70fe4ff75f0.us-east-1.aws.found.io/app/kibana#/discover/Steve-Slow-Train-Analysis-(2080s-and-2083s)?_g=(refreshInterval:(display:Off,pause:!f,section:0,value:0),time:(from:'2017-03-10T21:52:16-0700',mode:absolute,to:'2017-03-11T00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8" s="187" t="str">
        <f t="shared" si="96"/>
        <v>N</v>
      </c>
      <c r="X148" s="187">
        <f t="shared" si="107"/>
        <v>1</v>
      </c>
      <c r="Y148" s="62">
        <f t="shared" si="97"/>
        <v>4.3700000000000003E-2</v>
      </c>
      <c r="Z148" s="62">
        <f t="shared" ref="Z148:Z179" si="116">RIGHT(H148,LEN(H148)-4)/10000</f>
        <v>23.333200000000001</v>
      </c>
      <c r="AA148" s="62">
        <f t="shared" si="99"/>
        <v>23.2895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100"/>
        <v>0237-10</v>
      </c>
      <c r="AE148" s="85" t="str">
        <f t="shared" si="111"/>
        <v>aws s3 cp s3://rtdc.mdm.uploadarchive.raw/RTDC4051/ "%USERPROFILE%\AppData\Local\Temp\OnboardLogs"\RTDC4051\2017-03-10 --exclude "*" --recursive --include "*20170310*" &amp; "%USERPROFILE%\Documents\GitHub\mrs-test-scripts\Headless Mode &amp; Sideloading\WalkAndUnGZ.bat" "%USERPROFILE%\AppData\Local\Temp\OnboardLogs"\RTDC4051\2017-03-10 &amp; aws s3 cp s3://rtdc.mdm.uploadarchive.raw/RTDC4051/ "%USERPROFILE%\AppData\Local\Temp\OnboardLogs"\RTDC4051\2017-03-11 --exclude "*" --recursive --include "*20170311*" &amp; "%USERPROFILE%\Documents\GitHub\mrs-test-scripts\Headless Mode &amp; Sideloading\WalkAndUnGZ.bat" "%USERPROFILE%\AppData\Local\Temp\OnboardLogs"\RTDC4051\2017-03-11</v>
      </c>
      <c r="AF148" s="82" t="str">
        <f t="shared" si="112"/>
        <v>"C:\Program Files (x86)\AstroGrep\AstroGrep.exe" /e /r /s /spath="%USERPROFILE%\AppData\Local\Temp\OnboardLogs" /stypes="app*4051*20170311*" /stext=" 06:.+((SYSTEM_STATE.+slice.+state.+changed )|(ment ac)|(multiple cpu faults)|(system.+state.+changed )|(\[timeout)|(PRM\|1\|D)|(kpr)|(kdp)|(\|lc)|(penalty))"</v>
      </c>
      <c r="AG148" s="1" t="str">
        <f t="shared" si="101"/>
        <v>EC</v>
      </c>
      <c r="AH148" s="86" t="str">
        <f t="shared" si="113"/>
        <v>"%USERPROFILE%\Documents\GitHub\eaglep3\Utilities\RefineRTDCRunTimes.py" --tripid 237-10 --locoid 4051 --swversion DE.1.0.9.0 --startMP 204:437 --initTime 2017-03-10T22:52:16 --startdatetime 2017-03-10T22:53:58 --delay 1 --endMP 204:233332 --enddatetime 2017-03-10T23:38:51 --enforcementcount 0 &gt;&gt;C:\Users\stu\Documents\GitHub\eaglep3-reporting\EC\2017-03-10-refined-times.txt</v>
      </c>
      <c r="AI148" s="108" t="str">
        <f t="shared" si="114"/>
        <v>echo {"issue":{"subject":"","project_id":79,"tracker_id":40,"status_id":1,"priority_id":2,"assigned_to_id":23,"start_date":"2017-03-10","description":"","custom_fields":[{"id":1,"name":"Subdivision","value":"EC"},{"id":4,"name":"Milepost","value":"23.3332"},{"id":17,"name":"Train ID","value":"237-10"},{"id":16,"name":"Locomotive ID","value":"4051"},{"id":130,"name":"Impact","value":""},{"id":150,"name":"Time of Event (Mountain Time)","value":"23:38:51"},{"id":151,"name":"Denver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15"/>
        <v>start /low /b %USERPROFILE%\Documents\GitHub\eaglep3\Utilities\DownloadLogsFromS3.py --loco 4051 --day 2017-03-10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"%USERPROFILE%\AppData\Local\Temp\OnboardLogs"\RTDC4051\*4051*20170311* | grep -SE "(Enforcement Action)|(\[TIMEOUT)|(CHR.+\|PRM\|1\|D.+(SWITCH|SIGNAL).+UNKNOWN)" - &gt;&gt; 2017-03-10-UncaughtWiMAX.txt</v>
      </c>
    </row>
    <row r="149" spans="1:91" s="20" customFormat="1" x14ac:dyDescent="0.25">
      <c r="A149" s="33" t="s">
        <v>800</v>
      </c>
      <c r="B149" s="7">
        <v>4052</v>
      </c>
      <c r="C149" s="21" t="s">
        <v>239</v>
      </c>
      <c r="D149" s="21" t="s">
        <v>255</v>
      </c>
      <c r="E149" s="13">
        <v>42804.992835648147</v>
      </c>
      <c r="F149" s="13">
        <v>42804.993807870371</v>
      </c>
      <c r="G149" s="7">
        <v>1</v>
      </c>
      <c r="H149" s="21" t="s">
        <v>227</v>
      </c>
      <c r="I149" s="13">
        <v>42805.028599537036</v>
      </c>
      <c r="J149" s="7">
        <v>0</v>
      </c>
      <c r="K149" s="98" t="str">
        <f t="shared" si="93"/>
        <v>4051/4052</v>
      </c>
      <c r="L149" s="21" t="str">
        <f>VLOOKUP(A149,'Trips&amp;Operators'!$C$1:$G$99999,5,FALSE)</f>
        <v>BROWN JACOB</v>
      </c>
      <c r="M149" s="6">
        <f t="shared" si="94"/>
        <v>3.4791666665114462E-2</v>
      </c>
      <c r="N149" s="7">
        <f t="shared" si="108"/>
        <v>50.099999997764826</v>
      </c>
      <c r="O149" s="7"/>
      <c r="P149" s="7"/>
      <c r="Q149" s="22"/>
      <c r="R149" s="22"/>
      <c r="S149" s="31">
        <f t="shared" si="109"/>
        <v>1</v>
      </c>
      <c r="T149" s="46" t="str">
        <f t="shared" si="95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110"/>
        <v>https://d0f6bd738d7f1b3e5a7ca70fe4ff75f0.us-east-1.aws.found.io/app/kibana#/discover/Steve-Slow-Train-Analysis-(2080s-and-2083s)?_g=(refreshInterval:(display:Off,pause:!f,section:0,value:0),time:(from:'2017-03-10T22:49:41-0700',mode:absolute,to:'2017-03-11T01:41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187" t="str">
        <f t="shared" si="96"/>
        <v>N</v>
      </c>
      <c r="X149" s="187">
        <f t="shared" si="107"/>
        <v>1</v>
      </c>
      <c r="Y149" s="62">
        <f t="shared" si="97"/>
        <v>23.3</v>
      </c>
      <c r="Z149" s="62">
        <f t="shared" si="116"/>
        <v>1.41E-2</v>
      </c>
      <c r="AA149" s="62">
        <f t="shared" si="99"/>
        <v>23.285900000000002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100"/>
        <v>0238-10</v>
      </c>
      <c r="AE149" s="85" t="str">
        <f t="shared" si="111"/>
        <v>aws s3 cp s3://rtdc.mdm.uploadarchive.raw/RTDC4052/ "%USERPROFILE%\AppData\Local\Temp\OnboardLogs"\RTDC4052\2017-03-10 --exclude "*" --recursive --include "*20170310*" &amp; "%USERPROFILE%\Documents\GitHub\mrs-test-scripts\Headless Mode &amp; Sideloading\WalkAndUnGZ.bat" "%USERPROFILE%\AppData\Local\Temp\OnboardLogs"\RTDC4052\2017-03-10 &amp; aws s3 cp s3://rtdc.mdm.uploadarchive.raw/RTDC4052/ "%USERPROFILE%\AppData\Local\Temp\OnboardLogs"\RTDC4052\2017-03-11 --exclude "*" --recursive --include "*20170311*" &amp; "%USERPROFILE%\Documents\GitHub\mrs-test-scripts\Headless Mode &amp; Sideloading\WalkAndUnGZ.bat" "%USERPROFILE%\AppData\Local\Temp\OnboardLogs"\RTDC4052\2017-03-11</v>
      </c>
      <c r="AF149" s="82" t="str">
        <f t="shared" si="112"/>
        <v>"C:\Program Files (x86)\AstroGrep\AstroGrep.exe" /e /r /s /spath="%USERPROFILE%\AppData\Local\Temp\OnboardLogs" /stypes="app*4052*20170311*" /stext=" 07:.+((SYSTEM_STATE.+slice.+state.+changed )|(ment ac)|(multiple cpu faults)|(system.+state.+changed )|(\[timeout)|(PRM\|1\|D)|(kpr)|(kdp)|(\|lc)|(penalty))"</v>
      </c>
      <c r="AG149" s="1" t="str">
        <f t="shared" si="101"/>
        <v>EC</v>
      </c>
      <c r="AH149" s="86" t="str">
        <f t="shared" si="113"/>
        <v>"%USERPROFILE%\Documents\GitHub\eaglep3\Utilities\RefineRTDCRunTimes.py" --tripid 238-10 --locoid 4052 --swversion DE.1.0.9.0 --startMP 204:233000 --initTime 2017-03-10T23:49:41 --startdatetime 2017-03-10T23:51:05 --delay 1 --endMP 204:141 --enddatetime 2017-03-11T00:41:11 --enforcementcount 0 &gt;&gt;C:\Users\stu\Documents\GitHub\eaglep3-reporting\EC\2017-03-10-refined-times.txt</v>
      </c>
      <c r="AI149" s="108" t="str">
        <f t="shared" si="114"/>
        <v>echo {"issue":{"subject":"","project_id":79,"tracker_id":40,"status_id":1,"priority_id":2,"assigned_to_id":23,"start_date":"2017-03-11","description":"","custom_fields":[{"id":1,"name":"Subdivision","value":"EC"},{"id":4,"name":"Milepost","value":"0.0141"},{"id":17,"name":"Train ID","value":"238-10"},{"id":16,"name":"Locomotive ID","value":"4052"},{"id":130,"name":"Impact","value":""},{"id":150,"name":"Time of Event (Mountain Time)","value":"00:41:11"},{"id":151,"name":"Denver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15"/>
        <v>start /low /b %USERPROFILE%\Documents\GitHub\eaglep3\Utilities\DownloadLogsFromS3.py --loco 4052 --day 2017-03-10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"%USERPROFILE%\AppData\Local\Temp\OnboardLogs"\RTDC4052\*4052*20170311* | grep -SE "(Enforcement Action)|(\[TIMEOUT)|(CHR.+\|PRM\|1\|D.+(SWITCH|SIGNAL).+UNKNOWN)" - &gt;&gt; 2017-03-10-UncaughtWiMAX.txt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610</v>
      </c>
      <c r="B150" s="7">
        <v>4027</v>
      </c>
      <c r="C150" s="21" t="s">
        <v>239</v>
      </c>
      <c r="D150" s="21" t="s">
        <v>263</v>
      </c>
      <c r="E150" s="13">
        <v>42804.977037037039</v>
      </c>
      <c r="F150" s="13">
        <v>42804.979212962964</v>
      </c>
      <c r="G150" s="7">
        <v>3</v>
      </c>
      <c r="H150" s="21" t="s">
        <v>413</v>
      </c>
      <c r="I150" s="13">
        <v>42805.012245370373</v>
      </c>
      <c r="J150" s="7">
        <v>0</v>
      </c>
      <c r="K150" s="98" t="str">
        <f t="shared" si="93"/>
        <v>4027/4028</v>
      </c>
      <c r="L150" s="21" t="str">
        <f>VLOOKUP(A150,'Trips&amp;Operators'!$C$1:$G$99999,5,FALSE)</f>
        <v>STORY SAMANTHA</v>
      </c>
      <c r="M150" s="6">
        <f t="shared" si="94"/>
        <v>3.3032407409336884E-2</v>
      </c>
      <c r="N150" s="7">
        <f t="shared" si="108"/>
        <v>47.566666669445112</v>
      </c>
      <c r="O150" s="7"/>
      <c r="P150" s="7"/>
      <c r="Q150" s="22"/>
      <c r="R150" s="22"/>
      <c r="S150" s="31">
        <f t="shared" si="109"/>
        <v>1</v>
      </c>
      <c r="T150" s="46" t="str">
        <f t="shared" si="95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110"/>
        <v>https://d0f6bd738d7f1b3e5a7ca70fe4ff75f0.us-east-1.aws.found.io/app/kibana#/discover/Steve-Slow-Train-Analysis-(2080s-and-2083s)?_g=(refreshInterval:(display:Off,pause:!f,section:0,value:0),time:(from:'2017-03-10T22:26:56-0700',mode:absolute,to:'2017-03-11T01:17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0" s="187" t="str">
        <f t="shared" si="96"/>
        <v>N</v>
      </c>
      <c r="X150" s="187">
        <f t="shared" si="107"/>
        <v>1</v>
      </c>
      <c r="Y150" s="62">
        <f t="shared" si="97"/>
        <v>4.7699999999999999E-2</v>
      </c>
      <c r="Z150" s="62">
        <f t="shared" si="116"/>
        <v>23.33</v>
      </c>
      <c r="AA150" s="62">
        <f t="shared" si="99"/>
        <v>23.282299999999999</v>
      </c>
      <c r="AB150" s="59" t="str">
        <f>VLOOKUP(A150,Enforcements!$C$7:$K$13,8,0)</f>
        <v>Bulletin (2)</v>
      </c>
      <c r="AC150" s="55" t="str">
        <f>VLOOKUP(A150,Enforcements!$C$7:$E$13,3,0)</f>
        <v>GRADE CROSSING</v>
      </c>
      <c r="AD150" s="56" t="str">
        <f t="shared" si="100"/>
        <v>0239-10</v>
      </c>
      <c r="AE150" s="85" t="str">
        <f t="shared" si="111"/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AF150" s="82" t="str">
        <f t="shared" si="112"/>
        <v>"C:\Program Files (x86)\AstroGrep\AstroGrep.exe" /e /r /s /spath="%USERPROFILE%\AppData\Local\Temp\OnboardLogs" /stypes="app*4027*20170311*" /stext=" 07:.+((SYSTEM_STATE.+slice.+state.+changed )|(ment ac)|(multiple cpu faults)|(system.+state.+changed )|(\[timeout)|(PRM\|1\|D)|(kpr)|(kdp)|(\|lc)|(penalty))"</v>
      </c>
      <c r="AG150" s="1" t="str">
        <f t="shared" si="101"/>
        <v>EC</v>
      </c>
      <c r="AH150" s="86" t="str">
        <f t="shared" si="113"/>
        <v>"%USERPROFILE%\Documents\GitHub\eaglep3\Utilities\RefineRTDCRunTimes.py" --tripid 239-10 --locoid 4027 --swversion DE.1.0.9.0 --startMP 204:477 --initTime 2017-03-10T23:26:56 --startdatetime 2017-03-10T23:30:04 --delay 3 --endMP 204:233300 --enddatetime 2017-03-11T00:17:38 --enforcementcount 0 &gt;&gt;C:\Users\stu\Documents\GitHub\eaglep3-reporting\EC\2017-03-10-refined-times.txt</v>
      </c>
      <c r="AI150" s="108" t="str">
        <f t="shared" si="114"/>
        <v>echo {"issue":{"subject":"","project_id":79,"tracker_id":40,"status_id":1,"priority_id":2,"assigned_to_id":23,"start_date":"2017-03-11","description":"","custom_fields":[{"id":1,"name":"Subdivision","value":"EC"},{"id":4,"name":"Milepost","value":"23.33"},{"id":17,"name":"Train ID","value":"239-10"},{"id":16,"name":"Locomotive ID","value":"4027"},{"id":130,"name":"Impact","value":""},{"id":150,"name":"Time of Event (Mountain Time)","value":"00:17:38"},{"id":151,"name":"Denver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15"/>
        <v>start /low /b %USERPROFILE%\Documents\GitHub\eaglep3\Utilities\DownloadLogsFromS3.py --loco 4027 --day 2017-03-10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"%USERPROFILE%\AppData\Local\Temp\OnboardLogs"\RTDC4027\*4027*20170311* | grep -SE "(Enforcement Action)|(\[TIMEOUT)|(CHR.+\|PRM\|1\|D.+(SWITCH|SIGNAL).+UNKNOWN)" - &gt;&gt; 2017-03-10-UncaughtWiMAX.txt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611</v>
      </c>
      <c r="B151" s="7">
        <v>4028</v>
      </c>
      <c r="C151" s="21" t="s">
        <v>239</v>
      </c>
      <c r="D151" s="21" t="s">
        <v>433</v>
      </c>
      <c r="E151" s="13">
        <v>42805.016724537039</v>
      </c>
      <c r="F151" s="13">
        <v>42805.018067129633</v>
      </c>
      <c r="G151" s="7">
        <v>1</v>
      </c>
      <c r="H151" s="21" t="s">
        <v>899</v>
      </c>
      <c r="I151" s="13">
        <v>42805.04896990741</v>
      </c>
      <c r="J151" s="7">
        <v>0</v>
      </c>
      <c r="K151" s="98" t="str">
        <f t="shared" si="93"/>
        <v>4027/4028</v>
      </c>
      <c r="L151" s="21" t="str">
        <f>VLOOKUP(A151,'Trips&amp;Operators'!$C$1:$G$99999,5,FALSE)</f>
        <v>STORY SAMANTHA</v>
      </c>
      <c r="M151" s="6">
        <f t="shared" si="94"/>
        <v>3.0902777776645962E-2</v>
      </c>
      <c r="N151" s="7">
        <f t="shared" si="108"/>
        <v>44.499999998370185</v>
      </c>
      <c r="O151" s="7"/>
      <c r="P151" s="7"/>
      <c r="Q151" s="22"/>
      <c r="R151" s="22"/>
      <c r="S151" s="31">
        <f t="shared" si="109"/>
        <v>1</v>
      </c>
      <c r="T151" s="46" t="str">
        <f t="shared" si="95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110"/>
        <v>https://d0f6bd738d7f1b3e5a7ca70fe4ff75f0.us-east-1.aws.found.io/app/kibana#/discover/Steve-Slow-Train-Analysis-(2080s-and-2083s)?_g=(refreshInterval:(display:Off,pause:!f,section:0,value:0),time:(from:'2017-03-10T23:24:05-0700',mode:absolute,to:'2017-03-11T02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87" t="str">
        <f t="shared" si="96"/>
        <v>N</v>
      </c>
      <c r="X151" s="187">
        <f t="shared" si="107"/>
        <v>1</v>
      </c>
      <c r="Y151" s="62">
        <f t="shared" si="97"/>
        <v>23.298100000000002</v>
      </c>
      <c r="Z151" s="62">
        <f t="shared" si="116"/>
        <v>1.6299999999999999E-2</v>
      </c>
      <c r="AA151" s="62">
        <f t="shared" si="99"/>
        <v>23.2818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100"/>
        <v>0240-10</v>
      </c>
      <c r="AE151" s="85" t="str">
        <f t="shared" si="111"/>
        <v>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 &amp; 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</v>
      </c>
      <c r="AF151" s="82" t="str">
        <f t="shared" si="112"/>
        <v>"C:\Program Files (x86)\AstroGrep\AstroGrep.exe" /e /r /s /spath="%USERPROFILE%\AppData\Local\Temp\OnboardLogs" /stypes="app*4028*20170311*" /stext=" 08:.+((SYSTEM_STATE.+slice.+state.+changed )|(ment ac)|(multiple cpu faults)|(system.+state.+changed )|(\[timeout)|(PRM\|1\|D)|(kpr)|(kdp)|(\|lc)|(penalty))"</v>
      </c>
      <c r="AG151" s="1" t="str">
        <f t="shared" si="101"/>
        <v>EC</v>
      </c>
      <c r="AH151" s="86" t="str">
        <f t="shared" si="113"/>
        <v>"%USERPROFILE%\Documents\GitHub\eaglep3\Utilities\RefineRTDCRunTimes.py" --tripid 240-10 --locoid 4028 --swversion DE.1.0.9.0 --startMP 204:232981 --initTime 2017-03-11T00:24:05 --startdatetime 2017-03-11T00:26:01 --delay 1 --endMP 204:163 --enddatetime 2017-03-11T01:10:31 --enforcementcount 0 &gt;&gt;C:\Users\stu\Documents\GitHub\eaglep3-reporting\EC\2017-03-10-refined-times.txt</v>
      </c>
      <c r="AI151" s="108" t="str">
        <f t="shared" si="114"/>
        <v>echo {"issue":{"subject":"","project_id":79,"tracker_id":40,"status_id":1,"priority_id":2,"assigned_to_id":23,"start_date":"2017-03-11","description":"","custom_fields":[{"id":1,"name":"Subdivision","value":"EC"},{"id":4,"name":"Milepost","value":"0.0163"},{"id":17,"name":"Train ID","value":"240-10"},{"id":16,"name":"Locomotive ID","value":"4028"},{"id":130,"name":"Impact","value":""},{"id":150,"name":"Time of Event (Mountain Time)","value":"01:10:31"},{"id":151,"name":"Denver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15"/>
        <v>start /low /b %USERPROFILE%\Documents\GitHub\eaglep3\Utilities\DownloadLogsFromS3.py --loco 4028 --day 2017-03-11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"%USERPROFILE%\AppData\Local\Temp\OnboardLogs"\RTDC4028\*4028*20170311* | grep -SE "(Enforcement Action)|(\[TIMEOUT)|(CHR.+\|PRM\|1\|D.+(SWITCH|SIGNAL).+UNKNOWN)" - &gt;&gt; 2017-03-10-UncaughtWiMAX.txt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799</v>
      </c>
      <c r="B152" s="7">
        <v>4003</v>
      </c>
      <c r="C152" s="21" t="s">
        <v>239</v>
      </c>
      <c r="D152" s="21" t="s">
        <v>414</v>
      </c>
      <c r="E152" s="13">
        <v>42804.985613425924</v>
      </c>
      <c r="F152" s="13">
        <v>42804.987847222219</v>
      </c>
      <c r="G152" s="7">
        <v>3</v>
      </c>
      <c r="H152" s="21" t="s">
        <v>900</v>
      </c>
      <c r="I152" s="13">
        <v>42805.02516203704</v>
      </c>
      <c r="J152" s="7">
        <v>0</v>
      </c>
      <c r="K152" s="98" t="str">
        <f t="shared" si="93"/>
        <v>4003/4004</v>
      </c>
      <c r="L152" s="21" t="str">
        <f>VLOOKUP(A152,'Trips&amp;Operators'!$C$1:$G$99999,5,FALSE)</f>
        <v>STAMBAUGH JAMES</v>
      </c>
      <c r="M152" s="6">
        <f t="shared" si="94"/>
        <v>3.7314814821002074E-2</v>
      </c>
      <c r="N152" s="7">
        <f t="shared" si="108"/>
        <v>53.733333342242986</v>
      </c>
      <c r="O152" s="7"/>
      <c r="P152" s="7"/>
      <c r="Q152" s="22"/>
      <c r="R152" s="22" t="s">
        <v>1017</v>
      </c>
      <c r="S152" s="31">
        <f t="shared" si="109"/>
        <v>1</v>
      </c>
      <c r="T152" s="46" t="str">
        <f t="shared" si="95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110"/>
        <v>https://d0f6bd738d7f1b3e5a7ca70fe4ff75f0.us-east-1.aws.found.io/app/kibana#/discover/Steve-Slow-Train-Analysis-(2080s-and-2083s)?_g=(refreshInterval:(display:Off,pause:!f,section:0,value:0),time:(from:'2017-03-10T22:39:17-0700',mode:absolute,to:'2017-03-11T01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2" s="187" t="str">
        <f t="shared" si="96"/>
        <v>Y</v>
      </c>
      <c r="X152" s="187">
        <f t="shared" si="107"/>
        <v>1</v>
      </c>
      <c r="Y152" s="62">
        <f t="shared" si="97"/>
        <v>4.3700000000000003E-2</v>
      </c>
      <c r="Z152" s="62">
        <f t="shared" si="116"/>
        <v>22.787199999999999</v>
      </c>
      <c r="AA152" s="62">
        <f t="shared" si="99"/>
        <v>22.743499999999997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100"/>
        <v>0241-10</v>
      </c>
      <c r="AE152" s="85" t="str">
        <f t="shared" si="111"/>
        <v>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 &amp; 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</v>
      </c>
      <c r="AF152" s="82" t="str">
        <f t="shared" si="112"/>
        <v>"C:\Program Files (x86)\AstroGrep\AstroGrep.exe" /e /r /s /spath="%USERPROFILE%\AppData\Local\Temp\OnboardLogs" /stypes="app*4003*20170311*" /stext=" 07:.+((SYSTEM_STATE.+slice.+state.+changed )|(ment ac)|(multiple cpu faults)|(system.+state.+changed )|(\[timeout)|(PRM\|1\|D)|(kpr)|(kdp)|(\|lc)|(penalty))"</v>
      </c>
      <c r="AG152" s="1" t="str">
        <f t="shared" si="101"/>
        <v>EC</v>
      </c>
      <c r="AH152" s="86" t="str">
        <f t="shared" si="113"/>
        <v>"%USERPROFILE%\Documents\GitHub\eaglep3\Utilities\RefineRTDCRunTimes.py" --tripid 241-10 --locoid 4003 --swversion DE.1.0.9.0 --startMP 204:437 --initTime 2017-03-10T23:39:17 --startdatetime 2017-03-10T23:42:30 --delay 3 --endMP 204:227872 --enddatetime 2017-03-11T00:36:14 --enforcementcount 0 &gt;&gt;C:\Users\stu\Documents\GitHub\eaglep3-reporting\EC\2017-03-10-refined-times.txt</v>
      </c>
      <c r="AI152" s="108" t="str">
        <f t="shared" si="114"/>
        <v>echo {"issue":{"subject":"Efficiency test","project_id":79,"tracker_id":40,"status_id":1,"priority_id":2,"assigned_to_id":23,"start_date":"2017-03-11","description":"","custom_fields":[{"id":1,"name":"Subdivision","value":"EC"},{"id":4,"name":"Milepost","value":"22.7872"},{"id":17,"name":"Train ID","value":"241-10"},{"id":16,"name":"Locomotive ID","value":"4003"},{"id":130,"name":"Impact","value":""},{"id":150,"name":"Time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15"/>
        <v>start /low /b %USERPROFILE%\Documents\GitHub\eaglep3\Utilities\DownloadLogsFromS3.py --loco 4003 --day 2017-03-10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"%USERPROFILE%\AppData\Local\Temp\OnboardLogs"\RTDC4003\*4003*20170311* | grep -SE "(Enforcement Action)|(\[TIMEOUT)|(CHR.+\|PRM\|1\|D.+(SWITCH|SIGNAL).+UNKNOWN)" - &gt;&gt; 2017-03-10-UncaughtWiMAX.txt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802</v>
      </c>
      <c r="B153" s="7">
        <v>4004</v>
      </c>
      <c r="C153" s="21" t="s">
        <v>239</v>
      </c>
      <c r="D153" s="21" t="s">
        <v>901</v>
      </c>
      <c r="E153" s="13">
        <v>42805.029062499998</v>
      </c>
      <c r="F153" s="13">
        <v>42805.029965277776</v>
      </c>
      <c r="G153" s="7">
        <v>1</v>
      </c>
      <c r="H153" s="21" t="s">
        <v>411</v>
      </c>
      <c r="I153" s="13">
        <v>42805.067175925928</v>
      </c>
      <c r="J153" s="7">
        <v>0</v>
      </c>
      <c r="K153" s="98" t="str">
        <f t="shared" si="93"/>
        <v>4003/4004</v>
      </c>
      <c r="L153" s="21" t="str">
        <f>VLOOKUP(A153,'Trips&amp;Operators'!$C$1:$G$99999,5,FALSE)</f>
        <v>STAMBAUGH JAMES</v>
      </c>
      <c r="M153" s="6">
        <f t="shared" si="94"/>
        <v>3.7210648151813075E-2</v>
      </c>
      <c r="N153" s="7">
        <f t="shared" si="108"/>
        <v>53.583333338610828</v>
      </c>
      <c r="O153" s="7"/>
      <c r="P153" s="7"/>
      <c r="Q153" s="22"/>
      <c r="R153" s="22"/>
      <c r="S153" s="31">
        <f t="shared" si="109"/>
        <v>1</v>
      </c>
      <c r="T153" s="46" t="str">
        <f t="shared" si="95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110"/>
        <v>https://d0f6bd738d7f1b3e5a7ca70fe4ff75f0.us-east-1.aws.found.io/app/kibana#/discover/Steve-Slow-Train-Analysis-(2080s-and-2083s)?_g=(refreshInterval:(display:Off,pause:!f,section:0,value:0),time:(from:'2017-03-10T23:41:51-0700',mode:absolute,to:'2017-03-11T02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3" s="187" t="str">
        <f t="shared" si="96"/>
        <v>N</v>
      </c>
      <c r="X153" s="187">
        <f t="shared" si="107"/>
        <v>1</v>
      </c>
      <c r="Y153" s="62">
        <f t="shared" si="97"/>
        <v>23.310199999999998</v>
      </c>
      <c r="Z153" s="62">
        <f t="shared" si="116"/>
        <v>1.6E-2</v>
      </c>
      <c r="AA153" s="62">
        <f t="shared" si="99"/>
        <v>23.2942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100"/>
        <v>0242-10</v>
      </c>
      <c r="AE153" s="85" t="str">
        <f t="shared" si="111"/>
        <v>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 &amp; aws s3 cp s3://rtdc.mdm.uploadarchive.raw/RTDC4004/ "%USERPROFILE%\AppData\Local\Temp\OnboardLogs"\RTDC4004\2017-03-12 --exclude "*" --recursive --include "*20170312*" &amp; "%USERPROFILE%\Documents\GitHub\mrs-test-scripts\Headless Mode &amp; Sideloading\WalkAndUnGZ.bat" "%USERPROFILE%\AppData\Local\Temp\OnboardLogs"\RTDC4004\2017-03-12</v>
      </c>
      <c r="AF153" s="82" t="str">
        <f t="shared" si="112"/>
        <v>"C:\Program Files (x86)\AstroGrep\AstroGrep.exe" /e /r /s /spath="%USERPROFILE%\AppData\Local\Temp\OnboardLogs" /stypes="app*4004*20170311*" /stext=" 08:.+((SYSTEM_STATE.+slice.+state.+changed )|(ment ac)|(multiple cpu faults)|(system.+state.+changed )|(\[timeout)|(PRM\|1\|D)|(kpr)|(kdp)|(\|lc)|(penalty))"</v>
      </c>
      <c r="AG153" s="1" t="str">
        <f t="shared" si="101"/>
        <v>EC</v>
      </c>
      <c r="AH153" s="86" t="str">
        <f t="shared" si="113"/>
        <v>"%USERPROFILE%\Documents\GitHub\eaglep3\Utilities\RefineRTDCRunTimes.py" --tripid 242-10 --locoid 4004 --swversion DE.1.0.9.0 --startMP 204:233102 --initTime 2017-03-11T00:41:51 --startdatetime 2017-03-11T00:43:09 --delay 1 --endMP 204:160 --enddatetime 2017-03-11T01:36:44 --enforcementcount 0 &gt;&gt;C:\Users\stu\Documents\GitHub\eaglep3-reporting\EC\2017-03-10-refined-times.txt</v>
      </c>
      <c r="AI153" s="108" t="str">
        <f t="shared" si="114"/>
        <v>echo {"issue":{"subject":"","project_id":79,"tracker_id":40,"status_id":1,"priority_id":2,"assigned_to_id":23,"start_date":"2017-03-11","description":"","custom_fields":[{"id":1,"name":"Subdivision","value":"EC"},{"id":4,"name":"Milepost","value":"0.016"},{"id":17,"name":"Train ID","value":"242-10"},{"id":16,"name":"Locomotive ID","value":"4004"},{"id":130,"name":"Impact","value":""},{"id":150,"name":"Time of Event (Mountain Time)","value":"01:36:44"},{"id":151,"name":"Denver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15"/>
        <v>start /low /b %USERPROFILE%\Documents\GitHub\eaglep3\Utilities\DownloadLogsFromS3.py --loco 4004 --day 2017-03-11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"%USERPROFILE%\AppData\Local\Temp\OnboardLogs"\RTDC4004\*4004*20170311* | grep -SE "(Enforcement Action)|(\[TIMEOUT)|(CHR.+\|PRM\|1\|D.+(SWITCH|SIGNAL).+UNKNOWN)" - &gt;&gt; 2017-03-10-UncaughtWiMAX.txt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801</v>
      </c>
      <c r="B154" s="7">
        <v>4020</v>
      </c>
      <c r="C154" s="21" t="s">
        <v>239</v>
      </c>
      <c r="D154" s="21" t="s">
        <v>231</v>
      </c>
      <c r="E154" s="13">
        <v>42805.018935185188</v>
      </c>
      <c r="F154" s="13">
        <v>42805.019629629627</v>
      </c>
      <c r="G154" s="7">
        <v>1</v>
      </c>
      <c r="H154" s="21" t="s">
        <v>230</v>
      </c>
      <c r="I154" s="13">
        <v>42805.048043981478</v>
      </c>
      <c r="J154" s="7">
        <v>0</v>
      </c>
      <c r="K154" s="98" t="str">
        <f t="shared" si="93"/>
        <v>4019/4020</v>
      </c>
      <c r="L154" s="21" t="str">
        <f>VLOOKUP(A154,'Trips&amp;Operators'!$C$1:$G$99999,5,FALSE)</f>
        <v>SWANSON BRYCE</v>
      </c>
      <c r="M154" s="6">
        <f t="shared" si="94"/>
        <v>2.8414351851097308E-2</v>
      </c>
      <c r="N154" s="7">
        <f t="shared" si="108"/>
        <v>40.916666665580124</v>
      </c>
      <c r="O154" s="7"/>
      <c r="P154" s="7"/>
      <c r="Q154" s="22"/>
      <c r="R154" s="22"/>
      <c r="S154" s="31">
        <f t="shared" si="109"/>
        <v>1</v>
      </c>
      <c r="T154" s="46" t="str">
        <f t="shared" si="95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110"/>
        <v>https://d0f6bd738d7f1b3e5a7ca70fe4ff75f0.us-east-1.aws.found.io/app/kibana#/discover/Steve-Slow-Train-Analysis-(2080s-and-2083s)?_g=(refreshInterval:(display:Off,pause:!f,section:0,value:0),time:(from:'2017-03-10T23:27:16-0700',mode:absolute,to:'2017-03-11T02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87" t="str">
        <f t="shared" si="96"/>
        <v>N</v>
      </c>
      <c r="X154" s="187">
        <f t="shared" si="107"/>
        <v>1</v>
      </c>
      <c r="Y154" s="62">
        <f t="shared" si="97"/>
        <v>4.4400000000000002E-2</v>
      </c>
      <c r="Z154" s="62">
        <f t="shared" si="116"/>
        <v>23.331</v>
      </c>
      <c r="AA154" s="62">
        <f t="shared" si="99"/>
        <v>23.2866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100"/>
        <v>0243-10</v>
      </c>
      <c r="AE154" s="85" t="str">
        <f t="shared" si="111"/>
        <v>aws s3 cp s3://rtdc.mdm.uploadarchive.raw/RTDC4020/ "%USERPROFILE%\AppData\Local\Temp\OnboardLogs"\RTDC4020\2017-03-11 --exclude "*" --recursive --include "*20170311*" &amp; "%USERPROFILE%\Documents\GitHub\mrs-test-scripts\Headless Mode &amp; Sideloading\WalkAndUnGZ.bat" "%USERPROFILE%\AppData\Local\Temp\OnboardLogs"\RTDC4020\2017-03-11 &amp; 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</v>
      </c>
      <c r="AF154" s="82" t="str">
        <f t="shared" si="112"/>
        <v>"C:\Program Files (x86)\AstroGrep\AstroGrep.exe" /e /r /s /spath="%USERPROFILE%\AppData\Local\Temp\OnboardLogs" /stypes="app*4020*20170311*" /stext=" 08:.+((SYSTEM_STATE.+slice.+state.+changed )|(ment ac)|(multiple cpu faults)|(system.+state.+changed )|(\[timeout)|(PRM\|1\|D)|(kpr)|(kdp)|(\|lc)|(penalty))"</v>
      </c>
      <c r="AG154" s="1" t="str">
        <f t="shared" si="101"/>
        <v>EC</v>
      </c>
      <c r="AH154" s="86" t="str">
        <f t="shared" si="113"/>
        <v>"%USERPROFILE%\Documents\GitHub\eaglep3\Utilities\RefineRTDCRunTimes.py" --tripid 243-10 --locoid 4020 --swversion DE.1.0.9.0 --startMP 204:444 --initTime 2017-03-11T00:27:16 --startdatetime 2017-03-11T00:28:16 --delay 1 --endMP 204:233310 --enddatetime 2017-03-11T01:09:11 --enforcementcount 0 &gt;&gt;C:\Users\stu\Documents\GitHub\eaglep3-reporting\EC\2017-03-10-refined-times.txt</v>
      </c>
      <c r="AI154" s="108" t="str">
        <f t="shared" si="114"/>
        <v>echo {"issue":{"subject":"","project_id":79,"tracker_id":40,"status_id":1,"priority_id":2,"assigned_to_id":23,"start_date":"2017-03-11","description":"","custom_fields":[{"id":1,"name":"Subdivision","value":"EC"},{"id":4,"name":"Milepost","value":"23.331"},{"id":17,"name":"Train ID","value":"243-10"},{"id":16,"name":"Locomotive ID","value":"4020"},{"id":130,"name":"Impact","value":""},{"id":150,"name":"Time of Event (Mountain Time)","value":"01:09:11"},{"id":151,"name":"Denver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15"/>
        <v>start /low /b %USERPROFILE%\Documents\GitHub\eaglep3\Utilities\DownloadLogsFromS3.py --loco 4020 --day 2017-03-11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"%USERPROFILE%\AppData\Local\Temp\OnboardLogs"\RTDC4020\*4020*20170311* | grep -SE "(Enforcement Action)|(\[TIMEOUT)|(CHR.+\|PRM\|1\|D.+(SWITCH|SIGNAL).+UNKNOWN)" - &gt;&gt; 2017-03-10-UncaughtWiMAX.txt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805</v>
      </c>
      <c r="B155" s="7">
        <v>4019</v>
      </c>
      <c r="C155" s="21" t="s">
        <v>239</v>
      </c>
      <c r="D155" s="21" t="s">
        <v>261</v>
      </c>
      <c r="E155" s="13">
        <v>42805.05810185185</v>
      </c>
      <c r="F155" s="13">
        <v>42805.058831018519</v>
      </c>
      <c r="G155" s="7">
        <v>1</v>
      </c>
      <c r="H155" s="21" t="s">
        <v>484</v>
      </c>
      <c r="I155" s="13">
        <v>42805.091192129628</v>
      </c>
      <c r="J155" s="7">
        <v>0</v>
      </c>
      <c r="K155" s="98" t="str">
        <f t="shared" si="93"/>
        <v>4019/4020</v>
      </c>
      <c r="L155" s="21" t="str">
        <f>VLOOKUP(A155,'Trips&amp;Operators'!$C$1:$G$99999,5,FALSE)</f>
        <v>SWANSON BRYCE</v>
      </c>
      <c r="M155" s="6">
        <f t="shared" si="94"/>
        <v>3.2361111108912155E-2</v>
      </c>
      <c r="N155" s="7">
        <f t="shared" si="108"/>
        <v>46.599999996833503</v>
      </c>
      <c r="O155" s="7"/>
      <c r="P155" s="7"/>
      <c r="Q155" s="22"/>
      <c r="R155" s="22"/>
      <c r="S155" s="31">
        <f t="shared" si="109"/>
        <v>1</v>
      </c>
      <c r="T155" s="46" t="str">
        <f t="shared" si="95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110"/>
        <v>https://d0f6bd738d7f1b3e5a7ca70fe4ff75f0.us-east-1.aws.found.io/app/kibana#/discover/Steve-Slow-Train-Analysis-(2080s-and-2083s)?_g=(refreshInterval:(display:Off,pause:!f,section:0,value:0),time:(from:'2017-03-11T00:23:40-0700',mode:absolute,to:'2017-03-11T03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87" t="str">
        <f t="shared" si="96"/>
        <v>N</v>
      </c>
      <c r="X155" s="187">
        <f t="shared" si="107"/>
        <v>1</v>
      </c>
      <c r="Y155" s="62">
        <f t="shared" si="97"/>
        <v>23.299099999999999</v>
      </c>
      <c r="Z155" s="62">
        <f t="shared" si="116"/>
        <v>1.6500000000000001E-2</v>
      </c>
      <c r="AA155" s="62">
        <f t="shared" si="99"/>
        <v>23.282599999999999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100"/>
        <v>0244-10</v>
      </c>
      <c r="AE155" s="85" t="str">
        <f t="shared" si="111"/>
        <v>aws s3 cp s3://rtdc.mdm.uploadarchive.raw/RTDC4019/ "%USERPROFILE%\AppData\Local\Temp\OnboardLogs"\RTDC4019\2017-03-11 --exclude "*" --recursive --include "*20170311*" &amp; "%USERPROFILE%\Documents\GitHub\mrs-test-scripts\Headless Mode &amp; Sideloading\WalkAndUnGZ.bat" "%USERPROFILE%\AppData\Local\Temp\OnboardLogs"\RTDC4019\2017-03-11 &amp; aws s3 cp s3://rtdc.mdm.uploadarchive.raw/RTDC4019/ "%USERPROFILE%\AppData\Local\Temp\OnboardLogs"\RTDC4019\2017-03-12 --exclude "*" --recursive --include "*20170312*" &amp; "%USERPROFILE%\Documents\GitHub\mrs-test-scripts\Headless Mode &amp; Sideloading\WalkAndUnGZ.bat" "%USERPROFILE%\AppData\Local\Temp\OnboardLogs"\RTDC4019\2017-03-12</v>
      </c>
      <c r="AF155" s="82" t="str">
        <f t="shared" si="112"/>
        <v>"C:\Program Files (x86)\AstroGrep\AstroGrep.exe" /e /r /s /spath="%USERPROFILE%\AppData\Local\Temp\OnboardLogs" /stypes="app*4019*20170311*" /stext=" 09:.+((SYSTEM_STATE.+slice.+state.+changed )|(ment ac)|(multiple cpu faults)|(system.+state.+changed )|(\[timeout)|(PRM\|1\|D)|(kpr)|(kdp)|(\|lc)|(penalty))"</v>
      </c>
      <c r="AG155" s="1" t="str">
        <f t="shared" si="101"/>
        <v>EC</v>
      </c>
      <c r="AH155" s="86" t="str">
        <f t="shared" si="113"/>
        <v>"%USERPROFILE%\Documents\GitHub\eaglep3\Utilities\RefineRTDCRunTimes.py" --tripid 244-10 --locoid 4019 --swversion DE.1.0.9.0 --startMP 204:232991 --initTime 2017-03-11T01:23:40 --startdatetime 2017-03-11T01:24:43 --delay 1 --endMP 204:165 --enddatetime 2017-03-11T02:11:19 --enforcementcount 0 &gt;&gt;C:\Users\stu\Documents\GitHub\eaglep3-reporting\EC\2017-03-10-refined-times.txt</v>
      </c>
      <c r="AI155" s="108" t="str">
        <f t="shared" si="114"/>
        <v>echo {"issue":{"subject":"","project_id":79,"tracker_id":40,"status_id":1,"priority_id":2,"assigned_to_id":23,"start_date":"2017-03-11","description":"","custom_fields":[{"id":1,"name":"Subdivision","value":"EC"},{"id":4,"name":"Milepost","value":"0.0165"},{"id":17,"name":"Train ID","value":"244-10"},{"id":16,"name":"Locomotive ID","value":"4019"},{"id":130,"name":"Impact","value":""},{"id":150,"name":"Time of Event (Mountain Time)","value":"02:11:19"},{"id":151,"name":"Denver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15"/>
        <v>start /low /b %USERPROFILE%\Documents\GitHub\eaglep3\Utilities\DownloadLogsFromS3.py --loco 4019 --day 2017-03-11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"%USERPROFILE%\AppData\Local\Temp\OnboardLogs"\RTDC4019\*4019*20170311* | grep -SE "(Enforcement Action)|(\[TIMEOUT)|(CHR.+\|PRM\|1\|D.+(SWITCH|SIGNAL).+UNKNOWN)" - &gt;&gt; 2017-03-10-UncaughtWiMAX.txt</v>
      </c>
    </row>
    <row r="156" spans="1:91" s="20" customFormat="1" x14ac:dyDescent="0.25">
      <c r="A156" s="33" t="s">
        <v>803</v>
      </c>
      <c r="B156" s="7">
        <v>4051</v>
      </c>
      <c r="C156" s="21" t="s">
        <v>239</v>
      </c>
      <c r="D156" s="21" t="s">
        <v>223</v>
      </c>
      <c r="E156" s="13">
        <v>42805.037592592591</v>
      </c>
      <c r="F156" s="13">
        <v>42805.038460648146</v>
      </c>
      <c r="G156" s="7">
        <v>1</v>
      </c>
      <c r="H156" s="21" t="s">
        <v>531</v>
      </c>
      <c r="I156" s="13">
        <v>42805.068391203706</v>
      </c>
      <c r="J156" s="7">
        <v>0</v>
      </c>
      <c r="K156" s="98" t="str">
        <f t="shared" si="93"/>
        <v>4051/4052</v>
      </c>
      <c r="L156" s="21" t="str">
        <f>VLOOKUP(A156,'Trips&amp;Operators'!$C$1:$G$99999,5,FALSE)</f>
        <v>BROWN JACOB</v>
      </c>
      <c r="M156" s="6">
        <f t="shared" si="94"/>
        <v>2.9930555559985805E-2</v>
      </c>
      <c r="N156" s="7">
        <f t="shared" si="108"/>
        <v>43.10000000637956</v>
      </c>
      <c r="O156" s="7"/>
      <c r="P156" s="7"/>
      <c r="Q156" s="22"/>
      <c r="R156" s="22"/>
      <c r="S156" s="31">
        <f t="shared" si="109"/>
        <v>1</v>
      </c>
      <c r="T156" s="46" t="str">
        <f t="shared" si="95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110"/>
        <v>https://d0f6bd738d7f1b3e5a7ca70fe4ff75f0.us-east-1.aws.found.io/app/kibana#/discover/Steve-Slow-Train-Analysis-(2080s-and-2083s)?_g=(refreshInterval:(display:Off,pause:!f,section:0,value:0),time:(from:'2017-03-10T23:54:08-0700',mode:absolute,to:'2017-03-11T02:38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6" s="187" t="str">
        <f t="shared" si="96"/>
        <v>N</v>
      </c>
      <c r="X156" s="187">
        <f t="shared" si="107"/>
        <v>1</v>
      </c>
      <c r="Y156" s="62">
        <f t="shared" si="97"/>
        <v>4.53E-2</v>
      </c>
      <c r="Z156" s="62">
        <f t="shared" si="116"/>
        <v>23.333100000000002</v>
      </c>
      <c r="AA156" s="62">
        <f t="shared" si="99"/>
        <v>23.287800000000001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100"/>
        <v>0245-10</v>
      </c>
      <c r="AE156" s="85" t="str">
        <f t="shared" si="111"/>
        <v>aws s3 cp s3://rtdc.mdm.uploadarchive.raw/RTDC4051/ "%USERPROFILE%\AppData\Local\Temp\OnboardLogs"\RTDC4051\2017-03-11 --exclude "*" --recursive --include "*20170311*" &amp; "%USERPROFILE%\Documents\GitHub\mrs-test-scripts\Headless Mode &amp; Sideloading\WalkAndUnGZ.bat" "%USERPROFILE%\AppData\Local\Temp\OnboardLogs"\RTDC4051\2017-03-11 &amp; 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</v>
      </c>
      <c r="AF156" s="82" t="str">
        <f t="shared" si="112"/>
        <v>"C:\Program Files (x86)\AstroGrep\AstroGrep.exe" /e /r /s /spath="%USERPROFILE%\AppData\Local\Temp\OnboardLogs" /stypes="app*4051*20170311*" /stext=" 08:.+((SYSTEM_STATE.+slice.+state.+changed )|(ment ac)|(multiple cpu faults)|(system.+state.+changed )|(\[timeout)|(PRM\|1\|D)|(kpr)|(kdp)|(\|lc)|(penalty))"</v>
      </c>
      <c r="AG156" s="1" t="str">
        <f t="shared" si="101"/>
        <v>EC</v>
      </c>
      <c r="AH156" s="86" t="str">
        <f t="shared" si="113"/>
        <v>"%USERPROFILE%\Documents\GitHub\eaglep3\Utilities\RefineRTDCRunTimes.py" --tripid 245-10 --locoid 4051 --swversion DE.1.0.9.0 --startMP 204:453 --initTime 2017-03-11T00:54:08 --startdatetime 2017-03-11T00:55:23 --delay 1 --endMP 204:233331 --enddatetime 2017-03-11T01:38:29 --enforcementcount 0 &gt;&gt;C:\Users\stu\Documents\GitHub\eaglep3-reporting\EC\2017-03-10-refined-times.txt</v>
      </c>
      <c r="AI156" s="108" t="str">
        <f t="shared" si="114"/>
        <v>echo {"issue":{"subject":"","project_id":79,"tracker_id":40,"status_id":1,"priority_id":2,"assigned_to_id":23,"start_date":"2017-03-11","description":"","custom_fields":[{"id":1,"name":"Subdivision","value":"EC"},{"id":4,"name":"Milepost","value":"23.3331"},{"id":17,"name":"Train ID","value":"245-10"},{"id":16,"name":"Locomotive ID","value":"4051"},{"id":130,"name":"Impact","value":""},{"id":150,"name":"Time of Event (Mountain Time)","value":"01:38:29"},{"id":151,"name":"Denver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15"/>
        <v>start /low /b %USERPROFILE%\Documents\GitHub\eaglep3\Utilities\DownloadLogsFromS3.py --loco 4051 --day 2017-03-11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"%USERPROFILE%\AppData\Local\Temp\OnboardLogs"\RTDC4051\*4051*20170311* | grep -SE "(Enforcement Action)|(\[TIMEOUT)|(CHR.+\|PRM\|1\|D.+(SWITCH|SIGNAL).+UNKNOWN)" - &gt;&gt; 2017-03-10-UncaughtWiMAX.txt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807</v>
      </c>
      <c r="B157" s="7">
        <v>4052</v>
      </c>
      <c r="C157" s="21" t="s">
        <v>239</v>
      </c>
      <c r="D157" s="21" t="s">
        <v>882</v>
      </c>
      <c r="E157" s="13">
        <v>42805.078136574077</v>
      </c>
      <c r="F157" s="13">
        <v>42805.079756944448</v>
      </c>
      <c r="G157" s="7">
        <v>2</v>
      </c>
      <c r="H157" s="21" t="s">
        <v>202</v>
      </c>
      <c r="I157" s="13">
        <v>42805.109189814815</v>
      </c>
      <c r="J157" s="7">
        <v>0</v>
      </c>
      <c r="K157" s="98" t="str">
        <f t="shared" si="93"/>
        <v>4051/4052</v>
      </c>
      <c r="L157" s="21" t="str">
        <f>VLOOKUP(A157,'Trips&amp;Operators'!$C$1:$G$99999,5,FALSE)</f>
        <v>BROWN JACOB</v>
      </c>
      <c r="M157" s="6">
        <f t="shared" si="94"/>
        <v>2.9432870367600117E-2</v>
      </c>
      <c r="N157" s="7">
        <f t="shared" si="108"/>
        <v>42.383333329344168</v>
      </c>
      <c r="O157" s="7"/>
      <c r="P157" s="7"/>
      <c r="Q157" s="22"/>
      <c r="R157" s="22"/>
      <c r="S157" s="31">
        <f t="shared" si="109"/>
        <v>1</v>
      </c>
      <c r="T157" s="46" t="str">
        <f t="shared" si="95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110"/>
        <v>https://d0f6bd738d7f1b3e5a7ca70fe4ff75f0.us-east-1.aws.found.io/app/kibana#/discover/Steve-Slow-Train-Analysis-(2080s-and-2083s)?_g=(refreshInterval:(display:Off,pause:!f,section:0,value:0),time:(from:'2017-03-11T00:52:31-0700',mode:absolute,to:'2017-03-11T03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187" t="str">
        <f t="shared" si="96"/>
        <v>N</v>
      </c>
      <c r="X157" s="187">
        <f t="shared" si="107"/>
        <v>1</v>
      </c>
      <c r="Y157" s="62">
        <f t="shared" si="97"/>
        <v>23.300799999999999</v>
      </c>
      <c r="Z157" s="62">
        <f t="shared" si="116"/>
        <v>1.52E-2</v>
      </c>
      <c r="AA157" s="62">
        <f t="shared" si="99"/>
        <v>23.285599999999999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100"/>
        <v>0246-10</v>
      </c>
      <c r="AE157" s="85" t="str">
        <f t="shared" si="111"/>
        <v>aws s3 cp s3://rtdc.mdm.uploadarchive.raw/RTDC4052/ "%USERPROFILE%\AppData\Local\Temp\OnboardLogs"\RTDC4052\2017-03-11 --exclude "*" --recursive --include "*20170311*" &amp; "%USERPROFILE%\Documents\GitHub\mrs-test-scripts\Headless Mode &amp; Sideloading\WalkAndUnGZ.bat" "%USERPROFILE%\AppData\Local\Temp\OnboardLogs"\RTDC4052\2017-03-11 &amp; 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</v>
      </c>
      <c r="AF157" s="82" t="str">
        <f t="shared" si="112"/>
        <v>"C:\Program Files (x86)\AstroGrep\AstroGrep.exe" /e /r /s /spath="%USERPROFILE%\AppData\Local\Temp\OnboardLogs" /stypes="app*4052*20170311*" /stext=" 09:.+((SYSTEM_STATE.+slice.+state.+changed )|(ment ac)|(multiple cpu faults)|(system.+state.+changed )|(\[timeout)|(PRM\|1\|D)|(kpr)|(kdp)|(\|lc)|(penalty))"</v>
      </c>
      <c r="AG157" s="1" t="str">
        <f t="shared" si="101"/>
        <v>EC</v>
      </c>
      <c r="AH157" s="86" t="str">
        <f t="shared" si="113"/>
        <v>"%USERPROFILE%\Documents\GitHub\eaglep3\Utilities\RefineRTDCRunTimes.py" --tripid 246-10 --locoid 4052 --swversion DE.1.0.9.0 --startMP 204:233008 --initTime 2017-03-11T01:52:31 --startdatetime 2017-03-11T01:54:51 --delay 2 --endMP 204:152 --enddatetime 2017-03-11T02:37:14 --enforcementcount 0 &gt;&gt;C:\Users\stu\Documents\GitHub\eaglep3-reporting\EC\2017-03-10-refined-times.txt</v>
      </c>
      <c r="AI157" s="108" t="str">
        <f t="shared" si="114"/>
        <v>echo {"issue":{"subject":"","project_id":79,"tracker_id":40,"status_id":1,"priority_id":2,"assigned_to_id":23,"start_date":"2017-03-11","description":"","custom_fields":[{"id":1,"name":"Subdivision","value":"EC"},{"id":4,"name":"Milepost","value":"0.0152"},{"id":17,"name":"Train ID","value":"246-10"},{"id":16,"name":"Locomotive ID","value":"4052"},{"id":130,"name":"Impact","value":""},{"id":150,"name":"Time of Event (Mountain Time)","value":"02:37:14"},{"id":151,"name":"Denver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15"/>
        <v>start /low /b %USERPROFILE%\Documents\GitHub\eaglep3\Utilities\DownloadLogsFromS3.py --loco 4052 --day 2017-03-11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"%USERPROFILE%\AppData\Local\Temp\OnboardLogs"\RTDC4052\*4052*20170311* | grep -SE "(Enforcement Action)|(\[TIMEOUT)|(CHR.+\|PRM\|1\|D.+(SWITCH|SIGNAL).+UNKNOWN)" - &gt;&gt; 2017-03-10-UncaughtWiMAX.txt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626</v>
      </c>
      <c r="B158" s="7">
        <v>4030</v>
      </c>
      <c r="C158" s="21" t="s">
        <v>239</v>
      </c>
      <c r="D158" s="21" t="s">
        <v>930</v>
      </c>
      <c r="E158" s="13">
        <v>42804.209872685184</v>
      </c>
      <c r="F158" s="13">
        <v>42804.211226851854</v>
      </c>
      <c r="G158" s="7">
        <v>1</v>
      </c>
      <c r="H158" s="21" t="s">
        <v>931</v>
      </c>
      <c r="I158" s="13">
        <v>42804.225486111114</v>
      </c>
      <c r="J158" s="7">
        <v>0</v>
      </c>
      <c r="K158" s="98" t="str">
        <f t="shared" si="93"/>
        <v>4029/4030</v>
      </c>
      <c r="L158" s="21" t="str">
        <f>VLOOKUP(A158,'Trips&amp;Operators'!$C$1:$G$99999,5,FALSE)</f>
        <v>GEBRETEKLE DAGNEW</v>
      </c>
      <c r="M158" s="6">
        <f t="shared" si="94"/>
        <v>1.4259259260143153E-2</v>
      </c>
      <c r="N158" s="7">
        <f t="shared" si="108"/>
        <v>20.533333334606141</v>
      </c>
      <c r="O158" s="7"/>
      <c r="P158" s="7"/>
      <c r="Q158" s="22"/>
      <c r="R158" s="22"/>
      <c r="S158" s="31">
        <f t="shared" si="109"/>
        <v>1</v>
      </c>
      <c r="T158" s="46" t="str">
        <f t="shared" si="95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110"/>
        <v>https://d0f6bd738d7f1b3e5a7ca70fe4ff75f0.us-east-1.aws.found.io/app/kibana#/discover/Steve-Slow-Train-Analysis-(2080s-and-2083s)?_g=(refreshInterval:(display:Off,pause:!f,section:0,value:0),time:(from:'2017-03-10T04:02:13-0700',mode:absolute,to:'2017-03-10T06:24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8" s="187" t="str">
        <f t="shared" si="96"/>
        <v>N</v>
      </c>
      <c r="X158" s="187">
        <f t="shared" si="107"/>
        <v>554</v>
      </c>
      <c r="Y158" s="62">
        <f t="shared" si="97"/>
        <v>5.8685</v>
      </c>
      <c r="Z158" s="62">
        <f t="shared" si="116"/>
        <v>6.9599999999999995E-2</v>
      </c>
      <c r="AA158" s="62">
        <f t="shared" si="99"/>
        <v>5.7988999999999997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100"/>
        <v>0800-10</v>
      </c>
      <c r="AE158" s="85" t="str">
        <f t="shared" si="111"/>
        <v>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 &amp; 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</v>
      </c>
      <c r="AF158" s="82" t="str">
        <f t="shared" si="112"/>
        <v>"C:\Program Files (x86)\AstroGrep\AstroGrep.exe" /e /r /s /spath="%USERPROFILE%\AppData\Local\Temp\OnboardLogs" /stypes="app*4030*20170310*" /stext=" 12:.+((SYSTEM_STATE.+slice.+state.+changed )|(ment ac)|(multiple cpu faults)|(system.+state.+changed )|(\[timeout)|(PRM\|1\|D)|(kpr)|(kdp)|(\|lc)|(penalty))"</v>
      </c>
      <c r="AG158" s="1" t="str">
        <f t="shared" si="101"/>
        <v>NW</v>
      </c>
      <c r="AH158" s="86" t="str">
        <f t="shared" si="113"/>
        <v>"%USERPROFILE%\Documents\GitHub\eaglep3\Utilities\RefineRTDCRunTimes.py" --tripid 800-10 --locoid 4030 --swversion DE.1.0.9.0 --startMP 300:58685 --initTime 2017-03-10T05:02:13 --startdatetime 2017-03-10T05:04:10 --delay 1 --endMP 204:696 --enddatetime 2017-03-10T05:24:42 --enforcementcount 0 &gt;&gt;C:\Users\stu\Documents\GitHub\eaglep3-reporting\EC\2017-03-10-refined-times.txt</v>
      </c>
      <c r="AI158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{"issue":{"subject":"","project_id":79,"tracker_id":40,"status_id":1,"priority_id":2,"assigned_to_id":23,"start_date":"2017-03-10","description":"","custom_fields":[{"id":1,"name":"Subdivision","value":"NW"},{"id":4,"name":"Milepost","value":"0.0696"},{"id":17,"name":"Train ID","value":"800-10"},{"id":16,"name":"Locomotive ID","value":"4030"},{"id":130,"name":"Impact","value":""},{"id":150,"name":"Time of Event (Mountain Time)","value":"05:24:42"},{"id":151,"name":"Denver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15"/>
        <v>start /low /b %USERPROFILE%\Documents\GitHub\eaglep3\Utilities\DownloadLogsFromS3.py --loco 4030 --day 2017-03-10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"%USERPROFILE%\AppData\Local\Temp\OnboardLogs"\RTDC4030\*4030*20170310* | grep -SE "(Enforcement Action)|(\[TIMEOUT)|(CHR.+\|PRM\|1\|D.+(SWITCH|SIGNAL).+UNKNOWN)" - &gt;&gt; 2017-03-10-UncaughtWiMAX.txt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629</v>
      </c>
      <c r="B159" s="7">
        <v>4029</v>
      </c>
      <c r="C159" s="21" t="s">
        <v>239</v>
      </c>
      <c r="D159" s="21" t="s">
        <v>556</v>
      </c>
      <c r="E159" s="13">
        <v>42804.226886574077</v>
      </c>
      <c r="F159" s="13">
        <v>42804.227662037039</v>
      </c>
      <c r="G159" s="7">
        <v>1</v>
      </c>
      <c r="H159" s="21" t="s">
        <v>932</v>
      </c>
      <c r="I159" s="13">
        <v>42804.252858796295</v>
      </c>
      <c r="J159" s="7">
        <v>0</v>
      </c>
      <c r="K159" s="98" t="str">
        <f t="shared" si="93"/>
        <v>4029/4030</v>
      </c>
      <c r="L159" s="21" t="str">
        <f>VLOOKUP(A159,'Trips&amp;Operators'!$C$1:$G$99999,5,FALSE)</f>
        <v>GEBRETEKLE DAGNEW</v>
      </c>
      <c r="M159" s="6">
        <f t="shared" si="94"/>
        <v>2.5196759255777579E-2</v>
      </c>
      <c r="N159" s="7">
        <f t="shared" si="108"/>
        <v>36.283333328319713</v>
      </c>
      <c r="O159" s="7"/>
      <c r="P159" s="7"/>
      <c r="Q159" s="22"/>
      <c r="R159" s="22"/>
      <c r="S159" s="31">
        <f t="shared" si="109"/>
        <v>1</v>
      </c>
      <c r="T159" s="46" t="str">
        <f t="shared" si="95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110"/>
        <v>https://d0f6bd738d7f1b3e5a7ca70fe4ff75f0.us-east-1.aws.found.io/app/kibana#/discover/Steve-Slow-Train-Analysis-(2080s-and-2083s)?_g=(refreshInterval:(display:Off,pause:!f,section:0,value:0),time:(from:'2017-03-10T04:26:43-0700',mode:absolute,to:'2017-03-10T07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187" t="str">
        <f t="shared" si="96"/>
        <v>N</v>
      </c>
      <c r="X159" s="187">
        <f t="shared" si="107"/>
        <v>1</v>
      </c>
      <c r="Y159" s="62">
        <f t="shared" si="97"/>
        <v>9.8599999999999993E-2</v>
      </c>
      <c r="Z159" s="62">
        <f t="shared" si="116"/>
        <v>5.8982000000000001</v>
      </c>
      <c r="AA159" s="62">
        <f t="shared" si="99"/>
        <v>5.7995999999999999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100"/>
        <v>0801-10</v>
      </c>
      <c r="AE159" s="85" t="str">
        <f t="shared" si="111"/>
        <v>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 &amp; 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</v>
      </c>
      <c r="AF159" s="82" t="str">
        <f t="shared" si="112"/>
        <v>"C:\Program Files (x86)\AstroGrep\AstroGrep.exe" /e /r /s /spath="%USERPROFILE%\AppData\Local\Temp\OnboardLogs" /stypes="app*4029*20170310*" /stext=" 13:.+((SYSTEM_STATE.+slice.+state.+changed )|(ment ac)|(multiple cpu faults)|(system.+state.+changed )|(\[timeout)|(PRM\|1\|D)|(kpr)|(kdp)|(\|lc)|(penalty))"</v>
      </c>
      <c r="AG159" s="1" t="str">
        <f t="shared" si="101"/>
        <v>NW</v>
      </c>
      <c r="AH159" s="86" t="str">
        <f t="shared" si="113"/>
        <v>"%USERPROFILE%\Documents\GitHub\eaglep3\Utilities\RefineRTDCRunTimes.py" --tripid 801-10 --locoid 4029 --swversion DE.1.0.9.0 --startMP 204:986 --initTime 2017-03-10T05:26:43 --startdatetime 2017-03-10T05:27:50 --delay 1 --endMP 300:58982 --enddatetime 2017-03-10T06:04:07 --enforcementcount 0 &gt;&gt;C:\Users\stu\Documents\GitHub\eaglep3-reporting\EC\2017-03-10-refined-times.txt</v>
      </c>
      <c r="AI159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{"issue":{"subject":"","project_id":79,"tracker_id":40,"status_id":1,"priority_id":2,"assigned_to_id":23,"start_date":"2017-03-10","description":"","custom_fields":[{"id":1,"name":"Subdivision","value":"NW"},{"id":4,"name":"Milepost","value":"5.8982"},{"id":17,"name":"Train ID","value":"801-10"},{"id":16,"name":"Locomotive ID","value":"4029"},{"id":130,"name":"Impact","value":""},{"id":150,"name":"Time of Event (Mountain Time)","value":"06:04:07"},{"id":151,"name":"Denver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15"/>
        <v>start /low /b %USERPROFILE%\Documents\GitHub\eaglep3\Utilities\DownloadLogsFromS3.py --loco 4029 --day 2017-03-10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"%USERPROFILE%\AppData\Local\Temp\OnboardLogs"\RTDC4029\*4029*20170310* | grep -SE "(Enforcement Action)|(\[TIMEOUT)|(CHR.+\|PRM\|1\|D.+(SWITCH|SIGNAL).+UNKNOWN)" - &gt;&gt; 2017-03-10-UncaughtWiMAX.txt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636</v>
      </c>
      <c r="B160" s="7">
        <v>4030</v>
      </c>
      <c r="C160" s="21" t="s">
        <v>239</v>
      </c>
      <c r="D160" s="21" t="s">
        <v>933</v>
      </c>
      <c r="E160" s="13">
        <v>42804.254143518519</v>
      </c>
      <c r="F160" s="13">
        <v>42804.255497685182</v>
      </c>
      <c r="G160" s="7">
        <v>1</v>
      </c>
      <c r="H160" s="21" t="s">
        <v>934</v>
      </c>
      <c r="I160" s="13">
        <v>42804.267175925925</v>
      </c>
      <c r="J160" s="7">
        <v>0</v>
      </c>
      <c r="K160" s="98" t="str">
        <f t="shared" si="93"/>
        <v>4029/4030</v>
      </c>
      <c r="L160" s="21" t="str">
        <f>VLOOKUP(A160,'Trips&amp;Operators'!$C$1:$G$99999,5,FALSE)</f>
        <v>GEBRETEKLE DAGNEW</v>
      </c>
      <c r="M160" s="6">
        <f t="shared" si="94"/>
        <v>1.1678240742185153E-2</v>
      </c>
      <c r="N160" s="7">
        <f t="shared" si="108"/>
        <v>16.81666666874662</v>
      </c>
      <c r="O160" s="7"/>
      <c r="P160" s="7"/>
      <c r="Q160" s="22"/>
      <c r="R160" s="22"/>
      <c r="S160" s="31">
        <f t="shared" si="109"/>
        <v>1</v>
      </c>
      <c r="T160" s="46" t="str">
        <f t="shared" si="95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110"/>
        <v>https://d0f6bd738d7f1b3e5a7ca70fe4ff75f0.us-east-1.aws.found.io/app/kibana#/discover/Steve-Slow-Train-Analysis-(2080s-and-2083s)?_g=(refreshInterval:(display:Off,pause:!f,section:0,value:0),time:(from:'2017-03-10T05:05:58-0700',mode:absolute,to:'2017-03-10T07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187" t="str">
        <f t="shared" si="96"/>
        <v>N</v>
      </c>
      <c r="X160" s="187">
        <f t="shared" si="107"/>
        <v>1</v>
      </c>
      <c r="Y160" s="62">
        <f t="shared" si="97"/>
        <v>5.8677000000000001</v>
      </c>
      <c r="Z160" s="62">
        <f t="shared" si="116"/>
        <v>6.8400000000000002E-2</v>
      </c>
      <c r="AA160" s="62">
        <f t="shared" si="99"/>
        <v>5.7993000000000006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100"/>
        <v>0802-10</v>
      </c>
      <c r="AE160" s="85" t="str">
        <f t="shared" si="111"/>
        <v>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 &amp; 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</v>
      </c>
      <c r="AF160" s="82" t="str">
        <f t="shared" si="112"/>
        <v>"C:\Program Files (x86)\AstroGrep\AstroGrep.exe" /e /r /s /spath="%USERPROFILE%\AppData\Local\Temp\OnboardLogs" /stypes="app*4030*20170310*" /stext=" 13:.+((SYSTEM_STATE.+slice.+state.+changed )|(ment ac)|(multiple cpu faults)|(system.+state.+changed )|(\[timeout)|(PRM\|1\|D)|(kpr)|(kdp)|(\|lc)|(penalty))"</v>
      </c>
      <c r="AG160" s="1" t="str">
        <f t="shared" si="101"/>
        <v>NW</v>
      </c>
      <c r="AH160" s="86" t="str">
        <f t="shared" si="113"/>
        <v>"%USERPROFILE%\Documents\GitHub\eaglep3\Utilities\RefineRTDCRunTimes.py" --tripid 802-10 --locoid 4030 --swversion DE.1.0.9.0 --startMP 300:58677 --initTime 2017-03-10T06:05:58 --startdatetime 2017-03-10T06:07:55 --delay 1 --endMP 204:684 --enddatetime 2017-03-10T06:24:44 --enforcementcount 0 &gt;&gt;C:\Users\stu\Documents\GitHub\eaglep3-reporting\EC\2017-03-10-refined-times.txt</v>
      </c>
      <c r="AI160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{"issue":{"subject":"","project_id":79,"tracker_id":40,"status_id":1,"priority_id":2,"assigned_to_id":23,"start_date":"2017-03-10","description":"","custom_fields":[{"id":1,"name":"Subdivision","value":"NW"},{"id":4,"name":"Milepost","value":"0.0684"},{"id":17,"name":"Train ID","value":"802-10"},{"id":16,"name":"Locomotive ID","value":"4030"},{"id":130,"name":"Impact","value":""},{"id":150,"name":"Time of Event (Mountain Time)","value":"06:24:44"},{"id":151,"name":"Denver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15"/>
        <v>start /low /b %USERPROFILE%\Documents\GitHub\eaglep3\Utilities\DownloadLogsFromS3.py --loco 4030 --day 2017-03-10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"%USERPROFILE%\AppData\Local\Temp\OnboardLogs"\RTDC4030\*4030*20170310* | grep -SE "(Enforcement Action)|(\[TIMEOUT)|(CHR.+\|PRM\|1\|D.+(SWITCH|SIGNAL).+UNKNOWN)" - &gt;&gt; 2017-03-10-UncaughtWiMAX.txt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638</v>
      </c>
      <c r="B161" s="7">
        <v>4006</v>
      </c>
      <c r="C161" s="21" t="s">
        <v>239</v>
      </c>
      <c r="D161" s="21" t="s">
        <v>935</v>
      </c>
      <c r="E161" s="13">
        <v>42804.263472222221</v>
      </c>
      <c r="F161" s="13">
        <v>42804.264351851853</v>
      </c>
      <c r="G161" s="7">
        <v>1</v>
      </c>
      <c r="H161" s="21" t="s">
        <v>936</v>
      </c>
      <c r="I161" s="13">
        <v>42804.274953703702</v>
      </c>
      <c r="J161" s="7">
        <v>0</v>
      </c>
      <c r="K161" s="98" t="str">
        <f t="shared" si="93"/>
        <v>4005/4006</v>
      </c>
      <c r="L161" s="21" t="str">
        <f>VLOOKUP(A161,'Trips&amp;Operators'!$C$1:$G$99999,5,FALSE)</f>
        <v>SHOOK JOHN</v>
      </c>
      <c r="M161" s="6">
        <f t="shared" si="94"/>
        <v>1.060185184906004E-2</v>
      </c>
      <c r="N161" s="7">
        <f t="shared" si="108"/>
        <v>15.266666662646458</v>
      </c>
      <c r="O161" s="7"/>
      <c r="P161" s="7"/>
      <c r="Q161" s="22"/>
      <c r="R161" s="22"/>
      <c r="S161" s="31">
        <f t="shared" si="109"/>
        <v>1</v>
      </c>
      <c r="T161" s="46" t="str">
        <f t="shared" si="95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110"/>
        <v>https://d0f6bd738d7f1b3e5a7ca70fe4ff75f0.us-east-1.aws.found.io/app/kibana#/discover/Steve-Slow-Train-Analysis-(2080s-and-2083s)?_g=(refreshInterval:(display:Off,pause:!f,section:0,value:0),time:(from:'2017-03-10T05:19:24-0700',mode:absolute,to:'2017-03-10T07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1" s="187" t="str">
        <f t="shared" si="96"/>
        <v>N</v>
      </c>
      <c r="X161" s="187">
        <f t="shared" si="107"/>
        <v>1</v>
      </c>
      <c r="Y161" s="62">
        <f t="shared" si="97"/>
        <v>0.1028</v>
      </c>
      <c r="Z161" s="62">
        <f t="shared" si="116"/>
        <v>5.8998999999999997</v>
      </c>
      <c r="AA161" s="62">
        <f t="shared" si="99"/>
        <v>5.7970999999999995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100"/>
        <v>0803-10</v>
      </c>
      <c r="AE161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61" s="82" t="str">
        <f t="shared" si="112"/>
        <v>"C:\Program Files (x86)\AstroGrep\AstroGrep.exe" /e /r /s /spath="%USERPROFILE%\AppData\Local\Temp\OnboardLogs" /stypes="app*4006*20170310*" /stext=" 13:.+((SYSTEM_STATE.+slice.+state.+changed )|(ment ac)|(multiple cpu faults)|(system.+state.+changed )|(\[timeout)|(PRM\|1\|D)|(kpr)|(kdp)|(\|lc)|(penalty))"</v>
      </c>
      <c r="AG161" s="1" t="str">
        <f t="shared" si="101"/>
        <v>NW</v>
      </c>
      <c r="AH161" s="86" t="str">
        <f t="shared" si="113"/>
        <v>"%USERPROFILE%\Documents\GitHub\eaglep3\Utilities\RefineRTDCRunTimes.py" --tripid 803-10 --locoid 4006 --swversion DE.1.0.9.0 --startMP 204:1028 --initTime 2017-03-10T06:19:24 --startdatetime 2017-03-10T06:20:40 --delay 1 --endMP 300:58999 --enddatetime 2017-03-10T06:35:56 --enforcementcount 0 &gt;&gt;C:\Users\stu\Documents\GitHub\eaglep3-reporting\EC\2017-03-10-refined-times.txt</v>
      </c>
      <c r="AI161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{"issue":{"subject":"","project_id":79,"tracker_id":40,"status_id":1,"priority_id":2,"assigned_to_id":23,"start_date":"2017-03-10","description":"","custom_fields":[{"id":1,"name":"Subdivision","value":"NW"},{"id":4,"name":"Milepost","value":"5.8999"},{"id":17,"name":"Train ID","value":"803-10"},{"id":16,"name":"Locomotive ID","value":"4006"},{"id":130,"name":"Impact","value":""},{"id":150,"name":"Time of Event (Mountain Time)","value":"06:35:56"},{"id":151,"name":"Denver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15"/>
        <v>start /low /b %USERPROFILE%\Documents\GitHub\eaglep3\Utilities\DownloadLogsFromS3.py --loco 4006 --day 2017-03-10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</row>
    <row r="162" spans="1:91" x14ac:dyDescent="0.25">
      <c r="A162" s="33" t="s">
        <v>642</v>
      </c>
      <c r="B162" s="7">
        <v>4005</v>
      </c>
      <c r="C162" s="21" t="s">
        <v>239</v>
      </c>
      <c r="D162" s="21" t="s">
        <v>933</v>
      </c>
      <c r="E162" s="13">
        <v>42804.276226851849</v>
      </c>
      <c r="F162" s="13">
        <v>42804.277129629627</v>
      </c>
      <c r="G162" s="7">
        <v>1</v>
      </c>
      <c r="H162" s="21" t="s">
        <v>490</v>
      </c>
      <c r="I162" s="13">
        <v>42804.289537037039</v>
      </c>
      <c r="J162" s="7">
        <v>0</v>
      </c>
      <c r="K162" s="98" t="str">
        <f t="shared" si="93"/>
        <v>4005/4006</v>
      </c>
      <c r="L162" s="21" t="str">
        <f>VLOOKUP(A162,'Trips&amp;Operators'!$C$1:$G$99999,5,FALSE)</f>
        <v>SHOOK JOHN</v>
      </c>
      <c r="M162" s="6">
        <f t="shared" si="94"/>
        <v>1.2407407411956228E-2</v>
      </c>
      <c r="N162" s="7">
        <f t="shared" si="108"/>
        <v>17.866666673216969</v>
      </c>
      <c r="O162" s="7"/>
      <c r="P162" s="7"/>
      <c r="Q162" s="22"/>
      <c r="R162" s="22"/>
      <c r="S162" s="31">
        <f t="shared" si="109"/>
        <v>1</v>
      </c>
      <c r="T162" s="46" t="str">
        <f t="shared" si="95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110"/>
        <v>https://d0f6bd738d7f1b3e5a7ca70fe4ff75f0.us-east-1.aws.found.io/app/kibana#/discover/Steve-Slow-Train-Analysis-(2080s-and-2083s)?_g=(refreshInterval:(display:Off,pause:!f,section:0,value:0),time:(from:'2017-03-10T05:37:46-0700',mode:absolute,to:'2017-03-10T07:56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187" t="str">
        <f t="shared" si="96"/>
        <v>N</v>
      </c>
      <c r="X162" s="187">
        <f t="shared" si="107"/>
        <v>1</v>
      </c>
      <c r="Y162" s="62">
        <f t="shared" si="97"/>
        <v>5.8677000000000001</v>
      </c>
      <c r="Z162" s="62">
        <f t="shared" si="116"/>
        <v>6.9900000000000004E-2</v>
      </c>
      <c r="AA162" s="62">
        <f t="shared" si="99"/>
        <v>5.7978000000000005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100"/>
        <v>0804-10</v>
      </c>
      <c r="AE162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62" s="82" t="str">
        <f t="shared" si="112"/>
        <v>"C:\Program Files (x86)\AstroGrep\AstroGrep.exe" /e /r /s /spath="%USERPROFILE%\AppData\Local\Temp\OnboardLogs" /stypes="app*4005*20170310*" /stext=" 13:.+((SYSTEM_STATE.+slice.+state.+changed )|(ment ac)|(multiple cpu faults)|(system.+state.+changed )|(\[timeout)|(PRM\|1\|D)|(kpr)|(kdp)|(\|lc)|(penalty))"</v>
      </c>
      <c r="AG162" s="1" t="str">
        <f t="shared" si="101"/>
        <v>NW</v>
      </c>
      <c r="AH162" s="86" t="str">
        <f t="shared" si="113"/>
        <v>"%USERPROFILE%\Documents\GitHub\eaglep3\Utilities\RefineRTDCRunTimes.py" --tripid 804-10 --locoid 4005 --swversion DE.1.0.9.0 --startMP 300:58677 --initTime 2017-03-10T06:37:46 --startdatetime 2017-03-10T06:39:04 --delay 1 --endMP 204:699 --enddatetime 2017-03-10T06:56:56 --enforcementcount 0 &gt;&gt;C:\Users\stu\Documents\GitHub\eaglep3-reporting\EC\2017-03-10-refined-times.txt</v>
      </c>
      <c r="AI162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{"issue":{"subject":"","project_id":79,"tracker_id":40,"status_id":1,"priority_id":2,"assigned_to_id":23,"start_date":"2017-03-10","description":"","custom_fields":[{"id":1,"name":"Subdivision","value":"NW"},{"id":4,"name":"Milepost","value":"0.0699"},{"id":17,"name":"Train ID","value":"804-10"},{"id":16,"name":"Locomotive ID","value":"4005"},{"id":130,"name":"Impact","value":""},{"id":150,"name":"Time of Event (Mountain Time)","value":"06:56:56"},{"id":151,"name":"Denver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15"/>
        <v>start /low /b %USERPROFILE%\Documents\GitHub\eaglep3\Utilities\DownloadLogsFromS3.py --loco 4005 --day 2017-03-10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</row>
    <row r="163" spans="1:91" x14ac:dyDescent="0.25">
      <c r="A163" s="33" t="s">
        <v>640</v>
      </c>
      <c r="B163" s="7">
        <v>4029</v>
      </c>
      <c r="C163" s="21" t="s">
        <v>239</v>
      </c>
      <c r="D163" s="21" t="s">
        <v>937</v>
      </c>
      <c r="E163" s="13">
        <v>42804.268287037034</v>
      </c>
      <c r="F163" s="13">
        <v>42804.269189814811</v>
      </c>
      <c r="G163" s="7">
        <v>1</v>
      </c>
      <c r="H163" s="21" t="s">
        <v>938</v>
      </c>
      <c r="I163" s="13">
        <v>42804.294398148151</v>
      </c>
      <c r="J163" s="7">
        <v>0</v>
      </c>
      <c r="K163" s="98" t="str">
        <f t="shared" si="93"/>
        <v>4029/4030</v>
      </c>
      <c r="L163" s="21" t="str">
        <f>VLOOKUP(A163,'Trips&amp;Operators'!$C$1:$G$99999,5,FALSE)</f>
        <v>GEBRETEKLE DAGNEW</v>
      </c>
      <c r="M163" s="6">
        <f t="shared" si="94"/>
        <v>2.5208333339833189E-2</v>
      </c>
      <c r="N163" s="7">
        <f t="shared" si="108"/>
        <v>36.300000009359792</v>
      </c>
      <c r="O163" s="7"/>
      <c r="P163" s="7"/>
      <c r="Q163" s="22"/>
      <c r="R163" s="22"/>
      <c r="S163" s="31">
        <f t="shared" si="109"/>
        <v>1</v>
      </c>
      <c r="T163" s="46" t="str">
        <f t="shared" si="95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110"/>
        <v>https://d0f6bd738d7f1b3e5a7ca70fe4ff75f0.us-east-1.aws.found.io/app/kibana#/discover/Steve-Slow-Train-Analysis-(2080s-and-2083s)?_g=(refreshInterval:(display:Off,pause:!f,section:0,value:0),time:(from:'2017-03-10T05:26:20-0700',mode:absolute,to:'2017-03-10T08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3" s="187" t="str">
        <f t="shared" si="96"/>
        <v>N</v>
      </c>
      <c r="X163" s="187">
        <f t="shared" si="107"/>
        <v>1</v>
      </c>
      <c r="Y163" s="62">
        <f t="shared" si="97"/>
        <v>9.8100000000000007E-2</v>
      </c>
      <c r="Z163" s="62">
        <f t="shared" si="116"/>
        <v>5.9001000000000001</v>
      </c>
      <c r="AA163" s="62">
        <f t="shared" si="99"/>
        <v>5.8020000000000005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100"/>
        <v>0805-10</v>
      </c>
      <c r="AE163" s="85" t="str">
        <f t="shared" si="111"/>
        <v>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 &amp; 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</v>
      </c>
      <c r="AF163" s="82" t="str">
        <f t="shared" si="112"/>
        <v>"C:\Program Files (x86)\AstroGrep\AstroGrep.exe" /e /r /s /spath="%USERPROFILE%\AppData\Local\Temp\OnboardLogs" /stypes="app*4029*20170310*" /stext=" 14:.+((SYSTEM_STATE.+slice.+state.+changed )|(ment ac)|(multiple cpu faults)|(system.+state.+changed )|(\[timeout)|(PRM\|1\|D)|(kpr)|(kdp)|(\|lc)|(penalty))"</v>
      </c>
      <c r="AG163" s="1" t="str">
        <f t="shared" si="101"/>
        <v>NW</v>
      </c>
      <c r="AH163" s="86" t="str">
        <f t="shared" si="113"/>
        <v>"%USERPROFILE%\Documents\GitHub\eaglep3\Utilities\RefineRTDCRunTimes.py" --tripid 805-10 --locoid 4029 --swversion DE.1.0.9.0 --startMP 204:981 --initTime 2017-03-10T06:26:20 --startdatetime 2017-03-10T06:27:38 --delay 1 --endMP 300:59001 --enddatetime 2017-03-10T07:03:56 --enforcementcount 0 &gt;&gt;C:\Users\stu\Documents\GitHub\eaglep3-reporting\EC\2017-03-10-refined-times.txt</v>
      </c>
      <c r="AI163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{"issue":{"subject":"","project_id":79,"tracker_id":40,"status_id":1,"priority_id":2,"assigned_to_id":23,"start_date":"2017-03-10","description":"","custom_fields":[{"id":1,"name":"Subdivision","value":"NW"},{"id":4,"name":"Milepost","value":"5.9001"},{"id":17,"name":"Train ID","value":"805-10"},{"id":16,"name":"Locomotive ID","value":"4029"},{"id":130,"name":"Impact","value":""},{"id":150,"name":"Time of Event (Mountain Time)","value":"07:03:56"},{"id":151,"name":"Denver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15"/>
        <v>start /low /b %USERPROFILE%\Documents\GitHub\eaglep3\Utilities\DownloadLogsFromS3.py --loco 4029 --day 2017-03-10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"%USERPROFILE%\AppData\Local\Temp\OnboardLogs"\RTDC4029\*4029*20170310* | grep -SE "(Enforcement Action)|(\[TIMEOUT)|(CHR.+\|PRM\|1\|D.+(SWITCH|SIGNAL).+UNKNOWN)" - &gt;&gt; 2017-03-10-UncaughtWiMAX.txt</v>
      </c>
    </row>
    <row r="164" spans="1:91" x14ac:dyDescent="0.25">
      <c r="A164" s="33" t="s">
        <v>648</v>
      </c>
      <c r="B164" s="7">
        <v>4030</v>
      </c>
      <c r="C164" s="21" t="s">
        <v>239</v>
      </c>
      <c r="D164" s="21" t="s">
        <v>939</v>
      </c>
      <c r="E164" s="13">
        <v>42804.295925925922</v>
      </c>
      <c r="F164" s="13">
        <v>42804.297118055554</v>
      </c>
      <c r="G164" s="7">
        <v>1</v>
      </c>
      <c r="H164" s="21" t="s">
        <v>940</v>
      </c>
      <c r="I164" s="13">
        <v>42804.309525462966</v>
      </c>
      <c r="J164" s="7">
        <v>0</v>
      </c>
      <c r="K164" s="98" t="str">
        <f t="shared" ref="K164:K227" si="117">IF(ISEVEN(B164),(B164-1)&amp;"/"&amp;B164,B164&amp;"/"&amp;(B164+1))</f>
        <v>4029/4030</v>
      </c>
      <c r="L164" s="21" t="str">
        <f>VLOOKUP(A164,'Trips&amp;Operators'!$C$1:$G$99999,5,FALSE)</f>
        <v>GEBRETEKLE DAGNEW</v>
      </c>
      <c r="M164" s="6">
        <f t="shared" ref="M164:M227" si="118">I164-F164</f>
        <v>1.2407407411956228E-2</v>
      </c>
      <c r="N164" s="7">
        <f t="shared" si="108"/>
        <v>17.866666673216969</v>
      </c>
      <c r="O164" s="7"/>
      <c r="P164" s="7"/>
      <c r="Q164" s="22"/>
      <c r="R164" s="22"/>
      <c r="S164" s="31">
        <f t="shared" si="109"/>
        <v>1</v>
      </c>
      <c r="T164" s="46" t="str">
        <f t="shared" ref="T164:T227" si="119">IF(ISEVEN(LEFT(AD164,4)),"Southbound","NorthBound")</f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110"/>
        <v>https://d0f6bd738d7f1b3e5a7ca70fe4ff75f0.us-east-1.aws.found.io/app/kibana#/discover/Steve-Slow-Train-Analysis-(2080s-and-2083s)?_g=(refreshInterval:(display:Off,pause:!f,section:0,value:0),time:(from:'2017-03-10T06:06:08-0700',mode:absolute,to:'2017-03-10T08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187" t="str">
        <f t="shared" ref="W164:W227" si="120">IF(AA164&lt;IF(AG164="EC",23,5.65),"Y","N")</f>
        <v>N</v>
      </c>
      <c r="X164" s="187">
        <f t="shared" si="107"/>
        <v>1</v>
      </c>
      <c r="Y164" s="62">
        <f t="shared" ref="Y164:Y227" si="121">RIGHT(D164,LEN(D164)-4)/10000</f>
        <v>5.8688000000000002</v>
      </c>
      <c r="Z164" s="62">
        <f t="shared" si="116"/>
        <v>7.2599999999999998E-2</v>
      </c>
      <c r="AA164" s="62">
        <f t="shared" ref="AA164:AA227" si="122">ABS(Z164-Y164)</f>
        <v>5.7962000000000007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ref="AD164:AD227" si="123">IF(LEN(A164)=6,"0"&amp;A164,A164)</f>
        <v>0806-10</v>
      </c>
      <c r="AE164" s="85" t="str">
        <f t="shared" si="111"/>
        <v>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 &amp; 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</v>
      </c>
      <c r="AF164" s="82" t="str">
        <f t="shared" si="112"/>
        <v>"C:\Program Files (x86)\AstroGrep\AstroGrep.exe" /e /r /s /spath="%USERPROFILE%\AppData\Local\Temp\OnboardLogs" /stypes="app*4030*20170310*" /stext=" 14:.+((SYSTEM_STATE.+slice.+state.+changed )|(ment ac)|(multiple cpu faults)|(system.+state.+changed )|(\[timeout)|(PRM\|1\|D)|(kpr)|(kdp)|(\|lc)|(penalty))"</v>
      </c>
      <c r="AG164" s="1" t="str">
        <f t="shared" ref="AG164:AG227" si="124">IFERROR(IF(VALUE(LEFT(AD164,2))&lt;=2,"EC",IF(OR(VALUE(LEFT(AD164,2))=8,VALUE(LEFT(AD164,2))=18),"NW","Other")),"Other")</f>
        <v>NW</v>
      </c>
      <c r="AH164" s="86" t="str">
        <f t="shared" si="113"/>
        <v>"%USERPROFILE%\Documents\GitHub\eaglep3\Utilities\RefineRTDCRunTimes.py" --tripid 806-10 --locoid 4030 --swversion DE.1.0.9.0 --startMP 300:58688 --initTime 2017-03-10T07:06:08 --startdatetime 2017-03-10T07:07:51 --delay 1 --endMP 204:726 --enddatetime 2017-03-10T07:25:43 --enforcementcount 0 &gt;&gt;C:\Users\stu\Documents\GitHub\eaglep3-reporting\EC\2017-03-10-refined-times.txt</v>
      </c>
      <c r="AI164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{"issue":{"subject":"","project_id":79,"tracker_id":40,"status_id":1,"priority_id":2,"assigned_to_id":23,"start_date":"2017-03-10","description":"","custom_fields":[{"id":1,"name":"Subdivision","value":"NW"},{"id":4,"name":"Milepost","value":"0.0726"},{"id":17,"name":"Train ID","value":"806-10"},{"id":16,"name":"Locomotive ID","value":"4030"},{"id":130,"name":"Impact","value":""},{"id":150,"name":"Time of Event (Mountain Time)","value":"07:25:43"},{"id":151,"name":"Denver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15"/>
        <v>start /low /b %USERPROFILE%\Documents\GitHub\eaglep3\Utilities\DownloadLogsFromS3.py --loco 4030 --day 2017-03-10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"%USERPROFILE%\AppData\Local\Temp\OnboardLogs"\RTDC4030\*4030*20170310* | grep -SE "(Enforcement Action)|(\[TIMEOUT)|(CHR.+\|PRM\|1\|D.+(SWITCH|SIGNAL).+UNKNOWN)" - &gt;&gt; 2017-03-10-UncaughtWiMAX.txt</v>
      </c>
    </row>
    <row r="165" spans="1:91" x14ac:dyDescent="0.25">
      <c r="A165" s="33" t="s">
        <v>645</v>
      </c>
      <c r="B165" s="7">
        <v>4006</v>
      </c>
      <c r="C165" s="21" t="s">
        <v>239</v>
      </c>
      <c r="D165" s="21" t="s">
        <v>941</v>
      </c>
      <c r="E165" s="13">
        <v>42804.290462962963</v>
      </c>
      <c r="F165" s="13">
        <v>42804.291203703702</v>
      </c>
      <c r="G165" s="7">
        <v>1</v>
      </c>
      <c r="H165" s="21" t="s">
        <v>547</v>
      </c>
      <c r="I165" s="13">
        <v>42804.31622685185</v>
      </c>
      <c r="J165" s="7">
        <v>0</v>
      </c>
      <c r="K165" s="98" t="str">
        <f t="shared" si="117"/>
        <v>4005/4006</v>
      </c>
      <c r="L165" s="21" t="str">
        <f>VLOOKUP(A165,'Trips&amp;Operators'!$C$1:$G$99999,5,FALSE)</f>
        <v>SHOOK JOHN</v>
      </c>
      <c r="M165" s="6">
        <f t="shared" si="118"/>
        <v>2.5023148147738539E-2</v>
      </c>
      <c r="N165" s="7">
        <f t="shared" si="108"/>
        <v>36.033333332743496</v>
      </c>
      <c r="O165" s="7"/>
      <c r="P165" s="7"/>
      <c r="Q165" s="22"/>
      <c r="R165" s="22"/>
      <c r="S165" s="31">
        <f t="shared" si="109"/>
        <v>1</v>
      </c>
      <c r="T165" s="46" t="str">
        <f t="shared" si="119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110"/>
        <v>https://d0f6bd738d7f1b3e5a7ca70fe4ff75f0.us-east-1.aws.found.io/app/kibana#/discover/Steve-Slow-Train-Analysis-(2080s-and-2083s)?_g=(refreshInterval:(display:Off,pause:!f,section:0,value:0),time:(from:'2017-03-10T05:58:16-0700',mode:absolute,to:'2017-03-10T08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5" s="187" t="str">
        <f t="shared" si="120"/>
        <v>N</v>
      </c>
      <c r="X165" s="187">
        <f t="shared" ref="X165:X196" si="125">VALUE(LEFT(AD165,4))-VALUE(LEFT(AD164,4))</f>
        <v>1</v>
      </c>
      <c r="Y165" s="62">
        <f t="shared" si="121"/>
        <v>0.1023</v>
      </c>
      <c r="Z165" s="62">
        <f t="shared" si="116"/>
        <v>5.8992000000000004</v>
      </c>
      <c r="AA165" s="62">
        <f t="shared" si="122"/>
        <v>5.7969000000000008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123"/>
        <v>0807-10</v>
      </c>
      <c r="AE165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65" s="82" t="str">
        <f t="shared" si="112"/>
        <v>"C:\Program Files (x86)\AstroGrep\AstroGrep.exe" /e /r /s /spath="%USERPROFILE%\AppData\Local\Temp\OnboardLogs" /stypes="app*4006*20170310*" /stext=" 14:.+((SYSTEM_STATE.+slice.+state.+changed )|(ment ac)|(multiple cpu faults)|(system.+state.+changed )|(\[timeout)|(PRM\|1\|D)|(kpr)|(kdp)|(\|lc)|(penalty))"</v>
      </c>
      <c r="AG165" s="1" t="str">
        <f t="shared" si="124"/>
        <v>NW</v>
      </c>
      <c r="AH165" s="86" t="str">
        <f t="shared" si="113"/>
        <v>"%USERPROFILE%\Documents\GitHub\eaglep3\Utilities\RefineRTDCRunTimes.py" --tripid 807-10 --locoid 4006 --swversion DE.1.0.9.0 --startMP 204:1023 --initTime 2017-03-10T06:58:16 --startdatetime 2017-03-10T06:59:20 --delay 1 --endMP 300:58992 --enddatetime 2017-03-10T07:35:22 --enforcementcount 0 &gt;&gt;C:\Users\stu\Documents\GitHub\eaglep3-reporting\EC\2017-03-10-refined-times.txt</v>
      </c>
      <c r="AI165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{"issue":{"subject":"","project_id":79,"tracker_id":40,"status_id":1,"priority_id":2,"assigned_to_id":23,"start_date":"2017-03-10","description":"","custom_fields":[{"id":1,"name":"Subdivision","value":"NW"},{"id":4,"name":"Milepost","value":"5.8992"},{"id":17,"name":"Train ID","value":"807-10"},{"id":16,"name":"Locomotive ID","value":"4006"},{"id":130,"name":"Impact","value":""},{"id":150,"name":"Time of Event (Mountain Time)","value":"07:35:22"},{"id":151,"name":"Denver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15"/>
        <v>start /low /b %USERPROFILE%\Documents\GitHub\eaglep3\Utilities\DownloadLogsFromS3.py --loco 4006 --day 2017-03-10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</row>
    <row r="166" spans="1:91" x14ac:dyDescent="0.25">
      <c r="A166" s="33" t="s">
        <v>654</v>
      </c>
      <c r="B166" s="7">
        <v>4005</v>
      </c>
      <c r="C166" s="21" t="s">
        <v>239</v>
      </c>
      <c r="D166" s="21" t="s">
        <v>933</v>
      </c>
      <c r="E166" s="13">
        <v>42804.317546296297</v>
      </c>
      <c r="F166" s="13">
        <v>42804.318402777775</v>
      </c>
      <c r="G166" s="7">
        <v>1</v>
      </c>
      <c r="H166" s="21" t="s">
        <v>942</v>
      </c>
      <c r="I166" s="13">
        <v>42804.330509259256</v>
      </c>
      <c r="J166" s="7">
        <v>0</v>
      </c>
      <c r="K166" s="98" t="str">
        <f t="shared" si="117"/>
        <v>4005/4006</v>
      </c>
      <c r="L166" s="21" t="str">
        <f>VLOOKUP(A166,'Trips&amp;Operators'!$C$1:$G$99999,5,FALSE)</f>
        <v>SHOOK JOHN</v>
      </c>
      <c r="M166" s="6">
        <f t="shared" si="118"/>
        <v>1.2106481481168885E-2</v>
      </c>
      <c r="N166" s="7">
        <f t="shared" si="108"/>
        <v>17.433333332883194</v>
      </c>
      <c r="O166" s="7"/>
      <c r="P166" s="7"/>
      <c r="Q166" s="22"/>
      <c r="R166" s="22"/>
      <c r="S166" s="31">
        <f t="shared" si="109"/>
        <v>1</v>
      </c>
      <c r="T166" s="46" t="str">
        <f t="shared" si="119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110"/>
        <v>https://d0f6bd738d7f1b3e5a7ca70fe4ff75f0.us-east-1.aws.found.io/app/kibana#/discover/Steve-Slow-Train-Analysis-(2080s-and-2083s)?_g=(refreshInterval:(display:Off,pause:!f,section:0,value:0),time:(from:'2017-03-10T06:37:16-0700',mode:absolute,to:'2017-03-10T08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6" s="187" t="str">
        <f t="shared" si="120"/>
        <v>N</v>
      </c>
      <c r="X166" s="187">
        <f t="shared" si="125"/>
        <v>1</v>
      </c>
      <c r="Y166" s="62">
        <f t="shared" si="121"/>
        <v>5.8677000000000001</v>
      </c>
      <c r="Z166" s="62">
        <f t="shared" si="116"/>
        <v>7.3599999999999999E-2</v>
      </c>
      <c r="AA166" s="62">
        <f t="shared" si="122"/>
        <v>5.7941000000000003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123"/>
        <v>0808-10</v>
      </c>
      <c r="AE166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66" s="82" t="str">
        <f t="shared" si="112"/>
        <v>"C:\Program Files (x86)\AstroGrep\AstroGrep.exe" /e /r /s /spath="%USERPROFILE%\AppData\Local\Temp\OnboardLogs" /stypes="app*4005*20170310*" /stext=" 14:.+((SYSTEM_STATE.+slice.+state.+changed )|(ment ac)|(multiple cpu faults)|(system.+state.+changed )|(\[timeout)|(PRM\|1\|D)|(kpr)|(kdp)|(\|lc)|(penalty))"</v>
      </c>
      <c r="AG166" s="1" t="str">
        <f t="shared" si="124"/>
        <v>NW</v>
      </c>
      <c r="AH166" s="86" t="str">
        <f t="shared" si="113"/>
        <v>"%USERPROFILE%\Documents\GitHub\eaglep3\Utilities\RefineRTDCRunTimes.py" --tripid 808-10 --locoid 4005 --swversion DE.1.0.9.0 --startMP 300:58677 --initTime 2017-03-10T07:37:16 --startdatetime 2017-03-10T07:38:30 --delay 1 --endMP 204:736 --enddatetime 2017-03-10T07:55:56 --enforcementcount 0 &gt;&gt;C:\Users\stu\Documents\GitHub\eaglep3-reporting\EC\2017-03-10-refined-times.txt</v>
      </c>
      <c r="AI166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{"issue":{"subject":"","project_id":79,"tracker_id":40,"status_id":1,"priority_id":2,"assigned_to_id":23,"start_date":"2017-03-10","description":"","custom_fields":[{"id":1,"name":"Subdivision","value":"NW"},{"id":4,"name":"Milepost","value":"0.0736"},{"id":17,"name":"Train ID","value":"808-10"},{"id":16,"name":"Locomotive ID","value":"4005"},{"id":130,"name":"Impact","value":""},{"id":150,"name":"Time of Event (Mountain Time)","value":"07:55:56"},{"id":151,"name":"Denver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15"/>
        <v>start /low /b %USERPROFILE%\Documents\GitHub\eaglep3\Utilities\DownloadLogsFromS3.py --loco 4005 --day 2017-03-10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</row>
    <row r="167" spans="1:91" x14ac:dyDescent="0.25">
      <c r="A167" s="33" t="s">
        <v>652</v>
      </c>
      <c r="B167" s="7">
        <v>4029</v>
      </c>
      <c r="C167" s="21" t="s">
        <v>239</v>
      </c>
      <c r="D167" s="21" t="s">
        <v>553</v>
      </c>
      <c r="E167" s="13">
        <v>42804.311157407406</v>
      </c>
      <c r="F167" s="13">
        <v>42804.311944444446</v>
      </c>
      <c r="G167" s="7">
        <v>1</v>
      </c>
      <c r="H167" s="21" t="s">
        <v>547</v>
      </c>
      <c r="I167" s="13">
        <v>42804.336261574077</v>
      </c>
      <c r="J167" s="7">
        <v>0</v>
      </c>
      <c r="K167" s="98" t="str">
        <f t="shared" si="117"/>
        <v>4029/4030</v>
      </c>
      <c r="L167" s="21" t="str">
        <f>VLOOKUP(A167,'Trips&amp;Operators'!$C$1:$G$99999,5,FALSE)</f>
        <v>GEBRETEKLE DAGNEW</v>
      </c>
      <c r="M167" s="6">
        <f t="shared" si="118"/>
        <v>2.4317129631526768E-2</v>
      </c>
      <c r="N167" s="7">
        <f t="shared" si="108"/>
        <v>35.016666669398546</v>
      </c>
      <c r="O167" s="7"/>
      <c r="P167" s="7"/>
      <c r="Q167" s="22"/>
      <c r="R167" s="22"/>
      <c r="S167" s="31">
        <f t="shared" si="109"/>
        <v>1</v>
      </c>
      <c r="T167" s="46" t="str">
        <f t="shared" si="119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110"/>
        <v>https://d0f6bd738d7f1b3e5a7ca70fe4ff75f0.us-east-1.aws.found.io/app/kibana#/discover/Steve-Slow-Train-Analysis-(2080s-and-2083s)?_g=(refreshInterval:(display:Off,pause:!f,section:0,value:0),time:(from:'2017-03-10T06:28:04-0700',mode:absolute,to:'2017-03-10T09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7" s="187" t="str">
        <f t="shared" si="120"/>
        <v>N</v>
      </c>
      <c r="X167" s="187">
        <f t="shared" si="125"/>
        <v>1</v>
      </c>
      <c r="Y167" s="62">
        <f t="shared" si="121"/>
        <v>9.9699999999999997E-2</v>
      </c>
      <c r="Z167" s="62">
        <f t="shared" si="116"/>
        <v>5.8992000000000004</v>
      </c>
      <c r="AA167" s="62">
        <f t="shared" si="122"/>
        <v>5.7995000000000001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123"/>
        <v>0809-10</v>
      </c>
      <c r="AE167" s="85" t="str">
        <f t="shared" si="111"/>
        <v>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 &amp; 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</v>
      </c>
      <c r="AF167" s="82" t="str">
        <f t="shared" si="112"/>
        <v>"C:\Program Files (x86)\AstroGrep\AstroGrep.exe" /e /r /s /spath="%USERPROFILE%\AppData\Local\Temp\OnboardLogs" /stypes="app*4029*20170310*" /stext=" 15:.+((SYSTEM_STATE.+slice.+state.+changed )|(ment ac)|(multiple cpu faults)|(system.+state.+changed )|(\[timeout)|(PRM\|1\|D)|(kpr)|(kdp)|(\|lc)|(penalty))"</v>
      </c>
      <c r="AG167" s="1" t="str">
        <f t="shared" si="124"/>
        <v>NW</v>
      </c>
      <c r="AH167" s="86" t="str">
        <f t="shared" si="113"/>
        <v>"%USERPROFILE%\Documents\GitHub\eaglep3\Utilities\RefineRTDCRunTimes.py" --tripid 809-10 --locoid 4029 --swversion DE.1.0.9.0 --startMP 204:997 --initTime 2017-03-10T07:28:04 --startdatetime 2017-03-10T07:29:12 --delay 1 --endMP 300:58992 --enddatetime 2017-03-10T08:04:13 --enforcementcount 0 &gt;&gt;C:\Users\stu\Documents\GitHub\eaglep3-reporting\EC\2017-03-10-refined-times.txt</v>
      </c>
      <c r="AI167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{"issue":{"subject":"","project_id":79,"tracker_id":40,"status_id":1,"priority_id":2,"assigned_to_id":23,"start_date":"2017-03-10","description":"","custom_fields":[{"id":1,"name":"Subdivision","value":"NW"},{"id":4,"name":"Milepost","value":"5.8992"},{"id":17,"name":"Train ID","value":"809-10"},{"id":16,"name":"Locomotive ID","value":"4029"},{"id":130,"name":"Impact","value":""},{"id":150,"name":"Time of Event (Mountain Time)","value":"08:04:13"},{"id":151,"name":"Denver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15"/>
        <v>start /low /b %USERPROFILE%\Documents\GitHub\eaglep3\Utilities\DownloadLogsFromS3.py --loco 4029 --day 2017-03-10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"%USERPROFILE%\AppData\Local\Temp\OnboardLogs"\RTDC4029\*4029*20170310* | grep -SE "(Enforcement Action)|(\[TIMEOUT)|(CHR.+\|PRM\|1\|D.+(SWITCH|SIGNAL).+UNKNOWN)" - &gt;&gt; 2017-03-10-UncaughtWiMAX.txt</v>
      </c>
    </row>
    <row r="168" spans="1:91" x14ac:dyDescent="0.25">
      <c r="A168" s="33" t="s">
        <v>658</v>
      </c>
      <c r="B168" s="7">
        <v>4030</v>
      </c>
      <c r="C168" s="21" t="s">
        <v>239</v>
      </c>
      <c r="D168" s="21" t="s">
        <v>550</v>
      </c>
      <c r="E168" s="13">
        <v>42804.337395833332</v>
      </c>
      <c r="F168" s="13">
        <v>42804.338391203702</v>
      </c>
      <c r="G168" s="7">
        <v>1</v>
      </c>
      <c r="H168" s="21" t="s">
        <v>541</v>
      </c>
      <c r="I168" s="13">
        <v>42804.350474537037</v>
      </c>
      <c r="J168" s="7">
        <v>0</v>
      </c>
      <c r="K168" s="98" t="str">
        <f t="shared" si="117"/>
        <v>4029/4030</v>
      </c>
      <c r="L168" s="21" t="str">
        <f>VLOOKUP(A168,'Trips&amp;Operators'!$C$1:$G$99999,5,FALSE)</f>
        <v>GEBRETEKLE DAGNEW</v>
      </c>
      <c r="M168" s="6">
        <f t="shared" si="118"/>
        <v>1.2083333334885538E-2</v>
      </c>
      <c r="N168" s="7">
        <f t="shared" si="108"/>
        <v>17.400000002235174</v>
      </c>
      <c r="O168" s="7"/>
      <c r="P168" s="7"/>
      <c r="Q168" s="22"/>
      <c r="R168" s="22"/>
      <c r="S168" s="31">
        <f t="shared" si="109"/>
        <v>1</v>
      </c>
      <c r="T168" s="46" t="str">
        <f t="shared" si="119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110"/>
        <v>https://d0f6bd738d7f1b3e5a7ca70fe4ff75f0.us-east-1.aws.found.io/app/kibana#/discover/Steve-Slow-Train-Analysis-(2080s-and-2083s)?_g=(refreshInterval:(display:Off,pause:!f,section:0,value:0),time:(from:'2017-03-10T07:05:51-0700',mode:absolute,to:'2017-03-10T09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187" t="str">
        <f t="shared" si="120"/>
        <v>N</v>
      </c>
      <c r="X168" s="187">
        <f t="shared" si="125"/>
        <v>1</v>
      </c>
      <c r="Y168" s="62">
        <f t="shared" si="121"/>
        <v>5.8674999999999997</v>
      </c>
      <c r="Z168" s="62">
        <f t="shared" si="116"/>
        <v>7.1900000000000006E-2</v>
      </c>
      <c r="AA168" s="62">
        <f t="shared" si="122"/>
        <v>5.7955999999999994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123"/>
        <v>0810-10</v>
      </c>
      <c r="AE168" s="85" t="str">
        <f t="shared" si="111"/>
        <v>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 &amp; 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</v>
      </c>
      <c r="AF168" s="82" t="str">
        <f t="shared" si="112"/>
        <v>"C:\Program Files (x86)\AstroGrep\AstroGrep.exe" /e /r /s /spath="%USERPROFILE%\AppData\Local\Temp\OnboardLogs" /stypes="app*4030*20170310*" /stext=" 15:.+((SYSTEM_STATE.+slice.+state.+changed )|(ment ac)|(multiple cpu faults)|(system.+state.+changed )|(\[timeout)|(PRM\|1\|D)|(kpr)|(kdp)|(\|lc)|(penalty))"</v>
      </c>
      <c r="AG168" s="1" t="str">
        <f t="shared" si="124"/>
        <v>NW</v>
      </c>
      <c r="AH168" s="86" t="str">
        <f t="shared" si="113"/>
        <v>"%USERPROFILE%\Documents\GitHub\eaglep3\Utilities\RefineRTDCRunTimes.py" --tripid 810-10 --locoid 4030 --swversion DE.1.0.9.0 --startMP 300:58675 --initTime 2017-03-10T08:05:51 --startdatetime 2017-03-10T08:07:17 --delay 1 --endMP 204:719 --enddatetime 2017-03-10T08:24:41 --enforcementcount 0 &gt;&gt;C:\Users\stu\Documents\GitHub\eaglep3-reporting\EC\2017-03-10-refined-times.txt</v>
      </c>
      <c r="AI168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{"issue":{"subject":"","project_id":79,"tracker_id":40,"status_id":1,"priority_id":2,"assigned_to_id":23,"start_date":"2017-03-10","description":"","custom_fields":[{"id":1,"name":"Subdivision","value":"NW"},{"id":4,"name":"Milepost","value":"0.0719"},{"id":17,"name":"Train ID","value":"810-10"},{"id":16,"name":"Locomotive ID","value":"4030"},{"id":130,"name":"Impact","value":""},{"id":150,"name":"Time of Event (Mountain Time)","value":"08:24:41"},{"id":151,"name":"Denver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15"/>
        <v>start /low /b %USERPROFILE%\Documents\GitHub\eaglep3\Utilities\DownloadLogsFromS3.py --loco 4030 --day 2017-03-10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"%USERPROFILE%\AppData\Local\Temp\OnboardLogs"\RTDC4030\*4030*20170310* | grep -SE "(Enforcement Action)|(\[TIMEOUT)|(CHR.+\|PRM\|1\|D.+(SWITCH|SIGNAL).+UNKNOWN)" - &gt;&gt; 2017-03-10-UncaughtWiMAX.txt</v>
      </c>
    </row>
    <row r="169" spans="1:91" s="20" customFormat="1" x14ac:dyDescent="0.25">
      <c r="A169" s="33" t="s">
        <v>657</v>
      </c>
      <c r="B169" s="7">
        <v>4006</v>
      </c>
      <c r="C169" s="21" t="s">
        <v>239</v>
      </c>
      <c r="D169" s="21" t="s">
        <v>948</v>
      </c>
      <c r="E169" s="13">
        <v>42804.332337962966</v>
      </c>
      <c r="F169" s="13">
        <v>42804.333298611113</v>
      </c>
      <c r="G169" s="7">
        <v>1</v>
      </c>
      <c r="H169" s="21" t="s">
        <v>555</v>
      </c>
      <c r="I169" s="13">
        <v>42804.357951388891</v>
      </c>
      <c r="J169" s="7">
        <v>0</v>
      </c>
      <c r="K169" s="98" t="str">
        <f t="shared" si="117"/>
        <v>4005/4006</v>
      </c>
      <c r="L169" s="21" t="str">
        <f>VLOOKUP(A169,'Trips&amp;Operators'!$C$1:$G$99999,5,FALSE)</f>
        <v>SHOOK JOHN</v>
      </c>
      <c r="M169" s="6">
        <f t="shared" si="118"/>
        <v>2.4652777778101154E-2</v>
      </c>
      <c r="N169" s="7">
        <f t="shared" si="108"/>
        <v>35.500000000465661</v>
      </c>
      <c r="O169" s="7"/>
      <c r="P169" s="7"/>
      <c r="Q169" s="22"/>
      <c r="R169" s="22" t="s">
        <v>1027</v>
      </c>
      <c r="S169" s="31">
        <f t="shared" si="109"/>
        <v>1</v>
      </c>
      <c r="T169" s="46" t="str">
        <f t="shared" si="119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110"/>
        <v>https://d0f6bd738d7f1b3e5a7ca70fe4ff75f0.us-east-1.aws.found.io/app/kibana#/discover/Steve-Slow-Train-Analysis-(2080s-and-2083s)?_g=(refreshInterval:(display:Off,pause:!f,section:0,value:0),time:(from:'2017-03-10T06:58:34-0700',mode:absolute,to:'2017-03-10T09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9" s="187" t="str">
        <f t="shared" si="120"/>
        <v>N</v>
      </c>
      <c r="X169" s="187">
        <f t="shared" si="125"/>
        <v>1</v>
      </c>
      <c r="Y169" s="62">
        <f t="shared" si="121"/>
        <v>0.10249999999999999</v>
      </c>
      <c r="Z169" s="62">
        <f t="shared" si="116"/>
        <v>5.8986000000000001</v>
      </c>
      <c r="AA169" s="62">
        <f t="shared" si="122"/>
        <v>5.7961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123"/>
        <v>0811-10</v>
      </c>
      <c r="AE169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69" s="82" t="str">
        <f t="shared" si="112"/>
        <v>"C:\Program Files (x86)\AstroGrep\AstroGrep.exe" /e /r /s /spath="%USERPROFILE%\AppData\Local\Temp\OnboardLogs" /stypes="app*4006*20170310*" /stext=" 15:.+((SYSTEM_STATE.+slice.+state.+changed )|(ment ac)|(multiple cpu faults)|(system.+state.+changed )|(\[timeout)|(PRM\|1\|D)|(kpr)|(kdp)|(\|lc)|(penalty))"</v>
      </c>
      <c r="AG169" s="1" t="str">
        <f t="shared" si="124"/>
        <v>NW</v>
      </c>
      <c r="AH169" s="86" t="str">
        <f t="shared" si="113"/>
        <v>"%USERPROFILE%\Documents\GitHub\eaglep3\Utilities\RefineRTDCRunTimes.py" --tripid 811-10 --locoid 4006 --swversion DE.1.0.9.0 --startMP 204:1025 --initTime 2017-03-10T07:58:34 --startdatetime 2017-03-10T07:59:57 --delay 1 --endMP 300:58986 --enddatetime 2017-03-10T08:35:27 --enforcementcount 0 &gt;&gt;C:\Users\stu\Documents\GitHub\eaglep3-reporting\EC\2017-03-10-refined-times.txt</v>
      </c>
      <c r="AI169" s="108" t="str">
        <f t="shared" si="114"/>
        <v>echo {"issue":{"subject":"No evidence of enforcement found (normal trip)","project_id":79,"tracker_id":40,"status_id":1,"priority_id":2,"assigned_to_id":23,"start_date":"2017-03-10","description":"","custom_fields":[{"id":1,"name":"Subdivision","value":"NW"},{"id":4,"name":"Milepost","value":"5.8986"},{"id":17,"name":"Train ID","value":"811-10"},{"id":16,"name":"Locomotive ID","value":"4006"},{"id":130,"name":"Impact","value":""},{"id":150,"name":"Time of Event (Mountain Time)","value":"08:35:27"},{"id":151,"name":"Denver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15"/>
        <v>start /low /b %USERPROFILE%\Documents\GitHub\eaglep3\Utilities\DownloadLogsFromS3.py --loco 4006 --day 2017-03-10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663</v>
      </c>
      <c r="B170" s="7">
        <v>4005</v>
      </c>
      <c r="C170" s="21" t="s">
        <v>239</v>
      </c>
      <c r="D170" s="21" t="s">
        <v>545</v>
      </c>
      <c r="E170" s="13">
        <v>42804.359918981485</v>
      </c>
      <c r="F170" s="13">
        <v>42804.360798611109</v>
      </c>
      <c r="G170" s="7">
        <v>1</v>
      </c>
      <c r="H170" s="21" t="s">
        <v>949</v>
      </c>
      <c r="I170" s="13">
        <v>42804.372430555559</v>
      </c>
      <c r="J170" s="7">
        <v>0</v>
      </c>
      <c r="K170" s="98" t="str">
        <f t="shared" si="117"/>
        <v>4005/4006</v>
      </c>
      <c r="L170" s="21" t="str">
        <f>VLOOKUP(A170,'Trips&amp;Operators'!$C$1:$G$99999,5,FALSE)</f>
        <v>SHOOK JOHN</v>
      </c>
      <c r="M170" s="6">
        <f t="shared" si="118"/>
        <v>1.1631944449618459E-2</v>
      </c>
      <c r="N170" s="7">
        <f t="shared" si="108"/>
        <v>16.750000007450581</v>
      </c>
      <c r="O170" s="7"/>
      <c r="P170" s="7"/>
      <c r="Q170" s="22"/>
      <c r="R170" s="22"/>
      <c r="S170" s="31">
        <f t="shared" si="109"/>
        <v>1</v>
      </c>
      <c r="T170" s="46" t="str">
        <f t="shared" si="119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110"/>
        <v>https://d0f6bd738d7f1b3e5a7ca70fe4ff75f0.us-east-1.aws.found.io/app/kibana#/discover/Steve-Slow-Train-Analysis-(2080s-and-2083s)?_g=(refreshInterval:(display:Off,pause:!f,section:0,value:0),time:(from:'2017-03-10T07:38:17-0700',mode:absolute,to:'2017-03-10T09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0" s="187" t="str">
        <f t="shared" si="120"/>
        <v>N</v>
      </c>
      <c r="X170" s="187">
        <f t="shared" si="125"/>
        <v>1</v>
      </c>
      <c r="Y170" s="62">
        <f t="shared" si="121"/>
        <v>5.8678999999999997</v>
      </c>
      <c r="Z170" s="62">
        <f t="shared" si="116"/>
        <v>7.2700000000000001E-2</v>
      </c>
      <c r="AA170" s="62">
        <f t="shared" si="122"/>
        <v>5.7951999999999995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123"/>
        <v>0812-10</v>
      </c>
      <c r="AE170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70" s="82" t="str">
        <f t="shared" si="112"/>
        <v>"C:\Program Files (x86)\AstroGrep\AstroGrep.exe" /e /r /s /spath="%USERPROFILE%\AppData\Local\Temp\OnboardLogs" /stypes="app*4005*20170310*" /stext=" 15:.+((SYSTEM_STATE.+slice.+state.+changed )|(ment ac)|(multiple cpu faults)|(system.+state.+changed )|(\[timeout)|(PRM\|1\|D)|(kpr)|(kdp)|(\|lc)|(penalty))"</v>
      </c>
      <c r="AG170" s="1" t="str">
        <f t="shared" si="124"/>
        <v>NW</v>
      </c>
      <c r="AH170" s="86" t="str">
        <f t="shared" si="113"/>
        <v>"%USERPROFILE%\Documents\GitHub\eaglep3\Utilities\RefineRTDCRunTimes.py" --tripid 812-10 --locoid 4005 --swversion DE.1.0.9.0 --startMP 300:58679 --initTime 2017-03-10T08:38:17 --startdatetime 2017-03-10T08:39:33 --delay 1 --endMP 204:727 --enddatetime 2017-03-10T08:56:18 --enforcementcount 0 &gt;&gt;C:\Users\stu\Documents\GitHub\eaglep3-reporting\EC\2017-03-10-refined-times.txt</v>
      </c>
      <c r="AI170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{"issue":{"subject":"","project_id":79,"tracker_id":40,"status_id":1,"priority_id":2,"assigned_to_id":23,"start_date":"2017-03-10","description":"","custom_fields":[{"id":1,"name":"Subdivision","value":"NW"},{"id":4,"name":"Milepost","value":"0.0727"},{"id":17,"name":"Train ID","value":"812-10"},{"id":16,"name":"Locomotive ID","value":"4005"},{"id":130,"name":"Impact","value":""},{"id":150,"name":"Time of Event (Mountain Time)","value":"08:56:18"},{"id":151,"name":"Denver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15"/>
        <v>start /low /b %USERPROFILE%\Documents\GitHub\eaglep3\Utilities\DownloadLogsFromS3.py --loco 4005 --day 2017-03-10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</row>
    <row r="171" spans="1:91" x14ac:dyDescent="0.25">
      <c r="A171" s="33" t="s">
        <v>667</v>
      </c>
      <c r="B171" s="7">
        <v>4006</v>
      </c>
      <c r="C171" s="21" t="s">
        <v>239</v>
      </c>
      <c r="D171" s="21" t="s">
        <v>950</v>
      </c>
      <c r="E171" s="13">
        <v>42804.374768518515</v>
      </c>
      <c r="F171" s="13">
        <v>42804.375520833331</v>
      </c>
      <c r="G171" s="7">
        <v>1</v>
      </c>
      <c r="H171" s="21" t="s">
        <v>951</v>
      </c>
      <c r="I171" s="13">
        <v>42804.399710648147</v>
      </c>
      <c r="J171" s="7">
        <v>0</v>
      </c>
      <c r="K171" s="98" t="str">
        <f t="shared" si="117"/>
        <v>4005/4006</v>
      </c>
      <c r="L171" s="21" t="str">
        <f>VLOOKUP(A171,'Trips&amp;Operators'!$C$1:$G$99999,5,FALSE)</f>
        <v>SHOOK JOHN</v>
      </c>
      <c r="M171" s="6">
        <f t="shared" si="118"/>
        <v>2.4189814816054422E-2</v>
      </c>
      <c r="N171" s="7">
        <f t="shared" si="108"/>
        <v>34.833333335118368</v>
      </c>
      <c r="O171" s="7"/>
      <c r="P171" s="7"/>
      <c r="Q171" s="22"/>
      <c r="R171" s="22"/>
      <c r="S171" s="31">
        <f t="shared" si="109"/>
        <v>1</v>
      </c>
      <c r="T171" s="46" t="str">
        <f t="shared" si="119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110"/>
        <v>https://d0f6bd738d7f1b3e5a7ca70fe4ff75f0.us-east-1.aws.found.io/app/kibana#/discover/Steve-Slow-Train-Analysis-(2080s-and-2083s)?_g=(refreshInterval:(display:Off,pause:!f,section:0,value:0),time:(from:'2017-03-10T07:59:40-0700',mode:absolute,to:'2017-03-10T10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187" t="str">
        <f t="shared" si="120"/>
        <v>N</v>
      </c>
      <c r="X171" s="187">
        <f t="shared" si="125"/>
        <v>1</v>
      </c>
      <c r="Y171" s="62">
        <f t="shared" si="121"/>
        <v>0.10340000000000001</v>
      </c>
      <c r="Z171" s="62">
        <f t="shared" si="116"/>
        <v>5.8993000000000002</v>
      </c>
      <c r="AA171" s="62">
        <f t="shared" si="122"/>
        <v>5.7959000000000005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123"/>
        <v>0813-10</v>
      </c>
      <c r="AE171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71" s="82" t="str">
        <f t="shared" si="112"/>
        <v>"C:\Program Files (x86)\AstroGrep\AstroGrep.exe" /e /r /s /spath="%USERPROFILE%\AppData\Local\Temp\OnboardLogs" /stypes="app*4006*20170310*" /stext=" 16:.+((SYSTEM_STATE.+slice.+state.+changed )|(ment ac)|(multiple cpu faults)|(system.+state.+changed )|(\[timeout)|(PRM\|1\|D)|(kpr)|(kdp)|(\|lc)|(penalty))"</v>
      </c>
      <c r="AG171" s="1" t="str">
        <f t="shared" si="124"/>
        <v>NW</v>
      </c>
      <c r="AH171" s="86" t="str">
        <f t="shared" si="113"/>
        <v>"%USERPROFILE%\Documents\GitHub\eaglep3\Utilities\RefineRTDCRunTimes.py" --tripid 813-10 --locoid 4006 --swversion DE.1.0.9.0 --startMP 204:1034 --initTime 2017-03-10T08:59:40 --startdatetime 2017-03-10T09:00:45 --delay 1 --endMP 300:58993 --enddatetime 2017-03-10T09:35:35 --enforcementcount 0 &gt;&gt;C:\Users\stu\Documents\GitHub\eaglep3-reporting\EC\2017-03-10-refined-times.txt</v>
      </c>
      <c r="AI171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{"issue":{"subject":"","project_id":79,"tracker_id":40,"status_id":1,"priority_id":2,"assigned_to_id":23,"start_date":"2017-03-10","description":"","custom_fields":[{"id":1,"name":"Subdivision","value":"NW"},{"id":4,"name":"Milepost","value":"5.8993"},{"id":17,"name":"Train ID","value":"813-10"},{"id":16,"name":"Locomotive ID","value":"4006"},{"id":130,"name":"Impact","value":""},{"id":150,"name":"Time of Event (Mountain Time)","value":"09:35:35"},{"id":151,"name":"Denver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15"/>
        <v>start /low /b %USERPROFILE%\Documents\GitHub\eaglep3\Utilities\DownloadLogsFromS3.py --loco 4006 --day 2017-03-10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</row>
    <row r="172" spans="1:91" x14ac:dyDescent="0.25">
      <c r="A172" s="33" t="s">
        <v>670</v>
      </c>
      <c r="B172" s="7">
        <v>4005</v>
      </c>
      <c r="C172" s="21" t="s">
        <v>239</v>
      </c>
      <c r="D172" s="21" t="s">
        <v>550</v>
      </c>
      <c r="E172" s="13">
        <v>42804.400949074072</v>
      </c>
      <c r="F172" s="13">
        <v>42804.401886574073</v>
      </c>
      <c r="G172" s="7">
        <v>1</v>
      </c>
      <c r="H172" s="21" t="s">
        <v>548</v>
      </c>
      <c r="I172" s="13">
        <v>42804.413541666669</v>
      </c>
      <c r="J172" s="7">
        <v>0</v>
      </c>
      <c r="K172" s="98" t="str">
        <f t="shared" si="117"/>
        <v>4005/4006</v>
      </c>
      <c r="L172" s="21" t="str">
        <f>VLOOKUP(A172,'Trips&amp;Operators'!$C$1:$G$99999,5,FALSE)</f>
        <v>SHOOK JOHN</v>
      </c>
      <c r="M172" s="6">
        <f t="shared" si="118"/>
        <v>1.1655092595901806E-2</v>
      </c>
      <c r="N172" s="7">
        <f t="shared" si="108"/>
        <v>16.783333338098601</v>
      </c>
      <c r="O172" s="7"/>
      <c r="P172" s="7"/>
      <c r="Q172" s="22"/>
      <c r="R172" s="22"/>
      <c r="S172" s="31">
        <f t="shared" si="109"/>
        <v>1</v>
      </c>
      <c r="T172" s="46" t="str">
        <f t="shared" si="119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110"/>
        <v>https://d0f6bd738d7f1b3e5a7ca70fe4ff75f0.us-east-1.aws.found.io/app/kibana#/discover/Steve-Slow-Train-Analysis-(2080s-and-2083s)?_g=(refreshInterval:(display:Off,pause:!f,section:0,value:0),time:(from:'2017-03-10T08:37:22-0700',mode:absolute,to:'2017-03-10T10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187" t="str">
        <f t="shared" si="120"/>
        <v>N</v>
      </c>
      <c r="X172" s="187">
        <f t="shared" si="125"/>
        <v>1</v>
      </c>
      <c r="Y172" s="62">
        <f t="shared" si="121"/>
        <v>5.8674999999999997</v>
      </c>
      <c r="Z172" s="62">
        <f t="shared" si="116"/>
        <v>7.3099999999999998E-2</v>
      </c>
      <c r="AA172" s="62">
        <f t="shared" si="122"/>
        <v>5.7943999999999996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123"/>
        <v>0814-10</v>
      </c>
      <c r="AE172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72" s="82" t="str">
        <f t="shared" si="112"/>
        <v>"C:\Program Files (x86)\AstroGrep\AstroGrep.exe" /e /r /s /spath="%USERPROFILE%\AppData\Local\Temp\OnboardLogs" /stypes="app*4005*20170310*" /stext=" 16:.+((SYSTEM_STATE.+slice.+state.+changed )|(ment ac)|(multiple cpu faults)|(system.+state.+changed )|(\[timeout)|(PRM\|1\|D)|(kpr)|(kdp)|(\|lc)|(penalty))"</v>
      </c>
      <c r="AG172" s="1" t="str">
        <f t="shared" si="124"/>
        <v>NW</v>
      </c>
      <c r="AH172" s="86" t="str">
        <f t="shared" si="113"/>
        <v>"%USERPROFILE%\Documents\GitHub\eaglep3\Utilities\RefineRTDCRunTimes.py" --tripid 814-10 --locoid 4005 --swversion DE.1.0.9.0 --startMP 300:58675 --initTime 2017-03-10T09:37:22 --startdatetime 2017-03-10T09:38:43 --delay 1 --endMP 204:731 --enddatetime 2017-03-10T09:55:30 --enforcementcount 0 &gt;&gt;C:\Users\stu\Documents\GitHub\eaglep3-reporting\EC\2017-03-10-refined-times.txt</v>
      </c>
      <c r="AI172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{"issue":{"subject":"","project_id":79,"tracker_id":40,"status_id":1,"priority_id":2,"assigned_to_id":23,"start_date":"2017-03-10","description":"","custom_fields":[{"id":1,"name":"Subdivision","value":"NW"},{"id":4,"name":"Milepost","value":"0.0731"},{"id":17,"name":"Train ID","value":"814-10"},{"id":16,"name":"Locomotive ID","value":"4005"},{"id":130,"name":"Impact","value":""},{"id":150,"name":"Time of Event (Mountain Time)","value":"09:55:30"},{"id":151,"name":"Denver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15"/>
        <v>start /low /b %USERPROFILE%\Documents\GitHub\eaglep3\Utilities\DownloadLogsFromS3.py --loco 4005 --day 2017-03-10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</row>
    <row r="173" spans="1:91" x14ac:dyDescent="0.25">
      <c r="A173" s="33" t="s">
        <v>673</v>
      </c>
      <c r="B173" s="7">
        <v>4006</v>
      </c>
      <c r="C173" s="21" t="s">
        <v>239</v>
      </c>
      <c r="D173" s="21" t="s">
        <v>952</v>
      </c>
      <c r="E173" s="13">
        <v>42804.414837962962</v>
      </c>
      <c r="F173" s="13">
        <v>42804.415671296294</v>
      </c>
      <c r="G173" s="7">
        <v>1</v>
      </c>
      <c r="H173" s="21" t="s">
        <v>546</v>
      </c>
      <c r="I173" s="13">
        <v>42804.441238425927</v>
      </c>
      <c r="J173" s="7">
        <v>0</v>
      </c>
      <c r="K173" s="98" t="str">
        <f t="shared" si="117"/>
        <v>4005/4006</v>
      </c>
      <c r="L173" s="21" t="str">
        <f>VLOOKUP(A173,'Trips&amp;Operators'!$C$1:$G$99999,5,FALSE)</f>
        <v>SHOOK JOHN</v>
      </c>
      <c r="M173" s="6">
        <f t="shared" si="118"/>
        <v>2.5567129632690921E-2</v>
      </c>
      <c r="N173" s="7">
        <f t="shared" si="108"/>
        <v>36.816666671074927</v>
      </c>
      <c r="O173" s="7"/>
      <c r="P173" s="7"/>
      <c r="Q173" s="22"/>
      <c r="R173" s="22"/>
      <c r="S173" s="31">
        <f t="shared" si="109"/>
        <v>1</v>
      </c>
      <c r="T173" s="46" t="str">
        <f t="shared" si="119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110"/>
        <v>https://d0f6bd738d7f1b3e5a7ca70fe4ff75f0.us-east-1.aws.found.io/app/kibana#/discover/Steve-Slow-Train-Analysis-(2080s-and-2083s)?_g=(refreshInterval:(display:Off,pause:!f,section:0,value:0),time:(from:'2017-03-10T08:57:22-0700',mode:absolute,to:'2017-03-10T11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3" s="187" t="str">
        <f t="shared" si="120"/>
        <v>N</v>
      </c>
      <c r="X173" s="187">
        <f t="shared" si="125"/>
        <v>1</v>
      </c>
      <c r="Y173" s="62">
        <f t="shared" si="121"/>
        <v>0.10199999999999999</v>
      </c>
      <c r="Z173" s="62">
        <f t="shared" si="116"/>
        <v>5.8994999999999997</v>
      </c>
      <c r="AA173" s="62">
        <f t="shared" si="122"/>
        <v>5.7974999999999994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123"/>
        <v>0815-10</v>
      </c>
      <c r="AE173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73" s="82" t="str">
        <f t="shared" si="112"/>
        <v>"C:\Program Files (x86)\AstroGrep\AstroGrep.exe" /e /r /s /spath="%USERPROFILE%\AppData\Local\Temp\OnboardLogs" /stypes="app*4006*20170310*" /stext=" 17:.+((SYSTEM_STATE.+slice.+state.+changed )|(ment ac)|(multiple cpu faults)|(system.+state.+changed )|(\[timeout)|(PRM\|1\|D)|(kpr)|(kdp)|(\|lc)|(penalty))"</v>
      </c>
      <c r="AG173" s="1" t="str">
        <f t="shared" si="124"/>
        <v>NW</v>
      </c>
      <c r="AH173" s="86" t="str">
        <f t="shared" si="113"/>
        <v>"%USERPROFILE%\Documents\GitHub\eaglep3\Utilities\RefineRTDCRunTimes.py" --tripid 815-10 --locoid 4006 --swversion DE.1.0.9.0 --startMP 204:1020 --initTime 2017-03-10T09:57:22 --startdatetime 2017-03-10T09:58:34 --delay 1 --endMP 300:58995 --enddatetime 2017-03-10T10:35:23 --enforcementcount 0 &gt;&gt;C:\Users\stu\Documents\GitHub\eaglep3-reporting\EC\2017-03-10-refined-times.txt</v>
      </c>
      <c r="AI173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{"issue":{"subject":"","project_id":79,"tracker_id":40,"status_id":1,"priority_id":2,"assigned_to_id":23,"start_date":"2017-03-10","description":"","custom_fields":[{"id":1,"name":"Subdivision","value":"NW"},{"id":4,"name":"Milepost","value":"5.8995"},{"id":17,"name":"Train ID","value":"815-10"},{"id":16,"name":"Locomotive ID","value":"4006"},{"id":130,"name":"Impact","value":""},{"id":150,"name":"Time of Event (Mountain Time)","value":"10:35:23"},{"id":151,"name":"Denver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15"/>
        <v>start /low /b %USERPROFILE%\Documents\GitHub\eaglep3\Utilities\DownloadLogsFromS3.py --loco 4006 --day 2017-03-10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</row>
    <row r="174" spans="1:91" s="20" customFormat="1" x14ac:dyDescent="0.25">
      <c r="A174" s="33" t="s">
        <v>679</v>
      </c>
      <c r="B174" s="7">
        <v>4005</v>
      </c>
      <c r="C174" s="21" t="s">
        <v>239</v>
      </c>
      <c r="D174" s="21" t="s">
        <v>953</v>
      </c>
      <c r="E174" s="13">
        <v>42804.442523148151</v>
      </c>
      <c r="F174" s="13">
        <v>42804.443379629629</v>
      </c>
      <c r="G174" s="7">
        <v>1</v>
      </c>
      <c r="H174" s="21" t="s">
        <v>940</v>
      </c>
      <c r="I174" s="13">
        <v>42804.455509259256</v>
      </c>
      <c r="J174" s="7">
        <v>0</v>
      </c>
      <c r="K174" s="98" t="str">
        <f t="shared" si="117"/>
        <v>4005/4006</v>
      </c>
      <c r="L174" s="21" t="str">
        <f>VLOOKUP(A174,'Trips&amp;Operators'!$C$1:$G$99999,5,FALSE)</f>
        <v>SHOOK JOHN</v>
      </c>
      <c r="M174" s="6">
        <f t="shared" si="118"/>
        <v>1.2129629627452232E-2</v>
      </c>
      <c r="N174" s="7">
        <f t="shared" si="108"/>
        <v>17.466666663531214</v>
      </c>
      <c r="O174" s="7"/>
      <c r="P174" s="7"/>
      <c r="Q174" s="22"/>
      <c r="R174" s="22"/>
      <c r="S174" s="31">
        <f t="shared" si="109"/>
        <v>1</v>
      </c>
      <c r="T174" s="46" t="str">
        <f t="shared" si="119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110"/>
        <v>https://d0f6bd738d7f1b3e5a7ca70fe4ff75f0.us-east-1.aws.found.io/app/kibana#/discover/Steve-Slow-Train-Analysis-(2080s-and-2083s)?_g=(refreshInterval:(display:Off,pause:!f,section:0,value:0),time:(from:'2017-03-10T09:37:14-0700',mode:absolute,to:'2017-03-10T11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4" s="187" t="str">
        <f t="shared" si="120"/>
        <v>N</v>
      </c>
      <c r="X174" s="187">
        <f t="shared" si="125"/>
        <v>1</v>
      </c>
      <c r="Y174" s="62">
        <f t="shared" si="121"/>
        <v>5.867</v>
      </c>
      <c r="Z174" s="62">
        <f t="shared" si="116"/>
        <v>7.2599999999999998E-2</v>
      </c>
      <c r="AA174" s="62">
        <f t="shared" si="122"/>
        <v>5.7943999999999996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123"/>
        <v>0816-10</v>
      </c>
      <c r="AE174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74" s="82" t="str">
        <f t="shared" si="112"/>
        <v>"C:\Program Files (x86)\AstroGrep\AstroGrep.exe" /e /r /s /spath="%USERPROFILE%\AppData\Local\Temp\OnboardLogs" /stypes="app*4005*20170310*" /stext=" 17:.+((SYSTEM_STATE.+slice.+state.+changed )|(ment ac)|(multiple cpu faults)|(system.+state.+changed )|(\[timeout)|(PRM\|1\|D)|(kpr)|(kdp)|(\|lc)|(penalty))"</v>
      </c>
      <c r="AG174" s="1" t="str">
        <f t="shared" si="124"/>
        <v>NW</v>
      </c>
      <c r="AH174" s="86" t="str">
        <f t="shared" si="113"/>
        <v>"%USERPROFILE%\Documents\GitHub\eaglep3\Utilities\RefineRTDCRunTimes.py" --tripid 816-10 --locoid 4005 --swversion DE.1.0.9.0 --startMP 300:58670 --initTime 2017-03-10T10:37:14 --startdatetime 2017-03-10T10:38:28 --delay 1 --endMP 204:726 --enddatetime 2017-03-10T10:55:56 --enforcementcount 0 &gt;&gt;C:\Users\stu\Documents\GitHub\eaglep3-reporting\EC\2017-03-10-refined-times.txt</v>
      </c>
      <c r="AI174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{"issue":{"subject":"","project_id":79,"tracker_id":40,"status_id":1,"priority_id":2,"assigned_to_id":23,"start_date":"2017-03-10","description":"","custom_fields":[{"id":1,"name":"Subdivision","value":"NW"},{"id":4,"name":"Milepost","value":"0.0726"},{"id":17,"name":"Train ID","value":"816-10"},{"id":16,"name":"Locomotive ID","value":"4005"},{"id":130,"name":"Impact","value":""},{"id":150,"name":"Time of Event (Mountain Time)","value":"10:55:56"},{"id":151,"name":"Denver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15"/>
        <v>start /low /b %USERPROFILE%\Documents\GitHub\eaglep3\Utilities\DownloadLogsFromS3.py --loco 4005 --day 2017-03-10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3" t="s">
        <v>681</v>
      </c>
      <c r="B175" s="7">
        <v>4006</v>
      </c>
      <c r="C175" s="21" t="s">
        <v>239</v>
      </c>
      <c r="D175" s="21" t="s">
        <v>549</v>
      </c>
      <c r="E175" s="13">
        <v>42804.456909722219</v>
      </c>
      <c r="F175" s="13">
        <v>42804.457835648151</v>
      </c>
      <c r="G175" s="7">
        <v>1</v>
      </c>
      <c r="H175" s="21" t="s">
        <v>954</v>
      </c>
      <c r="I175" s="13">
        <v>42804.483067129629</v>
      </c>
      <c r="J175" s="7">
        <v>0</v>
      </c>
      <c r="K175" s="98" t="str">
        <f t="shared" si="117"/>
        <v>4005/4006</v>
      </c>
      <c r="L175" s="21" t="str">
        <f>VLOOKUP(A175,'Trips&amp;Operators'!$C$1:$G$99999,5,FALSE)</f>
        <v>SHOOK JOHN</v>
      </c>
      <c r="M175" s="6">
        <f t="shared" si="118"/>
        <v>2.5231481478840578E-2</v>
      </c>
      <c r="N175" s="7">
        <f t="shared" ref="N175:N194" si="126">24*60*SUM($M175:$M175)</f>
        <v>36.333333329530433</v>
      </c>
      <c r="O175" s="7"/>
      <c r="P175" s="7"/>
      <c r="Q175" s="22"/>
      <c r="R175" s="22"/>
      <c r="S175" s="31">
        <f t="shared" ref="S175:S194" si="127">SUM(U175:U175)/IF(AG175="EC",12,1)</f>
        <v>1</v>
      </c>
      <c r="T175" s="46" t="str">
        <f t="shared" si="119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110"/>
        <v>https://d0f6bd738d7f1b3e5a7ca70fe4ff75f0.us-east-1.aws.found.io/app/kibana#/discover/Steve-Slow-Train-Analysis-(2080s-and-2083s)?_g=(refreshInterval:(display:Off,pause:!f,section:0,value:0),time:(from:'2017-03-10T09:57:57-0700',mode:absolute,to:'2017-03-10T12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5" s="187" t="str">
        <f t="shared" si="120"/>
        <v>N</v>
      </c>
      <c r="X175" s="187">
        <f t="shared" si="125"/>
        <v>1</v>
      </c>
      <c r="Y175" s="62">
        <f t="shared" si="121"/>
        <v>0.1016</v>
      </c>
      <c r="Z175" s="62">
        <f t="shared" si="116"/>
        <v>5.8987999999999996</v>
      </c>
      <c r="AA175" s="62">
        <f t="shared" si="122"/>
        <v>5.7971999999999992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123"/>
        <v>0817-10</v>
      </c>
      <c r="AE175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75" s="82" t="str">
        <f t="shared" si="112"/>
        <v>"C:\Program Files (x86)\AstroGrep\AstroGrep.exe" /e /r /s /spath="%USERPROFILE%\AppData\Local\Temp\OnboardLogs" /stypes="app*4006*20170310*" /stext=" 18:.+((SYSTEM_STATE.+slice.+state.+changed )|(ment ac)|(multiple cpu faults)|(system.+state.+changed )|(\[timeout)|(PRM\|1\|D)|(kpr)|(kdp)|(\|lc)|(penalty))"</v>
      </c>
      <c r="AG175" s="1" t="str">
        <f t="shared" si="124"/>
        <v>NW</v>
      </c>
      <c r="AH175" s="86" t="str">
        <f t="shared" si="113"/>
        <v>"%USERPROFILE%\Documents\GitHub\eaglep3\Utilities\RefineRTDCRunTimes.py" --tripid 817-10 --locoid 4006 --swversion DE.1.0.9.0 --startMP 204:1016 --initTime 2017-03-10T10:57:57 --startdatetime 2017-03-10T10:59:17 --delay 1 --endMP 300:58988 --enddatetime 2017-03-10T11:35:37 --enforcementcount 0 &gt;&gt;C:\Users\stu\Documents\GitHub\eaglep3-reporting\EC\2017-03-10-refined-times.txt</v>
      </c>
      <c r="AI175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{"issue":{"subject":"","project_id":79,"tracker_id":40,"status_id":1,"priority_id":2,"assigned_to_id":23,"start_date":"2017-03-10","description":"","custom_fields":[{"id":1,"name":"Subdivision","value":"NW"},{"id":4,"name":"Milepost","value":"5.8988"},{"id":17,"name":"Train ID","value":"817-10"},{"id":16,"name":"Locomotive ID","value":"4006"},{"id":130,"name":"Impact","value":""},{"id":150,"name":"Time of Event (Mountain Time)","value":"11:35:37"},{"id":151,"name":"Denver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15"/>
        <v>start /low /b %USERPROFILE%\Documents\GitHub\eaglep3\Utilities\DownloadLogsFromS3.py --loco 4006 --day 2017-03-10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3" t="s">
        <v>689</v>
      </c>
      <c r="B176" s="7">
        <v>4005</v>
      </c>
      <c r="C176" s="21" t="s">
        <v>239</v>
      </c>
      <c r="D176" s="21" t="s">
        <v>955</v>
      </c>
      <c r="E176" s="13">
        <v>42804.484710648147</v>
      </c>
      <c r="F176" s="13">
        <v>42804.485636574071</v>
      </c>
      <c r="G176" s="7">
        <v>1</v>
      </c>
      <c r="H176" s="21" t="s">
        <v>543</v>
      </c>
      <c r="I176" s="13">
        <v>42804.496747685182</v>
      </c>
      <c r="J176" s="7">
        <v>0</v>
      </c>
      <c r="K176" s="98" t="str">
        <f t="shared" si="117"/>
        <v>4005/4006</v>
      </c>
      <c r="L176" s="21" t="str">
        <f>VLOOKUP(A176,'Trips&amp;Operators'!$C$1:$G$99999,5,FALSE)</f>
        <v>SHOOK JOHN</v>
      </c>
      <c r="M176" s="6">
        <f t="shared" si="118"/>
        <v>1.1111111110949423E-2</v>
      </c>
      <c r="N176" s="7">
        <f t="shared" si="126"/>
        <v>15.999999999767169</v>
      </c>
      <c r="O176" s="7"/>
      <c r="P176" s="7"/>
      <c r="Q176" s="22"/>
      <c r="R176" s="22"/>
      <c r="S176" s="31">
        <f t="shared" si="127"/>
        <v>1</v>
      </c>
      <c r="T176" s="46" t="str">
        <f t="shared" si="119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110"/>
        <v>https://d0f6bd738d7f1b3e5a7ca70fe4ff75f0.us-east-1.aws.found.io/app/kibana#/discover/Steve-Slow-Train-Analysis-(2080s-and-2083s)?_g=(refreshInterval:(display:Off,pause:!f,section:0,value:0),time:(from:'2017-03-10T10:37:59-0700',mode:absolute,to:'2017-03-10T12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6" s="187" t="str">
        <f t="shared" si="120"/>
        <v>N</v>
      </c>
      <c r="X176" s="187">
        <f t="shared" si="125"/>
        <v>1</v>
      </c>
      <c r="Y176" s="62">
        <f t="shared" si="121"/>
        <v>5.8673000000000002</v>
      </c>
      <c r="Z176" s="62">
        <f t="shared" si="116"/>
        <v>7.3300000000000004E-2</v>
      </c>
      <c r="AA176" s="62">
        <f t="shared" si="122"/>
        <v>5.7940000000000005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123"/>
        <v>0818-10</v>
      </c>
      <c r="AE176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76" s="82" t="str">
        <f t="shared" si="112"/>
        <v>"C:\Program Files (x86)\AstroGrep\AstroGrep.exe" /e /r /s /spath="%USERPROFILE%\AppData\Local\Temp\OnboardLogs" /stypes="app*4005*20170310*" /stext=" 18:.+((SYSTEM_STATE.+slice.+state.+changed )|(ment ac)|(multiple cpu faults)|(system.+state.+changed )|(\[timeout)|(PRM\|1\|D)|(kpr)|(kdp)|(\|lc)|(penalty))"</v>
      </c>
      <c r="AG176" s="1" t="str">
        <f t="shared" si="124"/>
        <v>NW</v>
      </c>
      <c r="AH176" s="86" t="str">
        <f t="shared" si="113"/>
        <v>"%USERPROFILE%\Documents\GitHub\eaglep3\Utilities\RefineRTDCRunTimes.py" --tripid 818-10 --locoid 4005 --swversion DE.1.0.9.0 --startMP 300:58673 --initTime 2017-03-10T11:37:59 --startdatetime 2017-03-10T11:39:19 --delay 1 --endMP 204:733 --enddatetime 2017-03-10T11:55:19 --enforcementcount 0 &gt;&gt;C:\Users\stu\Documents\GitHub\eaglep3-reporting\EC\2017-03-10-refined-times.txt</v>
      </c>
      <c r="AI176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{"issue":{"subject":"","project_id":79,"tracker_id":40,"status_id":1,"priority_id":2,"assigned_to_id":23,"start_date":"2017-03-10","description":"","custom_fields":[{"id":1,"name":"Subdivision","value":"NW"},{"id":4,"name":"Milepost","value":"0.0733"},{"id":17,"name":"Train ID","value":"818-10"},{"id":16,"name":"Locomotive ID","value":"4005"},{"id":130,"name":"Impact","value":""},{"id":150,"name":"Time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15"/>
        <v>start /low /b %USERPROFILE%\Documents\GitHub\eaglep3\Utilities\DownloadLogsFromS3.py --loco 4005 --day 2017-03-10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693</v>
      </c>
      <c r="B177" s="7">
        <v>4006</v>
      </c>
      <c r="C177" s="21" t="s">
        <v>239</v>
      </c>
      <c r="D177" s="21" t="s">
        <v>956</v>
      </c>
      <c r="E177" s="13">
        <v>42804.498148148145</v>
      </c>
      <c r="F177" s="13">
        <v>42804.499039351853</v>
      </c>
      <c r="G177" s="7">
        <v>1</v>
      </c>
      <c r="H177" s="21" t="s">
        <v>954</v>
      </c>
      <c r="I177" s="13">
        <v>42804.52484953704</v>
      </c>
      <c r="J177" s="7">
        <v>0</v>
      </c>
      <c r="K177" s="98" t="str">
        <f t="shared" si="117"/>
        <v>4005/4006</v>
      </c>
      <c r="L177" s="21" t="str">
        <f>VLOOKUP(A177,'Trips&amp;Operators'!$C$1:$G$99999,5,FALSE)</f>
        <v>SHOOK JOHN</v>
      </c>
      <c r="M177" s="6">
        <f t="shared" si="118"/>
        <v>2.5810185186855961E-2</v>
      </c>
      <c r="N177" s="7">
        <f t="shared" si="126"/>
        <v>37.166666669072583</v>
      </c>
      <c r="O177" s="7"/>
      <c r="P177" s="7"/>
      <c r="Q177" s="22"/>
      <c r="R177" s="22"/>
      <c r="S177" s="31">
        <f t="shared" si="127"/>
        <v>1</v>
      </c>
      <c r="T177" s="46" t="str">
        <f t="shared" si="119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110"/>
        <v>https://d0f6bd738d7f1b3e5a7ca70fe4ff75f0.us-east-1.aws.found.io/app/kibana#/discover/Steve-Slow-Train-Analysis-(2080s-and-2083s)?_g=(refreshInterval:(display:Off,pause:!f,section:0,value:0),time:(from:'2017-03-10T10:57:20-0700',mode:absolute,to:'2017-03-10T13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7" s="187" t="str">
        <f t="shared" si="120"/>
        <v>N</v>
      </c>
      <c r="X177" s="187">
        <f t="shared" si="125"/>
        <v>1</v>
      </c>
      <c r="Y177" s="62">
        <f t="shared" si="121"/>
        <v>0.1018</v>
      </c>
      <c r="Z177" s="62">
        <f t="shared" si="116"/>
        <v>5.8987999999999996</v>
      </c>
      <c r="AA177" s="62">
        <f t="shared" si="122"/>
        <v>5.7969999999999997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123"/>
        <v>0819-10</v>
      </c>
      <c r="AE177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77" s="82" t="str">
        <f t="shared" si="112"/>
        <v>"C:\Program Files (x86)\AstroGrep\AstroGrep.exe" /e /r /s /spath="%USERPROFILE%\AppData\Local\Temp\OnboardLogs" /stypes="app*4006*20170310*" /stext=" 19:.+((SYSTEM_STATE.+slice.+state.+changed )|(ment ac)|(multiple cpu faults)|(system.+state.+changed )|(\[timeout)|(PRM\|1\|D)|(kpr)|(kdp)|(\|lc)|(penalty))"</v>
      </c>
      <c r="AG177" s="1" t="str">
        <f t="shared" si="124"/>
        <v>NW</v>
      </c>
      <c r="AH177" s="86" t="str">
        <f t="shared" si="113"/>
        <v>"%USERPROFILE%\Documents\GitHub\eaglep3\Utilities\RefineRTDCRunTimes.py" --tripid 819-10 --locoid 4006 --swversion DE.1.0.9.0 --startMP 204:1018 --initTime 2017-03-10T11:57:20 --startdatetime 2017-03-10T11:58:37 --delay 1 --endMP 300:58988 --enddatetime 2017-03-10T12:35:47 --enforcementcount 0 &gt;&gt;C:\Users\stu\Documents\GitHub\eaglep3-reporting\EC\2017-03-10-refined-times.txt</v>
      </c>
      <c r="AI177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{"issue":{"subject":"","project_id":79,"tracker_id":40,"status_id":1,"priority_id":2,"assigned_to_id":23,"start_date":"2017-03-10","description":"","custom_fields":[{"id":1,"name":"Subdivision","value":"NW"},{"id":4,"name":"Milepost","value":"5.8988"},{"id":17,"name":"Train ID","value":"819-10"},{"id":16,"name":"Locomotive ID","value":"4006"},{"id":130,"name":"Impact","value":""},{"id":150,"name":"Time of Event (Mountain Time)","value":"12:35:47"},{"id":151,"name":"Denver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15"/>
        <v>start /low /b %USERPROFILE%\Documents\GitHub\eaglep3\Utilities\DownloadLogsFromS3.py --loco 4006 --day 2017-03-10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</row>
    <row r="178" spans="1:91" s="20" customFormat="1" x14ac:dyDescent="0.25">
      <c r="A178" s="33" t="s">
        <v>701</v>
      </c>
      <c r="B178" s="7">
        <v>4005</v>
      </c>
      <c r="C178" s="21" t="s">
        <v>239</v>
      </c>
      <c r="D178" s="21" t="s">
        <v>955</v>
      </c>
      <c r="E178" s="13">
        <v>42804.525949074072</v>
      </c>
      <c r="F178" s="13">
        <v>42804.52684027778</v>
      </c>
      <c r="G178" s="7">
        <v>1</v>
      </c>
      <c r="H178" s="21" t="s">
        <v>957</v>
      </c>
      <c r="I178" s="13">
        <v>42804.540543981479</v>
      </c>
      <c r="J178" s="7">
        <v>0</v>
      </c>
      <c r="K178" s="98" t="str">
        <f t="shared" si="117"/>
        <v>4005/4006</v>
      </c>
      <c r="L178" s="21" t="str">
        <f>VLOOKUP(A178,'Trips&amp;Operators'!$C$1:$G$99999,5,FALSE)</f>
        <v>SHOOK JOHN</v>
      </c>
      <c r="M178" s="6">
        <f t="shared" si="118"/>
        <v>1.3703703698411118E-2</v>
      </c>
      <c r="N178" s="7">
        <f t="shared" si="126"/>
        <v>19.73333332571201</v>
      </c>
      <c r="O178" s="7"/>
      <c r="P178" s="7"/>
      <c r="Q178" s="22"/>
      <c r="R178" s="22"/>
      <c r="S178" s="31">
        <f t="shared" si="127"/>
        <v>1</v>
      </c>
      <c r="T178" s="46" t="str">
        <f t="shared" si="119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110"/>
        <v>https://d0f6bd738d7f1b3e5a7ca70fe4ff75f0.us-east-1.aws.found.io/app/kibana#/discover/Steve-Slow-Train-Analysis-(2080s-and-2083s)?_g=(refreshInterval:(display:Off,pause:!f,section:0,value:0),time:(from:'2017-03-10T11:37:22-0700',mode:absolute,to:'2017-03-10T13:58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8" s="187" t="str">
        <f t="shared" si="120"/>
        <v>N</v>
      </c>
      <c r="X178" s="187">
        <f t="shared" si="125"/>
        <v>1</v>
      </c>
      <c r="Y178" s="62">
        <f t="shared" si="121"/>
        <v>5.8673000000000002</v>
      </c>
      <c r="Z178" s="62">
        <f t="shared" si="116"/>
        <v>7.6399999999999996E-2</v>
      </c>
      <c r="AA178" s="62">
        <f t="shared" si="122"/>
        <v>5.7909000000000006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123"/>
        <v>0820-10</v>
      </c>
      <c r="AE178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78" s="82" t="str">
        <f t="shared" si="112"/>
        <v>"C:\Program Files (x86)\AstroGrep\AstroGrep.exe" /e /r /s /spath="%USERPROFILE%\AppData\Local\Temp\OnboardLogs" /stypes="app*4005*20170310*" /stext=" 19:.+((SYSTEM_STATE.+slice.+state.+changed )|(ment ac)|(multiple cpu faults)|(system.+state.+changed )|(\[timeout)|(PRM\|1\|D)|(kpr)|(kdp)|(\|lc)|(penalty))"</v>
      </c>
      <c r="AG178" s="1" t="str">
        <f t="shared" si="124"/>
        <v>NW</v>
      </c>
      <c r="AH178" s="86" t="str">
        <f t="shared" si="113"/>
        <v>"%USERPROFILE%\Documents\GitHub\eaglep3\Utilities\RefineRTDCRunTimes.py" --tripid 820-10 --locoid 4005 --swversion DE.1.0.9.0 --startMP 300:58673 --initTime 2017-03-10T12:37:22 --startdatetime 2017-03-10T12:38:39 --delay 1 --endMP 204:764 --enddatetime 2017-03-10T12:58:23 --enforcementcount 0 &gt;&gt;C:\Users\stu\Documents\GitHub\eaglep3-reporting\EC\2017-03-10-refined-times.txt</v>
      </c>
      <c r="AI178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{"issue":{"subject":"","project_id":79,"tracker_id":40,"status_id":1,"priority_id":2,"assigned_to_id":23,"start_date":"2017-03-10","description":"","custom_fields":[{"id":1,"name":"Subdivision","value":"NW"},{"id":4,"name":"Milepost","value":"0.0764"},{"id":17,"name":"Train ID","value":"820-10"},{"id":16,"name":"Locomotive ID","value":"4005"},{"id":130,"name":"Impact","value":""},{"id":150,"name":"Time of Event (Mountain Time)","value":"12:58:23"},{"id":151,"name":"Denver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15"/>
        <v>start /low /b %USERPROFILE%\Documents\GitHub\eaglep3\Utilities\DownloadLogsFromS3.py --loco 4005 --day 2017-03-10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706</v>
      </c>
      <c r="B179" s="7">
        <v>4006</v>
      </c>
      <c r="C179" s="21" t="s">
        <v>239</v>
      </c>
      <c r="D179" s="21" t="s">
        <v>958</v>
      </c>
      <c r="E179" s="13">
        <v>42804.547337962962</v>
      </c>
      <c r="F179" s="13">
        <v>42804.548587962963</v>
      </c>
      <c r="G179" s="7">
        <v>1</v>
      </c>
      <c r="H179" s="21" t="s">
        <v>538</v>
      </c>
      <c r="I179" s="13">
        <v>42804.566296296296</v>
      </c>
      <c r="J179" s="7">
        <v>0</v>
      </c>
      <c r="K179" s="98" t="str">
        <f t="shared" si="117"/>
        <v>4005/4006</v>
      </c>
      <c r="L179" s="21" t="str">
        <f>VLOOKUP(A179,'Trips&amp;Operators'!$C$1:$G$99999,5,FALSE)</f>
        <v>MCREYNOLDS KYLE</v>
      </c>
      <c r="M179" s="6">
        <f t="shared" si="118"/>
        <v>1.7708333332848269E-2</v>
      </c>
      <c r="N179" s="7">
        <f t="shared" si="126"/>
        <v>25.499999999301508</v>
      </c>
      <c r="O179" s="7"/>
      <c r="P179" s="7"/>
      <c r="Q179" s="22"/>
      <c r="R179" s="22"/>
      <c r="S179" s="31">
        <f t="shared" si="127"/>
        <v>1</v>
      </c>
      <c r="T179" s="46" t="str">
        <f t="shared" si="119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110"/>
        <v>https://d0f6bd738d7f1b3e5a7ca70fe4ff75f0.us-east-1.aws.found.io/app/kibana#/discover/Steve-Slow-Train-Analysis-(2080s-and-2083s)?_g=(refreshInterval:(display:Off,pause:!f,section:0,value:0),time:(from:'2017-03-10T12:08:10-0700',mode:absolute,to:'2017-03-10T14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9" s="187" t="str">
        <f t="shared" si="120"/>
        <v>N</v>
      </c>
      <c r="X179" s="187">
        <f t="shared" si="125"/>
        <v>1</v>
      </c>
      <c r="Y179" s="62">
        <f t="shared" si="121"/>
        <v>0.1032</v>
      </c>
      <c r="Z179" s="62">
        <f t="shared" si="116"/>
        <v>5.8929</v>
      </c>
      <c r="AA179" s="62">
        <f t="shared" si="122"/>
        <v>5.7896999999999998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123"/>
        <v>0821-10</v>
      </c>
      <c r="AE179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79" s="82" t="str">
        <f t="shared" si="112"/>
        <v>"C:\Program Files (x86)\AstroGrep\AstroGrep.exe" /e /r /s /spath="%USERPROFILE%\AppData\Local\Temp\OnboardLogs" /stypes="app*4006*20170310*" /stext=" 20:.+((SYSTEM_STATE.+slice.+state.+changed )|(ment ac)|(multiple cpu faults)|(system.+state.+changed )|(\[timeout)|(PRM\|1\|D)|(kpr)|(kdp)|(\|lc)|(penalty))"</v>
      </c>
      <c r="AG179" s="1" t="str">
        <f t="shared" si="124"/>
        <v>NW</v>
      </c>
      <c r="AH179" s="86" t="str">
        <f t="shared" si="113"/>
        <v>"%USERPROFILE%\Documents\GitHub\eaglep3\Utilities\RefineRTDCRunTimes.py" --tripid 821-10 --locoid 4006 --swversion DE.1.0.9.0 --startMP 204:1032 --initTime 2017-03-10T13:08:10 --startdatetime 2017-03-10T13:09:58 --delay 1 --endMP 300:58929 --enddatetime 2017-03-10T13:35:28 --enforcementcount 0 &gt;&gt;C:\Users\stu\Documents\GitHub\eaglep3-reporting\EC\2017-03-10-refined-times.txt</v>
      </c>
      <c r="AI179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{"issue":{"subject":"","project_id":79,"tracker_id":40,"status_id":1,"priority_id":2,"assigned_to_id":23,"start_date":"2017-03-10","description":"","custom_fields":[{"id":1,"name":"Subdivision","value":"NW"},{"id":4,"name":"Milepost","value":"5.8929"},{"id":17,"name":"Train ID","value":"821-10"},{"id":16,"name":"Locomotive ID","value":"4006"},{"id":130,"name":"Impact","value":""},{"id":150,"name":"Time of Event (Mountain Time)","value":"13:35:28"},{"id":151,"name":"Denver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15"/>
        <v>start /low /b %USERPROFILE%\Documents\GitHub\eaglep3\Utilities\DownloadLogsFromS3.py --loco 4006 --day 2017-03-10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</row>
    <row r="180" spans="1:91" s="20" customFormat="1" x14ac:dyDescent="0.25">
      <c r="A180" s="33" t="s">
        <v>710</v>
      </c>
      <c r="B180" s="7">
        <v>4005</v>
      </c>
      <c r="C180" s="21" t="s">
        <v>239</v>
      </c>
      <c r="D180" s="21" t="s">
        <v>542</v>
      </c>
      <c r="E180" s="13">
        <v>42804.567106481481</v>
      </c>
      <c r="F180" s="13">
        <v>42804.568159722221</v>
      </c>
      <c r="G180" s="7">
        <v>1</v>
      </c>
      <c r="H180" s="21" t="s">
        <v>491</v>
      </c>
      <c r="I180" s="13">
        <v>42804.581145833334</v>
      </c>
      <c r="J180" s="7">
        <v>0</v>
      </c>
      <c r="K180" s="98" t="str">
        <f t="shared" si="117"/>
        <v>4005/4006</v>
      </c>
      <c r="L180" s="21" t="str">
        <f>VLOOKUP(A180,'Trips&amp;Operators'!$C$1:$G$99999,5,FALSE)</f>
        <v>MCREYNOLDS KYLE</v>
      </c>
      <c r="M180" s="6">
        <f t="shared" si="118"/>
        <v>1.2986111112695653E-2</v>
      </c>
      <c r="N180" s="7">
        <f t="shared" si="126"/>
        <v>18.70000000228174</v>
      </c>
      <c r="O180" s="7"/>
      <c r="P180" s="7"/>
      <c r="Q180" s="22"/>
      <c r="R180" s="22"/>
      <c r="S180" s="31">
        <f t="shared" si="127"/>
        <v>1</v>
      </c>
      <c r="T180" s="46" t="str">
        <f t="shared" si="119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110"/>
        <v>https://d0f6bd738d7f1b3e5a7ca70fe4ff75f0.us-east-1.aws.found.io/app/kibana#/discover/Steve-Slow-Train-Analysis-(2080s-and-2083s)?_g=(refreshInterval:(display:Off,pause:!f,section:0,value:0),time:(from:'2017-03-10T12:36:38-0700',mode:absolute,to:'2017-03-10T14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0" s="187" t="str">
        <f t="shared" si="120"/>
        <v>N</v>
      </c>
      <c r="X180" s="187">
        <f t="shared" si="125"/>
        <v>1</v>
      </c>
      <c r="Y180" s="62">
        <f t="shared" si="121"/>
        <v>5.8611000000000004</v>
      </c>
      <c r="Z180" s="62">
        <f t="shared" ref="Z180:Z211" si="128">RIGHT(H180,LEN(H180)-4)/10000</f>
        <v>6.8500000000000005E-2</v>
      </c>
      <c r="AA180" s="62">
        <f t="shared" si="122"/>
        <v>5.7926000000000002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123"/>
        <v>0822-10</v>
      </c>
      <c r="AE180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80" s="82" t="str">
        <f t="shared" si="112"/>
        <v>"C:\Program Files (x86)\AstroGrep\AstroGrep.exe" /e /r /s /spath="%USERPROFILE%\AppData\Local\Temp\OnboardLogs" /stypes="app*4005*20170310*" /stext=" 20:.+((SYSTEM_STATE.+slice.+state.+changed )|(ment ac)|(multiple cpu faults)|(system.+state.+changed )|(\[timeout)|(PRM\|1\|D)|(kpr)|(kdp)|(\|lc)|(penalty))"</v>
      </c>
      <c r="AG180" s="1" t="str">
        <f t="shared" si="124"/>
        <v>NW</v>
      </c>
      <c r="AH180" s="86" t="str">
        <f t="shared" si="113"/>
        <v>"%USERPROFILE%\Documents\GitHub\eaglep3\Utilities\RefineRTDCRunTimes.py" --tripid 822-10 --locoid 4005 --swversion DE.1.0.9.0 --startMP 300:58611 --initTime 2017-03-10T13:36:38 --startdatetime 2017-03-10T13:38:09 --delay 1 --endMP 204:685 --enddatetime 2017-03-10T13:56:51 --enforcementcount 0 &gt;&gt;C:\Users\stu\Documents\GitHub\eaglep3-reporting\EC\2017-03-10-refined-times.txt</v>
      </c>
      <c r="AI180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{"issue":{"subject":"","project_id":79,"tracker_id":40,"status_id":1,"priority_id":2,"assigned_to_id":23,"start_date":"2017-03-10","description":"","custom_fields":[{"id":1,"name":"Subdivision","value":"NW"},{"id":4,"name":"Milepost","value":"0.0685"},{"id":17,"name":"Train ID","value":"822-10"},{"id":16,"name":"Locomotive ID","value":"4005"},{"id":130,"name":"Impact","value":""},{"id":150,"name":"Time of Event (Mountain Time)","value":"13:56:51"},{"id":151,"name":"Denver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15"/>
        <v>start /low /b %USERPROFILE%\Documents\GitHub\eaglep3\Utilities\DownloadLogsFromS3.py --loco 4005 --day 2017-03-10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714</v>
      </c>
      <c r="B181" s="7">
        <v>4006</v>
      </c>
      <c r="C181" s="21" t="s">
        <v>239</v>
      </c>
      <c r="D181" s="21" t="s">
        <v>959</v>
      </c>
      <c r="E181" s="13">
        <v>42804.585069444445</v>
      </c>
      <c r="F181" s="13">
        <v>42804.585960648146</v>
      </c>
      <c r="G181" s="7">
        <v>1</v>
      </c>
      <c r="H181" s="21" t="s">
        <v>960</v>
      </c>
      <c r="I181" s="13">
        <v>42804.607777777775</v>
      </c>
      <c r="J181" s="7">
        <v>0</v>
      </c>
      <c r="K181" s="98" t="str">
        <f t="shared" si="117"/>
        <v>4005/4006</v>
      </c>
      <c r="L181" s="21" t="str">
        <f>VLOOKUP(A181,'Trips&amp;Operators'!$C$1:$G$99999,5,FALSE)</f>
        <v>MCREYNOLDS KYLE</v>
      </c>
      <c r="M181" s="6">
        <f t="shared" si="118"/>
        <v>2.1817129629198462E-2</v>
      </c>
      <c r="N181" s="7">
        <f t="shared" si="126"/>
        <v>31.416666666045785</v>
      </c>
      <c r="O181" s="7"/>
      <c r="P181" s="7"/>
      <c r="Q181" s="22"/>
      <c r="R181" s="22"/>
      <c r="S181" s="31">
        <f t="shared" si="127"/>
        <v>1</v>
      </c>
      <c r="T181" s="46" t="str">
        <f t="shared" si="119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110"/>
        <v>https://d0f6bd738d7f1b3e5a7ca70fe4ff75f0.us-east-1.aws.found.io/app/kibana#/discover/Steve-Slow-Train-Analysis-(2080s-and-2083s)?_g=(refreshInterval:(display:Off,pause:!f,section:0,value:0),time:(from:'2017-03-10T13:02:30-0700',mode:absolute,to:'2017-03-10T15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1" s="187" t="str">
        <f t="shared" si="120"/>
        <v>N</v>
      </c>
      <c r="X181" s="187">
        <f t="shared" si="125"/>
        <v>1</v>
      </c>
      <c r="Y181" s="62">
        <f t="shared" si="121"/>
        <v>9.9199999999999997E-2</v>
      </c>
      <c r="Z181" s="62">
        <f t="shared" si="128"/>
        <v>5.8940999999999999</v>
      </c>
      <c r="AA181" s="62">
        <f t="shared" si="122"/>
        <v>5.7949000000000002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123"/>
        <v>0823-10</v>
      </c>
      <c r="AE181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81" s="82" t="str">
        <f t="shared" si="112"/>
        <v>"C:\Program Files (x86)\AstroGrep\AstroGrep.exe" /e /r /s /spath="%USERPROFILE%\AppData\Local\Temp\OnboardLogs" /stypes="app*4006*20170310*" /stext=" 21:.+((SYSTEM_STATE.+slice.+state.+changed )|(ment ac)|(multiple cpu faults)|(system.+state.+changed )|(\[timeout)|(PRM\|1\|D)|(kpr)|(kdp)|(\|lc)|(penalty))"</v>
      </c>
      <c r="AG181" s="1" t="str">
        <f t="shared" si="124"/>
        <v>NW</v>
      </c>
      <c r="AH181" s="86" t="str">
        <f t="shared" si="113"/>
        <v>"%USERPROFILE%\Documents\GitHub\eaglep3\Utilities\RefineRTDCRunTimes.py" --tripid 823-10 --locoid 4006 --swversion DE.1.0.9.0 --startMP 204:992 --initTime 2017-03-10T14:02:30 --startdatetime 2017-03-10T14:03:47 --delay 1 --endMP 300:58941 --enddatetime 2017-03-10T14:35:12 --enforcementcount 0 &gt;&gt;C:\Users\stu\Documents\GitHub\eaglep3-reporting\EC\2017-03-10-refined-times.txt</v>
      </c>
      <c r="AI181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{"issue":{"subject":"","project_id":79,"tracker_id":40,"status_id":1,"priority_id":2,"assigned_to_id":23,"start_date":"2017-03-10","description":"","custom_fields":[{"id":1,"name":"Subdivision","value":"NW"},{"id":4,"name":"Milepost","value":"5.8941"},{"id":17,"name":"Train ID","value":"823-10"},{"id":16,"name":"Locomotive ID","value":"4006"},{"id":130,"name":"Impact","value":""},{"id":150,"name":"Time of Event (Mountain Time)","value":"14:35:12"},{"id":151,"name":"Denver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15"/>
        <v>start /low /b %USERPROFILE%\Documents\GitHub\eaglep3\Utilities\DownloadLogsFromS3.py --loco 4006 --day 2017-03-10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</row>
    <row r="182" spans="1:91" s="20" customFormat="1" x14ac:dyDescent="0.25">
      <c r="A182" s="33" t="s">
        <v>720</v>
      </c>
      <c r="B182" s="7">
        <v>4005</v>
      </c>
      <c r="C182" s="21" t="s">
        <v>239</v>
      </c>
      <c r="D182" s="21" t="s">
        <v>928</v>
      </c>
      <c r="E182" s="13">
        <v>42804.6090625</v>
      </c>
      <c r="F182" s="13">
        <v>42804.610023148147</v>
      </c>
      <c r="G182" s="7">
        <v>1</v>
      </c>
      <c r="H182" s="21" t="s">
        <v>438</v>
      </c>
      <c r="I182" s="13">
        <v>42804.621678240743</v>
      </c>
      <c r="J182" s="7">
        <v>0</v>
      </c>
      <c r="K182" s="98" t="str">
        <f t="shared" si="117"/>
        <v>4005/4006</v>
      </c>
      <c r="L182" s="21" t="str">
        <f>VLOOKUP(A182,'Trips&amp;Operators'!$C$1:$G$99999,5,FALSE)</f>
        <v>MCREYNOLDS KYLE</v>
      </c>
      <c r="M182" s="6">
        <f t="shared" si="118"/>
        <v>1.1655092595901806E-2</v>
      </c>
      <c r="N182" s="7">
        <f t="shared" si="126"/>
        <v>16.783333338098601</v>
      </c>
      <c r="O182" s="7"/>
      <c r="P182" s="7"/>
      <c r="Q182" s="22"/>
      <c r="R182" s="22"/>
      <c r="S182" s="31">
        <f t="shared" si="127"/>
        <v>1</v>
      </c>
      <c r="T182" s="46" t="str">
        <f t="shared" si="119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110"/>
        <v>https://d0f6bd738d7f1b3e5a7ca70fe4ff75f0.us-east-1.aws.found.io/app/kibana#/discover/Steve-Slow-Train-Analysis-(2080s-and-2083s)?_g=(refreshInterval:(display:Off,pause:!f,section:0,value:0),time:(from:'2017-03-10T13:37:03-0700',mode:absolute,to:'2017-03-10T15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2" s="187" t="str">
        <f t="shared" si="120"/>
        <v>N</v>
      </c>
      <c r="X182" s="187">
        <f t="shared" si="125"/>
        <v>1</v>
      </c>
      <c r="Y182" s="62">
        <f t="shared" si="121"/>
        <v>5.8616999999999999</v>
      </c>
      <c r="Z182" s="62">
        <f t="shared" si="128"/>
        <v>6.7799999999999999E-2</v>
      </c>
      <c r="AA182" s="62">
        <f t="shared" si="122"/>
        <v>5.7938999999999998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123"/>
        <v>0824-10</v>
      </c>
      <c r="AE182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82" s="82" t="str">
        <f t="shared" si="112"/>
        <v>"C:\Program Files (x86)\AstroGrep\AstroGrep.exe" /e /r /s /spath="%USERPROFILE%\AppData\Local\Temp\OnboardLogs" /stypes="app*4005*20170310*" /stext=" 21:.+((SYSTEM_STATE.+slice.+state.+changed )|(ment ac)|(multiple cpu faults)|(system.+state.+changed )|(\[timeout)|(PRM\|1\|D)|(kpr)|(kdp)|(\|lc)|(penalty))"</v>
      </c>
      <c r="AG182" s="1" t="str">
        <f t="shared" si="124"/>
        <v>NW</v>
      </c>
      <c r="AH182" s="86" t="str">
        <f t="shared" si="113"/>
        <v>"%USERPROFILE%\Documents\GitHub\eaglep3\Utilities\RefineRTDCRunTimes.py" --tripid 824-10 --locoid 4005 --swversion DE.1.0.9.0 --startMP 300:58617 --initTime 2017-03-10T14:37:03 --startdatetime 2017-03-10T14:38:26 --delay 1 --endMP 204:678 --enddatetime 2017-03-10T14:55:13 --enforcementcount 0 &gt;&gt;C:\Users\stu\Documents\GitHub\eaglep3-reporting\EC\2017-03-10-refined-times.txt</v>
      </c>
      <c r="AI182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{"issue":{"subject":"","project_id":79,"tracker_id":40,"status_id":1,"priority_id":2,"assigned_to_id":23,"start_date":"2017-03-10","description":"","custom_fields":[{"id":1,"name":"Subdivision","value":"NW"},{"id":4,"name":"Milepost","value":"0.0678"},{"id":17,"name":"Train ID","value":"824-10"},{"id":16,"name":"Locomotive ID","value":"4005"},{"id":130,"name":"Impact","value":""},{"id":150,"name":"Time of Event (Mountain Time)","value":"14:55:13"},{"id":151,"name":"Denver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15"/>
        <v>start /low /b %USERPROFILE%\Documents\GitHub\eaglep3\Utilities\DownloadLogsFromS3.py --loco 4005 --day 2017-03-10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722</v>
      </c>
      <c r="B183" s="7">
        <v>4006</v>
      </c>
      <c r="C183" s="21" t="s">
        <v>239</v>
      </c>
      <c r="D183" s="21" t="s">
        <v>553</v>
      </c>
      <c r="E183" s="13">
        <v>42804.623020833336</v>
      </c>
      <c r="F183" s="13">
        <v>42804.623900462961</v>
      </c>
      <c r="G183" s="7">
        <v>1</v>
      </c>
      <c r="H183" s="21" t="s">
        <v>961</v>
      </c>
      <c r="I183" s="13">
        <v>42804.649814814817</v>
      </c>
      <c r="J183" s="7">
        <v>0</v>
      </c>
      <c r="K183" s="98" t="str">
        <f t="shared" si="117"/>
        <v>4005/4006</v>
      </c>
      <c r="L183" s="21" t="str">
        <f>VLOOKUP(A183,'Trips&amp;Operators'!$C$1:$G$99999,5,FALSE)</f>
        <v>MCREYNOLDS KYLE</v>
      </c>
      <c r="M183" s="6">
        <f t="shared" si="118"/>
        <v>2.5914351856044959E-2</v>
      </c>
      <c r="N183" s="7">
        <f t="shared" si="126"/>
        <v>37.316666672704741</v>
      </c>
      <c r="O183" s="7"/>
      <c r="P183" s="7"/>
      <c r="Q183" s="22"/>
      <c r="R183" s="22"/>
      <c r="S183" s="31">
        <f t="shared" si="127"/>
        <v>1</v>
      </c>
      <c r="T183" s="46" t="str">
        <f t="shared" si="119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110"/>
        <v>https://d0f6bd738d7f1b3e5a7ca70fe4ff75f0.us-east-1.aws.found.io/app/kibana#/discover/Steve-Slow-Train-Analysis-(2080s-and-2083s)?_g=(refreshInterval:(display:Off,pause:!f,section:0,value:0),time:(from:'2017-03-10T13:57:09-0700',mode:absolute,to:'2017-03-10T16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3" s="187" t="str">
        <f t="shared" si="120"/>
        <v>N</v>
      </c>
      <c r="X183" s="187">
        <f t="shared" si="125"/>
        <v>1</v>
      </c>
      <c r="Y183" s="62">
        <f t="shared" si="121"/>
        <v>9.9699999999999997E-2</v>
      </c>
      <c r="Z183" s="62">
        <f t="shared" si="128"/>
        <v>5.8936999999999999</v>
      </c>
      <c r="AA183" s="62">
        <f t="shared" si="122"/>
        <v>5.7939999999999996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123"/>
        <v>0825-10</v>
      </c>
      <c r="AE183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83" s="82" t="str">
        <f t="shared" si="112"/>
        <v>"C:\Program Files (x86)\AstroGrep\AstroGrep.exe" /e /r /s /spath="%USERPROFILE%\AppData\Local\Temp\OnboardLogs" /stypes="app*4006*20170310*" /stext=" 22:.+((SYSTEM_STATE.+slice.+state.+changed )|(ment ac)|(multiple cpu faults)|(system.+state.+changed )|(\[timeout)|(PRM\|1\|D)|(kpr)|(kdp)|(\|lc)|(penalty))"</v>
      </c>
      <c r="AG183" s="1" t="str">
        <f t="shared" si="124"/>
        <v>NW</v>
      </c>
      <c r="AH183" s="86" t="str">
        <f t="shared" si="113"/>
        <v>"%USERPROFILE%\Documents\GitHub\eaglep3\Utilities\RefineRTDCRunTimes.py" --tripid 825-10 --locoid 4006 --swversion DE.1.0.9.0 --startMP 204:997 --initTime 2017-03-10T14:57:09 --startdatetime 2017-03-10T14:58:25 --delay 1 --endMP 300:58937 --enddatetime 2017-03-10T15:35:44 --enforcementcount 0 &gt;&gt;C:\Users\stu\Documents\GitHub\eaglep3-reporting\EC\2017-03-10-refined-times.txt</v>
      </c>
      <c r="AI183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{"issue":{"subject":"","project_id":79,"tracker_id":40,"status_id":1,"priority_id":2,"assigned_to_id":23,"start_date":"2017-03-10","description":"","custom_fields":[{"id":1,"name":"Subdivision","value":"NW"},{"id":4,"name":"Milepost","value":"5.8937"},{"id":17,"name":"Train ID","value":"825-10"},{"id":16,"name":"Locomotive ID","value":"4006"},{"id":130,"name":"Impact","value":""},{"id":150,"name":"Time of Event (Mountain Time)","value":"15:35:44"},{"id":151,"name":"Denver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15"/>
        <v>start /low /b %USERPROFILE%\Documents\GitHub\eaglep3\Utilities\DownloadLogsFromS3.py --loco 4006 --day 2017-03-10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</row>
    <row r="184" spans="1:91" x14ac:dyDescent="0.25">
      <c r="A184" s="33" t="s">
        <v>728</v>
      </c>
      <c r="B184" s="7">
        <v>4005</v>
      </c>
      <c r="C184" s="21" t="s">
        <v>239</v>
      </c>
      <c r="D184" s="21" t="s">
        <v>492</v>
      </c>
      <c r="E184" s="13">
        <v>42804.650717592594</v>
      </c>
      <c r="F184" s="13">
        <v>42804.651747685188</v>
      </c>
      <c r="G184" s="7">
        <v>1</v>
      </c>
      <c r="H184" s="21" t="s">
        <v>962</v>
      </c>
      <c r="I184" s="13">
        <v>42804.663969907408</v>
      </c>
      <c r="J184" s="7">
        <v>0</v>
      </c>
      <c r="K184" s="98" t="str">
        <f t="shared" si="117"/>
        <v>4005/4006</v>
      </c>
      <c r="L184" s="21" t="str">
        <f>VLOOKUP(A184,'Trips&amp;Operators'!$C$1:$G$99999,5,FALSE)</f>
        <v>MCREYNOLDS KYLE</v>
      </c>
      <c r="M184" s="6">
        <f t="shared" si="118"/>
        <v>1.2222222219861578E-2</v>
      </c>
      <c r="N184" s="7">
        <f t="shared" si="126"/>
        <v>17.599999996600673</v>
      </c>
      <c r="O184" s="7"/>
      <c r="P184" s="7"/>
      <c r="Q184" s="22"/>
      <c r="R184" s="22"/>
      <c r="S184" s="31">
        <f t="shared" si="127"/>
        <v>1</v>
      </c>
      <c r="T184" s="46" t="str">
        <f t="shared" si="119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110"/>
        <v>https://d0f6bd738d7f1b3e5a7ca70fe4ff75f0.us-east-1.aws.found.io/app/kibana#/discover/Steve-Slow-Train-Analysis-(2080s-and-2083s)?_g=(refreshInterval:(display:Off,pause:!f,section:0,value:0),time:(from:'2017-03-10T14:37:02-0700',mode:absolute,to:'2017-03-10T16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4" s="187" t="str">
        <f t="shared" si="120"/>
        <v>N</v>
      </c>
      <c r="X184" s="187">
        <f t="shared" si="125"/>
        <v>1</v>
      </c>
      <c r="Y184" s="62">
        <f t="shared" si="121"/>
        <v>5.8625999999999996</v>
      </c>
      <c r="Z184" s="62">
        <f t="shared" si="128"/>
        <v>7.0499999999999993E-2</v>
      </c>
      <c r="AA184" s="62">
        <f t="shared" si="122"/>
        <v>5.7920999999999996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123"/>
        <v>0826-10</v>
      </c>
      <c r="AE184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84" s="82" t="str">
        <f t="shared" si="112"/>
        <v>"C:\Program Files (x86)\AstroGrep\AstroGrep.exe" /e /r /s /spath="%USERPROFILE%\AppData\Local\Temp\OnboardLogs" /stypes="app*4005*20170310*" /stext=" 22:.+((SYSTEM_STATE.+slice.+state.+changed )|(ment ac)|(multiple cpu faults)|(system.+state.+changed )|(\[timeout)|(PRM\|1\|D)|(kpr)|(kdp)|(\|lc)|(penalty))"</v>
      </c>
      <c r="AG184" s="1" t="str">
        <f t="shared" si="124"/>
        <v>NW</v>
      </c>
      <c r="AH184" s="86" t="str">
        <f t="shared" si="113"/>
        <v>"%USERPROFILE%\Documents\GitHub\eaglep3\Utilities\RefineRTDCRunTimes.py" --tripid 826-10 --locoid 4005 --swversion DE.1.0.9.0 --startMP 300:58626 --initTime 2017-03-10T15:37:02 --startdatetime 2017-03-10T15:38:31 --delay 1 --endMP 204:705 --enddatetime 2017-03-10T15:56:07 --enforcementcount 0 &gt;&gt;C:\Users\stu\Documents\GitHub\eaglep3-reporting\EC\2017-03-10-refined-times.txt</v>
      </c>
      <c r="AI184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{"issue":{"subject":"","project_id":79,"tracker_id":40,"status_id":1,"priority_id":2,"assigned_to_id":23,"start_date":"2017-03-10","description":"","custom_fields":[{"id":1,"name":"Subdivision","value":"NW"},{"id":4,"name":"Milepost","value":"0.0705"},{"id":17,"name":"Train ID","value":"826-10"},{"id":16,"name":"Locomotive ID","value":"4005"},{"id":130,"name":"Impact","value":""},{"id":150,"name":"Time of Event (Mountain Time)","value":"15:56:07"},{"id":151,"name":"Denver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15"/>
        <v>start /low /b %USERPROFILE%\Documents\GitHub\eaglep3\Utilities\DownloadLogsFromS3.py --loco 4005 --day 2017-03-10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</row>
    <row r="185" spans="1:91" x14ac:dyDescent="0.25">
      <c r="A185" s="33" t="s">
        <v>727</v>
      </c>
      <c r="B185" s="7">
        <v>4029</v>
      </c>
      <c r="C185" s="21" t="s">
        <v>239</v>
      </c>
      <c r="D185" s="21" t="s">
        <v>495</v>
      </c>
      <c r="E185" s="13">
        <v>42804.652303240742</v>
      </c>
      <c r="F185" s="13">
        <v>42804.653090277781</v>
      </c>
      <c r="G185" s="7">
        <v>1</v>
      </c>
      <c r="H185" s="21" t="s">
        <v>540</v>
      </c>
      <c r="I185" s="13">
        <v>42804.670532407406</v>
      </c>
      <c r="J185" s="7">
        <v>0</v>
      </c>
      <c r="K185" s="98" t="str">
        <f t="shared" si="117"/>
        <v>4029/4030</v>
      </c>
      <c r="L185" s="21" t="str">
        <f>VLOOKUP(A185,'Trips&amp;Operators'!$C$1:$G$99999,5,FALSE)</f>
        <v>SMITH MICHAEL</v>
      </c>
      <c r="M185" s="6">
        <f t="shared" si="118"/>
        <v>1.7442129625123926E-2</v>
      </c>
      <c r="N185" s="7">
        <f t="shared" si="126"/>
        <v>25.116666660178453</v>
      </c>
      <c r="O185" s="7"/>
      <c r="P185" s="7"/>
      <c r="Q185" s="22"/>
      <c r="R185" s="22"/>
      <c r="S185" s="31">
        <f t="shared" si="127"/>
        <v>1</v>
      </c>
      <c r="T185" s="46" t="str">
        <f t="shared" si="119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110"/>
        <v>https://d0f6bd738d7f1b3e5a7ca70fe4ff75f0.us-east-1.aws.found.io/app/kibana#/discover/Steve-Slow-Train-Analysis-(2080s-and-2083s)?_g=(refreshInterval:(display:Off,pause:!f,section:0,value:0),time:(from:'2017-03-10T14:39:19-0700',mode:absolute,to:'2017-03-10T17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5" s="187" t="str">
        <f t="shared" si="120"/>
        <v>N</v>
      </c>
      <c r="X185" s="187">
        <f t="shared" si="125"/>
        <v>1</v>
      </c>
      <c r="Y185" s="62">
        <f t="shared" si="121"/>
        <v>9.7199999999999995E-2</v>
      </c>
      <c r="Z185" s="62">
        <f t="shared" si="128"/>
        <v>5.8928000000000003</v>
      </c>
      <c r="AA185" s="62">
        <f t="shared" si="122"/>
        <v>5.7956000000000003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123"/>
        <v>0827-10</v>
      </c>
      <c r="AE185" s="85" t="str">
        <f t="shared" si="111"/>
        <v>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 &amp; 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</v>
      </c>
      <c r="AF185" s="82" t="str">
        <f t="shared" si="112"/>
        <v>"C:\Program Files (x86)\AstroGrep\AstroGrep.exe" /e /r /s /spath="%USERPROFILE%\AppData\Local\Temp\OnboardLogs" /stypes="app*4029*20170310*" /stext=" 23:.+((SYSTEM_STATE.+slice.+state.+changed )|(ment ac)|(multiple cpu faults)|(system.+state.+changed )|(\[timeout)|(PRM\|1\|D)|(kpr)|(kdp)|(\|lc)|(penalty))"</v>
      </c>
      <c r="AG185" s="1" t="str">
        <f t="shared" si="124"/>
        <v>NW</v>
      </c>
      <c r="AH185" s="86" t="str">
        <f t="shared" si="113"/>
        <v>"%USERPROFILE%\Documents\GitHub\eaglep3\Utilities\RefineRTDCRunTimes.py" --tripid 827-10 --locoid 4029 --swversion DE.1.0.9.0 --startMP 204:972 --initTime 2017-03-10T15:39:19 --startdatetime 2017-03-10T15:40:27 --delay 1 --endMP 300:58928 --enddatetime 2017-03-10T16:05:34 --enforcementcount 0 &gt;&gt;C:\Users\stu\Documents\GitHub\eaglep3-reporting\EC\2017-03-10-refined-times.txt</v>
      </c>
      <c r="AI185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{"issue":{"subject":"","project_id":79,"tracker_id":40,"status_id":1,"priority_id":2,"assigned_to_id":23,"start_date":"2017-03-10","description":"","custom_fields":[{"id":1,"name":"Subdivision","value":"NW"},{"id":4,"name":"Milepost","value":"5.8928"},{"id":17,"name":"Train ID","value":"827-10"},{"id":16,"name":"Locomotive ID","value":"4029"},{"id":130,"name":"Impact","value":""},{"id":150,"name":"Time of Event (Mountain Time)","value":"16:05:34"},{"id":151,"name":"Denver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15"/>
        <v>start /low /b %USERPROFILE%\Documents\GitHub\eaglep3\Utilities\DownloadLogsFromS3.py --loco 4029 --day 2017-03-10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"%USERPROFILE%\AppData\Local\Temp\OnboardLogs"\RTDC4029\*4029*20170310* | grep -SE "(Enforcement Action)|(\[TIMEOUT)|(CHR.+\|PRM\|1\|D.+(SWITCH|SIGNAL).+UNKNOWN)" - &gt;&gt; 2017-03-10-UncaughtWiMAX.txt</v>
      </c>
    </row>
    <row r="186" spans="1:91" s="20" customFormat="1" x14ac:dyDescent="0.25">
      <c r="A186" s="33" t="s">
        <v>595</v>
      </c>
      <c r="B186" s="7">
        <v>4030</v>
      </c>
      <c r="C186" s="21" t="s">
        <v>239</v>
      </c>
      <c r="D186" s="21" t="s">
        <v>927</v>
      </c>
      <c r="E186" s="13">
        <v>42804.672118055554</v>
      </c>
      <c r="F186" s="13">
        <v>42804.672858796293</v>
      </c>
      <c r="G186" s="7">
        <v>1</v>
      </c>
      <c r="H186" s="21" t="s">
        <v>438</v>
      </c>
      <c r="I186" s="13">
        <v>42804.685196759259</v>
      </c>
      <c r="J186" s="7">
        <v>0</v>
      </c>
      <c r="K186" s="98" t="str">
        <f t="shared" si="117"/>
        <v>4029/4030</v>
      </c>
      <c r="L186" s="21" t="str">
        <f>VLOOKUP(A186,'Trips&amp;Operators'!$C$1:$G$99999,5,FALSE)</f>
        <v>SMITH MICHAEL</v>
      </c>
      <c r="M186" s="6">
        <f t="shared" si="118"/>
        <v>1.2337962965830229E-2</v>
      </c>
      <c r="N186" s="7">
        <f t="shared" si="126"/>
        <v>17.76666667079553</v>
      </c>
      <c r="O186" s="7"/>
      <c r="P186" s="7"/>
      <c r="Q186" s="22"/>
      <c r="R186" s="22"/>
      <c r="S186" s="31">
        <f t="shared" si="127"/>
        <v>1</v>
      </c>
      <c r="T186" s="46" t="str">
        <f t="shared" si="119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110"/>
        <v>https://d0f6bd738d7f1b3e5a7ca70fe4ff75f0.us-east-1.aws.found.io/app/kibana#/discover/Steve-Slow-Train-Analysis-(2080s-and-2083s)?_g=(refreshInterval:(display:Off,pause:!f,section:0,value:0),time:(from:'2017-03-10T15:07:51-0700',mode:absolute,to:'2017-03-10T17:26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187" t="str">
        <f t="shared" si="120"/>
        <v>N</v>
      </c>
      <c r="X186" s="187">
        <f t="shared" si="125"/>
        <v>1</v>
      </c>
      <c r="Y186" s="62">
        <f t="shared" si="121"/>
        <v>5.8615000000000004</v>
      </c>
      <c r="Z186" s="62">
        <f t="shared" si="128"/>
        <v>6.7799999999999999E-2</v>
      </c>
      <c r="AA186" s="62">
        <f t="shared" si="122"/>
        <v>5.7937000000000003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123"/>
        <v>0828-10</v>
      </c>
      <c r="AE186" s="85" t="str">
        <f t="shared" si="111"/>
        <v>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 &amp; 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</v>
      </c>
      <c r="AF186" s="82" t="str">
        <f t="shared" si="112"/>
        <v>"C:\Program Files (x86)\AstroGrep\AstroGrep.exe" /e /r /s /spath="%USERPROFILE%\AppData\Local\Temp\OnboardLogs" /stypes="app*4030*20170310*" /stext=" 23:.+((SYSTEM_STATE.+slice.+state.+changed )|(ment ac)|(multiple cpu faults)|(system.+state.+changed )|(\[timeout)|(PRM\|1\|D)|(kpr)|(kdp)|(\|lc)|(penalty))"</v>
      </c>
      <c r="AG186" s="1" t="str">
        <f t="shared" si="124"/>
        <v>NW</v>
      </c>
      <c r="AH186" s="86" t="str">
        <f t="shared" si="113"/>
        <v>"%USERPROFILE%\Documents\GitHub\eaglep3\Utilities\RefineRTDCRunTimes.py" --tripid 828-10 --locoid 4030 --swversion DE.1.0.9.0 --startMP 300:58615 --initTime 2017-03-10T16:07:51 --startdatetime 2017-03-10T16:08:55 --delay 1 --endMP 204:678 --enddatetime 2017-03-10T16:26:41 --enforcementcount 0 &gt;&gt;C:\Users\stu\Documents\GitHub\eaglep3-reporting\EC\2017-03-10-refined-times.txt</v>
      </c>
      <c r="AI186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{"issue":{"subject":"","project_id":79,"tracker_id":40,"status_id":1,"priority_id":2,"assigned_to_id":23,"start_date":"2017-03-10","description":"","custom_fields":[{"id":1,"name":"Subdivision","value":"NW"},{"id":4,"name":"Milepost","value":"0.0678"},{"id":17,"name":"Train ID","value":"828-10"},{"id":16,"name":"Locomotive ID","value":"4030"},{"id":130,"name":"Impact","value":""},{"id":150,"name":"Time of Event (Mountain Time)","value":"16:26:41"},{"id":151,"name":"Denver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15"/>
        <v>start /low /b %USERPROFILE%\Documents\GitHub\eaglep3\Utilities\DownloadLogsFromS3.py --loco 4030 --day 2017-03-10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"%USERPROFILE%\AppData\Local\Temp\OnboardLogs"\RTDC4030\*4030*20170310* | grep -SE "(Enforcement Action)|(\[TIMEOUT)|(CHR.+\|PRM\|1\|D.+(SWITCH|SIGNAL).+UNKNOWN)" - &gt;&gt; 2017-03-10-UncaughtWiMAX.txt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733</v>
      </c>
      <c r="B187" s="7">
        <v>4006</v>
      </c>
      <c r="C187" s="21" t="s">
        <v>239</v>
      </c>
      <c r="D187" s="21" t="s">
        <v>963</v>
      </c>
      <c r="E187" s="13">
        <v>42804.675844907404</v>
      </c>
      <c r="F187" s="13">
        <v>42804.676770833335</v>
      </c>
      <c r="G187" s="7">
        <v>1</v>
      </c>
      <c r="H187" s="21" t="s">
        <v>538</v>
      </c>
      <c r="I187" s="13">
        <v>42804.690810185188</v>
      </c>
      <c r="J187" s="7">
        <v>0</v>
      </c>
      <c r="K187" s="98" t="str">
        <f t="shared" si="117"/>
        <v>4005/4006</v>
      </c>
      <c r="L187" s="21" t="str">
        <f>VLOOKUP(A187,'Trips&amp;Operators'!$C$1:$G$99999,5,FALSE)</f>
        <v>MCREYNOLDS KYLE</v>
      </c>
      <c r="M187" s="6">
        <f t="shared" si="118"/>
        <v>1.4039351852261461E-2</v>
      </c>
      <c r="N187" s="7">
        <f t="shared" si="126"/>
        <v>20.216666667256504</v>
      </c>
      <c r="O187" s="7"/>
      <c r="P187" s="7"/>
      <c r="Q187" s="22"/>
      <c r="R187" s="22"/>
      <c r="S187" s="31">
        <f t="shared" si="127"/>
        <v>1</v>
      </c>
      <c r="T187" s="46" t="str">
        <f t="shared" si="119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110"/>
        <v>https://d0f6bd738d7f1b3e5a7ca70fe4ff75f0.us-east-1.aws.found.io/app/kibana#/discover/Steve-Slow-Train-Analysis-(2080s-and-2083s)?_g=(refreshInterval:(display:Off,pause:!f,section:0,value:0),time:(from:'2017-03-10T15:13:13-0700',mode:absolute,to:'2017-03-10T17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7" s="187" t="str">
        <f t="shared" si="120"/>
        <v>N</v>
      </c>
      <c r="X187" s="187">
        <f t="shared" si="125"/>
        <v>1</v>
      </c>
      <c r="Y187" s="62">
        <f t="shared" si="121"/>
        <v>9.8799999999999999E-2</v>
      </c>
      <c r="Z187" s="62">
        <f t="shared" si="128"/>
        <v>5.8929</v>
      </c>
      <c r="AA187" s="62">
        <f t="shared" si="122"/>
        <v>5.7941000000000003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123"/>
        <v>0829-10</v>
      </c>
      <c r="AE187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87" s="82" t="str">
        <f t="shared" si="112"/>
        <v>"C:\Program Files (x86)\AstroGrep\AstroGrep.exe" /e /r /s /spath="%USERPROFILE%\AppData\Local\Temp\OnboardLogs" /stypes="app*4006*20170310*" /stext=" 23:.+((SYSTEM_STATE.+slice.+state.+changed )|(ment ac)|(multiple cpu faults)|(system.+state.+changed )|(\[timeout)|(PRM\|1\|D)|(kpr)|(kdp)|(\|lc)|(penalty))"</v>
      </c>
      <c r="AG187" s="1" t="str">
        <f t="shared" si="124"/>
        <v>NW</v>
      </c>
      <c r="AH187" s="86" t="str">
        <f t="shared" si="113"/>
        <v>"%USERPROFILE%\Documents\GitHub\eaglep3\Utilities\RefineRTDCRunTimes.py" --tripid 829-10 --locoid 4006 --swversion DE.1.0.9.0 --startMP 204:988 --initTime 2017-03-10T16:13:13 --startdatetime 2017-03-10T16:14:33 --delay 1 --endMP 300:58929 --enddatetime 2017-03-10T16:34:46 --enforcementcount 0 &gt;&gt;C:\Users\stu\Documents\GitHub\eaglep3-reporting\EC\2017-03-10-refined-times.txt</v>
      </c>
      <c r="AI187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{"issue":{"subject":"","project_id":79,"tracker_id":40,"status_id":1,"priority_id":2,"assigned_to_id":23,"start_date":"2017-03-10","description":"","custom_fields":[{"id":1,"name":"Subdivision","value":"NW"},{"id":4,"name":"Milepost","value":"5.8929"},{"id":17,"name":"Train ID","value":"829-10"},{"id":16,"name":"Locomotive ID","value":"4006"},{"id":130,"name":"Impact","value":""},{"id":150,"name":"Time of Event (Mountain Time)","value":"16:34:46"},{"id":151,"name":"Denver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15"/>
        <v>start /low /b %USERPROFILE%\Documents\GitHub\eaglep3\Utilities\DownloadLogsFromS3.py --loco 4006 --day 2017-03-10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"%USERPROFILE%\AppData\Local\Temp\OnboardLogs"\RTDC4006\*4006*20170310* | grep -SE "(Enforcement Action)|(\[TIMEOUT)|(CHR.+\|PRM\|1\|D.+(SWITCH|SIGNAL).+UNKNOWN)" - &gt;&gt; 2017-03-10-UncaughtWiMAX.txt</v>
      </c>
    </row>
    <row r="188" spans="1:91" s="20" customFormat="1" x14ac:dyDescent="0.25">
      <c r="A188" s="33" t="s">
        <v>736</v>
      </c>
      <c r="B188" s="7">
        <v>4005</v>
      </c>
      <c r="C188" s="21" t="s">
        <v>239</v>
      </c>
      <c r="D188" s="21" t="s">
        <v>927</v>
      </c>
      <c r="E188" s="13">
        <v>42804.691874999997</v>
      </c>
      <c r="F188" s="13">
        <v>42804.692696759259</v>
      </c>
      <c r="G188" s="7">
        <v>1</v>
      </c>
      <c r="H188" s="21" t="s">
        <v>964</v>
      </c>
      <c r="I188" s="13">
        <v>42804.705381944441</v>
      </c>
      <c r="J188" s="7">
        <v>0</v>
      </c>
      <c r="K188" s="98" t="str">
        <f t="shared" si="117"/>
        <v>4005/4006</v>
      </c>
      <c r="L188" s="21" t="str">
        <f>VLOOKUP(A188,'Trips&amp;Operators'!$C$1:$G$99999,5,FALSE)</f>
        <v>MCREYNOLDS KYLE</v>
      </c>
      <c r="M188" s="6">
        <f t="shared" si="118"/>
        <v>1.2685185181908309E-2</v>
      </c>
      <c r="N188" s="7">
        <f t="shared" si="126"/>
        <v>18.266666661947966</v>
      </c>
      <c r="O188" s="7"/>
      <c r="P188" s="7"/>
      <c r="Q188" s="22"/>
      <c r="R188" s="22"/>
      <c r="S188" s="31">
        <f t="shared" si="127"/>
        <v>1</v>
      </c>
      <c r="T188" s="46" t="str">
        <f t="shared" si="119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110"/>
        <v>https://d0f6bd738d7f1b3e5a7ca70fe4ff75f0.us-east-1.aws.found.io/app/kibana#/discover/Steve-Slow-Train-Analysis-(2080s-and-2083s)?_g=(refreshInterval:(display:Off,pause:!f,section:0,value:0),time:(from:'2017-03-10T15:36:18-0700',mode:absolute,to:'2017-03-10T17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8" s="187" t="str">
        <f t="shared" si="120"/>
        <v>N</v>
      </c>
      <c r="X188" s="187">
        <f t="shared" si="125"/>
        <v>1</v>
      </c>
      <c r="Y188" s="62">
        <f t="shared" si="121"/>
        <v>5.8615000000000004</v>
      </c>
      <c r="Z188" s="62">
        <f t="shared" si="128"/>
        <v>6.9099999999999995E-2</v>
      </c>
      <c r="AA188" s="62">
        <f t="shared" si="122"/>
        <v>5.7924000000000007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123"/>
        <v>0830-10</v>
      </c>
      <c r="AE188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88" s="82" t="str">
        <f t="shared" si="112"/>
        <v>"C:\Program Files (x86)\AstroGrep\AstroGrep.exe" /e /r /s /spath="%USERPROFILE%\AppData\Local\Temp\OnboardLogs" /stypes="app*4005*20170310*" /stext=" 23:.+((SYSTEM_STATE.+slice.+state.+changed )|(ment ac)|(multiple cpu faults)|(system.+state.+changed )|(\[timeout)|(PRM\|1\|D)|(kpr)|(kdp)|(\|lc)|(penalty))"</v>
      </c>
      <c r="AG188" s="1" t="str">
        <f t="shared" si="124"/>
        <v>NW</v>
      </c>
      <c r="AH188" s="86" t="str">
        <f t="shared" si="113"/>
        <v>"%USERPROFILE%\Documents\GitHub\eaglep3\Utilities\RefineRTDCRunTimes.py" --tripid 830-10 --locoid 4005 --swversion DE.1.0.9.0 --startMP 300:58615 --initTime 2017-03-10T16:36:18 --startdatetime 2017-03-10T16:37:29 --delay 1 --endMP 204:691 --enddatetime 2017-03-10T16:55:45 --enforcementcount 0 &gt;&gt;C:\Users\stu\Documents\GitHub\eaglep3-reporting\EC\2017-03-10-refined-times.txt</v>
      </c>
      <c r="AI188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{"issue":{"subject":"","project_id":79,"tracker_id":40,"status_id":1,"priority_id":2,"assigned_to_id":23,"start_date":"2017-03-10","description":"","custom_fields":[{"id":1,"name":"Subdivision","value":"NW"},{"id":4,"name":"Milepost","value":"0.0691"},{"id":17,"name":"Train ID","value":"830-10"},{"id":16,"name":"Locomotive ID","value":"4005"},{"id":130,"name":"Impact","value":""},{"id":150,"name":"Time of Event (Mountain Time)","value":"16:55:45"},{"id":151,"name":"Denver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15"/>
        <v>start /low /b %USERPROFILE%\Documents\GitHub\eaglep3\Utilities\DownloadLogsFromS3.py --loco 4005 --day 2017-03-10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735</v>
      </c>
      <c r="B189" s="7">
        <v>4029</v>
      </c>
      <c r="C189" s="21" t="s">
        <v>239</v>
      </c>
      <c r="D189" s="21" t="s">
        <v>965</v>
      </c>
      <c r="E189" s="13">
        <v>42804.686759259261</v>
      </c>
      <c r="F189" s="13">
        <v>42804.687719907408</v>
      </c>
      <c r="G189" s="7">
        <v>1</v>
      </c>
      <c r="H189" s="21" t="s">
        <v>966</v>
      </c>
      <c r="I189" s="13">
        <v>42804.711898148147</v>
      </c>
      <c r="J189" s="7">
        <v>0</v>
      </c>
      <c r="K189" s="98" t="str">
        <f t="shared" si="117"/>
        <v>4029/4030</v>
      </c>
      <c r="L189" s="21" t="str">
        <f>VLOOKUP(A189,'Trips&amp;Operators'!$C$1:$G$99999,5,FALSE)</f>
        <v>SMITH MICHAEL</v>
      </c>
      <c r="M189" s="6">
        <f t="shared" si="118"/>
        <v>2.417824073927477E-2</v>
      </c>
      <c r="N189" s="7">
        <f t="shared" si="126"/>
        <v>34.816666664555669</v>
      </c>
      <c r="O189" s="7"/>
      <c r="P189" s="7"/>
      <c r="Q189" s="22"/>
      <c r="R189" s="22"/>
      <c r="S189" s="31">
        <f t="shared" si="127"/>
        <v>1</v>
      </c>
      <c r="T189" s="46" t="str">
        <f t="shared" si="119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110"/>
        <v>https://d0f6bd738d7f1b3e5a7ca70fe4ff75f0.us-east-1.aws.found.io/app/kibana#/discover/Steve-Slow-Train-Analysis-(2080s-and-2083s)?_g=(refreshInterval:(display:Off,pause:!f,section:0,value:0),time:(from:'2017-03-10T15:28:56-0700',mode:absolute,to:'2017-03-10T18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9" s="187" t="str">
        <f t="shared" si="120"/>
        <v>N</v>
      </c>
      <c r="X189" s="187">
        <f t="shared" si="125"/>
        <v>1</v>
      </c>
      <c r="Y189" s="62">
        <f t="shared" si="121"/>
        <v>9.6699999999999994E-2</v>
      </c>
      <c r="Z189" s="62">
        <f t="shared" si="128"/>
        <v>5.8930999999999996</v>
      </c>
      <c r="AA189" s="62">
        <f t="shared" si="122"/>
        <v>5.7963999999999993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123"/>
        <v>0831-10</v>
      </c>
      <c r="AE189" s="85" t="str">
        <f t="shared" si="111"/>
        <v>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 &amp; 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</v>
      </c>
      <c r="AF189" s="82" t="str">
        <f t="shared" si="112"/>
        <v>"C:\Program Files (x86)\AstroGrep\AstroGrep.exe" /e /r /s /spath="%USERPROFILE%\AppData\Local\Temp\OnboardLogs" /stypes="app*4029*20170311*" /stext=" 00:.+((SYSTEM_STATE.+slice.+state.+changed )|(ment ac)|(multiple cpu faults)|(system.+state.+changed )|(\[timeout)|(PRM\|1\|D)|(kpr)|(kdp)|(\|lc)|(penalty))"</v>
      </c>
      <c r="AG189" s="1" t="str">
        <f t="shared" si="124"/>
        <v>NW</v>
      </c>
      <c r="AH189" s="86" t="str">
        <f t="shared" si="113"/>
        <v>"%USERPROFILE%\Documents\GitHub\eaglep3\Utilities\RefineRTDCRunTimes.py" --tripid 831-10 --locoid 4029 --swversion DE.1.0.9.0 --startMP 204:967 --initTime 2017-03-10T16:28:56 --startdatetime 2017-03-10T16:30:19 --delay 1 --endMP 300:58931 --enddatetime 2017-03-10T17:05:08 --enforcementcount 0 &gt;&gt;C:\Users\stu\Documents\GitHub\eaglep3-reporting\EC\2017-03-10-refined-times.txt</v>
      </c>
      <c r="AI189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{"issue":{"subject":"","project_id":79,"tracker_id":40,"status_id":1,"priority_id":2,"assigned_to_id":23,"start_date":"2017-03-10","description":"","custom_fields":[{"id":1,"name":"Subdivision","value":"NW"},{"id":4,"name":"Milepost","value":"5.8931"},{"id":17,"name":"Train ID","value":"831-10"},{"id":16,"name":"Locomotive ID","value":"4029"},{"id":130,"name":"Impact","value":""},{"id":150,"name":"Time of Event (Mountain Time)","value":"17:05:08"},{"id":151,"name":"Denver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15"/>
        <v>start /low /b %USERPROFILE%\Documents\GitHub\eaglep3\Utilities\DownloadLogsFromS3.py --loco 4029 --day 2017-03-10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"%USERPROFILE%\AppData\Local\Temp\OnboardLogs"\RTDC4029\*4029*20170310* | grep -SE "(Enforcement Action)|(\[TIMEOUT)|(CHR.+\|PRM\|1\|D.+(SWITCH|SIGNAL).+UNKNOWN)" - &gt;&gt; 2017-03-10-UncaughtWiMAX.txt</v>
      </c>
    </row>
    <row r="190" spans="1:91" x14ac:dyDescent="0.25">
      <c r="A190" s="33" t="s">
        <v>741</v>
      </c>
      <c r="B190" s="7">
        <v>4030</v>
      </c>
      <c r="C190" s="21" t="s">
        <v>239</v>
      </c>
      <c r="D190" s="21" t="s">
        <v>967</v>
      </c>
      <c r="E190" s="13">
        <v>42804.712939814817</v>
      </c>
      <c r="F190" s="13">
        <v>42804.713692129626</v>
      </c>
      <c r="G190" s="7">
        <v>1</v>
      </c>
      <c r="H190" s="21" t="s">
        <v>494</v>
      </c>
      <c r="I190" s="13">
        <v>42804.72619212963</v>
      </c>
      <c r="J190" s="7">
        <v>0</v>
      </c>
      <c r="K190" s="98" t="str">
        <f t="shared" si="117"/>
        <v>4029/4030</v>
      </c>
      <c r="L190" s="21" t="str">
        <f>VLOOKUP(A190,'Trips&amp;Operators'!$C$1:$G$99999,5,FALSE)</f>
        <v>SMITH MICHAEL</v>
      </c>
      <c r="M190" s="6">
        <f t="shared" si="118"/>
        <v>1.2500000004365575E-2</v>
      </c>
      <c r="N190" s="7">
        <f t="shared" si="126"/>
        <v>18.000000006286427</v>
      </c>
      <c r="O190" s="7"/>
      <c r="P190" s="7"/>
      <c r="Q190" s="22"/>
      <c r="R190" s="22"/>
      <c r="S190" s="31">
        <f t="shared" si="127"/>
        <v>1</v>
      </c>
      <c r="T190" s="46" t="str">
        <f t="shared" si="119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110"/>
        <v>https://d0f6bd738d7f1b3e5a7ca70fe4ff75f0.us-east-1.aws.found.io/app/kibana#/discover/Steve-Slow-Train-Analysis-(2080s-and-2083s)?_g=(refreshInterval:(display:Off,pause:!f,section:0,value:0),time:(from:'2017-03-10T16:06:38-0700',mode:absolute,to:'2017-03-10T18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187" t="str">
        <f t="shared" si="120"/>
        <v>N</v>
      </c>
      <c r="X190" s="187">
        <f t="shared" si="125"/>
        <v>1</v>
      </c>
      <c r="Y190" s="62">
        <f t="shared" si="121"/>
        <v>5.8619000000000003</v>
      </c>
      <c r="Z190" s="62">
        <f t="shared" si="128"/>
        <v>6.8699999999999997E-2</v>
      </c>
      <c r="AA190" s="62">
        <f t="shared" si="122"/>
        <v>5.7932000000000006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123"/>
        <v>0832-10</v>
      </c>
      <c r="AE190" s="85" t="str">
        <f t="shared" si="111"/>
        <v>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 &amp; 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</v>
      </c>
      <c r="AF190" s="82" t="str">
        <f t="shared" si="112"/>
        <v>"C:\Program Files (x86)\AstroGrep\AstroGrep.exe" /e /r /s /spath="%USERPROFILE%\AppData\Local\Temp\OnboardLogs" /stypes="app*4030*20170311*" /stext=" 00:.+((SYSTEM_STATE.+slice.+state.+changed )|(ment ac)|(multiple cpu faults)|(system.+state.+changed )|(\[timeout)|(PRM\|1\|D)|(kpr)|(kdp)|(\|lc)|(penalty))"</v>
      </c>
      <c r="AG190" s="1" t="str">
        <f t="shared" si="124"/>
        <v>NW</v>
      </c>
      <c r="AH190" s="86" t="str">
        <f t="shared" si="113"/>
        <v>"%USERPROFILE%\Documents\GitHub\eaglep3\Utilities\RefineRTDCRunTimes.py" --tripid 832-10 --locoid 4030 --swversion DE.1.0.9.0 --startMP 300:58619 --initTime 2017-03-10T17:06:38 --startdatetime 2017-03-10T17:07:43 --delay 1 --endMP 204:687 --enddatetime 2017-03-10T17:25:43 --enforcementcount 0 &gt;&gt;C:\Users\stu\Documents\GitHub\eaglep3-reporting\EC\2017-03-10-refined-times.txt</v>
      </c>
      <c r="AI190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{"issue":{"subject":"","project_id":79,"tracker_id":40,"status_id":1,"priority_id":2,"assigned_to_id":23,"start_date":"2017-03-10","description":"","custom_fields":[{"id":1,"name":"Subdivision","value":"NW"},{"id":4,"name":"Milepost","value":"0.0687"},{"id":17,"name":"Train ID","value":"832-10"},{"id":16,"name":"Locomotive ID","value":"4030"},{"id":130,"name":"Impact","value":""},{"id":150,"name":"Time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15"/>
        <v>start /low /b %USERPROFILE%\Documents\GitHub\eaglep3\Utilities\DownloadLogsFromS3.py --loco 4030 --day 2017-03-10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2017-03-10-UncaughtWiMAX.txt</v>
      </c>
    </row>
    <row r="191" spans="1:91" x14ac:dyDescent="0.25">
      <c r="A191" s="33" t="s">
        <v>740</v>
      </c>
      <c r="B191" s="7">
        <v>4006</v>
      </c>
      <c r="C191" s="21" t="s">
        <v>239</v>
      </c>
      <c r="D191" s="21" t="s">
        <v>556</v>
      </c>
      <c r="E191" s="13">
        <v>42804.707013888888</v>
      </c>
      <c r="F191" s="13">
        <v>42804.707789351851</v>
      </c>
      <c r="G191" s="7">
        <v>1</v>
      </c>
      <c r="H191" s="21" t="s">
        <v>538</v>
      </c>
      <c r="I191" s="13">
        <v>42804.732766203706</v>
      </c>
      <c r="J191" s="7">
        <v>0</v>
      </c>
      <c r="K191" s="98" t="str">
        <f t="shared" si="117"/>
        <v>4005/4006</v>
      </c>
      <c r="L191" s="21" t="str">
        <f>VLOOKUP(A191,'Trips&amp;Operators'!$C$1:$G$99999,5,FALSE)</f>
        <v>MCREYNOLDS KYLE</v>
      </c>
      <c r="M191" s="6">
        <f t="shared" si="118"/>
        <v>2.4976851855171844E-2</v>
      </c>
      <c r="N191" s="7">
        <f t="shared" si="126"/>
        <v>35.966666671447456</v>
      </c>
      <c r="O191" s="7"/>
      <c r="P191" s="7"/>
      <c r="Q191" s="22"/>
      <c r="R191" s="22"/>
      <c r="S191" s="31">
        <f t="shared" si="127"/>
        <v>1</v>
      </c>
      <c r="T191" s="46" t="str">
        <f t="shared" si="119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110"/>
        <v>https://d0f6bd738d7f1b3e5a7ca70fe4ff75f0.us-east-1.aws.found.io/app/kibana#/discover/Steve-Slow-Train-Analysis-(2080s-and-2083s)?_g=(refreshInterval:(display:Off,pause:!f,section:0,value:0),time:(from:'2017-03-10T15:58:06-0700',mode:absolute,to:'2017-03-10T18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1" s="187" t="str">
        <f t="shared" si="120"/>
        <v>N</v>
      </c>
      <c r="X191" s="187">
        <f t="shared" si="125"/>
        <v>1</v>
      </c>
      <c r="Y191" s="62">
        <f t="shared" si="121"/>
        <v>9.8599999999999993E-2</v>
      </c>
      <c r="Z191" s="62">
        <f t="shared" si="128"/>
        <v>5.8929</v>
      </c>
      <c r="AA191" s="62">
        <f t="shared" si="122"/>
        <v>5.7942999999999998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123"/>
        <v>0833-10</v>
      </c>
      <c r="AE191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91" s="82" t="str">
        <f t="shared" si="112"/>
        <v>"C:\Program Files (x86)\AstroGrep\AstroGrep.exe" /e /r /s /spath="%USERPROFILE%\AppData\Local\Temp\OnboardLogs" /stypes="app*4006*20170311*" /stext=" 00:.+((SYSTEM_STATE.+slice.+state.+changed )|(ment ac)|(multiple cpu faults)|(system.+state.+changed )|(\[timeout)|(PRM\|1\|D)|(kpr)|(kdp)|(\|lc)|(penalty))"</v>
      </c>
      <c r="AG191" s="1" t="str">
        <f t="shared" si="124"/>
        <v>NW</v>
      </c>
      <c r="AH191" s="86" t="str">
        <f t="shared" si="113"/>
        <v>"%USERPROFILE%\Documents\GitHub\eaglep3\Utilities\RefineRTDCRunTimes.py" --tripid 833-10 --locoid 4006 --swversion DE.1.0.9.0 --startMP 204:986 --initTime 2017-03-10T16:58:06 --startdatetime 2017-03-10T16:59:13 --delay 1 --endMP 300:58929 --enddatetime 2017-03-10T17:35:11 --enforcementcount 0 &gt;&gt;C:\Users\stu\Documents\GitHub\eaglep3-reporting\EC\2017-03-10-refined-times.txt</v>
      </c>
      <c r="AI191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{"issue":{"subject":"","project_id":79,"tracker_id":40,"status_id":1,"priority_id":2,"assigned_to_id":23,"start_date":"2017-03-10","description":"","custom_fields":[{"id":1,"name":"Subdivision","value":"NW"},{"id":4,"name":"Milepost","value":"5.8929"},{"id":17,"name":"Train ID","value":"833-10"},{"id":16,"name":"Locomotive ID","value":"4006"},{"id":130,"name":"Impact","value":""},{"id":150,"name":"Time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15"/>
        <v>start /low /b %USERPROFILE%\Documents\GitHub\eaglep3\Utilities\DownloadLogsFromS3.py --loco 4006 --day 2017-03-10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2017-03-10-UncaughtWiMAX.txt</v>
      </c>
    </row>
    <row r="192" spans="1:91" x14ac:dyDescent="0.25">
      <c r="A192" s="33" t="s">
        <v>747</v>
      </c>
      <c r="B192" s="7">
        <v>4005</v>
      </c>
      <c r="C192" s="21" t="s">
        <v>239</v>
      </c>
      <c r="D192" s="21" t="s">
        <v>968</v>
      </c>
      <c r="E192" s="13">
        <v>42804.733900462961</v>
      </c>
      <c r="F192" s="13">
        <v>42804.734814814816</v>
      </c>
      <c r="G192" s="7">
        <v>1</v>
      </c>
      <c r="H192" s="21" t="s">
        <v>436</v>
      </c>
      <c r="I192" s="13">
        <v>42804.747812499998</v>
      </c>
      <c r="J192" s="7">
        <v>0</v>
      </c>
      <c r="K192" s="98" t="str">
        <f t="shared" si="117"/>
        <v>4005/4006</v>
      </c>
      <c r="L192" s="21" t="str">
        <f>VLOOKUP(A192,'Trips&amp;Operators'!$C$1:$G$99999,5,FALSE)</f>
        <v>MCREYNOLDS KYLE</v>
      </c>
      <c r="M192" s="6">
        <f t="shared" si="118"/>
        <v>1.2997685182199348E-2</v>
      </c>
      <c r="N192" s="7">
        <f t="shared" si="126"/>
        <v>18.716666662367061</v>
      </c>
      <c r="O192" s="7"/>
      <c r="P192" s="7"/>
      <c r="Q192" s="22"/>
      <c r="R192" s="22"/>
      <c r="S192" s="31">
        <f t="shared" si="127"/>
        <v>1</v>
      </c>
      <c r="T192" s="46" t="str">
        <f t="shared" si="119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110"/>
        <v>https://d0f6bd738d7f1b3e5a7ca70fe4ff75f0.us-east-1.aws.found.io/app/kibana#/discover/Steve-Slow-Train-Analysis-(2080s-and-2083s)?_g=(refreshInterval:(display:Off,pause:!f,section:0,value:0),time:(from:'2017-03-10T16:36:49-0700',mode:absolute,to:'2017-03-10T18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2" s="187" t="str">
        <f t="shared" si="120"/>
        <v>N</v>
      </c>
      <c r="X192" s="187">
        <f t="shared" si="125"/>
        <v>1</v>
      </c>
      <c r="Y192" s="62">
        <f t="shared" si="121"/>
        <v>5.8613</v>
      </c>
      <c r="Z192" s="62">
        <f t="shared" si="128"/>
        <v>6.8199999999999997E-2</v>
      </c>
      <c r="AA192" s="62">
        <f t="shared" si="122"/>
        <v>5.7930999999999999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123"/>
        <v>0834-10</v>
      </c>
      <c r="AE192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92" s="82" t="str">
        <f t="shared" si="112"/>
        <v>"C:\Program Files (x86)\AstroGrep\AstroGrep.exe" /e /r /s /spath="%USERPROFILE%\AppData\Local\Temp\OnboardLogs" /stypes="app*4005*20170311*" /stext=" 00:.+((SYSTEM_STATE.+slice.+state.+changed )|(ment ac)|(multiple cpu faults)|(system.+state.+changed )|(\[timeout)|(PRM\|1\|D)|(kpr)|(kdp)|(\|lc)|(penalty))"</v>
      </c>
      <c r="AG192" s="1" t="str">
        <f t="shared" si="124"/>
        <v>NW</v>
      </c>
      <c r="AH192" s="86" t="str">
        <f t="shared" si="113"/>
        <v>"%USERPROFILE%\Documents\GitHub\eaglep3\Utilities\RefineRTDCRunTimes.py" --tripid 834-10 --locoid 4005 --swversion DE.1.0.9.0 --startMP 300:58613 --initTime 2017-03-10T17:36:49 --startdatetime 2017-03-10T17:38:08 --delay 1 --endMP 204:682 --enddatetime 2017-03-10T17:56:51 --enforcementcount 0 &gt;&gt;C:\Users\stu\Documents\GitHub\eaglep3-reporting\EC\2017-03-10-refined-times.txt</v>
      </c>
      <c r="AI192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{"issue":{"subject":"","project_id":79,"tracker_id":40,"status_id":1,"priority_id":2,"assigned_to_id":23,"start_date":"2017-03-10","description":"","custom_fields":[{"id":1,"name":"Subdivision","value":"NW"},{"id":4,"name":"Milepost","value":"0.0682"},{"id":17,"name":"Train ID","value":"834-10"},{"id":16,"name":"Locomotive ID","value":"4005"},{"id":130,"name":"Impact","value":""},{"id":150,"name":"Time of Event (Mountain Time)","value":"17:56:51"},{"id":151,"name":"Denver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15"/>
        <v>start /low /b %USERPROFILE%\Documents\GitHub\eaglep3\Utilities\DownloadLogsFromS3.py --loco 4005 --day 2017-03-10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2017-03-10-UncaughtWiMAX.txt</v>
      </c>
    </row>
    <row r="193" spans="1:40" x14ac:dyDescent="0.25">
      <c r="A193" s="33" t="s">
        <v>744</v>
      </c>
      <c r="B193" s="7">
        <v>4029</v>
      </c>
      <c r="C193" s="21" t="s">
        <v>239</v>
      </c>
      <c r="D193" s="21" t="s">
        <v>493</v>
      </c>
      <c r="E193" s="13">
        <v>42804.72861111111</v>
      </c>
      <c r="F193" s="13">
        <v>42804.729710648149</v>
      </c>
      <c r="G193" s="7">
        <v>1</v>
      </c>
      <c r="H193" s="21" t="s">
        <v>969</v>
      </c>
      <c r="I193" s="13">
        <v>42804.753657407404</v>
      </c>
      <c r="J193" s="7">
        <v>0</v>
      </c>
      <c r="K193" s="98" t="str">
        <f t="shared" si="117"/>
        <v>4029/4030</v>
      </c>
      <c r="L193" s="21" t="str">
        <f>VLOOKUP(A193,'Trips&amp;Operators'!$C$1:$G$99999,5,FALSE)</f>
        <v>SMITH MICHAEL</v>
      </c>
      <c r="M193" s="6">
        <f t="shared" si="118"/>
        <v>2.3946759254613426E-2</v>
      </c>
      <c r="N193" s="7">
        <f t="shared" si="126"/>
        <v>34.483333326643333</v>
      </c>
      <c r="O193" s="7"/>
      <c r="P193" s="7"/>
      <c r="Q193" s="22"/>
      <c r="R193" s="22"/>
      <c r="S193" s="31">
        <f t="shared" si="127"/>
        <v>1</v>
      </c>
      <c r="T193" s="46" t="str">
        <f t="shared" si="119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110"/>
        <v>https://d0f6bd738d7f1b3e5a7ca70fe4ff75f0.us-east-1.aws.found.io/app/kibana#/discover/Steve-Slow-Train-Analysis-(2080s-and-2083s)?_g=(refreshInterval:(display:Off,pause:!f,section:0,value:0),time:(from:'2017-03-10T16:29:12-0700',mode:absolute,to:'2017-03-10T19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187" t="str">
        <f t="shared" si="120"/>
        <v>N</v>
      </c>
      <c r="X193" s="187">
        <f t="shared" si="125"/>
        <v>1</v>
      </c>
      <c r="Y193" s="62">
        <f t="shared" si="121"/>
        <v>9.7100000000000006E-2</v>
      </c>
      <c r="Z193" s="62">
        <f t="shared" si="128"/>
        <v>5.8925999999999998</v>
      </c>
      <c r="AA193" s="62">
        <f t="shared" si="122"/>
        <v>5.7954999999999997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123"/>
        <v>0835-10</v>
      </c>
      <c r="AE193" s="85" t="str">
        <f t="shared" si="111"/>
        <v>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 &amp; 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</v>
      </c>
      <c r="AF193" s="82" t="str">
        <f t="shared" si="112"/>
        <v>"C:\Program Files (x86)\AstroGrep\AstroGrep.exe" /e /r /s /spath="%USERPROFILE%\AppData\Local\Temp\OnboardLogs" /stypes="app*4029*20170311*" /stext=" 01:.+((SYSTEM_STATE.+slice.+state.+changed )|(ment ac)|(multiple cpu faults)|(system.+state.+changed )|(\[timeout)|(PRM\|1\|D)|(kpr)|(kdp)|(\|lc)|(penalty))"</v>
      </c>
      <c r="AG193" s="1" t="str">
        <f t="shared" si="124"/>
        <v>NW</v>
      </c>
      <c r="AH193" s="86" t="str">
        <f t="shared" si="113"/>
        <v>"%USERPROFILE%\Documents\GitHub\eaglep3\Utilities\RefineRTDCRunTimes.py" --tripid 835-10 --locoid 4029 --swversion DE.1.0.9.0 --startMP 204:971 --initTime 2017-03-10T17:29:12 --startdatetime 2017-03-10T17:30:47 --delay 1 --endMP 300:58926 --enddatetime 2017-03-10T18:05:16 --enforcementcount 0 &gt;&gt;C:\Users\stu\Documents\GitHub\eaglep3-reporting\EC\2017-03-10-refined-times.txt</v>
      </c>
      <c r="AI193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{"issue":{"subject":"","project_id":79,"tracker_id":40,"status_id":1,"priority_id":2,"assigned_to_id":23,"start_date":"2017-03-10","description":"","custom_fields":[{"id":1,"name":"Subdivision","value":"NW"},{"id":4,"name":"Milepost","value":"5.8926"},{"id":17,"name":"Train ID","value":"835-10"},{"id":16,"name":"Locomotive ID","value":"4029"},{"id":130,"name":"Impact","value":""},{"id":150,"name":"Time of Event (Mountain Time)","value":"18:05:16"},{"id":151,"name":"Denver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15"/>
        <v>start /low /b %USERPROFILE%\Documents\GitHub\eaglep3\Utilities\DownloadLogsFromS3.py --loco 4029 --day 2017-03-10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"%USERPROFILE%\AppData\Local\Temp\OnboardLogs"\RTDC4029\*4029*20170311* | grep -SE "(Enforcement Action)|(\[TIMEOUT)|(CHR.+\|PRM\|1\|D.+(SWITCH|SIGNAL).+UNKNOWN)" - &gt;&gt; 2017-03-10-UncaughtWiMAX.txt</v>
      </c>
    </row>
    <row r="194" spans="1:40" x14ac:dyDescent="0.25">
      <c r="A194" s="33" t="s">
        <v>604</v>
      </c>
      <c r="B194" s="7">
        <v>4030</v>
      </c>
      <c r="C194" s="21" t="s">
        <v>239</v>
      </c>
      <c r="D194" s="21" t="s">
        <v>970</v>
      </c>
      <c r="E194" s="13">
        <v>42804.758171296293</v>
      </c>
      <c r="F194" s="13">
        <v>42804.758773148147</v>
      </c>
      <c r="G194" s="7">
        <v>0</v>
      </c>
      <c r="H194" s="21" t="s">
        <v>931</v>
      </c>
      <c r="I194" s="13">
        <v>42804.769652777781</v>
      </c>
      <c r="J194" s="7">
        <v>0</v>
      </c>
      <c r="K194" s="98" t="str">
        <f t="shared" si="117"/>
        <v>4029/4030</v>
      </c>
      <c r="L194" s="21" t="str">
        <f>VLOOKUP(A194,'Trips&amp;Operators'!$C$1:$G$99999,5,FALSE)</f>
        <v>SMITH MICHAEL</v>
      </c>
      <c r="M194" s="6">
        <f t="shared" si="118"/>
        <v>1.0879629633564036E-2</v>
      </c>
      <c r="N194" s="7">
        <f t="shared" si="126"/>
        <v>15.666666672332212</v>
      </c>
      <c r="O194" s="7"/>
      <c r="P194" s="7"/>
      <c r="Q194" s="22"/>
      <c r="R194" s="22" t="s">
        <v>1019</v>
      </c>
      <c r="S194" s="31">
        <f t="shared" si="127"/>
        <v>1</v>
      </c>
      <c r="T194" s="46" t="str">
        <f t="shared" si="119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110"/>
        <v>https://d0f6bd738d7f1b3e5a7ca70fe4ff75f0.us-east-1.aws.found.io/app/kibana#/discover/Steve-Slow-Train-Analysis-(2080s-and-2083s)?_g=(refreshInterval:(display:Off,pause:!f,section:0,value:0),time:(from:'2017-03-10T17:11:46-0700',mode:absolute,to:'2017-03-10T19:28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187" t="str">
        <f t="shared" si="120"/>
        <v>N</v>
      </c>
      <c r="X194" s="187">
        <f t="shared" si="125"/>
        <v>1</v>
      </c>
      <c r="Y194" s="62">
        <f t="shared" si="121"/>
        <v>5.7317999999999998</v>
      </c>
      <c r="Z194" s="62">
        <f t="shared" si="128"/>
        <v>6.9599999999999995E-2</v>
      </c>
      <c r="AA194" s="62">
        <f t="shared" si="122"/>
        <v>5.6621999999999995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123"/>
        <v>0836-10</v>
      </c>
      <c r="AE194" s="85" t="str">
        <f t="shared" si="111"/>
        <v>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 &amp; 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</v>
      </c>
      <c r="AF194" s="82" t="str">
        <f t="shared" si="112"/>
        <v>"C:\Program Files (x86)\AstroGrep\AstroGrep.exe" /e /r /s /spath="%USERPROFILE%\AppData\Local\Temp\OnboardLogs" /stypes="app*4030*20170311*" /stext=" 01:.+((SYSTEM_STATE.+slice.+state.+changed )|(ment ac)|(multiple cpu faults)|(system.+state.+changed )|(\[timeout)|(PRM\|1\|D)|(kpr)|(kdp)|(\|lc)|(penalty))"</v>
      </c>
      <c r="AG194" s="1" t="str">
        <f t="shared" si="124"/>
        <v>NW</v>
      </c>
      <c r="AH194" s="86" t="str">
        <f t="shared" si="113"/>
        <v>"%USERPROFILE%\Documents\GitHub\eaglep3\Utilities\RefineRTDCRunTimes.py" --tripid 836-10 --locoid 4030 --swversion DE.1.0.9.0 --startMP 300:57318 --initTime 2017-03-10T18:11:46 --startdatetime 2017-03-10T18:12:38 --delay 0 --endMP 204:696 --enddatetime 2017-03-10T18:28:18 --enforcementcount 0 &gt;&gt;C:\Users\stu\Documents\GitHub\eaglep3-reporting\EC\2017-03-10-refined-times.txt</v>
      </c>
      <c r="AI194" s="108" t="str">
        <f t="shared" si="114"/>
        <v>echo {"issue":{"subject":"Initialized too close to Westminster 2S","project_id":79,"tracker_id":40,"status_id":1,"priority_id":2,"assigned_to_id":23,"start_date":"2017-03-10","description":"","custom_fields":[{"id":1,"name":"Subdivision","value":"NW"},{"id":4,"name":"Milepost","value":"0.0696"},{"id":17,"name":"Train ID","value":"836-10"},{"id":16,"name":"Locomotive ID","value":"4030"},{"id":130,"name":"Impact","value":""},{"id":150,"name":"Time of Event (Mountain Time)","value":"18:28:18"},{"id":151,"name":"Denver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15"/>
        <v>start /low /b %USERPROFILE%\Documents\GitHub\eaglep3\Utilities\DownloadLogsFromS3.py --loco 4030 --day 2017-03-10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2017-03-10-UncaughtWiMAX.txt</v>
      </c>
    </row>
    <row r="195" spans="1:40" x14ac:dyDescent="0.25">
      <c r="A195" s="33" t="s">
        <v>604</v>
      </c>
      <c r="B195" s="7">
        <v>4030</v>
      </c>
      <c r="C195" s="21" t="s">
        <v>239</v>
      </c>
      <c r="D195" s="21" t="s">
        <v>928</v>
      </c>
      <c r="E195" s="13">
        <v>42804.754629629628</v>
      </c>
      <c r="F195" s="13">
        <v>42804.756388888891</v>
      </c>
      <c r="G195" s="7">
        <v>2</v>
      </c>
      <c r="H195" s="21" t="s">
        <v>971</v>
      </c>
      <c r="I195" s="13">
        <v>42804.757303240738</v>
      </c>
      <c r="J195" s="7">
        <v>0</v>
      </c>
      <c r="K195" s="98" t="str">
        <f t="shared" si="117"/>
        <v>4029/4030</v>
      </c>
      <c r="L195" s="21" t="str">
        <f>VLOOKUP(A195,'Trips&amp;Operators'!$C$1:$G$99999,5,FALSE)</f>
        <v>SMITH MICHAEL</v>
      </c>
      <c r="M195" s="6">
        <f t="shared" si="118"/>
        <v>9.1435184731381014E-4</v>
      </c>
      <c r="N195" s="7"/>
      <c r="O195" s="7"/>
      <c r="P195" s="7"/>
      <c r="Q195" s="22"/>
      <c r="R195" s="22"/>
      <c r="S195" s="31"/>
      <c r="T195" s="46" t="str">
        <f t="shared" si="119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86" t="str">
        <f t="shared" si="110"/>
        <v>https://d0f6bd738d7f1b3e5a7ca70fe4ff75f0.us-east-1.aws.found.io/app/kibana#/discover/Steve-Slow-Train-Analysis-(2080s-and-2083s)?_g=(refreshInterval:(display:Off,pause:!f,section:0,value:0),time:(from:'2017-03-10T17:06:40-0700',mode:absolute,to:'2017-03-10T19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5" s="187" t="str">
        <f t="shared" si="120"/>
        <v>Y</v>
      </c>
      <c r="X195" s="187">
        <f t="shared" si="125"/>
        <v>0</v>
      </c>
      <c r="Y195" s="62">
        <f t="shared" si="121"/>
        <v>5.8616999999999999</v>
      </c>
      <c r="Z195" s="62">
        <f t="shared" si="128"/>
        <v>5.8368000000000002</v>
      </c>
      <c r="AA195" s="62">
        <f t="shared" si="122"/>
        <v>2.48999999999997E-2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123"/>
        <v>0836-10</v>
      </c>
      <c r="AE195" s="85" t="str">
        <f t="shared" si="111"/>
        <v>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 &amp; 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</v>
      </c>
      <c r="AF195" s="82" t="str">
        <f t="shared" si="112"/>
        <v>"C:\Program Files (x86)\AstroGrep\AstroGrep.exe" /e /r /s /spath="%USERPROFILE%\AppData\Local\Temp\OnboardLogs" /stypes="app*4030*20170311*" /stext=" 01:.+((SYSTEM_STATE.+slice.+state.+changed )|(ment ac)|(multiple cpu faults)|(system.+state.+changed )|(\[timeout)|(PRM\|1\|D)|(kpr)|(kdp)|(\|lc)|(penalty))"</v>
      </c>
      <c r="AG195" s="1" t="str">
        <f t="shared" si="124"/>
        <v>NW</v>
      </c>
      <c r="AH195" s="86" t="str">
        <f t="shared" si="113"/>
        <v>"%USERPROFILE%\Documents\GitHub\eaglep3\Utilities\RefineRTDCRunTimes.py" --tripid 836-10 --locoid 4030 --swversion DE.1.0.9.0 --startMP 300:58617 --initTime 2017-03-10T18:06:40 --startdatetime 2017-03-10T18:09:12 --delay 2 --endMP 300:58368 --enddatetime 2017-03-10T18:10:31 --enforcementcount 0 &gt;&gt;C:\Users\stu\Documents\GitHub\eaglep3-reporting\EC\2017-03-10-refined-times.txt</v>
      </c>
      <c r="AI195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{"issue":{"subject":"","project_id":79,"tracker_id":40,"status_id":1,"priority_id":2,"assigned_to_id":23,"start_date":"2017-03-10","description":"","custom_fields":[{"id":1,"name":"Subdivision","value":"NW"},{"id":4,"name":"Milepost","value":"5.8368"},{"id":17,"name":"Train ID","value":"836-10"},{"id":16,"name":"Locomotive ID","value":"4030"},{"id":130,"name":"Impact","value":""},{"id":150,"name":"Time of Event (Mountain Time)","value":"18:10:31"},{"id":151,"name":"Denver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15"/>
        <v>start /low /b %USERPROFILE%\Documents\GitHub\eaglep3\Utilities\DownloadLogsFromS3.py --loco 4030 --day 2017-03-10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2017-03-10-UncaughtWiMAX.txt</v>
      </c>
    </row>
    <row r="196" spans="1:40" x14ac:dyDescent="0.25">
      <c r="A196" s="33" t="s">
        <v>754</v>
      </c>
      <c r="B196" s="7">
        <v>4006</v>
      </c>
      <c r="C196" s="21" t="s">
        <v>239</v>
      </c>
      <c r="D196" s="21" t="s">
        <v>554</v>
      </c>
      <c r="E196" s="13">
        <v>42804.754733796297</v>
      </c>
      <c r="F196" s="13">
        <v>42804.755636574075</v>
      </c>
      <c r="G196" s="7">
        <v>1</v>
      </c>
      <c r="H196" s="21" t="s">
        <v>972</v>
      </c>
      <c r="I196" s="13">
        <v>42804.774270833332</v>
      </c>
      <c r="J196" s="7">
        <v>0</v>
      </c>
      <c r="K196" s="98" t="str">
        <f t="shared" si="117"/>
        <v>4005/4006</v>
      </c>
      <c r="L196" s="21" t="str">
        <f>VLOOKUP(A196,'Trips&amp;Operators'!$C$1:$G$99999,5,FALSE)</f>
        <v>MCREYNOLDS KYLE</v>
      </c>
      <c r="M196" s="6">
        <f t="shared" si="118"/>
        <v>1.8634259256941732E-2</v>
      </c>
      <c r="N196" s="7">
        <f t="shared" ref="N196:N227" si="129">24*60*SUM($M196:$M196)</f>
        <v>26.833333329996094</v>
      </c>
      <c r="O196" s="7"/>
      <c r="P196" s="7"/>
      <c r="Q196" s="22"/>
      <c r="R196" s="22"/>
      <c r="S196" s="31">
        <f t="shared" ref="S196:S227" si="130">SUM(U196:U196)/IF(AG196="EC",12,1)</f>
        <v>1</v>
      </c>
      <c r="T196" s="46" t="str">
        <f t="shared" si="119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110"/>
        <v>https://d0f6bd738d7f1b3e5a7ca70fe4ff75f0.us-east-1.aws.found.io/app/kibana#/discover/Steve-Slow-Train-Analysis-(2080s-and-2083s)?_g=(refreshInterval:(display:Off,pause:!f,section:0,value:0),time:(from:'2017-03-10T17:06:49-0700',mode:absolute,to:'2017-03-10T19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6" s="187" t="str">
        <f t="shared" si="120"/>
        <v>N</v>
      </c>
      <c r="X196" s="187">
        <f t="shared" si="125"/>
        <v>1</v>
      </c>
      <c r="Y196" s="62">
        <f t="shared" si="121"/>
        <v>9.7900000000000001E-2</v>
      </c>
      <c r="Z196" s="62">
        <f t="shared" si="128"/>
        <v>5.8921999999999999</v>
      </c>
      <c r="AA196" s="62">
        <f t="shared" si="122"/>
        <v>5.7942999999999998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123"/>
        <v>0837-10</v>
      </c>
      <c r="AE196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196" s="82" t="str">
        <f t="shared" si="112"/>
        <v>"C:\Program Files (x86)\AstroGrep\AstroGrep.exe" /e /r /s /spath="%USERPROFILE%\AppData\Local\Temp\OnboardLogs" /stypes="app*4006*20170311*" /stext=" 01:.+((SYSTEM_STATE.+slice.+state.+changed )|(ment ac)|(multiple cpu faults)|(system.+state.+changed )|(\[timeout)|(PRM\|1\|D)|(kpr)|(kdp)|(\|lc)|(penalty))"</v>
      </c>
      <c r="AG196" s="1" t="str">
        <f t="shared" si="124"/>
        <v>NW</v>
      </c>
      <c r="AH196" s="86" t="str">
        <f t="shared" si="113"/>
        <v>"%USERPROFILE%\Documents\GitHub\eaglep3\Utilities\RefineRTDCRunTimes.py" --tripid 837-10 --locoid 4006 --swversion DE.1.0.9.0 --startMP 204:979 --initTime 2017-03-10T18:06:49 --startdatetime 2017-03-10T18:08:07 --delay 1 --endMP 300:58922 --enddatetime 2017-03-10T18:34:57 --enforcementcount 0 &gt;&gt;C:\Users\stu\Documents\GitHub\eaglep3-reporting\EC\2017-03-10-refined-times.txt</v>
      </c>
      <c r="AI196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{"issue":{"subject":"","project_id":79,"tracker_id":40,"status_id":1,"priority_id":2,"assigned_to_id":23,"start_date":"2017-03-10","description":"","custom_fields":[{"id":1,"name":"Subdivision","value":"NW"},{"id":4,"name":"Milepost","value":"5.8922"},{"id":17,"name":"Train ID","value":"837-10"},{"id":16,"name":"Locomotive ID","value":"4006"},{"id":130,"name":"Impact","value":""},{"id":150,"name":"Time of Event (Mountain Time)","value":"18:34:57"},{"id":151,"name":"Denver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15"/>
        <v>start /low /b %USERPROFILE%\Documents\GitHub\eaglep3\Utilities\DownloadLogsFromS3.py --loco 4006 --day 2017-03-10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2017-03-10-UncaughtWiMAX.txt</v>
      </c>
    </row>
    <row r="197" spans="1:40" x14ac:dyDescent="0.25">
      <c r="A197" s="33" t="s">
        <v>760</v>
      </c>
      <c r="B197" s="7">
        <v>4005</v>
      </c>
      <c r="C197" s="21" t="s">
        <v>239</v>
      </c>
      <c r="D197" s="21" t="s">
        <v>973</v>
      </c>
      <c r="E197" s="13">
        <v>42804.775590277779</v>
      </c>
      <c r="F197" s="13">
        <v>42804.776562500003</v>
      </c>
      <c r="G197" s="7">
        <v>1</v>
      </c>
      <c r="H197" s="21" t="s">
        <v>974</v>
      </c>
      <c r="I197" s="13">
        <v>42804.789074074077</v>
      </c>
      <c r="J197" s="7">
        <v>0</v>
      </c>
      <c r="K197" s="98" t="str">
        <f t="shared" si="117"/>
        <v>4005/4006</v>
      </c>
      <c r="L197" s="21" t="str">
        <f>VLOOKUP(A197,'Trips&amp;Operators'!$C$1:$G$99999,5,FALSE)</f>
        <v>MCREYNOLDS KYLE</v>
      </c>
      <c r="M197" s="6">
        <f t="shared" si="118"/>
        <v>1.2511574073869269E-2</v>
      </c>
      <c r="N197" s="7">
        <f t="shared" si="129"/>
        <v>18.016666666371748</v>
      </c>
      <c r="O197" s="7"/>
      <c r="P197" s="7"/>
      <c r="Q197" s="22"/>
      <c r="R197" s="22"/>
      <c r="S197" s="31">
        <f t="shared" si="130"/>
        <v>1</v>
      </c>
      <c r="T197" s="46" t="str">
        <f t="shared" si="119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110"/>
        <v>https://d0f6bd738d7f1b3e5a7ca70fe4ff75f0.us-east-1.aws.found.io/app/kibana#/discover/Steve-Slow-Train-Analysis-(2080s-and-2083s)?_g=(refreshInterval:(display:Off,pause:!f,section:0,value:0),time:(from:'2017-03-10T17:36:51-0700',mode:absolute,to:'2017-03-10T19:56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187" t="str">
        <f t="shared" si="120"/>
        <v>N</v>
      </c>
      <c r="X197" s="187">
        <f t="shared" ref="X197:X203" si="131">VALUE(LEFT(AD197,4))-VALUE(LEFT(AD196,4))</f>
        <v>1</v>
      </c>
      <c r="Y197" s="62">
        <f t="shared" si="121"/>
        <v>5.8620999999999999</v>
      </c>
      <c r="Z197" s="62">
        <f t="shared" si="128"/>
        <v>6.8900000000000003E-2</v>
      </c>
      <c r="AA197" s="62">
        <f t="shared" si="122"/>
        <v>5.7931999999999997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123"/>
        <v>0838-10</v>
      </c>
      <c r="AE197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97" s="82" t="str">
        <f t="shared" si="112"/>
        <v>"C:\Program Files (x86)\AstroGrep\AstroGrep.exe" /e /r /s /spath="%USERPROFILE%\AppData\Local\Temp\OnboardLogs" /stypes="app*4005*20170311*" /stext=" 01:.+((SYSTEM_STATE.+slice.+state.+changed )|(ment ac)|(multiple cpu faults)|(system.+state.+changed )|(\[timeout)|(PRM\|1\|D)|(kpr)|(kdp)|(\|lc)|(penalty))"</v>
      </c>
      <c r="AG197" s="1" t="str">
        <f t="shared" si="124"/>
        <v>NW</v>
      </c>
      <c r="AH197" s="86" t="str">
        <f t="shared" si="113"/>
        <v>"%USERPROFILE%\Documents\GitHub\eaglep3\Utilities\RefineRTDCRunTimes.py" --tripid 838-10 --locoid 4005 --swversion DE.1.0.9.0 --startMP 300:58621 --initTime 2017-03-10T18:36:51 --startdatetime 2017-03-10T18:38:15 --delay 1 --endMP 204:689 --enddatetime 2017-03-10T18:56:16 --enforcementcount 0 &gt;&gt;C:\Users\stu\Documents\GitHub\eaglep3-reporting\EC\2017-03-10-refined-times.txt</v>
      </c>
      <c r="AI197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{"issue":{"subject":"","project_id":79,"tracker_id":40,"status_id":1,"priority_id":2,"assigned_to_id":23,"start_date":"2017-03-10","description":"","custom_fields":[{"id":1,"name":"Subdivision","value":"NW"},{"id":4,"name":"Milepost","value":"0.0689"},{"id":17,"name":"Train ID","value":"838-10"},{"id":16,"name":"Locomotive ID","value":"4005"},{"id":130,"name":"Impact","value":""},{"id":150,"name":"Time of Event (Mountain Time)","value":"18:56:16"},{"id":151,"name":"Denver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15"/>
        <v>start /low /b %USERPROFILE%\Documents\GitHub\eaglep3\Utilities\DownloadLogsFromS3.py --loco 4005 --day 2017-03-10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2017-03-10-UncaughtWiMAX.txt</v>
      </c>
    </row>
    <row r="198" spans="1:40" x14ac:dyDescent="0.25">
      <c r="A198" s="33" t="s">
        <v>758</v>
      </c>
      <c r="B198" s="7">
        <v>4029</v>
      </c>
      <c r="C198" s="21" t="s">
        <v>239</v>
      </c>
      <c r="D198" s="21" t="s">
        <v>963</v>
      </c>
      <c r="E198" s="13">
        <v>42804.772499999999</v>
      </c>
      <c r="F198" s="13">
        <v>42804.773576388892</v>
      </c>
      <c r="G198" s="7">
        <v>1</v>
      </c>
      <c r="H198" s="21" t="s">
        <v>961</v>
      </c>
      <c r="I198" s="13">
        <v>42804.795081018521</v>
      </c>
      <c r="J198" s="7">
        <v>0</v>
      </c>
      <c r="K198" s="98" t="str">
        <f t="shared" si="117"/>
        <v>4029/4030</v>
      </c>
      <c r="L198" s="21" t="str">
        <f>VLOOKUP(A198,'Trips&amp;Operators'!$C$1:$G$99999,5,FALSE)</f>
        <v>SMITH MICHAEL</v>
      </c>
      <c r="M198" s="6">
        <f t="shared" si="118"/>
        <v>2.1504629628907423E-2</v>
      </c>
      <c r="N198" s="7">
        <f t="shared" si="129"/>
        <v>30.96666666562669</v>
      </c>
      <c r="O198" s="7"/>
      <c r="P198" s="7"/>
      <c r="Q198" s="22"/>
      <c r="R198" s="22"/>
      <c r="S198" s="31">
        <f t="shared" si="130"/>
        <v>1</v>
      </c>
      <c r="T198" s="46" t="str">
        <f t="shared" si="119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110"/>
        <v>https://d0f6bd738d7f1b3e5a7ca70fe4ff75f0.us-east-1.aws.found.io/app/kibana#/discover/Steve-Slow-Train-Analysis-(2080s-and-2083s)?_g=(refreshInterval:(display:Off,pause:!f,section:0,value:0),time:(from:'2017-03-10T17:32:24-0700',mode:absolute,to:'2017-03-10T20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187" t="str">
        <f t="shared" si="120"/>
        <v>N</v>
      </c>
      <c r="X198" s="187">
        <f t="shared" si="131"/>
        <v>1</v>
      </c>
      <c r="Y198" s="62">
        <f t="shared" si="121"/>
        <v>9.8799999999999999E-2</v>
      </c>
      <c r="Z198" s="62">
        <f t="shared" si="128"/>
        <v>5.8936999999999999</v>
      </c>
      <c r="AA198" s="62">
        <f t="shared" si="122"/>
        <v>5.7949000000000002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123"/>
        <v>0839-10</v>
      </c>
      <c r="AE198" s="85" t="str">
        <f t="shared" si="111"/>
        <v>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 &amp; 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</v>
      </c>
      <c r="AF198" s="82" t="str">
        <f t="shared" si="112"/>
        <v>"C:\Program Files (x86)\AstroGrep\AstroGrep.exe" /e /r /s /spath="%USERPROFILE%\AppData\Local\Temp\OnboardLogs" /stypes="app*4029*20170311*" /stext=" 02:.+((SYSTEM_STATE.+slice.+state.+changed )|(ment ac)|(multiple cpu faults)|(system.+state.+changed )|(\[timeout)|(PRM\|1\|D)|(kpr)|(kdp)|(\|lc)|(penalty))"</v>
      </c>
      <c r="AG198" s="1" t="str">
        <f t="shared" si="124"/>
        <v>NW</v>
      </c>
      <c r="AH198" s="86" t="str">
        <f t="shared" si="113"/>
        <v>"%USERPROFILE%\Documents\GitHub\eaglep3\Utilities\RefineRTDCRunTimes.py" --tripid 839-10 --locoid 4029 --swversion DE.1.0.9.0 --startMP 204:988 --initTime 2017-03-10T18:32:24 --startdatetime 2017-03-10T18:33:57 --delay 1 --endMP 300:58937 --enddatetime 2017-03-10T19:04:55 --enforcementcount 0 &gt;&gt;C:\Users\stu\Documents\GitHub\eaglep3-reporting\EC\2017-03-10-refined-times.txt</v>
      </c>
      <c r="AI198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{"issue":{"subject":"","project_id":79,"tracker_id":40,"status_id":1,"priority_id":2,"assigned_to_id":23,"start_date":"2017-03-10","description":"","custom_fields":[{"id":1,"name":"Subdivision","value":"NW"},{"id":4,"name":"Milepost","value":"5.8937"},{"id":17,"name":"Train ID","value":"839-10"},{"id":16,"name":"Locomotive ID","value":"4029"},{"id":130,"name":"Impact","value":""},{"id":150,"name":"Time of Event (Mountain Time)","value":"19:04:55"},{"id":151,"name":"Denver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15"/>
        <v>start /low /b %USERPROFILE%\Documents\GitHub\eaglep3\Utilities\DownloadLogsFromS3.py --loco 4029 --day 2017-03-10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"%USERPROFILE%\AppData\Local\Temp\OnboardLogs"\RTDC4029\*4029*20170311* | grep -SE "(Enforcement Action)|(\[TIMEOUT)|(CHR.+\|PRM\|1\|D.+(SWITCH|SIGNAL).+UNKNOWN)" - &gt;&gt; 2017-03-10-UncaughtWiMAX.txt</v>
      </c>
    </row>
    <row r="199" spans="1:40" x14ac:dyDescent="0.25">
      <c r="A199" s="33" t="s">
        <v>773</v>
      </c>
      <c r="B199" s="7">
        <v>4005</v>
      </c>
      <c r="C199" s="21" t="s">
        <v>239</v>
      </c>
      <c r="D199" s="21" t="s">
        <v>552</v>
      </c>
      <c r="E199" s="13">
        <v>42804.817488425928</v>
      </c>
      <c r="F199" s="13">
        <v>42804.818483796298</v>
      </c>
      <c r="G199" s="7">
        <v>1</v>
      </c>
      <c r="H199" s="21" t="s">
        <v>436</v>
      </c>
      <c r="I199" s="13">
        <v>42804.832280092596</v>
      </c>
      <c r="J199" s="7">
        <v>0</v>
      </c>
      <c r="K199" s="98" t="str">
        <f t="shared" si="117"/>
        <v>4005/4006</v>
      </c>
      <c r="L199" s="21" t="str">
        <f>VLOOKUP(A199,'Trips&amp;Operators'!$C$1:$G$99999,5,FALSE)</f>
        <v>DAVIDSON DAVID</v>
      </c>
      <c r="M199" s="6">
        <f t="shared" si="118"/>
        <v>1.3796296298096422E-2</v>
      </c>
      <c r="N199" s="7">
        <f t="shared" si="129"/>
        <v>19.866666669258848</v>
      </c>
      <c r="O199" s="7"/>
      <c r="P199" s="7"/>
      <c r="Q199" s="22"/>
      <c r="R199" s="22"/>
      <c r="S199" s="31">
        <f t="shared" si="130"/>
        <v>1</v>
      </c>
      <c r="T199" s="46" t="str">
        <f t="shared" si="119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110"/>
        <v>https://d0f6bd738d7f1b3e5a7ca70fe4ff75f0.us-east-1.aws.found.io/app/kibana#/discover/Steve-Slow-Train-Analysis-(2080s-and-2083s)?_g=(refreshInterval:(display:Off,pause:!f,section:0,value:0),time:(from:'2017-03-10T18:37:11-0700',mode:absolute,to:'2017-03-10T20:58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9" s="187" t="str">
        <f t="shared" si="120"/>
        <v>N</v>
      </c>
      <c r="X199" s="187">
        <f t="shared" si="131"/>
        <v>1</v>
      </c>
      <c r="Y199" s="62">
        <f t="shared" si="121"/>
        <v>5.8634000000000004</v>
      </c>
      <c r="Z199" s="62">
        <f t="shared" si="128"/>
        <v>6.8199999999999997E-2</v>
      </c>
      <c r="AA199" s="62">
        <f t="shared" si="122"/>
        <v>5.7952000000000004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123"/>
        <v>0840-10</v>
      </c>
      <c r="AE199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199" s="82" t="str">
        <f t="shared" si="112"/>
        <v>"C:\Program Files (x86)\AstroGrep\AstroGrep.exe" /e /r /s /spath="%USERPROFILE%\AppData\Local\Temp\OnboardLogs" /stypes="app*4005*20170311*" /stext=" 02:.+((SYSTEM_STATE.+slice.+state.+changed )|(ment ac)|(multiple cpu faults)|(system.+state.+changed )|(\[timeout)|(PRM\|1\|D)|(kpr)|(kdp)|(\|lc)|(penalty))"</v>
      </c>
      <c r="AG199" s="1" t="str">
        <f t="shared" si="124"/>
        <v>NW</v>
      </c>
      <c r="AH199" s="86" t="str">
        <f t="shared" si="113"/>
        <v>"%USERPROFILE%\Documents\GitHub\eaglep3\Utilities\RefineRTDCRunTimes.py" --tripid 840-10 --locoid 4005 --swversion DE.1.0.9.0 --startMP 300:58634 --initTime 2017-03-10T19:37:11 --startdatetime 2017-03-10T19:38:37 --delay 1 --endMP 204:682 --enddatetime 2017-03-10T19:58:29 --enforcementcount 0 &gt;&gt;C:\Users\stu\Documents\GitHub\eaglep3-reporting\EC\2017-03-10-refined-times.txt</v>
      </c>
      <c r="AI199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{"issue":{"subject":"","project_id":79,"tracker_id":40,"status_id":1,"priority_id":2,"assigned_to_id":23,"start_date":"2017-03-10","description":"","custom_fields":[{"id":1,"name":"Subdivision","value":"NW"},{"id":4,"name":"Milepost","value":"0.0682"},{"id":17,"name":"Train ID","value":"840-10"},{"id":16,"name":"Locomotive ID","value":"4005"},{"id":130,"name":"Impact","value":""},{"id":150,"name":"Time of Event (Mountain Time)","value":"19:58:29"},{"id":151,"name":"Denver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15"/>
        <v>start /low /b %USERPROFILE%\Documents\GitHub\eaglep3\Utilities\DownloadLogsFromS3.py --loco 4005 --day 2017-03-10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2017-03-10-UncaughtWiMAX.txt</v>
      </c>
    </row>
    <row r="200" spans="1:40" x14ac:dyDescent="0.25">
      <c r="A200" s="33" t="s">
        <v>764</v>
      </c>
      <c r="B200" s="7">
        <v>4006</v>
      </c>
      <c r="C200" s="21" t="s">
        <v>239</v>
      </c>
      <c r="D200" s="21" t="s">
        <v>551</v>
      </c>
      <c r="E200" s="13">
        <v>42804.795173611114</v>
      </c>
      <c r="F200" s="13">
        <v>42804.796701388892</v>
      </c>
      <c r="G200" s="7">
        <v>2</v>
      </c>
      <c r="H200" s="21" t="s">
        <v>960</v>
      </c>
      <c r="I200" s="13">
        <v>42804.816365740742</v>
      </c>
      <c r="J200" s="7">
        <v>0</v>
      </c>
      <c r="K200" s="98" t="str">
        <f t="shared" si="117"/>
        <v>4005/4006</v>
      </c>
      <c r="L200" s="21" t="str">
        <f>VLOOKUP(A200,'Trips&amp;Operators'!$C$1:$G$99999,5,FALSE)</f>
        <v>DAVIDSON DAVID</v>
      </c>
      <c r="M200" s="6">
        <f t="shared" si="118"/>
        <v>1.9664351850224193E-2</v>
      </c>
      <c r="N200" s="7">
        <f t="shared" si="129"/>
        <v>28.316666664322838</v>
      </c>
      <c r="O200" s="7"/>
      <c r="P200" s="7"/>
      <c r="Q200" s="22"/>
      <c r="R200" s="22"/>
      <c r="S200" s="31">
        <f t="shared" si="130"/>
        <v>1</v>
      </c>
      <c r="T200" s="46" t="str">
        <f t="shared" si="119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110"/>
        <v>https://d0f6bd738d7f1b3e5a7ca70fe4ff75f0.us-east-1.aws.found.io/app/kibana#/discover/Steve-Slow-Train-Analysis-(2080s-and-2083s)?_g=(refreshInterval:(display:Off,pause:!f,section:0,value:0),time:(from:'2017-03-10T18:05:03-0700',mode:absolute,to:'2017-03-10T20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187" t="str">
        <f t="shared" si="120"/>
        <v>N</v>
      </c>
      <c r="X200" s="187">
        <f t="shared" si="131"/>
        <v>1</v>
      </c>
      <c r="Y200" s="62">
        <f t="shared" si="121"/>
        <v>9.8500000000000004E-2</v>
      </c>
      <c r="Z200" s="62">
        <f t="shared" si="128"/>
        <v>5.8940999999999999</v>
      </c>
      <c r="AA200" s="62">
        <f t="shared" si="122"/>
        <v>5.7956000000000003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123"/>
        <v>0841-10</v>
      </c>
      <c r="AE200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200" s="82" t="str">
        <f t="shared" si="112"/>
        <v>"C:\Program Files (x86)\AstroGrep\AstroGrep.exe" /e /r /s /spath="%USERPROFILE%\AppData\Local\Temp\OnboardLogs" /stypes="app*4006*20170311*" /stext=" 02:.+((SYSTEM_STATE.+slice.+state.+changed )|(ment ac)|(multiple cpu faults)|(system.+state.+changed )|(\[timeout)|(PRM\|1\|D)|(kpr)|(kdp)|(\|lc)|(penalty))"</v>
      </c>
      <c r="AG200" s="1" t="str">
        <f t="shared" si="124"/>
        <v>NW</v>
      </c>
      <c r="AH200" s="86" t="str">
        <f t="shared" si="113"/>
        <v>"%USERPROFILE%\Documents\GitHub\eaglep3\Utilities\RefineRTDCRunTimes.py" --tripid 841-10 --locoid 4006 --swversion DE.1.0.9.0 --startMP 204:985 --initTime 2017-03-10T19:05:03 --startdatetime 2017-03-10T19:07:15 --delay 2 --endMP 300:58941 --enddatetime 2017-03-10T19:35:34 --enforcementcount 0 &gt;&gt;C:\Users\stu\Documents\GitHub\eaglep3-reporting\EC\2017-03-10-refined-times.txt</v>
      </c>
      <c r="AI200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{"issue":{"subject":"","project_id":79,"tracker_id":40,"status_id":1,"priority_id":2,"assigned_to_id":23,"start_date":"2017-03-10","description":"","custom_fields":[{"id":1,"name":"Subdivision","value":"NW"},{"id":4,"name":"Milepost","value":"5.8941"},{"id":17,"name":"Train ID","value":"841-10"},{"id":16,"name":"Locomotive ID","value":"4006"},{"id":130,"name":"Impact","value":""},{"id":150,"name":"Time of Event (Mountain Time)","value":"19:35:34"},{"id":151,"name":"Denver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15"/>
        <v>start /low /b %USERPROFILE%\Documents\GitHub\eaglep3\Utilities\DownloadLogsFromS3.py --loco 4006 --day 2017-03-10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2017-03-10-UncaughtWiMAX.txt</v>
      </c>
    </row>
    <row r="201" spans="1:40" x14ac:dyDescent="0.25">
      <c r="A201" s="33" t="s">
        <v>782</v>
      </c>
      <c r="B201" s="7">
        <v>4005</v>
      </c>
      <c r="C201" s="21" t="s">
        <v>239</v>
      </c>
      <c r="D201" s="21" t="s">
        <v>973</v>
      </c>
      <c r="E201" s="13">
        <v>42804.858888888892</v>
      </c>
      <c r="F201" s="13">
        <v>42804.860081018516</v>
      </c>
      <c r="G201" s="7">
        <v>1</v>
      </c>
      <c r="H201" s="21" t="s">
        <v>975</v>
      </c>
      <c r="I201" s="13">
        <v>42804.872534722221</v>
      </c>
      <c r="J201" s="7">
        <v>0</v>
      </c>
      <c r="K201" s="98" t="str">
        <f t="shared" si="117"/>
        <v>4005/4006</v>
      </c>
      <c r="L201" s="21" t="str">
        <f>VLOOKUP(A201,'Trips&amp;Operators'!$C$1:$G$99999,5,FALSE)</f>
        <v>MCREYNOLDS KYLE</v>
      </c>
      <c r="M201" s="6">
        <f t="shared" si="118"/>
        <v>1.2453703704522923E-2</v>
      </c>
      <c r="N201" s="7">
        <f t="shared" si="129"/>
        <v>17.933333334513009</v>
      </c>
      <c r="O201" s="7"/>
      <c r="P201" s="7"/>
      <c r="Q201" s="22"/>
      <c r="R201" s="22"/>
      <c r="S201" s="31">
        <f t="shared" si="130"/>
        <v>1</v>
      </c>
      <c r="T201" s="46" t="str">
        <f t="shared" si="119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110"/>
        <v>https://d0f6bd738d7f1b3e5a7ca70fe4ff75f0.us-east-1.aws.found.io/app/kibana#/discover/Steve-Slow-Train-Analysis-(2080s-and-2083s)?_g=(refreshInterval:(display:Off,pause:!f,section:0,value:0),time:(from:'2017-03-10T19:36:48-0700',mode:absolute,to:'2017-03-10T21:56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1" s="187" t="str">
        <f t="shared" si="120"/>
        <v>N</v>
      </c>
      <c r="X201" s="187">
        <f t="shared" si="131"/>
        <v>1</v>
      </c>
      <c r="Y201" s="62">
        <f t="shared" si="121"/>
        <v>5.8620999999999999</v>
      </c>
      <c r="Z201" s="62">
        <f t="shared" si="128"/>
        <v>6.9199999999999998E-2</v>
      </c>
      <c r="AA201" s="62">
        <f t="shared" si="122"/>
        <v>5.7928999999999995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123"/>
        <v>0842-10</v>
      </c>
      <c r="AE201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201" s="82" t="str">
        <f t="shared" si="112"/>
        <v>"C:\Program Files (x86)\AstroGrep\AstroGrep.exe" /e /r /s /spath="%USERPROFILE%\AppData\Local\Temp\OnboardLogs" /stypes="app*4005*20170311*" /stext=" 03:.+((SYSTEM_STATE.+slice.+state.+changed )|(ment ac)|(multiple cpu faults)|(system.+state.+changed )|(\[timeout)|(PRM\|1\|D)|(kpr)|(kdp)|(\|lc)|(penalty))"</v>
      </c>
      <c r="AG201" s="1" t="str">
        <f t="shared" si="124"/>
        <v>NW</v>
      </c>
      <c r="AH201" s="86" t="str">
        <f t="shared" si="113"/>
        <v>"%USERPROFILE%\Documents\GitHub\eaglep3\Utilities\RefineRTDCRunTimes.py" --tripid 842-10 --locoid 4005 --swversion DE.1.0.9.0 --startMP 300:58621 --initTime 2017-03-10T20:36:48 --startdatetime 2017-03-10T20:38:31 --delay 1 --endMP 204:692 --enddatetime 2017-03-10T20:56:27 --enforcementcount 0 &gt;&gt;C:\Users\stu\Documents\GitHub\eaglep3-reporting\EC\2017-03-10-refined-times.txt</v>
      </c>
      <c r="AI201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{"issue":{"subject":"","project_id":79,"tracker_id":40,"status_id":1,"priority_id":2,"assigned_to_id":23,"start_date":"2017-03-10","description":"","custom_fields":[{"id":1,"name":"Subdivision","value":"NW"},{"id":4,"name":"Milepost","value":"0.0692"},{"id":17,"name":"Train ID","value":"842-10"},{"id":16,"name":"Locomotive ID","value":"4005"},{"id":130,"name":"Impact","value":""},{"id":150,"name":"Time of Event (Mountain Time)","value":"20:56:27"},{"id":151,"name":"Denver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15"/>
        <v>start /low /b %USERPROFILE%\Documents\GitHub\eaglep3\Utilities\DownloadLogsFromS3.py --loco 4005 --day 2017-03-10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2017-03-10-UncaughtWiMAX.txt</v>
      </c>
    </row>
    <row r="202" spans="1:40" x14ac:dyDescent="0.25">
      <c r="A202" s="33" t="s">
        <v>777</v>
      </c>
      <c r="B202" s="7">
        <v>4006</v>
      </c>
      <c r="C202" s="21" t="s">
        <v>239</v>
      </c>
      <c r="D202" s="21" t="s">
        <v>493</v>
      </c>
      <c r="E202" s="13">
        <v>42804.833668981482</v>
      </c>
      <c r="F202" s="13">
        <v>42804.834733796299</v>
      </c>
      <c r="G202" s="7">
        <v>1</v>
      </c>
      <c r="H202" s="21" t="s">
        <v>976</v>
      </c>
      <c r="I202" s="13">
        <v>42804.857743055552</v>
      </c>
      <c r="J202" s="7">
        <v>0</v>
      </c>
      <c r="K202" s="98" t="str">
        <f t="shared" si="117"/>
        <v>4005/4006</v>
      </c>
      <c r="L202" s="21" t="str">
        <f>VLOOKUP(A202,'Trips&amp;Operators'!$C$1:$G$99999,5,FALSE)</f>
        <v>MCREYNOLDS KYLE</v>
      </c>
      <c r="M202" s="6">
        <f t="shared" si="118"/>
        <v>2.3009259253740311E-2</v>
      </c>
      <c r="N202" s="7">
        <f t="shared" si="129"/>
        <v>33.133333325386047</v>
      </c>
      <c r="O202" s="7"/>
      <c r="P202" s="7"/>
      <c r="Q202" s="22"/>
      <c r="R202" s="22"/>
      <c r="S202" s="31">
        <f t="shared" si="130"/>
        <v>1</v>
      </c>
      <c r="T202" s="46" t="str">
        <f t="shared" si="119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110"/>
        <v>https://d0f6bd738d7f1b3e5a7ca70fe4ff75f0.us-east-1.aws.found.io/app/kibana#/discover/Steve-Slow-Train-Analysis-(2080s-and-2083s)?_g=(refreshInterval:(display:Off,pause:!f,section:0,value:0),time:(from:'2017-03-10T19:00:29-0700',mode:absolute,to:'2017-03-10T21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2" s="187" t="str">
        <f t="shared" si="120"/>
        <v>N</v>
      </c>
      <c r="X202" s="187">
        <f t="shared" si="131"/>
        <v>1</v>
      </c>
      <c r="Y202" s="62">
        <f t="shared" si="121"/>
        <v>9.7100000000000006E-2</v>
      </c>
      <c r="Z202" s="62">
        <f t="shared" si="128"/>
        <v>5.8935000000000004</v>
      </c>
      <c r="AA202" s="62">
        <f t="shared" si="122"/>
        <v>5.7964000000000002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123"/>
        <v>0843-10</v>
      </c>
      <c r="AE202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202" s="82" t="str">
        <f t="shared" si="112"/>
        <v>"C:\Program Files (x86)\AstroGrep\AstroGrep.exe" /e /r /s /spath="%USERPROFILE%\AppData\Local\Temp\OnboardLogs" /stypes="app*4006*20170311*" /stext=" 03:.+((SYSTEM_STATE.+slice.+state.+changed )|(ment ac)|(multiple cpu faults)|(system.+state.+changed )|(\[timeout)|(PRM\|1\|D)|(kpr)|(kdp)|(\|lc)|(penalty))"</v>
      </c>
      <c r="AG202" s="1" t="str">
        <f t="shared" si="124"/>
        <v>NW</v>
      </c>
      <c r="AH202" s="86" t="str">
        <f t="shared" si="113"/>
        <v>"%USERPROFILE%\Documents\GitHub\eaglep3\Utilities\RefineRTDCRunTimes.py" --tripid 843-10 --locoid 4006 --swversion DE.1.0.9.0 --startMP 204:971 --initTime 2017-03-10T20:00:29 --startdatetime 2017-03-10T20:02:01 --delay 1 --endMP 300:58935 --enddatetime 2017-03-10T20:35:09 --enforcementcount 0 &gt;&gt;C:\Users\stu\Documents\GitHub\eaglep3-reporting\EC\2017-03-10-refined-times.txt</v>
      </c>
      <c r="AI202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{"issue":{"subject":"","project_id":79,"tracker_id":40,"status_id":1,"priority_id":2,"assigned_to_id":23,"start_date":"2017-03-10","description":"","custom_fields":[{"id":1,"name":"Subdivision","value":"NW"},{"id":4,"name":"Milepost","value":"5.8935"},{"id":17,"name":"Train ID","value":"843-10"},{"id":16,"name":"Locomotive ID","value":"4006"},{"id":130,"name":"Impact","value":""},{"id":150,"name":"Time of Event (Mountain Time)","value":"20:35:09"},{"id":151,"name":"Denver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15"/>
        <v>start /low /b %USERPROFILE%\Documents\GitHub\eaglep3\Utilities\DownloadLogsFromS3.py --loco 4006 --day 2017-03-10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2017-03-10-UncaughtWiMAX.txt</v>
      </c>
    </row>
    <row r="203" spans="1:40" x14ac:dyDescent="0.25">
      <c r="A203" s="33" t="s">
        <v>789</v>
      </c>
      <c r="B203" s="7">
        <v>4005</v>
      </c>
      <c r="C203" s="21" t="s">
        <v>239</v>
      </c>
      <c r="D203" s="21" t="s">
        <v>542</v>
      </c>
      <c r="E203" s="13">
        <v>42804.900902777779</v>
      </c>
      <c r="F203" s="13">
        <v>42804.901828703703</v>
      </c>
      <c r="G203" s="7">
        <v>1</v>
      </c>
      <c r="H203" s="21" t="s">
        <v>491</v>
      </c>
      <c r="I203" s="13">
        <v>42804.913275462961</v>
      </c>
      <c r="J203" s="7">
        <v>0</v>
      </c>
      <c r="K203" s="98" t="str">
        <f t="shared" si="117"/>
        <v>4005/4006</v>
      </c>
      <c r="L203" s="21" t="str">
        <f>VLOOKUP(A203,'Trips&amp;Operators'!$C$1:$G$99999,5,FALSE)</f>
        <v>SMITH MICHAEL</v>
      </c>
      <c r="M203" s="6">
        <f t="shared" si="118"/>
        <v>1.1446759257523809E-2</v>
      </c>
      <c r="N203" s="7">
        <f t="shared" si="129"/>
        <v>16.483333330834284</v>
      </c>
      <c r="O203" s="7"/>
      <c r="P203" s="7"/>
      <c r="Q203" s="22"/>
      <c r="R203" s="22"/>
      <c r="S203" s="31">
        <f t="shared" si="130"/>
        <v>1</v>
      </c>
      <c r="T203" s="46" t="str">
        <f t="shared" si="119"/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110"/>
        <v>https://d0f6bd738d7f1b3e5a7ca70fe4ff75f0.us-east-1.aws.found.io/app/kibana#/discover/Steve-Slow-Train-Analysis-(2080s-and-2083s)?_g=(refreshInterval:(display:Off,pause:!f,section:0,value:0),time:(from:'2017-03-10T20:37:18-0700',mode:absolute,to:'2017-03-10T22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3" s="187" t="str">
        <f t="shared" si="120"/>
        <v>N</v>
      </c>
      <c r="X203" s="187">
        <f t="shared" si="131"/>
        <v>1</v>
      </c>
      <c r="Y203" s="62">
        <f t="shared" si="121"/>
        <v>5.8611000000000004</v>
      </c>
      <c r="Z203" s="62">
        <f t="shared" si="128"/>
        <v>6.8500000000000005E-2</v>
      </c>
      <c r="AA203" s="62">
        <f t="shared" si="122"/>
        <v>5.7926000000000002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123"/>
        <v>0844-10</v>
      </c>
      <c r="AE203" s="85" t="str">
        <f t="shared" si="111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203" s="82" t="str">
        <f t="shared" si="112"/>
        <v>"C:\Program Files (x86)\AstroGrep\AstroGrep.exe" /e /r /s /spath="%USERPROFILE%\AppData\Local\Temp\OnboardLogs" /stypes="app*4005*20170311*" /stext=" 04:.+((SYSTEM_STATE.+slice.+state.+changed )|(ment ac)|(multiple cpu faults)|(system.+state.+changed )|(\[timeout)|(PRM\|1\|D)|(kpr)|(kdp)|(\|lc)|(penalty))"</v>
      </c>
      <c r="AG203" s="1" t="str">
        <f t="shared" si="124"/>
        <v>NW</v>
      </c>
      <c r="AH203" s="86" t="str">
        <f t="shared" si="113"/>
        <v>"%USERPROFILE%\Documents\GitHub\eaglep3\Utilities\RefineRTDCRunTimes.py" --tripid 844-10 --locoid 4005 --swversion DE.1.0.9.0 --startMP 300:58611 --initTime 2017-03-10T21:37:18 --startdatetime 2017-03-10T21:38:38 --delay 1 --endMP 204:685 --enddatetime 2017-03-10T21:55:07 --enforcementcount 0 &gt;&gt;C:\Users\stu\Documents\GitHub\eaglep3-reporting\EC\2017-03-10-refined-times.txt</v>
      </c>
      <c r="AI203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{"issue":{"subject":"","project_id":79,"tracker_id":40,"status_id":1,"priority_id":2,"assigned_to_id":23,"start_date":"2017-03-10","description":"","custom_fields":[{"id":1,"name":"Subdivision","value":"NW"},{"id":4,"name":"Milepost","value":"0.0685"},{"id":17,"name":"Train ID","value":"844-10"},{"id":16,"name":"Locomotive ID","value":"4005"},{"id":130,"name":"Impact","value":""},{"id":150,"name":"Time of Event (Mountain Time)","value":"21:55:07"},{"id":151,"name":"Denver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15"/>
        <v>start /low /b %USERPROFILE%\Documents\GitHub\eaglep3\Utilities\DownloadLogsFromS3.py --loco 4005 --day 2017-03-10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2017-03-10-UncaughtWiMAX.txt</v>
      </c>
    </row>
    <row r="204" spans="1:40" x14ac:dyDescent="0.25">
      <c r="A204" s="33" t="s">
        <v>786</v>
      </c>
      <c r="B204" s="7">
        <v>4006</v>
      </c>
      <c r="C204" s="21" t="s">
        <v>239</v>
      </c>
      <c r="D204" s="21" t="s">
        <v>489</v>
      </c>
      <c r="E204" s="13">
        <v>42804.876076388886</v>
      </c>
      <c r="F204" s="13">
        <v>42804.87704861111</v>
      </c>
      <c r="G204" s="7">
        <v>1</v>
      </c>
      <c r="H204" s="21" t="s">
        <v>977</v>
      </c>
      <c r="I204" s="13">
        <v>42804.899861111109</v>
      </c>
      <c r="J204" s="7">
        <v>0</v>
      </c>
      <c r="K204" s="98" t="str">
        <f t="shared" si="117"/>
        <v>4005/4006</v>
      </c>
      <c r="L204" s="21" t="str">
        <f>VLOOKUP(A204,'Trips&amp;Operators'!$C$1:$G$99999,5,FALSE)</f>
        <v>SMITH MICHAEL</v>
      </c>
      <c r="M204" s="6">
        <f t="shared" si="118"/>
        <v>2.2812499999417923E-2</v>
      </c>
      <c r="N204" s="7">
        <f t="shared" si="129"/>
        <v>32.84999999916181</v>
      </c>
      <c r="O204" s="7"/>
      <c r="P204" s="7"/>
      <c r="Q204" s="22"/>
      <c r="R204" s="22"/>
      <c r="S204" s="31">
        <f t="shared" si="130"/>
        <v>1</v>
      </c>
      <c r="T204" s="46" t="str">
        <f t="shared" si="119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110"/>
        <v>https://d0f6bd738d7f1b3e5a7ca70fe4ff75f0.us-east-1.aws.found.io/app/kibana#/discover/Steve-Slow-Train-Analysis-(2080s-and-2083s)?_g=(refreshInterval:(display:Off,pause:!f,section:0,value:0),time:(from:'2017-03-10T20:01:33-0700',mode:absolute,to:'2017-03-10T22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187" t="str">
        <f t="shared" si="120"/>
        <v>N</v>
      </c>
      <c r="X204" s="187">
        <f t="shared" ref="X204:X210" si="132">VALUE(LEFT(AD204,4))-VALUE(LEFT(AD203,4))</f>
        <v>1</v>
      </c>
      <c r="Y204" s="62">
        <f t="shared" si="121"/>
        <v>9.74E-2</v>
      </c>
      <c r="Z204" s="62">
        <f t="shared" si="128"/>
        <v>5.8924000000000003</v>
      </c>
      <c r="AA204" s="62">
        <f t="shared" si="122"/>
        <v>5.7949999999999999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123"/>
        <v>0845-10</v>
      </c>
      <c r="AE204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204" s="82" t="str">
        <f t="shared" si="112"/>
        <v>"C:\Program Files (x86)\AstroGrep\AstroGrep.exe" /e /r /s /spath="%USERPROFILE%\AppData\Local\Temp\OnboardLogs" /stypes="app*4006*20170311*" /stext=" 04:.+((SYSTEM_STATE.+slice.+state.+changed )|(ment ac)|(multiple cpu faults)|(system.+state.+changed )|(\[timeout)|(PRM\|1\|D)|(kpr)|(kdp)|(\|lc)|(penalty))"</v>
      </c>
      <c r="AG204" s="1" t="str">
        <f t="shared" si="124"/>
        <v>NW</v>
      </c>
      <c r="AH204" s="86" t="str">
        <f t="shared" si="113"/>
        <v>"%USERPROFILE%\Documents\GitHub\eaglep3\Utilities\RefineRTDCRunTimes.py" --tripid 845-10 --locoid 4006 --swversion DE.1.0.9.0 --startMP 204:974 --initTime 2017-03-10T21:01:33 --startdatetime 2017-03-10T21:02:57 --delay 1 --endMP 300:58924 --enddatetime 2017-03-10T21:35:48 --enforcementcount 0 &gt;&gt;C:\Users\stu\Documents\GitHub\eaglep3-reporting\EC\2017-03-10-refined-times.txt</v>
      </c>
      <c r="AI204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{"issue":{"subject":"","project_id":79,"tracker_id":40,"status_id":1,"priority_id":2,"assigned_to_id":23,"start_date":"2017-03-10","description":"","custom_fields":[{"id":1,"name":"Subdivision","value":"NW"},{"id":4,"name":"Milepost","value":"5.8924"},{"id":17,"name":"Train ID","value":"845-10"},{"id":16,"name":"Locomotive ID","value":"4006"},{"id":130,"name":"Impact","value":""},{"id":150,"name":"Time of Event (Mountain Time)","value":"21:35:48"},{"id":151,"name":"Denver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15"/>
        <v>start /low /b %USERPROFILE%\Documents\GitHub\eaglep3\Utilities\DownloadLogsFromS3.py --loco 4006 --day 2017-03-10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2017-03-10-UncaughtWiMAX.txt</v>
      </c>
    </row>
    <row r="205" spans="1:40" x14ac:dyDescent="0.25">
      <c r="A205" s="33" t="s">
        <v>791</v>
      </c>
      <c r="B205" s="7">
        <v>4006</v>
      </c>
      <c r="C205" s="21" t="s">
        <v>239</v>
      </c>
      <c r="D205" s="21" t="s">
        <v>978</v>
      </c>
      <c r="E205" s="13">
        <v>42804.932997685188</v>
      </c>
      <c r="F205" s="13">
        <v>42804.934131944443</v>
      </c>
      <c r="G205" s="7">
        <v>1</v>
      </c>
      <c r="H205" s="21" t="s">
        <v>979</v>
      </c>
      <c r="I205" s="13">
        <v>42804.944502314815</v>
      </c>
      <c r="J205" s="7">
        <v>0</v>
      </c>
      <c r="K205" s="98" t="str">
        <f t="shared" si="117"/>
        <v>4005/4006</v>
      </c>
      <c r="L205" s="21" t="str">
        <f>VLOOKUP(A205,'Trips&amp;Operators'!$C$1:$G$99999,5,FALSE)</f>
        <v>SMITH MICHAEL</v>
      </c>
      <c r="M205" s="6">
        <f t="shared" si="118"/>
        <v>1.0370370371674653E-2</v>
      </c>
      <c r="N205" s="7">
        <f t="shared" si="129"/>
        <v>14.933333335211501</v>
      </c>
      <c r="O205" s="7"/>
      <c r="P205" s="7"/>
      <c r="Q205" s="22"/>
      <c r="R205" s="22"/>
      <c r="S205" s="31">
        <f t="shared" si="130"/>
        <v>1</v>
      </c>
      <c r="T205" s="46" t="str">
        <f t="shared" si="119"/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si="110"/>
        <v>https://d0f6bd738d7f1b3e5a7ca70fe4ff75f0.us-east-1.aws.found.io/app/kibana#/discover/Steve-Slow-Train-Analysis-(2080s-and-2083s)?_g=(refreshInterval:(display:Off,pause:!f,section:0,value:0),time:(from:'2017-03-10T21:23:31-0700',mode:absolute,to:'2017-03-10T23:40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187" t="str">
        <f t="shared" si="120"/>
        <v>N</v>
      </c>
      <c r="X205" s="187">
        <f t="shared" si="132"/>
        <v>2</v>
      </c>
      <c r="Y205" s="62">
        <f t="shared" si="121"/>
        <v>0.13730000000000001</v>
      </c>
      <c r="Z205" s="62">
        <f t="shared" si="128"/>
        <v>5.8973000000000004</v>
      </c>
      <c r="AA205" s="62">
        <f t="shared" si="122"/>
        <v>5.7600000000000007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123"/>
        <v>0847-10</v>
      </c>
      <c r="AE205" s="85" t="str">
        <f t="shared" si="111"/>
        <v>aws s3 cp s3://rtdc.mdm.uploadarchive.raw/RTDC4006/ "%USERPROFILE%\AppData\Local\Temp\OnboardLogs"\RTDC4006\2017-03-10 --exclude "*" --recursive --include "*20170310*" &amp; "%USERPROFILE%\Documents\GitHub\mrs-test-scripts\Headless Mode &amp; Sideloading\WalkAndUnGZ.bat" "%USERPROFILE%\AppData\Local\Temp\OnboardLogs"\RTDC4006\2017-03-10 &amp; aws s3 cp s3://rtdc.mdm.uploadarchive.raw/RTDC4006/ "%USERPROFILE%\AppData\Local\Temp\OnboardLogs"\RTDC4006\2017-03-11 --exclude "*" --recursive --include "*20170311*" &amp; "%USERPROFILE%\Documents\GitHub\mrs-test-scripts\Headless Mode &amp; Sideloading\WalkAndUnGZ.bat" "%USERPROFILE%\AppData\Local\Temp\OnboardLogs"\RTDC4006\2017-03-11</v>
      </c>
      <c r="AF205" s="82" t="str">
        <f t="shared" si="112"/>
        <v>"C:\Program Files (x86)\AstroGrep\AstroGrep.exe" /e /r /s /spath="%USERPROFILE%\AppData\Local\Temp\OnboardLogs" /stypes="app*4006*20170311*" /stext=" 05:.+((SYSTEM_STATE.+slice.+state.+changed )|(ment ac)|(multiple cpu faults)|(system.+state.+changed )|(\[timeout)|(PRM\|1\|D)|(kpr)|(kdp)|(\|lc)|(penalty))"</v>
      </c>
      <c r="AG205" s="1" t="str">
        <f t="shared" si="124"/>
        <v>NW</v>
      </c>
      <c r="AH205" s="86" t="str">
        <f t="shared" si="113"/>
        <v>"%USERPROFILE%\Documents\GitHub\eaglep3\Utilities\RefineRTDCRunTimes.py" --tripid 847-10 --locoid 4006 --swversion DE.1.0.9.0 --startMP 204:1373 --initTime 2017-03-10T22:23:31 --startdatetime 2017-03-10T22:25:09 --delay 1 --endMP 300:58973 --enddatetime 2017-03-10T22:40:05 --enforcementcount 0 &gt;&gt;C:\Users\stu\Documents\GitHub\eaglep3-reporting\EC\2017-03-10-refined-times.txt</v>
      </c>
      <c r="AI205" s="108" t="str">
        <f t="shared" si="114"/>
        <v>echo {"issue":{"subject":"","project_id":79,"tracker_id":40,"status_id":1,"priority_id":2,"assigned_to_id":23,"start_date":"2017-03-10","description":"","custom_fields":[{"id":1,"name":"Subdivision","value":"NW"},{"id":4,"name":"Milepost","value":"5.8973"},{"id":17,"name":"Train ID","value":"847-10"},{"id":16,"name":"Locomotive ID","value":"4006"},{"id":130,"name":"Impact","value":""},{"id":150,"name":"Time of Event (Mountain Time)","value":"22:40:05"},{"id":151,"name":"Denver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15"/>
        <v>start /low /b %USERPROFILE%\Documents\GitHub\eaglep3\Utilities\DownloadLogsFromS3.py --loco 4006 --day 2017-03-10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"%USERPROFILE%\AppData\Local\Temp\OnboardLogs"\RTDC4006\*4006*20170311* | grep -SE "(Enforcement Action)|(\[TIMEOUT)|(CHR.+\|PRM\|1\|D.+(SWITCH|SIGNAL).+UNKNOWN)" - &gt;&gt; 2017-03-10-UncaughtWiMAX.txt</v>
      </c>
    </row>
    <row r="206" spans="1:40" x14ac:dyDescent="0.25">
      <c r="A206" s="33" t="s">
        <v>612</v>
      </c>
      <c r="B206" s="7">
        <v>4054</v>
      </c>
      <c r="C206" s="21" t="s">
        <v>239</v>
      </c>
      <c r="D206" s="21" t="s">
        <v>902</v>
      </c>
      <c r="E206" s="13">
        <v>42804.12228009259</v>
      </c>
      <c r="F206" s="13">
        <v>42804.125185185185</v>
      </c>
      <c r="G206" s="7">
        <v>4</v>
      </c>
      <c r="H206" s="21" t="s">
        <v>226</v>
      </c>
      <c r="I206" s="13">
        <v>42804.131944444445</v>
      </c>
      <c r="J206" s="7">
        <v>0</v>
      </c>
      <c r="K206" s="98" t="str">
        <f t="shared" si="117"/>
        <v>4053/4054</v>
      </c>
      <c r="L206" s="21" t="str">
        <f>VLOOKUP(A206,'Trips&amp;Operators'!$C$1:$G$99999,5,FALSE)</f>
        <v>BADERTSCHER DIANE</v>
      </c>
      <c r="M206" s="6">
        <f t="shared" si="118"/>
        <v>6.7592592604341917E-3</v>
      </c>
      <c r="N206" s="7">
        <f t="shared" si="129"/>
        <v>9.733333335025236</v>
      </c>
      <c r="O206" s="7"/>
      <c r="P206" s="7"/>
      <c r="Q206" s="22"/>
      <c r="R206" s="22"/>
      <c r="S206" s="31">
        <f t="shared" si="130"/>
        <v>1</v>
      </c>
      <c r="T206" s="46" t="str">
        <f t="shared" si="119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110"/>
        <v>https://d0f6bd738d7f1b3e5a7ca70fe4ff75f0.us-east-1.aws.found.io/app/kibana#/discover/Steve-Slow-Train-Analysis-(2080s-and-2083s)?_g=(refreshInterval:(display:Off,pause:!f,section:0,value:0),time:(from:'2017-03-10T01:56:05-0700',mode:absolute,to:'2017-03-10T04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6" s="187" t="str">
        <f t="shared" si="120"/>
        <v>Y</v>
      </c>
      <c r="X206" s="187">
        <f t="shared" si="132"/>
        <v>-545</v>
      </c>
      <c r="Y206" s="62">
        <f t="shared" si="121"/>
        <v>2.2989000000000002</v>
      </c>
      <c r="Z206" s="62">
        <f t="shared" si="128"/>
        <v>1.3899999999999999E-2</v>
      </c>
      <c r="AA206" s="62">
        <f t="shared" si="122"/>
        <v>2.2850000000000001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123"/>
        <v>0302-10</v>
      </c>
      <c r="AE206" s="85" t="str">
        <f t="shared" si="111"/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AF206" s="82" t="str">
        <f t="shared" si="112"/>
        <v>"C:\Program Files (x86)\AstroGrep\AstroGrep.exe" /e /r /s /spath="%USERPROFILE%\AppData\Local\Temp\OnboardLogs" /stypes="app*4054*20170310*" /stext=" 10:.+((SYSTEM_STATE.+slice.+state.+changed )|(ment ac)|(multiple cpu faults)|(system.+state.+changed )|(\[timeout)|(PRM\|1\|D)|(kpr)|(kdp)|(\|lc)|(penalty))"</v>
      </c>
      <c r="AG206" s="1" t="str">
        <f t="shared" si="124"/>
        <v>Other</v>
      </c>
      <c r="AH206" s="86" t="str">
        <f t="shared" si="113"/>
        <v>"%USERPROFILE%\Documents\GitHub\eaglep3\Utilities\RefineRTDCRunTimes.py" --tripid 302-10 --locoid 4054 --swversion DE.1.0.9.0 --startMP 300:22989 --initTime 2017-03-10T02:56:05 --startdatetime 2017-03-10T03:00:16 --delay 4 --endMP 204:139 --enddatetime 2017-03-10T03:10:00 --enforcementcount 0 &gt;&gt;C:\Users\stu\Documents\GitHub\eaglep3-reporting\EC\2017-03-10-refined-times.txt</v>
      </c>
      <c r="AI206" s="108" t="str">
        <f t="shared" si="114"/>
        <v>echo {"issue":{"subject":"","project_id":79,"tracker_id":40,"status_id":1,"priority_id":2,"assigned_to_id":23,"start_date":"2017-03-10","description":"","custom_fields":[{"id":1,"name":"Subdivision","value":"Other"},{"id":4,"name":"Milepost","value":"0.0139"},{"id":17,"name":"Train ID","value":"302-10"},{"id":16,"name":"Locomotive ID","value":"4054"},{"id":130,"name":"Impact","value":""},{"id":150,"name":"Time of Event (Mountain Time)","value":"03:10:00"},{"id":151,"name":"Denver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15"/>
        <v>start /low /b %USERPROFILE%\Documents\GitHub\eaglep3\Utilities\DownloadLogsFromS3.py --loco 4054 --day 2017-03-10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"%USERPROFILE%\AppData\Local\Temp\OnboardLogs"\RTDC4054\*4054*20170310* | grep -SE "(Enforcement Action)|(\[TIMEOUT)|(CHR.+\|PRM\|1\|D.+(SWITCH|SIGNAL).+UNKNOWN)" - &gt;&gt; 2017-03-10-UncaughtWiMAX.txt</v>
      </c>
    </row>
    <row r="207" spans="1:40" x14ac:dyDescent="0.25">
      <c r="A207" s="33" t="s">
        <v>762</v>
      </c>
      <c r="B207" s="7">
        <v>4040</v>
      </c>
      <c r="C207" s="21" t="s">
        <v>239</v>
      </c>
      <c r="D207" s="21" t="s">
        <v>233</v>
      </c>
      <c r="E207" s="13">
        <v>42804.783506944441</v>
      </c>
      <c r="F207" s="13">
        <v>42804.784479166665</v>
      </c>
      <c r="G207" s="7">
        <v>1</v>
      </c>
      <c r="H207" s="21" t="s">
        <v>903</v>
      </c>
      <c r="I207" s="13">
        <v>42804.79519675926</v>
      </c>
      <c r="J207" s="7">
        <v>0</v>
      </c>
      <c r="K207" s="98" t="str">
        <f t="shared" si="117"/>
        <v>4039/4040</v>
      </c>
      <c r="L207" s="21" t="str">
        <f>VLOOKUP(A207,'Trips&amp;Operators'!$C$1:$G$99999,5,FALSE)</f>
        <v>BRUDER RICHARD</v>
      </c>
      <c r="M207" s="6">
        <f t="shared" si="118"/>
        <v>1.0717592595028691E-2</v>
      </c>
      <c r="N207" s="7">
        <f t="shared" si="129"/>
        <v>15.433333336841315</v>
      </c>
      <c r="O207" s="7"/>
      <c r="P207" s="7"/>
      <c r="Q207" s="22"/>
      <c r="R207" s="22"/>
      <c r="S207" s="31">
        <f t="shared" si="130"/>
        <v>1</v>
      </c>
      <c r="T207" s="46" t="str">
        <f t="shared" si="119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ref="V207:V244" si="133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-03-10T17:48:15-0700',mode:absolute,to:'2017-03-10T20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187" t="str">
        <f t="shared" si="120"/>
        <v>Y</v>
      </c>
      <c r="X207" s="187">
        <f t="shared" si="132"/>
        <v>1</v>
      </c>
      <c r="Y207" s="62">
        <f t="shared" si="121"/>
        <v>4.4699999999999997E-2</v>
      </c>
      <c r="Z207" s="62">
        <f t="shared" si="128"/>
        <v>2.3306</v>
      </c>
      <c r="AA207" s="62">
        <f t="shared" si="122"/>
        <v>2.2858999999999998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23"/>
        <v>0303-10</v>
      </c>
      <c r="AE207" s="85" t="str">
        <f t="shared" ref="AE207:AE244" si="134"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AF207" s="82" t="str">
        <f t="shared" ref="AF207:AF244" si="135"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/stypes="app*4040*20170311*" /stext=" 02:.+((SYSTEM_STATE.+slice.+state.+changed )|(ment ac)|(multiple cpu faults)|(system.+state.+changed )|(\[timeout)|(PRM\|1\|D)|(kpr)|(kdp)|(\|lc)|(penalty))"</v>
      </c>
      <c r="AG207" s="1" t="str">
        <f t="shared" si="124"/>
        <v>Other</v>
      </c>
      <c r="AH207" s="86" t="str">
        <f t="shared" ref="AH207:AH244" si="136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303-10 --locoid 4040 --swversion DE.1.0.9.0 --startMP 204:447 --initTime 2017-03-10T18:48:15 --startdatetime 2017-03-10T18:49:39 --delay 1 --endMP 300:23306 --enddatetime 2017-03-10T19:05:05 --enforcementcount 0 &gt;&gt;C:\Users\stu\Documents\GitHub\eaglep3-reporting\EC\2017-03-10-refined-times.txt</v>
      </c>
      <c r="AI207" s="108" t="str">
        <f t="shared" ref="AI207:AI244" si="137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{"issue":{"subject":"","project_id":79,"tracker_id":40,"status_id":1,"priority_id":2,"assigned_to_id":23,"start_date":"2017-03-10","description":"","custom_fields":[{"id":1,"name":"Subdivision","value":"Other"},{"id":4,"name":"Milepost","value":"2.3306"},{"id":17,"name":"Train ID","value":"303-10"},{"id":16,"name":"Locomotive ID","value":"4040"},{"id":130,"name":"Impact","value":""},{"id":150,"name":"Time of Event (Mountain Time)","value":"19:05:05"},{"id":151,"name":"Denver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ref="AM207:AM244" si="138">"start /low /b "&amp;dls3logs&amp;" --loco "&amp;B207&amp;" --day "&amp;TEXT(F207,"YYYY-MM-DD")</f>
        <v>start /low /b %USERPROFILE%\Documents\GitHub\eaglep3\Utilities\DownloadLogsFromS3.py --loco 4040 --day 2017-03-10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"%USERPROFILE%\AppData\Local\Temp\OnboardLogs"\RTDC4040\*4040*20170311* | grep -SE "(Enforcement Action)|(\[TIMEOUT)|(CHR.+\|PRM\|1\|D.+(SWITCH|SIGNAL).+UNKNOWN)" - &gt;&gt; 2017-03-10-UncaughtWiMAX.txt</v>
      </c>
    </row>
    <row r="208" spans="1:40" x14ac:dyDescent="0.25">
      <c r="A208" s="33" t="s">
        <v>616</v>
      </c>
      <c r="B208" s="7">
        <v>4032</v>
      </c>
      <c r="C208" s="21" t="s">
        <v>239</v>
      </c>
      <c r="D208" s="21" t="s">
        <v>904</v>
      </c>
      <c r="E208" s="13">
        <v>42804.141446759262</v>
      </c>
      <c r="F208" s="13">
        <v>42804.143703703703</v>
      </c>
      <c r="G208" s="7">
        <v>3</v>
      </c>
      <c r="H208" s="21" t="s">
        <v>404</v>
      </c>
      <c r="I208" s="13">
        <v>42804.149467592593</v>
      </c>
      <c r="J208" s="7">
        <v>0</v>
      </c>
      <c r="K208" s="98" t="str">
        <f t="shared" si="117"/>
        <v>4031/4032</v>
      </c>
      <c r="L208" s="21" t="str">
        <f>VLOOKUP(A208,'Trips&amp;Operators'!$C$1:$G$99999,5,FALSE)</f>
        <v>DAVIS WENDY</v>
      </c>
      <c r="M208" s="6">
        <f t="shared" si="118"/>
        <v>5.7638888902147301E-3</v>
      </c>
      <c r="N208" s="7">
        <f t="shared" si="129"/>
        <v>8.3000000019092113</v>
      </c>
      <c r="O208" s="7"/>
      <c r="P208" s="7"/>
      <c r="Q208" s="22"/>
      <c r="R208" s="22"/>
      <c r="S208" s="31">
        <f t="shared" si="130"/>
        <v>1</v>
      </c>
      <c r="T208" s="46" t="str">
        <f t="shared" si="119"/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133"/>
        <v>https://d0f6bd738d7f1b3e5a7ca70fe4ff75f0.us-east-1.aws.found.io/app/kibana#/discover/Steve-Slow-Train-Analysis-(2080s-and-2083s)?_g=(refreshInterval:(display:Off,pause:!f,section:0,value:0),time:(from:'2017-03-10T02:23:41-0700',mode:absolute,to:'2017-03-10T04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187" t="str">
        <f t="shared" si="120"/>
        <v>Y</v>
      </c>
      <c r="X208" s="187">
        <f t="shared" si="132"/>
        <v>1</v>
      </c>
      <c r="Y208" s="62">
        <f t="shared" si="121"/>
        <v>2.3567</v>
      </c>
      <c r="Z208" s="62">
        <f t="shared" si="128"/>
        <v>1.43E-2</v>
      </c>
      <c r="AA208" s="62">
        <f t="shared" si="122"/>
        <v>2.3424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23"/>
        <v>0304-10</v>
      </c>
      <c r="AE208" s="85" t="str">
        <f t="shared" si="134"/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AF208" s="82" t="str">
        <f t="shared" si="135"/>
        <v>"C:\Program Files (x86)\AstroGrep\AstroGrep.exe" /e /r /s /spath="%USERPROFILE%\AppData\Local\Temp\OnboardLogs" /stypes="app*4032*20170310*" /stext=" 10:.+((SYSTEM_STATE.+slice.+state.+changed )|(ment ac)|(multiple cpu faults)|(system.+state.+changed )|(\[timeout)|(PRM\|1\|D)|(kpr)|(kdp)|(\|lc)|(penalty))"</v>
      </c>
      <c r="AG208" s="1" t="str">
        <f t="shared" si="124"/>
        <v>Other</v>
      </c>
      <c r="AH208" s="86" t="str">
        <f t="shared" si="136"/>
        <v>"%USERPROFILE%\Documents\GitHub\eaglep3\Utilities\RefineRTDCRunTimes.py" --tripid 304-10 --locoid 4032 --swversion DE.1.0.9.0 --startMP 300:23567 --initTime 2017-03-10T03:23:41 --startdatetime 2017-03-10T03:26:56 --delay 3 --endMP 204:143 --enddatetime 2017-03-10T03:35:14 --enforcementcount 0 &gt;&gt;C:\Users\stu\Documents\GitHub\eaglep3-reporting\EC\2017-03-10-refined-times.txt</v>
      </c>
      <c r="AI208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{"issue":{"subject":"","project_id":79,"tracker_id":40,"status_id":1,"priority_id":2,"assigned_to_id":23,"start_date":"2017-03-10","description":"","custom_fields":[{"id":1,"name":"Subdivision","value":"Other"},{"id":4,"name":"Milepost","value":"0.0143"},{"id":17,"name":"Train ID","value":"304-10"},{"id":16,"name":"Locomotive ID","value":"4032"},{"id":130,"name":"Impact","value":""},{"id":150,"name":"Time of Event (Mountain Time)","value":"03:35:14"},{"id":151,"name":"Denver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38"/>
        <v>start /low /b %USERPROFILE%\Documents\GitHub\eaglep3\Utilities\DownloadLogsFromS3.py --loco 4032 --day 2017-03-10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"%USERPROFILE%\AppData\Local\Temp\OnboardLogs"\RTDC4032\*4032*20170310* | grep -SE "(Enforcement Action)|(\[TIMEOUT)|(CHR.+\|PRM\|1\|D.+(SWITCH|SIGNAL).+UNKNOWN)" - &gt;&gt; 2017-03-10-UncaughtWiMAX.txt</v>
      </c>
    </row>
    <row r="209" spans="1:40" x14ac:dyDescent="0.25">
      <c r="A209" s="33" t="s">
        <v>768</v>
      </c>
      <c r="B209" s="7">
        <v>4011</v>
      </c>
      <c r="C209" s="21" t="s">
        <v>239</v>
      </c>
      <c r="D209" s="21" t="s">
        <v>240</v>
      </c>
      <c r="E209" s="13">
        <v>42804.800393518519</v>
      </c>
      <c r="F209" s="13">
        <v>42804.801400462966</v>
      </c>
      <c r="G209" s="7">
        <v>1</v>
      </c>
      <c r="H209" s="21" t="s">
        <v>905</v>
      </c>
      <c r="I209" s="13">
        <v>42804.810358796298</v>
      </c>
      <c r="J209" s="7">
        <v>0</v>
      </c>
      <c r="K209" s="98" t="str">
        <f t="shared" si="117"/>
        <v>4011/4012</v>
      </c>
      <c r="L209" s="21" t="str">
        <f>VLOOKUP(A209,'Trips&amp;Operators'!$C$1:$G$99999,5,FALSE)</f>
        <v>DELGADO DIANAH</v>
      </c>
      <c r="M209" s="6">
        <f t="shared" si="118"/>
        <v>8.9583333319751546E-3</v>
      </c>
      <c r="N209" s="7">
        <f t="shared" si="129"/>
        <v>12.899999998044223</v>
      </c>
      <c r="O209" s="7"/>
      <c r="P209" s="7"/>
      <c r="Q209" s="22"/>
      <c r="R209" s="22"/>
      <c r="S209" s="31">
        <f t="shared" si="130"/>
        <v>1</v>
      </c>
      <c r="T209" s="46" t="str">
        <f t="shared" si="119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133"/>
        <v>https://d0f6bd738d7f1b3e5a7ca70fe4ff75f0.us-east-1.aws.found.io/app/kibana#/discover/Steve-Slow-Train-Analysis-(2080s-and-2083s)?_g=(refreshInterval:(display:Off,pause:!f,section:0,value:0),time:(from:'2017-03-10T18:12:34-0700',mode:absolute,to:'2017-03-10T20:26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9" s="187" t="str">
        <f t="shared" si="120"/>
        <v>Y</v>
      </c>
      <c r="X209" s="187">
        <f t="shared" si="132"/>
        <v>1</v>
      </c>
      <c r="Y209" s="62">
        <f t="shared" si="121"/>
        <v>4.58E-2</v>
      </c>
      <c r="Z209" s="62">
        <f t="shared" si="128"/>
        <v>2.3311999999999999</v>
      </c>
      <c r="AA209" s="62">
        <f t="shared" si="122"/>
        <v>2.2854000000000001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23"/>
        <v>0305-10</v>
      </c>
      <c r="AE209" s="85" t="str">
        <f t="shared" si="134"/>
        <v>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 &amp; aws s3 cp s3://rtdc.mdm.uploadarchive.raw/RTDC4011/ "%USERPROFILE%\AppData\Local\Temp\OnboardLogs"\RTDC4011\2017-03-11 --exclude "*" --recursive --include "*20170311*" &amp; "%USERPROFILE%\Documents\GitHub\mrs-test-scripts\Headless Mode &amp; Sideloading\WalkAndUnGZ.bat" "%USERPROFILE%\AppData\Local\Temp\OnboardLogs"\RTDC4011\2017-03-11</v>
      </c>
      <c r="AF209" s="82" t="str">
        <f t="shared" si="135"/>
        <v>"C:\Program Files (x86)\AstroGrep\AstroGrep.exe" /e /r /s /spath="%USERPROFILE%\AppData\Local\Temp\OnboardLogs" /stypes="app*4011*20170311*" /stext=" 02:.+((SYSTEM_STATE.+slice.+state.+changed )|(ment ac)|(multiple cpu faults)|(system.+state.+changed )|(\[timeout)|(PRM\|1\|D)|(kpr)|(kdp)|(\|lc)|(penalty))"</v>
      </c>
      <c r="AG209" s="1" t="str">
        <f t="shared" si="124"/>
        <v>Other</v>
      </c>
      <c r="AH209" s="86" t="str">
        <f t="shared" si="136"/>
        <v>"%USERPROFILE%\Documents\GitHub\eaglep3\Utilities\RefineRTDCRunTimes.py" --tripid 305-10 --locoid 4011 --swversion DE.1.0.9.0 --startMP 204:458 --initTime 2017-03-10T19:12:34 --startdatetime 2017-03-10T19:14:01 --delay 1 --endMP 300:23312 --enddatetime 2017-03-10T19:26:55 --enforcementcount 0 &gt;&gt;C:\Users\stu\Documents\GitHub\eaglep3-reporting\EC\2017-03-10-refined-times.txt</v>
      </c>
      <c r="AI209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{"issue":{"subject":"","project_id":79,"tracker_id":40,"status_id":1,"priority_id":2,"assigned_to_id":23,"start_date":"2017-03-10","description":"","custom_fields":[{"id":1,"name":"Subdivision","value":"Other"},{"id":4,"name":"Milepost","value":"2.3312"},{"id":17,"name":"Train ID","value":"305-10"},{"id":16,"name":"Locomotive ID","value":"4011"},{"id":130,"name":"Impact","value":""},{"id":150,"name":"Time of Event (Mountain Time)","value":"19:26:55"},{"id":151,"name":"Denver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38"/>
        <v>start /low /b %USERPROFILE%\Documents\GitHub\eaglep3\Utilities\DownloadLogsFromS3.py --loco 4011 --day 2017-03-10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"%USERPROFILE%\AppData\Local\Temp\OnboardLogs"\RTDC4011\*4011*20170311* | grep -SE "(Enforcement Action)|(\[TIMEOUT)|(CHR.+\|PRM\|1\|D.+(SWITCH|SIGNAL).+UNKNOWN)" - &gt;&gt; 2017-03-10-UncaughtWiMAX.txt</v>
      </c>
    </row>
    <row r="210" spans="1:40" x14ac:dyDescent="0.25">
      <c r="A210" s="33" t="s">
        <v>565</v>
      </c>
      <c r="B210" s="7">
        <v>4052</v>
      </c>
      <c r="C210" s="21" t="s">
        <v>239</v>
      </c>
      <c r="D210" s="21" t="s">
        <v>906</v>
      </c>
      <c r="E210" s="13">
        <v>42804.156215277777</v>
      </c>
      <c r="F210" s="13">
        <v>42804.158622685187</v>
      </c>
      <c r="G210" s="7">
        <v>3</v>
      </c>
      <c r="H210" s="21" t="s">
        <v>907</v>
      </c>
      <c r="I210" s="13">
        <v>42804.163819444446</v>
      </c>
      <c r="J210" s="7">
        <v>0</v>
      </c>
      <c r="K210" s="98" t="str">
        <f t="shared" si="117"/>
        <v>4051/4052</v>
      </c>
      <c r="L210" s="21" t="str">
        <f>VLOOKUP(A210,'Trips&amp;Operators'!$C$1:$G$99999,5,FALSE)</f>
        <v>ROBINSON KADDIBA</v>
      </c>
      <c r="M210" s="6">
        <f t="shared" si="118"/>
        <v>5.1967592589790002E-3</v>
      </c>
      <c r="N210" s="7">
        <f t="shared" si="129"/>
        <v>7.4833333329297602</v>
      </c>
      <c r="O210" s="7"/>
      <c r="P210" s="7"/>
      <c r="Q210" s="22"/>
      <c r="R210" s="22"/>
      <c r="S210" s="31">
        <f t="shared" si="130"/>
        <v>0</v>
      </c>
      <c r="T210" s="46" t="str">
        <f t="shared" si="119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133"/>
        <v>https://d0f6bd738d7f1b3e5a7ca70fe4ff75f0.us-east-1.aws.found.io/app/kibana#/discover/Steve-Slow-Train-Analysis-(2080s-and-2083s)?_g=(refreshInterval:(display:Off,pause:!f,section:0,value:0),time:(from:'2017-03-10T02:44:57-0700',mode:absolute,to:'2017-03-10T04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187" t="str">
        <f t="shared" si="120"/>
        <v>Y</v>
      </c>
      <c r="X210" s="187">
        <f t="shared" si="132"/>
        <v>1</v>
      </c>
      <c r="Y210" s="62">
        <f t="shared" si="121"/>
        <v>2.3134999999999999</v>
      </c>
      <c r="Z210" s="62">
        <f t="shared" si="128"/>
        <v>1.714</v>
      </c>
      <c r="AA210" s="62">
        <f t="shared" si="122"/>
        <v>0.59949999999999992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23"/>
        <v>0306-10</v>
      </c>
      <c r="AE210" s="85" t="str">
        <f t="shared" si="134"/>
        <v>aws s3 cp s3://rtdc.mdm.uploadarchive.raw/RTDC4052/ "%USERPROFILE%\AppData\Local\Temp\OnboardLogs"\RTDC4052\2017-03-10 --exclude "*" --recursive --include "*20170310*" &amp; "%USERPROFILE%\Documents\GitHub\mrs-test-scripts\Headless Mode &amp; Sideloading\WalkAndUnGZ.bat" "%USERPROFILE%\AppData\Local\Temp\OnboardLogs"\RTDC4052\2017-03-10 &amp; aws s3 cp s3://rtdc.mdm.uploadarchive.raw/RTDC4052/ "%USERPROFILE%\AppData\Local\Temp\OnboardLogs"\RTDC4052\2017-03-11 --exclude "*" --recursive --include "*20170311*" &amp; "%USERPROFILE%\Documents\GitHub\mrs-test-scripts\Headless Mode &amp; Sideloading\WalkAndUnGZ.bat" "%USERPROFILE%\AppData\Local\Temp\OnboardLogs"\RTDC4052\2017-03-11</v>
      </c>
      <c r="AF210" s="82" t="str">
        <f t="shared" si="135"/>
        <v>"C:\Program Files (x86)\AstroGrep\AstroGrep.exe" /e /r /s /spath="%USERPROFILE%\AppData\Local\Temp\OnboardLogs" /stypes="app*4052*20170310*" /stext=" 10:.+((SYSTEM_STATE.+slice.+state.+changed )|(ment ac)|(multiple cpu faults)|(system.+state.+changed )|(\[timeout)|(PRM\|1\|D)|(kpr)|(kdp)|(\|lc)|(penalty))"</v>
      </c>
      <c r="AG210" s="1" t="str">
        <f t="shared" si="124"/>
        <v>Other</v>
      </c>
      <c r="AH210" s="86" t="str">
        <f t="shared" si="136"/>
        <v>"%USERPROFILE%\Documents\GitHub\eaglep3\Utilities\RefineRTDCRunTimes.py" --tripid 306-10 --locoid 4052 --swversion DE.1.0.9.0 --startMP 300:23135 --initTime 2017-03-10T03:44:57 --startdatetime 2017-03-10T03:48:25 --delay 3 --endMP 300:17140 --enddatetime 2017-03-10T03:55:54 --enforcementcount 0 &gt;&gt;C:\Users\stu\Documents\GitHub\eaglep3-reporting\EC\2017-03-10-refined-times.txt</v>
      </c>
      <c r="AI210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{"issue":{"subject":"","project_id":79,"tracker_id":40,"status_id":1,"priority_id":2,"assigned_to_id":23,"start_date":"2017-03-10","description":"","custom_fields":[{"id":1,"name":"Subdivision","value":"Other"},{"id":4,"name":"Milepost","value":"1.714"},{"id":17,"name":"Train ID","value":"306-10"},{"id":16,"name":"Locomotive ID","value":"4052"},{"id":130,"name":"Impact","value":""},{"id":150,"name":"Time of Event (Mountain Time)","value":"03:55:54"},{"id":151,"name":"Denver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38"/>
        <v>start /low /b %USERPROFILE%\Documents\GitHub\eaglep3\Utilities\DownloadLogsFromS3.py --loco 4052 --day 2017-03-10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"%USERPROFILE%\AppData\Local\Temp\OnboardLogs"\RTDC4052\*4052*20170310* | grep -SE "(Enforcement Action)|(\[TIMEOUT)|(CHR.+\|PRM\|1\|D.+(SWITCH|SIGNAL).+UNKNOWN)" - &gt;&gt; 2017-03-10-UncaughtWiMAX.txt</v>
      </c>
    </row>
    <row r="211" spans="1:40" x14ac:dyDescent="0.25">
      <c r="A211" s="33" t="s">
        <v>774</v>
      </c>
      <c r="B211" s="7">
        <v>4053</v>
      </c>
      <c r="C211" s="21" t="s">
        <v>239</v>
      </c>
      <c r="D211" s="21" t="s">
        <v>233</v>
      </c>
      <c r="E211" s="13">
        <v>42804.819351851853</v>
      </c>
      <c r="F211" s="13">
        <v>42804.820104166669</v>
      </c>
      <c r="G211" s="7">
        <v>1</v>
      </c>
      <c r="H211" s="21" t="s">
        <v>908</v>
      </c>
      <c r="I211" s="13">
        <v>42804.826574074075</v>
      </c>
      <c r="J211" s="7">
        <v>0</v>
      </c>
      <c r="K211" s="98" t="str">
        <f t="shared" si="117"/>
        <v>4053/4054</v>
      </c>
      <c r="L211" s="21" t="str">
        <f>VLOOKUP(A211,'Trips&amp;Operators'!$C$1:$G$99999,5,FALSE)</f>
        <v>LOPES KIMBERLY</v>
      </c>
      <c r="M211" s="6">
        <f t="shared" si="118"/>
        <v>6.4699074064265005E-3</v>
      </c>
      <c r="N211" s="7">
        <f t="shared" si="129"/>
        <v>9.3166666652541608</v>
      </c>
      <c r="O211" s="7"/>
      <c r="P211" s="7"/>
      <c r="Q211" s="22"/>
      <c r="R211" s="22"/>
      <c r="S211" s="31">
        <f t="shared" si="130"/>
        <v>1</v>
      </c>
      <c r="T211" s="46" t="str">
        <f t="shared" si="119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133"/>
        <v>https://d0f6bd738d7f1b3e5a7ca70fe4ff75f0.us-east-1.aws.found.io/app/kibana#/discover/Steve-Slow-Train-Analysis-(2080s-and-2083s)?_g=(refreshInterval:(display:Off,pause:!f,section:0,value:0),time:(from:'2017-03-10T18:39:52-0700',mode:absolute,to:'2017-03-10T20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1" s="187" t="str">
        <f t="shared" si="120"/>
        <v>Y</v>
      </c>
      <c r="X211" s="187">
        <f t="shared" ref="X211:X244" si="139">VALUE(LEFT(AD211,4))-VALUE(LEFT(AD210,4))</f>
        <v>1</v>
      </c>
      <c r="Y211" s="62">
        <f t="shared" si="121"/>
        <v>4.4699999999999997E-2</v>
      </c>
      <c r="Z211" s="62">
        <f t="shared" si="128"/>
        <v>2.3298999999999999</v>
      </c>
      <c r="AA211" s="62">
        <f t="shared" si="122"/>
        <v>2.2851999999999997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123"/>
        <v>0307-10</v>
      </c>
      <c r="AE211" s="85" t="str">
        <f t="shared" si="134"/>
        <v>aws s3 cp s3://rtdc.mdm.uploadarchive.raw/RTDC4053/ "%USERPROFILE%\AppData\Local\Temp\OnboardLogs"\RTDC4053\2017-03-10 --exclude "*" --recursive --include "*20170310*" &amp; "%USERPROFILE%\Documents\GitHub\mrs-test-scripts\Headless Mode &amp; Sideloading\WalkAndUnGZ.bat" "%USERPROFILE%\AppData\Local\Temp\OnboardLogs"\RTDC4053\2017-03-10 &amp; aws s3 cp s3://rtdc.mdm.uploadarchive.raw/RTDC4053/ "%USERPROFILE%\AppData\Local\Temp\OnboardLogs"\RTDC4053\2017-03-11 --exclude "*" --recursive --include "*20170311*" &amp; "%USERPROFILE%\Documents\GitHub\mrs-test-scripts\Headless Mode &amp; Sideloading\WalkAndUnGZ.bat" "%USERPROFILE%\AppData\Local\Temp\OnboardLogs"\RTDC4053\2017-03-11</v>
      </c>
      <c r="AF211" s="82" t="str">
        <f t="shared" si="135"/>
        <v>"C:\Program Files (x86)\AstroGrep\AstroGrep.exe" /e /r /s /spath="%USERPROFILE%\AppData\Local\Temp\OnboardLogs" /stypes="app*4053*20170311*" /stext=" 02:.+((SYSTEM_STATE.+slice.+state.+changed )|(ment ac)|(multiple cpu faults)|(system.+state.+changed )|(\[timeout)|(PRM\|1\|D)|(kpr)|(kdp)|(\|lc)|(penalty))"</v>
      </c>
      <c r="AG211" s="1" t="str">
        <f t="shared" si="124"/>
        <v>Other</v>
      </c>
      <c r="AH211" s="86" t="str">
        <f t="shared" si="136"/>
        <v>"%USERPROFILE%\Documents\GitHub\eaglep3\Utilities\RefineRTDCRunTimes.py" --tripid 307-10 --locoid 4053 --swversion DE.1.0.9.0 --startMP 204:447 --initTime 2017-03-10T19:39:52 --startdatetime 2017-03-10T19:40:57 --delay 1 --endMP 300:23299 --enddatetime 2017-03-10T19:50:16 --enforcementcount 0 &gt;&gt;C:\Users\stu\Documents\GitHub\eaglep3-reporting\EC\2017-03-10-refined-times.txt</v>
      </c>
      <c r="AI211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{"issue":{"subject":"","project_id":79,"tracker_id":40,"status_id":1,"priority_id":2,"assigned_to_id":23,"start_date":"2017-03-10","description":"","custom_fields":[{"id":1,"name":"Subdivision","value":"Other"},{"id":4,"name":"Milepost","value":"2.3299"},{"id":17,"name":"Train ID","value":"307-10"},{"id":16,"name":"Locomotive ID","value":"4053"},{"id":130,"name":"Impact","value":""},{"id":150,"name":"Time of Event (Mountain Time)","value":"19:50:16"},{"id":151,"name":"Denver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38"/>
        <v>start /low /b %USERPROFILE%\Documents\GitHub\eaglep3\Utilities\DownloadLogsFromS3.py --loco 4053 --day 2017-03-10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"%USERPROFILE%\AppData\Local\Temp\OnboardLogs"\RTDC4053\*4053*20170311* | grep -SE "(Enforcement Action)|(\[TIMEOUT)|(CHR.+\|PRM\|1\|D.+(SWITCH|SIGNAL).+UNKNOWN)" - &gt;&gt; 2017-03-10-UncaughtWiMAX.txt</v>
      </c>
    </row>
    <row r="212" spans="1:40" x14ac:dyDescent="0.25">
      <c r="A212" s="33" t="s">
        <v>620</v>
      </c>
      <c r="B212" s="7">
        <v>4039</v>
      </c>
      <c r="C212" s="21" t="s">
        <v>239</v>
      </c>
      <c r="D212" s="21" t="s">
        <v>909</v>
      </c>
      <c r="E212" s="13">
        <v>42804.177662037036</v>
      </c>
      <c r="F212" s="13">
        <v>42804.178923611114</v>
      </c>
      <c r="G212" s="7">
        <v>1</v>
      </c>
      <c r="H212" s="21" t="s">
        <v>184</v>
      </c>
      <c r="I212" s="13">
        <v>42804.183252314811</v>
      </c>
      <c r="J212" s="7">
        <v>0</v>
      </c>
      <c r="K212" s="98" t="str">
        <f t="shared" si="117"/>
        <v>4039/4040</v>
      </c>
      <c r="L212" s="21" t="str">
        <f>VLOOKUP(A212,'Trips&amp;Operators'!$C$1:$G$99999,5,FALSE)</f>
        <v>STARKS ANGELINA</v>
      </c>
      <c r="M212" s="6">
        <f t="shared" si="118"/>
        <v>4.3287036969559267E-3</v>
      </c>
      <c r="N212" s="7">
        <f t="shared" si="129"/>
        <v>6.2333333236165345</v>
      </c>
      <c r="O212" s="7"/>
      <c r="P212" s="7"/>
      <c r="Q212" s="22"/>
      <c r="R212" s="22"/>
      <c r="S212" s="31">
        <f t="shared" si="130"/>
        <v>1</v>
      </c>
      <c r="T212" s="46" t="str">
        <f t="shared" si="119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133"/>
        <v>https://d0f6bd738d7f1b3e5a7ca70fe4ff75f0.us-east-1.aws.found.io/app/kibana#/discover/Steve-Slow-Train-Analysis-(2080s-and-2083s)?_g=(refreshInterval:(display:Off,pause:!f,section:0,value:0),time:(from:'2017-03-10T03:15:50-0700',mode:absolute,to:'2017-03-10T05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187" t="str">
        <f t="shared" si="120"/>
        <v>Y</v>
      </c>
      <c r="X212" s="187">
        <f t="shared" si="139"/>
        <v>1</v>
      </c>
      <c r="Y212" s="62">
        <f t="shared" si="121"/>
        <v>1.3354999999999999</v>
      </c>
      <c r="Z212" s="62">
        <f t="shared" ref="Z212:Z244" si="140">RIGHT(H212,LEN(H212)-4)/10000</f>
        <v>1.49E-2</v>
      </c>
      <c r="AA212" s="62">
        <f t="shared" si="122"/>
        <v>1.3206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123"/>
        <v>0308-10</v>
      </c>
      <c r="AE212" s="85" t="str">
        <f t="shared" si="134"/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AF212" s="82" t="str">
        <f t="shared" si="135"/>
        <v>"C:\Program Files (x86)\AstroGrep\AstroGrep.exe" /e /r /s /spath="%USERPROFILE%\AppData\Local\Temp\OnboardLogs" /stypes="app*4039*20170310*" /stext=" 11:.+((SYSTEM_STATE.+slice.+state.+changed )|(ment ac)|(multiple cpu faults)|(system.+state.+changed )|(\[timeout)|(PRM\|1\|D)|(kpr)|(kdp)|(\|lc)|(penalty))"</v>
      </c>
      <c r="AG212" s="1" t="str">
        <f t="shared" si="124"/>
        <v>Other</v>
      </c>
      <c r="AH212" s="86" t="str">
        <f t="shared" si="136"/>
        <v>"%USERPROFILE%\Documents\GitHub\eaglep3\Utilities\RefineRTDCRunTimes.py" --tripid 308-10 --locoid 4039 --swversion DE.1.0.9.0 --startMP 300:13355 --initTime 2017-03-10T04:15:50 --startdatetime 2017-03-10T04:17:39 --delay 1 --endMP 204:149 --enddatetime 2017-03-10T04:23:53 --enforcementcount 0 &gt;&gt;C:\Users\stu\Documents\GitHub\eaglep3-reporting\EC\2017-03-10-refined-times.txt</v>
      </c>
      <c r="AI212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{"issue":{"subject":"","project_id":79,"tracker_id":40,"status_id":1,"priority_id":2,"assigned_to_id":23,"start_date":"2017-03-10","description":"","custom_fields":[{"id":1,"name":"Subdivision","value":"Other"},{"id":4,"name":"Milepost","value":"0.0149"},{"id":17,"name":"Train ID","value":"308-10"},{"id":16,"name":"Locomotive ID","value":"4039"},{"id":130,"name":"Impact","value":""},{"id":150,"name":"Time of Event (Mountain Time)","value":"04:23:53"},{"id":151,"name":"Denver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38"/>
        <v>start /low /b %USERPROFILE%\Documents\GitHub\eaglep3\Utilities\DownloadLogsFromS3.py --loco 4039 --day 2017-03-10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"%USERPROFILE%\AppData\Local\Temp\OnboardLogs"\RTDC4039\*4039*20170310* | grep -SE "(Enforcement Action)|(\[TIMEOUT)|(CHR.+\|PRM\|1\|D.+(SWITCH|SIGNAL).+UNKNOWN)" - &gt;&gt; 2017-03-10-UncaughtWiMAX.txt</v>
      </c>
    </row>
    <row r="213" spans="1:40" x14ac:dyDescent="0.25">
      <c r="A213" s="33" t="s">
        <v>620</v>
      </c>
      <c r="B213" s="7">
        <v>4039</v>
      </c>
      <c r="C213" s="21" t="s">
        <v>239</v>
      </c>
      <c r="D213" s="21" t="s">
        <v>910</v>
      </c>
      <c r="E213" s="13">
        <v>42804.170486111114</v>
      </c>
      <c r="F213" s="13">
        <v>42804.174143518518</v>
      </c>
      <c r="G213" s="7">
        <v>5</v>
      </c>
      <c r="H213" s="21" t="s">
        <v>911</v>
      </c>
      <c r="I213" s="13">
        <v>42804.175115740742</v>
      </c>
      <c r="J213" s="7">
        <v>0</v>
      </c>
      <c r="K213" s="98" t="str">
        <f t="shared" si="117"/>
        <v>4039/4040</v>
      </c>
      <c r="L213" s="21" t="str">
        <f>VLOOKUP(A213,'Trips&amp;Operators'!$C$1:$G$99999,5,FALSE)</f>
        <v>STARKS ANGELINA</v>
      </c>
      <c r="M213" s="6">
        <f t="shared" si="118"/>
        <v>9.7222222393611446E-4</v>
      </c>
      <c r="N213" s="7">
        <f t="shared" si="129"/>
        <v>1.4000000024680048</v>
      </c>
      <c r="O213" s="7"/>
      <c r="P213" s="7"/>
      <c r="Q213" s="22"/>
      <c r="R213" s="22"/>
      <c r="S213" s="31">
        <f t="shared" si="130"/>
        <v>0</v>
      </c>
      <c r="T213" s="46" t="str">
        <f t="shared" si="119"/>
        <v>Southbound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133"/>
        <v>https://d0f6bd738d7f1b3e5a7ca70fe4ff75f0.us-east-1.aws.found.io/app/kibana#/discover/Steve-Slow-Train-Analysis-(2080s-and-2083s)?_g=(refreshInterval:(display:Off,pause:!f,section:0,value:0),time:(from:'2017-03-10T03:05:30-0700',mode:absolute,to:'2017-03-10T05:12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3" s="187" t="str">
        <f t="shared" si="120"/>
        <v>Y</v>
      </c>
      <c r="X213" s="187">
        <f t="shared" si="139"/>
        <v>0</v>
      </c>
      <c r="Y213" s="62">
        <f t="shared" si="121"/>
        <v>2.3711000000000002</v>
      </c>
      <c r="Z213" s="62">
        <f t="shared" si="140"/>
        <v>2.0219999999999998</v>
      </c>
      <c r="AA213" s="62">
        <f t="shared" si="122"/>
        <v>0.34910000000000041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123"/>
        <v>0308-10</v>
      </c>
      <c r="AE213" s="85" t="str">
        <f t="shared" si="134"/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AF213" s="82" t="str">
        <f t="shared" si="135"/>
        <v>"C:\Program Files (x86)\AstroGrep\AstroGrep.exe" /e /r /s /spath="%USERPROFILE%\AppData\Local\Temp\OnboardLogs" /stypes="app*4039*20170310*" /stext=" 11:.+((SYSTEM_STATE.+slice.+state.+changed )|(ment ac)|(multiple cpu faults)|(system.+state.+changed )|(\[timeout)|(PRM\|1\|D)|(kpr)|(kdp)|(\|lc)|(penalty))"</v>
      </c>
      <c r="AG213" s="1" t="str">
        <f t="shared" si="124"/>
        <v>Other</v>
      </c>
      <c r="AH213" s="86" t="str">
        <f t="shared" si="136"/>
        <v>"%USERPROFILE%\Documents\GitHub\eaglep3\Utilities\RefineRTDCRunTimes.py" --tripid 308-10 --locoid 4039 --swversion DE.1.0.9.0 --startMP 300:23711 --initTime 2017-03-10T04:05:30 --startdatetime 2017-03-10T04:10:46 --delay 5 --endMP 300:20220 --enddatetime 2017-03-10T04:12:10 --enforcementcount 0 &gt;&gt;C:\Users\stu\Documents\GitHub\eaglep3-reporting\EC\2017-03-10-refined-times.txt</v>
      </c>
      <c r="AI213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{"issue":{"subject":"","project_id":79,"tracker_id":40,"status_id":1,"priority_id":2,"assigned_to_id":23,"start_date":"2017-03-10","description":"","custom_fields":[{"id":1,"name":"Subdivision","value":"Other"},{"id":4,"name":"Milepost","value":"2.022"},{"id":17,"name":"Train ID","value":"308-10"},{"id":16,"name":"Locomotive ID","value":"4039"},{"id":130,"name":"Impact","value":""},{"id":150,"name":"Time of Event (Mountain Time)","value":"04:12:10"},{"id":151,"name":"Denver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38"/>
        <v>start /low /b %USERPROFILE%\Documents\GitHub\eaglep3\Utilities\DownloadLogsFromS3.py --loco 4039 --day 2017-03-10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"%USERPROFILE%\AppData\Local\Temp\OnboardLogs"\RTDC4039\*4039*20170310* | grep -SE "(Enforcement Action)|(\[TIMEOUT)|(CHR.+\|PRM\|1\|D.+(SWITCH|SIGNAL).+UNKNOWN)" - &gt;&gt; 2017-03-10-UncaughtWiMAX.txt</v>
      </c>
    </row>
    <row r="214" spans="1:40" x14ac:dyDescent="0.25">
      <c r="A214" s="33" t="s">
        <v>804</v>
      </c>
      <c r="B214" s="7">
        <v>4027</v>
      </c>
      <c r="C214" s="21" t="s">
        <v>239</v>
      </c>
      <c r="D214" s="21" t="s">
        <v>223</v>
      </c>
      <c r="E214" s="13">
        <v>42805.050659722219</v>
      </c>
      <c r="F214" s="13">
        <v>42805.052442129629</v>
      </c>
      <c r="G214" s="7">
        <v>2</v>
      </c>
      <c r="H214" s="21" t="s">
        <v>435</v>
      </c>
      <c r="I214" s="13">
        <v>42805.05940972222</v>
      </c>
      <c r="J214" s="7">
        <v>0</v>
      </c>
      <c r="K214" s="98" t="str">
        <f t="shared" si="117"/>
        <v>4027/4028</v>
      </c>
      <c r="L214" s="21" t="str">
        <f>VLOOKUP(A214,'Trips&amp;Operators'!$C$1:$G$99999,5,FALSE)</f>
        <v>STORY SAMANTHA</v>
      </c>
      <c r="M214" s="6">
        <f t="shared" si="118"/>
        <v>6.9675925915362313E-3</v>
      </c>
      <c r="N214" s="7">
        <f t="shared" si="129"/>
        <v>10.033333331812173</v>
      </c>
      <c r="O214" s="7"/>
      <c r="P214" s="7"/>
      <c r="Q214" s="22"/>
      <c r="R214" s="22"/>
      <c r="S214" s="31">
        <f t="shared" si="130"/>
        <v>1</v>
      </c>
      <c r="T214" s="46" t="str">
        <f t="shared" si="119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133"/>
        <v>https://d0f6bd738d7f1b3e5a7ca70fe4ff75f0.us-east-1.aws.found.io/app/kibana#/discover/Steve-Slow-Train-Analysis-(2080s-and-2083s)?_g=(refreshInterval:(display:Off,pause:!f,section:0,value:0),time:(from:'2017-03-11T00:12:57-0700',mode:absolute,to:'2017-03-11T02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4" s="187" t="str">
        <f t="shared" si="120"/>
        <v>Y</v>
      </c>
      <c r="X214" s="187">
        <f t="shared" si="139"/>
        <v>1</v>
      </c>
      <c r="Y214" s="62">
        <f t="shared" si="121"/>
        <v>4.53E-2</v>
      </c>
      <c r="Z214" s="62">
        <f t="shared" si="140"/>
        <v>2.331</v>
      </c>
      <c r="AA214" s="62">
        <f t="shared" si="122"/>
        <v>2.2856999999999998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123"/>
        <v>0309-10</v>
      </c>
      <c r="AE214" s="85" t="str">
        <f t="shared" si="134"/>
        <v>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 &amp; 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</v>
      </c>
      <c r="AF214" s="82" t="str">
        <f t="shared" si="135"/>
        <v>"C:\Program Files (x86)\AstroGrep\AstroGrep.exe" /e /r /s /spath="%USERPROFILE%\AppData\Local\Temp\OnboardLogs" /stypes="app*4027*20170311*" /stext=" 08:.+((SYSTEM_STATE.+slice.+state.+changed )|(ment ac)|(multiple cpu faults)|(system.+state.+changed )|(\[timeout)|(PRM\|1\|D)|(kpr)|(kdp)|(\|lc)|(penalty))"</v>
      </c>
      <c r="AG214" s="1" t="str">
        <f t="shared" si="124"/>
        <v>Other</v>
      </c>
      <c r="AH214" s="86" t="str">
        <f t="shared" si="136"/>
        <v>"%USERPROFILE%\Documents\GitHub\eaglep3\Utilities\RefineRTDCRunTimes.py" --tripid 309-10 --locoid 4027 --swversion DE.1.0.9.0 --startMP 204:453 --initTime 2017-03-11T01:12:57 --startdatetime 2017-03-11T01:15:31 --delay 2 --endMP 300:23310 --enddatetime 2017-03-11T01:25:33 --enforcementcount 0 &gt;&gt;C:\Users\stu\Documents\GitHub\eaglep3-reporting\EC\2017-03-10-refined-times.txt</v>
      </c>
      <c r="AI214" s="108" t="str">
        <f t="shared" si="137"/>
        <v>echo {"issue":{"subject":"","project_id":79,"tracker_id":40,"status_id":1,"priority_id":2,"assigned_to_id":23,"start_date":"2017-03-11","description":"","custom_fields":[{"id":1,"name":"Subdivision","value":"Other"},{"id":4,"name":"Milepost","value":"2.331"},{"id":17,"name":"Train ID","value":"309-10"},{"id":16,"name":"Locomotive ID","value":"4027"},{"id":130,"name":"Impact","value":""},{"id":150,"name":"Time of Event (Mountain Time)","value":"01:25:33"},{"id":151,"name":"Denver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38"/>
        <v>start /low /b %USERPROFILE%\Documents\GitHub\eaglep3\Utilities\DownloadLogsFromS3.py --loco 4027 --day 2017-03-11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"%USERPROFILE%\AppData\Local\Temp\OnboardLogs"\RTDC4027\*4027*20170311* | grep -SE "(Enforcement Action)|(\[TIMEOUT)|(CHR.+\|PRM\|1\|D.+(SWITCH|SIGNAL).+UNKNOWN)" - &gt;&gt; 2017-03-10-UncaughtWiMAX.txt</v>
      </c>
    </row>
    <row r="215" spans="1:40" x14ac:dyDescent="0.25">
      <c r="A215" s="33" t="s">
        <v>621</v>
      </c>
      <c r="B215" s="7">
        <v>4012</v>
      </c>
      <c r="C215" s="21" t="s">
        <v>239</v>
      </c>
      <c r="D215" s="21" t="s">
        <v>912</v>
      </c>
      <c r="E215" s="13">
        <v>42804.183333333334</v>
      </c>
      <c r="F215" s="13">
        <v>42804.186481481483</v>
      </c>
      <c r="G215" s="7">
        <v>4</v>
      </c>
      <c r="H215" s="21" t="s">
        <v>227</v>
      </c>
      <c r="I215" s="13">
        <v>42804.192175925928</v>
      </c>
      <c r="J215" s="7">
        <v>0</v>
      </c>
      <c r="K215" s="98" t="str">
        <f t="shared" si="117"/>
        <v>4011/4012</v>
      </c>
      <c r="L215" s="21" t="str">
        <f>VLOOKUP(A215,'Trips&amp;Operators'!$C$1:$G$99999,5,FALSE)</f>
        <v>LOZA FIDEL</v>
      </c>
      <c r="M215" s="6">
        <f t="shared" si="118"/>
        <v>5.694444444088731E-3</v>
      </c>
      <c r="N215" s="7">
        <f t="shared" si="129"/>
        <v>8.1999999994877726</v>
      </c>
      <c r="O215" s="7"/>
      <c r="P215" s="7"/>
      <c r="Q215" s="22"/>
      <c r="R215" s="22"/>
      <c r="S215" s="31">
        <f t="shared" si="130"/>
        <v>1</v>
      </c>
      <c r="T215" s="46" t="str">
        <f t="shared" si="119"/>
        <v>Southbound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133"/>
        <v>https://d0f6bd738d7f1b3e5a7ca70fe4ff75f0.us-east-1.aws.found.io/app/kibana#/discover/Steve-Slow-Train-Analysis-(2080s-and-2083s)?_g=(refreshInterval:(display:Off,pause:!f,section:0,value:0),time:(from:'2017-03-10T03:24:00-0700',mode:absolute,to:'2017-03-10T05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5" s="187" t="str">
        <f t="shared" si="120"/>
        <v>Y</v>
      </c>
      <c r="X215" s="187">
        <f t="shared" si="139"/>
        <v>1</v>
      </c>
      <c r="Y215" s="62">
        <f t="shared" si="121"/>
        <v>2.3466</v>
      </c>
      <c r="Z215" s="62">
        <f t="shared" si="140"/>
        <v>1.41E-2</v>
      </c>
      <c r="AA215" s="62">
        <f t="shared" si="122"/>
        <v>2.3325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123"/>
        <v>0310-10</v>
      </c>
      <c r="AE215" s="85" t="str">
        <f t="shared" si="134"/>
        <v>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 &amp; aws s3 cp s3://rtdc.mdm.uploadarchive.raw/RTDC4012/ "%USERPROFILE%\AppData\Local\Temp\OnboardLogs"\RTDC4012\2017-03-11 --exclude "*" --recursive --include "*20170311*" &amp; "%USERPROFILE%\Documents\GitHub\mrs-test-scripts\Headless Mode &amp; Sideloading\WalkAndUnGZ.bat" "%USERPROFILE%\AppData\Local\Temp\OnboardLogs"\RTDC4012\2017-03-11</v>
      </c>
      <c r="AF215" s="82" t="str">
        <f t="shared" si="135"/>
        <v>"C:\Program Files (x86)\AstroGrep\AstroGrep.exe" /e /r /s /spath="%USERPROFILE%\AppData\Local\Temp\OnboardLogs" /stypes="app*4012*20170310*" /stext=" 11:.+((SYSTEM_STATE.+slice.+state.+changed )|(ment ac)|(multiple cpu faults)|(system.+state.+changed )|(\[timeout)|(PRM\|1\|D)|(kpr)|(kdp)|(\|lc)|(penalty))"</v>
      </c>
      <c r="AG215" s="1" t="str">
        <f t="shared" si="124"/>
        <v>Other</v>
      </c>
      <c r="AH215" s="86" t="str">
        <f t="shared" si="136"/>
        <v>"%USERPROFILE%\Documents\GitHub\eaglep3\Utilities\RefineRTDCRunTimes.py" --tripid 310-10 --locoid 4012 --swversion DE.1.0.9.0 --startMP 300:23466 --initTime 2017-03-10T04:24:00 --startdatetime 2017-03-10T04:28:32 --delay 4 --endMP 204:141 --enddatetime 2017-03-10T04:36:44 --enforcementcount 0 &gt;&gt;C:\Users\stu\Documents\GitHub\eaglep3-reporting\EC\2017-03-10-refined-times.txt</v>
      </c>
      <c r="AI215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{"issue":{"subject":"","project_id":79,"tracker_id":40,"status_id":1,"priority_id":2,"assigned_to_id":23,"start_date":"2017-03-10","description":"","custom_fields":[{"id":1,"name":"Subdivision","value":"Other"},{"id":4,"name":"Milepost","value":"0.0141"},{"id":17,"name":"Train ID","value":"310-10"},{"id":16,"name":"Locomotive ID","value":"4012"},{"id":130,"name":"Impact","value":""},{"id":150,"name":"Time of Event (Mountain Time)","value":"04:36:44"},{"id":151,"name":"Denver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38"/>
        <v>start /low /b %USERPROFILE%\Documents\GitHub\eaglep3\Utilities\DownloadLogsFromS3.py --loco 4012 --day 2017-03-10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2017-03-10-UncaughtWiMAX.txt</v>
      </c>
    </row>
    <row r="216" spans="1:40" x14ac:dyDescent="0.25">
      <c r="A216" s="33" t="s">
        <v>806</v>
      </c>
      <c r="B216" s="7">
        <v>4003</v>
      </c>
      <c r="C216" s="21" t="s">
        <v>239</v>
      </c>
      <c r="D216" s="21" t="s">
        <v>913</v>
      </c>
      <c r="E216" s="13">
        <v>42805.068368055552</v>
      </c>
      <c r="F216" s="13">
        <v>42805.069537037038</v>
      </c>
      <c r="G216" s="7">
        <v>1</v>
      </c>
      <c r="H216" s="21" t="s">
        <v>537</v>
      </c>
      <c r="I216" s="13">
        <v>42805.076180555552</v>
      </c>
      <c r="J216" s="7">
        <v>0</v>
      </c>
      <c r="K216" s="98" t="str">
        <f t="shared" si="117"/>
        <v>4003/4004</v>
      </c>
      <c r="L216" s="21" t="str">
        <f>VLOOKUP(A216,'Trips&amp;Operators'!$C$1:$G$99999,5,FALSE)</f>
        <v>STAMBAUGH JAMES</v>
      </c>
      <c r="M216" s="6">
        <f t="shared" si="118"/>
        <v>6.6435185144655406E-3</v>
      </c>
      <c r="N216" s="7">
        <f t="shared" si="129"/>
        <v>9.5666666608303785</v>
      </c>
      <c r="O216" s="7"/>
      <c r="P216" s="7"/>
      <c r="Q216" s="22"/>
      <c r="R216" s="22"/>
      <c r="S216" s="31">
        <f t="shared" si="130"/>
        <v>1</v>
      </c>
      <c r="T216" s="46" t="str">
        <f t="shared" si="119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133"/>
        <v>https://d0f6bd738d7f1b3e5a7ca70fe4ff75f0.us-east-1.aws.found.io/app/kibana#/discover/Steve-Slow-Train-Analysis-(2080s-and-2083s)?_g=(refreshInterval:(display:Off,pause:!f,section:0,value:0),time:(from:'2017-03-11T00:38:27-0700',mode:absolute,to:'2017-03-11T02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87" t="str">
        <f t="shared" si="120"/>
        <v>Y</v>
      </c>
      <c r="X216" s="187">
        <f t="shared" si="139"/>
        <v>1</v>
      </c>
      <c r="Y216" s="62">
        <f t="shared" si="121"/>
        <v>4.82E-2</v>
      </c>
      <c r="Z216" s="62">
        <f t="shared" si="140"/>
        <v>2.3346</v>
      </c>
      <c r="AA216" s="62">
        <f t="shared" si="122"/>
        <v>2.2864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123"/>
        <v>0311-10</v>
      </c>
      <c r="AE216" s="85" t="str">
        <f t="shared" si="134"/>
        <v>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 &amp; aws s3 cp s3://rtdc.mdm.uploadarchive.raw/RTDC4003/ "%USERPROFILE%\AppData\Local\Temp\OnboardLogs"\RTDC4003\2017-03-12 --exclude "*" --recursive --include "*20170312*" &amp; "%USERPROFILE%\Documents\GitHub\mrs-test-scripts\Headless Mode &amp; Sideloading\WalkAndUnGZ.bat" "%USERPROFILE%\AppData\Local\Temp\OnboardLogs"\RTDC4003\2017-03-12</v>
      </c>
      <c r="AF216" s="82" t="str">
        <f t="shared" si="135"/>
        <v>"C:\Program Files (x86)\AstroGrep\AstroGrep.exe" /e /r /s /spath="%USERPROFILE%\AppData\Local\Temp\OnboardLogs" /stypes="app*4003*20170311*" /stext=" 08:.+((SYSTEM_STATE.+slice.+state.+changed )|(ment ac)|(multiple cpu faults)|(system.+state.+changed )|(\[timeout)|(PRM\|1\|D)|(kpr)|(kdp)|(\|lc)|(penalty))"</v>
      </c>
      <c r="AG216" s="1" t="str">
        <f t="shared" si="124"/>
        <v>Other</v>
      </c>
      <c r="AH216" s="86" t="str">
        <f t="shared" si="136"/>
        <v>"%USERPROFILE%\Documents\GitHub\eaglep3\Utilities\RefineRTDCRunTimes.py" --tripid 311-10 --locoid 4003 --swversion DE.1.0.9.0 --startMP 204:482 --initTime 2017-03-11T01:38:27 --startdatetime 2017-03-11T01:40:08 --delay 1 --endMP 300:23346 --enddatetime 2017-03-11T01:49:42 --enforcementcount 0 &gt;&gt;C:\Users\stu\Documents\GitHub\eaglep3-reporting\EC\2017-03-10-refined-times.txt</v>
      </c>
      <c r="AI216" s="108" t="str">
        <f t="shared" si="137"/>
        <v>echo {"issue":{"subject":"","project_id":79,"tracker_id":40,"status_id":1,"priority_id":2,"assigned_to_id":23,"start_date":"2017-03-11","description":"","custom_fields":[{"id":1,"name":"Subdivision","value":"Other"},{"id":4,"name":"Milepost","value":"2.3346"},{"id":17,"name":"Train ID","value":"311-10"},{"id":16,"name":"Locomotive ID","value":"4003"},{"id":130,"name":"Impact","value":""},{"id":150,"name":"Time of Event (Mountain Time)","value":"01:49:42"},{"id":151,"name":"Denver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38"/>
        <v>start /low /b %USERPROFILE%\Documents\GitHub\eaglep3\Utilities\DownloadLogsFromS3.py --loco 4003 --day 2017-03-11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"%USERPROFILE%\AppData\Local\Temp\OnboardLogs"\RTDC4003\*4003*20170311* | grep -SE "(Enforcement Action)|(\[TIMEOUT)|(CHR.+\|PRM\|1\|D.+(SWITCH|SIGNAL).+UNKNOWN)" - &gt;&gt; 2017-03-10-UncaughtWiMAX.txt</v>
      </c>
    </row>
    <row r="217" spans="1:40" x14ac:dyDescent="0.25">
      <c r="A217" s="33" t="s">
        <v>515</v>
      </c>
      <c r="B217" s="7">
        <v>4018</v>
      </c>
      <c r="C217" s="21" t="s">
        <v>239</v>
      </c>
      <c r="D217" s="21" t="s">
        <v>520</v>
      </c>
      <c r="E217" s="13">
        <v>42804.091620370367</v>
      </c>
      <c r="F217" s="13">
        <v>42804.092557870368</v>
      </c>
      <c r="G217" s="7">
        <v>1</v>
      </c>
      <c r="H217" s="21" t="s">
        <v>537</v>
      </c>
      <c r="I217" s="13">
        <v>42804.100925925923</v>
      </c>
      <c r="J217" s="7">
        <v>0</v>
      </c>
      <c r="K217" s="98" t="str">
        <f t="shared" si="117"/>
        <v>4017/4018</v>
      </c>
      <c r="L217" s="21" t="str">
        <f>VLOOKUP(A217,'Trips&amp;Operators'!$C$1:$G$99999,5,FALSE)</f>
        <v>SWANSON BRYCE</v>
      </c>
      <c r="M217" s="6">
        <f t="shared" si="118"/>
        <v>8.3680555544560775E-3</v>
      </c>
      <c r="N217" s="7">
        <f t="shared" si="129"/>
        <v>12.049999998416752</v>
      </c>
      <c r="O217" s="7"/>
      <c r="P217" s="7"/>
      <c r="Q217" s="22"/>
      <c r="R217" s="22"/>
      <c r="S217" s="31">
        <f t="shared" si="130"/>
        <v>1</v>
      </c>
      <c r="T217" s="46" t="str">
        <f t="shared" si="119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133"/>
        <v>https://d0f6bd738d7f1b3e5a7ca70fe4ff75f0.us-east-1.aws.found.io/app/kibana#/discover/Steve-Slow-Train-Analysis-(2080s-and-2083s)?_g=(refreshInterval:(display:Off,pause:!f,section:0,value:0),time:(from:'2017-03-10T01:11:56-0700',mode:absolute,to:'2017-03-10T03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7" s="187" t="str">
        <f t="shared" si="120"/>
        <v>Y</v>
      </c>
      <c r="X217" s="187">
        <f t="shared" si="139"/>
        <v>2</v>
      </c>
      <c r="Y217" s="62">
        <f t="shared" si="121"/>
        <v>4.2599999999999999E-2</v>
      </c>
      <c r="Z217" s="62">
        <f t="shared" si="140"/>
        <v>2.3346</v>
      </c>
      <c r="AA217" s="62">
        <f t="shared" si="122"/>
        <v>2.2919999999999998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123"/>
        <v>0313-09</v>
      </c>
      <c r="AE217" s="85" t="str">
        <f t="shared" si="134"/>
        <v>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 &amp; aws s3 cp s3://rtdc.mdm.uploadarchive.raw/RTDC4018/ "%USERPROFILE%\AppData\Local\Temp\OnboardLogs"\RTDC4018\2017-03-11 --exclude "*" --recursive --include "*20170311*" &amp; "%USERPROFILE%\Documents\GitHub\mrs-test-scripts\Headless Mode &amp; Sideloading\WalkAndUnGZ.bat" "%USERPROFILE%\AppData\Local\Temp\OnboardLogs"\RTDC4018\2017-03-11</v>
      </c>
      <c r="AF217" s="82" t="str">
        <f t="shared" si="135"/>
        <v>"C:\Program Files (x86)\AstroGrep\AstroGrep.exe" /e /r /s /spath="%USERPROFILE%\AppData\Local\Temp\OnboardLogs" /stypes="app*4018*20170310*" /stext=" 09:.+((SYSTEM_STATE.+slice.+state.+changed )|(ment ac)|(multiple cpu faults)|(system.+state.+changed )|(\[timeout)|(PRM\|1\|D)|(kpr)|(kdp)|(\|lc)|(penalty))"</v>
      </c>
      <c r="AG217" s="1" t="str">
        <f t="shared" si="124"/>
        <v>Other</v>
      </c>
      <c r="AH217" s="86" t="str">
        <f t="shared" si="136"/>
        <v>"%USERPROFILE%\Documents\GitHub\eaglep3\Utilities\RefineRTDCRunTimes.py" --tripid 313-09 --locoid 4018 --swversion DE.1.0.9.0 --startMP 204:426 --initTime 2017-03-10T02:11:56 --startdatetime 2017-03-10T02:13:17 --delay 1 --endMP 300:23346 --enddatetime 2017-03-10T02:25:20 --enforcementcount 0 &gt;&gt;C:\Users\stu\Documents\GitHub\eaglep3-reporting\EC\2017-03-10-refined-times.txt</v>
      </c>
      <c r="AI217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{"issue":{"subject":"","project_id":79,"tracker_id":40,"status_id":1,"priority_id":2,"assigned_to_id":23,"start_date":"2017-03-10","description":"","custom_fields":[{"id":1,"name":"Subdivision","value":"Other"},{"id":4,"name":"Milepost","value":"2.3346"},{"id":17,"name":"Train ID","value":"313-09"},{"id":16,"name":"Locomotive ID","value":"4018"},{"id":130,"name":"Impact","value":""},{"id":150,"name":"Time of Event (Mountain Time)","value":"02:25:20"},{"id":151,"name":"Denver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38"/>
        <v>start /low /b %USERPROFILE%\Documents\GitHub\eaglep3\Utilities\DownloadLogsFromS3.py --loco 4018 --day 2017-03-10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2017-03-10-UncaughtWiMAX.txt</v>
      </c>
    </row>
    <row r="218" spans="1:40" x14ac:dyDescent="0.25">
      <c r="A218" s="33" t="s">
        <v>808</v>
      </c>
      <c r="B218" s="7">
        <v>4020</v>
      </c>
      <c r="C218" s="21" t="s">
        <v>239</v>
      </c>
      <c r="D218" s="21" t="s">
        <v>478</v>
      </c>
      <c r="E218" s="13">
        <v>42805.093124999999</v>
      </c>
      <c r="F218" s="13">
        <v>42805.094027777777</v>
      </c>
      <c r="G218" s="7">
        <v>1</v>
      </c>
      <c r="H218" s="21" t="s">
        <v>537</v>
      </c>
      <c r="I218" s="13">
        <v>42805.101388888892</v>
      </c>
      <c r="J218" s="7">
        <v>0</v>
      </c>
      <c r="K218" s="98" t="str">
        <f t="shared" si="117"/>
        <v>4019/4020</v>
      </c>
      <c r="L218" s="21" t="str">
        <f>VLOOKUP(A218,'Trips&amp;Operators'!$C$1:$G$99999,5,FALSE)</f>
        <v>SWANSON BRYCE</v>
      </c>
      <c r="M218" s="6">
        <f t="shared" si="118"/>
        <v>7.3611111147329211E-3</v>
      </c>
      <c r="N218" s="7">
        <f t="shared" si="129"/>
        <v>10.600000005215406</v>
      </c>
      <c r="O218" s="7"/>
      <c r="P218" s="7"/>
      <c r="Q218" s="22"/>
      <c r="R218" s="22"/>
      <c r="S218" s="31">
        <f t="shared" si="130"/>
        <v>1</v>
      </c>
      <c r="T218" s="46" t="str">
        <f t="shared" si="119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133"/>
        <v>https://d0f6bd738d7f1b3e5a7ca70fe4ff75f0.us-east-1.aws.found.io/app/kibana#/discover/Steve-Slow-Train-Analysis-(2080s-and-2083s)?_g=(refreshInterval:(display:Off,pause:!f,section:0,value:0),time:(from:'2017-03-11T01:14:06-0700',mode:absolute,to:'2017-03-11T03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187" t="str">
        <f t="shared" si="120"/>
        <v>Y</v>
      </c>
      <c r="X218" s="187">
        <f t="shared" si="139"/>
        <v>0</v>
      </c>
      <c r="Y218" s="62">
        <f t="shared" si="121"/>
        <v>4.6399999999999997E-2</v>
      </c>
      <c r="Z218" s="62">
        <f t="shared" si="140"/>
        <v>2.3346</v>
      </c>
      <c r="AA218" s="62">
        <f t="shared" si="122"/>
        <v>2.2881999999999998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123"/>
        <v>0313-10</v>
      </c>
      <c r="AE218" s="85" t="str">
        <f t="shared" si="134"/>
        <v>aws s3 cp s3://rtdc.mdm.uploadarchive.raw/RTDC4020/ "%USERPROFILE%\AppData\Local\Temp\OnboardLogs"\RTDC4020\2017-03-11 --exclude "*" --recursive --include "*20170311*" &amp; "%USERPROFILE%\Documents\GitHub\mrs-test-scripts\Headless Mode &amp; Sideloading\WalkAndUnGZ.bat" "%USERPROFILE%\AppData\Local\Temp\OnboardLogs"\RTDC4020\2017-03-11 &amp; 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</v>
      </c>
      <c r="AF218" s="82" t="str">
        <f t="shared" si="135"/>
        <v>"C:\Program Files (x86)\AstroGrep\AstroGrep.exe" /e /r /s /spath="%USERPROFILE%\AppData\Local\Temp\OnboardLogs" /stypes="app*4020*20170311*" /stext=" 09:.+((SYSTEM_STATE.+slice.+state.+changed )|(ment ac)|(multiple cpu faults)|(system.+state.+changed )|(\[timeout)|(PRM\|1\|D)|(kpr)|(kdp)|(\|lc)|(penalty))"</v>
      </c>
      <c r="AG218" s="1" t="str">
        <f t="shared" si="124"/>
        <v>Other</v>
      </c>
      <c r="AH218" s="86" t="str">
        <f t="shared" si="136"/>
        <v>"%USERPROFILE%\Documents\GitHub\eaglep3\Utilities\RefineRTDCRunTimes.py" --tripid 313-10 --locoid 4020 --swversion DE.1.0.9.0 --startMP 204:464 --initTime 2017-03-11T02:14:06 --startdatetime 2017-03-11T02:15:24 --delay 1 --endMP 300:23346 --enddatetime 2017-03-11T02:26:00 --enforcementcount 0 &gt;&gt;C:\Users\stu\Documents\GitHub\eaglep3-reporting\EC\2017-03-10-refined-times.txt</v>
      </c>
      <c r="AI218" s="108" t="str">
        <f t="shared" si="137"/>
        <v>echo {"issue":{"subject":"","project_id":79,"tracker_id":40,"status_id":1,"priority_id":2,"assigned_to_id":23,"start_date":"2017-03-11","description":"","custom_fields":[{"id":1,"name":"Subdivision","value":"Other"},{"id":4,"name":"Milepost","value":"2.3346"},{"id":17,"name":"Train ID","value":"313-10"},{"id":16,"name":"Locomotive ID","value":"4020"},{"id":130,"name":"Impact","value":""},{"id":150,"name":"Time of Event (Mountain Time)","value":"02:26:00"},{"id":151,"name":"Denver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138"/>
        <v>start /low /b %USERPROFILE%\Documents\GitHub\eaglep3\Utilities\DownloadLogsFromS3.py --loco 4020 --day 2017-03-11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"%USERPROFILE%\AppData\Local\Temp\OnboardLogs"\RTDC4020\*4020*20170311* | grep -SE "(Enforcement Action)|(\[TIMEOUT)|(CHR.+\|PRM\|1\|D.+(SWITCH|SIGNAL).+UNKNOWN)" - &gt;&gt; 2017-03-10-UncaughtWiMAX.txt</v>
      </c>
    </row>
    <row r="219" spans="1:40" x14ac:dyDescent="0.25">
      <c r="A219" s="33" t="s">
        <v>809</v>
      </c>
      <c r="B219" s="7">
        <v>4051</v>
      </c>
      <c r="C219" s="21" t="s">
        <v>239</v>
      </c>
      <c r="D219" s="21" t="s">
        <v>534</v>
      </c>
      <c r="E219" s="13">
        <v>42805.11146990741</v>
      </c>
      <c r="F219" s="13">
        <v>42805.112488425926</v>
      </c>
      <c r="G219" s="7">
        <v>1</v>
      </c>
      <c r="H219" s="21" t="s">
        <v>536</v>
      </c>
      <c r="I219" s="13">
        <v>42805.11886574074</v>
      </c>
      <c r="J219" s="7">
        <v>0</v>
      </c>
      <c r="K219" s="98" t="str">
        <f t="shared" si="117"/>
        <v>4051/4052</v>
      </c>
      <c r="L219" s="21" t="str">
        <f>VLOOKUP(A219,'Trips&amp;Operators'!$C$1:$G$99999,5,FALSE)</f>
        <v>BROWN JACOB</v>
      </c>
      <c r="M219" s="6">
        <f t="shared" si="118"/>
        <v>6.3773148140171543E-3</v>
      </c>
      <c r="N219" s="7">
        <f t="shared" si="129"/>
        <v>9.1833333321847022</v>
      </c>
      <c r="O219" s="7"/>
      <c r="P219" s="7"/>
      <c r="Q219" s="22"/>
      <c r="R219" s="22"/>
      <c r="S219" s="31">
        <f t="shared" si="130"/>
        <v>1</v>
      </c>
      <c r="T219" s="46" t="str">
        <f t="shared" si="119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133"/>
        <v>https://d0f6bd738d7f1b3e5a7ca70fe4ff75f0.us-east-1.aws.found.io/app/kibana#/discover/Steve-Slow-Train-Analysis-(2080s-and-2083s)?_g=(refreshInterval:(display:Off,pause:!f,section:0,value:0),time:(from:'2017-03-11T01:40:31-0700',mode:absolute,to:'2017-03-11T03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9" s="187" t="str">
        <f t="shared" si="120"/>
        <v>Y</v>
      </c>
      <c r="X219" s="187">
        <f t="shared" si="139"/>
        <v>2</v>
      </c>
      <c r="Y219" s="62">
        <f t="shared" si="121"/>
        <v>4.6199999999999998E-2</v>
      </c>
      <c r="Z219" s="62">
        <f t="shared" si="140"/>
        <v>2.3294999999999999</v>
      </c>
      <c r="AA219" s="62">
        <f t="shared" si="122"/>
        <v>2.2833000000000001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123"/>
        <v>0315-10</v>
      </c>
      <c r="AE219" s="85" t="str">
        <f t="shared" si="134"/>
        <v>aws s3 cp s3://rtdc.mdm.uploadarchive.raw/RTDC4051/ "%USERPROFILE%\AppData\Local\Temp\OnboardLogs"\RTDC4051\2017-03-11 --exclude "*" --recursive --include "*20170311*" &amp; "%USERPROFILE%\Documents\GitHub\mrs-test-scripts\Headless Mode &amp; Sideloading\WalkAndUnGZ.bat" "%USERPROFILE%\AppData\Local\Temp\OnboardLogs"\RTDC4051\2017-03-11 &amp; 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</v>
      </c>
      <c r="AF219" s="82" t="str">
        <f t="shared" si="135"/>
        <v>"C:\Program Files (x86)\AstroGrep\AstroGrep.exe" /e /r /s /spath="%USERPROFILE%\AppData\Local\Temp\OnboardLogs" /stypes="app*4051*20170311*" /stext=" 09:.+((SYSTEM_STATE.+slice.+state.+changed )|(ment ac)|(multiple cpu faults)|(system.+state.+changed )|(\[timeout)|(PRM\|1\|D)|(kpr)|(kdp)|(\|lc)|(penalty))"</v>
      </c>
      <c r="AG219" s="1" t="str">
        <f t="shared" si="124"/>
        <v>Other</v>
      </c>
      <c r="AH219" s="86" t="str">
        <f t="shared" si="136"/>
        <v>"%USERPROFILE%\Documents\GitHub\eaglep3\Utilities\RefineRTDCRunTimes.py" --tripid 315-10 --locoid 4051 --swversion DE.1.0.9.0 --startMP 204:462 --initTime 2017-03-11T02:40:31 --startdatetime 2017-03-11T02:41:59 --delay 1 --endMP 300:23295 --enddatetime 2017-03-11T02:51:10 --enforcementcount 0 &gt;&gt;C:\Users\stu\Documents\GitHub\eaglep3-reporting\EC\2017-03-10-refined-times.txt</v>
      </c>
      <c r="AI219" s="108" t="str">
        <f t="shared" si="137"/>
        <v>echo {"issue":{"subject":"","project_id":79,"tracker_id":40,"status_id":1,"priority_id":2,"assigned_to_id":23,"start_date":"2017-03-11","description":"","custom_fields":[{"id":1,"name":"Subdivision","value":"Other"},{"id":4,"name":"Milepost","value":"2.3295"},{"id":17,"name":"Train ID","value":"315-10"},{"id":16,"name":"Locomotive ID","value":"4051"},{"id":130,"name":"Impact","value":""},{"id":150,"name":"Time of Event (Mountain Time)","value":"02:51:10"},{"id":151,"name":"Denver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138"/>
        <v>start /low /b %USERPROFILE%\Documents\GitHub\eaglep3\Utilities\DownloadLogsFromS3.py --loco 4051 --day 2017-03-11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"%USERPROFILE%\AppData\Local\Temp\OnboardLogs"\RTDC4051\*4051*20170311* | grep -SE "(Enforcement Action)|(\[TIMEOUT)|(CHR.+\|PRM\|1\|D.+(SWITCH|SIGNAL).+UNKNOWN)" - &gt;&gt; 2017-03-10-UncaughtWiMAX.txt</v>
      </c>
    </row>
    <row r="220" spans="1:40" x14ac:dyDescent="0.25">
      <c r="A220" s="33" t="s">
        <v>624</v>
      </c>
      <c r="B220" s="7">
        <v>4029</v>
      </c>
      <c r="C220" s="21" t="s">
        <v>239</v>
      </c>
      <c r="D220" s="21" t="s">
        <v>980</v>
      </c>
      <c r="E220" s="13">
        <v>42804.199340277781</v>
      </c>
      <c r="F220" s="13">
        <v>42804.203240740739</v>
      </c>
      <c r="G220" s="7">
        <v>5</v>
      </c>
      <c r="H220" s="21" t="s">
        <v>547</v>
      </c>
      <c r="I220" s="13">
        <v>42804.20853009259</v>
      </c>
      <c r="J220" s="7">
        <v>0</v>
      </c>
      <c r="K220" s="98" t="str">
        <f t="shared" si="117"/>
        <v>4029/4030</v>
      </c>
      <c r="L220" s="21" t="str">
        <f>VLOOKUP(A220,'Trips&amp;Operators'!$C$1:$G$99999,5,FALSE)</f>
        <v>GEBRETEKLE DAGNEW</v>
      </c>
      <c r="M220" s="6">
        <f t="shared" si="118"/>
        <v>5.2893518513883464E-3</v>
      </c>
      <c r="N220" s="7">
        <f t="shared" si="129"/>
        <v>7.6166666659992188</v>
      </c>
      <c r="O220" s="7"/>
      <c r="P220" s="7"/>
      <c r="Q220" s="22"/>
      <c r="R220" s="22"/>
      <c r="S220" s="31">
        <f t="shared" si="130"/>
        <v>0</v>
      </c>
      <c r="T220" s="46" t="str">
        <f t="shared" si="119"/>
        <v>NorthBound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133"/>
        <v>https://d0f6bd738d7f1b3e5a7ca70fe4ff75f0.us-east-1.aws.found.io/app/kibana#/discover/Steve-Slow-Train-Analysis-(2080s-and-2083s)?_g=(refreshInterval:(display:Off,pause:!f,section:0,value:0),time:(from:'2017-03-10T03:47:03-0700',mode:absolute,to:'2017-03-10T06:00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0" s="187" t="str">
        <f t="shared" si="120"/>
        <v>Y</v>
      </c>
      <c r="X220" s="187">
        <f t="shared" si="139"/>
        <v>586</v>
      </c>
      <c r="Y220" s="62">
        <f t="shared" si="121"/>
        <v>2.9805999999999999</v>
      </c>
      <c r="Z220" s="62">
        <f t="shared" si="140"/>
        <v>5.8992000000000004</v>
      </c>
      <c r="AA220" s="62">
        <f t="shared" si="122"/>
        <v>2.9186000000000005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123"/>
        <v>0901-10</v>
      </c>
      <c r="AE220" s="85" t="str">
        <f t="shared" si="134"/>
        <v>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 &amp; 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</v>
      </c>
      <c r="AF220" s="82" t="str">
        <f t="shared" si="135"/>
        <v>"C:\Program Files (x86)\AstroGrep\AstroGrep.exe" /e /r /s /spath="%USERPROFILE%\AppData\Local\Temp\OnboardLogs" /stypes="app*4029*20170310*" /stext=" 12:.+((SYSTEM_STATE.+slice.+state.+changed )|(ment ac)|(multiple cpu faults)|(system.+state.+changed )|(\[timeout)|(PRM\|1\|D)|(kpr)|(kdp)|(\|lc)|(penalty))"</v>
      </c>
      <c r="AG220" s="1" t="str">
        <f t="shared" si="124"/>
        <v>Other</v>
      </c>
      <c r="AH220" s="86" t="str">
        <f t="shared" si="136"/>
        <v>"%USERPROFILE%\Documents\GitHub\eaglep3\Utilities\RefineRTDCRunTimes.py" --tripid 901-10 --locoid 4029 --swversion DE.1.0.9.0 --startMP 300:29806 --initTime 2017-03-10T04:47:03 --startdatetime 2017-03-10T04:52:40 --delay 5 --endMP 300:58992 --enddatetime 2017-03-10T05:00:17 --enforcementcount 0 &gt;&gt;C:\Users\stu\Documents\GitHub\eaglep3-reporting\EC\2017-03-10-refined-times.txt</v>
      </c>
      <c r="AI220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{"issue":{"subject":"","project_id":79,"tracker_id":40,"status_id":1,"priority_id":2,"assigned_to_id":23,"start_date":"2017-03-10","description":"","custom_fields":[{"id":1,"name":"Subdivision","value":"Other"},{"id":4,"name":"Milepost","value":"5.8992"},{"id":17,"name":"Train ID","value":"901-10"},{"id":16,"name":"Locomotive ID","value":"4029"},{"id":130,"name":"Impact","value":""},{"id":150,"name":"Time of Event (Mountain Time)","value":"05:00:17"},{"id":151,"name":"Denver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138"/>
        <v>start /low /b %USERPROFILE%\Documents\GitHub\eaglep3\Utilities\DownloadLogsFromS3.py --loco 4029 --day 2017-03-10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"%USERPROFILE%\AppData\Local\Temp\OnboardLogs"\RTDC4029\*4029*20170310* | grep -SE "(Enforcement Action)|(\[TIMEOUT)|(CHR.+\|PRM\|1\|D.+(SWITCH|SIGNAL).+UNKNOWN)" - &gt;&gt; 2017-03-10-UncaughtWiMAX.txt</v>
      </c>
    </row>
    <row r="221" spans="1:40" x14ac:dyDescent="0.25">
      <c r="A221" s="33" t="s">
        <v>633</v>
      </c>
      <c r="B221" s="7">
        <v>4005</v>
      </c>
      <c r="C221" s="21" t="s">
        <v>239</v>
      </c>
      <c r="D221" s="21" t="s">
        <v>981</v>
      </c>
      <c r="E221" s="13">
        <v>42804.239166666666</v>
      </c>
      <c r="F221" s="13">
        <v>42804.252199074072</v>
      </c>
      <c r="G221" s="7">
        <v>18</v>
      </c>
      <c r="H221" s="21" t="s">
        <v>982</v>
      </c>
      <c r="I221" s="13">
        <v>42804.254050925927</v>
      </c>
      <c r="J221" s="7">
        <v>0</v>
      </c>
      <c r="K221" s="98" t="str">
        <f t="shared" si="117"/>
        <v>4005/4006</v>
      </c>
      <c r="L221" s="21" t="str">
        <f>VLOOKUP(A221,'Trips&amp;Operators'!$C$1:$G$99999,5,FALSE)</f>
        <v>SHOOK JOHN</v>
      </c>
      <c r="M221" s="6">
        <f t="shared" si="118"/>
        <v>1.8518518554628827E-3</v>
      </c>
      <c r="N221" s="7">
        <f t="shared" si="129"/>
        <v>2.666666671866551</v>
      </c>
      <c r="O221" s="7"/>
      <c r="P221" s="7"/>
      <c r="Q221" s="22"/>
      <c r="R221" s="22"/>
      <c r="S221" s="31">
        <f t="shared" si="130"/>
        <v>0</v>
      </c>
      <c r="T221" s="46" t="str">
        <f t="shared" si="119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133"/>
        <v>https://d0f6bd738d7f1b3e5a7ca70fe4ff75f0.us-east-1.aws.found.io/app/kibana#/discover/Steve-Slow-Train-Analysis-(2080s-and-2083s)?_g=(refreshInterval:(display:Off,pause:!f,section:0,value:0),time:(from:'2017-03-10T04:44:24-0700',mode:absolute,to:'2017-03-10T07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1" s="187" t="str">
        <f t="shared" si="120"/>
        <v>Y</v>
      </c>
      <c r="X221" s="187">
        <f t="shared" si="139"/>
        <v>1</v>
      </c>
      <c r="Y221" s="62">
        <f t="shared" si="121"/>
        <v>2.2728000000000002</v>
      </c>
      <c r="Z221" s="62">
        <f t="shared" si="140"/>
        <v>1.9622999999999999</v>
      </c>
      <c r="AA221" s="62">
        <f t="shared" si="122"/>
        <v>0.31050000000000022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123"/>
        <v>0902-10</v>
      </c>
      <c r="AE221" s="85" t="str">
        <f t="shared" si="134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221" s="82" t="str">
        <f t="shared" si="135"/>
        <v>"C:\Program Files (x86)\AstroGrep\AstroGrep.exe" /e /r /s /spath="%USERPROFILE%\AppData\Local\Temp\OnboardLogs" /stypes="app*4005*20170310*" /stext=" 13:.+((SYSTEM_STATE.+slice.+state.+changed )|(ment ac)|(multiple cpu faults)|(system.+state.+changed )|(\[timeout)|(PRM\|1\|D)|(kpr)|(kdp)|(\|lc)|(penalty))"</v>
      </c>
      <c r="AG221" s="1" t="str">
        <f t="shared" si="124"/>
        <v>Other</v>
      </c>
      <c r="AH221" s="86" t="str">
        <f t="shared" si="136"/>
        <v>"%USERPROFILE%\Documents\GitHub\eaglep3\Utilities\RefineRTDCRunTimes.py" --tripid 902-10 --locoid 4005 --swversion DE.1.0.9.0 --startMP 300:22728 --initTime 2017-03-10T05:44:24 --startdatetime 2017-03-10T06:03:10 --delay 18 --endMP 300:19623 --enddatetime 2017-03-10T06:05:50 --enforcementcount 0 &gt;&gt;C:\Users\stu\Documents\GitHub\eaglep3-reporting\EC\2017-03-10-refined-times.txt</v>
      </c>
      <c r="AI221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{"issue":{"subject":"","project_id":79,"tracker_id":40,"status_id":1,"priority_id":2,"assigned_to_id":23,"start_date":"2017-03-10","description":"","custom_fields":[{"id":1,"name":"Subdivision","value":"Other"},{"id":4,"name":"Milepost","value":"1.9623"},{"id":17,"name":"Train ID","value":"902-10"},{"id":16,"name":"Locomotive ID","value":"4005"},{"id":130,"name":"Impact","value":""},{"id":150,"name":"Time of Event (Mountain Time)","value":"06:05:50"},{"id":151,"name":"Denver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138"/>
        <v>start /low /b %USERPROFILE%\Documents\GitHub\eaglep3\Utilities\DownloadLogsFromS3.py --loco 4005 --day 2017-03-10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"%USERPROFILE%\AppData\Local\Temp\OnboardLogs"\RTDC4005\*4005*20170310* | grep -SE "(Enforcement Action)|(\[TIMEOUT)|(CHR.+\|PRM\|1\|D.+(SWITCH|SIGNAL).+UNKNOWN)" - &gt;&gt; 2017-03-10-UncaughtWiMAX.txt</v>
      </c>
    </row>
    <row r="222" spans="1:40" x14ac:dyDescent="0.25">
      <c r="A222" s="33" t="s">
        <v>661</v>
      </c>
      <c r="B222" s="7">
        <v>4029</v>
      </c>
      <c r="C222" s="21" t="s">
        <v>239</v>
      </c>
      <c r="D222" s="21" t="s">
        <v>983</v>
      </c>
      <c r="E222" s="13">
        <v>42804.352534722224</v>
      </c>
      <c r="F222" s="13">
        <v>42804.35328703704</v>
      </c>
      <c r="G222" s="7">
        <v>1</v>
      </c>
      <c r="H222" s="21" t="s">
        <v>984</v>
      </c>
      <c r="I222" s="13">
        <v>42804.360405092593</v>
      </c>
      <c r="J222" s="7">
        <v>0</v>
      </c>
      <c r="K222" s="98" t="str">
        <f t="shared" si="117"/>
        <v>4029/4030</v>
      </c>
      <c r="L222" s="21" t="str">
        <f>VLOOKUP(A222,'Trips&amp;Operators'!$C$1:$G$99999,5,FALSE)</f>
        <v>GEBRETEKLE DAGNEW</v>
      </c>
      <c r="M222" s="6">
        <f t="shared" si="118"/>
        <v>7.1180555532919243E-3</v>
      </c>
      <c r="N222" s="7">
        <f t="shared" si="129"/>
        <v>10.249999996740371</v>
      </c>
      <c r="O222" s="7"/>
      <c r="P222" s="7"/>
      <c r="Q222" s="22"/>
      <c r="R222" s="22"/>
      <c r="S222" s="31">
        <f t="shared" si="130"/>
        <v>1</v>
      </c>
      <c r="T222" s="46" t="str">
        <f t="shared" si="119"/>
        <v>NorthBound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133"/>
        <v>https://d0f6bd738d7f1b3e5a7ca70fe4ff75f0.us-east-1.aws.found.io/app/kibana#/discover/Steve-Slow-Train-Analysis-(2080s-and-2083s)?_g=(refreshInterval:(display:Off,pause:!f,section:0,value:0),time:(from:'2017-03-10T07:27:39-0700',mode:absolute,to:'2017-03-10T09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2" s="187" t="str">
        <f t="shared" si="120"/>
        <v>Y</v>
      </c>
      <c r="X222" s="187">
        <f t="shared" si="139"/>
        <v>1</v>
      </c>
      <c r="Y222" s="62">
        <f t="shared" si="121"/>
        <v>9.9500000000000005E-2</v>
      </c>
      <c r="Z222" s="62">
        <f t="shared" si="140"/>
        <v>2.4230999999999998</v>
      </c>
      <c r="AA222" s="62">
        <f t="shared" si="122"/>
        <v>2.3235999999999999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123"/>
        <v>0903-10</v>
      </c>
      <c r="AE222" s="85" t="str">
        <f t="shared" si="134"/>
        <v>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 &amp; aws s3 cp s3://rtdc.mdm.uploadarchive.raw/RTDC4029/ "%USERPROFILE%\AppData\Local\Temp\OnboardLogs"\RTDC4029\2017-03-11 --exclude "*" --recursive --include "*20170311*" &amp; "%USERPROFILE%\Documents\GitHub\mrs-test-scripts\Headless Mode &amp; Sideloading\WalkAndUnGZ.bat" "%USERPROFILE%\AppData\Local\Temp\OnboardLogs"\RTDC4029\2017-03-11</v>
      </c>
      <c r="AF222" s="82" t="str">
        <f t="shared" si="135"/>
        <v>"C:\Program Files (x86)\AstroGrep\AstroGrep.exe" /e /r /s /spath="%USERPROFILE%\AppData\Local\Temp\OnboardLogs" /stypes="app*4029*20170310*" /stext=" 15:.+((SYSTEM_STATE.+slice.+state.+changed )|(ment ac)|(multiple cpu faults)|(system.+state.+changed )|(\[timeout)|(PRM\|1\|D)|(kpr)|(kdp)|(\|lc)|(penalty))"</v>
      </c>
      <c r="AG222" s="1" t="str">
        <f t="shared" si="124"/>
        <v>Other</v>
      </c>
      <c r="AH222" s="86" t="str">
        <f t="shared" si="136"/>
        <v>"%USERPROFILE%\Documents\GitHub\eaglep3\Utilities\RefineRTDCRunTimes.py" --tripid 903-10 --locoid 4029 --swversion DE.1.0.9.0 --startMP 204:995 --initTime 2017-03-10T08:27:39 --startdatetime 2017-03-10T08:28:44 --delay 1 --endMP 300:24231 --enddatetime 2017-03-10T08:38:59 --enforcementcount 0 &gt;&gt;C:\Users\stu\Documents\GitHub\eaglep3-reporting\EC\2017-03-10-refined-times.txt</v>
      </c>
      <c r="AI222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{"issue":{"subject":"","project_id":79,"tracker_id":40,"status_id":1,"priority_id":2,"assigned_to_id":23,"start_date":"2017-03-10","description":"","custom_fields":[{"id":1,"name":"Subdivision","value":"Other"},{"id":4,"name":"Milepost","value":"2.4231"},{"id":17,"name":"Train ID","value":"903-10"},{"id":16,"name":"Locomotive ID","value":"4029"},{"id":130,"name":"Impact","value":""},{"id":150,"name":"Time of Event (Mountain Time)","value":"08:38:59"},{"id":151,"name":"Denver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138"/>
        <v>start /low /b %USERPROFILE%\Documents\GitHub\eaglep3\Utilities\DownloadLogsFromS3.py --loco 4029 --day 2017-03-10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"%USERPROFILE%\AppData\Local\Temp\OnboardLogs"\RTDC4029\*4029*20170310* | grep -SE "(Enforcement Action)|(\[TIMEOUT)|(CHR.+\|PRM\|1\|D.+(SWITCH|SIGNAL).+UNKNOWN)" - &gt;&gt; 2017-03-10-UncaughtWiMAX.txt</v>
      </c>
    </row>
    <row r="223" spans="1:40" x14ac:dyDescent="0.25">
      <c r="A223" s="33" t="s">
        <v>725</v>
      </c>
      <c r="B223" s="7">
        <v>4030</v>
      </c>
      <c r="C223" s="21" t="s">
        <v>239</v>
      </c>
      <c r="D223" s="21" t="s">
        <v>985</v>
      </c>
      <c r="E223" s="13">
        <v>42804.63821759259</v>
      </c>
      <c r="F223" s="13">
        <v>42804.640393518515</v>
      </c>
      <c r="G223" s="7">
        <v>3</v>
      </c>
      <c r="H223" s="21" t="s">
        <v>975</v>
      </c>
      <c r="I223" s="13">
        <v>42804.64644675926</v>
      </c>
      <c r="J223" s="7">
        <v>0</v>
      </c>
      <c r="K223" s="98" t="str">
        <f t="shared" si="117"/>
        <v>4029/4030</v>
      </c>
      <c r="L223" s="21" t="str">
        <f>VLOOKUP(A223,'Trips&amp;Operators'!$C$1:$G$99999,5,FALSE)</f>
        <v>SMITH MICHAEL</v>
      </c>
      <c r="M223" s="6">
        <f t="shared" si="118"/>
        <v>6.0532407442224212E-3</v>
      </c>
      <c r="N223" s="7">
        <f t="shared" si="129"/>
        <v>8.7166666716802865</v>
      </c>
      <c r="O223" s="7"/>
      <c r="P223" s="7"/>
      <c r="Q223" s="22"/>
      <c r="R223" s="22"/>
      <c r="S223" s="31">
        <f t="shared" si="130"/>
        <v>1</v>
      </c>
      <c r="T223" s="46" t="str">
        <f t="shared" si="119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6" t="str">
        <f t="shared" si="133"/>
        <v>https://d0f6bd738d7f1b3e5a7ca70fe4ff75f0.us-east-1.aws.found.io/app/kibana#/discover/Steve-Slow-Train-Analysis-(2080s-and-2083s)?_g=(refreshInterval:(display:Off,pause:!f,section:0,value:0),time:(from:'2017-03-10T14:19:02-0700',mode:absolute,to:'2017-03-10T16:30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3" s="187" t="str">
        <f t="shared" si="120"/>
        <v>Y</v>
      </c>
      <c r="X223" s="187">
        <f t="shared" si="139"/>
        <v>1</v>
      </c>
      <c r="Y223" s="62">
        <f t="shared" si="121"/>
        <v>2.3603000000000001</v>
      </c>
      <c r="Z223" s="62">
        <f t="shared" si="140"/>
        <v>6.9199999999999998E-2</v>
      </c>
      <c r="AA223" s="62">
        <f t="shared" si="122"/>
        <v>2.2911000000000001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123"/>
        <v>0904-10</v>
      </c>
      <c r="AE223" s="85" t="str">
        <f t="shared" si="134"/>
        <v>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 &amp; 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</v>
      </c>
      <c r="AF223" s="82" t="str">
        <f t="shared" si="135"/>
        <v>"C:\Program Files (x86)\AstroGrep\AstroGrep.exe" /e /r /s /spath="%USERPROFILE%\AppData\Local\Temp\OnboardLogs" /stypes="app*4030*20170310*" /stext=" 22:.+((SYSTEM_STATE.+slice.+state.+changed )|(ment ac)|(multiple cpu faults)|(system.+state.+changed )|(\[timeout)|(PRM\|1\|D)|(kpr)|(kdp)|(\|lc)|(penalty))"</v>
      </c>
      <c r="AG223" s="1" t="str">
        <f t="shared" si="124"/>
        <v>Other</v>
      </c>
      <c r="AH223" s="86" t="str">
        <f t="shared" si="136"/>
        <v>"%USERPROFILE%\Documents\GitHub\eaglep3\Utilities\RefineRTDCRunTimes.py" --tripid 904-10 --locoid 4030 --swversion DE.1.0.9.0 --startMP 300:23603 --initTime 2017-03-10T15:19:02 --startdatetime 2017-03-10T15:22:10 --delay 3 --endMP 204:692 --enddatetime 2017-03-10T15:30:53 --enforcementcount 0 &gt;&gt;C:\Users\stu\Documents\GitHub\eaglep3-reporting\EC\2017-03-10-refined-times.txt</v>
      </c>
      <c r="AI223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{"issue":{"subject":"","project_id":79,"tracker_id":40,"status_id":1,"priority_id":2,"assigned_to_id":23,"start_date":"2017-03-10","description":"","custom_fields":[{"id":1,"name":"Subdivision","value":"Other"},{"id":4,"name":"Milepost","value":"0.0692"},{"id":17,"name":"Train ID","value":"904-10"},{"id":16,"name":"Locomotive ID","value":"4030"},{"id":130,"name":"Impact","value":""},{"id":150,"name":"Time of Event (Mountain Time)","value":"15:30:53"},{"id":151,"name":"Denver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138"/>
        <v>start /low /b %USERPROFILE%\Documents\GitHub\eaglep3\Utilities\DownloadLogsFromS3.py --loco 4030 --day 2017-03-10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"%USERPROFILE%\AppData\Local\Temp\OnboardLogs"\RTDC4030\*4030*20170310* | grep -SE "(Enforcement Action)|(\[TIMEOUT)|(CHR.+\|PRM\|1\|D.+(SWITCH|SIGNAL).+UNKNOWN)" - &gt;&gt; 2017-03-10-UncaughtWiMAX.txt</v>
      </c>
    </row>
    <row r="224" spans="1:40" x14ac:dyDescent="0.25">
      <c r="A224" s="33" t="s">
        <v>767</v>
      </c>
      <c r="B224" s="7">
        <v>4030</v>
      </c>
      <c r="C224" s="21" t="s">
        <v>239</v>
      </c>
      <c r="D224" s="21" t="s">
        <v>928</v>
      </c>
      <c r="E224" s="13">
        <v>42804.795983796299</v>
      </c>
      <c r="F224" s="13">
        <v>42804.797013888892</v>
      </c>
      <c r="G224" s="7">
        <v>1</v>
      </c>
      <c r="H224" s="21" t="s">
        <v>986</v>
      </c>
      <c r="I224" s="13">
        <v>42804.803796296299</v>
      </c>
      <c r="J224" s="7">
        <v>0</v>
      </c>
      <c r="K224" s="98" t="str">
        <f t="shared" si="117"/>
        <v>4029/4030</v>
      </c>
      <c r="L224" s="21" t="str">
        <f>VLOOKUP(A224,'Trips&amp;Operators'!$C$1:$G$99999,5,FALSE)</f>
        <v>SMITH MICHAEL</v>
      </c>
      <c r="M224" s="6">
        <f t="shared" si="118"/>
        <v>6.7824074067175388E-3</v>
      </c>
      <c r="N224" s="7">
        <f t="shared" si="129"/>
        <v>9.7666666656732559</v>
      </c>
      <c r="O224" s="7"/>
      <c r="P224" s="7"/>
      <c r="Q224" s="22"/>
      <c r="R224" s="22"/>
      <c r="S224" s="31">
        <f t="shared" si="130"/>
        <v>0</v>
      </c>
      <c r="T224" s="46" t="str">
        <f t="shared" si="119"/>
        <v>Southbound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133"/>
        <v>https://d0f6bd738d7f1b3e5a7ca70fe4ff75f0.us-east-1.aws.found.io/app/kibana#/discover/Steve-Slow-Train-Analysis-(2080s-and-2083s)?_g=(refreshInterval:(display:Off,pause:!f,section:0,value:0),time:(from:'2017-03-10T18:06:13-0700',mode:absolute,to:'2017-03-10T20:17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4" s="187" t="str">
        <f t="shared" si="120"/>
        <v>Y</v>
      </c>
      <c r="X224" s="187">
        <f t="shared" si="139"/>
        <v>2</v>
      </c>
      <c r="Y224" s="62">
        <f t="shared" si="121"/>
        <v>5.8616999999999999</v>
      </c>
      <c r="Z224" s="62">
        <f t="shared" si="140"/>
        <v>2.8791000000000002</v>
      </c>
      <c r="AA224" s="62">
        <f t="shared" si="122"/>
        <v>2.9825999999999997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123"/>
        <v>0906-10</v>
      </c>
      <c r="AE224" s="85" t="str">
        <f t="shared" si="134"/>
        <v>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 &amp; aws s3 cp s3://rtdc.mdm.uploadarchive.raw/RTDC4030/ "%USERPROFILE%\AppData\Local\Temp\OnboardLogs"\RTDC4030\2017-03-11 --exclude "*" --recursive --include "*20170311*" &amp; "%USERPROFILE%\Documents\GitHub\mrs-test-scripts\Headless Mode &amp; Sideloading\WalkAndUnGZ.bat" "%USERPROFILE%\AppData\Local\Temp\OnboardLogs"\RTDC4030\2017-03-11</v>
      </c>
      <c r="AF224" s="82" t="str">
        <f t="shared" si="135"/>
        <v>"C:\Program Files (x86)\AstroGrep\AstroGrep.exe" /e /r /s /spath="%USERPROFILE%\AppData\Local\Temp\OnboardLogs" /stypes="app*4030*20170311*" /stext=" 02:.+((SYSTEM_STATE.+slice.+state.+changed )|(ment ac)|(multiple cpu faults)|(system.+state.+changed )|(\[timeout)|(PRM\|1\|D)|(kpr)|(kdp)|(\|lc)|(penalty))"</v>
      </c>
      <c r="AG224" s="1" t="str">
        <f t="shared" si="124"/>
        <v>Other</v>
      </c>
      <c r="AH224" s="86" t="str">
        <f t="shared" si="136"/>
        <v>"%USERPROFILE%\Documents\GitHub\eaglep3\Utilities\RefineRTDCRunTimes.py" --tripid 906-10 --locoid 4030 --swversion DE.1.0.9.0 --startMP 300:58617 --initTime 2017-03-10T19:06:13 --startdatetime 2017-03-10T19:07:42 --delay 1 --endMP 300:28791 --enddatetime 2017-03-10T19:17:28 --enforcementcount 0 &gt;&gt;C:\Users\stu\Documents\GitHub\eaglep3-reporting\EC\2017-03-10-refined-times.txt</v>
      </c>
      <c r="AI224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{"issue":{"subject":"","project_id":79,"tracker_id":40,"status_id":1,"priority_id":2,"assigned_to_id":23,"start_date":"2017-03-10","description":"","custom_fields":[{"id":1,"name":"Subdivision","value":"Other"},{"id":4,"name":"Milepost","value":"2.8791"},{"id":17,"name":"Train ID","value":"906-10"},{"id":16,"name":"Locomotive ID","value":"4030"},{"id":130,"name":"Impact","value":""},{"id":150,"name":"Time of Event (Mountain Time)","value":"19:17:28"},{"id":151,"name":"Denver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138"/>
        <v>start /low /b %USERPROFILE%\Documents\GitHub\eaglep3\Utilities\DownloadLogsFromS3.py --loco 4030 --day 2017-03-10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"%USERPROFILE%\AppData\Local\Temp\OnboardLogs"\RTDC4030\*4030*20170311* | grep -SE "(Enforcement Action)|(\[TIMEOUT)|(CHR.+\|PRM\|1\|D.+(SWITCH|SIGNAL).+UNKNOWN)" - &gt;&gt; 2017-03-10-UncaughtWiMAX.txt</v>
      </c>
    </row>
    <row r="225" spans="1:40" x14ac:dyDescent="0.25">
      <c r="A225" s="33" t="s">
        <v>796</v>
      </c>
      <c r="B225" s="7">
        <v>4005</v>
      </c>
      <c r="C225" s="21" t="s">
        <v>239</v>
      </c>
      <c r="D225" s="21" t="s">
        <v>987</v>
      </c>
      <c r="E225" s="13">
        <v>42804.945532407408</v>
      </c>
      <c r="F225" s="13">
        <v>42804.946261574078</v>
      </c>
      <c r="G225" s="7">
        <v>1</v>
      </c>
      <c r="H225" s="21" t="s">
        <v>988</v>
      </c>
      <c r="I225" s="13">
        <v>42804.951539351852</v>
      </c>
      <c r="J225" s="7">
        <v>0</v>
      </c>
      <c r="K225" s="98" t="str">
        <f t="shared" si="117"/>
        <v>4005/4006</v>
      </c>
      <c r="L225" s="21" t="str">
        <f>VLOOKUP(A225,'Trips&amp;Operators'!$C$1:$G$99999,5,FALSE)</f>
        <v>SMITH MICHAEL</v>
      </c>
      <c r="M225" s="6">
        <f t="shared" si="118"/>
        <v>5.277777774608694E-3</v>
      </c>
      <c r="N225" s="7">
        <f t="shared" si="129"/>
        <v>7.5999999954365194</v>
      </c>
      <c r="O225" s="7"/>
      <c r="P225" s="7"/>
      <c r="Q225" s="22"/>
      <c r="R225" s="22"/>
      <c r="S225" s="31">
        <f t="shared" si="130"/>
        <v>0</v>
      </c>
      <c r="T225" s="46" t="str">
        <f t="shared" si="119"/>
        <v>Southbound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133"/>
        <v>https://d0f6bd738d7f1b3e5a7ca70fe4ff75f0.us-east-1.aws.found.io/app/kibana#/discover/Steve-Slow-Train-Analysis-(2080s-and-2083s)?_g=(refreshInterval:(display:Off,pause:!f,section:0,value:0),time:(from:'2017-03-10T21:41:34-0700',mode:absolute,to:'2017-03-10T23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5" s="187" t="str">
        <f t="shared" si="120"/>
        <v>Y</v>
      </c>
      <c r="X225" s="187">
        <f t="shared" si="139"/>
        <v>2</v>
      </c>
      <c r="Y225" s="62">
        <f t="shared" si="121"/>
        <v>5.8658000000000001</v>
      </c>
      <c r="Z225" s="62">
        <f t="shared" si="140"/>
        <v>2.1629999999999998</v>
      </c>
      <c r="AA225" s="62">
        <f t="shared" si="122"/>
        <v>3.7028000000000003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123"/>
        <v>0908-10</v>
      </c>
      <c r="AE225" s="85" t="str">
        <f t="shared" si="134"/>
        <v>aws s3 cp s3://rtdc.mdm.uploadarchive.raw/RTDC4005/ "%USERPROFILE%\AppData\Local\Temp\OnboardLogs"\RTDC4005\2017-03-10 --exclude "*" --recursive --include "*20170310*" &amp; "%USERPROFILE%\Documents\GitHub\mrs-test-scripts\Headless Mode &amp; Sideloading\WalkAndUnGZ.bat" "%USERPROFILE%\AppData\Local\Temp\OnboardLogs"\RTDC4005\2017-03-10 &amp; aws s3 cp s3://rtdc.mdm.uploadarchive.raw/RTDC4005/ "%USERPROFILE%\AppData\Local\Temp\OnboardLogs"\RTDC4005\2017-03-11 --exclude "*" --recursive --include "*20170311*" &amp; "%USERPROFILE%\Documents\GitHub\mrs-test-scripts\Headless Mode &amp; Sideloading\WalkAndUnGZ.bat" "%USERPROFILE%\AppData\Local\Temp\OnboardLogs"\RTDC4005\2017-03-11</v>
      </c>
      <c r="AF225" s="82" t="str">
        <f t="shared" si="135"/>
        <v>"C:\Program Files (x86)\AstroGrep\AstroGrep.exe" /e /r /s /spath="%USERPROFILE%\AppData\Local\Temp\OnboardLogs" /stypes="app*4005*20170311*" /stext=" 05:.+((SYSTEM_STATE.+slice.+state.+changed )|(ment ac)|(multiple cpu faults)|(system.+state.+changed )|(\[timeout)|(PRM\|1\|D)|(kpr)|(kdp)|(\|lc)|(penalty))"</v>
      </c>
      <c r="AG225" s="1" t="str">
        <f t="shared" si="124"/>
        <v>Other</v>
      </c>
      <c r="AH225" s="86" t="str">
        <f t="shared" si="136"/>
        <v>"%USERPROFILE%\Documents\GitHub\eaglep3\Utilities\RefineRTDCRunTimes.py" --tripid 908-10 --locoid 4005 --swversion DE.1.0.9.0 --startMP 300:58658 --initTime 2017-03-10T22:41:34 --startdatetime 2017-03-10T22:42:37 --delay 1 --endMP 300:21630 --enddatetime 2017-03-10T22:50:13 --enforcementcount 0 &gt;&gt;C:\Users\stu\Documents\GitHub\eaglep3-reporting\EC\2017-03-10-refined-times.txt</v>
      </c>
      <c r="AI225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{"issue":{"subject":"","project_id":79,"tracker_id":40,"status_id":1,"priority_id":2,"assigned_to_id":23,"start_date":"2017-03-10","description":"","custom_fields":[{"id":1,"name":"Subdivision","value":"Other"},{"id":4,"name":"Milepost","value":"2.163"},{"id":17,"name":"Train ID","value":"908-10"},{"id":16,"name":"Locomotive ID","value":"4005"},{"id":130,"name":"Impact","value":""},{"id":150,"name":"Time of Event (Mountain Time)","value":"22:50:13"},{"id":151,"name":"Denver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138"/>
        <v>start /low /b %USERPROFILE%\Documents\GitHub\eaglep3\Utilities\DownloadLogsFromS3.py --loco 4005 --day 2017-03-10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"%USERPROFILE%\AppData\Local\Temp\OnboardLogs"\RTDC4005\*4005*20170311* | grep -SE "(Enforcement Action)|(\[TIMEOUT)|(CHR.+\|PRM\|1\|D.+(SWITCH|SIGNAL).+UNKNOWN)" - &gt;&gt; 2017-03-10-UncaughtWiMAX.txt</v>
      </c>
    </row>
    <row r="226" spans="1:40" x14ac:dyDescent="0.25">
      <c r="A226" s="33" t="s">
        <v>578</v>
      </c>
      <c r="B226" s="7">
        <v>4041</v>
      </c>
      <c r="C226" s="21" t="s">
        <v>239</v>
      </c>
      <c r="D226" s="21" t="s">
        <v>914</v>
      </c>
      <c r="E226" s="13">
        <v>42804.450891203705</v>
      </c>
      <c r="F226" s="13">
        <v>42804.459039351852</v>
      </c>
      <c r="G226" s="7">
        <v>11</v>
      </c>
      <c r="H226" s="21" t="s">
        <v>915</v>
      </c>
      <c r="I226" s="13">
        <v>42804.464594907404</v>
      </c>
      <c r="J226" s="7">
        <v>0</v>
      </c>
      <c r="K226" s="98" t="str">
        <f t="shared" si="117"/>
        <v>4041/4042</v>
      </c>
      <c r="L226" s="21" t="str">
        <f>VLOOKUP(A226,'Trips&amp;Operators'!$C$1:$G$99999,5,FALSE)</f>
        <v>BRUDER RICHARD</v>
      </c>
      <c r="M226" s="6">
        <f t="shared" si="118"/>
        <v>5.5555555518367328E-3</v>
      </c>
      <c r="N226" s="7">
        <f t="shared" si="129"/>
        <v>7.9999999946448952</v>
      </c>
      <c r="O226" s="7"/>
      <c r="P226" s="7"/>
      <c r="Q226" s="22"/>
      <c r="R226" s="22"/>
      <c r="S226" s="31">
        <f t="shared" si="130"/>
        <v>0</v>
      </c>
      <c r="T226" s="46" t="e">
        <f t="shared" si="119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133"/>
        <v>https://d0f6bd738d7f1b3e5a7ca70fe4ff75f0.us-east-1.aws.found.io/app/kibana#/discover/Steve-Slow-Train-Analysis-(2080s-and-2083s)?_g=(refreshInterval:(display:Off,pause:!f,section:0,value:0),time:(from:'2017-03-10T09:49:17-0700',mode:absolute,to:'2017-03-10T12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6" s="187" t="str">
        <f t="shared" si="120"/>
        <v>Y</v>
      </c>
      <c r="X226" s="187" t="e">
        <f t="shared" si="139"/>
        <v>#VALUE!</v>
      </c>
      <c r="Y226" s="62">
        <f t="shared" si="121"/>
        <v>2.1913999999999998</v>
      </c>
      <c r="Z226" s="62">
        <f t="shared" si="140"/>
        <v>1.04E-2</v>
      </c>
      <c r="AA226" s="62">
        <f t="shared" si="122"/>
        <v>2.1809999999999996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123"/>
        <v>50-10</v>
      </c>
      <c r="AE226" s="85" t="str">
        <f t="shared" si="134"/>
        <v>aws s3 cp s3://rtdc.mdm.uploadarchive.raw/RTDC4041/ "%USERPROFILE%\AppData\Local\Temp\OnboardLogs"\RTDC4041\2017-03-10 --exclude "*" --recursive --include "*20170310*" &amp; "%USERPROFILE%\Documents\GitHub\mrs-test-scripts\Headless Mode &amp; Sideloading\WalkAndUnGZ.bat" "%USERPROFILE%\AppData\Local\Temp\OnboardLogs"\RTDC4041\2017-03-10 &amp; aws s3 cp s3://rtdc.mdm.uploadarchive.raw/RTDC4041/ "%USERPROFILE%\AppData\Local\Temp\OnboardLogs"\RTDC4041\2017-03-11 --exclude "*" --recursive --include "*20170311*" &amp; "%USERPROFILE%\Documents\GitHub\mrs-test-scripts\Headless Mode &amp; Sideloading\WalkAndUnGZ.bat" "%USERPROFILE%\AppData\Local\Temp\OnboardLogs"\RTDC4041\2017-03-11</v>
      </c>
      <c r="AF226" s="82" t="str">
        <f t="shared" si="135"/>
        <v>"C:\Program Files (x86)\AstroGrep\AstroGrep.exe" /e /r /s /spath="%USERPROFILE%\AppData\Local\Temp\OnboardLogs" /stypes="app*4041*20170310*" /stext=" 18:.+((SYSTEM_STATE.+slice.+state.+changed )|(ment ac)|(multiple cpu faults)|(system.+state.+changed )|(\[timeout)|(PRM\|1\|D)|(kpr)|(kdp)|(\|lc)|(penalty))"</v>
      </c>
      <c r="AG226" s="1" t="str">
        <f t="shared" si="124"/>
        <v>Other</v>
      </c>
      <c r="AH226" s="86" t="str">
        <f t="shared" si="136"/>
        <v>"%USERPROFILE%\Documents\GitHub\eaglep3\Utilities\RefineRTDCRunTimes.py" --tripid 50-10 --locoid 4041 --swversion DE.1.0.9.0 --startMP 300:21914 --initTime 2017-03-10T10:49:17 --startdatetime 2017-03-10T11:01:01 --delay 11 --endMP 204:104 --enddatetime 2017-03-10T11:09:01 --enforcementcount 0 &gt;&gt;C:\Users\stu\Documents\GitHub\eaglep3-reporting\EC\2017-03-10-refined-times.txt</v>
      </c>
      <c r="AI226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{"issue":{"subject":"","project_id":79,"tracker_id":40,"status_id":1,"priority_id":2,"assigned_to_id":23,"start_date":"2017-03-10","description":"","custom_fields":[{"id":1,"name":"Subdivision","value":"Other"},{"id":4,"name":"Milepost","value":"0.0104"},{"id":17,"name":"Train ID","value":"50-10"},{"id":16,"name":"Locomotive ID","value":"4041"},{"id":130,"name":"Impact","value":""},{"id":150,"name":"Time of Event (Mountain Time)","value":"11:09:01"},{"id":151,"name":"Denver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138"/>
        <v>start /low /b %USERPROFILE%\Documents\GitHub\eaglep3\Utilities\DownloadLogsFromS3.py --loco 4041 --day 2017-03-10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"%USERPROFILE%\AppData\Local\Temp\OnboardLogs"\RTDC4041\*4041*20170310* | grep -SE "(Enforcement Action)|(\[TIMEOUT)|(CHR.+\|PRM\|1\|D.+(SWITCH|SIGNAL).+UNKNOWN)" - &gt;&gt; 2017-03-10-UncaughtWiMAX.txt</v>
      </c>
    </row>
    <row r="227" spans="1:40" x14ac:dyDescent="0.25">
      <c r="A227" s="33" t="s">
        <v>563</v>
      </c>
      <c r="B227" s="7">
        <v>4009</v>
      </c>
      <c r="C227" s="21" t="s">
        <v>239</v>
      </c>
      <c r="D227" s="21" t="s">
        <v>916</v>
      </c>
      <c r="E227" s="13">
        <v>42804.124155092592</v>
      </c>
      <c r="F227" s="13">
        <v>42804.125625000001</v>
      </c>
      <c r="G227" s="7">
        <v>2</v>
      </c>
      <c r="H227" s="21" t="s">
        <v>917</v>
      </c>
      <c r="I227" s="13">
        <v>42804.151909722219</v>
      </c>
      <c r="J227" s="7">
        <v>0</v>
      </c>
      <c r="K227" s="98" t="str">
        <f t="shared" si="117"/>
        <v>4009/4010</v>
      </c>
      <c r="L227" s="21" t="str">
        <f>VLOOKUP(A227,'Trips&amp;Operators'!$C$1:$G$99999,5,FALSE)</f>
        <v>SPECTOR MICHAEL</v>
      </c>
      <c r="M227" s="6">
        <f t="shared" si="118"/>
        <v>2.6284722218406387E-2</v>
      </c>
      <c r="N227" s="7">
        <f t="shared" si="129"/>
        <v>37.849999994505197</v>
      </c>
      <c r="O227" s="7"/>
      <c r="P227" s="7"/>
      <c r="Q227" s="22"/>
      <c r="R227" s="22"/>
      <c r="S227" s="31">
        <f t="shared" si="130"/>
        <v>0</v>
      </c>
      <c r="T227" s="46" t="e">
        <f t="shared" si="119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133"/>
        <v>https://d0f6bd738d7f1b3e5a7ca70fe4ff75f0.us-east-1.aws.found.io/app/kibana#/discover/Steve-Slow-Train-Analysis-(2080s-and-2083s)?_g=(refreshInterval:(display:Off,pause:!f,section:0,value:0),time:(from:'2017-03-10T01:58:47-0700',mode:absolute,to:'2017-03-10T04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7" s="187" t="str">
        <f t="shared" si="120"/>
        <v>N</v>
      </c>
      <c r="X227" s="187" t="e">
        <f t="shared" si="139"/>
        <v>#VALUE!</v>
      </c>
      <c r="Y227" s="62">
        <f t="shared" si="121"/>
        <v>0.11559999999999999</v>
      </c>
      <c r="Z227" s="62">
        <f t="shared" si="140"/>
        <v>10.7447</v>
      </c>
      <c r="AA227" s="62">
        <f t="shared" si="122"/>
        <v>10.629099999999999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123"/>
        <v>51-10</v>
      </c>
      <c r="AE227" s="85" t="str">
        <f t="shared" si="134"/>
        <v>aws s3 cp s3://rtdc.mdm.uploadarchive.raw/RTDC4009/ "%USERPROFILE%\AppData\Local\Temp\OnboardLogs"\RTDC4009\2017-03-10 --exclude "*" --recursive --include "*20170310*" &amp; "%USERPROFILE%\Documents\GitHub\mrs-test-scripts\Headless Mode &amp; Sideloading\WalkAndUnGZ.bat" "%USERPROFILE%\AppData\Local\Temp\OnboardLogs"\RTDC4009\2017-03-10 &amp; 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</v>
      </c>
      <c r="AF227" s="82" t="str">
        <f t="shared" si="135"/>
        <v>"C:\Program Files (x86)\AstroGrep\AstroGrep.exe" /e /r /s /spath="%USERPROFILE%\AppData\Local\Temp\OnboardLogs" /stypes="app*4009*20170310*" /stext=" 10:.+((SYSTEM_STATE.+slice.+state.+changed )|(ment ac)|(multiple cpu faults)|(system.+state.+changed )|(\[timeout)|(PRM\|1\|D)|(kpr)|(kdp)|(\|lc)|(penalty))"</v>
      </c>
      <c r="AG227" s="1" t="str">
        <f t="shared" si="124"/>
        <v>Other</v>
      </c>
      <c r="AH227" s="86" t="str">
        <f t="shared" si="136"/>
        <v>"%USERPROFILE%\Documents\GitHub\eaglep3\Utilities\RefineRTDCRunTimes.py" --tripid 51-10 --locoid 4009 --swversion DE.1.0.9.0 --startMP 204:1156 --initTime 2017-03-10T02:58:47 --startdatetime 2017-03-10T03:00:54 --delay 2 --endMP 204:107447 --enddatetime 2017-03-10T03:38:45 --enforcementcount 0 &gt;&gt;C:\Users\stu\Documents\GitHub\eaglep3-reporting\EC\2017-03-10-refined-times.txt</v>
      </c>
      <c r="AI227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{"issue":{"subject":"","project_id":79,"tracker_id":40,"status_id":1,"priority_id":2,"assigned_to_id":23,"start_date":"2017-03-10","description":"","custom_fields":[{"id":1,"name":"Subdivision","value":"Other"},{"id":4,"name":"Milepost","value":"10.7447"},{"id":17,"name":"Train ID","value":"51-10"},{"id":16,"name":"Locomotive ID","value":"4009"},{"id":130,"name":"Impact","value":""},{"id":150,"name":"Time of Event (Mountain Time)","value":"03:38:45"},{"id":151,"name":"Denver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138"/>
        <v>start /low /b %USERPROFILE%\Documents\GitHub\eaglep3\Utilities\DownloadLogsFromS3.py --loco 4009 --day 2017-03-10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"%USERPROFILE%\AppData\Local\Temp\OnboardLogs"\RTDC4009\*4009*20170310* | grep -SE "(Enforcement Action)|(\[TIMEOUT)|(CHR.+\|PRM\|1\|D.+(SWITCH|SIGNAL).+UNKNOWN)" - &gt;&gt; 2017-03-10-UncaughtWiMAX.txt</v>
      </c>
    </row>
    <row r="228" spans="1:40" x14ac:dyDescent="0.25">
      <c r="A228" s="33" t="s">
        <v>563</v>
      </c>
      <c r="B228" s="7">
        <v>4010</v>
      </c>
      <c r="C228" s="21" t="s">
        <v>239</v>
      </c>
      <c r="D228" s="21" t="s">
        <v>918</v>
      </c>
      <c r="E228" s="13">
        <v>42804.164872685185</v>
      </c>
      <c r="F228" s="13">
        <v>42804.166064814817</v>
      </c>
      <c r="G228" s="7">
        <v>1</v>
      </c>
      <c r="H228" s="21" t="s">
        <v>404</v>
      </c>
      <c r="I228" s="13">
        <v>42804.18613425926</v>
      </c>
      <c r="J228" s="7">
        <v>0</v>
      </c>
      <c r="K228" s="98" t="str">
        <f t="shared" ref="K228:K244" si="141">IF(ISEVEN(B228),(B228-1)&amp;"/"&amp;B228,B228&amp;"/"&amp;(B228+1))</f>
        <v>4009/4010</v>
      </c>
      <c r="L228" s="21" t="str">
        <f>VLOOKUP(A228,'Trips&amp;Operators'!$C$1:$G$99999,5,FALSE)</f>
        <v>SPECTOR MICHAEL</v>
      </c>
      <c r="M228" s="6">
        <f t="shared" ref="M228:M244" si="142">I228-F228</f>
        <v>2.0069444442924578E-2</v>
      </c>
      <c r="N228" s="7">
        <f t="shared" ref="N228:N244" si="143">24*60*SUM($M228:$M228)</f>
        <v>28.899999997811392</v>
      </c>
      <c r="O228" s="7"/>
      <c r="P228" s="7"/>
      <c r="Q228" s="22"/>
      <c r="R228" s="22"/>
      <c r="S228" s="31">
        <f t="shared" ref="S228:S244" si="144">SUM(U228:U228)/IF(AG228="EC",12,1)</f>
        <v>0</v>
      </c>
      <c r="T228" s="46" t="e">
        <f t="shared" ref="T228:T244" si="145">IF(ISEVEN(LEFT(AD228,4)),"Southbound","NorthBound")</f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133"/>
        <v>https://d0f6bd738d7f1b3e5a7ca70fe4ff75f0.us-east-1.aws.found.io/app/kibana#/discover/Steve-Slow-Train-Analysis-(2080s-and-2083s)?_g=(refreshInterval:(display:Off,pause:!f,section:0,value:0),time:(from:'2017-03-10T02:57:25-0700',mode:absolute,to:'2017-03-10T05:28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8" s="187" t="str">
        <f t="shared" ref="W228:W244" si="146">IF(AA228&lt;IF(AG228="EC",23,5.65),"Y","N")</f>
        <v>N</v>
      </c>
      <c r="X228" s="187" t="e">
        <f t="shared" si="139"/>
        <v>#VALUE!</v>
      </c>
      <c r="Y228" s="62">
        <f t="shared" ref="Y228:Y244" si="147">RIGHT(D228,LEN(D228)-4)/10000</f>
        <v>8.6351999999999993</v>
      </c>
      <c r="Z228" s="62">
        <f t="shared" si="140"/>
        <v>1.43E-2</v>
      </c>
      <c r="AA228" s="62">
        <f t="shared" ref="AA228:AA244" si="148">ABS(Z228-Y228)</f>
        <v>8.6208999999999989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ref="AD228:AD244" si="149">IF(LEN(A228)=6,"0"&amp;A228,A228)</f>
        <v>51-10</v>
      </c>
      <c r="AE228" s="85" t="str">
        <f t="shared" si="134"/>
        <v>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 &amp; 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</v>
      </c>
      <c r="AF228" s="82" t="str">
        <f t="shared" si="135"/>
        <v>"C:\Program Files (x86)\AstroGrep\AstroGrep.exe" /e /r /s /spath="%USERPROFILE%\AppData\Local\Temp\OnboardLogs" /stypes="app*4010*20170310*" /stext=" 11:.+((SYSTEM_STATE.+slice.+state.+changed )|(ment ac)|(multiple cpu faults)|(system.+state.+changed )|(\[timeout)|(PRM\|1\|D)|(kpr)|(kdp)|(\|lc)|(penalty))"</v>
      </c>
      <c r="AG228" s="1" t="str">
        <f t="shared" ref="AG228:AG244" si="150">IFERROR(IF(VALUE(LEFT(AD228,2))&lt;=2,"EC",IF(OR(VALUE(LEFT(AD228,2))=8,VALUE(LEFT(AD228,2))=18),"NW","Other")),"Other")</f>
        <v>Other</v>
      </c>
      <c r="AH228" s="86" t="str">
        <f t="shared" si="136"/>
        <v>"%USERPROFILE%\Documents\GitHub\eaglep3\Utilities\RefineRTDCRunTimes.py" --tripid 51-10 --locoid 4010 --swversion DE.1.0.9.0 --startMP 204:86352 --initTime 2017-03-10T03:57:25 --startdatetime 2017-03-10T03:59:08 --delay 1 --endMP 204:143 --enddatetime 2017-03-10T04:28:02 --enforcementcount 0 &gt;&gt;C:\Users\stu\Documents\GitHub\eaglep3-reporting\EC\2017-03-10-refined-times.txt</v>
      </c>
      <c r="AI228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{"issue":{"subject":"","project_id":79,"tracker_id":40,"status_id":1,"priority_id":2,"assigned_to_id":23,"start_date":"2017-03-10","description":"","custom_fields":[{"id":1,"name":"Subdivision","value":"Other"},{"id":4,"name":"Milepost","value":"0.0143"},{"id":17,"name":"Train ID","value":"51-10"},{"id":16,"name":"Locomotive ID","value":"4010"},{"id":130,"name":"Impact","value":""},{"id":150,"name":"Time of Event (Mountain Time)","value":"04:28:02"},{"id":151,"name":"Denver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138"/>
        <v>start /low /b %USERPROFILE%\Documents\GitHub\eaglep3\Utilities\DownloadLogsFromS3.py --loco 4010 --day 2017-03-10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"%USERPROFILE%\AppData\Local\Temp\OnboardLogs"\RTDC4010\*4010*20170310* | grep -SE "(Enforcement Action)|(\[TIMEOUT)|(CHR.+\|PRM\|1\|D.+(SWITCH|SIGNAL).+UNKNOWN)" - &gt;&gt; 2017-03-10-UncaughtWiMAX.txt</v>
      </c>
    </row>
    <row r="229" spans="1:40" x14ac:dyDescent="0.25">
      <c r="A229" s="33" t="s">
        <v>510</v>
      </c>
      <c r="B229" s="7">
        <v>4063</v>
      </c>
      <c r="C229" s="21" t="s">
        <v>239</v>
      </c>
      <c r="D229" s="21" t="s">
        <v>487</v>
      </c>
      <c r="E229" s="13">
        <v>42804.07303240741</v>
      </c>
      <c r="F229" s="13">
        <v>42804.074074074073</v>
      </c>
      <c r="G229" s="7">
        <v>1</v>
      </c>
      <c r="H229" s="21" t="s">
        <v>538</v>
      </c>
      <c r="I229" s="13">
        <v>42804.084594907406</v>
      </c>
      <c r="J229" s="7">
        <v>0</v>
      </c>
      <c r="K229" s="98" t="str">
        <f t="shared" si="141"/>
        <v>4063/4064</v>
      </c>
      <c r="L229" s="21" t="str">
        <f>VLOOKUP(A229,'Trips&amp;Operators'!$C$1:$G$99999,5,FALSE)</f>
        <v>YANG JAN</v>
      </c>
      <c r="M229" s="6">
        <f t="shared" si="142"/>
        <v>1.0520833333430346E-2</v>
      </c>
      <c r="N229" s="7">
        <f t="shared" si="143"/>
        <v>15.150000000139698</v>
      </c>
      <c r="O229" s="7"/>
      <c r="P229" s="7"/>
      <c r="Q229" s="22"/>
      <c r="R229" s="22"/>
      <c r="S229" s="31">
        <f t="shared" si="144"/>
        <v>0</v>
      </c>
      <c r="T229" s="46" t="e">
        <f t="shared" si="145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133"/>
        <v>https://d0f6bd738d7f1b3e5a7ca70fe4ff75f0.us-east-1.aws.found.io/app/kibana#/discover/Steve-Slow-Train-Analysis-(2080s-and-2083s)?_g=(refreshInterval:(display:Off,pause:!f,section:0,value:0),time:(from:'2017-03-10T00:45:10-0700',mode:absolute,to:'2017-03-10T03:01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9" s="187" t="str">
        <f t="shared" si="146"/>
        <v>N</v>
      </c>
      <c r="X229" s="187" t="e">
        <f t="shared" si="139"/>
        <v>#VALUE!</v>
      </c>
      <c r="Y229" s="62">
        <f t="shared" si="147"/>
        <v>0.1002</v>
      </c>
      <c r="Z229" s="62">
        <f t="shared" si="140"/>
        <v>5.8929</v>
      </c>
      <c r="AA229" s="62">
        <f t="shared" si="148"/>
        <v>5.7927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149"/>
        <v>57-09</v>
      </c>
      <c r="AE229" s="85" t="str">
        <f t="shared" si="134"/>
        <v>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 &amp; 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</v>
      </c>
      <c r="AF229" s="82" t="str">
        <f t="shared" si="135"/>
        <v>"C:\Program Files (x86)\AstroGrep\AstroGrep.exe" /e /r /s /spath="%USERPROFILE%\AppData\Local\Temp\OnboardLogs" /stypes="app*4063*20170310*" /stext=" 09:.+((SYSTEM_STATE.+slice.+state.+changed )|(ment ac)|(multiple cpu faults)|(system.+state.+changed )|(\[timeout)|(PRM\|1\|D)|(kpr)|(kdp)|(\|lc)|(penalty))"</v>
      </c>
      <c r="AG229" s="1" t="str">
        <f t="shared" si="150"/>
        <v>Other</v>
      </c>
      <c r="AH229" s="86" t="str">
        <f t="shared" si="136"/>
        <v>"%USERPROFILE%\Documents\GitHub\eaglep3\Utilities\RefineRTDCRunTimes.py" --tripid 57-09 --locoid 4063 --swversion DE.1.0.9.0 --startMP 204:1002 --initTime 2017-03-10T01:45:10 --startdatetime 2017-03-10T01:46:40 --delay 1 --endMP 300:58929 --enddatetime 2017-03-10T02:01:49 --enforcementcount 0 &gt;&gt;C:\Users\stu\Documents\GitHub\eaglep3-reporting\EC\2017-03-10-refined-times.txt</v>
      </c>
      <c r="AI229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{"issue":{"subject":"","project_id":79,"tracker_id":40,"status_id":1,"priority_id":2,"assigned_to_id":23,"start_date":"2017-03-10","description":"","custom_fields":[{"id":1,"name":"Subdivision","value":"Other"},{"id":4,"name":"Milepost","value":"5.8929"},{"id":17,"name":"Train ID","value":"57-09"},{"id":16,"name":"Locomotive ID","value":"4063"},{"id":130,"name":"Impact","value":""},{"id":150,"name":"Time of Event (Mountain Time)","value":"02:01:49"},{"id":151,"name":"Denver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138"/>
        <v>start /low /b %USERPROFILE%\Documents\GitHub\eaglep3\Utilities\DownloadLogsFromS3.py --loco 4063 --day 2017-03-10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"%USERPROFILE%\AppData\Local\Temp\OnboardLogs"\RTDC4063\*4063*20170310* | grep -SE "(Enforcement Action)|(\[TIMEOUT)|(CHR.+\|PRM\|1\|D.+(SWITCH|SIGNAL).+UNKNOWN)" - &gt;&gt; 2017-03-10-UncaughtWiMAX.txt</v>
      </c>
    </row>
    <row r="230" spans="1:40" x14ac:dyDescent="0.25">
      <c r="A230" s="33" t="s">
        <v>510</v>
      </c>
      <c r="B230" s="7">
        <v>4063</v>
      </c>
      <c r="C230" s="21" t="s">
        <v>239</v>
      </c>
      <c r="D230" s="21" t="s">
        <v>539</v>
      </c>
      <c r="E230" s="13">
        <v>42804.100474537037</v>
      </c>
      <c r="F230" s="13">
        <v>42804.101354166669</v>
      </c>
      <c r="G230" s="7">
        <v>1</v>
      </c>
      <c r="H230" s="21" t="s">
        <v>540</v>
      </c>
      <c r="I230" s="13">
        <v>42804.111712962964</v>
      </c>
      <c r="J230" s="7">
        <v>0</v>
      </c>
      <c r="K230" s="98" t="str">
        <f t="shared" si="141"/>
        <v>4063/4064</v>
      </c>
      <c r="L230" s="21" t="str">
        <f>VLOOKUP(A230,'Trips&amp;Operators'!$C$1:$G$99999,5,FALSE)</f>
        <v>YANG JAN</v>
      </c>
      <c r="M230" s="6">
        <f t="shared" si="142"/>
        <v>1.0358796294895001E-2</v>
      </c>
      <c r="N230" s="7">
        <f t="shared" si="143"/>
        <v>14.916666664648801</v>
      </c>
      <c r="O230" s="7"/>
      <c r="P230" s="7"/>
      <c r="Q230" s="22"/>
      <c r="R230" s="22"/>
      <c r="S230" s="31">
        <f t="shared" si="144"/>
        <v>0</v>
      </c>
      <c r="T230" s="46" t="e">
        <f t="shared" si="145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133"/>
        <v>https://d0f6bd738d7f1b3e5a7ca70fe4ff75f0.us-east-1.aws.found.io/app/kibana#/discover/Steve-Slow-Train-Analysis-(2080s-and-2083s)?_g=(refreshInterval:(display:Off,pause:!f,section:0,value:0),time:(from:'2017-03-10T01:24:41-0700',mode:absolute,to:'2017-03-10T03:40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0" s="187" t="str">
        <f t="shared" si="146"/>
        <v>N</v>
      </c>
      <c r="X230" s="187" t="e">
        <f t="shared" si="139"/>
        <v>#VALUE!</v>
      </c>
      <c r="Y230" s="62">
        <f t="shared" si="147"/>
        <v>0.1021</v>
      </c>
      <c r="Z230" s="62">
        <f t="shared" si="140"/>
        <v>5.8928000000000003</v>
      </c>
      <c r="AA230" s="62">
        <f t="shared" si="148"/>
        <v>5.7907000000000002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149"/>
        <v>57-09</v>
      </c>
      <c r="AE230" s="85" t="str">
        <f t="shared" si="134"/>
        <v>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 &amp; 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</v>
      </c>
      <c r="AF230" s="82" t="str">
        <f t="shared" si="135"/>
        <v>"C:\Program Files (x86)\AstroGrep\AstroGrep.exe" /e /r /s /spath="%USERPROFILE%\AppData\Local\Temp\OnboardLogs" /stypes="app*4063*20170310*" /stext=" 09:.+((SYSTEM_STATE.+slice.+state.+changed )|(ment ac)|(multiple cpu faults)|(system.+state.+changed )|(\[timeout)|(PRM\|1\|D)|(kpr)|(kdp)|(\|lc)|(penalty))"</v>
      </c>
      <c r="AG230" s="1" t="str">
        <f t="shared" si="150"/>
        <v>Other</v>
      </c>
      <c r="AH230" s="86" t="str">
        <f t="shared" si="136"/>
        <v>"%USERPROFILE%\Documents\GitHub\eaglep3\Utilities\RefineRTDCRunTimes.py" --tripid 57-09 --locoid 4063 --swversion DE.1.0.9.0 --startMP 204:1021 --initTime 2017-03-10T02:24:41 --startdatetime 2017-03-10T02:25:57 --delay 1 --endMP 300:58928 --enddatetime 2017-03-10T02:40:52 --enforcementcount 0 &gt;&gt;C:\Users\stu\Documents\GitHub\eaglep3-reporting\EC\2017-03-10-refined-times.txt</v>
      </c>
      <c r="AI230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{"issue":{"subject":"","project_id":79,"tracker_id":40,"status_id":1,"priority_id":2,"assigned_to_id":23,"start_date":"2017-03-10","description":"","custom_fields":[{"id":1,"name":"Subdivision","value":"Other"},{"id":4,"name":"Milepost","value":"5.8928"},{"id":17,"name":"Train ID","value":"57-09"},{"id":16,"name":"Locomotive ID","value":"4063"},{"id":130,"name":"Impact","value":""},{"id":150,"name":"Time of Event (Mountain Time)","value":"02:40:52"},{"id":151,"name":"Denver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138"/>
        <v>start /low /b %USERPROFILE%\Documents\GitHub\eaglep3\Utilities\DownloadLogsFromS3.py --loco 4063 --day 2017-03-10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"%USERPROFILE%\AppData\Local\Temp\OnboardLogs"\RTDC4063\*4063*20170310* | grep -SE "(Enforcement Action)|(\[TIMEOUT)|(CHR.+\|PRM\|1\|D.+(SWITCH|SIGNAL).+UNKNOWN)" - &gt;&gt; 2017-03-10-UncaughtWiMAX.txt</v>
      </c>
    </row>
    <row r="231" spans="1:40" x14ac:dyDescent="0.25">
      <c r="A231" s="33" t="s">
        <v>509</v>
      </c>
      <c r="B231" s="7">
        <v>4064</v>
      </c>
      <c r="C231" s="21" t="s">
        <v>239</v>
      </c>
      <c r="D231" s="21" t="s">
        <v>542</v>
      </c>
      <c r="E231" s="13">
        <v>42804.085405092592</v>
      </c>
      <c r="F231" s="13">
        <v>42804.087465277778</v>
      </c>
      <c r="G231" s="7">
        <v>2</v>
      </c>
      <c r="H231" s="21" t="s">
        <v>543</v>
      </c>
      <c r="I231" s="13">
        <v>42804.098263888889</v>
      </c>
      <c r="J231" s="7">
        <v>0</v>
      </c>
      <c r="K231" s="98" t="str">
        <f t="shared" si="141"/>
        <v>4063/4064</v>
      </c>
      <c r="L231" s="21" t="str">
        <f>VLOOKUP(A231,'Trips&amp;Operators'!$C$1:$G$99999,5,FALSE)</f>
        <v>YANG JAN</v>
      </c>
      <c r="M231" s="6">
        <f t="shared" si="142"/>
        <v>1.0798611110658385E-2</v>
      </c>
      <c r="N231" s="7">
        <f t="shared" si="143"/>
        <v>15.549999999348074</v>
      </c>
      <c r="O231" s="7"/>
      <c r="P231" s="7"/>
      <c r="Q231" s="22"/>
      <c r="R231" s="22"/>
      <c r="S231" s="31">
        <f t="shared" si="144"/>
        <v>0</v>
      </c>
      <c r="T231" s="46" t="e">
        <f t="shared" si="145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133"/>
        <v>https://d0f6bd738d7f1b3e5a7ca70fe4ff75f0.us-east-1.aws.found.io/app/kibana#/discover/Steve-Slow-Train-Analysis-(2080s-and-2083s)?_g=(refreshInterval:(display:Off,pause:!f,section:0,value:0),time:(from:'2017-03-10T01:02:59-0700',mode:absolute,to:'2017-03-10T03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1" s="187" t="str">
        <f t="shared" si="146"/>
        <v>N</v>
      </c>
      <c r="X231" s="187" t="e">
        <f t="shared" si="139"/>
        <v>#VALUE!</v>
      </c>
      <c r="Y231" s="62">
        <f t="shared" si="147"/>
        <v>5.8611000000000004</v>
      </c>
      <c r="Z231" s="62">
        <f t="shared" si="140"/>
        <v>7.3300000000000004E-2</v>
      </c>
      <c r="AA231" s="62">
        <f t="shared" si="148"/>
        <v>5.7878000000000007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149"/>
        <v>58-09</v>
      </c>
      <c r="AE231" s="85" t="str">
        <f t="shared" si="134"/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1" s="82" t="str">
        <f t="shared" si="135"/>
        <v>"C:\Program Files (x86)\AstroGrep\AstroGrep.exe" /e /r /s /spath="%USERPROFILE%\AppData\Local\Temp\OnboardLogs" /stypes="app*4064*20170310*" /stext=" 09:.+((SYSTEM_STATE.+slice.+state.+changed )|(ment ac)|(multiple cpu faults)|(system.+state.+changed )|(\[timeout)|(PRM\|1\|D)|(kpr)|(kdp)|(\|lc)|(penalty))"</v>
      </c>
      <c r="AG231" s="1" t="str">
        <f t="shared" si="150"/>
        <v>Other</v>
      </c>
      <c r="AH231" s="86" t="str">
        <f t="shared" si="136"/>
        <v>"%USERPROFILE%\Documents\GitHub\eaglep3\Utilities\RefineRTDCRunTimes.py" --tripid 58-09 --locoid 4064 --swversion DE.1.0.9.0 --startMP 300:58611 --initTime 2017-03-10T02:02:59 --startdatetime 2017-03-10T02:05:57 --delay 2 --endMP 204:733 --enddatetime 2017-03-10T02:21:30 --enforcementcount 0 &gt;&gt;C:\Users\stu\Documents\GitHub\eaglep3-reporting\EC\2017-03-10-refined-times.txt</v>
      </c>
      <c r="AI231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{"issue":{"subject":"","project_id":79,"tracker_id":40,"status_id":1,"priority_id":2,"assigned_to_id":23,"start_date":"2017-03-10","description":"","custom_fields":[{"id":1,"name":"Subdivision","value":"Other"},{"id":4,"name":"Milepost","value":"0.0733"},{"id":17,"name":"Train ID","value":"58-09"},{"id":16,"name":"Locomotive ID","value":"4064"},{"id":130,"name":"Impact","value":""},{"id":150,"name":"Time of Event (Mountain Time)","value":"02:21:30"},{"id":151,"name":"Denver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138"/>
        <v>start /low /b %USERPROFILE%\Documents\GitHub\eaglep3\Utilities\DownloadLogsFromS3.py --loco 4064 --day 2017-03-10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2017-03-10-UncaughtWiMAX.txt</v>
      </c>
    </row>
    <row r="232" spans="1:40" x14ac:dyDescent="0.25">
      <c r="A232" s="33" t="s">
        <v>509</v>
      </c>
      <c r="B232" s="7">
        <v>4064</v>
      </c>
      <c r="C232" s="21" t="s">
        <v>239</v>
      </c>
      <c r="D232" s="21" t="s">
        <v>542</v>
      </c>
      <c r="E232" s="13">
        <v>42804.112847222219</v>
      </c>
      <c r="F232" s="13">
        <v>42804.113981481481</v>
      </c>
      <c r="G232" s="7">
        <v>1</v>
      </c>
      <c r="H232" s="21" t="s">
        <v>544</v>
      </c>
      <c r="I232" s="13">
        <v>42804.120983796296</v>
      </c>
      <c r="J232" s="7">
        <v>0</v>
      </c>
      <c r="K232" s="98" t="str">
        <f t="shared" si="141"/>
        <v>4063/4064</v>
      </c>
      <c r="L232" s="21" t="str">
        <f>VLOOKUP(A232,'Trips&amp;Operators'!$C$1:$G$99999,5,FALSE)</f>
        <v>YANG JAN</v>
      </c>
      <c r="M232" s="6">
        <f t="shared" si="142"/>
        <v>7.0023148145992309E-3</v>
      </c>
      <c r="N232" s="7">
        <f t="shared" si="143"/>
        <v>10.083333333022892</v>
      </c>
      <c r="O232" s="7"/>
      <c r="P232" s="7"/>
      <c r="Q232" s="22"/>
      <c r="R232" s="22"/>
      <c r="S232" s="31">
        <f t="shared" si="144"/>
        <v>0</v>
      </c>
      <c r="T232" s="46" t="e">
        <f t="shared" si="145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133"/>
        <v>https://d0f6bd738d7f1b3e5a7ca70fe4ff75f0.us-east-1.aws.found.io/app/kibana#/discover/Steve-Slow-Train-Analysis-(2080s-and-2083s)?_g=(refreshInterval:(display:Off,pause:!f,section:0,value:0),time:(from:'2017-03-10T01:42:30-0700',mode:absolute,to:'2017-03-10T03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2" s="187" t="str">
        <f t="shared" si="146"/>
        <v>Y</v>
      </c>
      <c r="X232" s="187" t="e">
        <f t="shared" si="139"/>
        <v>#VALUE!</v>
      </c>
      <c r="Y232" s="62">
        <f t="shared" si="147"/>
        <v>5.8611000000000004</v>
      </c>
      <c r="Z232" s="62">
        <f t="shared" si="140"/>
        <v>2.8782000000000001</v>
      </c>
      <c r="AA232" s="62">
        <f t="shared" si="148"/>
        <v>2.9829000000000003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149"/>
        <v>58-09</v>
      </c>
      <c r="AE232" s="85" t="str">
        <f t="shared" si="134"/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2" s="82" t="str">
        <f t="shared" si="135"/>
        <v>"C:\Program Files (x86)\AstroGrep\AstroGrep.exe" /e /r /s /spath="%USERPROFILE%\AppData\Local\Temp\OnboardLogs" /stypes="app*4064*20170310*" /stext=" 09:.+((SYSTEM_STATE.+slice.+state.+changed )|(ment ac)|(multiple cpu faults)|(system.+state.+changed )|(\[timeout)|(PRM\|1\|D)|(kpr)|(kdp)|(\|lc)|(penalty))"</v>
      </c>
      <c r="AG232" s="1" t="str">
        <f t="shared" si="150"/>
        <v>Other</v>
      </c>
      <c r="AH232" s="86" t="str">
        <f t="shared" si="136"/>
        <v>"%USERPROFILE%\Documents\GitHub\eaglep3\Utilities\RefineRTDCRunTimes.py" --tripid 58-09 --locoid 4064 --swversion DE.1.0.9.0 --startMP 300:58611 --initTime 2017-03-10T02:42:30 --startdatetime 2017-03-10T02:44:08 --delay 1 --endMP 300:28782 --enddatetime 2017-03-10T02:54:13 --enforcementcount 0 &gt;&gt;C:\Users\stu\Documents\GitHub\eaglep3-reporting\EC\2017-03-10-refined-times.txt</v>
      </c>
      <c r="AI232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{"issue":{"subject":"","project_id":79,"tracker_id":40,"status_id":1,"priority_id":2,"assigned_to_id":23,"start_date":"2017-03-10","description":"","custom_fields":[{"id":1,"name":"Subdivision","value":"Other"},{"id":4,"name":"Milepost","value":"2.8782"},{"id":17,"name":"Train ID","value":"58-09"},{"id":16,"name":"Locomotive ID","value":"4064"},{"id":130,"name":"Impact","value":""},{"id":150,"name":"Time of Event (Mountain Time)","value":"02:54:13"},{"id":151,"name":"Denver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138"/>
        <v>start /low /b %USERPROFILE%\Documents\GitHub\eaglep3\Utilities\DownloadLogsFromS3.py --loco 4064 --day 2017-03-10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2017-03-10-UncaughtWiMAX.txt</v>
      </c>
    </row>
    <row r="233" spans="1:40" x14ac:dyDescent="0.25">
      <c r="A233" s="33" t="s">
        <v>749</v>
      </c>
      <c r="B233" s="7">
        <v>4041</v>
      </c>
      <c r="C233" s="21" t="s">
        <v>239</v>
      </c>
      <c r="D233" s="21" t="s">
        <v>919</v>
      </c>
      <c r="E233" s="13">
        <v>42804.742905092593</v>
      </c>
      <c r="F233" s="13">
        <v>42804.745671296296</v>
      </c>
      <c r="G233" s="7">
        <v>3</v>
      </c>
      <c r="H233" s="21" t="s">
        <v>920</v>
      </c>
      <c r="I233" s="13">
        <v>42804.751469907409</v>
      </c>
      <c r="J233" s="7">
        <v>0</v>
      </c>
      <c r="K233" s="98" t="str">
        <f t="shared" si="141"/>
        <v>4041/4042</v>
      </c>
      <c r="L233" s="21" t="str">
        <f>VLOOKUP(A233,'Trips&amp;Operators'!$C$1:$G$99999,5,FALSE)</f>
        <v>SWANSON BRYCE</v>
      </c>
      <c r="M233" s="6">
        <f t="shared" si="142"/>
        <v>5.7986111132777296E-3</v>
      </c>
      <c r="N233" s="7">
        <f t="shared" si="143"/>
        <v>8.3500000031199306</v>
      </c>
      <c r="O233" s="7"/>
      <c r="P233" s="7"/>
      <c r="Q233" s="22"/>
      <c r="R233" s="22"/>
      <c r="S233" s="31">
        <f t="shared" si="144"/>
        <v>0</v>
      </c>
      <c r="T233" s="46" t="e">
        <f t="shared" si="145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133"/>
        <v>https://d0f6bd738d7f1b3e5a7ca70fe4ff75f0.us-east-1.aws.found.io/app/kibana#/discover/Steve-Slow-Train-Analysis-(2080s-and-2083s)?_g=(refreshInterval:(display:Off,pause:!f,section:0,value:0),time:(from:'2017-03-10T16:49:47-0700',mode:absolute,to:'2017-03-10T19:02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3" s="187" t="str">
        <f t="shared" si="146"/>
        <v>Y</v>
      </c>
      <c r="X233" s="187" t="e">
        <f t="shared" si="139"/>
        <v>#VALUE!</v>
      </c>
      <c r="Y233" s="62">
        <f t="shared" si="147"/>
        <v>2.3380999999999998</v>
      </c>
      <c r="Z233" s="62">
        <f t="shared" si="140"/>
        <v>1.2800000000000001E-2</v>
      </c>
      <c r="AA233" s="62">
        <f t="shared" si="148"/>
        <v>2.3252999999999999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149"/>
        <v>70-10</v>
      </c>
      <c r="AE233" s="85" t="str">
        <f t="shared" si="134"/>
        <v>aws s3 cp s3://rtdc.mdm.uploadarchive.raw/RTDC4041/ "%USERPROFILE%\AppData\Local\Temp\OnboardLogs"\RTDC4041\2017-03-10 --exclude "*" --recursive --include "*20170310*" &amp; "%USERPROFILE%\Documents\GitHub\mrs-test-scripts\Headless Mode &amp; Sideloading\WalkAndUnGZ.bat" "%USERPROFILE%\AppData\Local\Temp\OnboardLogs"\RTDC4041\2017-03-10 &amp; aws s3 cp s3://rtdc.mdm.uploadarchive.raw/RTDC4041/ "%USERPROFILE%\AppData\Local\Temp\OnboardLogs"\RTDC4041\2017-03-11 --exclude "*" --recursive --include "*20170311*" &amp; "%USERPROFILE%\Documents\GitHub\mrs-test-scripts\Headless Mode &amp; Sideloading\WalkAndUnGZ.bat" "%USERPROFILE%\AppData\Local\Temp\OnboardLogs"\RTDC4041\2017-03-11</v>
      </c>
      <c r="AF233" s="82" t="str">
        <f t="shared" si="135"/>
        <v>"C:\Program Files (x86)\AstroGrep\AstroGrep.exe" /e /r /s /spath="%USERPROFILE%\AppData\Local\Temp\OnboardLogs" /stypes="app*4041*20170311*" /stext=" 01:.+((SYSTEM_STATE.+slice.+state.+changed )|(ment ac)|(multiple cpu faults)|(system.+state.+changed )|(\[timeout)|(PRM\|1\|D)|(kpr)|(kdp)|(\|lc)|(penalty))"</v>
      </c>
      <c r="AG233" s="1" t="str">
        <f t="shared" si="150"/>
        <v>Other</v>
      </c>
      <c r="AH233" s="86" t="str">
        <f t="shared" si="136"/>
        <v>"%USERPROFILE%\Documents\GitHub\eaglep3\Utilities\RefineRTDCRunTimes.py" --tripid 70-10 --locoid 4041 --swversion DE.1.0.9.0 --startMP 300:23381 --initTime 2017-03-10T17:49:47 --startdatetime 2017-03-10T17:53:46 --delay 3 --endMP 204:128 --enddatetime 2017-03-10T18:02:07 --enforcementcount 0 &gt;&gt;C:\Users\stu\Documents\GitHub\eaglep3-reporting\EC\2017-03-10-refined-times.txt</v>
      </c>
      <c r="AI233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{"issue":{"subject":"","project_id":79,"tracker_id":40,"status_id":1,"priority_id":2,"assigned_to_id":23,"start_date":"2017-03-10","description":"","custom_fields":[{"id":1,"name":"Subdivision","value":"Other"},{"id":4,"name":"Milepost","value":"0.0128"},{"id":17,"name":"Train ID","value":"70-10"},{"id":16,"name":"Locomotive ID","value":"4041"},{"id":130,"name":"Impact","value":""},{"id":150,"name":"Time of Event (Mountain Time)","value":"18:02:07"},{"id":151,"name":"Denver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138"/>
        <v>start /low /b %USERPROFILE%\Documents\GitHub\eaglep3\Utilities\DownloadLogsFromS3.py --loco 4041 --day 2017-03-10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"%USERPROFILE%\AppData\Local\Temp\OnboardLogs"\RTDC4041\*4041*20170311* | grep -SE "(Enforcement Action)|(\[TIMEOUT)|(CHR.+\|PRM\|1\|D.+(SWITCH|SIGNAL).+UNKNOWN)" - &gt;&gt; 2017-03-10-UncaughtWiMAX.txt</v>
      </c>
    </row>
    <row r="234" spans="1:40" x14ac:dyDescent="0.25">
      <c r="A234" s="33" t="s">
        <v>750</v>
      </c>
      <c r="B234" s="7">
        <v>4019</v>
      </c>
      <c r="C234" s="21" t="s">
        <v>239</v>
      </c>
      <c r="D234" s="21" t="s">
        <v>921</v>
      </c>
      <c r="E234" s="13">
        <v>42804.745567129627</v>
      </c>
      <c r="F234" s="13">
        <v>42804.748229166667</v>
      </c>
      <c r="G234" s="7">
        <v>3</v>
      </c>
      <c r="H234" s="21" t="s">
        <v>922</v>
      </c>
      <c r="I234" s="13">
        <v>42804.757395833331</v>
      </c>
      <c r="J234" s="7">
        <v>0</v>
      </c>
      <c r="K234" s="98" t="str">
        <f t="shared" si="141"/>
        <v>4019/4020</v>
      </c>
      <c r="L234" s="21" t="str">
        <f>VLOOKUP(A234,'Trips&amp;Operators'!$C$1:$G$99999,5,FALSE)</f>
        <v>SAFIEF AEIMEN</v>
      </c>
      <c r="M234" s="6">
        <f t="shared" si="142"/>
        <v>9.1666666630771942E-3</v>
      </c>
      <c r="N234" s="7">
        <f t="shared" si="143"/>
        <v>13.19999999483116</v>
      </c>
      <c r="O234" s="7"/>
      <c r="P234" s="7"/>
      <c r="Q234" s="22"/>
      <c r="R234" s="22"/>
      <c r="S234" s="31">
        <f t="shared" si="144"/>
        <v>0</v>
      </c>
      <c r="T234" s="46" t="e">
        <f t="shared" si="145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133"/>
        <v>https://d0f6bd738d7f1b3e5a7ca70fe4ff75f0.us-east-1.aws.found.io/app/kibana#/discover/Steve-Slow-Train-Analysis-(2080s-and-2083s)?_g=(refreshInterval:(display:Off,pause:!f,section:0,value:0),time:(from:'2017-03-10T16:53:37-0700',mode:absolute,to:'2017-03-10T19:10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4" s="187" t="str">
        <f t="shared" si="146"/>
        <v>Y</v>
      </c>
      <c r="X234" s="187" t="e">
        <f t="shared" si="139"/>
        <v>#VALUE!</v>
      </c>
      <c r="Y234" s="62">
        <f t="shared" si="147"/>
        <v>2.3477999999999999</v>
      </c>
      <c r="Z234" s="62">
        <f t="shared" si="140"/>
        <v>0.1033</v>
      </c>
      <c r="AA234" s="62">
        <f t="shared" si="148"/>
        <v>2.2444999999999999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149"/>
        <v>76-10</v>
      </c>
      <c r="AE234" s="85" t="str">
        <f t="shared" si="134"/>
        <v>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 &amp; aws s3 cp s3://rtdc.mdm.uploadarchive.raw/RTDC4019/ "%USERPROFILE%\AppData\Local\Temp\OnboardLogs"\RTDC4019\2017-03-11 --exclude "*" --recursive --include "*20170311*" &amp; "%USERPROFILE%\Documents\GitHub\mrs-test-scripts\Headless Mode &amp; Sideloading\WalkAndUnGZ.bat" "%USERPROFILE%\AppData\Local\Temp\OnboardLogs"\RTDC4019\2017-03-11</v>
      </c>
      <c r="AF234" s="82" t="str">
        <f t="shared" si="135"/>
        <v>"C:\Program Files (x86)\AstroGrep\AstroGrep.exe" /e /r /s /spath="%USERPROFILE%\AppData\Local\Temp\OnboardLogs" /stypes="app*4019*20170311*" /stext=" 01:.+((SYSTEM_STATE.+slice.+state.+changed )|(ment ac)|(multiple cpu faults)|(system.+state.+changed )|(\[timeout)|(PRM\|1\|D)|(kpr)|(kdp)|(\|lc)|(penalty))"</v>
      </c>
      <c r="AG234" s="1" t="str">
        <f t="shared" si="150"/>
        <v>Other</v>
      </c>
      <c r="AH234" s="86" t="str">
        <f t="shared" si="136"/>
        <v>"%USERPROFILE%\Documents\GitHub\eaglep3\Utilities\RefineRTDCRunTimes.py" --tripid 76-10 --locoid 4019 --swversion DE.1.0.9.0 --startMP 300:23478 --initTime 2017-03-10T17:53:37 --startdatetime 2017-03-10T17:57:27 --delay 3 --endMP 204:1033 --enddatetime 2017-03-10T18:10:39 --enforcementcount 0 &gt;&gt;C:\Users\stu\Documents\GitHub\eaglep3-reporting\EC\2017-03-10-refined-times.txt</v>
      </c>
      <c r="AI234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{"issue":{"subject":"","project_id":79,"tracker_id":40,"status_id":1,"priority_id":2,"assigned_to_id":23,"start_date":"2017-03-10","description":"","custom_fields":[{"id":1,"name":"Subdivision","value":"Other"},{"id":4,"name":"Milepost","value":"0.1033"},{"id":17,"name":"Train ID","value":"76-10"},{"id":16,"name":"Locomotive ID","value":"4019"},{"id":130,"name":"Impact","value":""},{"id":150,"name":"Time of Event (Mountain Time)","value":"18:10:39"},{"id":151,"name":"Denver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138"/>
        <v>start /low /b %USERPROFILE%\Documents\GitHub\eaglep3\Utilities\DownloadLogsFromS3.py --loco 4019 --day 2017-03-10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"%USERPROFILE%\AppData\Local\Temp\OnboardLogs"\RTDC4019\*4019*20170311* | grep -SE "(Enforcement Action)|(\[TIMEOUT)|(CHR.+\|PRM\|1\|D.+(SWITCH|SIGNAL).+UNKNOWN)" - &gt;&gt; 2017-03-10-UncaughtWiMAX.txt</v>
      </c>
    </row>
    <row r="235" spans="1:40" x14ac:dyDescent="0.25">
      <c r="A235" s="33" t="s">
        <v>779</v>
      </c>
      <c r="B235" s="7">
        <v>4064</v>
      </c>
      <c r="C235" s="21" t="s">
        <v>239</v>
      </c>
      <c r="D235" s="21" t="s">
        <v>521</v>
      </c>
      <c r="E235" s="13">
        <v>42805.000335648147</v>
      </c>
      <c r="F235" s="13">
        <v>42805.001377314817</v>
      </c>
      <c r="G235" s="7">
        <v>1</v>
      </c>
      <c r="H235" s="21" t="s">
        <v>923</v>
      </c>
      <c r="I235" s="13">
        <v>42805.035370370373</v>
      </c>
      <c r="J235" s="7">
        <v>0</v>
      </c>
      <c r="K235" s="98" t="str">
        <f t="shared" si="141"/>
        <v>4063/4064</v>
      </c>
      <c r="L235" s="21" t="str">
        <f>VLOOKUP(A235,'Trips&amp;Operators'!$C$1:$G$99999,5,FALSE)</f>
        <v>DUNCAN SHEILA</v>
      </c>
      <c r="M235" s="6">
        <f t="shared" si="142"/>
        <v>3.3993055556493346E-2</v>
      </c>
      <c r="N235" s="7">
        <f t="shared" si="143"/>
        <v>48.950000001350418</v>
      </c>
      <c r="O235" s="7"/>
      <c r="P235" s="7"/>
      <c r="Q235" s="22"/>
      <c r="R235" s="22"/>
      <c r="S235" s="31">
        <f t="shared" si="144"/>
        <v>0</v>
      </c>
      <c r="T235" s="46" t="e">
        <f t="shared" si="145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133"/>
        <v>https://d0f6bd738d7f1b3e5a7ca70fe4ff75f0.us-east-1.aws.found.io/app/kibana#/discover/Steve-Slow-Train-Analysis-(2080s-and-2083s)?_g=(refreshInterval:(display:Off,pause:!f,section:0,value:0),time:(from:'2017-03-10T23:00:29-0700',mode:absolute,to:'2017-03-11T01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5" s="187" t="str">
        <f t="shared" si="146"/>
        <v>N</v>
      </c>
      <c r="X235" s="187" t="e">
        <f t="shared" si="139"/>
        <v>#VALUE!</v>
      </c>
      <c r="Y235" s="62">
        <f t="shared" si="147"/>
        <v>23.296700000000001</v>
      </c>
      <c r="Z235" s="62">
        <f t="shared" si="140"/>
        <v>1.44E-2</v>
      </c>
      <c r="AA235" s="62">
        <f t="shared" si="148"/>
        <v>23.282300000000003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149"/>
        <v>80-10</v>
      </c>
      <c r="AE235" s="85" t="str">
        <f t="shared" si="134"/>
        <v>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 &amp; 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</v>
      </c>
      <c r="AF235" s="82" t="str">
        <f t="shared" si="135"/>
        <v>"C:\Program Files (x86)\AstroGrep\AstroGrep.exe" /e /r /s /spath="%USERPROFILE%\AppData\Local\Temp\OnboardLogs" /stypes="app*4064*20170311*" /stext=" 07:.+((SYSTEM_STATE.+slice.+state.+changed )|(ment ac)|(multiple cpu faults)|(system.+state.+changed )|(\[timeout)|(PRM\|1\|D)|(kpr)|(kdp)|(\|lc)|(penalty))"</v>
      </c>
      <c r="AG235" s="1" t="str">
        <f t="shared" si="150"/>
        <v>Other</v>
      </c>
      <c r="AH235" s="86" t="str">
        <f t="shared" si="136"/>
        <v>"%USERPROFILE%\Documents\GitHub\eaglep3\Utilities\RefineRTDCRunTimes.py" --tripid 80-10 --locoid 4064 --swversion DE.1.0.9.0 --startMP 204:232967 --initTime 2017-03-11T00:00:29 --startdatetime 2017-03-11T00:01:59 --delay 1 --endMP 204:144 --enddatetime 2017-03-11T00:50:56 --enforcementcount 0 &gt;&gt;C:\Users\stu\Documents\GitHub\eaglep3-reporting\EC\2017-03-10-refined-times.txt</v>
      </c>
      <c r="AI235" s="108" t="str">
        <f t="shared" si="137"/>
        <v>echo {"issue":{"subject":"","project_id":79,"tracker_id":40,"status_id":1,"priority_id":2,"assigned_to_id":23,"start_date":"2017-03-11","description":"","custom_fields":[{"id":1,"name":"Subdivision","value":"Other"},{"id":4,"name":"Milepost","value":"0.0144"},{"id":17,"name":"Train ID","value":"80-10"},{"id":16,"name":"Locomotive ID","value":"4064"},{"id":130,"name":"Impact","value":""},{"id":150,"name":"Time of Event (Mountain Time)","value":"00:50:56"},{"id":151,"name":"Denver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138"/>
        <v>start /low /b %USERPROFILE%\Documents\GitHub\eaglep3\Utilities\DownloadLogsFromS3.py --loco 4064 --day 2017-03-11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"%USERPROFILE%\AppData\Local\Temp\OnboardLogs"\RTDC4064\*4064*20170311* | grep -SE "(Enforcement Action)|(\[TIMEOUT)|(CHR.+\|PRM\|1\|D.+(SWITCH|SIGNAL).+UNKNOWN)" - &gt;&gt; 2017-03-10-UncaughtWiMAX.txt</v>
      </c>
    </row>
    <row r="236" spans="1:40" x14ac:dyDescent="0.25">
      <c r="A236" s="33" t="s">
        <v>779</v>
      </c>
      <c r="B236" s="7">
        <v>4064</v>
      </c>
      <c r="C236" s="21" t="s">
        <v>239</v>
      </c>
      <c r="D236" s="21" t="s">
        <v>481</v>
      </c>
      <c r="E236" s="13">
        <v>42804.915081018517</v>
      </c>
      <c r="F236" s="13">
        <v>42804.916192129633</v>
      </c>
      <c r="G236" s="7">
        <v>1</v>
      </c>
      <c r="H236" s="21" t="s">
        <v>924</v>
      </c>
      <c r="I236" s="13">
        <v>42804.953923611109</v>
      </c>
      <c r="J236" s="7">
        <v>0</v>
      </c>
      <c r="K236" s="98" t="str">
        <f t="shared" si="141"/>
        <v>4063/4064</v>
      </c>
      <c r="L236" s="21" t="str">
        <f>VLOOKUP(A236,'Trips&amp;Operators'!$C$1:$G$99999,5,FALSE)</f>
        <v>DUNCAN SHEILA</v>
      </c>
      <c r="M236" s="6">
        <f t="shared" si="142"/>
        <v>3.7731481475930195E-2</v>
      </c>
      <c r="N236" s="7">
        <f t="shared" si="143"/>
        <v>54.333333325339481</v>
      </c>
      <c r="O236" s="7"/>
      <c r="P236" s="7"/>
      <c r="Q236" s="22"/>
      <c r="R236" s="22"/>
      <c r="S236" s="31">
        <f t="shared" si="144"/>
        <v>0</v>
      </c>
      <c r="T236" s="46" t="e">
        <f t="shared" si="145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133"/>
        <v>https://d0f6bd738d7f1b3e5a7ca70fe4ff75f0.us-east-1.aws.found.io/app/kibana#/discover/Steve-Slow-Train-Analysis-(2080s-and-2083s)?_g=(refreshInterval:(display:Off,pause:!f,section:0,value:0),time:(from:'2017-03-10T20:57:43-0700',mode:absolute,to:'2017-03-10T23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6" s="187" t="str">
        <f t="shared" si="146"/>
        <v>N</v>
      </c>
      <c r="X236" s="187" t="e">
        <f t="shared" si="139"/>
        <v>#VALUE!</v>
      </c>
      <c r="Y236" s="62">
        <f t="shared" si="147"/>
        <v>23.299600000000002</v>
      </c>
      <c r="Z236" s="62">
        <f t="shared" si="140"/>
        <v>0.11840000000000001</v>
      </c>
      <c r="AA236" s="62">
        <f t="shared" si="148"/>
        <v>23.1812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149"/>
        <v>80-10</v>
      </c>
      <c r="AE236" s="85" t="str">
        <f t="shared" si="134"/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6" s="82" t="str">
        <f t="shared" si="135"/>
        <v>"C:\Program Files (x86)\AstroGrep\AstroGrep.exe" /e /r /s /spath="%USERPROFILE%\AppData\Local\Temp\OnboardLogs" /stypes="app*4064*20170311*" /stext=" 05:.+((SYSTEM_STATE.+slice.+state.+changed )|(ment ac)|(multiple cpu faults)|(system.+state.+changed )|(\[timeout)|(PRM\|1\|D)|(kpr)|(kdp)|(\|lc)|(penalty))"</v>
      </c>
      <c r="AG236" s="1" t="str">
        <f t="shared" si="150"/>
        <v>Other</v>
      </c>
      <c r="AH236" s="86" t="str">
        <f t="shared" si="136"/>
        <v>"%USERPROFILE%\Documents\GitHub\eaglep3\Utilities\RefineRTDCRunTimes.py" --tripid 80-10 --locoid 4064 --swversion DE.1.0.9.0 --startMP 204:232996 --initTime 2017-03-10T21:57:43 --startdatetime 2017-03-10T21:59:19 --delay 1 --endMP 204:1184 --enddatetime 2017-03-10T22:53:39 --enforcementcount 0 &gt;&gt;C:\Users\stu\Documents\GitHub\eaglep3-reporting\EC\2017-03-10-refined-times.txt</v>
      </c>
      <c r="AI236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{"issue":{"subject":"","project_id":79,"tracker_id":40,"status_id":1,"priority_id":2,"assigned_to_id":23,"start_date":"2017-03-10","description":"","custom_fields":[{"id":1,"name":"Subdivision","value":"Other"},{"id":4,"name":"Milepost","value":"0.1184"},{"id":17,"name":"Train ID","value":"80-10"},{"id":16,"name":"Locomotive ID","value":"4064"},{"id":130,"name":"Impact","value":""},{"id":150,"name":"Time of Event (Mountain Time)","value":"22:53:39"},{"id":151,"name":"Denver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138"/>
        <v>start /low /b %USERPROFILE%\Documents\GitHub\eaglep3\Utilities\DownloadLogsFromS3.py --loco 4064 --day 2017-03-10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"%USERPROFILE%\AppData\Local\Temp\OnboardLogs"\RTDC4064\*4064*20170311* | grep -SE "(Enforcement Action)|(\[TIMEOUT)|(CHR.+\|PRM\|1\|D.+(SWITCH|SIGNAL).+UNKNOWN)" - &gt;&gt; 2017-03-10-UncaughtWiMAX.txt</v>
      </c>
    </row>
    <row r="237" spans="1:40" x14ac:dyDescent="0.25">
      <c r="A237" s="33" t="s">
        <v>779</v>
      </c>
      <c r="B237" s="7">
        <v>4064</v>
      </c>
      <c r="C237" s="21" t="s">
        <v>239</v>
      </c>
      <c r="D237" s="21" t="s">
        <v>925</v>
      </c>
      <c r="E237" s="13">
        <v>42804.854803240742</v>
      </c>
      <c r="F237" s="13">
        <v>42804.860844907409</v>
      </c>
      <c r="G237" s="7">
        <v>8</v>
      </c>
      <c r="H237" s="21" t="s">
        <v>926</v>
      </c>
      <c r="I237" s="13">
        <v>42804.868379629632</v>
      </c>
      <c r="J237" s="7">
        <v>0</v>
      </c>
      <c r="K237" s="98" t="str">
        <f t="shared" si="141"/>
        <v>4063/4064</v>
      </c>
      <c r="L237" s="21" t="str">
        <f>VLOOKUP(A237,'Trips&amp;Operators'!$C$1:$G$99999,5,FALSE)</f>
        <v>DUNCAN SHEILA</v>
      </c>
      <c r="M237" s="6">
        <f t="shared" si="142"/>
        <v>7.5347222227719612E-3</v>
      </c>
      <c r="N237" s="7">
        <f t="shared" si="143"/>
        <v>10.850000000791624</v>
      </c>
      <c r="O237" s="7"/>
      <c r="P237" s="7"/>
      <c r="Q237" s="22"/>
      <c r="R237" s="22"/>
      <c r="S237" s="31">
        <f t="shared" si="144"/>
        <v>0</v>
      </c>
      <c r="T237" s="46" t="e">
        <f t="shared" si="145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133"/>
        <v>https://d0f6bd738d7f1b3e5a7ca70fe4ff75f0.us-east-1.aws.found.io/app/kibana#/discover/Steve-Slow-Train-Analysis-(2080s-and-2083s)?_g=(refreshInterval:(display:Off,pause:!f,section:0,value:0),time:(from:'2017-03-10T19:30:55-0700',mode:absolute,to:'2017-03-10T21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7" s="187" t="str">
        <f t="shared" si="146"/>
        <v>Y</v>
      </c>
      <c r="X237" s="187" t="e">
        <f t="shared" si="139"/>
        <v>#VALUE!</v>
      </c>
      <c r="Y237" s="62">
        <f t="shared" si="147"/>
        <v>2.3359999999999999</v>
      </c>
      <c r="Z237" s="62">
        <f t="shared" si="140"/>
        <v>9.0999999999999998E-2</v>
      </c>
      <c r="AA237" s="62">
        <f t="shared" si="148"/>
        <v>2.2449999999999997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149"/>
        <v>80-10</v>
      </c>
      <c r="AE237" s="85" t="str">
        <f t="shared" si="134"/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7" s="82" t="str">
        <f t="shared" si="135"/>
        <v>"C:\Program Files (x86)\AstroGrep\AstroGrep.exe" /e /r /s /spath="%USERPROFILE%\AppData\Local\Temp\OnboardLogs" /stypes="app*4064*20170311*" /stext=" 03:.+((SYSTEM_STATE.+slice.+state.+changed )|(ment ac)|(multiple cpu faults)|(system.+state.+changed )|(\[timeout)|(PRM\|1\|D)|(kpr)|(kdp)|(\|lc)|(penalty))"</v>
      </c>
      <c r="AG237" s="1" t="str">
        <f t="shared" si="150"/>
        <v>Other</v>
      </c>
      <c r="AH237" s="86" t="str">
        <f t="shared" si="136"/>
        <v>"%USERPROFILE%\Documents\GitHub\eaglep3\Utilities\RefineRTDCRunTimes.py" --tripid 80-10 --locoid 4064 --swversion DE.1.0.9.0 --startMP 300:23360 --initTime 2017-03-10T20:30:55 --startdatetime 2017-03-10T20:39:37 --delay 8 --endMP 204:910 --enddatetime 2017-03-10T20:50:28 --enforcementcount 0 &gt;&gt;C:\Users\stu\Documents\GitHub\eaglep3-reporting\EC\2017-03-10-refined-times.txt</v>
      </c>
      <c r="AI237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{"issue":{"subject":"","project_id":79,"tracker_id":40,"status_id":1,"priority_id":2,"assigned_to_id":23,"start_date":"2017-03-10","description":"","custom_fields":[{"id":1,"name":"Subdivision","value":"Other"},{"id":4,"name":"Milepost","value":"0.091"},{"id":17,"name":"Train ID","value":"80-10"},{"id":16,"name":"Locomotive ID","value":"4064"},{"id":130,"name":"Impact","value":""},{"id":150,"name":"Time of Event (Mountain Time)","value":"20:50:28"},{"id":151,"name":"Denver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138"/>
        <v>start /low /b %USERPROFILE%\Documents\GitHub\eaglep3\Utilities\DownloadLogsFromS3.py --loco 4064 --day 2017-03-10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"%USERPROFILE%\AppData\Local\Temp\OnboardLogs"\RTDC4064\*4064*20170311* | grep -SE "(Enforcement Action)|(\[TIMEOUT)|(CHR.+\|PRM\|1\|D.+(SWITCH|SIGNAL).+UNKNOWN)" - &gt;&gt; 2017-03-10-UncaughtWiMAX.txt</v>
      </c>
    </row>
    <row r="238" spans="1:40" x14ac:dyDescent="0.25">
      <c r="A238" s="33" t="s">
        <v>779</v>
      </c>
      <c r="B238" s="7">
        <v>4064</v>
      </c>
      <c r="C238" s="21" t="s">
        <v>239</v>
      </c>
      <c r="D238" s="21" t="s">
        <v>927</v>
      </c>
      <c r="E238" s="13">
        <v>42805.051631944443</v>
      </c>
      <c r="F238" s="13">
        <v>42805.052997685183</v>
      </c>
      <c r="G238" s="7">
        <v>1</v>
      </c>
      <c r="H238" s="21" t="s">
        <v>488</v>
      </c>
      <c r="I238" s="13">
        <v>42805.064131944448</v>
      </c>
      <c r="J238" s="7">
        <v>0</v>
      </c>
      <c r="K238" s="98" t="str">
        <f t="shared" si="141"/>
        <v>4063/4064</v>
      </c>
      <c r="L238" s="21" t="str">
        <f>VLOOKUP(A238,'Trips&amp;Operators'!$C$1:$G$99999,5,FALSE)</f>
        <v>DUNCAN SHEILA</v>
      </c>
      <c r="M238" s="6">
        <f t="shared" si="142"/>
        <v>1.1134259264508728E-2</v>
      </c>
      <c r="N238" s="7">
        <f t="shared" si="143"/>
        <v>16.033333340892568</v>
      </c>
      <c r="O238" s="7"/>
      <c r="P238" s="7"/>
      <c r="Q238" s="22"/>
      <c r="R238" s="22"/>
      <c r="S238" s="31">
        <f t="shared" si="144"/>
        <v>0</v>
      </c>
      <c r="T238" s="46" t="e">
        <f t="shared" si="145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133"/>
        <v>https://d0f6bd738d7f1b3e5a7ca70fe4ff75f0.us-east-1.aws.found.io/app/kibana#/discover/Steve-Slow-Train-Analysis-(2080s-and-2083s)?_g=(refreshInterval:(display:Off,pause:!f,section:0,value:0),time:(from:'2017-03-11T00:14:21-0700',mode:absolute,to:'2017-03-11T02:32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8" s="187" t="str">
        <f t="shared" si="146"/>
        <v>N</v>
      </c>
      <c r="X238" s="187" t="e">
        <f t="shared" si="139"/>
        <v>#VALUE!</v>
      </c>
      <c r="Y238" s="62">
        <f t="shared" si="147"/>
        <v>5.8615000000000004</v>
      </c>
      <c r="Z238" s="62">
        <f t="shared" si="140"/>
        <v>0.1027</v>
      </c>
      <c r="AA238" s="62">
        <f t="shared" si="148"/>
        <v>5.7588000000000008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149"/>
        <v>80-10</v>
      </c>
      <c r="AE238" s="85" t="str">
        <f t="shared" si="134"/>
        <v>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 &amp; 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</v>
      </c>
      <c r="AF238" s="82" t="str">
        <f t="shared" si="135"/>
        <v>"C:\Program Files (x86)\AstroGrep\AstroGrep.exe" /e /r /s /spath="%USERPROFILE%\AppData\Local\Temp\OnboardLogs" /stypes="app*4064*20170311*" /stext=" 08:.+((SYSTEM_STATE.+slice.+state.+changed )|(ment ac)|(multiple cpu faults)|(system.+state.+changed )|(\[timeout)|(PRM\|1\|D)|(kpr)|(kdp)|(\|lc)|(penalty))"</v>
      </c>
      <c r="AG238" s="1" t="str">
        <f t="shared" si="150"/>
        <v>Other</v>
      </c>
      <c r="AH238" s="86" t="str">
        <f t="shared" si="136"/>
        <v>"%USERPROFILE%\Documents\GitHub\eaglep3\Utilities\RefineRTDCRunTimes.py" --tripid 80-10 --locoid 4064 --swversion DE.1.0.9.0 --startMP 300:58615 --initTime 2017-03-11T01:14:21 --startdatetime 2017-03-11T01:16:19 --delay 1 --endMP 204:1027 --enddatetime 2017-03-11T01:32:21 --enforcementcount 0 &gt;&gt;C:\Users\stu\Documents\GitHub\eaglep3-reporting\EC\2017-03-10-refined-times.txt</v>
      </c>
      <c r="AI238" s="108" t="str">
        <f t="shared" si="137"/>
        <v>echo {"issue":{"subject":"","project_id":79,"tracker_id":40,"status_id":1,"priority_id":2,"assigned_to_id":23,"start_date":"2017-03-11","description":"","custom_fields":[{"id":1,"name":"Subdivision","value":"Other"},{"id":4,"name":"Milepost","value":"0.1027"},{"id":17,"name":"Train ID","value":"80-10"},{"id":16,"name":"Locomotive ID","value":"4064"},{"id":130,"name":"Impact","value":""},{"id":150,"name":"Time of Event (Mountain Time)","value":"01:32:21"},{"id":151,"name":"Denver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138"/>
        <v>start /low /b %USERPROFILE%\Documents\GitHub\eaglep3\Utilities\DownloadLogsFromS3.py --loco 4064 --day 2017-03-11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"%USERPROFILE%\AppData\Local\Temp\OnboardLogs"\RTDC4064\*4064*20170311* | grep -SE "(Enforcement Action)|(\[TIMEOUT)|(CHR.+\|PRM\|1\|D.+(SWITCH|SIGNAL).+UNKNOWN)" - &gt;&gt; 2017-03-10-UncaughtWiMAX.txt</v>
      </c>
    </row>
    <row r="239" spans="1:40" x14ac:dyDescent="0.25">
      <c r="A239" s="33" t="s">
        <v>779</v>
      </c>
      <c r="B239" s="7">
        <v>4064</v>
      </c>
      <c r="C239" s="21" t="s">
        <v>239</v>
      </c>
      <c r="D239" s="21" t="s">
        <v>928</v>
      </c>
      <c r="E239" s="13">
        <v>42805.078888888886</v>
      </c>
      <c r="F239" s="13">
        <v>42805.08053240741</v>
      </c>
      <c r="G239" s="7">
        <v>2</v>
      </c>
      <c r="H239" s="21" t="s">
        <v>929</v>
      </c>
      <c r="I239" s="13">
        <v>42805.095057870371</v>
      </c>
      <c r="J239" s="7">
        <v>0</v>
      </c>
      <c r="K239" s="98" t="str">
        <f t="shared" si="141"/>
        <v>4063/4064</v>
      </c>
      <c r="L239" s="21" t="str">
        <f>VLOOKUP(A239,'Trips&amp;Operators'!$C$1:$G$99999,5,FALSE)</f>
        <v>DUNCAN SHEILA</v>
      </c>
      <c r="M239" s="6">
        <f t="shared" si="142"/>
        <v>1.452546296059154E-2</v>
      </c>
      <c r="N239" s="7">
        <f t="shared" si="143"/>
        <v>20.916666663251817</v>
      </c>
      <c r="O239" s="7"/>
      <c r="P239" s="7"/>
      <c r="Q239" s="22"/>
      <c r="R239" s="22"/>
      <c r="S239" s="31">
        <f t="shared" si="144"/>
        <v>0</v>
      </c>
      <c r="T239" s="46" t="e">
        <f t="shared" si="145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133"/>
        <v>https://d0f6bd738d7f1b3e5a7ca70fe4ff75f0.us-east-1.aws.found.io/app/kibana#/discover/Steve-Slow-Train-Analysis-(2080s-and-2083s)?_g=(refreshInterval:(display:Off,pause:!f,section:0,value:0),time:(from:'2017-03-11T00:53:36-0700',mode:absolute,to:'2017-03-11T03:16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9" s="187" t="str">
        <f t="shared" si="146"/>
        <v>N</v>
      </c>
      <c r="X239" s="187" t="e">
        <f t="shared" si="139"/>
        <v>#VALUE!</v>
      </c>
      <c r="Y239" s="62">
        <f t="shared" si="147"/>
        <v>5.8616999999999999</v>
      </c>
      <c r="Z239" s="62">
        <f t="shared" si="140"/>
        <v>9.7299999999999998E-2</v>
      </c>
      <c r="AA239" s="62">
        <f t="shared" si="148"/>
        <v>5.7644000000000002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149"/>
        <v>80-10</v>
      </c>
      <c r="AE239" s="85" t="str">
        <f t="shared" si="134"/>
        <v>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 &amp; 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</v>
      </c>
      <c r="AF239" s="82" t="str">
        <f t="shared" si="135"/>
        <v>"C:\Program Files (x86)\AstroGrep\AstroGrep.exe" /e /r /s /spath="%USERPROFILE%\AppData\Local\Temp\OnboardLogs" /stypes="app*4064*20170311*" /stext=" 09:.+((SYSTEM_STATE.+slice.+state.+changed )|(ment ac)|(multiple cpu faults)|(system.+state.+changed )|(\[timeout)|(PRM\|1\|D)|(kpr)|(kdp)|(\|lc)|(penalty))"</v>
      </c>
      <c r="AG239" s="1" t="str">
        <f t="shared" si="150"/>
        <v>Other</v>
      </c>
      <c r="AH239" s="86" t="str">
        <f t="shared" si="136"/>
        <v>"%USERPROFILE%\Documents\GitHub\eaglep3\Utilities\RefineRTDCRunTimes.py" --tripid 80-10 --locoid 4064 --swversion DE.1.0.9.0 --startMP 300:58617 --initTime 2017-03-11T01:53:36 --startdatetime 2017-03-11T01:55:58 --delay 2 --endMP 204:973 --enddatetime 2017-03-11T02:16:53 --enforcementcount 0 &gt;&gt;C:\Users\stu\Documents\GitHub\eaglep3-reporting\EC\2017-03-10-refined-times.txt</v>
      </c>
      <c r="AI239" s="108" t="str">
        <f t="shared" si="137"/>
        <v>echo {"issue":{"subject":"","project_id":79,"tracker_id":40,"status_id":1,"priority_id":2,"assigned_to_id":23,"start_date":"2017-03-11","description":"","custom_fields":[{"id":1,"name":"Subdivision","value":"Other"},{"id":4,"name":"Milepost","value":"0.0973"},{"id":17,"name":"Train ID","value":"80-10"},{"id":16,"name":"Locomotive ID","value":"4064"},{"id":130,"name":"Impact","value":""},{"id":150,"name":"Time of Event (Mountain Time)","value":"02:16:53"},{"id":151,"name":"Denver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138"/>
        <v>start /low /b %USERPROFILE%\Documents\GitHub\eaglep3\Utilities\DownloadLogsFromS3.py --loco 4064 --day 2017-03-11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"%USERPROFILE%\AppData\Local\Temp\OnboardLogs"\RTDC4064\*4064*20170311* | grep -SE "(Enforcement Action)|(\[TIMEOUT)|(CHR.+\|PRM\|1\|D.+(SWITCH|SIGNAL).+UNKNOWN)" - &gt;&gt; 2017-03-10-UncaughtWiMAX.txt</v>
      </c>
    </row>
    <row r="240" spans="1:40" x14ac:dyDescent="0.25">
      <c r="A240" s="33" t="s">
        <v>785</v>
      </c>
      <c r="B240" s="7">
        <v>4063</v>
      </c>
      <c r="C240" s="21" t="s">
        <v>239</v>
      </c>
      <c r="D240" s="21" t="s">
        <v>943</v>
      </c>
      <c r="E240" s="13">
        <v>42804.871087962965</v>
      </c>
      <c r="F240" s="13">
        <v>42804.872129629628</v>
      </c>
      <c r="G240" s="7">
        <v>1</v>
      </c>
      <c r="H240" s="21" t="s">
        <v>252</v>
      </c>
      <c r="I240" s="13">
        <v>42804.91375</v>
      </c>
      <c r="J240" s="7">
        <v>0</v>
      </c>
      <c r="K240" s="98" t="str">
        <f t="shared" si="141"/>
        <v>4063/4064</v>
      </c>
      <c r="L240" s="21" t="str">
        <f>VLOOKUP(A240,'Trips&amp;Operators'!$C$1:$G$99999,5,FALSE)</f>
        <v>DUNCAN SHEILA</v>
      </c>
      <c r="M240" s="6">
        <f t="shared" si="142"/>
        <v>4.1620370371674653E-2</v>
      </c>
      <c r="N240" s="7">
        <f t="shared" si="143"/>
        <v>59.933333335211501</v>
      </c>
      <c r="O240" s="7"/>
      <c r="P240" s="7"/>
      <c r="Q240" s="22"/>
      <c r="R240" s="22"/>
      <c r="S240" s="31">
        <f t="shared" si="144"/>
        <v>0</v>
      </c>
      <c r="T240" s="46" t="e">
        <f t="shared" si="145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133"/>
        <v>https://d0f6bd738d7f1b3e5a7ca70fe4ff75f0.us-east-1.aws.found.io/app/kibana#/discover/Steve-Slow-Train-Analysis-(2080s-and-2083s)?_g=(refreshInterval:(display:Off,pause:!f,section:0,value:0),time:(from:'2017-03-10T19:54:22-0700',mode:absolute,to:'2017-03-10T22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0" s="187" t="str">
        <f t="shared" si="146"/>
        <v>N</v>
      </c>
      <c r="X240" s="187" t="e">
        <f t="shared" si="139"/>
        <v>#VALUE!</v>
      </c>
      <c r="Y240" s="62">
        <f t="shared" si="147"/>
        <v>0.124</v>
      </c>
      <c r="Z240" s="62">
        <f t="shared" si="140"/>
        <v>23.331199999999999</v>
      </c>
      <c r="AA240" s="62">
        <f t="shared" si="148"/>
        <v>23.2072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149"/>
        <v>81-10</v>
      </c>
      <c r="AE240" s="85" t="str">
        <f t="shared" si="134"/>
        <v>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 &amp; 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</v>
      </c>
      <c r="AF240" s="82" t="str">
        <f t="shared" si="135"/>
        <v>"C:\Program Files (x86)\AstroGrep\AstroGrep.exe" /e /r /s /spath="%USERPROFILE%\AppData\Local\Temp\OnboardLogs" /stypes="app*4063*20170311*" /stext=" 04:.+((SYSTEM_STATE.+slice.+state.+changed )|(ment ac)|(multiple cpu faults)|(system.+state.+changed )|(\[timeout)|(PRM\|1\|D)|(kpr)|(kdp)|(\|lc)|(penalty))"</v>
      </c>
      <c r="AG240" s="1" t="str">
        <f t="shared" si="150"/>
        <v>Other</v>
      </c>
      <c r="AH240" s="86" t="str">
        <f t="shared" si="136"/>
        <v>"%USERPROFILE%\Documents\GitHub\eaglep3\Utilities\RefineRTDCRunTimes.py" --tripid 81-10 --locoid 4063 --swversion DE.1.0.9.0 --startMP 204:1240 --initTime 2017-03-10T20:54:22 --startdatetime 2017-03-10T20:55:52 --delay 1 --endMP 204:233312 --enddatetime 2017-03-10T21:55:48 --enforcementcount 0 &gt;&gt;C:\Users\stu\Documents\GitHub\eaglep3-reporting\EC\2017-03-10-refined-times.txt</v>
      </c>
      <c r="AI240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{"issue":{"subject":"","project_id":79,"tracker_id":40,"status_id":1,"priority_id":2,"assigned_to_id":23,"start_date":"2017-03-10","description":"","custom_fields":[{"id":1,"name":"Subdivision","value":"Other"},{"id":4,"name":"Milepost","value":"23.3312"},{"id":17,"name":"Train ID","value":"81-10"},{"id":16,"name":"Locomotive ID","value":"4063"},{"id":130,"name":"Impact","value":""},{"id":150,"name":"Time of Event (Mountain Time)","value":"21:55:48"},{"id":151,"name":"Denver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138"/>
        <v>start /low /b %USERPROFILE%\Documents\GitHub\eaglep3\Utilities\DownloadLogsFromS3.py --loco 4063 --day 2017-03-10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"%USERPROFILE%\AppData\Local\Temp\OnboardLogs"\RTDC4063\*4063*20170311* | grep -SE "(Enforcement Action)|(\[TIMEOUT)|(CHR.+\|PRM\|1\|D.+(SWITCH|SIGNAL).+UNKNOWN)" - &gt;&gt; 2017-03-10-UncaughtWiMAX.txt</v>
      </c>
    </row>
    <row r="241" spans="1:40" x14ac:dyDescent="0.25">
      <c r="A241" s="33" t="s">
        <v>785</v>
      </c>
      <c r="B241" s="7">
        <v>4063</v>
      </c>
      <c r="C241" s="21" t="s">
        <v>239</v>
      </c>
      <c r="D241" s="21" t="s">
        <v>944</v>
      </c>
      <c r="E241" s="13">
        <v>42805.097812499997</v>
      </c>
      <c r="F241" s="13">
        <v>42805.098773148151</v>
      </c>
      <c r="G241" s="7">
        <v>1</v>
      </c>
      <c r="H241" s="21" t="s">
        <v>908</v>
      </c>
      <c r="I241" s="13">
        <v>42805.107662037037</v>
      </c>
      <c r="J241" s="7">
        <v>0</v>
      </c>
      <c r="K241" s="98" t="str">
        <f t="shared" si="141"/>
        <v>4063/4064</v>
      </c>
      <c r="L241" s="21" t="str">
        <f>VLOOKUP(A241,'Trips&amp;Operators'!$C$1:$G$99999,5,FALSE)</f>
        <v>DUNCAN SHEILA</v>
      </c>
      <c r="M241" s="6">
        <f t="shared" si="142"/>
        <v>8.8888888858491555E-3</v>
      </c>
      <c r="N241" s="7">
        <f t="shared" si="143"/>
        <v>12.799999995622784</v>
      </c>
      <c r="O241" s="7"/>
      <c r="P241" s="7"/>
      <c r="Q241" s="22"/>
      <c r="R241" s="22"/>
      <c r="S241" s="31">
        <f t="shared" si="144"/>
        <v>0</v>
      </c>
      <c r="T241" s="46" t="e">
        <f t="shared" si="145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133"/>
        <v>https://d0f6bd738d7f1b3e5a7ca70fe4ff75f0.us-east-1.aws.found.io/app/kibana#/discover/Steve-Slow-Train-Analysis-(2080s-and-2083s)?_g=(refreshInterval:(display:Off,pause:!f,section:0,value:0),time:(from:'2017-03-11T01:20:51-0700',mode:absolute,to:'2017-03-11T03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1" s="187" t="str">
        <f t="shared" si="146"/>
        <v>Y</v>
      </c>
      <c r="X241" s="187" t="e">
        <f t="shared" si="139"/>
        <v>#VALUE!</v>
      </c>
      <c r="Y241" s="62">
        <f t="shared" si="147"/>
        <v>0.12920000000000001</v>
      </c>
      <c r="Z241" s="62">
        <f t="shared" si="140"/>
        <v>2.3298999999999999</v>
      </c>
      <c r="AA241" s="62">
        <f t="shared" si="148"/>
        <v>2.2006999999999999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149"/>
        <v>81-10</v>
      </c>
      <c r="AE241" s="85" t="str">
        <f t="shared" si="134"/>
        <v>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 &amp; 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</v>
      </c>
      <c r="AF241" s="82" t="str">
        <f t="shared" si="135"/>
        <v>"C:\Program Files (x86)\AstroGrep\AstroGrep.exe" /e /r /s /spath="%USERPROFILE%\AppData\Local\Temp\OnboardLogs" /stypes="app*4063*20170311*" /stext=" 09:.+((SYSTEM_STATE.+slice.+state.+changed )|(ment ac)|(multiple cpu faults)|(system.+state.+changed )|(\[timeout)|(PRM\|1\|D)|(kpr)|(kdp)|(\|lc)|(penalty))"</v>
      </c>
      <c r="AG241" s="1" t="str">
        <f t="shared" si="150"/>
        <v>Other</v>
      </c>
      <c r="AH241" s="86" t="str">
        <f t="shared" si="136"/>
        <v>"%USERPROFILE%\Documents\GitHub\eaglep3\Utilities\RefineRTDCRunTimes.py" --tripid 81-10 --locoid 4063 --swversion DE.1.0.9.0 --startMP 204:1292 --initTime 2017-03-11T02:20:51 --startdatetime 2017-03-11T02:22:14 --delay 1 --endMP 300:23299 --enddatetime 2017-03-11T02:35:02 --enforcementcount 0 &gt;&gt;C:\Users\stu\Documents\GitHub\eaglep3-reporting\EC\2017-03-10-refined-times.txt</v>
      </c>
      <c r="AI241" s="108" t="str">
        <f t="shared" si="137"/>
        <v>echo {"issue":{"subject":"","project_id":79,"tracker_id":40,"status_id":1,"priority_id":2,"assigned_to_id":23,"start_date":"2017-03-11","description":"","custom_fields":[{"id":1,"name":"Subdivision","value":"Other"},{"id":4,"name":"Milepost","value":"2.3299"},{"id":17,"name":"Train ID","value":"81-10"},{"id":16,"name":"Locomotive ID","value":"4063"},{"id":130,"name":"Impact","value":""},{"id":150,"name":"Time of Event (Mountain Time)","value":"02:35:02"},{"id":151,"name":"Denver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138"/>
        <v>start /low /b %USERPROFILE%\Documents\GitHub\eaglep3\Utilities\DownloadLogsFromS3.py --loco 4063 --day 2017-03-11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"%USERPROFILE%\AppData\Local\Temp\OnboardLogs"\RTDC4063\*4063*20170311* | grep -SE "(Enforcement Action)|(\[TIMEOUT)|(CHR.+\|PRM\|1\|D.+(SWITCH|SIGNAL).+UNKNOWN)" - &gt;&gt; 2017-03-10-UncaughtWiMAX.txt</v>
      </c>
    </row>
    <row r="242" spans="1:40" x14ac:dyDescent="0.25">
      <c r="A242" s="33" t="s">
        <v>785</v>
      </c>
      <c r="B242" s="7">
        <v>4063</v>
      </c>
      <c r="C242" s="21" t="s">
        <v>239</v>
      </c>
      <c r="D242" s="21" t="s">
        <v>945</v>
      </c>
      <c r="E242" s="13">
        <v>42805.064814814818</v>
      </c>
      <c r="F242" s="13">
        <v>42805.065648148149</v>
      </c>
      <c r="G242" s="7">
        <v>1</v>
      </c>
      <c r="H242" s="21" t="s">
        <v>946</v>
      </c>
      <c r="I242" s="13">
        <v>42805.078055555554</v>
      </c>
      <c r="J242" s="7">
        <v>0</v>
      </c>
      <c r="K242" s="98" t="str">
        <f t="shared" si="141"/>
        <v>4063/4064</v>
      </c>
      <c r="L242" s="21" t="str">
        <f>VLOOKUP(A242,'Trips&amp;Operators'!$C$1:$G$99999,5,FALSE)</f>
        <v>DUNCAN SHEILA</v>
      </c>
      <c r="M242" s="6">
        <f t="shared" si="142"/>
        <v>1.2407407404680271E-2</v>
      </c>
      <c r="N242" s="7">
        <f t="shared" si="143"/>
        <v>17.86666666273959</v>
      </c>
      <c r="O242" s="7"/>
      <c r="P242" s="7"/>
      <c r="Q242" s="22"/>
      <c r="R242" s="22"/>
      <c r="S242" s="31">
        <f t="shared" si="144"/>
        <v>0</v>
      </c>
      <c r="T242" s="46" t="e">
        <f t="shared" si="145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133"/>
        <v>https://d0f6bd738d7f1b3e5a7ca70fe4ff75f0.us-east-1.aws.found.io/app/kibana#/discover/Steve-Slow-Train-Analysis-(2080s-and-2083s)?_g=(refreshInterval:(display:Off,pause:!f,section:0,value:0),time:(from:'2017-03-11T00:33:20-0700',mode:absolute,to:'2017-03-11T02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2" s="187" t="str">
        <f t="shared" si="146"/>
        <v>N</v>
      </c>
      <c r="X242" s="187" t="e">
        <f t="shared" si="139"/>
        <v>#VALUE!</v>
      </c>
      <c r="Y242" s="62">
        <f t="shared" si="147"/>
        <v>0.13289999999999999</v>
      </c>
      <c r="Z242" s="62">
        <f t="shared" si="140"/>
        <v>5.8933</v>
      </c>
      <c r="AA242" s="62">
        <f t="shared" si="148"/>
        <v>5.7603999999999997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149"/>
        <v>81-10</v>
      </c>
      <c r="AE242" s="85" t="str">
        <f t="shared" si="134"/>
        <v>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 &amp; 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</v>
      </c>
      <c r="AF242" s="82" t="str">
        <f t="shared" si="135"/>
        <v>"C:\Program Files (x86)\AstroGrep\AstroGrep.exe" /e /r /s /spath="%USERPROFILE%\AppData\Local\Temp\OnboardLogs" /stypes="app*4063*20170311*" /stext=" 08:.+((SYSTEM_STATE.+slice.+state.+changed )|(ment ac)|(multiple cpu faults)|(system.+state.+changed )|(\[timeout)|(PRM\|1\|D)|(kpr)|(kdp)|(\|lc)|(penalty))"</v>
      </c>
      <c r="AG242" s="1" t="str">
        <f t="shared" si="150"/>
        <v>Other</v>
      </c>
      <c r="AH242" s="86" t="str">
        <f t="shared" si="136"/>
        <v>"%USERPROFILE%\Documents\GitHub\eaglep3\Utilities\RefineRTDCRunTimes.py" --tripid 81-10 --locoid 4063 --swversion DE.1.0.9.0 --startMP 204:1329 --initTime 2017-03-11T01:33:20 --startdatetime 2017-03-11T01:34:32 --delay 1 --endMP 300:58933 --enddatetime 2017-03-11T01:52:24 --enforcementcount 0 &gt;&gt;C:\Users\stu\Documents\GitHub\eaglep3-reporting\EC\2017-03-10-refined-times.txt</v>
      </c>
      <c r="AI242" s="108" t="str">
        <f t="shared" si="137"/>
        <v>echo {"issue":{"subject":"","project_id":79,"tracker_id":40,"status_id":1,"priority_id":2,"assigned_to_id":23,"start_date":"2017-03-11","description":"","custom_fields":[{"id":1,"name":"Subdivision","value":"Other"},{"id":4,"name":"Milepost","value":"5.8933"},{"id":17,"name":"Train ID","value":"81-10"},{"id":16,"name":"Locomotive ID","value":"4063"},{"id":130,"name":"Impact","value":""},{"id":150,"name":"Time of Event (Mountain Time)","value":"01:52:24"},{"id":151,"name":"Denver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138"/>
        <v>start /low /b %USERPROFILE%\Documents\GitHub\eaglep3\Utilities\DownloadLogsFromS3.py --loco 4063 --day 2017-03-11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"%USERPROFILE%\AppData\Local\Temp\OnboardLogs"\RTDC4063\*4063*20170311* | grep -SE "(Enforcement Action)|(\[TIMEOUT)|(CHR.+\|PRM\|1\|D.+(SWITCH|SIGNAL).+UNKNOWN)" - &gt;&gt; 2017-03-10-UncaughtWiMAX.txt</v>
      </c>
    </row>
    <row r="243" spans="1:40" x14ac:dyDescent="0.25">
      <c r="A243" s="33" t="s">
        <v>785</v>
      </c>
      <c r="B243" s="7">
        <v>4063</v>
      </c>
      <c r="C243" s="21" t="s">
        <v>239</v>
      </c>
      <c r="D243" s="21" t="s">
        <v>947</v>
      </c>
      <c r="E243" s="13">
        <v>42804.955879629626</v>
      </c>
      <c r="F243" s="13">
        <v>42804.95689814815</v>
      </c>
      <c r="G243" s="7">
        <v>1</v>
      </c>
      <c r="H243" s="21" t="s">
        <v>260</v>
      </c>
      <c r="I243" s="13">
        <v>42804.995937500003</v>
      </c>
      <c r="J243" s="7">
        <v>0</v>
      </c>
      <c r="K243" s="98" t="str">
        <f t="shared" si="141"/>
        <v>4063/4064</v>
      </c>
      <c r="L243" s="21" t="str">
        <f>VLOOKUP(A243,'Trips&amp;Operators'!$C$1:$G$99999,5,FALSE)</f>
        <v>DUNCAN SHEILA</v>
      </c>
      <c r="M243" s="6">
        <f t="shared" si="142"/>
        <v>3.9039351853716653E-2</v>
      </c>
      <c r="N243" s="7">
        <f t="shared" si="143"/>
        <v>56.21666666935198</v>
      </c>
      <c r="O243" s="7"/>
      <c r="P243" s="7"/>
      <c r="Q243" s="22"/>
      <c r="R243" s="22"/>
      <c r="S243" s="31">
        <f t="shared" si="144"/>
        <v>0</v>
      </c>
      <c r="T243" s="46" t="e">
        <f t="shared" si="145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133"/>
        <v>https://d0f6bd738d7f1b3e5a7ca70fe4ff75f0.us-east-1.aws.found.io/app/kibana#/discover/Steve-Slow-Train-Analysis-(2080s-and-2083s)?_g=(refreshInterval:(display:Off,pause:!f,section:0,value:0),time:(from:'2017-03-10T21:56:28-0700',mode:absolute,to:'2017-03-11T00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3" s="187" t="str">
        <f t="shared" si="146"/>
        <v>N</v>
      </c>
      <c r="X243" s="187" t="e">
        <f t="shared" si="139"/>
        <v>#VALUE!</v>
      </c>
      <c r="Y243" s="62">
        <f t="shared" si="147"/>
        <v>0.15029999999999999</v>
      </c>
      <c r="Z243" s="62">
        <f t="shared" si="140"/>
        <v>23.329499999999999</v>
      </c>
      <c r="AA243" s="62">
        <f t="shared" si="148"/>
        <v>23.179199999999998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149"/>
        <v>81-10</v>
      </c>
      <c r="AE243" s="85" t="str">
        <f t="shared" si="134"/>
        <v>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 &amp; 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</v>
      </c>
      <c r="AF243" s="82" t="str">
        <f t="shared" si="135"/>
        <v>"C:\Program Files (x86)\AstroGrep\AstroGrep.exe" /e /r /s /spath="%USERPROFILE%\AppData\Local\Temp\OnboardLogs" /stypes="app*4063*20170311*" /stext=" 06:.+((SYSTEM_STATE.+slice.+state.+changed )|(ment ac)|(multiple cpu faults)|(system.+state.+changed )|(\[timeout)|(PRM\|1\|D)|(kpr)|(kdp)|(\|lc)|(penalty))"</v>
      </c>
      <c r="AG243" s="1" t="str">
        <f t="shared" si="150"/>
        <v>Other</v>
      </c>
      <c r="AH243" s="86" t="str">
        <f t="shared" si="136"/>
        <v>"%USERPROFILE%\Documents\GitHub\eaglep3\Utilities\RefineRTDCRunTimes.py" --tripid 81-10 --locoid 4063 --swversion DE.1.0.9.0 --startMP 204:1503 --initTime 2017-03-10T22:56:28 --startdatetime 2017-03-10T22:57:56 --delay 1 --endMP 204:233295 --enddatetime 2017-03-10T23:54:09 --enforcementcount 0 &gt;&gt;C:\Users\stu\Documents\GitHub\eaglep3-reporting\EC\2017-03-10-refined-times.txt</v>
      </c>
      <c r="AI243" s="108" t="str">
        <f t="shared" si="137"/>
        <v>echo {"issue":{"subject":"","project_id":79,"tracker_id":40,"status_id":1,"priority_id":2,"assigned_to_id":23,"start_date":"2017-03-10","description":"","custom_fields":[{"id":1,"name":"Subdivision","value":"Other"},{"id":4,"name":"Milepost","value":"23.3295"},{"id":17,"name":"Train ID","value":"81-10"},{"id":16,"name":"Locomotive ID","value":"4063"},{"id":130,"name":"Impact","value":""},{"id":150,"name":"Time of Event (Mountain Time)","value":"23:54:09"},{"id":151,"name":"Denver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138"/>
        <v>start /low /b %USERPROFILE%\Documents\GitHub\eaglep3\Utilities\DownloadLogsFromS3.py --loco 4063 --day 2017-03-10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"%USERPROFILE%\AppData\Local\Temp\OnboardLogs"\RTDC4063\*4063*20170311* | grep -SE "(Enforcement Action)|(\[TIMEOUT)|(CHR.+\|PRM\|1\|D.+(SWITCH|SIGNAL).+UNKNOWN)" - &gt;&gt; 2017-03-10-UncaughtWiMAX.txt</v>
      </c>
    </row>
    <row r="244" spans="1:40" x14ac:dyDescent="0.25">
      <c r="A244" s="33" t="s">
        <v>785</v>
      </c>
      <c r="B244" s="7">
        <v>4063</v>
      </c>
      <c r="C244" s="21" t="s">
        <v>239</v>
      </c>
      <c r="D244" s="21" t="s">
        <v>234</v>
      </c>
      <c r="E244" s="13">
        <v>42805.036423611113</v>
      </c>
      <c r="F244" s="13">
        <v>42805.038391203707</v>
      </c>
      <c r="G244" s="7">
        <v>2</v>
      </c>
      <c r="H244" s="21" t="s">
        <v>540</v>
      </c>
      <c r="I244" s="13">
        <v>42805.050023148149</v>
      </c>
      <c r="J244" s="7">
        <v>0</v>
      </c>
      <c r="K244" s="98" t="str">
        <f t="shared" si="141"/>
        <v>4063/4064</v>
      </c>
      <c r="L244" s="21" t="str">
        <f>VLOOKUP(A244,'Trips&amp;Operators'!$C$1:$G$99999,5,FALSE)</f>
        <v>DUNCAN SHEILA</v>
      </c>
      <c r="M244" s="6">
        <f t="shared" si="142"/>
        <v>1.1631944442342501E-2</v>
      </c>
      <c r="N244" s="7">
        <f t="shared" si="143"/>
        <v>16.749999996973202</v>
      </c>
      <c r="O244" s="7"/>
      <c r="P244" s="7"/>
      <c r="Q244" s="22"/>
      <c r="R244" s="22"/>
      <c r="S244" s="31">
        <f t="shared" si="144"/>
        <v>0</v>
      </c>
      <c r="T244" s="46" t="e">
        <f t="shared" si="145"/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 t="shared" si="133"/>
        <v>https://d0f6bd738d7f1b3e5a7ca70fe4ff75f0.us-east-1.aws.found.io/app/kibana#/discover/Steve-Slow-Train-Analysis-(2080s-and-2083s)?_g=(refreshInterval:(display:Off,pause:!f,section:0,value:0),time:(from:'2017-03-10T23:52:27-0700',mode:absolute,to:'2017-03-11T02:12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4" s="187" t="str">
        <f t="shared" si="146"/>
        <v>N</v>
      </c>
      <c r="X244" s="187" t="e">
        <f t="shared" si="139"/>
        <v>#VALUE!</v>
      </c>
      <c r="Y244" s="62">
        <f t="shared" si="147"/>
        <v>4.6600000000000003E-2</v>
      </c>
      <c r="Z244" s="62">
        <f t="shared" si="140"/>
        <v>5.8928000000000003</v>
      </c>
      <c r="AA244" s="62">
        <f t="shared" si="148"/>
        <v>5.8462000000000005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149"/>
        <v>81-10</v>
      </c>
      <c r="AE244" s="85" t="str">
        <f t="shared" si="134"/>
        <v>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 &amp; 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</v>
      </c>
      <c r="AF244" s="82" t="str">
        <f t="shared" si="135"/>
        <v>"C:\Program Files (x86)\AstroGrep\AstroGrep.exe" /e /r /s /spath="%USERPROFILE%\AppData\Local\Temp\OnboardLogs" /stypes="app*4063*20170311*" /stext=" 08:.+((SYSTEM_STATE.+slice.+state.+changed )|(ment ac)|(multiple cpu faults)|(system.+state.+changed )|(\[timeout)|(PRM\|1\|D)|(kpr)|(kdp)|(\|lc)|(penalty))"</v>
      </c>
      <c r="AG244" s="1" t="str">
        <f t="shared" si="150"/>
        <v>Other</v>
      </c>
      <c r="AH244" s="86" t="str">
        <f t="shared" si="136"/>
        <v>"%USERPROFILE%\Documents\GitHub\eaglep3\Utilities\RefineRTDCRunTimes.py" --tripid 81-10 --locoid 4063 --swversion DE.1.0.9.0 --startMP 204:466 --initTime 2017-03-11T00:52:27 --startdatetime 2017-03-11T00:55:17 --delay 2 --endMP 300:58928 --enddatetime 2017-03-11T01:12:02 --enforcementcount 0 &gt;&gt;C:\Users\stu\Documents\GitHub\eaglep3-reporting\EC\2017-03-10-refined-times.txt</v>
      </c>
      <c r="AI244" s="108" t="str">
        <f t="shared" si="137"/>
        <v>echo {"issue":{"subject":"","project_id":79,"tracker_id":40,"status_id":1,"priority_id":2,"assigned_to_id":23,"start_date":"2017-03-11","description":"","custom_fields":[{"id":1,"name":"Subdivision","value":"Other"},{"id":4,"name":"Milepost","value":"5.8928"},{"id":17,"name":"Train ID","value":"81-10"},{"id":16,"name":"Locomotive ID","value":"4063"},{"id":130,"name":"Impact","value":""},{"id":150,"name":"Time of Event (Mountain Time)","value":"01:12:02"},{"id":151,"name":"Denver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138"/>
        <v>start /low /b %USERPROFILE%\Documents\GitHub\eaglep3\Utilities\DownloadLogsFromS3.py --loco 4063 --day 2017-03-11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"%USERPROFILE%\AppData\Local\Temp\OnboardLogs"\RTDC4063\*4063*20170311* | grep -SE "(Enforcement Action)|(\[TIMEOUT)|(CHR.+\|PRM\|1\|D.+(SWITCH|SIGNAL).+UNKNOWN)" - &gt;&gt; 2017-03-10-UncaughtWiMAX.txt</v>
      </c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</sheetData>
  <autoFilter ref="A12:AG259">
    <sortState ref="A13:AG258">
      <sortCondition ref="AG13:AG243"/>
      <sortCondition ref="AD13:AD243"/>
    </sortState>
  </autoFilter>
  <sortState ref="A13:AH200">
    <sortCondition ref="AG13:AG200"/>
    <sortCondition ref="AD13:AD200"/>
  </sortState>
  <mergeCells count="1">
    <mergeCell ref="A11:P11"/>
  </mergeCells>
  <conditionalFormatting sqref="W11:W12 W278:X1048576 W13:X244">
    <cfRule type="cellIs" dxfId="10" priority="363" operator="equal">
      <formula>"Y"</formula>
    </cfRule>
  </conditionalFormatting>
  <conditionalFormatting sqref="X278:X1048576 X13:X244">
    <cfRule type="cellIs" dxfId="9" priority="346" operator="greaterThan">
      <formula>1</formula>
    </cfRule>
  </conditionalFormatting>
  <conditionalFormatting sqref="X278:X1048576 X12:X244">
    <cfRule type="cellIs" dxfId="8" priority="343" operator="equal">
      <formula>0</formula>
    </cfRule>
  </conditionalFormatting>
  <conditionalFormatting sqref="A13:S244">
    <cfRule type="expression" dxfId="7" priority="337" stopIfTrue="1">
      <formula>$P13&gt;0</formula>
    </cfRule>
    <cfRule type="expression" dxfId="6" priority="338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Values'!$C$2:$C$15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abSelected="1" topLeftCell="A2" workbookViewId="0">
      <selection activeCell="M17" sqref="M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52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- 2017-03-10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205</v>
      </c>
    </row>
    <row r="7" spans="1:32" s="1" customFormat="1" x14ac:dyDescent="0.25">
      <c r="A7" s="32">
        <v>42804.6716087963</v>
      </c>
      <c r="B7" s="30" t="s">
        <v>593</v>
      </c>
      <c r="C7" s="30" t="s">
        <v>594</v>
      </c>
      <c r="D7" s="30" t="s">
        <v>49</v>
      </c>
      <c r="E7" s="30" t="s">
        <v>195</v>
      </c>
      <c r="F7" s="43">
        <v>120</v>
      </c>
      <c r="G7" s="43">
        <v>207</v>
      </c>
      <c r="H7" s="43">
        <v>26763</v>
      </c>
      <c r="I7" s="43">
        <v>27122</v>
      </c>
      <c r="J7" s="30" t="s">
        <v>196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-36.432000000000002</v>
      </c>
      <c r="N7" s="145" t="str">
        <f>VLOOKUP(C7,'Trips&amp;Operators'!$C$1:$G$99999,5,FALSE)</f>
        <v>LOPES KIMBERLY</v>
      </c>
      <c r="O7" s="194" t="s">
        <v>185</v>
      </c>
      <c r="P7" s="146" t="s">
        <v>561</v>
      </c>
      <c r="Q7" s="30"/>
      <c r="R7" s="89" t="str">
        <f>IF(VLOOKUP(C7,'Train Runs'!$A$13:$AE$9947,1,1)=C7,VLOOKUP(C7,'Train Runs'!$A$13:$AE$9947,31,1),NA())</f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S7" s="92" t="str">
        <f>IF(VLOOKUP(C7,'Train Runs'!$A$13:$AE$9947,1,1)=C7,VLOOKUP(C7,'Train Runs'!$A$13:$AE$9947,22,1),NA())</f>
        <v>https://d0f6bd738d7f1b3e5a7ca70fe4ff75f0.us-east-1.aws.found.io/app/kibana#/discover/Steve-Slow-Train-Analysis-(2080s-and-2083s)?_g=(refreshInterval:(display:Off,pause:!f,section:0,value:0),time:(from:'2017-03-10T14:55:23-0700',mode:absolute,to:'2017-03-10T17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/stypes="*4027*201703102*" /stext=" 23:.+((SYSTEM_STATE.+slice.+state.+changed )|(ment ac)|(multiple cpu faults)|(system.+state.+changed )|(\[timeout)|(PRM\|1\|D)|(kpr)|(kdp)|(\|lc)|(penalty))"</v>
      </c>
      <c r="U7" s="9" t="str">
        <f t="shared" ref="U7:U38" si="2">MID(B7,13,4)</f>
        <v>4027</v>
      </c>
      <c r="V7" s="32">
        <f t="shared" ref="V7:V38" si="3">A7-utc_offset/24</f>
        <v>42804.963275462964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arrival","project_id":79,"tracker_id":40,"status_id":1,"priority_id":2,"assigned_to_id":23,"start_date":"2017-03-10","description":"","custom_fields":[{"id":1,"name":"Subdivision","value":"EC"},{"id":4,"name":"Milepost","value":"2.7053"},{"id":17,"name":"Train ID","value":"199-10"},{"id":16,"name":"Locomotive ID","value":"4027"},{"id":130,"name":"Impact","value":""},{"id":150,"name":"Time of Event (Mountain Time)","value":"16:07:07"},{"id":151,"name":"Denver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"%USERPROFILE%\AppData\Local\Temp\OnboardLogs"\RTDC4027\*4027*201703102*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"%USERPROFILE%\AppData\Local\Temp\OnboardLogs"\RTDC4027\*4027*201703102* &gt;&gt; 2017-03-10-SliceDisagreementCheck.txt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4027 --day 2017-03-10</v>
      </c>
    </row>
    <row r="8" spans="1:32" s="1" customFormat="1" x14ac:dyDescent="0.25">
      <c r="A8" s="32">
        <v>42804.589872685188</v>
      </c>
      <c r="B8" s="30" t="s">
        <v>190</v>
      </c>
      <c r="C8" s="30" t="s">
        <v>588</v>
      </c>
      <c r="D8" s="30" t="s">
        <v>49</v>
      </c>
      <c r="E8" s="30" t="s">
        <v>195</v>
      </c>
      <c r="F8" s="43">
        <v>350</v>
      </c>
      <c r="G8" s="43">
        <v>404</v>
      </c>
      <c r="H8" s="43">
        <v>33118</v>
      </c>
      <c r="I8" s="43">
        <v>33917</v>
      </c>
      <c r="J8" s="30" t="s">
        <v>196</v>
      </c>
      <c r="K8" s="43">
        <v>33137</v>
      </c>
      <c r="L8" s="143" t="s">
        <v>50</v>
      </c>
      <c r="M8" s="144">
        <f t="shared" si="0"/>
        <v>-411.84</v>
      </c>
      <c r="N8" s="145" t="str">
        <f>VLOOKUP(C8,'Trips&amp;Operators'!$C$1:$G$99999,5,FALSE)</f>
        <v>DELGADO DIANAH</v>
      </c>
      <c r="O8" s="194" t="s">
        <v>185</v>
      </c>
      <c r="P8" s="146" t="s">
        <v>561</v>
      </c>
      <c r="Q8" s="30"/>
      <c r="R8" s="89" t="str">
        <f>IF(VLOOKUP(C8,'Train Runs'!$A$13:$AE$9947,1,1)=C8,VLOOKUP(C8,'Train Runs'!$A$13:$AE$9947,31,1),NA())</f>
        <v>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 &amp; aws s3 cp s3://rtdc.mdm.uploadarchive.raw/RTDC4011/ "%USERPROFILE%\AppData\Local\Temp\OnboardLogs"\RTDC4011\2017-03-11 --exclude "*" --recursive --include "*20170311*" &amp; "%USERPROFILE%\Documents\GitHub\mrs-test-scripts\Headless Mode &amp; Sideloading\WalkAndUnGZ.bat" "%USERPROFILE%\AppData\Local\Temp\OnboardLogs"\RTDC4011\2017-03-11</v>
      </c>
      <c r="S8" s="92" t="str">
        <f>IF(VLOOKUP(C8,'Train Runs'!$A$13:$AE$9947,1,1)=C8,VLOOKUP(C8,'Train Runs'!$A$13:$AE$9947,22,1),NA())</f>
        <v>https://d0f6bd738d7f1b3e5a7ca70fe4ff75f0.us-east-1.aws.found.io/app/kibana#/discover/Steve-Slow-Train-Analysis-(2080s-and-2083s)?_g=(refreshInterval:(display:Off,pause:!f,section:0,value:0),time:(from:'2017-03-10T12:57:26-0700',mode:absolute,to:'2017-03-10T15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94" t="str">
        <f t="shared" si="1"/>
        <v>"C:\Program Files (x86)\AstroGrep\AstroGrep.exe" /e /r /s /spath="%USERPROFILE%\AppData\Local\Temp\OnboardLogs" /stypes="*4011*201703102*" /stext=" 21:.+((SYSTEM_STATE.+slice.+state.+changed )|(ment ac)|(multiple cpu faults)|(system.+state.+changed )|(\[timeout)|(PRM\|1\|D)|(kpr)|(kdp)|(\|lc)|(penalty))"</v>
      </c>
      <c r="U8" s="9" t="str">
        <f t="shared" si="2"/>
        <v>4011</v>
      </c>
      <c r="V8" s="32">
        <f t="shared" si="3"/>
        <v>42804.881539351853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arrival","project_id":79,"tracker_id":40,"status_id":1,"priority_id":2,"assigned_to_id":23,"start_date":"2017-03-10","description":"","custom_fields":[{"id":1,"name":"Subdivision","value":"EC"},{"id":4,"name":"Milepost","value":"3.3137"},{"id":17,"name":"Train ID","value":"183-10"},{"id":16,"name":"Locomotive ID","value":"4011"},{"id":130,"name":"Impact","value":""},{"id":150,"name":"Time of Event (Mountain Time)","value":"14:09:25"},{"id":151,"name":"Denver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"%USERPROFILE%\AppData\Local\Temp\OnboardLogs"\RTDC4011\*4011*201703102*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"%USERPROFILE%\AppData\Local\Temp\OnboardLogs"\RTDC4011\*4011*201703102* &gt;&gt; 2017-03-10-SliceDisagreementCheck.txt</v>
      </c>
      <c r="AE8" s="157" t="str">
        <f t="shared" ref="AE8:AE59" si="9">"start /low /b "&amp;dls3logs&amp;" --loco "&amp;U8&amp;" --day "&amp;TEXT(V8,"YYYY-MM-DD")</f>
        <v>start /low /b %USERPROFILE%\Documents\GitHub\eaglep3\Utilities\DownloadLogsFromS3.py --loco 4011 --day 2017-03-10</v>
      </c>
    </row>
    <row r="9" spans="1:32" s="1" customFormat="1" x14ac:dyDescent="0.25">
      <c r="A9" s="32">
        <v>42804.986388888887</v>
      </c>
      <c r="B9" s="30" t="s">
        <v>593</v>
      </c>
      <c r="C9" s="30" t="s">
        <v>610</v>
      </c>
      <c r="D9" s="30" t="s">
        <v>98</v>
      </c>
      <c r="E9" s="30" t="s">
        <v>195</v>
      </c>
      <c r="F9" s="43">
        <v>350</v>
      </c>
      <c r="G9" s="43">
        <v>401</v>
      </c>
      <c r="H9" s="43">
        <v>33303</v>
      </c>
      <c r="I9" s="43">
        <v>34391</v>
      </c>
      <c r="J9" s="30" t="s">
        <v>196</v>
      </c>
      <c r="K9" s="43">
        <v>33137</v>
      </c>
      <c r="L9" s="143" t="s">
        <v>50</v>
      </c>
      <c r="M9" s="144">
        <f t="shared" si="0"/>
        <v>-662.11200000000008</v>
      </c>
      <c r="N9" s="145" t="str">
        <f>VLOOKUP(C9,'Trips&amp;Operators'!$C$1:$G$99999,5,FALSE)</f>
        <v>STORY SAMANTHA</v>
      </c>
      <c r="O9" s="194" t="s">
        <v>185</v>
      </c>
      <c r="P9" s="146" t="s">
        <v>561</v>
      </c>
      <c r="Q9" s="30"/>
      <c r="R9" s="89" t="str">
        <f>IF(VLOOKUP(C9,'Train Runs'!$A$13:$AE$9947,1,1)=C9,VLOOKUP(C9,'Train Runs'!$A$13:$AE$9947,31,1),NA())</f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S9" s="92" t="str">
        <f>IF(VLOOKUP(C9,'Train Runs'!$A$13:$AE$9947,1,1)=C9,VLOOKUP(C9,'Train Runs'!$A$13:$AE$9947,22,1),NA())</f>
        <v>https://d0f6bd738d7f1b3e5a7ca70fe4ff75f0.us-east-1.aws.found.io/app/kibana#/discover/Steve-Slow-Train-Analysis-(2080s-and-2083s)?_g=(refreshInterval:(display:Off,pause:!f,section:0,value:0),time:(from:'2017-03-10T22:26:56-0700',mode:absolute,to:'2017-03-11T01:17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94" t="str">
        <f t="shared" si="1"/>
        <v>"C:\Program Files (x86)\AstroGrep\AstroGrep.exe" /e /r /s /spath="%USERPROFILE%\AppData\Local\Temp\OnboardLogs" /stypes="*4027*201703110*" /stext=" 06:.+((SYSTEM_STATE.+slice.+state.+changed )|(ment ac)|(multiple cpu faults)|(system.+state.+changed )|(\[timeout)|(PRM\|1\|D)|(kpr)|(kdp)|(\|lc)|(penalty))"</v>
      </c>
      <c r="U9" s="9" t="str">
        <f t="shared" si="2"/>
        <v>4027</v>
      </c>
      <c r="V9" s="32">
        <f t="shared" si="3"/>
        <v>42805.278055555551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arrival","project_id":79,"tracker_id":40,"status_id":1,"priority_id":2,"assigned_to_id":23,"start_date":"2017-03-10","description":"","custom_fields":[{"id":1,"name":"Subdivision","value":"EC"},{"id":4,"name":"Milepost","value":"3.3137"},{"id":17,"name":"Train ID","value":"239-10"},{"id":16,"name":"Locomotive ID","value":"4027"},{"id":130,"name":"Impact","value":""},{"id":150,"name":"Time of Event (Mountain Time)","value":"23:40:24"},{"id":151,"name":"Denver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"%USERPROFILE%\AppData\Local\Temp\OnboardLogs"\RTDC4027\*4027*201703110*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"%USERPROFILE%\AppData\Local\Temp\OnboardLogs"\RTDC4027\*4027*201703110* &gt;&gt; 2017-03-10-SliceDisagreementCheck.txt</v>
      </c>
      <c r="AE9" s="157" t="str">
        <f t="shared" si="9"/>
        <v>start /low /b %USERPROFILE%\Documents\GitHub\eaglep3\Utilities\DownloadLogsFromS3.py --loco 4027 --day 2017-03-11</v>
      </c>
    </row>
    <row r="10" spans="1:32" s="1" customFormat="1" x14ac:dyDescent="0.25">
      <c r="A10" s="32">
        <v>42804.194386574076</v>
      </c>
      <c r="B10" s="30" t="s">
        <v>469</v>
      </c>
      <c r="C10" s="30" t="s">
        <v>566</v>
      </c>
      <c r="D10" s="30" t="s">
        <v>98</v>
      </c>
      <c r="E10" s="30" t="s">
        <v>195</v>
      </c>
      <c r="F10" s="43">
        <v>360</v>
      </c>
      <c r="G10" s="43">
        <v>411</v>
      </c>
      <c r="H10" s="43">
        <v>33251</v>
      </c>
      <c r="I10" s="43">
        <v>34473</v>
      </c>
      <c r="J10" s="30" t="s">
        <v>196</v>
      </c>
      <c r="K10" s="43">
        <v>33137</v>
      </c>
      <c r="L10" s="143" t="s">
        <v>50</v>
      </c>
      <c r="M10" s="144">
        <f t="shared" si="0"/>
        <v>-705.40800000000002</v>
      </c>
      <c r="N10" s="145" t="str">
        <f>VLOOKUP(C10,'Trips&amp;Operators'!$C$1:$G$99999,5,FALSE)</f>
        <v>STARKS ANGELINA</v>
      </c>
      <c r="O10" s="194" t="s">
        <v>185</v>
      </c>
      <c r="P10" s="146" t="s">
        <v>561</v>
      </c>
      <c r="Q10" s="30"/>
      <c r="R10" s="89" t="str">
        <f>IF(VLOOKUP(C10,'Train Runs'!$A$13:$AE$9947,1,1)=C10,VLOOKUP(C10,'Train Runs'!$A$13:$AE$9947,31,1),NA())</f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S10" s="92" t="str">
        <f>IF(VLOOKUP(C10,'Train Runs'!$A$13:$AE$9947,1,1)=C10,VLOOKUP(C10,'Train Runs'!$A$13:$AE$9947,22,1),NA())</f>
        <v>https://d0f6bd738d7f1b3e5a7ca70fe4ff75f0.us-east-1.aws.found.io/app/kibana#/discover/Steve-Slow-Train-Analysis-(2080s-and-2083s)?_g=(refreshInterval:(display:Off,pause:!f,section:0,value:0),time:(from:'2017-03-10T03:26:18-0700',mode:absolute,to:'2017-03-10T06:10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0" s="94" t="str">
        <f t="shared" si="1"/>
        <v>"C:\Program Files (x86)\AstroGrep\AstroGrep.exe" /e /r /s /spath="%USERPROFILE%\AppData\Local\Temp\OnboardLogs" /stypes="*4040*201703101*" /stext=" 11:.+((SYSTEM_STATE.+slice.+state.+changed )|(ment ac)|(multiple cpu faults)|(system.+state.+changed )|(\[timeout)|(PRM\|1\|D)|(kpr)|(kdp)|(\|lc)|(penalty))"</v>
      </c>
      <c r="U10" s="9" t="str">
        <f t="shared" si="2"/>
        <v>4040</v>
      </c>
      <c r="V10" s="32">
        <f t="shared" si="3"/>
        <v>42804.48605324074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arrival","project_id":79,"tracker_id":40,"status_id":1,"priority_id":2,"assigned_to_id":23,"start_date":"2017-03-10","description":"","custom_fields":[{"id":1,"name":"Subdivision","value":"EC"},{"id":4,"name":"Milepost","value":"3.3137"},{"id":17,"name":"Train ID","value":"107-10"},{"id":16,"name":"Locomotive ID","value":"4040"},{"id":130,"name":"Impact","value":""},{"id":150,"name":"Time of Event (Mountain Time)","value":"04:39:55"},{"id":151,"name":"Denver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"%USERPROFILE%\AppData\Local\Temp\OnboardLogs"\RTDC4040\*4040*201703101*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"%USERPROFILE%\AppData\Local\Temp\OnboardLogs"\RTDC4040\*4040*201703101* &gt;&gt; 2017-03-10-SliceDisagreementCheck.txt</v>
      </c>
      <c r="AE10" s="157" t="str">
        <f t="shared" si="9"/>
        <v>start /low /b %USERPROFILE%\Documents\GitHub\eaglep3\Utilities\DownloadLogsFromS3.py --loco 4040 --day 2017-03-10</v>
      </c>
    </row>
    <row r="11" spans="1:32" s="1" customFormat="1" x14ac:dyDescent="0.25">
      <c r="A11" s="32">
        <v>42804.373692129629</v>
      </c>
      <c r="B11" s="30" t="s">
        <v>212</v>
      </c>
      <c r="C11" s="30" t="s">
        <v>573</v>
      </c>
      <c r="D11" s="30" t="s">
        <v>49</v>
      </c>
      <c r="E11" s="30" t="s">
        <v>195</v>
      </c>
      <c r="F11" s="43">
        <v>0</v>
      </c>
      <c r="G11" s="43">
        <v>194</v>
      </c>
      <c r="H11" s="43">
        <v>33301</v>
      </c>
      <c r="I11" s="43">
        <v>33025</v>
      </c>
      <c r="J11" s="30" t="s">
        <v>196</v>
      </c>
      <c r="K11" s="43">
        <v>33257</v>
      </c>
      <c r="L11" s="143" t="s">
        <v>51</v>
      </c>
      <c r="M11" s="144">
        <f t="shared" si="0"/>
        <v>-122.496</v>
      </c>
      <c r="N11" s="145" t="str">
        <f>VLOOKUP(C11,'Trips&amp;Operators'!$C$1:$G$99999,5,FALSE)</f>
        <v>DAVIS WENDY</v>
      </c>
      <c r="O11" s="194" t="s">
        <v>185</v>
      </c>
      <c r="P11" s="146" t="s">
        <v>562</v>
      </c>
      <c r="Q11" s="30"/>
      <c r="R11" s="89" t="str">
        <f>IF(VLOOKUP(C11,'Train Runs'!$A$13:$AE$9947,1,1)=C11,VLOOKUP(C11,'Train Runs'!$A$13:$AE$9947,31,1),NA())</f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S11" s="92" t="str">
        <f>IF(VLOOKUP(C11,'Train Runs'!$A$13:$AE$9947,1,1)=C11,VLOOKUP(C11,'Train Runs'!$A$13:$AE$9947,22,1),NA())</f>
        <v>https://d0f6bd738d7f1b3e5a7ca70fe4ff75f0.us-east-1.aws.found.io/app/kibana#/discover/Steve-Slow-Train-Analysis-(2080s-and-2083s)?_g=(refreshInterval:(display:Off,pause:!f,section:0,value:0),time:(from:'2017-03-10T07:23:51-0700',mode:absolute,to:'2017-03-10T10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1" s="94" t="str">
        <f t="shared" si="1"/>
        <v>"C:\Program Files (x86)\AstroGrep\AstroGrep.exe" /e /r /s /spath="%USERPROFILE%\AppData\Local\Temp\OnboardLogs" /stypes="*4045*201703101*" /stext=" 15:.+((SYSTEM_STATE.+slice.+state.+changed )|(ment ac)|(multiple cpu faults)|(system.+state.+changed )|(\[timeout)|(PRM\|1\|D)|(kpr)|(kdp)|(\|lc)|(penalty))"</v>
      </c>
      <c r="U11" s="9" t="str">
        <f t="shared" si="2"/>
        <v>4045</v>
      </c>
      <c r="V11" s="32">
        <f t="shared" si="3"/>
        <v>42804.665358796294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{"issue":{"subject":"Form C","project_id":79,"tracker_id":40,"status_id":1,"priority_id":2,"assigned_to_id":23,"start_date":"2017-03-10","description":"","custom_fields":[{"id":1,"name":"Subdivision","value":"EC"},{"id":4,"name":"Milepost","value":"3.3257"},{"id":17,"name":"Train ID","value":"132-10"},{"id":16,"name":"Locomotive ID","value":"4045"},{"id":130,"name":"Impact","value":""},{"id":150,"name":"Time of Event (Mountain Time)","value":"08:58:07"},{"id":151,"name":"Denver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"%USERPROFILE%\AppData\Local\Temp\OnboardLogs"\RTDC4045\*4045*201703101*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"%USERPROFILE%\AppData\Local\Temp\OnboardLogs"\RTDC4045\*4045*201703101* &gt;&gt; 2017-03-10-SliceDisagreementCheck.txt</v>
      </c>
      <c r="AE11" s="157" t="str">
        <f t="shared" si="9"/>
        <v>start /low /b %USERPROFILE%\Documents\GitHub\eaglep3\Utilities\DownloadLogsFromS3.py --loco 4045 --day 2017-03-10</v>
      </c>
    </row>
    <row r="12" spans="1:32" s="1" customFormat="1" x14ac:dyDescent="0.25">
      <c r="A12" s="32">
        <v>42804.247476851851</v>
      </c>
      <c r="B12" s="30" t="s">
        <v>465</v>
      </c>
      <c r="C12" s="30" t="s">
        <v>569</v>
      </c>
      <c r="D12" s="30" t="s">
        <v>49</v>
      </c>
      <c r="E12" s="30" t="s">
        <v>195</v>
      </c>
      <c r="F12" s="43">
        <v>20</v>
      </c>
      <c r="G12" s="43">
        <v>73</v>
      </c>
      <c r="H12" s="43">
        <v>43179</v>
      </c>
      <c r="I12" s="43">
        <v>43049</v>
      </c>
      <c r="J12" s="30" t="s">
        <v>196</v>
      </c>
      <c r="K12" s="43">
        <v>42961</v>
      </c>
      <c r="L12" s="143" t="s">
        <v>51</v>
      </c>
      <c r="M12" s="144">
        <f t="shared" si="0"/>
        <v>46.463999999999999</v>
      </c>
      <c r="N12" s="145" t="str">
        <f>VLOOKUP(C12,'Trips&amp;Operators'!$C$1:$G$99999,5,FALSE)</f>
        <v>STARKS ANGELINA</v>
      </c>
      <c r="O12" s="194" t="s">
        <v>185</v>
      </c>
      <c r="P12" s="146" t="s">
        <v>561</v>
      </c>
      <c r="Q12" s="30"/>
      <c r="R12" s="89" t="str">
        <f>IF(VLOOKUP(C12,'Train Runs'!$A$13:$AE$9947,1,1)=C12,VLOOKUP(C12,'Train Runs'!$A$13:$AE$9947,31,1),NA())</f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S12" s="92" t="str">
        <f>IF(VLOOKUP(C12,'Train Runs'!$A$13:$AE$9947,1,1)=C12,VLOOKUP(C12,'Train Runs'!$A$13:$AE$9947,22,1),NA())</f>
        <v>https://d0f6bd738d7f1b3e5a7ca70fe4ff75f0.us-east-1.aws.found.io/app/kibana#/discover/Steve-Slow-Train-Analysis-(2080s-and-2083s)?_g=(refreshInterval:(display:Off,pause:!f,section:0,value:0),time:(from:'2017-03-10T04:22:57-0700',mode:absolute,to:'2017-03-10T07:10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2" s="94" t="str">
        <f t="shared" si="1"/>
        <v>"C:\Program Files (x86)\AstroGrep\AstroGrep.exe" /e /r /s /spath="%USERPROFILE%\AppData\Local\Temp\OnboardLogs" /stypes="*4039*201703101*" /stext=" 12:.+((SYSTEM_STATE.+slice.+state.+changed )|(ment ac)|(multiple cpu faults)|(system.+state.+changed )|(\[timeout)|(PRM\|1\|D)|(kpr)|(kdp)|(\|lc)|(penalty))"</v>
      </c>
      <c r="U12" s="9" t="str">
        <f t="shared" si="2"/>
        <v>4039</v>
      </c>
      <c r="V12" s="32">
        <f t="shared" si="3"/>
        <v>42804.539143518516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arrival","project_id":79,"tracker_id":40,"status_id":1,"priority_id":2,"assigned_to_id":23,"start_date":"2017-03-10","description":"","custom_fields":[{"id":1,"name":"Subdivision","value":"EC"},{"id":4,"name":"Milepost","value":"4.2961"},{"id":17,"name":"Train ID","value":"108-10"},{"id":16,"name":"Locomotive ID","value":"4039"},{"id":130,"name":"Impact","value":""},{"id":150,"name":"Time of Event (Mountain Time)","value":"05:56:22"},{"id":151,"name":"Denver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"%USERPROFILE%\AppData\Local\Temp\OnboardLogs"\RTDC4039\*4039*201703101*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"%USERPROFILE%\AppData\Local\Temp\OnboardLogs"\RTDC4039\*4039*201703101* &gt;&gt; 2017-03-10-SliceDisagreementCheck.txt</v>
      </c>
      <c r="AE12" s="157" t="str">
        <f t="shared" si="9"/>
        <v>start /low /b %USERPROFILE%\Documents\GitHub\eaglep3\Utilities\DownloadLogsFromS3.py --loco 4039 --day 2017-03-10</v>
      </c>
    </row>
    <row r="13" spans="1:32" s="1" customFormat="1" x14ac:dyDescent="0.25">
      <c r="A13" s="32">
        <v>42804.247083333335</v>
      </c>
      <c r="B13" s="30" t="s">
        <v>465</v>
      </c>
      <c r="C13" s="30" t="s">
        <v>569</v>
      </c>
      <c r="D13" s="30" t="s">
        <v>49</v>
      </c>
      <c r="E13" s="30" t="s">
        <v>195</v>
      </c>
      <c r="F13" s="43">
        <v>320</v>
      </c>
      <c r="G13" s="43">
        <v>402</v>
      </c>
      <c r="H13" s="43">
        <v>44552</v>
      </c>
      <c r="I13" s="43">
        <v>43228</v>
      </c>
      <c r="J13" s="30" t="s">
        <v>196</v>
      </c>
      <c r="K13" s="43">
        <v>42961</v>
      </c>
      <c r="L13" s="143" t="s">
        <v>51</v>
      </c>
      <c r="M13" s="144">
        <f t="shared" si="0"/>
        <v>140.976</v>
      </c>
      <c r="N13" s="145" t="str">
        <f>VLOOKUP(C13,'Trips&amp;Operators'!$C$1:$G$99999,5,FALSE)</f>
        <v>STARKS ANGELINA</v>
      </c>
      <c r="O13" s="194" t="s">
        <v>185</v>
      </c>
      <c r="P13" s="146" t="s">
        <v>561</v>
      </c>
      <c r="Q13" s="30"/>
      <c r="R13" s="89" t="str">
        <f>IF(VLOOKUP(C13,'Train Runs'!$A$13:$AE$9947,1,1)=C13,VLOOKUP(C13,'Train Runs'!$A$13:$AE$9947,31,1),NA())</f>
        <v>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 &amp; aws s3 cp s3://rtdc.mdm.uploadarchive.raw/RTDC4039/ "%USERPROFILE%\AppData\Local\Temp\OnboardLogs"\RTDC4039\2017-03-11 --exclude "*" --recursive --include "*20170311*" &amp; "%USERPROFILE%\Documents\GitHub\mrs-test-scripts\Headless Mode &amp; Sideloading\WalkAndUnGZ.bat" "%USERPROFILE%\AppData\Local\Temp\OnboardLogs"\RTDC4039\2017-03-11</v>
      </c>
      <c r="S13" s="92" t="str">
        <f>IF(VLOOKUP(C13,'Train Runs'!$A$13:$AE$9947,1,1)=C13,VLOOKUP(C13,'Train Runs'!$A$13:$AE$9947,22,1),NA())</f>
        <v>https://d0f6bd738d7f1b3e5a7ca70fe4ff75f0.us-east-1.aws.found.io/app/kibana#/discover/Steve-Slow-Train-Analysis-(2080s-and-2083s)?_g=(refreshInterval:(display:Off,pause:!f,section:0,value:0),time:(from:'2017-03-10T04:22:57-0700',mode:absolute,to:'2017-03-10T07:10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94" t="str">
        <f t="shared" si="1"/>
        <v>"C:\Program Files (x86)\AstroGrep\AstroGrep.exe" /e /r /s /spath="%USERPROFILE%\AppData\Local\Temp\OnboardLogs" /stypes="*4039*201703101*" /stext=" 12:.+((SYSTEM_STATE.+slice.+state.+changed )|(ment ac)|(multiple cpu faults)|(system.+state.+changed )|(\[timeout)|(PRM\|1\|D)|(kpr)|(kdp)|(\|lc)|(penalty))"</v>
      </c>
      <c r="U13" s="9" t="str">
        <f t="shared" si="2"/>
        <v>4039</v>
      </c>
      <c r="V13" s="32">
        <f t="shared" si="3"/>
        <v>42804.53875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arrival","project_id":79,"tracker_id":40,"status_id":1,"priority_id":2,"assigned_to_id":23,"start_date":"2017-03-10","description":"","custom_fields":[{"id":1,"name":"Subdivision","value":"EC"},{"id":4,"name":"Milepost","value":"4.2961"},{"id":17,"name":"Train ID","value":"108-10"},{"id":16,"name":"Locomotive ID","value":"4039"},{"id":130,"name":"Impact","value":""},{"id":150,"name":"Time of Event (Mountain Time)","value":"05:55:48"},{"id":151,"name":"Denver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"%USERPROFILE%\AppData\Local\Temp\OnboardLogs"\RTDC4039\*4039*201703101*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"%USERPROFILE%\AppData\Local\Temp\OnboardLogs"\RTDC4039\*4039*201703101* &gt;&gt; 2017-03-10-SliceDisagreementCheck.txt</v>
      </c>
      <c r="AE13" s="157" t="str">
        <f t="shared" si="9"/>
        <v>start /low /b %USERPROFILE%\Documents\GitHub\eaglep3\Utilities\DownloadLogsFromS3.py --loco 4039 --day 2017-03-10</v>
      </c>
    </row>
    <row r="14" spans="1:32" x14ac:dyDescent="0.25">
      <c r="A14" s="32">
        <v>42804.313379629632</v>
      </c>
      <c r="B14" s="30" t="s">
        <v>567</v>
      </c>
      <c r="C14" s="30" t="s">
        <v>571</v>
      </c>
      <c r="D14" s="30" t="s">
        <v>49</v>
      </c>
      <c r="E14" s="30" t="s">
        <v>195</v>
      </c>
      <c r="F14" s="43">
        <v>500</v>
      </c>
      <c r="G14" s="43">
        <v>566</v>
      </c>
      <c r="H14" s="43">
        <v>44439</v>
      </c>
      <c r="I14" s="43">
        <v>42254</v>
      </c>
      <c r="J14" s="30" t="s">
        <v>196</v>
      </c>
      <c r="K14" s="43">
        <v>42961</v>
      </c>
      <c r="L14" s="143" t="s">
        <v>51</v>
      </c>
      <c r="M14" s="144">
        <f t="shared" si="0"/>
        <v>-373.29599999999999</v>
      </c>
      <c r="N14" s="145" t="str">
        <f>VLOOKUP(C14,'Trips&amp;Operators'!$C$1:$G$99999,5,FALSE)</f>
        <v>DAVIS WENDY</v>
      </c>
      <c r="O14" s="194" t="s">
        <v>185</v>
      </c>
      <c r="P14" s="146" t="s">
        <v>561</v>
      </c>
      <c r="Q14" s="30"/>
      <c r="R14" s="89" t="str">
        <f>IF(VLOOKUP(C14,'Train Runs'!$A$13:$AE$9947,1,1)=C14,VLOOKUP(C14,'Train Runs'!$A$13:$AE$9947,31,1),NA())</f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S14" s="92" t="str">
        <f>IF(VLOOKUP(C14,'Train Runs'!$A$13:$AE$9947,1,1)=C14,VLOOKUP(C14,'Train Runs'!$A$13:$AE$9947,22,1),NA())</f>
        <v>https://d0f6bd738d7f1b3e5a7ca70fe4ff75f0.us-east-1.aws.found.io/app/kibana#/discover/Steve-Slow-Train-Analysis-(2080s-and-2083s)?_g=(refreshInterval:(display:Off,pause:!f,section:0,value:0),time:(from:'2017-03-10T06:21:35-0700',mode:absolute,to:'2017-03-10T08:44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4" s="94" t="str">
        <f t="shared" si="1"/>
        <v>"C:\Program Files (x86)\AstroGrep\AstroGrep.exe" /e /r /s /spath="%USERPROFILE%\AppData\Local\Temp\OnboardLogs" /stypes="*4032*201703101*" /stext=" 14:.+((SYSTEM_STATE.+slice.+state.+changed )|(ment ac)|(multiple cpu faults)|(system.+state.+changed )|(\[timeout)|(PRM\|1\|D)|(kpr)|(kdp)|(\|lc)|(penalty))"</v>
      </c>
      <c r="U14" s="9" t="str">
        <f t="shared" si="2"/>
        <v>4032</v>
      </c>
      <c r="V14" s="32">
        <f t="shared" si="3"/>
        <v>42804.605046296296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arrival","project_id":79,"tracker_id":40,"status_id":1,"priority_id":2,"assigned_to_id":23,"start_date":"2017-03-10","description":"","custom_fields":[{"id":1,"name":"Subdivision","value":"EC"},{"id":4,"name":"Milepost","value":"4.2961"},{"id":17,"name":"Train ID","value":"120-10"},{"id":16,"name":"Locomotive ID","value":"4032"},{"id":130,"name":"Impact","value":""},{"id":150,"name":"Time of Event (Mountain Time)","value":"07:31:16"},{"id":151,"name":"Denver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"%USERPROFILE%\AppData\Local\Temp\OnboardLogs"\RTDC4032\*4032*201703101*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"%USERPROFILE%\AppData\Local\Temp\OnboardLogs"\RTDC4032\*4032*201703101* &gt;&gt; 2017-03-10-SliceDisagreementCheck.txt</v>
      </c>
      <c r="AE14" s="157" t="str">
        <f t="shared" si="9"/>
        <v>start /low /b %USERPROFILE%\Documents\GitHub\eaglep3\Utilities\DownloadLogsFromS3.py --loco 4032 --day 2017-03-10</v>
      </c>
      <c r="AF14" s="1"/>
    </row>
    <row r="15" spans="1:32" x14ac:dyDescent="0.25">
      <c r="A15" s="32">
        <v>42804.925104166665</v>
      </c>
      <c r="B15" s="30" t="s">
        <v>401</v>
      </c>
      <c r="C15" s="30" t="s">
        <v>609</v>
      </c>
      <c r="D15" s="30" t="s">
        <v>49</v>
      </c>
      <c r="E15" s="30" t="s">
        <v>195</v>
      </c>
      <c r="F15" s="43">
        <v>0</v>
      </c>
      <c r="G15" s="43">
        <v>229</v>
      </c>
      <c r="H15" s="43">
        <v>47102</v>
      </c>
      <c r="I15" s="43">
        <v>47502</v>
      </c>
      <c r="J15" s="30" t="s">
        <v>196</v>
      </c>
      <c r="K15" s="43">
        <v>47865</v>
      </c>
      <c r="L15" s="143" t="s">
        <v>50</v>
      </c>
      <c r="M15" s="144">
        <f t="shared" si="0"/>
        <v>191.66399999999999</v>
      </c>
      <c r="N15" s="145" t="str">
        <f>VLOOKUP(C15,'Trips&amp;Operators'!$C$1:$G$99999,5,FALSE)</f>
        <v>STAMBAUGH JAMES</v>
      </c>
      <c r="O15" s="194" t="s">
        <v>185</v>
      </c>
      <c r="P15" s="146" t="s">
        <v>562</v>
      </c>
      <c r="Q15" s="30"/>
      <c r="R15" s="89" t="str">
        <f>IF(VLOOKUP(C15,'Train Runs'!$A$13:$AE$9947,1,1)=C15,VLOOKUP(C15,'Train Runs'!$A$13:$AE$9947,31,1),NA())</f>
        <v>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 &amp; 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</v>
      </c>
      <c r="S15" s="92" t="str">
        <f>IF(VLOOKUP(C15,'Train Runs'!$A$13:$AE$9947,1,1)=C15,VLOOKUP(C15,'Train Runs'!$A$13:$AE$9947,22,1),NA())</f>
        <v>https://d0f6bd738d7f1b3e5a7ca70fe4ff75f0.us-east-1.aws.found.io/app/kibana#/discover/Steve-Slow-Train-Analysis-(2080s-and-2083s)?_g=(refreshInterval:(display:Off,pause:!f,section:0,value:0),time:(from:'2017-03-10T20:43:14-0700',mode:absolute,to:'2017-03-10T23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94" t="str">
        <f t="shared" si="1"/>
        <v>"C:\Program Files (x86)\AstroGrep\AstroGrep.exe" /e /r /s /spath="%USERPROFILE%\AppData\Local\Temp\OnboardLogs" /stypes="*4003*201703110*" /stext=" 05:.+((SYSTEM_STATE.+slice.+state.+changed )|(ment ac)|(multiple cpu faults)|(system.+state.+changed )|(\[timeout)|(PRM\|1\|D)|(kpr)|(kdp)|(\|lc)|(penalty))"</v>
      </c>
      <c r="U15" s="9" t="str">
        <f t="shared" si="2"/>
        <v>4003</v>
      </c>
      <c r="V15" s="32">
        <f t="shared" si="3"/>
        <v>42805.216770833329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{"issue":{"subject":"Form C","project_id":79,"tracker_id":40,"status_id":1,"priority_id":2,"assigned_to_id":23,"start_date":"2017-03-10","description":"","custom_fields":[{"id":1,"name":"Subdivision","value":"EC"},{"id":4,"name":"Milepost","value":"4.7865"},{"id":17,"name":"Train ID","value":"233-10"},{"id":16,"name":"Locomotive ID","value":"4003"},{"id":130,"name":"Impact","value":""},{"id":150,"name":"Time of Event (Mountain Time)","value":"22:12:09"},{"id":151,"name":"Denver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"%USERPROFILE%\AppData\Local\Temp\OnboardLogs"\RTDC4003\*4003*201703110*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"%USERPROFILE%\AppData\Local\Temp\OnboardLogs"\RTDC4003\*4003*201703110* &gt;&gt; 2017-03-10-SliceDisagreementCheck.txt</v>
      </c>
      <c r="AE15" s="157" t="str">
        <f t="shared" si="9"/>
        <v>start /low /b %USERPROFILE%\Documents\GitHub\eaglep3\Utilities\DownloadLogsFromS3.py --loco 4003 --day 2017-03-11</v>
      </c>
      <c r="AF15" s="1"/>
    </row>
    <row r="16" spans="1:32" x14ac:dyDescent="0.25">
      <c r="A16" s="32">
        <v>42804.424560185187</v>
      </c>
      <c r="B16" s="30" t="s">
        <v>497</v>
      </c>
      <c r="C16" s="30" t="s">
        <v>576</v>
      </c>
      <c r="D16" s="30" t="s">
        <v>49</v>
      </c>
      <c r="E16" s="30" t="s">
        <v>195</v>
      </c>
      <c r="F16" s="43">
        <v>0</v>
      </c>
      <c r="G16" s="43">
        <v>286</v>
      </c>
      <c r="H16" s="43">
        <v>49279</v>
      </c>
      <c r="I16" s="43">
        <v>48635</v>
      </c>
      <c r="J16" s="30" t="s">
        <v>196</v>
      </c>
      <c r="K16" s="43">
        <v>48048</v>
      </c>
      <c r="L16" s="143" t="s">
        <v>51</v>
      </c>
      <c r="M16" s="144">
        <f t="shared" si="0"/>
        <v>309.93599999999998</v>
      </c>
      <c r="N16" s="145" t="str">
        <f>VLOOKUP(C16,'Trips&amp;Operators'!$C$1:$G$99999,5,FALSE)</f>
        <v>BADERTSCHER DIANE</v>
      </c>
      <c r="O16" s="194" t="s">
        <v>185</v>
      </c>
      <c r="P16" s="146" t="s">
        <v>562</v>
      </c>
      <c r="Q16" s="30"/>
      <c r="R16" s="89" t="str">
        <f>IF(VLOOKUP(C16,'Train Runs'!$A$13:$AE$9947,1,1)=C16,VLOOKUP(C16,'Train Runs'!$A$13:$AE$9947,31,1),NA())</f>
        <v>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 &amp; aws s3 cp s3://rtdc.mdm.uploadarchive.raw/RTDC4008/ "%USERPROFILE%\AppData\Local\Temp\OnboardLogs"\RTDC4008\2017-03-11 --exclude "*" --recursive --include "*20170311*" &amp; "%USERPROFILE%\Documents\GitHub\mrs-test-scripts\Headless Mode &amp; Sideloading\WalkAndUnGZ.bat" "%USERPROFILE%\AppData\Local\Temp\OnboardLogs"\RTDC4008\2017-03-11</v>
      </c>
      <c r="S16" s="92" t="str">
        <f>IF(VLOOKUP(C16,'Train Runs'!$A$13:$AE$9947,1,1)=C16,VLOOKUP(C16,'Train Runs'!$A$13:$AE$9947,22,1),NA())</f>
        <v>https://d0f6bd738d7f1b3e5a7ca70fe4ff75f0.us-east-1.aws.found.io/app/kibana#/discover/Steve-Slow-Train-Analysis-(2080s-and-2083s)?_g=(refreshInterval:(display:Off,pause:!f,section:0,value:0),time:(from:'2017-03-10T08:31:10-0700',mode:absolute,to:'2017-03-10T11:30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6" s="94" t="str">
        <f t="shared" si="1"/>
        <v>"C:\Program Files (x86)\AstroGrep\AstroGrep.exe" /e /r /s /spath="%USERPROFILE%\AppData\Local\Temp\OnboardLogs" /stypes="*4008*201703101*" /stext=" 17:.+((SYSTEM_STATE.+slice.+state.+changed )|(ment ac)|(multiple cpu faults)|(system.+state.+changed )|(\[timeout)|(PRM\|1\|D)|(kpr)|(kdp)|(\|lc)|(penalty))"</v>
      </c>
      <c r="U16" s="9" t="str">
        <f t="shared" si="2"/>
        <v>4008</v>
      </c>
      <c r="V16" s="32">
        <f t="shared" si="3"/>
        <v>42804.716226851851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{"issue":{"subject":"Form C","project_id":79,"tracker_id":40,"status_id":1,"priority_id":2,"assigned_to_id":23,"start_date":"2017-03-10","description":"","custom_fields":[{"id":1,"name":"Subdivision","value":"EC"},{"id":4,"name":"Milepost","value":"4.8048"},{"id":17,"name":"Train ID","value":"142-10"},{"id":16,"name":"Locomotive ID","value":"4008"},{"id":130,"name":"Impact","value":""},{"id":150,"name":"Time of Event (Mountain Time)","value":"10:11:22"},{"id":151,"name":"Denver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"%USERPROFILE%\AppData\Local\Temp\OnboardLogs"\RTDC4008\*4008*201703101*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"%USERPROFILE%\AppData\Local\Temp\OnboardLogs"\RTDC4008\*4008*201703101* &gt;&gt; 2017-03-10-SliceDisagreementCheck.txt</v>
      </c>
      <c r="AE16" s="157" t="str">
        <f t="shared" si="9"/>
        <v>start /low /b %USERPROFILE%\Documents\GitHub\eaglep3\Utilities\DownloadLogsFromS3.py --loco 4008 --day 2017-03-10</v>
      </c>
      <c r="AF16" s="1"/>
    </row>
    <row r="17" spans="1:32" x14ac:dyDescent="0.25">
      <c r="A17" s="32">
        <v>42804.538981481484</v>
      </c>
      <c r="B17" s="30" t="s">
        <v>567</v>
      </c>
      <c r="C17" s="30" t="s">
        <v>583</v>
      </c>
      <c r="D17" s="30" t="s">
        <v>49</v>
      </c>
      <c r="E17" s="30" t="s">
        <v>195</v>
      </c>
      <c r="F17" s="43">
        <v>0</v>
      </c>
      <c r="G17" s="43">
        <v>162</v>
      </c>
      <c r="H17" s="43">
        <v>48889</v>
      </c>
      <c r="I17" s="43">
        <v>48675</v>
      </c>
      <c r="J17" s="30" t="s">
        <v>196</v>
      </c>
      <c r="K17" s="43">
        <v>48048</v>
      </c>
      <c r="L17" s="143" t="s">
        <v>51</v>
      </c>
      <c r="M17" s="144">
        <f t="shared" si="0"/>
        <v>331.05600000000004</v>
      </c>
      <c r="N17" s="145" t="str">
        <f>VLOOKUP(C17,'Trips&amp;Operators'!$C$1:$G$99999,5,FALSE)</f>
        <v>CLARK KATHLEEN</v>
      </c>
      <c r="O17" s="194" t="s">
        <v>185</v>
      </c>
      <c r="P17" s="146" t="s">
        <v>562</v>
      </c>
      <c r="Q17" s="30"/>
      <c r="R17" s="89" t="str">
        <f>IF(VLOOKUP(C17,'Train Runs'!$A$13:$AE$9947,1,1)=C17,VLOOKUP(C17,'Train Runs'!$A$13:$AE$9947,31,1),NA())</f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S17" s="92" t="str">
        <f>IF(VLOOKUP(C17,'Train Runs'!$A$13:$AE$9947,1,1)=C17,VLOOKUP(C17,'Train Runs'!$A$13:$AE$9947,22,1),NA())</f>
        <v>https://d0f6bd738d7f1b3e5a7ca70fe4ff75f0.us-east-1.aws.found.io/app/kibana#/discover/Steve-Slow-Train-Analysis-(2080s-and-2083s)?_g=(refreshInterval:(display:Off,pause:!f,section:0,value:0),time:(from:'2017-03-10T11:24:39-0700',mode:absolute,to:'2017-03-10T13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7" s="94" t="str">
        <f t="shared" si="1"/>
        <v>"C:\Program Files (x86)\AstroGrep\AstroGrep.exe" /e /r /s /spath="%USERPROFILE%\AppData\Local\Temp\OnboardLogs" /stypes="*4032*201703101*" /stext=" 19:.+((SYSTEM_STATE.+slice.+state.+changed )|(ment ac)|(multiple cpu faults)|(system.+state.+changed )|(\[timeout)|(PRM\|1\|D)|(kpr)|(kdp)|(\|lc)|(penalty))"</v>
      </c>
      <c r="U17" s="9" t="str">
        <f t="shared" si="2"/>
        <v>4032</v>
      </c>
      <c r="V17" s="32">
        <f t="shared" si="3"/>
        <v>42804.830648148149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{"issue":{"subject":"Form C","project_id":79,"tracker_id":40,"status_id":1,"priority_id":2,"assigned_to_id":23,"start_date":"2017-03-10","description":"","custom_fields":[{"id":1,"name":"Subdivision","value":"EC"},{"id":4,"name":"Milepost","value":"4.8048"},{"id":17,"name":"Train ID","value":"164-10"},{"id":16,"name":"Locomotive ID","value":"4032"},{"id":130,"name":"Impact","value":""},{"id":150,"name":"Time of Event (Mountain Time)","value":"12:56:08"},{"id":151,"name":"Denver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"%USERPROFILE%\AppData\Local\Temp\OnboardLogs"\RTDC4032\*4032*201703101*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"%USERPROFILE%\AppData\Local\Temp\OnboardLogs"\RTDC4032\*4032*201703101* &gt;&gt; 2017-03-10-SliceDisagreementCheck.txt</v>
      </c>
      <c r="AE17" s="157" t="str">
        <f t="shared" si="9"/>
        <v>start /low /b %USERPROFILE%\Documents\GitHub\eaglep3\Utilities\DownloadLogsFromS3.py --loco 4032 --day 2017-03-10</v>
      </c>
      <c r="AF17" s="1"/>
    </row>
    <row r="18" spans="1:32" ht="15" customHeight="1" x14ac:dyDescent="0.25">
      <c r="A18" s="32">
        <v>42804.651296296295</v>
      </c>
      <c r="B18" s="30" t="s">
        <v>580</v>
      </c>
      <c r="C18" s="30" t="s">
        <v>591</v>
      </c>
      <c r="D18" s="30" t="s">
        <v>49</v>
      </c>
      <c r="E18" s="30" t="s">
        <v>195</v>
      </c>
      <c r="F18" s="43">
        <v>0</v>
      </c>
      <c r="G18" s="43">
        <v>255</v>
      </c>
      <c r="H18" s="43">
        <v>48986</v>
      </c>
      <c r="I18" s="43">
        <v>48522</v>
      </c>
      <c r="J18" s="30" t="s">
        <v>196</v>
      </c>
      <c r="K18" s="43">
        <v>48048</v>
      </c>
      <c r="L18" s="143" t="s">
        <v>51</v>
      </c>
      <c r="M18" s="144">
        <f t="shared" si="0"/>
        <v>250.27199999999999</v>
      </c>
      <c r="N18" s="145" t="str">
        <f>VLOOKUP(C18,'Trips&amp;Operators'!$C$1:$G$99999,5,FALSE)</f>
        <v>LOPES KIMBERLY</v>
      </c>
      <c r="O18" s="194" t="s">
        <v>185</v>
      </c>
      <c r="P18" s="146" t="s">
        <v>562</v>
      </c>
      <c r="Q18" s="30"/>
      <c r="R18" s="89" t="str">
        <f>IF(VLOOKUP(C18,'Train Runs'!$A$13:$AE$9947,1,1)=C18,VLOOKUP(C18,'Train Runs'!$A$13:$AE$9947,31,1),NA())</f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S18" s="92" t="str">
        <f>IF(VLOOKUP(C18,'Train Runs'!$A$13:$AE$9947,1,1)=C18,VLOOKUP(C18,'Train Runs'!$A$13:$AE$9947,22,1),NA())</f>
        <v>https://d0f6bd738d7f1b3e5a7ca70fe4ff75f0.us-east-1.aws.found.io/app/kibana#/discover/Steve-Slow-Train-Analysis-(2080s-and-2083s)?_g=(refreshInterval:(display:Off,pause:!f,section:0,value:0),time:(from:'2017-03-10T14:07:10-0700',mode:absolute,to:'2017-03-10T16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94" t="str">
        <f t="shared" si="1"/>
        <v>"C:\Program Files (x86)\AstroGrep\AstroGrep.exe" /e /r /s /spath="%USERPROFILE%\AppData\Local\Temp\OnboardLogs" /stypes="*4028*201703102*" /stext=" 22:.+((SYSTEM_STATE.+slice.+state.+changed )|(ment ac)|(multiple cpu faults)|(system.+state.+changed )|(\[timeout)|(PRM\|1\|D)|(kpr)|(kdp)|(\|lc)|(penalty))"</v>
      </c>
      <c r="U18" s="9" t="str">
        <f t="shared" si="2"/>
        <v>4028</v>
      </c>
      <c r="V18" s="32">
        <f t="shared" si="3"/>
        <v>42804.942962962959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{"issue":{"subject":"Form C","project_id":79,"tracker_id":40,"status_id":1,"priority_id":2,"assigned_to_id":23,"start_date":"2017-03-10","description":"","custom_fields":[{"id":1,"name":"Subdivision","value":"EC"},{"id":4,"name":"Milepost","value":"4.8048"},{"id":17,"name":"Train ID","value":"186-10"},{"id":16,"name":"Locomotive ID","value":"4028"},{"id":130,"name":"Impact","value":""},{"id":150,"name":"Time of Event (Mountain Time)","value":"15:37:52"},{"id":151,"name":"Denver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"%USERPROFILE%\AppData\Local\Temp\OnboardLogs"\RTDC4028\*4028*201703102*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"%USERPROFILE%\AppData\Local\Temp\OnboardLogs"\RTDC4028\*4028*201703102* &gt;&gt; 2017-03-10-SliceDisagreementCheck.txt</v>
      </c>
      <c r="AE18" s="157" t="str">
        <f t="shared" si="9"/>
        <v>start /low /b %USERPROFILE%\Documents\GitHub\eaglep3\Utilities\DownloadLogsFromS3.py --loco 4028 --day 2017-03-10</v>
      </c>
      <c r="AF18" s="1"/>
    </row>
    <row r="19" spans="1:32" x14ac:dyDescent="0.25">
      <c r="A19" s="32">
        <v>42804.663194444445</v>
      </c>
      <c r="B19" s="30" t="s">
        <v>586</v>
      </c>
      <c r="C19" s="30" t="s">
        <v>592</v>
      </c>
      <c r="D19" s="30" t="s">
        <v>98</v>
      </c>
      <c r="E19" s="30" t="s">
        <v>195</v>
      </c>
      <c r="F19" s="43">
        <v>0</v>
      </c>
      <c r="G19" s="43">
        <v>128</v>
      </c>
      <c r="H19" s="43">
        <v>48016</v>
      </c>
      <c r="I19" s="43">
        <v>47883</v>
      </c>
      <c r="J19" s="30" t="s">
        <v>196</v>
      </c>
      <c r="K19" s="43">
        <v>48048</v>
      </c>
      <c r="L19" s="143" t="s">
        <v>51</v>
      </c>
      <c r="M19" s="144">
        <f t="shared" si="0"/>
        <v>-87.12</v>
      </c>
      <c r="N19" s="145" t="str">
        <f>VLOOKUP(C19,'Trips&amp;Operators'!$C$1:$G$99999,5,FALSE)</f>
        <v>STEWART MICHAEL</v>
      </c>
      <c r="O19" s="194" t="s">
        <v>185</v>
      </c>
      <c r="P19" s="146" t="s">
        <v>561</v>
      </c>
      <c r="Q19" s="30"/>
      <c r="R19" s="89" t="str">
        <f>IF(VLOOKUP(C19,'Train Runs'!$A$13:$AE$9947,1,1)=C19,VLOOKUP(C19,'Train Runs'!$A$13:$AE$9947,31,1),NA())</f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S19" s="92" t="str">
        <f>IF(VLOOKUP(C19,'Train Runs'!$A$13:$AE$9947,1,1)=C19,VLOOKUP(C19,'Train Runs'!$A$13:$AE$9947,22,1),NA())</f>
        <v>https://d0f6bd738d7f1b3e5a7ca70fe4ff75f0.us-east-1.aws.found.io/app/kibana#/discover/Steve-Slow-Train-Analysis-(2080s-and-2083s)?_g=(refreshInterval:(display:Off,pause:!f,section:0,value:0),time:(from:'2017-03-10T14:21:52-0700',mode:absolute,to:'2017-03-10T17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9" s="94" t="str">
        <f t="shared" si="1"/>
        <v>"C:\Program Files (x86)\AstroGrep\AstroGrep.exe" /e /r /s /spath="%USERPROFILE%\AppData\Local\Temp\OnboardLogs" /stypes="*4054*201703102*" /stext=" 22:.+((SYSTEM_STATE.+slice.+state.+changed )|(ment ac)|(multiple cpu faults)|(system.+state.+changed )|(\[timeout)|(PRM\|1\|D)|(kpr)|(kdp)|(\|lc)|(penalty))"</v>
      </c>
      <c r="U19" s="9" t="str">
        <f t="shared" si="2"/>
        <v>4054</v>
      </c>
      <c r="V19" s="32">
        <f t="shared" si="3"/>
        <v>42804.954861111109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arrival","project_id":79,"tracker_id":40,"status_id":1,"priority_id":2,"assigned_to_id":23,"start_date":"2017-03-10","description":"","custom_fields":[{"id":1,"name":"Subdivision","value":"EC"},{"id":4,"name":"Milepost","value":"4.8048"},{"id":17,"name":"Train ID","value":"188-10"},{"id":16,"name":"Locomotive ID","value":"4054"},{"id":130,"name":"Impact","value":""},{"id":150,"name":"Time of Event (Mountain Time)","value":"15:55:00"},{"id":151,"name":"Denver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"%USERPROFILE%\AppData\Local\Temp\OnboardLogs"\RTDC4054\*4054*201703102*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"%USERPROFILE%\AppData\Local\Temp\OnboardLogs"\RTDC4054\*4054*201703102* &gt;&gt; 2017-03-10-SliceDisagreementCheck.txt</v>
      </c>
      <c r="AE19" s="157" t="str">
        <f t="shared" si="9"/>
        <v>start /low /b %USERPROFILE%\Documents\GitHub\eaglep3\Utilities\DownloadLogsFromS3.py --loco 4054 --day 2017-03-10</v>
      </c>
      <c r="AF19" s="1"/>
    </row>
    <row r="20" spans="1:32" x14ac:dyDescent="0.25">
      <c r="A20" s="32">
        <v>42804.819560185184</v>
      </c>
      <c r="B20" s="30" t="s">
        <v>400</v>
      </c>
      <c r="C20" s="30" t="s">
        <v>607</v>
      </c>
      <c r="D20" s="30" t="s">
        <v>49</v>
      </c>
      <c r="E20" s="30" t="s">
        <v>195</v>
      </c>
      <c r="F20" s="43">
        <v>0</v>
      </c>
      <c r="G20" s="43">
        <v>173</v>
      </c>
      <c r="H20" s="43">
        <v>48609</v>
      </c>
      <c r="I20" s="43">
        <v>48391</v>
      </c>
      <c r="J20" s="30" t="s">
        <v>196</v>
      </c>
      <c r="K20" s="43">
        <v>48048</v>
      </c>
      <c r="L20" s="143" t="s">
        <v>51</v>
      </c>
      <c r="M20" s="144">
        <f t="shared" si="0"/>
        <v>181.10400000000001</v>
      </c>
      <c r="N20" s="145" t="str">
        <f>VLOOKUP(C20,'Trips&amp;Operators'!$C$1:$G$99999,5,FALSE)</f>
        <v>STAMBAUGH JAMES</v>
      </c>
      <c r="O20" s="194" t="s">
        <v>185</v>
      </c>
      <c r="P20" s="146" t="s">
        <v>562</v>
      </c>
      <c r="Q20" s="30"/>
      <c r="R20" s="89" t="str">
        <f>IF(VLOOKUP(C20,'Train Runs'!$A$13:$AE$9947,1,1)=C20,VLOOKUP(C20,'Train Runs'!$A$13:$AE$9947,31,1),NA())</f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S20" s="92" t="str">
        <f>IF(VLOOKUP(C20,'Train Runs'!$A$13:$AE$9947,1,1)=C20,VLOOKUP(C20,'Train Runs'!$A$13:$AE$9947,22,1),NA())</f>
        <v>https://d0f6bd738d7f1b3e5a7ca70fe4ff75f0.us-east-1.aws.found.io/app/kibana#/discover/Steve-Slow-Train-Analysis-(2080s-and-2083s)?_g=(refreshInterval:(display:Off,pause:!f,section:0,value:0),time:(from:'2017-03-10T18:44:20-0700',mode:absolute,to:'2017-03-10T20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/e /r /s /spath="%USERPROFILE%\AppData\Local\Temp\OnboardLogs" /stypes="*4004*201703110*" /stext=" 02:.+((SYSTEM_STATE.+slice.+state.+changed )|(ment ac)|(multiple cpu faults)|(system.+state.+changed )|(\[timeout)|(PRM\|1\|D)|(kpr)|(kdp)|(\|lc)|(penalty))"</v>
      </c>
      <c r="U20" s="9" t="str">
        <f t="shared" si="2"/>
        <v>4004</v>
      </c>
      <c r="V20" s="32">
        <f t="shared" si="3"/>
        <v>42805.111226851848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{"issue":{"subject":"Form C","project_id":79,"tracker_id":40,"status_id":1,"priority_id":2,"assigned_to_id":23,"start_date":"2017-03-10","description":"","custom_fields":[{"id":1,"name":"Subdivision","value":"EC"},{"id":4,"name":"Milepost","value":"4.8048"},{"id":17,"name":"Train ID","value":"218-10"},{"id":16,"name":"Locomotive ID","value":"4004"},{"id":130,"name":"Impact","value":""},{"id":150,"name":"Time of Event (Mountain Time)","value":"19:40:10"},{"id":151,"name":"Denver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"%USERPROFILE%\AppData\Local\Temp\OnboardLogs"\RTDC4004\*4004*201703110*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"%USERPROFILE%\AppData\Local\Temp\OnboardLogs"\RTDC4004\*4004*201703110* &gt;&gt; 2017-03-10-SliceDisagreementCheck.txt</v>
      </c>
      <c r="AE20" s="157" t="str">
        <f t="shared" si="9"/>
        <v>start /low /b %USERPROFILE%\Documents\GitHub\eaglep3\Utilities\DownloadLogsFromS3.py --loco 4004 --day 2017-03-11</v>
      </c>
      <c r="AF20" s="1"/>
    </row>
    <row r="21" spans="1:32" x14ac:dyDescent="0.25">
      <c r="A21" s="32">
        <v>42804.505729166667</v>
      </c>
      <c r="B21" s="30" t="s">
        <v>580</v>
      </c>
      <c r="C21" s="30" t="s">
        <v>581</v>
      </c>
      <c r="D21" s="30" t="s">
        <v>49</v>
      </c>
      <c r="E21" s="30" t="s">
        <v>195</v>
      </c>
      <c r="F21" s="43">
        <v>10</v>
      </c>
      <c r="G21" s="43">
        <v>61</v>
      </c>
      <c r="H21" s="43">
        <v>48183</v>
      </c>
      <c r="I21" s="43">
        <v>48126</v>
      </c>
      <c r="J21" s="30" t="s">
        <v>196</v>
      </c>
      <c r="K21" s="43">
        <v>48048</v>
      </c>
      <c r="L21" s="143" t="s">
        <v>51</v>
      </c>
      <c r="M21" s="144">
        <f t="shared" si="0"/>
        <v>41.183999999999997</v>
      </c>
      <c r="N21" s="145" t="str">
        <f>VLOOKUP(C21,'Trips&amp;Operators'!$C$1:$G$99999,5,FALSE)</f>
        <v>GEBRETEKLE DAGNEW</v>
      </c>
      <c r="O21" s="194" t="s">
        <v>185</v>
      </c>
      <c r="P21" s="146" t="s">
        <v>561</v>
      </c>
      <c r="Q21" s="30"/>
      <c r="R21" s="89" t="str">
        <f>IF(VLOOKUP(C21,'Train Runs'!$A$13:$AE$9947,1,1)=C21,VLOOKUP(C21,'Train Runs'!$A$13:$AE$9947,31,1),NA())</f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S21" s="92" t="str">
        <f>IF(VLOOKUP(C21,'Train Runs'!$A$13:$AE$9947,1,1)=C21,VLOOKUP(C21,'Train Runs'!$A$13:$AE$9947,22,1),NA())</f>
        <v>https://d0f6bd738d7f1b3e5a7ca70fe4ff75f0.us-east-1.aws.found.io/app/kibana#/discover/Steve-Slow-Train-Analysis-(2080s-and-2083s)?_g=(refreshInterval:(display:Off,pause:!f,section:0,value:0),time:(from:'2017-03-10T10:37:02-0700',mode:absolute,to:'2017-03-10T13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1" s="94" t="str">
        <f t="shared" si="1"/>
        <v>"C:\Program Files (x86)\AstroGrep\AstroGrep.exe" /e /r /s /spath="%USERPROFILE%\AppData\Local\Temp\OnboardLogs" /stypes="*4028*201703101*" /stext=" 19:.+((SYSTEM_STATE.+slice.+state.+changed )|(ment ac)|(multiple cpu faults)|(system.+state.+changed )|(\[timeout)|(PRM\|1\|D)|(kpr)|(kdp)|(\|lc)|(penalty))"</v>
      </c>
      <c r="U21" s="9" t="str">
        <f t="shared" si="2"/>
        <v>4028</v>
      </c>
      <c r="V21" s="32">
        <f t="shared" si="3"/>
        <v>42804.797395833331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arrival","project_id":79,"tracker_id":40,"status_id":1,"priority_id":2,"assigned_to_id":23,"start_date":"2017-03-10","description":"","custom_fields":[{"id":1,"name":"Subdivision","value":"EC"},{"id":4,"name":"Milepost","value":"4.8048"},{"id":17,"name":"Train ID","value":"158-10"},{"id":16,"name":"Locomotive ID","value":"4028"},{"id":130,"name":"Impact","value":""},{"id":150,"name":"Time of Event (Mountain Time)","value":"12:08:15"},{"id":151,"name":"Denver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"%USERPROFILE%\AppData\Local\Temp\OnboardLogs"\RTDC4028\*4028*201703101*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"%USERPROFILE%\AppData\Local\Temp\OnboardLogs"\RTDC4028\*4028*201703101* &gt;&gt; 2017-03-10-SliceDisagreementCheck.txt</v>
      </c>
      <c r="AE21" s="157" t="str">
        <f t="shared" si="9"/>
        <v>start /low /b %USERPROFILE%\Documents\GitHub\eaglep3\Utilities\DownloadLogsFromS3.py --loco 4028 --day 2017-03-10</v>
      </c>
      <c r="AF21" s="1"/>
    </row>
    <row r="22" spans="1:32" x14ac:dyDescent="0.25">
      <c r="A22" s="32">
        <v>42804.819953703707</v>
      </c>
      <c r="B22" s="30" t="s">
        <v>400</v>
      </c>
      <c r="C22" s="30" t="s">
        <v>607</v>
      </c>
      <c r="D22" s="30" t="s">
        <v>49</v>
      </c>
      <c r="E22" s="30" t="s">
        <v>195</v>
      </c>
      <c r="F22" s="43">
        <v>20</v>
      </c>
      <c r="G22" s="43">
        <v>76</v>
      </c>
      <c r="H22" s="43">
        <v>48326</v>
      </c>
      <c r="I22" s="43">
        <v>48237</v>
      </c>
      <c r="J22" s="30" t="s">
        <v>196</v>
      </c>
      <c r="K22" s="43">
        <v>48048</v>
      </c>
      <c r="L22" s="143" t="s">
        <v>51</v>
      </c>
      <c r="M22" s="144">
        <f t="shared" si="0"/>
        <v>99.792000000000002</v>
      </c>
      <c r="N22" s="145" t="str">
        <f>VLOOKUP(C22,'Trips&amp;Operators'!$C$1:$G$99999,5,FALSE)</f>
        <v>STAMBAUGH JAMES</v>
      </c>
      <c r="O22" s="194" t="s">
        <v>185</v>
      </c>
      <c r="P22" s="146" t="s">
        <v>561</v>
      </c>
      <c r="Q22" s="30"/>
      <c r="R22" s="89" t="str">
        <f>IF(VLOOKUP(C22,'Train Runs'!$A$13:$AE$9947,1,1)=C22,VLOOKUP(C22,'Train Runs'!$A$13:$AE$9947,31,1),NA())</f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S22" s="92" t="str">
        <f>IF(VLOOKUP(C22,'Train Runs'!$A$13:$AE$9947,1,1)=C22,VLOOKUP(C22,'Train Runs'!$A$13:$AE$9947,22,1),NA())</f>
        <v>https://d0f6bd738d7f1b3e5a7ca70fe4ff75f0.us-east-1.aws.found.io/app/kibana#/discover/Steve-Slow-Train-Analysis-(2080s-and-2083s)?_g=(refreshInterval:(display:Off,pause:!f,section:0,value:0),time:(from:'2017-03-10T18:44:20-0700',mode:absolute,to:'2017-03-10T20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94" t="str">
        <f t="shared" si="1"/>
        <v>"C:\Program Files (x86)\AstroGrep\AstroGrep.exe" /e /r /s /spath="%USERPROFILE%\AppData\Local\Temp\OnboardLogs" /stypes="*4004*201703110*" /stext=" 02:.+((SYSTEM_STATE.+slice.+state.+changed )|(ment ac)|(multiple cpu faults)|(system.+state.+changed )|(\[timeout)|(PRM\|1\|D)|(kpr)|(kdp)|(\|lc)|(penalty))"</v>
      </c>
      <c r="U22" s="9" t="str">
        <f t="shared" si="2"/>
        <v>4004</v>
      </c>
      <c r="V22" s="32">
        <f t="shared" si="3"/>
        <v>42805.111620370371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arrival","project_id":79,"tracker_id":40,"status_id":1,"priority_id":2,"assigned_to_id":23,"start_date":"2017-03-10","description":"","custom_fields":[{"id":1,"name":"Subdivision","value":"EC"},{"id":4,"name":"Milepost","value":"4.8048"},{"id":17,"name":"Train ID","value":"218-10"},{"id":16,"name":"Locomotive ID","value":"4004"},{"id":130,"name":"Impact","value":""},{"id":150,"name":"Time of Event (Mountain Time)","value":"19:40:44"},{"id":151,"name":"Denver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"%USERPROFILE%\AppData\Local\Temp\OnboardLogs"\RTDC4004\*4004*201703110*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"%USERPROFILE%\AppData\Local\Temp\OnboardLogs"\RTDC4004\*4004*201703110* &gt;&gt; 2017-03-10-SliceDisagreementCheck.txt</v>
      </c>
      <c r="AE22" s="157" t="str">
        <f t="shared" si="9"/>
        <v>start /low /b %USERPROFILE%\Documents\GitHub\eaglep3\Utilities\DownloadLogsFromS3.py --loco 4004 --day 2017-03-11</v>
      </c>
      <c r="AF22" s="1"/>
    </row>
    <row r="23" spans="1:32" x14ac:dyDescent="0.25">
      <c r="A23" s="32">
        <v>42804.486550925925</v>
      </c>
      <c r="B23" s="30" t="s">
        <v>406</v>
      </c>
      <c r="C23" s="30" t="s">
        <v>579</v>
      </c>
      <c r="D23" s="30" t="s">
        <v>49</v>
      </c>
      <c r="E23" s="30" t="s">
        <v>195</v>
      </c>
      <c r="F23" s="43">
        <v>30</v>
      </c>
      <c r="G23" s="43">
        <v>89</v>
      </c>
      <c r="H23" s="43">
        <v>48397</v>
      </c>
      <c r="I23" s="43">
        <v>48198</v>
      </c>
      <c r="J23" s="30" t="s">
        <v>196</v>
      </c>
      <c r="K23" s="43">
        <v>48048</v>
      </c>
      <c r="L23" s="143" t="s">
        <v>51</v>
      </c>
      <c r="M23" s="144">
        <f t="shared" si="0"/>
        <v>79.2</v>
      </c>
      <c r="N23" s="145" t="str">
        <f>VLOOKUP(C23,'Trips&amp;Operators'!$C$1:$G$99999,5,FALSE)</f>
        <v>BONDS REYNALDO</v>
      </c>
      <c r="O23" s="194" t="s">
        <v>185</v>
      </c>
      <c r="P23" s="146" t="s">
        <v>561</v>
      </c>
      <c r="Q23" s="30"/>
      <c r="R23" s="89" t="str">
        <f>IF(VLOOKUP(C23,'Train Runs'!$A$13:$AE$9947,1,1)=C23,VLOOKUP(C23,'Train Runs'!$A$13:$AE$9947,31,1),NA())</f>
        <v>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 &amp; 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</v>
      </c>
      <c r="S23" s="92" t="str">
        <f>IF(VLOOKUP(C23,'Train Runs'!$A$13:$AE$9947,1,1)=C23,VLOOKUP(C23,'Train Runs'!$A$13:$AE$9947,22,1),NA())</f>
        <v>https://d0f6bd738d7f1b3e5a7ca70fe4ff75f0.us-east-1.aws.found.io/app/kibana#/discover/Steve-Slow-Train-Analysis-(2080s-and-2083s)?_g=(refreshInterval:(display:Off,pause:!f,section:0,value:0),time:(from:'2017-03-10T10:07:32-0700',mode:absolute,to:'2017-03-10T12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3" s="94" t="str">
        <f t="shared" si="1"/>
        <v>"C:\Program Files (x86)\AstroGrep\AstroGrep.exe" /e /r /s /spath="%USERPROFILE%\AppData\Local\Temp\OnboardLogs" /stypes="*4010*201703101*" /stext=" 18:.+((SYSTEM_STATE.+slice.+state.+changed )|(ment ac)|(multiple cpu faults)|(system.+state.+changed )|(\[timeout)|(PRM\|1\|D)|(kpr)|(kdp)|(\|lc)|(penalty))"</v>
      </c>
      <c r="U23" s="9" t="str">
        <f t="shared" si="2"/>
        <v>4010</v>
      </c>
      <c r="V23" s="32">
        <f t="shared" si="3"/>
        <v>42804.778217592589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arrival","project_id":79,"tracker_id":40,"status_id":1,"priority_id":2,"assigned_to_id":23,"start_date":"2017-03-10","description":"","custom_fields":[{"id":1,"name":"Subdivision","value":"EC"},{"id":4,"name":"Milepost","value":"4.8048"},{"id":17,"name":"Train ID","value":"154-10"},{"id":16,"name":"Locomotive ID","value":"4010"},{"id":130,"name":"Impact","value":""},{"id":150,"name":"Time of Event (Mountain Time)","value":"11:40:38"},{"id":151,"name":"Denver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"%USERPROFILE%\AppData\Local\Temp\OnboardLogs"\RTDC4010\*4010*201703101*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"%USERPROFILE%\AppData\Local\Temp\OnboardLogs"\RTDC4010\*4010*201703101* &gt;&gt; 2017-03-10-SliceDisagreementCheck.txt</v>
      </c>
      <c r="AE23" s="157" t="str">
        <f t="shared" si="9"/>
        <v>start /low /b %USERPROFILE%\Documents\GitHub\eaglep3\Utilities\DownloadLogsFromS3.py --loco 4010 --day 2017-03-10</v>
      </c>
      <c r="AF23" s="1"/>
    </row>
    <row r="24" spans="1:32" x14ac:dyDescent="0.25">
      <c r="A24" s="32">
        <v>42804.614907407406</v>
      </c>
      <c r="B24" s="30" t="s">
        <v>212</v>
      </c>
      <c r="C24" s="30" t="s">
        <v>589</v>
      </c>
      <c r="D24" s="30" t="s">
        <v>49</v>
      </c>
      <c r="E24" s="30" t="s">
        <v>195</v>
      </c>
      <c r="F24" s="43">
        <v>30</v>
      </c>
      <c r="G24" s="43">
        <v>80</v>
      </c>
      <c r="H24" s="43">
        <v>48416</v>
      </c>
      <c r="I24" s="43">
        <v>48315</v>
      </c>
      <c r="J24" s="30" t="s">
        <v>196</v>
      </c>
      <c r="K24" s="43">
        <v>48048</v>
      </c>
      <c r="L24" s="143" t="s">
        <v>51</v>
      </c>
      <c r="M24" s="144">
        <f t="shared" si="0"/>
        <v>140.976</v>
      </c>
      <c r="N24" s="145" t="str">
        <f>VLOOKUP(C24,'Trips&amp;Operators'!$C$1:$G$99999,5,FALSE)</f>
        <v>ROMERO CHAD</v>
      </c>
      <c r="O24" s="194" t="s">
        <v>185</v>
      </c>
      <c r="P24" s="146" t="s">
        <v>561</v>
      </c>
      <c r="Q24" s="30"/>
      <c r="R24" s="89" t="str">
        <f>IF(VLOOKUP(C24,'Train Runs'!$A$13:$AE$9947,1,1)=C24,VLOOKUP(C24,'Train Runs'!$A$13:$AE$9947,31,1),NA())</f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S24" s="92" t="str">
        <f>IF(VLOOKUP(C24,'Train Runs'!$A$13:$AE$9947,1,1)=C24,VLOOKUP(C24,'Train Runs'!$A$13:$AE$9947,22,1),NA())</f>
        <v>https://d0f6bd738d7f1b3e5a7ca70fe4ff75f0.us-east-1.aws.found.io/app/kibana#/discover/Steve-Slow-Train-Analysis-(2080s-and-2083s)?_g=(refreshInterval:(display:Off,pause:!f,section:0,value:0),time:(from:'2017-03-10T13:49:28-0700',mode:absolute,to:'2017-03-10T16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4" s="94" t="str">
        <f t="shared" si="1"/>
        <v>"C:\Program Files (x86)\AstroGrep\AstroGrep.exe" /e /r /s /spath="%USERPROFILE%\AppData\Local\Temp\OnboardLogs" /stypes="*4045*201703102*" /stext=" 21:.+((SYSTEM_STATE.+slice.+state.+changed )|(ment ac)|(multiple cpu faults)|(system.+state.+changed )|(\[timeout)|(PRM\|1\|D)|(kpr)|(kdp)|(\|lc)|(penalty))"</v>
      </c>
      <c r="U24" s="9" t="str">
        <f t="shared" si="2"/>
        <v>4045</v>
      </c>
      <c r="V24" s="32">
        <f t="shared" si="3"/>
        <v>42804.90657407407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arrival","project_id":79,"tracker_id":40,"status_id":1,"priority_id":2,"assigned_to_id":23,"start_date":"2017-03-10","description":"","custom_fields":[{"id":1,"name":"Subdivision","value":"EC"},{"id":4,"name":"Milepost","value":"4.8048"},{"id":17,"name":"Train ID","value":"176-10"},{"id":16,"name":"Locomotive ID","value":"4045"},{"id":130,"name":"Impact","value":""},{"id":150,"name":"Time of Event (Mountain Time)","value":"14:45:28"},{"id":151,"name":"Denver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"%USERPROFILE%\AppData\Local\Temp\OnboardLogs"\RTDC4045\*4045*201703102*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"%USERPROFILE%\AppData\Local\Temp\OnboardLogs"\RTDC4045\*4045*201703102* &gt;&gt; 2017-03-10-SliceDisagreementCheck.txt</v>
      </c>
      <c r="AE24" s="157" t="str">
        <f t="shared" si="9"/>
        <v>start /low /b %USERPROFILE%\Documents\GitHub\eaglep3\Utilities\DownloadLogsFromS3.py --loco 4045 --day 2017-03-10</v>
      </c>
      <c r="AF24" s="1"/>
    </row>
    <row r="25" spans="1:32" x14ac:dyDescent="0.25">
      <c r="A25" s="32">
        <v>42804.651782407411</v>
      </c>
      <c r="B25" s="30" t="s">
        <v>580</v>
      </c>
      <c r="C25" s="30" t="s">
        <v>591</v>
      </c>
      <c r="D25" s="30" t="s">
        <v>49</v>
      </c>
      <c r="E25" s="30" t="s">
        <v>195</v>
      </c>
      <c r="F25" s="43">
        <v>40</v>
      </c>
      <c r="G25" s="43">
        <v>97</v>
      </c>
      <c r="H25" s="43">
        <v>48412</v>
      </c>
      <c r="I25" s="43">
        <v>48245</v>
      </c>
      <c r="J25" s="30" t="s">
        <v>196</v>
      </c>
      <c r="K25" s="43">
        <v>48048</v>
      </c>
      <c r="L25" s="143" t="s">
        <v>51</v>
      </c>
      <c r="M25" s="144">
        <f t="shared" si="0"/>
        <v>104.01600000000001</v>
      </c>
      <c r="N25" s="145" t="str">
        <f>VLOOKUP(C25,'Trips&amp;Operators'!$C$1:$G$99999,5,FALSE)</f>
        <v>LOPES KIMBERLY</v>
      </c>
      <c r="O25" s="194" t="s">
        <v>185</v>
      </c>
      <c r="P25" s="146" t="s">
        <v>561</v>
      </c>
      <c r="Q25" s="30"/>
      <c r="R25" s="89" t="str">
        <f>IF(VLOOKUP(C25,'Train Runs'!$A$13:$AE$9947,1,1)=C25,VLOOKUP(C25,'Train Runs'!$A$13:$AE$9947,31,1),NA())</f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S25" s="92" t="str">
        <f>IF(VLOOKUP(C25,'Train Runs'!$A$13:$AE$9947,1,1)=C25,VLOOKUP(C25,'Train Runs'!$A$13:$AE$9947,22,1),NA())</f>
        <v>https://d0f6bd738d7f1b3e5a7ca70fe4ff75f0.us-east-1.aws.found.io/app/kibana#/discover/Steve-Slow-Train-Analysis-(2080s-and-2083s)?_g=(refreshInterval:(display:Off,pause:!f,section:0,value:0),time:(from:'2017-03-10T14:07:10-0700',mode:absolute,to:'2017-03-10T16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 t="shared" si="1"/>
        <v>"C:\Program Files (x86)\AstroGrep\AstroGrep.exe" /e /r /s /spath="%USERPROFILE%\AppData\Local\Temp\OnboardLogs" /stypes="*4028*201703102*" /stext=" 22:.+((SYSTEM_STATE.+slice.+state.+changed )|(ment ac)|(multiple cpu faults)|(system.+state.+changed )|(\[timeout)|(PRM\|1\|D)|(kpr)|(kdp)|(\|lc)|(penalty))"</v>
      </c>
      <c r="U25" s="9" t="str">
        <f t="shared" si="2"/>
        <v>4028</v>
      </c>
      <c r="V25" s="32">
        <f t="shared" si="3"/>
        <v>42804.943449074075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arrival","project_id":79,"tracker_id":40,"status_id":1,"priority_id":2,"assigned_to_id":23,"start_date":"2017-03-10","description":"","custom_fields":[{"id":1,"name":"Subdivision","value":"EC"},{"id":4,"name":"Milepost","value":"4.8048"},{"id":17,"name":"Train ID","value":"186-10"},{"id":16,"name":"Locomotive ID","value":"4028"},{"id":130,"name":"Impact","value":""},{"id":150,"name":"Time of Event (Mountain Time)","value":"15:38:34"},{"id":151,"name":"Denver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"%USERPROFILE%\AppData\Local\Temp\OnboardLogs"\RTDC4028\*4028*201703102*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"%USERPROFILE%\AppData\Local\Temp\OnboardLogs"\RTDC4028\*4028*201703102* &gt;&gt; 2017-03-10-SliceDisagreementCheck.txt</v>
      </c>
      <c r="AE25" s="157" t="str">
        <f t="shared" si="9"/>
        <v>start /low /b %USERPROFILE%\Documents\GitHub\eaglep3\Utilities\DownloadLogsFromS3.py --loco 4028 --day 2017-03-10</v>
      </c>
      <c r="AF25" s="1"/>
    </row>
    <row r="26" spans="1:32" x14ac:dyDescent="0.25">
      <c r="A26" s="32">
        <v>42804.539409722223</v>
      </c>
      <c r="B26" s="30" t="s">
        <v>567</v>
      </c>
      <c r="C26" s="30" t="s">
        <v>583</v>
      </c>
      <c r="D26" s="30" t="s">
        <v>49</v>
      </c>
      <c r="E26" s="30" t="s">
        <v>195</v>
      </c>
      <c r="F26" s="43">
        <v>50</v>
      </c>
      <c r="G26" s="43">
        <v>102</v>
      </c>
      <c r="H26" s="43">
        <v>48584</v>
      </c>
      <c r="I26" s="43">
        <v>48459</v>
      </c>
      <c r="J26" s="30" t="s">
        <v>196</v>
      </c>
      <c r="K26" s="43">
        <v>48048</v>
      </c>
      <c r="L26" s="143" t="s">
        <v>51</v>
      </c>
      <c r="M26" s="144">
        <f t="shared" si="0"/>
        <v>217.00800000000001</v>
      </c>
      <c r="N26" s="145" t="str">
        <f>VLOOKUP(C26,'Trips&amp;Operators'!$C$1:$G$99999,5,FALSE)</f>
        <v>CLARK KATHLEEN</v>
      </c>
      <c r="O26" s="194" t="s">
        <v>185</v>
      </c>
      <c r="P26" s="146" t="s">
        <v>561</v>
      </c>
      <c r="Q26" s="30"/>
      <c r="R26" s="89" t="str">
        <f>IF(VLOOKUP(C26,'Train Runs'!$A$13:$AE$9947,1,1)=C26,VLOOKUP(C26,'Train Runs'!$A$13:$AE$9947,31,1),NA())</f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S26" s="92" t="str">
        <f>IF(VLOOKUP(C26,'Train Runs'!$A$13:$AE$9947,1,1)=C26,VLOOKUP(C26,'Train Runs'!$A$13:$AE$9947,22,1),NA())</f>
        <v>https://d0f6bd738d7f1b3e5a7ca70fe4ff75f0.us-east-1.aws.found.io/app/kibana#/discover/Steve-Slow-Train-Analysis-(2080s-and-2083s)?_g=(refreshInterval:(display:Off,pause:!f,section:0,value:0),time:(from:'2017-03-10T11:24:39-0700',mode:absolute,to:'2017-03-10T13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94" t="str">
        <f t="shared" si="1"/>
        <v>"C:\Program Files (x86)\AstroGrep\AstroGrep.exe" /e /r /s /spath="%USERPROFILE%\AppData\Local\Temp\OnboardLogs" /stypes="*4032*201703101*" /stext=" 19:.+((SYSTEM_STATE.+slice.+state.+changed )|(ment ac)|(multiple cpu faults)|(system.+state.+changed )|(\[timeout)|(PRM\|1\|D)|(kpr)|(kdp)|(\|lc)|(penalty))"</v>
      </c>
      <c r="U26" s="9" t="str">
        <f t="shared" si="2"/>
        <v>4032</v>
      </c>
      <c r="V26" s="32">
        <f t="shared" si="3"/>
        <v>42804.831076388888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arrival","project_id":79,"tracker_id":40,"status_id":1,"priority_id":2,"assigned_to_id":23,"start_date":"2017-03-10","description":"","custom_fields":[{"id":1,"name":"Subdivision","value":"EC"},{"id":4,"name":"Milepost","value":"4.8048"},{"id":17,"name":"Train ID","value":"164-10"},{"id":16,"name":"Locomotive ID","value":"4032"},{"id":130,"name":"Impact","value":""},{"id":150,"name":"Time of Event (Mountain Time)","value":"12:56:45"},{"id":151,"name":"Denver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"%USERPROFILE%\AppData\Local\Temp\OnboardLogs"\RTDC4032\*4032*201703101*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"%USERPROFILE%\AppData\Local\Temp\OnboardLogs"\RTDC4032\*4032*201703101* &gt;&gt; 2017-03-10-SliceDisagreementCheck.txt</v>
      </c>
      <c r="AE26" s="157" t="str">
        <f t="shared" si="9"/>
        <v>start /low /b %USERPROFILE%\Documents\GitHub\eaglep3\Utilities\DownloadLogsFromS3.py --loco 4032 --day 2017-03-10</v>
      </c>
      <c r="AF26" s="1"/>
    </row>
    <row r="27" spans="1:32" x14ac:dyDescent="0.25">
      <c r="A27" s="32">
        <v>42804.614537037036</v>
      </c>
      <c r="B27" s="30" t="s">
        <v>212</v>
      </c>
      <c r="C27" s="30" t="s">
        <v>589</v>
      </c>
      <c r="D27" s="30" t="s">
        <v>49</v>
      </c>
      <c r="E27" s="30" t="s">
        <v>195</v>
      </c>
      <c r="F27" s="43">
        <v>60</v>
      </c>
      <c r="G27" s="43">
        <v>124</v>
      </c>
      <c r="H27" s="43">
        <v>48698</v>
      </c>
      <c r="I27" s="43">
        <v>48470</v>
      </c>
      <c r="J27" s="30" t="s">
        <v>196</v>
      </c>
      <c r="K27" s="43">
        <v>48048</v>
      </c>
      <c r="L27" s="143" t="s">
        <v>51</v>
      </c>
      <c r="M27" s="144">
        <f t="shared" si="0"/>
        <v>222.816</v>
      </c>
      <c r="N27" s="145" t="str">
        <f>VLOOKUP(C27,'Trips&amp;Operators'!$C$1:$G$99999,5,FALSE)</f>
        <v>ROMERO CHAD</v>
      </c>
      <c r="O27" s="194" t="s">
        <v>185</v>
      </c>
      <c r="P27" s="146" t="s">
        <v>561</v>
      </c>
      <c r="Q27" s="30"/>
      <c r="R27" s="89" t="str">
        <f>IF(VLOOKUP(C27,'Train Runs'!$A$13:$AE$9947,1,1)=C27,VLOOKUP(C27,'Train Runs'!$A$13:$AE$9947,31,1),NA())</f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S27" s="92" t="str">
        <f>IF(VLOOKUP(C27,'Train Runs'!$A$13:$AE$9947,1,1)=C27,VLOOKUP(C27,'Train Runs'!$A$13:$AE$9947,22,1),NA())</f>
        <v>https://d0f6bd738d7f1b3e5a7ca70fe4ff75f0.us-east-1.aws.found.io/app/kibana#/discover/Steve-Slow-Train-Analysis-(2080s-and-2083s)?_g=(refreshInterval:(display:Off,pause:!f,section:0,value:0),time:(from:'2017-03-10T13:49:28-0700',mode:absolute,to:'2017-03-10T16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7" s="94" t="str">
        <f t="shared" si="1"/>
        <v>"C:\Program Files (x86)\AstroGrep\AstroGrep.exe" /e /r /s /spath="%USERPROFILE%\AppData\Local\Temp\OnboardLogs" /stypes="*4045*201703102*" /stext=" 21:.+((SYSTEM_STATE.+slice.+state.+changed )|(ment ac)|(multiple cpu faults)|(system.+state.+changed )|(\[timeout)|(PRM\|1\|D)|(kpr)|(kdp)|(\|lc)|(penalty))"</v>
      </c>
      <c r="U27" s="9" t="str">
        <f t="shared" si="2"/>
        <v>4045</v>
      </c>
      <c r="V27" s="32">
        <f t="shared" si="3"/>
        <v>42804.9062037037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arrival","project_id":79,"tracker_id":40,"status_id":1,"priority_id":2,"assigned_to_id":23,"start_date":"2017-03-10","description":"","custom_fields":[{"id":1,"name":"Subdivision","value":"EC"},{"id":4,"name":"Milepost","value":"4.8048"},{"id":17,"name":"Train ID","value":"176-10"},{"id":16,"name":"Locomotive ID","value":"4045"},{"id":130,"name":"Impact","value":""},{"id":150,"name":"Time of Event (Mountain Time)","value":"14:44:56"},{"id":151,"name":"Denver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"%USERPROFILE%\AppData\Local\Temp\OnboardLogs"\RTDC4045\*4045*201703102*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"%USERPROFILE%\AppData\Local\Temp\OnboardLogs"\RTDC4045\*4045*201703102* &gt;&gt; 2017-03-10-SliceDisagreementCheck.txt</v>
      </c>
      <c r="AE27" s="157" t="str">
        <f t="shared" si="9"/>
        <v>start /low /b %USERPROFILE%\Documents\GitHub\eaglep3\Utilities\DownloadLogsFromS3.py --loco 4045 --day 2017-03-10</v>
      </c>
      <c r="AF27" s="1"/>
    </row>
    <row r="28" spans="1:32" x14ac:dyDescent="0.25">
      <c r="A28" s="32">
        <v>42804.505335648151</v>
      </c>
      <c r="B28" s="30" t="s">
        <v>580</v>
      </c>
      <c r="C28" s="30" t="s">
        <v>581</v>
      </c>
      <c r="D28" s="30" t="s">
        <v>49</v>
      </c>
      <c r="E28" s="30" t="s">
        <v>195</v>
      </c>
      <c r="F28" s="43">
        <v>90</v>
      </c>
      <c r="G28" s="43">
        <v>140</v>
      </c>
      <c r="H28" s="43">
        <v>48436</v>
      </c>
      <c r="I28" s="43">
        <v>48243</v>
      </c>
      <c r="J28" s="30" t="s">
        <v>196</v>
      </c>
      <c r="K28" s="43">
        <v>48048</v>
      </c>
      <c r="L28" s="143" t="s">
        <v>51</v>
      </c>
      <c r="M28" s="144">
        <f t="shared" si="0"/>
        <v>102.96</v>
      </c>
      <c r="N28" s="145" t="str">
        <f>VLOOKUP(C28,'Trips&amp;Operators'!$C$1:$G$99999,5,FALSE)</f>
        <v>GEBRETEKLE DAGNEW</v>
      </c>
      <c r="O28" s="194" t="s">
        <v>185</v>
      </c>
      <c r="P28" s="146" t="s">
        <v>561</v>
      </c>
      <c r="Q28" s="30"/>
      <c r="R28" s="89" t="str">
        <f>IF(VLOOKUP(C28,'Train Runs'!$A$13:$AE$9947,1,1)=C28,VLOOKUP(C28,'Train Runs'!$A$13:$AE$9947,31,1),NA())</f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S28" s="92" t="str">
        <f>IF(VLOOKUP(C28,'Train Runs'!$A$13:$AE$9947,1,1)=C28,VLOOKUP(C28,'Train Runs'!$A$13:$AE$9947,22,1),NA())</f>
        <v>https://d0f6bd738d7f1b3e5a7ca70fe4ff75f0.us-east-1.aws.found.io/app/kibana#/discover/Steve-Slow-Train-Analysis-(2080s-and-2083s)?_g=(refreshInterval:(display:Off,pause:!f,section:0,value:0),time:(from:'2017-03-10T10:37:02-0700',mode:absolute,to:'2017-03-10T13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94" t="str">
        <f t="shared" si="1"/>
        <v>"C:\Program Files (x86)\AstroGrep\AstroGrep.exe" /e /r /s /spath="%USERPROFILE%\AppData\Local\Temp\OnboardLogs" /stypes="*4028*201703101*" /stext=" 19:.+((SYSTEM_STATE.+slice.+state.+changed )|(ment ac)|(multiple cpu faults)|(system.+state.+changed )|(\[timeout)|(PRM\|1\|D)|(kpr)|(kdp)|(\|lc)|(penalty))"</v>
      </c>
      <c r="U28" s="9" t="str">
        <f t="shared" si="2"/>
        <v>4028</v>
      </c>
      <c r="V28" s="32">
        <f t="shared" si="3"/>
        <v>42804.797002314815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arrival","project_id":79,"tracker_id":40,"status_id":1,"priority_id":2,"assigned_to_id":23,"start_date":"2017-03-10","description":"","custom_fields":[{"id":1,"name":"Subdivision","value":"EC"},{"id":4,"name":"Milepost","value":"4.8048"},{"id":17,"name":"Train ID","value":"158-10"},{"id":16,"name":"Locomotive ID","value":"4028"},{"id":130,"name":"Impact","value":""},{"id":150,"name":"Time of Event (Mountain Time)","value":"12:07:41"},{"id":151,"name":"Denver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"%USERPROFILE%\AppData\Local\Temp\OnboardLogs"\RTDC4028\*4028*201703101*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"%USERPROFILE%\AppData\Local\Temp\OnboardLogs"\RTDC4028\*4028*201703101* &gt;&gt; 2017-03-10-SliceDisagreementCheck.txt</v>
      </c>
      <c r="AE28" s="157" t="str">
        <f t="shared" si="9"/>
        <v>start /low /b %USERPROFILE%\Documents\GitHub\eaglep3\Utilities\DownloadLogsFromS3.py --loco 4028 --day 2017-03-10</v>
      </c>
      <c r="AF28" s="1"/>
    </row>
    <row r="29" spans="1:32" x14ac:dyDescent="0.25">
      <c r="A29" s="32">
        <v>42804.777083333334</v>
      </c>
      <c r="B29" s="30" t="s">
        <v>564</v>
      </c>
      <c r="C29" s="30" t="s">
        <v>605</v>
      </c>
      <c r="D29" s="30" t="s">
        <v>98</v>
      </c>
      <c r="E29" s="30" t="s">
        <v>195</v>
      </c>
      <c r="F29" s="43">
        <v>290</v>
      </c>
      <c r="G29" s="43">
        <v>343</v>
      </c>
      <c r="H29" s="43">
        <v>58170</v>
      </c>
      <c r="I29" s="43">
        <v>57191</v>
      </c>
      <c r="J29" s="30" t="s">
        <v>196</v>
      </c>
      <c r="K29" s="43">
        <v>58301</v>
      </c>
      <c r="L29" s="143" t="s">
        <v>51</v>
      </c>
      <c r="M29" s="144">
        <f t="shared" si="0"/>
        <v>-586.08000000000004</v>
      </c>
      <c r="N29" s="145" t="str">
        <f>VLOOKUP(C29,'Trips&amp;Operators'!$C$1:$G$99999,5,FALSE)</f>
        <v>HOLCOMB KAMDEN</v>
      </c>
      <c r="O29" s="194" t="s">
        <v>185</v>
      </c>
      <c r="P29" s="146" t="s">
        <v>561</v>
      </c>
      <c r="Q29" s="30"/>
      <c r="R29" s="89" t="str">
        <f>IF(VLOOKUP(C29,'Train Runs'!$A$13:$AE$9947,1,1)=C29,VLOOKUP(C29,'Train Runs'!$A$13:$AE$9947,31,1),NA())</f>
        <v>aws s3 cp s3://rtdc.mdm.uploadarchive.raw/RTDC4052/ "%USERPROFILE%\AppData\Local\Temp\OnboardLogs"\RTDC4052\2017-03-10 --exclude "*" --recursive --include "*20170310*" &amp; "%USERPROFILE%\Documents\GitHub\mrs-test-scripts\Headless Mode &amp; Sideloading\WalkAndUnGZ.bat" "%USERPROFILE%\AppData\Local\Temp\OnboardLogs"\RTDC4052\2017-03-10 &amp; aws s3 cp s3://rtdc.mdm.uploadarchive.raw/RTDC4052/ "%USERPROFILE%\AppData\Local\Temp\OnboardLogs"\RTDC4052\2017-03-11 --exclude "*" --recursive --include "*20170311*" &amp; "%USERPROFILE%\Documents\GitHub\mrs-test-scripts\Headless Mode &amp; Sideloading\WalkAndUnGZ.bat" "%USERPROFILE%\AppData\Local\Temp\OnboardLogs"\RTDC4052\2017-03-11</v>
      </c>
      <c r="S29" s="92" t="str">
        <f>IF(VLOOKUP(C29,'Train Runs'!$A$13:$AE$9947,1,1)=C29,VLOOKUP(C29,'Train Runs'!$A$13:$AE$9947,22,1),NA())</f>
        <v>https://d0f6bd738d7f1b3e5a7ca70fe4ff75f0.us-east-1.aws.found.io/app/kibana#/discover/Steve-Slow-Train-Analysis-(2080s-and-2083s)?_g=(refreshInterval:(display:Off,pause:!f,section:0,value:0),time:(from:'2017-03-10T17:05:48-0700',mode:absolute,to:'2017-03-10T19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9" s="94" t="str">
        <f t="shared" si="1"/>
        <v>"C:\Program Files (x86)\AstroGrep\AstroGrep.exe" /e /r /s /spath="%USERPROFILE%\AppData\Local\Temp\OnboardLogs" /stypes="*4052*201703110*" /stext=" 01:.+((SYSTEM_STATE.+slice.+state.+changed )|(ment ac)|(multiple cpu faults)|(system.+state.+changed )|(\[timeout)|(PRM\|1\|D)|(kpr)|(kdp)|(\|lc)|(penalty))"</v>
      </c>
      <c r="U29" s="9" t="str">
        <f t="shared" si="2"/>
        <v>4052</v>
      </c>
      <c r="V29" s="32">
        <f t="shared" si="3"/>
        <v>42805.068749999999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arrival","project_id":79,"tracker_id":40,"status_id":1,"priority_id":2,"assigned_to_id":23,"start_date":"2017-03-10","description":"","custom_fields":[{"id":1,"name":"Subdivision","value":"EC"},{"id":4,"name":"Milepost","value":"5.8301"},{"id":17,"name":"Train ID","value":"210-10"},{"id":16,"name":"Locomotive ID","value":"4052"},{"id":130,"name":"Impact","value":""},{"id":150,"name":"Time of Event (Mountain Time)","value":"18:39:00"},{"id":151,"name":"Denver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"%USERPROFILE%\AppData\Local\Temp\OnboardLogs"\RTDC4052\*4052*201703110*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"%USERPROFILE%\AppData\Local\Temp\OnboardLogs"\RTDC4052\*4052*201703110* &gt;&gt; 2017-03-10-SliceDisagreementCheck.txt</v>
      </c>
      <c r="AE29" s="157" t="str">
        <f t="shared" si="9"/>
        <v>start /low /b %USERPROFILE%\Documents\GitHub\eaglep3\Utilities\DownloadLogsFromS3.py --loco 4052 --day 2017-03-11</v>
      </c>
      <c r="AF29" s="1"/>
    </row>
    <row r="30" spans="1:32" x14ac:dyDescent="0.25">
      <c r="A30" s="32">
        <v>42804.795023148145</v>
      </c>
      <c r="B30" s="30" t="s">
        <v>580</v>
      </c>
      <c r="C30" s="30" t="s">
        <v>606</v>
      </c>
      <c r="D30" s="30" t="s">
        <v>49</v>
      </c>
      <c r="E30" s="30" t="s">
        <v>195</v>
      </c>
      <c r="F30" s="43">
        <v>80</v>
      </c>
      <c r="G30" s="43">
        <v>135</v>
      </c>
      <c r="H30" s="43">
        <v>64031</v>
      </c>
      <c r="I30" s="43">
        <v>63844</v>
      </c>
      <c r="J30" s="30" t="s">
        <v>196</v>
      </c>
      <c r="K30" s="43">
        <v>63309</v>
      </c>
      <c r="L30" s="143" t="s">
        <v>51</v>
      </c>
      <c r="M30" s="144">
        <f t="shared" si="0"/>
        <v>282.48</v>
      </c>
      <c r="N30" s="145" t="str">
        <f>VLOOKUP(C30,'Trips&amp;Operators'!$C$1:$G$99999,5,FALSE)</f>
        <v>STORY SAMANTHA</v>
      </c>
      <c r="O30" s="194" t="s">
        <v>185</v>
      </c>
      <c r="P30" s="146" t="s">
        <v>561</v>
      </c>
      <c r="Q30" s="30"/>
      <c r="R30" s="89" t="str">
        <f>IF(VLOOKUP(C30,'Train Runs'!$A$13:$AE$9947,1,1)=C30,VLOOKUP(C30,'Train Runs'!$A$13:$AE$9947,31,1),NA())</f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S30" s="92" t="str">
        <f>IF(VLOOKUP(C30,'Train Runs'!$A$13:$AE$9947,1,1)=C30,VLOOKUP(C30,'Train Runs'!$A$13:$AE$9947,22,1),NA())</f>
        <v>https://d0f6bd738d7f1b3e5a7ca70fe4ff75f0.us-east-1.aws.found.io/app/kibana#/discover/Steve-Slow-Train-Analysis-(2080s-and-2083s)?_g=(refreshInterval:(display:Off,pause:!f,section:0,value:0),time:(from:'2017-03-10T17:38:46-0700',mode:absolute,to:'2017-03-10T20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94" t="str">
        <f t="shared" si="1"/>
        <v>"C:\Program Files (x86)\AstroGrep\AstroGrep.exe" /e /r /s /spath="%USERPROFILE%\AppData\Local\Temp\OnboardLogs" /stypes="*4028*201703110*" /stext=" 02:.+((SYSTEM_STATE.+slice.+state.+changed )|(ment ac)|(multiple cpu faults)|(system.+state.+changed )|(\[timeout)|(PRM\|1\|D)|(kpr)|(kdp)|(\|lc)|(penalty))"</v>
      </c>
      <c r="U30" s="9" t="str">
        <f t="shared" si="2"/>
        <v>4028</v>
      </c>
      <c r="V30" s="32">
        <f t="shared" si="3"/>
        <v>42805.086689814809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arrival","project_id":79,"tracker_id":40,"status_id":1,"priority_id":2,"assigned_to_id":23,"start_date":"2017-03-10","description":"","custom_fields":[{"id":1,"name":"Subdivision","value":"EC"},{"id":4,"name":"Milepost","value":"6.3309"},{"id":17,"name":"Train ID","value":"214-10"},{"id":16,"name":"Locomotive ID","value":"4028"},{"id":130,"name":"Impact","value":""},{"id":150,"name":"Time of Event (Mountain Time)","value":"19:04:50"},{"id":151,"name":"Denver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"%USERPROFILE%\AppData\Local\Temp\OnboardLogs"\RTDC4028\*4028*201703110*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"%USERPROFILE%\AppData\Local\Temp\OnboardLogs"\RTDC4028\*4028*201703110* &gt;&gt; 2017-03-10-SliceDisagreementCheck.txt</v>
      </c>
      <c r="AE30" s="157" t="str">
        <f t="shared" si="9"/>
        <v>start /low /b %USERPROFILE%\Documents\GitHub\eaglep3\Utilities\DownloadLogsFromS3.py --loco 4028 --day 2017-03-11</v>
      </c>
      <c r="AF30" s="1"/>
    </row>
    <row r="31" spans="1:32" x14ac:dyDescent="0.25">
      <c r="A31" s="32">
        <v>42804.588587962964</v>
      </c>
      <c r="B31" s="30" t="s">
        <v>586</v>
      </c>
      <c r="C31" s="30" t="s">
        <v>587</v>
      </c>
      <c r="D31" s="30" t="s">
        <v>49</v>
      </c>
      <c r="E31" s="30" t="s">
        <v>195</v>
      </c>
      <c r="F31" s="43">
        <v>120</v>
      </c>
      <c r="G31" s="43">
        <v>170</v>
      </c>
      <c r="H31" s="43">
        <v>63711</v>
      </c>
      <c r="I31" s="43">
        <v>63444</v>
      </c>
      <c r="J31" s="30" t="s">
        <v>196</v>
      </c>
      <c r="K31" s="43">
        <v>63309</v>
      </c>
      <c r="L31" s="143" t="s">
        <v>51</v>
      </c>
      <c r="M31" s="144">
        <f t="shared" si="0"/>
        <v>71.28</v>
      </c>
      <c r="N31" s="145" t="str">
        <f>VLOOKUP(C31,'Trips&amp;Operators'!$C$1:$G$99999,5,FALSE)</f>
        <v>STEWART MICHAEL</v>
      </c>
      <c r="O31" s="194" t="s">
        <v>185</v>
      </c>
      <c r="P31" s="146" t="s">
        <v>561</v>
      </c>
      <c r="Q31" s="30"/>
      <c r="R31" s="89" t="str">
        <f>IF(VLOOKUP(C31,'Train Runs'!$A$13:$AE$9947,1,1)=C31,VLOOKUP(C31,'Train Runs'!$A$13:$AE$9947,31,1),NA())</f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S31" s="92" t="str">
        <f>IF(VLOOKUP(C31,'Train Runs'!$A$13:$AE$9947,1,1)=C31,VLOOKUP(C31,'Train Runs'!$A$13:$AE$9947,22,1),NA())</f>
        <v>https://d0f6bd738d7f1b3e5a7ca70fe4ff75f0.us-east-1.aws.found.io/app/kibana#/discover/Steve-Slow-Train-Analysis-(2080s-and-2083s)?_g=(refreshInterval:(display:Off,pause:!f,section:0,value:0),time:(from:'2017-03-10T12:35:41-0700',mode:absolute,to:'2017-03-10T17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1" s="94" t="str">
        <f t="shared" si="1"/>
        <v>"C:\Program Files (x86)\AstroGrep\AstroGrep.exe" /e /r /s /spath="%USERPROFILE%\AppData\Local\Temp\OnboardLogs" /stypes="*4054*201703102*" /stext=" 21:.+((SYSTEM_STATE.+slice.+state.+changed )|(ment ac)|(multiple cpu faults)|(system.+state.+changed )|(\[timeout)|(PRM\|1\|D)|(kpr)|(kdp)|(\|lc)|(penalty))"</v>
      </c>
      <c r="U31" s="9" t="str">
        <f t="shared" si="2"/>
        <v>4054</v>
      </c>
      <c r="V31" s="32">
        <f t="shared" si="3"/>
        <v>42804.880254629628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arrival","project_id":79,"tracker_id":40,"status_id":1,"priority_id":2,"assigned_to_id":23,"start_date":"2017-03-10","description":"","custom_fields":[{"id":1,"name":"Subdivision","value":"EC"},{"id":4,"name":"Milepost","value":"6.3309"},{"id":17,"name":"Train ID","value":"174-10"},{"id":16,"name":"Locomotive ID","value":"4054"},{"id":130,"name":"Impact","value":""},{"id":150,"name":"Time of Event (Mountain Time)","value":"14:07:34"},{"id":151,"name":"Denver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"%USERPROFILE%\AppData\Local\Temp\OnboardLogs"\RTDC4054\*4054*201703102*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"%USERPROFILE%\AppData\Local\Temp\OnboardLogs"\RTDC4054\*4054*201703102* &gt;&gt; 2017-03-10-SliceDisagreementCheck.txt</v>
      </c>
      <c r="AE31" s="157" t="str">
        <f t="shared" si="9"/>
        <v>start /low /b %USERPROFILE%\Documents\GitHub\eaglep3\Utilities\DownloadLogsFromS3.py --loco 4054 --day 2017-03-10</v>
      </c>
      <c r="AF31" s="1"/>
    </row>
    <row r="32" spans="1:32" x14ac:dyDescent="0.25">
      <c r="A32" s="32">
        <v>42804.744247685187</v>
      </c>
      <c r="B32" s="30" t="s">
        <v>400</v>
      </c>
      <c r="C32" s="30" t="s">
        <v>602</v>
      </c>
      <c r="D32" s="30" t="s">
        <v>98</v>
      </c>
      <c r="E32" s="30" t="s">
        <v>195</v>
      </c>
      <c r="F32" s="43">
        <v>130</v>
      </c>
      <c r="G32" s="43">
        <v>192</v>
      </c>
      <c r="H32" s="43">
        <v>63035</v>
      </c>
      <c r="I32" s="43">
        <v>59097</v>
      </c>
      <c r="J32" s="30" t="s">
        <v>196</v>
      </c>
      <c r="K32" s="43">
        <v>63309</v>
      </c>
      <c r="L32" s="143" t="s">
        <v>51</v>
      </c>
      <c r="M32" s="144">
        <f t="shared" si="0"/>
        <v>-2223.9360000000001</v>
      </c>
      <c r="N32" s="145" t="str">
        <f>VLOOKUP(C32,'Trips&amp;Operators'!$C$1:$G$99999,5,FALSE)</f>
        <v>ROMERO CHAD</v>
      </c>
      <c r="O32" s="194" t="s">
        <v>185</v>
      </c>
      <c r="P32" s="146" t="s">
        <v>561</v>
      </c>
      <c r="Q32" s="30"/>
      <c r="R32" s="89" t="str">
        <f>IF(VLOOKUP(C32,'Train Runs'!$A$13:$AE$9947,1,1)=C32,VLOOKUP(C32,'Train Runs'!$A$13:$AE$9947,31,1),NA())</f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S32" s="92" t="str">
        <f>IF(VLOOKUP(C32,'Train Runs'!$A$13:$AE$9947,1,1)=C32,VLOOKUP(C32,'Train Runs'!$A$13:$AE$9947,22,1),NA())</f>
        <v>https://d0f6bd738d7f1b3e5a7ca70fe4ff75f0.us-east-1.aws.found.io/app/kibana#/discover/Steve-Slow-Train-Analysis-(2080s-and-2083s)?_g=(refreshInterval:(display:Off,pause:!f,section:0,value:0),time:(from:'2017-03-10T16:23:03-0700',mode:absolute,to:'2017-03-10T19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2" s="94" t="str">
        <f t="shared" si="1"/>
        <v>"C:\Program Files (x86)\AstroGrep\AstroGrep.exe" /e /r /s /spath="%USERPROFILE%\AppData\Local\Temp\OnboardLogs" /stypes="*4004*201703110*" /stext=" 00:.+((SYSTEM_STATE.+slice.+state.+changed )|(ment ac)|(multiple cpu faults)|(system.+state.+changed )|(\[timeout)|(PRM\|1\|D)|(kpr)|(kdp)|(\|lc)|(penalty))"</v>
      </c>
      <c r="U32" s="9" t="str">
        <f t="shared" si="2"/>
        <v>4004</v>
      </c>
      <c r="V32" s="32">
        <f t="shared" si="3"/>
        <v>42805.035914351851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arrival","project_id":79,"tracker_id":40,"status_id":1,"priority_id":2,"assigned_to_id":23,"start_date":"2017-03-10","description":"","custom_fields":[{"id":1,"name":"Subdivision","value":"EC"},{"id":4,"name":"Milepost","value":"6.3309"},{"id":17,"name":"Train ID","value":"204-10"},{"id":16,"name":"Locomotive ID","value":"4004"},{"id":130,"name":"Impact","value":""},{"id":150,"name":"Time of Event (Mountain Time)","value":"17:51:43"},{"id":151,"name":"Denver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"%USERPROFILE%\AppData\Local\Temp\OnboardLogs"\RTDC4004\*4004*201703110*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"%USERPROFILE%\AppData\Local\Temp\OnboardLogs"\RTDC4004\*4004*201703110* &gt;&gt; 2017-03-10-SliceDisagreementCheck.txt</v>
      </c>
      <c r="AE32" s="157" t="str">
        <f t="shared" si="9"/>
        <v>start /low /b %USERPROFILE%\Documents\GitHub\eaglep3\Utilities\DownloadLogsFromS3.py --loco 4004 --day 2017-03-11</v>
      </c>
      <c r="AF32" s="1"/>
    </row>
    <row r="33" spans="1:32" x14ac:dyDescent="0.25">
      <c r="A33" s="32">
        <v>42804.732835648145</v>
      </c>
      <c r="B33" s="30" t="s">
        <v>586</v>
      </c>
      <c r="C33" s="30" t="s">
        <v>601</v>
      </c>
      <c r="D33" s="30" t="s">
        <v>49</v>
      </c>
      <c r="E33" s="30" t="s">
        <v>195</v>
      </c>
      <c r="F33" s="43">
        <v>160</v>
      </c>
      <c r="G33" s="43">
        <v>212</v>
      </c>
      <c r="H33" s="43">
        <v>63675</v>
      </c>
      <c r="I33" s="43">
        <v>63315</v>
      </c>
      <c r="J33" s="30" t="s">
        <v>196</v>
      </c>
      <c r="K33" s="43">
        <v>63309</v>
      </c>
      <c r="L33" s="143" t="s">
        <v>51</v>
      </c>
      <c r="M33" s="144">
        <f t="shared" si="0"/>
        <v>3.1680000000000001</v>
      </c>
      <c r="N33" s="145" t="e">
        <f>VLOOKUP(C33,'Trips&amp;Operators'!$C$1:$G$99999,5,FALSE)</f>
        <v>#N/A</v>
      </c>
      <c r="O33" s="194" t="s">
        <v>185</v>
      </c>
      <c r="P33" s="146" t="s">
        <v>561</v>
      </c>
      <c r="Q33" s="30"/>
      <c r="R33" s="89" t="str">
        <f>IF(VLOOKUP(C33,'Train Runs'!$A$13:$AE$9947,1,1)=C33,VLOOKUP(C33,'Train Runs'!$A$13:$AE$9947,31,1),NA())</f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S33" s="92" t="str">
        <f>IF(VLOOKUP(C33,'Train Runs'!$A$13:$AE$9947,1,1)=C33,VLOOKUP(C33,'Train Runs'!$A$13:$AE$9947,22,1),NA())</f>
        <v>https://d0f6bd738d7f1b3e5a7ca70fe4ff75f0.us-east-1.aws.found.io/app/kibana#/discover/Steve-Slow-Train-Analysis-(2080s-and-2083s)?_g=(refreshInterval:(display:Off,pause:!f,section:0,value:0),time:(from:'2017-03-10T16:08:57-0700',mode:absolute,to:'2017-03-10T18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3" s="94" t="str">
        <f t="shared" si="1"/>
        <v>"C:\Program Files (x86)\AstroGrep\AstroGrep.exe" /e /r /s /spath="%USERPROFILE%\AppData\Local\Temp\OnboardLogs" /stypes="*4054*201703110*" /stext=" 00:.+((SYSTEM_STATE.+slice.+state.+changed )|(ment ac)|(multiple cpu faults)|(system.+state.+changed )|(\[timeout)|(PRM\|1\|D)|(kpr)|(kdp)|(\|lc)|(penalty))"</v>
      </c>
      <c r="U33" s="9" t="str">
        <f t="shared" si="2"/>
        <v>4054</v>
      </c>
      <c r="V33" s="32">
        <f t="shared" si="3"/>
        <v>42805.024502314809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arrival","project_id":79,"tracker_id":40,"status_id":1,"priority_id":2,"assigned_to_id":23,"start_date":"2017-03-10","description":"","custom_fields":[{"id":1,"name":"Subdivision","value":"EC"},{"id":4,"name":"Milepost","value":"6.3309"},{"id":17,"name":"Train ID","value":"202-10"},{"id":16,"name":"Locomotive ID","value":"4054"},{"id":130,"name":"Impact","value":""},{"id":150,"name":"Time of Event (Mountain Time)","value":"17:35:17"},{"id":151,"name":"Denver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"%USERPROFILE%\AppData\Local\Temp\OnboardLogs"\RTDC4054\*4054*201703110*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"%USERPROFILE%\AppData\Local\Temp\OnboardLogs"\RTDC4054\*4054*201703110* &gt;&gt; 2017-03-10-SliceDisagreementCheck.txt</v>
      </c>
      <c r="AE33" s="157" t="str">
        <f t="shared" si="9"/>
        <v>start /low /b %USERPROFILE%\Documents\GitHub\eaglep3\Utilities\DownloadLogsFromS3.py --loco 4054 --day 2017-03-11</v>
      </c>
      <c r="AF33" s="1"/>
    </row>
    <row r="34" spans="1:32" x14ac:dyDescent="0.25">
      <c r="A34" s="32">
        <v>42804.755173611113</v>
      </c>
      <c r="B34" s="30" t="s">
        <v>593</v>
      </c>
      <c r="C34" s="30" t="s">
        <v>603</v>
      </c>
      <c r="D34" s="30" t="s">
        <v>49</v>
      </c>
      <c r="E34" s="30" t="s">
        <v>195</v>
      </c>
      <c r="F34" s="43">
        <v>540</v>
      </c>
      <c r="G34" s="43">
        <v>610</v>
      </c>
      <c r="H34" s="43">
        <v>107214</v>
      </c>
      <c r="I34" s="43">
        <v>109595</v>
      </c>
      <c r="J34" s="30" t="s">
        <v>196</v>
      </c>
      <c r="K34" s="43">
        <v>108954</v>
      </c>
      <c r="L34" s="143" t="s">
        <v>50</v>
      </c>
      <c r="M34" s="144">
        <f t="shared" si="0"/>
        <v>-338.44800000000004</v>
      </c>
      <c r="N34" s="145" t="str">
        <f>VLOOKUP(C34,'Trips&amp;Operators'!$C$1:$G$99999,5,FALSE)</f>
        <v>STORY SAMANTHA</v>
      </c>
      <c r="O34" s="194" t="s">
        <v>185</v>
      </c>
      <c r="P34" s="146" t="s">
        <v>561</v>
      </c>
      <c r="Q34" s="30"/>
      <c r="R34" s="89" t="str">
        <f>IF(VLOOKUP(C34,'Train Runs'!$A$13:$AE$9947,1,1)=C34,VLOOKUP(C34,'Train Runs'!$A$13:$AE$9947,31,1),NA())</f>
        <v>aws s3 cp s3://rtdc.mdm.uploadarchive.raw/RTDC4027/ "%USERPROFILE%\AppData\Local\Temp\OnboardLogs"\RTDC4027\2017-03-10 --exclude "*" --recursive --include "*20170310*" &amp; "%USERPROFILE%\Documents\GitHub\mrs-test-scripts\Headless Mode &amp; Sideloading\WalkAndUnGZ.bat" "%USERPROFILE%\AppData\Local\Temp\OnboardLogs"\RTDC4027\2017-03-10 &amp; aws s3 cp s3://rtdc.mdm.uploadarchive.raw/RTDC4027/ "%USERPROFILE%\AppData\Local\Temp\OnboardLogs"\RTDC4027\2017-03-11 --exclude "*" --recursive --include "*20170311*" &amp; "%USERPROFILE%\Documents\GitHub\mrs-test-scripts\Headless Mode &amp; Sideloading\WalkAndUnGZ.bat" "%USERPROFILE%\AppData\Local\Temp\OnboardLogs"\RTDC4027\2017-03-11</v>
      </c>
      <c r="S34" s="92" t="str">
        <f>IF(VLOOKUP(C34,'Train Runs'!$A$13:$AE$9947,1,1)=C34,VLOOKUP(C34,'Train Runs'!$A$13:$AE$9947,22,1),NA())</f>
        <v>https://d0f6bd738d7f1b3e5a7ca70fe4ff75f0.us-east-1.aws.found.io/app/kibana#/discover/Steve-Slow-Train-Analysis-(2080s-and-2083s)?_g=(refreshInterval:(display:Off,pause:!f,section:0,value:0),time:(from:'2017-03-10T16:43:06-0700',mode:absolute,to:'2017-03-10T19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4" s="94" t="str">
        <f t="shared" si="1"/>
        <v>"C:\Program Files (x86)\AstroGrep\AstroGrep.exe" /e /r /s /spath="%USERPROFILE%\AppData\Local\Temp\OnboardLogs" /stypes="*4027*201703110*" /stext=" 01:.+((SYSTEM_STATE.+slice.+state.+changed )|(ment ac)|(multiple cpu faults)|(system.+state.+changed )|(\[timeout)|(PRM\|1\|D)|(kpr)|(kdp)|(\|lc)|(penalty))"</v>
      </c>
      <c r="U34" s="9" t="str">
        <f t="shared" si="2"/>
        <v>4027</v>
      </c>
      <c r="V34" s="32">
        <f t="shared" si="3"/>
        <v>42805.046840277777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arrival","project_id":79,"tracker_id":40,"status_id":1,"priority_id":2,"assigned_to_id":23,"start_date":"2017-03-10","description":"","custom_fields":[{"id":1,"name":"Subdivision","value":"EC"},{"id":4,"name":"Milepost","value":"10.8954"},{"id":17,"name":"Train ID","value":"213-10"},{"id":16,"name":"Locomotive ID","value":"4027"},{"id":130,"name":"Impact","value":""},{"id":150,"name":"Time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"%USERPROFILE%\AppData\Local\Temp\OnboardLogs"\RTDC4027\*4027*201703110*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"%USERPROFILE%\AppData\Local\Temp\OnboardLogs"\RTDC4027\*4027*201703110* &gt;&gt; 2017-03-10-SliceDisagreementCheck.txt</v>
      </c>
      <c r="AE34" s="157" t="str">
        <f t="shared" si="9"/>
        <v>start /low /b %USERPROFILE%\Documents\GitHub\eaglep3\Utilities\DownloadLogsFromS3.py --loco 4027 --day 2017-03-11</v>
      </c>
      <c r="AF34" s="1"/>
    </row>
    <row r="35" spans="1:32" x14ac:dyDescent="0.25">
      <c r="A35" s="32">
        <v>42804.524548611109</v>
      </c>
      <c r="B35" s="30" t="s">
        <v>212</v>
      </c>
      <c r="C35" s="30" t="s">
        <v>582</v>
      </c>
      <c r="D35" s="30" t="s">
        <v>49</v>
      </c>
      <c r="E35" s="30" t="s">
        <v>195</v>
      </c>
      <c r="F35" s="43">
        <v>360</v>
      </c>
      <c r="G35" s="43">
        <v>415</v>
      </c>
      <c r="H35" s="43">
        <v>110215</v>
      </c>
      <c r="I35" s="43">
        <v>108954</v>
      </c>
      <c r="J35" s="30" t="s">
        <v>196</v>
      </c>
      <c r="K35" s="43">
        <v>109135</v>
      </c>
      <c r="L35" s="143" t="s">
        <v>51</v>
      </c>
      <c r="M35" s="144">
        <f t="shared" si="0"/>
        <v>-95.567999999999998</v>
      </c>
      <c r="N35" s="145" t="str">
        <f>VLOOKUP(C35,'Trips&amp;Operators'!$C$1:$G$99999,5,FALSE)</f>
        <v>ROMERO CHAD</v>
      </c>
      <c r="O35" s="194" t="s">
        <v>185</v>
      </c>
      <c r="P35" s="146" t="s">
        <v>561</v>
      </c>
      <c r="Q35" s="30"/>
      <c r="R35" s="89" t="str">
        <f>IF(VLOOKUP(C35,'Train Runs'!$A$13:$AE$9947,1,1)=C35,VLOOKUP(C35,'Train Runs'!$A$13:$AE$9947,31,1),NA())</f>
        <v>aws s3 cp s3://rtdc.mdm.uploadarchive.raw/RTDC4045/ "%USERPROFILE%\AppData\Local\Temp\OnboardLogs"\RTDC4045\2017-03-10 --exclude "*" --recursive --include "*20170310*" &amp; "%USERPROFILE%\Documents\GitHub\mrs-test-scripts\Headless Mode &amp; Sideloading\WalkAndUnGZ.bat" "%USERPROFILE%\AppData\Local\Temp\OnboardLogs"\RTDC4045\2017-03-10 &amp; aws s3 cp s3://rtdc.mdm.uploadarchive.raw/RTDC4045/ "%USERPROFILE%\AppData\Local\Temp\OnboardLogs"\RTDC4045\2017-03-11 --exclude "*" --recursive --include "*20170311*" &amp; "%USERPROFILE%\Documents\GitHub\mrs-test-scripts\Headless Mode &amp; Sideloading\WalkAndUnGZ.bat" "%USERPROFILE%\AppData\Local\Temp\OnboardLogs"\RTDC4045\2017-03-11</v>
      </c>
      <c r="S35" s="92" t="str">
        <f>IF(VLOOKUP(C35,'Train Runs'!$A$13:$AE$9947,1,1)=C35,VLOOKUP(C35,'Train Runs'!$A$13:$AE$9947,22,1),NA())</f>
        <v>https://d0f6bd738d7f1b3e5a7ca70fe4ff75f0.us-east-1.aws.found.io/app/kibana#/discover/Steve-Slow-Train-Analysis-(2080s-and-2083s)?_g=(refreshInterval:(display:Off,pause:!f,section:0,value:0),time:(from:'2017-03-10T11:06:05-0700',mode:absolute,to:'2017-03-10T13:58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5" s="94" t="str">
        <f t="shared" si="1"/>
        <v>"C:\Program Files (x86)\AstroGrep\AstroGrep.exe" /e /r /s /spath="%USERPROFILE%\AppData\Local\Temp\OnboardLogs" /stypes="*4045*201703101*" /stext=" 19:.+((SYSTEM_STATE.+slice.+state.+changed )|(ment ac)|(multiple cpu faults)|(system.+state.+changed )|(\[timeout)|(PRM\|1\|D)|(kpr)|(kdp)|(\|lc)|(penalty))"</v>
      </c>
      <c r="U35" s="9" t="str">
        <f t="shared" si="2"/>
        <v>4045</v>
      </c>
      <c r="V35" s="32">
        <f t="shared" si="3"/>
        <v>42804.816215277773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arrival","project_id":79,"tracker_id":40,"status_id":1,"priority_id":2,"assigned_to_id":23,"start_date":"2017-03-10","description":"","custom_fields":[{"id":1,"name":"Subdivision","value":"EC"},{"id":4,"name":"Milepost","value":"10.9135"},{"id":17,"name":"Train ID","value":"162-10"},{"id":16,"name":"Locomotive ID","value":"4045"},{"id":130,"name":"Impact","value":""},{"id":150,"name":"Time of Event (Mountain Time)","value":"12:35:21"},{"id":151,"name":"Denver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"%USERPROFILE%\AppData\Local\Temp\OnboardLogs"\RTDC4045\*4045*201703101*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"%USERPROFILE%\AppData\Local\Temp\OnboardLogs"\RTDC4045\*4045*201703101* &gt;&gt; 2017-03-10-SliceDisagreementCheck.txt</v>
      </c>
      <c r="AE35" s="157" t="str">
        <f t="shared" si="9"/>
        <v>start /low /b %USERPROFILE%\Documents\GitHub\eaglep3\Utilities\DownloadLogsFromS3.py --loco 4045 --day 2017-03-10</v>
      </c>
      <c r="AF35" s="1"/>
    </row>
    <row r="36" spans="1:32" x14ac:dyDescent="0.25">
      <c r="A36" s="32">
        <v>42804.637395833335</v>
      </c>
      <c r="B36" s="30" t="s">
        <v>228</v>
      </c>
      <c r="C36" s="30" t="s">
        <v>590</v>
      </c>
      <c r="D36" s="30" t="s">
        <v>49</v>
      </c>
      <c r="E36" s="30" t="s">
        <v>195</v>
      </c>
      <c r="F36" s="43">
        <v>370</v>
      </c>
      <c r="G36" s="43">
        <v>423</v>
      </c>
      <c r="H36" s="43">
        <v>110228</v>
      </c>
      <c r="I36" s="43">
        <v>109011</v>
      </c>
      <c r="J36" s="30" t="s">
        <v>196</v>
      </c>
      <c r="K36" s="43">
        <v>109135</v>
      </c>
      <c r="L36" s="143" t="s">
        <v>51</v>
      </c>
      <c r="M36" s="144">
        <f t="shared" si="0"/>
        <v>-65.471999999999994</v>
      </c>
      <c r="N36" s="145" t="str">
        <f>VLOOKUP(C36,'Trips&amp;Operators'!$C$1:$G$99999,5,FALSE)</f>
        <v>DELGADO DIANAH</v>
      </c>
      <c r="O36" s="194" t="s">
        <v>185</v>
      </c>
      <c r="P36" s="146" t="s">
        <v>561</v>
      </c>
      <c r="Q36" s="30"/>
      <c r="R36" s="89" t="str">
        <f>IF(VLOOKUP(C36,'Train Runs'!$A$13:$AE$9947,1,1)=C36,VLOOKUP(C36,'Train Runs'!$A$13:$AE$9947,31,1),NA())</f>
        <v>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 &amp; aws s3 cp s3://rtdc.mdm.uploadarchive.raw/RTDC4012/ "%USERPROFILE%\AppData\Local\Temp\OnboardLogs"\RTDC4012\2017-03-11 --exclude "*" --recursive --include "*20170311*" &amp; "%USERPROFILE%\Documents\GitHub\mrs-test-scripts\Headless Mode &amp; Sideloading\WalkAndUnGZ.bat" "%USERPROFILE%\AppData\Local\Temp\OnboardLogs"\RTDC4012\2017-03-11</v>
      </c>
      <c r="S36" s="92" t="str">
        <f>IF(VLOOKUP(C36,'Train Runs'!$A$13:$AE$9947,1,1)=C36,VLOOKUP(C36,'Train Runs'!$A$13:$AE$9947,22,1),NA())</f>
        <v>https://d0f6bd738d7f1b3e5a7ca70fe4ff75f0.us-east-1.aws.found.io/app/kibana#/discover/Steve-Slow-Train-Analysis-(2080s-and-2083s)?_g=(refreshInterval:(display:Off,pause:!f,section:0,value:0),time:(from:'2017-03-10T13:45:40-0700',mode:absolute,to:'2017-03-10T16:41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6" s="94" t="str">
        <f t="shared" si="1"/>
        <v>"C:\Program Files (x86)\AstroGrep\AstroGrep.exe" /e /r /s /spath="%USERPROFILE%\AppData\Local\Temp\OnboardLogs" /stypes="*4012*201703102*" /stext=" 22:.+((SYSTEM_STATE.+slice.+state.+changed )|(ment ac)|(multiple cpu faults)|(system.+state.+changed )|(\[timeout)|(PRM\|1\|D)|(kpr)|(kdp)|(\|lc)|(penalty))"</v>
      </c>
      <c r="U36" s="9" t="str">
        <f t="shared" si="2"/>
        <v>4012</v>
      </c>
      <c r="V36" s="32">
        <f t="shared" si="3"/>
        <v>42804.929062499999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arrival","project_id":79,"tracker_id":40,"status_id":1,"priority_id":2,"assigned_to_id":23,"start_date":"2017-03-10","description":"","custom_fields":[{"id":1,"name":"Subdivision","value":"EC"},{"id":4,"name":"Milepost","value":"10.9135"},{"id":17,"name":"Train ID","value":"184-10"},{"id":16,"name":"Locomotive ID","value":"4012"},{"id":130,"name":"Impact","value":""},{"id":150,"name":"Time of Event (Mountain Time)","value":"15:17:51"},{"id":151,"name":"Denver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"%USERPROFILE%\AppData\Local\Temp\OnboardLogs"\RTDC4012\*4012*201703102*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"%USERPROFILE%\AppData\Local\Temp\OnboardLogs"\RTDC4012\*4012*201703102* &gt;&gt; 2017-03-10-SliceDisagreementCheck.txt</v>
      </c>
      <c r="AE36" s="157" t="str">
        <f t="shared" si="9"/>
        <v>start /low /b %USERPROFILE%\Documents\GitHub\eaglep3\Utilities\DownloadLogsFromS3.py --loco 4012 --day 2017-03-10</v>
      </c>
      <c r="AF36" s="1"/>
    </row>
    <row r="37" spans="1:32" x14ac:dyDescent="0.25">
      <c r="A37" s="32">
        <v>42804.864259259259</v>
      </c>
      <c r="B37" s="30" t="s">
        <v>580</v>
      </c>
      <c r="C37" s="30" t="s">
        <v>608</v>
      </c>
      <c r="D37" s="30" t="s">
        <v>98</v>
      </c>
      <c r="E37" s="30" t="s">
        <v>195</v>
      </c>
      <c r="F37" s="43">
        <v>390</v>
      </c>
      <c r="G37" s="43">
        <v>441</v>
      </c>
      <c r="H37" s="43">
        <v>108982</v>
      </c>
      <c r="I37" s="43">
        <v>107365</v>
      </c>
      <c r="J37" s="30" t="s">
        <v>196</v>
      </c>
      <c r="K37" s="43">
        <v>109135</v>
      </c>
      <c r="L37" s="143" t="s">
        <v>51</v>
      </c>
      <c r="M37" s="144">
        <f t="shared" si="0"/>
        <v>-934.56</v>
      </c>
      <c r="N37" s="145" t="str">
        <f>VLOOKUP(C37,'Trips&amp;Operators'!$C$1:$G$99999,5,FALSE)</f>
        <v>MACDONALD THOMAS</v>
      </c>
      <c r="O37" s="194" t="s">
        <v>185</v>
      </c>
      <c r="P37" s="146" t="s">
        <v>561</v>
      </c>
      <c r="Q37" s="30"/>
      <c r="R37" s="89" t="str">
        <f>IF(VLOOKUP(C37,'Train Runs'!$A$13:$AE$9947,1,1)=C37,VLOOKUP(C37,'Train Runs'!$A$13:$AE$9947,31,1),NA())</f>
        <v>aws s3 cp s3://rtdc.mdm.uploadarchive.raw/RTDC4028/ "%USERPROFILE%\AppData\Local\Temp\OnboardLogs"\RTDC4028\2017-03-10 --exclude "*" --recursive --include "*20170310*" &amp; "%USERPROFILE%\Documents\GitHub\mrs-test-scripts\Headless Mode &amp; Sideloading\WalkAndUnGZ.bat" "%USERPROFILE%\AppData\Local\Temp\OnboardLogs"\RTDC4028\2017-03-10 &amp; 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</v>
      </c>
      <c r="S37" s="92" t="str">
        <f>IF(VLOOKUP(C37,'Train Runs'!$A$13:$AE$9947,1,1)=C37,VLOOKUP(C37,'Train Runs'!$A$13:$AE$9947,22,1),NA())</f>
        <v>https://d0f6bd738d7f1b3e5a7ca70fe4ff75f0.us-east-1.aws.found.io/app/kibana#/discover/Steve-Slow-Train-Analysis-(2080s-and-2083s)?_g=(refreshInterval:(display:Off,pause:!f,section:0,value:0),time:(from:'2017-03-10T19:21:52-0700',mode:absolute,to:'2017-03-10T22:13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7" s="94" t="str">
        <f t="shared" si="1"/>
        <v>"C:\Program Files (x86)\AstroGrep\AstroGrep.exe" /e /r /s /spath="%USERPROFILE%\AppData\Local\Temp\OnboardLogs" /stypes="*4028*201703110*" /stext=" 03:.+((SYSTEM_STATE.+slice.+state.+changed )|(ment ac)|(multiple cpu faults)|(system.+state.+changed )|(\[timeout)|(PRM\|1\|D)|(kpr)|(kdp)|(\|lc)|(penalty))"</v>
      </c>
      <c r="U37" s="9" t="str">
        <f t="shared" si="2"/>
        <v>4028</v>
      </c>
      <c r="V37" s="32">
        <f t="shared" si="3"/>
        <v>42805.155925925923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arrival","project_id":79,"tracker_id":40,"status_id":1,"priority_id":2,"assigned_to_id":23,"start_date":"2017-03-10","description":"","custom_fields":[{"id":1,"name":"Subdivision","value":"EC"},{"id":4,"name":"Milepost","value":"10.9135"},{"id":17,"name":"Train ID","value":"224-10"},{"id":16,"name":"Locomotive ID","value":"4028"},{"id":130,"name":"Impact","value":""},{"id":150,"name":"Time of Event (Mountain Time)","value":"20:44:32"},{"id":151,"name":"Denver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"%USERPROFILE%\AppData\Local\Temp\OnboardLogs"\RTDC4028\*4028*201703110*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"%USERPROFILE%\AppData\Local\Temp\OnboardLogs"\RTDC4028\*4028*201703110* &gt;&gt; 2017-03-10-SliceDisagreementCheck.txt</v>
      </c>
      <c r="AE37" s="157" t="str">
        <f t="shared" si="9"/>
        <v>start /low /b %USERPROFILE%\Documents\GitHub\eaglep3\Utilities\DownloadLogsFromS3.py --loco 4028 --day 2017-03-11</v>
      </c>
      <c r="AF37" s="1"/>
    </row>
    <row r="38" spans="1:32" x14ac:dyDescent="0.25">
      <c r="A38" s="32">
        <v>42804.398518518516</v>
      </c>
      <c r="B38" s="30" t="s">
        <v>574</v>
      </c>
      <c r="C38" s="30" t="s">
        <v>575</v>
      </c>
      <c r="D38" s="30" t="s">
        <v>49</v>
      </c>
      <c r="E38" s="30" t="s">
        <v>235</v>
      </c>
      <c r="F38" s="43">
        <v>400</v>
      </c>
      <c r="G38" s="43">
        <v>452</v>
      </c>
      <c r="H38" s="43">
        <v>17524</v>
      </c>
      <c r="I38" s="43">
        <v>18149</v>
      </c>
      <c r="J38" s="30" t="s">
        <v>236</v>
      </c>
      <c r="K38" s="43">
        <v>17867</v>
      </c>
      <c r="L38" s="143" t="s">
        <v>50</v>
      </c>
      <c r="M38" s="144">
        <f t="shared" si="0"/>
        <v>-148.89599999999999</v>
      </c>
      <c r="N38" s="145" t="str">
        <f>VLOOKUP(C38,'Trips&amp;Operators'!$C$1:$G$99999,5,FALSE)</f>
        <v>ROBINSON KADDIBA</v>
      </c>
      <c r="O38" s="194" t="s">
        <v>185</v>
      </c>
      <c r="P38" s="146"/>
      <c r="Q38" s="30"/>
      <c r="R38" s="89" t="str">
        <f>IF(VLOOKUP(C38,'Train Runs'!$A$13:$AE$9947,1,1)=C38,VLOOKUP(C38,'Train Runs'!$A$13:$AE$9947,31,1),NA())</f>
        <v>aws s3 cp s3://rtdc.mdm.uploadarchive.raw/RTDC4031/ "%USERPROFILE%\AppData\Local\Temp\OnboardLogs"\RTDC4031\2017-03-10 --exclude "*" --recursive --include "*20170310*" &amp; "%USERPROFILE%\Documents\GitHub\mrs-test-scripts\Headless Mode &amp; Sideloading\WalkAndUnGZ.bat" "%USERPROFILE%\AppData\Local\Temp\OnboardLogs"\RTDC4031\2017-03-10 &amp; aws s3 cp s3://rtdc.mdm.uploadarchive.raw/RTDC4031/ "%USERPROFILE%\AppData\Local\Temp\OnboardLogs"\RTDC4031\2017-03-11 --exclude "*" --recursive --include "*20170311*" &amp; "%USERPROFILE%\Documents\GitHub\mrs-test-scripts\Headless Mode &amp; Sideloading\WalkAndUnGZ.bat" "%USERPROFILE%\AppData\Local\Temp\OnboardLogs"\RTDC4031\2017-03-11</v>
      </c>
      <c r="S38" s="92" t="str">
        <f>IF(VLOOKUP(C38,'Train Runs'!$A$13:$AE$9947,1,1)=C38,VLOOKUP(C38,'Train Runs'!$A$13:$AE$9947,22,1),NA())</f>
        <v>https://d0f6bd738d7f1b3e5a7ca70fe4ff75f0.us-east-1.aws.found.io/app/kibana#/discover/Steve-Slow-Train-Analysis-(2080s-and-2083s)?_g=(refreshInterval:(display:Off,pause:!f,section:0,value:0),time:(from:'2017-03-10T08:23:24-0700',mode:absolute,to:'2017-03-10T11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8" s="94" t="str">
        <f t="shared" si="1"/>
        <v>"C:\Program Files (x86)\AstroGrep\AstroGrep.exe" /e /r /s /spath="%USERPROFILE%\AppData\Local\Temp\OnboardLogs" /stypes="*4031*201703101*" /stext=" 16:.+((SYSTEM_STATE.+slice.+state.+changed )|(ment ac)|(multiple cpu faults)|(system.+state.+changed )|(\[timeout)|(PRM\|1\|D)|(kpr)|(kdp)|(\|lc)|(penalty))"</v>
      </c>
      <c r="U38" s="9" t="str">
        <f t="shared" si="2"/>
        <v>4031</v>
      </c>
      <c r="V38" s="32">
        <f t="shared" si="3"/>
        <v>42804.69018518518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{"issue":{"subject":"","project_id":79,"tracker_id":40,"status_id":1,"priority_id":2,"assigned_to_id":23,"start_date":"2017-03-10","description":"","custom_fields":[{"id":1,"name":"Subdivision","value":"EC"},{"id":4,"name":"Milepost","value":"1.7867"},{"id":17,"name":"Train ID","value":"147-10"},{"id":16,"name":"Locomotive ID","value":"4031"},{"id":130,"name":"Impact","value":""},{"id":150,"name":"Time of Event (Mountain Time)","value":"09:33:52"},{"id":151,"name":"Denver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"%USERPROFILE%\AppData\Local\Temp\OnboardLogs"\RTDC4031\*4031*201703101*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"%USERPROFILE%\AppData\Local\Temp\OnboardLogs"\RTDC4031\*4031*201703101* &gt;&gt; 2017-03-10-SliceDisagreementCheck.txt</v>
      </c>
      <c r="AE38" s="157" t="str">
        <f t="shared" si="9"/>
        <v>start /low /b %USERPROFILE%\Documents\GitHub\eaglep3\Utilities\DownloadLogsFromS3.py --loco 4031 --day 2017-03-10</v>
      </c>
      <c r="AF38" s="1"/>
    </row>
    <row r="39" spans="1:32" x14ac:dyDescent="0.25">
      <c r="A39" s="32">
        <v>42804.784178240741</v>
      </c>
      <c r="B39" s="30" t="s">
        <v>564</v>
      </c>
      <c r="C39" s="30" t="s">
        <v>605</v>
      </c>
      <c r="D39" s="30" t="s">
        <v>49</v>
      </c>
      <c r="E39" s="30" t="s">
        <v>235</v>
      </c>
      <c r="F39" s="43">
        <v>300</v>
      </c>
      <c r="G39" s="43">
        <v>401</v>
      </c>
      <c r="H39" s="43">
        <v>23241</v>
      </c>
      <c r="I39" s="43">
        <v>22096</v>
      </c>
      <c r="J39" s="30" t="s">
        <v>236</v>
      </c>
      <c r="K39" s="43">
        <v>21848</v>
      </c>
      <c r="L39" s="143" t="s">
        <v>51</v>
      </c>
      <c r="M39" s="144">
        <f t="shared" ref="M39:M59" si="10">CONVERT((I39-K39)/10000,"mi","ft")*IF(L39="Increasing Mileposts (1)",-1,1)</f>
        <v>130.94399999999999</v>
      </c>
      <c r="N39" s="145" t="str">
        <f>VLOOKUP(C39,'Trips&amp;Operators'!$C$1:$G$99999,5,FALSE)</f>
        <v>HOLCOMB KAMDEN</v>
      </c>
      <c r="O39" s="194" t="s">
        <v>185</v>
      </c>
      <c r="P39" s="146"/>
      <c r="Q39" s="30"/>
      <c r="R39" s="89" t="str">
        <f>IF(VLOOKUP(C39,'Train Runs'!$A$13:$AE$9947,1,1)=C39,VLOOKUP(C39,'Train Runs'!$A$13:$AE$9947,31,1),NA())</f>
        <v>aws s3 cp s3://rtdc.mdm.uploadarchive.raw/RTDC4052/ "%USERPROFILE%\AppData\Local\Temp\OnboardLogs"\RTDC4052\2017-03-10 --exclude "*" --recursive --include "*20170310*" &amp; "%USERPROFILE%\Documents\GitHub\mrs-test-scripts\Headless Mode &amp; Sideloading\WalkAndUnGZ.bat" "%USERPROFILE%\AppData\Local\Temp\OnboardLogs"\RTDC4052\2017-03-10 &amp; aws s3 cp s3://rtdc.mdm.uploadarchive.raw/RTDC4052/ "%USERPROFILE%\AppData\Local\Temp\OnboardLogs"\RTDC4052\2017-03-11 --exclude "*" --recursive --include "*20170311*" &amp; "%USERPROFILE%\Documents\GitHub\mrs-test-scripts\Headless Mode &amp; Sideloading\WalkAndUnGZ.bat" "%USERPROFILE%\AppData\Local\Temp\OnboardLogs"\RTDC4052\2017-03-11</v>
      </c>
      <c r="S39" s="92" t="str">
        <f>IF(VLOOKUP(C39,'Train Runs'!$A$13:$AE$9947,1,1)=C39,VLOOKUP(C39,'Train Runs'!$A$13:$AE$9947,22,1),NA())</f>
        <v>https://d0f6bd738d7f1b3e5a7ca70fe4ff75f0.us-east-1.aws.found.io/app/kibana#/discover/Steve-Slow-Train-Analysis-(2080s-and-2083s)?_g=(refreshInterval:(display:Off,pause:!f,section:0,value:0),time:(from:'2017-03-10T17:05:48-0700',mode:absolute,to:'2017-03-10T19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9" s="94" t="str">
        <f t="shared" ref="T39:T59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/stypes="*4052*201703110*" /stext=" 01:.+((SYSTEM_STATE.+slice.+state.+changed )|(ment ac)|(multiple cpu faults)|(system.+state.+changed )|(\[timeout)|(PRM\|1\|D)|(kpr)|(kdp)|(\|lc)|(penalty))"</v>
      </c>
      <c r="U39" s="9" t="str">
        <f t="shared" ref="U39:U59" si="12">MID(B39,13,4)</f>
        <v>4052</v>
      </c>
      <c r="V39" s="32">
        <f t="shared" ref="V39:V59" si="13">A39-utc_offset/24</f>
        <v>42805.075844907406</v>
      </c>
      <c r="W39" s="46" t="str">
        <f t="shared" ref="W39:W59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9" si="15">IF(AND(E39="TRACK WARRANT AUTHORITY",G39&lt;10),"OMIT","KEEP")</f>
        <v>KEEP</v>
      </c>
      <c r="Y39" s="108" t="str">
        <f t="shared" ref="Y39:Y59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{"issue":{"subject":"","project_id":79,"tracker_id":40,"status_id":1,"priority_id":2,"assigned_to_id":23,"start_date":"2017-03-10","description":"","custom_fields":[{"id":1,"name":"Subdivision","value":"EC"},{"id":4,"name":"Milepost","value":"2.1848"},{"id":17,"name":"Train ID","value":"210-10"},{"id":16,"name":"Locomotive ID","value":"4052"},{"id":130,"name":"Impact","value":""},{"id":150,"name":"Time of Event (Mountain Time)","value":"18:49:13"},{"id":151,"name":"Denver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59" si="17">"grep -hSE -A400 ""Enforcement Action"" "&amp;search_path&amp;"\RTDC"&amp;U39&amp;"\*"&amp;U39&amp;"*"&amp;TEXT(A39-utc_offset/24,"YYYYMMDD")&amp;LEFT(TEXT(A39-utc_offset/24,"HH"),1)&amp;"* | grep -SE ""((Enforcement Ac)|(PRM.+XING))"" -"</f>
        <v>grep -hSE -A400 "Enforcement Action" "%USERPROFILE%\AppData\Local\Temp\OnboardLogs"\RTDC4052\*4052*201703110*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"%USERPROFILE%\AppData\Local\Temp\OnboardLogs"\RTDC4052\*4052*201703110* &gt;&gt; 2017-03-10-SliceDisagreementCheck.txt</v>
      </c>
      <c r="AE39" s="157" t="str">
        <f t="shared" si="9"/>
        <v>start /low /b %USERPROFILE%\Documents\GitHub\eaglep3\Utilities\DownloadLogsFromS3.py --loco 4052 --day 2017-03-11</v>
      </c>
      <c r="AF39" s="1"/>
    </row>
    <row r="40" spans="1:32" x14ac:dyDescent="0.25">
      <c r="A40" s="32">
        <v>42805.042488425926</v>
      </c>
      <c r="B40" s="30" t="s">
        <v>580</v>
      </c>
      <c r="C40" s="30" t="s">
        <v>611</v>
      </c>
      <c r="D40" s="30" t="s">
        <v>98</v>
      </c>
      <c r="E40" s="30" t="s">
        <v>235</v>
      </c>
      <c r="F40" s="43">
        <v>200</v>
      </c>
      <c r="G40" s="43">
        <v>250</v>
      </c>
      <c r="H40" s="43">
        <v>29865</v>
      </c>
      <c r="I40" s="43">
        <v>29227</v>
      </c>
      <c r="J40" s="30" t="s">
        <v>236</v>
      </c>
      <c r="K40" s="43">
        <v>30562</v>
      </c>
      <c r="L40" s="143" t="s">
        <v>51</v>
      </c>
      <c r="M40" s="144">
        <f t="shared" si="10"/>
        <v>-704.88</v>
      </c>
      <c r="N40" s="145" t="str">
        <f>VLOOKUP(C40,'Trips&amp;Operators'!$C$1:$G$99999,5,FALSE)</f>
        <v>STORY SAMANTHA</v>
      </c>
      <c r="O40" s="194" t="s">
        <v>185</v>
      </c>
      <c r="P40" s="146"/>
      <c r="Q40" s="30"/>
      <c r="R40" s="89" t="str">
        <f>IF(VLOOKUP(C40,'Train Runs'!$A$13:$AE$9947,1,1)=C40,VLOOKUP(C40,'Train Runs'!$A$13:$AE$9947,31,1),NA())</f>
        <v>aws s3 cp s3://rtdc.mdm.uploadarchive.raw/RTDC4028/ "%USERPROFILE%\AppData\Local\Temp\OnboardLogs"\RTDC4028\2017-03-11 --exclude "*" --recursive --include "*20170311*" &amp; "%USERPROFILE%\Documents\GitHub\mrs-test-scripts\Headless Mode &amp; Sideloading\WalkAndUnGZ.bat" "%USERPROFILE%\AppData\Local\Temp\OnboardLogs"\RTDC4028\2017-03-11 &amp; 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</v>
      </c>
      <c r="S40" s="92" t="str">
        <f>IF(VLOOKUP(C40,'Train Runs'!$A$13:$AE$9947,1,1)=C40,VLOOKUP(C40,'Train Runs'!$A$13:$AE$9947,22,1),NA())</f>
        <v>https://d0f6bd738d7f1b3e5a7ca70fe4ff75f0.us-east-1.aws.found.io/app/kibana#/discover/Steve-Slow-Train-Analysis-(2080s-and-2083s)?_g=(refreshInterval:(display:Off,pause:!f,section:0,value:0),time:(from:'2017-03-10T23:24:05-0700',mode:absolute,to:'2017-03-11T02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0" s="94" t="str">
        <f t="shared" si="11"/>
        <v>"C:\Program Files (x86)\AstroGrep\AstroGrep.exe" /e /r /s /spath="%USERPROFILE%\AppData\Local\Temp\OnboardLogs" /stypes="*4028*201703110*" /stext=" 08:.+((SYSTEM_STATE.+slice.+state.+changed )|(ment ac)|(multiple cpu faults)|(system.+state.+changed )|(\[timeout)|(PRM\|1\|D)|(kpr)|(kdp)|(\|lc)|(penalty))"</v>
      </c>
      <c r="U40" s="9" t="str">
        <f t="shared" si="12"/>
        <v>4028</v>
      </c>
      <c r="V40" s="32">
        <f t="shared" si="13"/>
        <v>42805.334155092591</v>
      </c>
      <c r="W40" s="46" t="str">
        <f t="shared" si="14"/>
        <v>EC</v>
      </c>
      <c r="X40" s="46" t="str">
        <f t="shared" si="15"/>
        <v>KEEP</v>
      </c>
      <c r="Y40" s="108" t="str">
        <f t="shared" si="16"/>
        <v>echo {"issue":{"subject":"","project_id":79,"tracker_id":40,"status_id":1,"priority_id":2,"assigned_to_id":23,"start_date":"2017-03-11","description":"","custom_fields":[{"id":1,"name":"Subdivision","value":"EC"},{"id":4,"name":"Milepost","value":"3.0562"},{"id":17,"name":"Train ID","value":"240-10"},{"id":16,"name":"Locomotive ID","value":"4028"},{"id":130,"name":"Impact","value":""},{"id":150,"name":"Time of Event (Mountain Time)","value":"01:01:11"},{"id":151,"name":"Denver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7"/>
        <v>grep -hSE -A400 "Enforcement Action" "%USERPROFILE%\AppData\Local\Temp\OnboardLogs"\RTDC4028\*4028*201703110*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"%USERPROFILE%\AppData\Local\Temp\OnboardLogs"\RTDC4028\*4028*201703110* &gt;&gt; 2017-03-10-SliceDisagreementCheck.txt</v>
      </c>
      <c r="AE40" s="157" t="str">
        <f t="shared" si="9"/>
        <v>start /low /b %USERPROFILE%\Documents\GitHub\eaglep3\Utilities\DownloadLogsFromS3.py --loco 4028 --day 2017-03-11</v>
      </c>
      <c r="AF40" s="1"/>
    </row>
    <row r="41" spans="1:32" x14ac:dyDescent="0.25">
      <c r="A41" s="32">
        <v>42804.212500000001</v>
      </c>
      <c r="B41" s="30" t="s">
        <v>469</v>
      </c>
      <c r="C41" s="30" t="s">
        <v>566</v>
      </c>
      <c r="D41" s="30" t="s">
        <v>49</v>
      </c>
      <c r="E41" s="30" t="s">
        <v>235</v>
      </c>
      <c r="F41" s="43">
        <v>550</v>
      </c>
      <c r="G41" s="43">
        <v>767</v>
      </c>
      <c r="H41" s="43">
        <v>218143</v>
      </c>
      <c r="I41" s="43">
        <v>221577</v>
      </c>
      <c r="J41" s="30" t="s">
        <v>236</v>
      </c>
      <c r="K41" s="43">
        <v>222090</v>
      </c>
      <c r="L41" s="143" t="s">
        <v>50</v>
      </c>
      <c r="M41" s="144">
        <f t="shared" si="10"/>
        <v>270.86399999999998</v>
      </c>
      <c r="N41" s="145" t="str">
        <f>VLOOKUP(C41,'Trips&amp;Operators'!$C$1:$G$99999,5,FALSE)</f>
        <v>STARKS ANGELINA</v>
      </c>
      <c r="O41" s="194" t="s">
        <v>185</v>
      </c>
      <c r="P41" s="146"/>
      <c r="Q41" s="30"/>
      <c r="R41" s="89" t="str">
        <f>IF(VLOOKUP(C41,'Train Runs'!$A$13:$AE$9947,1,1)=C41,VLOOKUP(C41,'Train Runs'!$A$13:$AE$9947,31,1),NA())</f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S41" s="92" t="str">
        <f>IF(VLOOKUP(C41,'Train Runs'!$A$13:$AE$9947,1,1)=C41,VLOOKUP(C41,'Train Runs'!$A$13:$AE$9947,22,1),NA())</f>
        <v>https://d0f6bd738d7f1b3e5a7ca70fe4ff75f0.us-east-1.aws.found.io/app/kibana#/discover/Steve-Slow-Train-Analysis-(2080s-and-2083s)?_g=(refreshInterval:(display:Off,pause:!f,section:0,value:0),time:(from:'2017-03-10T03:26:18-0700',mode:absolute,to:'2017-03-10T06:10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1" s="94" t="str">
        <f t="shared" si="11"/>
        <v>"C:\Program Files (x86)\AstroGrep\AstroGrep.exe" /e /r /s /spath="%USERPROFILE%\AppData\Local\Temp\OnboardLogs" /stypes="*4040*201703101*" /stext=" 12:.+((SYSTEM_STATE.+slice.+state.+changed )|(ment ac)|(multiple cpu faults)|(system.+state.+changed )|(\[timeout)|(PRM\|1\|D)|(kpr)|(kdp)|(\|lc)|(penalty))"</v>
      </c>
      <c r="U41" s="9" t="str">
        <f t="shared" si="12"/>
        <v>4040</v>
      </c>
      <c r="V41" s="32">
        <f t="shared" si="13"/>
        <v>42804.504166666666</v>
      </c>
      <c r="W41" s="46" t="str">
        <f t="shared" si="14"/>
        <v>EC</v>
      </c>
      <c r="X41" s="46" t="str">
        <f t="shared" si="15"/>
        <v>KEEP</v>
      </c>
      <c r="Y41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{"issue":{"subject":"","project_id":79,"tracker_id":40,"status_id":1,"priority_id":2,"assigned_to_id":23,"start_date":"2017-03-10","description":"","custom_fields":[{"id":1,"name":"Subdivision","value":"EC"},{"id":4,"name":"Milepost","value":"22.209"},{"id":17,"name":"Train ID","value":"107-10"},{"id":16,"name":"Locomotive ID","value":"4040"},{"id":130,"name":"Impact","value":""},{"id":150,"name":"Time of Event (Mountain Time)","value":"05:06:00"},{"id":151,"name":"Denver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7"/>
        <v>grep -hSE -A400 "Enforcement Action" "%USERPROFILE%\AppData\Local\Temp\OnboardLogs"\RTDC4040\*4040*201703101*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"%USERPROFILE%\AppData\Local\Temp\OnboardLogs"\RTDC4040\*4040*201703101* &gt;&gt; 2017-03-10-SliceDisagreementCheck.txt</v>
      </c>
      <c r="AE41" s="157" t="str">
        <f t="shared" si="9"/>
        <v>start /low /b %USERPROFILE%\Documents\GitHub\eaglep3\Utilities\DownloadLogsFromS3.py --loco 4040 --day 2017-03-10</v>
      </c>
      <c r="AF41" s="1"/>
    </row>
    <row r="42" spans="1:32" x14ac:dyDescent="0.25">
      <c r="A42" s="32">
        <v>42804.197175925925</v>
      </c>
      <c r="B42" s="30" t="s">
        <v>567</v>
      </c>
      <c r="C42" s="30" t="s">
        <v>568</v>
      </c>
      <c r="D42" s="30" t="s">
        <v>98</v>
      </c>
      <c r="E42" s="30" t="s">
        <v>235</v>
      </c>
      <c r="F42" s="43">
        <v>350</v>
      </c>
      <c r="G42" s="43">
        <v>413</v>
      </c>
      <c r="H42" s="43">
        <v>224920</v>
      </c>
      <c r="I42" s="43">
        <v>223446</v>
      </c>
      <c r="J42" s="30" t="s">
        <v>236</v>
      </c>
      <c r="K42" s="43">
        <v>230436</v>
      </c>
      <c r="L42" s="143" t="s">
        <v>51</v>
      </c>
      <c r="M42" s="144">
        <f t="shared" si="10"/>
        <v>-3690.72</v>
      </c>
      <c r="N42" s="145" t="str">
        <f>VLOOKUP(C42,'Trips&amp;Operators'!$C$1:$G$99999,5,FALSE)</f>
        <v>DAVIS WENDY</v>
      </c>
      <c r="O42" s="194" t="s">
        <v>185</v>
      </c>
      <c r="P42" s="146"/>
      <c r="Q42" s="30"/>
      <c r="R42" s="89" t="str">
        <f>IF(VLOOKUP(C42,'Train Runs'!$A$13:$AE$9947,1,1)=C42,VLOOKUP(C42,'Train Runs'!$A$13:$AE$9947,31,1),NA())</f>
        <v>aws s3 cp s3://rtdc.mdm.uploadarchive.raw/RTDC4032/ "%USERPROFILE%\AppData\Local\Temp\OnboardLogs"\RTDC4032\2017-03-10 --exclude "*" --recursive --include "*20170310*" &amp; "%USERPROFILE%\Documents\GitHub\mrs-test-scripts\Headless Mode &amp; Sideloading\WalkAndUnGZ.bat" "%USERPROFILE%\AppData\Local\Temp\OnboardLogs"\RTDC4032\2017-03-10 &amp; aws s3 cp s3://rtdc.mdm.uploadarchive.raw/RTDC4032/ "%USERPROFILE%\AppData\Local\Temp\OnboardLogs"\RTDC4032\2017-03-11 --exclude "*" --recursive --include "*20170311*" &amp; "%USERPROFILE%\Documents\GitHub\mrs-test-scripts\Headless Mode &amp; Sideloading\WalkAndUnGZ.bat" "%USERPROFILE%\AppData\Local\Temp\OnboardLogs"\RTDC4032\2017-03-11</v>
      </c>
      <c r="S42" s="92" t="str">
        <f>IF(VLOOKUP(C42,'Train Runs'!$A$13:$AE$9947,1,1)=C42,VLOOKUP(C42,'Train Runs'!$A$13:$AE$9947,22,1),NA())</f>
        <v>https://d0f6bd738d7f1b3e5a7ca70fe4ff75f0.us-east-1.aws.found.io/app/kibana#/discover/Steve-Slow-Train-Analysis-(2080s-and-2083s)?_g=(refreshInterval:(display:Off,pause:!f,section:0,value:0),time:(from:'2017-03-10T03:36:38-0700',mode:absolute,to:'2017-03-10T06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2" s="94" t="str">
        <f t="shared" si="11"/>
        <v>"C:\Program Files (x86)\AstroGrep\AstroGrep.exe" /e /r /s /spath="%USERPROFILE%\AppData\Local\Temp\OnboardLogs" /stypes="*4032*201703101*" /stext=" 11:.+((SYSTEM_STATE.+slice.+state.+changed )|(ment ac)|(multiple cpu faults)|(system.+state.+changed )|(\[timeout)|(PRM\|1\|D)|(kpr)|(kdp)|(\|lc)|(penalty))"</v>
      </c>
      <c r="U42" s="9" t="str">
        <f t="shared" si="12"/>
        <v>4032</v>
      </c>
      <c r="V42" s="32">
        <f t="shared" si="13"/>
        <v>42804.488842592589</v>
      </c>
      <c r="W42" s="46" t="str">
        <f t="shared" si="14"/>
        <v>EC</v>
      </c>
      <c r="X42" s="46" t="str">
        <f t="shared" si="15"/>
        <v>KEEP</v>
      </c>
      <c r="Y42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{"issue":{"subject":"","project_id":79,"tracker_id":40,"status_id":1,"priority_id":2,"assigned_to_id":23,"start_date":"2017-03-10","description":"","custom_fields":[{"id":1,"name":"Subdivision","value":"EC"},{"id":4,"name":"Milepost","value":"23.0436"},{"id":17,"name":"Train ID","value":"104-10"},{"id":16,"name":"Locomotive ID","value":"4032"},{"id":130,"name":"Impact","value":""},{"id":150,"name":"Time of Event (Mountain Time)","value":"04:43:56"},{"id":151,"name":"Denver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7"/>
        <v>grep -hSE -A400 "Enforcement Action" "%USERPROFILE%\AppData\Local\Temp\OnboardLogs"\RTDC4032\*4032*201703101*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"%USERPROFILE%\AppData\Local\Temp\OnboardLogs"\RTDC4032\*4032*201703101* &gt;&gt; 2017-03-10-SliceDisagreementCheck.txt</v>
      </c>
      <c r="AE42" s="157" t="str">
        <f t="shared" si="9"/>
        <v>start /low /b %USERPROFILE%\Documents\GitHub\eaglep3\Utilities\DownloadLogsFromS3.py --loco 4032 --day 2017-03-10</v>
      </c>
      <c r="AF42" s="1"/>
    </row>
    <row r="43" spans="1:32" x14ac:dyDescent="0.25">
      <c r="A43" s="32">
        <v>42804.366041666668</v>
      </c>
      <c r="B43" s="30" t="s">
        <v>407</v>
      </c>
      <c r="C43" s="30" t="s">
        <v>572</v>
      </c>
      <c r="D43" s="30" t="s">
        <v>49</v>
      </c>
      <c r="E43" s="30" t="s">
        <v>418</v>
      </c>
      <c r="F43" s="43">
        <v>0</v>
      </c>
      <c r="G43" s="43">
        <v>753</v>
      </c>
      <c r="H43" s="43">
        <v>80580</v>
      </c>
      <c r="I43" s="43">
        <v>83847</v>
      </c>
      <c r="J43" s="30" t="s">
        <v>419</v>
      </c>
      <c r="K43" s="43">
        <v>81738</v>
      </c>
      <c r="L43" s="143" t="s">
        <v>50</v>
      </c>
      <c r="M43" s="144">
        <f t="shared" si="10"/>
        <v>-1113.5519999999999</v>
      </c>
      <c r="N43" s="145" t="str">
        <f>VLOOKUP(C43,'Trips&amp;Operators'!$C$1:$G$99999,5,FALSE)</f>
        <v>BONDS REYNALDO</v>
      </c>
      <c r="O43" s="194" t="s">
        <v>421</v>
      </c>
      <c r="P43" s="146" t="s">
        <v>1020</v>
      </c>
      <c r="Q43" s="30"/>
      <c r="R43" s="89" t="str">
        <f>IF(VLOOKUP(C43,'Train Runs'!$A$13:$AE$9947,1,1)=C43,VLOOKUP(C43,'Train Runs'!$A$13:$AE$9947,31,1),NA())</f>
        <v>aws s3 cp s3://rtdc.mdm.uploadarchive.raw/RTDC4009/ "%USERPROFILE%\AppData\Local\Temp\OnboardLogs"\RTDC4009\2017-03-10 --exclude "*" --recursive --include "*20170310*" &amp; "%USERPROFILE%\Documents\GitHub\mrs-test-scripts\Headless Mode &amp; Sideloading\WalkAndUnGZ.bat" "%USERPROFILE%\AppData\Local\Temp\OnboardLogs"\RTDC4009\2017-03-10 &amp; aws s3 cp s3://rtdc.mdm.uploadarchive.raw/RTDC4009/ "%USERPROFILE%\AppData\Local\Temp\OnboardLogs"\RTDC4009\2017-03-11 --exclude "*" --recursive --include "*20170311*" &amp; "%USERPROFILE%\Documents\GitHub\mrs-test-scripts\Headless Mode &amp; Sideloading\WalkAndUnGZ.bat" "%USERPROFILE%\AppData\Local\Temp\OnboardLogs"\RTDC4009\2017-03-11</v>
      </c>
      <c r="S43" s="92" t="str">
        <f>IF(VLOOKUP(C43,'Train Runs'!$A$13:$AE$9947,1,1)=C43,VLOOKUP(C43,'Train Runs'!$A$13:$AE$9947,22,1),NA())</f>
        <v>https://d0f6bd738d7f1b3e5a7ca70fe4ff75f0.us-east-1.aws.found.io/app/kibana#/discover/Steve-Slow-Train-Analysis-(2080s-and-2083s)?_g=(refreshInterval:(display:Off,pause:!f,section:0,value:0),time:(from:'2017-03-10T07:24:36-0700',mode:absolute,to:'2017-03-10T10:10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3" s="94" t="str">
        <f t="shared" si="11"/>
        <v>"C:\Program Files (x86)\AstroGrep\AstroGrep.exe" /e /r /s /spath="%USERPROFILE%\AppData\Local\Temp\OnboardLogs" /stypes="*4009*201703101*" /stext=" 15:.+((SYSTEM_STATE.+slice.+state.+changed )|(ment ac)|(multiple cpu faults)|(system.+state.+changed )|(\[timeout)|(PRM\|1\|D)|(kpr)|(kdp)|(\|lc)|(penalty))"</v>
      </c>
      <c r="U43" s="9" t="str">
        <f t="shared" si="12"/>
        <v>4009</v>
      </c>
      <c r="V43" s="32">
        <f t="shared" si="13"/>
        <v>42804.657708333332</v>
      </c>
      <c r="W43" s="46" t="str">
        <f t="shared" si="14"/>
        <v>EC</v>
      </c>
      <c r="X43" s="46" t="str">
        <f t="shared" si="15"/>
        <v>KEEP</v>
      </c>
      <c r="Y43" s="108" t="str">
        <f t="shared" si="16"/>
        <v>echo {"issue":{"subject":"Wi-MAX data drop","project_id":79,"tracker_id":40,"status_id":1,"priority_id":2,"assigned_to_id":23,"start_date":"2017-03-10","description":"","custom_fields":[{"id":1,"name":"Subdivision","value":"EC"},{"id":4,"name":"Milepost","value":"8.1738"},{"id":17,"name":"Train ID","value":"139-10"},{"id":16,"name":"Locomotive ID","value":"4009"},{"id":130,"name":"Impact","value":""},{"id":150,"name":"Time of Event (Mountain Time)","value":"08:47:06"},{"id":151,"name":"Denver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7"/>
        <v>grep -hSE -A400 "Enforcement Action" "%USERPROFILE%\AppData\Local\Temp\OnboardLogs"\RTDC4009\*4009*201703101*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"%USERPROFILE%\AppData\Local\Temp\OnboardLogs"\RTDC4009\*4009*201703101* &gt;&gt; 2017-03-10-SliceDisagreementCheck.txt</v>
      </c>
      <c r="AE43" s="157" t="str">
        <f t="shared" si="9"/>
        <v>start /low /b %USERPROFILE%\Documents\GitHub\eaglep3\Utilities\DownloadLogsFromS3.py --loco 4009 --day 2017-03-10</v>
      </c>
      <c r="AF43" s="1"/>
    </row>
    <row r="44" spans="1:32" x14ac:dyDescent="0.25">
      <c r="A44" s="32">
        <v>42804.288391203707</v>
      </c>
      <c r="B44" s="30" t="s">
        <v>497</v>
      </c>
      <c r="C44" s="30" t="s">
        <v>570</v>
      </c>
      <c r="D44" s="30" t="s">
        <v>49</v>
      </c>
      <c r="E44" s="30" t="s">
        <v>186</v>
      </c>
      <c r="F44" s="43">
        <v>0</v>
      </c>
      <c r="G44" s="43">
        <v>41</v>
      </c>
      <c r="H44" s="43">
        <v>165</v>
      </c>
      <c r="I44" s="43">
        <v>121</v>
      </c>
      <c r="J44" s="30" t="s">
        <v>187</v>
      </c>
      <c r="K44" s="43">
        <v>1</v>
      </c>
      <c r="L44" s="143" t="s">
        <v>51</v>
      </c>
      <c r="M44" s="144">
        <f t="shared" si="10"/>
        <v>63.36</v>
      </c>
      <c r="N44" s="145" t="str">
        <f>VLOOKUP(C44,'Trips&amp;Operators'!$C$1:$G$99999,5,FALSE)</f>
        <v>BADERTSCHER DIANE</v>
      </c>
      <c r="O44" s="194" t="s">
        <v>185</v>
      </c>
      <c r="P44" s="146"/>
      <c r="Q44" s="30"/>
      <c r="R44" s="89" t="str">
        <f>IF(VLOOKUP(C44,'Train Runs'!$A$13:$AE$9947,1,1)=C44,VLOOKUP(C44,'Train Runs'!$A$13:$AE$9947,31,1),NA())</f>
        <v>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 &amp; aws s3 cp s3://rtdc.mdm.uploadarchive.raw/RTDC4008/ "%USERPROFILE%\AppData\Local\Temp\OnboardLogs"\RTDC4008\2017-03-11 --exclude "*" --recursive --include "*20170311*" &amp; "%USERPROFILE%\Documents\GitHub\mrs-test-scripts\Headless Mode &amp; Sideloading\WalkAndUnGZ.bat" "%USERPROFILE%\AppData\Local\Temp\OnboardLogs"\RTDC4008\2017-03-11</v>
      </c>
      <c r="S44" s="92" t="str">
        <f>IF(VLOOKUP(C44,'Train Runs'!$A$13:$AE$9947,1,1)=C44,VLOOKUP(C44,'Train Runs'!$A$13:$AE$9947,22,1),NA())</f>
        <v>https://d0f6bd738d7f1b3e5a7ca70fe4ff75f0.us-east-1.aws.found.io/app/kibana#/discover/Steve-Slow-Train-Analysis-(2080s-and-2083s)?_g=(refreshInterval:(display:Off,pause:!f,section:0,value:0),time:(from:'2017-03-10T05:09:23-0700',mode:absolute,to:'2017-03-10T07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4" s="94" t="str">
        <f t="shared" si="11"/>
        <v>"C:\Program Files (x86)\AstroGrep\AstroGrep.exe" /e /r /s /spath="%USERPROFILE%\AppData\Local\Temp\OnboardLogs" /stypes="*4008*201703101*" /stext=" 13:.+((SYSTEM_STATE.+slice.+state.+changed )|(ment ac)|(multiple cpu faults)|(system.+state.+changed )|(\[timeout)|(PRM\|1\|D)|(kpr)|(kdp)|(\|lc)|(penalty))"</v>
      </c>
      <c r="U44" s="9" t="str">
        <f t="shared" si="12"/>
        <v>4008</v>
      </c>
      <c r="V44" s="32">
        <f t="shared" si="13"/>
        <v>42804.580057870371</v>
      </c>
      <c r="W44" s="46" t="str">
        <f t="shared" si="14"/>
        <v>EC</v>
      </c>
      <c r="X44" s="46" t="str">
        <f t="shared" si="15"/>
        <v>KEEP</v>
      </c>
      <c r="Y44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{"issue":{"subject":"","project_id":79,"tracker_id":40,"status_id":1,"priority_id":2,"assigned_to_id":23,"start_date":"2017-03-10","description":"","custom_fields":[{"id":1,"name":"Subdivision","value":"EC"},{"id":4,"name":"Milepost","value":"0.0001"},{"id":17,"name":"Train ID","value":"114-10"},{"id":16,"name":"Locomotive ID","value":"4008"},{"id":130,"name":"Impact","value":""},{"id":150,"name":"Time of Event (Mountain Time)","value":"06:55:17"},{"id":151,"name":"Denver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7"/>
        <v>grep -hSE -A400 "Enforcement Action" "%USERPROFILE%\AppData\Local\Temp\OnboardLogs"\RTDC4008\*4008*201703101*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"%USERPROFILE%\AppData\Local\Temp\OnboardLogs"\RTDC4008\*4008*201703101* &gt;&gt; 2017-03-10-SliceDisagreementCheck.txt</v>
      </c>
      <c r="AE44" s="157" t="str">
        <f t="shared" si="9"/>
        <v>start /low /b %USERPROFILE%\Documents\GitHub\eaglep3\Utilities\DownloadLogsFromS3.py --loco 4008 --day 2017-03-10</v>
      </c>
      <c r="AF44" s="1"/>
    </row>
    <row r="45" spans="1:32" x14ac:dyDescent="0.25">
      <c r="A45" s="32">
        <v>42804.673298611109</v>
      </c>
      <c r="B45" s="30" t="s">
        <v>586</v>
      </c>
      <c r="C45" s="30" t="s">
        <v>592</v>
      </c>
      <c r="D45" s="30" t="s">
        <v>49</v>
      </c>
      <c r="E45" s="30" t="s">
        <v>186</v>
      </c>
      <c r="F45" s="43">
        <v>0</v>
      </c>
      <c r="G45" s="43">
        <v>69</v>
      </c>
      <c r="H45" s="43">
        <v>221</v>
      </c>
      <c r="I45" s="43">
        <v>156</v>
      </c>
      <c r="J45" s="30" t="s">
        <v>187</v>
      </c>
      <c r="K45" s="43">
        <v>1</v>
      </c>
      <c r="L45" s="143" t="s">
        <v>51</v>
      </c>
      <c r="M45" s="144">
        <f t="shared" si="10"/>
        <v>81.84</v>
      </c>
      <c r="N45" s="145" t="str">
        <f>VLOOKUP(C45,'Trips&amp;Operators'!$C$1:$G$99999,5,FALSE)</f>
        <v>STEWART MICHAEL</v>
      </c>
      <c r="O45" s="194" t="s">
        <v>185</v>
      </c>
      <c r="P45" s="146"/>
      <c r="Q45" s="30"/>
      <c r="R45" s="89" t="str">
        <f>IF(VLOOKUP(C45,'Train Runs'!$A$13:$AE$9947,1,1)=C45,VLOOKUP(C45,'Train Runs'!$A$13:$AE$9947,31,1),NA())</f>
        <v>aws s3 cp s3://rtdc.mdm.uploadarchive.raw/RTDC4054/ "%USERPROFILE%\AppData\Local\Temp\OnboardLogs"\RTDC4054\2017-03-10 --exclude "*" --recursive --include "*20170310*" &amp; "%USERPROFILE%\Documents\GitHub\mrs-test-scripts\Headless Mode &amp; Sideloading\WalkAndUnGZ.bat" "%USERPROFILE%\AppData\Local\Temp\OnboardLogs"\RTDC4054\2017-03-10 &amp; aws s3 cp s3://rtdc.mdm.uploadarchive.raw/RTDC4054/ "%USERPROFILE%\AppData\Local\Temp\OnboardLogs"\RTDC4054\2017-03-11 --exclude "*" --recursive --include "*20170311*" &amp; "%USERPROFILE%\Documents\GitHub\mrs-test-scripts\Headless Mode &amp; Sideloading\WalkAndUnGZ.bat" "%USERPROFILE%\AppData\Local\Temp\OnboardLogs"\RTDC4054\2017-03-11</v>
      </c>
      <c r="S45" s="92" t="str">
        <f>IF(VLOOKUP(C45,'Train Runs'!$A$13:$AE$9947,1,1)=C45,VLOOKUP(C45,'Train Runs'!$A$13:$AE$9947,22,1),NA())</f>
        <v>https://d0f6bd738d7f1b3e5a7ca70fe4ff75f0.us-east-1.aws.found.io/app/kibana#/discover/Steve-Slow-Train-Analysis-(2080s-and-2083s)?_g=(refreshInterval:(display:Off,pause:!f,section:0,value:0),time:(from:'2017-03-10T14:21:52-0700',mode:absolute,to:'2017-03-10T17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5" s="94" t="str">
        <f t="shared" si="11"/>
        <v>"C:\Program Files (x86)\AstroGrep\AstroGrep.exe" /e /r /s /spath="%USERPROFILE%\AppData\Local\Temp\OnboardLogs" /stypes="*4054*201703102*" /stext=" 23:.+((SYSTEM_STATE.+slice.+state.+changed )|(ment ac)|(multiple cpu faults)|(system.+state.+changed )|(\[timeout)|(PRM\|1\|D)|(kpr)|(kdp)|(\|lc)|(penalty))"</v>
      </c>
      <c r="U45" s="9" t="str">
        <f t="shared" si="12"/>
        <v>4054</v>
      </c>
      <c r="V45" s="32">
        <f t="shared" si="13"/>
        <v>42804.964965277773</v>
      </c>
      <c r="W45" s="46" t="str">
        <f t="shared" si="14"/>
        <v>EC</v>
      </c>
      <c r="X45" s="46" t="str">
        <f t="shared" si="15"/>
        <v>KEEP</v>
      </c>
      <c r="Y45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{"issue":{"subject":"","project_id":79,"tracker_id":40,"status_id":1,"priority_id":2,"assigned_to_id":23,"start_date":"2017-03-10","description":"","custom_fields":[{"id":1,"name":"Subdivision","value":"EC"},{"id":4,"name":"Milepost","value":"0.0001"},{"id":17,"name":"Train ID","value":"188-10"},{"id":16,"name":"Locomotive ID","value":"4054"},{"id":130,"name":"Impact","value":""},{"id":150,"name":"Time of Event (Mountain Time)","value":"16:09:33"},{"id":151,"name":"Denver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7"/>
        <v>grep -hSE -A400 "Enforcement Action" "%USERPROFILE%\AppData\Local\Temp\OnboardLogs"\RTDC4054\*4054*201703102*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"%USERPROFILE%\AppData\Local\Temp\OnboardLogs"\RTDC4054\*4054*201703102* &gt;&gt; 2017-03-10-SliceDisagreementCheck.txt</v>
      </c>
      <c r="AE45" s="157" t="str">
        <f t="shared" si="9"/>
        <v>start /low /b %USERPROFILE%\Documents\GitHub\eaglep3\Utilities\DownloadLogsFromS3.py --loco 4054 --day 2017-03-10</v>
      </c>
      <c r="AF45" s="1"/>
    </row>
    <row r="46" spans="1:32" x14ac:dyDescent="0.25">
      <c r="A46" s="32">
        <v>42804.684120370373</v>
      </c>
      <c r="B46" s="30" t="s">
        <v>400</v>
      </c>
      <c r="C46" s="30" t="s">
        <v>598</v>
      </c>
      <c r="D46" s="30" t="s">
        <v>49</v>
      </c>
      <c r="E46" s="30" t="s">
        <v>186</v>
      </c>
      <c r="F46" s="43">
        <v>0</v>
      </c>
      <c r="G46" s="43">
        <v>51</v>
      </c>
      <c r="H46" s="43">
        <v>192</v>
      </c>
      <c r="I46" s="43">
        <v>147</v>
      </c>
      <c r="J46" s="30" t="s">
        <v>187</v>
      </c>
      <c r="K46" s="43">
        <v>1</v>
      </c>
      <c r="L46" s="143" t="s">
        <v>51</v>
      </c>
      <c r="M46" s="144">
        <f t="shared" si="10"/>
        <v>77.087999999999994</v>
      </c>
      <c r="N46" s="145" t="str">
        <f>VLOOKUP(C46,'Trips&amp;Operators'!$C$1:$G$99999,5,FALSE)</f>
        <v>DE LA ROSA ALEX</v>
      </c>
      <c r="O46" s="194" t="s">
        <v>185</v>
      </c>
      <c r="P46" s="146"/>
      <c r="Q46" s="30"/>
      <c r="R46" s="89" t="str">
        <f>IF(VLOOKUP(C46,'Train Runs'!$A$13:$AE$9947,1,1)=C46,VLOOKUP(C46,'Train Runs'!$A$13:$AE$9947,31,1),NA())</f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S46" s="92" t="str">
        <f>IF(VLOOKUP(C46,'Train Runs'!$A$13:$AE$9947,1,1)=C46,VLOOKUP(C46,'Train Runs'!$A$13:$AE$9947,22,1),NA())</f>
        <v>https://d0f6bd738d7f1b3e5a7ca70fe4ff75f0.us-east-1.aws.found.io/app/kibana#/discover/Steve-Slow-Train-Analysis-(2080s-and-2083s)?_g=(refreshInterval:(display:Off,pause:!f,section:0,value:0),time:(from:'2017-03-10T14:38:32-0700',mode:absolute,to:'2017-03-10T17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6" s="94" t="str">
        <f t="shared" si="11"/>
        <v>"C:\Program Files (x86)\AstroGrep\AstroGrep.exe" /e /r /s /spath="%USERPROFILE%\AppData\Local\Temp\OnboardLogs" /stypes="*4004*201703102*" /stext=" 23:.+((SYSTEM_STATE.+slice.+state.+changed )|(ment ac)|(multiple cpu faults)|(system.+state.+changed )|(\[timeout)|(PRM\|1\|D)|(kpr)|(kdp)|(\|lc)|(penalty))"</v>
      </c>
      <c r="U46" s="9" t="str">
        <f t="shared" si="12"/>
        <v>4004</v>
      </c>
      <c r="V46" s="32">
        <f t="shared" si="13"/>
        <v>42804.975787037038</v>
      </c>
      <c r="W46" s="46" t="str">
        <f t="shared" si="14"/>
        <v>EC</v>
      </c>
      <c r="X46" s="46" t="str">
        <f t="shared" si="15"/>
        <v>KEEP</v>
      </c>
      <c r="Y46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{"issue":{"subject":"","project_id":79,"tracker_id":40,"status_id":1,"priority_id":2,"assigned_to_id":23,"start_date":"2017-03-10","description":"","custom_fields":[{"id":1,"name":"Subdivision","value":"EC"},{"id":4,"name":"Milepost","value":"0.0001"},{"id":17,"name":"Train ID","value":"190-10"},{"id":16,"name":"Locomotive ID","value":"4004"},{"id":130,"name":"Impact","value":""},{"id":150,"name":"Time of Event (Mountain Time)","value":"16:25:08"},{"id":151,"name":"Denver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7"/>
        <v>grep -hSE -A400 "Enforcement Action" "%USERPROFILE%\AppData\Local\Temp\OnboardLogs"\RTDC4004\*4004*201703102*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"%USERPROFILE%\AppData\Local\Temp\OnboardLogs"\RTDC4004\*4004*201703102* &gt;&gt; 2017-03-10-SliceDisagreementCheck.txt</v>
      </c>
      <c r="AE46" s="157" t="str">
        <f t="shared" si="9"/>
        <v>start /low /b %USERPROFILE%\Documents\GitHub\eaglep3\Utilities\DownloadLogsFromS3.py --loco 4004 --day 2017-03-10</v>
      </c>
      <c r="AF46" s="1"/>
    </row>
    <row r="47" spans="1:32" x14ac:dyDescent="0.25">
      <c r="A47" s="32">
        <v>42804.716770833336</v>
      </c>
      <c r="B47" s="30" t="s">
        <v>406</v>
      </c>
      <c r="C47" s="30" t="s">
        <v>599</v>
      </c>
      <c r="D47" s="30" t="s">
        <v>49</v>
      </c>
      <c r="E47" s="30" t="s">
        <v>186</v>
      </c>
      <c r="F47" s="43">
        <v>0</v>
      </c>
      <c r="G47" s="43">
        <v>65</v>
      </c>
      <c r="H47" s="43">
        <v>198</v>
      </c>
      <c r="I47" s="43">
        <v>129</v>
      </c>
      <c r="J47" s="30" t="s">
        <v>187</v>
      </c>
      <c r="K47" s="43">
        <v>1</v>
      </c>
      <c r="L47" s="143" t="s">
        <v>51</v>
      </c>
      <c r="M47" s="144">
        <f t="shared" si="10"/>
        <v>67.584000000000003</v>
      </c>
      <c r="N47" s="145" t="str">
        <f>VLOOKUP(C47,'Trips&amp;Operators'!$C$1:$G$99999,5,FALSE)</f>
        <v>HOLCOMB KAMDEN</v>
      </c>
      <c r="O47" s="194" t="s">
        <v>185</v>
      </c>
      <c r="P47" s="146"/>
      <c r="Q47" s="30"/>
      <c r="R47" s="89" t="str">
        <f>IF(VLOOKUP(C47,'Train Runs'!$A$13:$AE$9947,1,1)=C47,VLOOKUP(C47,'Train Runs'!$A$13:$AE$9947,31,1),NA())</f>
        <v>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 &amp; aws s3 cp s3://rtdc.mdm.uploadarchive.raw/RTDC4010/ "%USERPROFILE%\AppData\Local\Temp\OnboardLogs"\RTDC4010\2017-03-11 --exclude "*" --recursive --include "*20170311*" &amp; "%USERPROFILE%\Documents\GitHub\mrs-test-scripts\Headless Mode &amp; Sideloading\WalkAndUnGZ.bat" "%USERPROFILE%\AppData\Local\Temp\OnboardLogs"\RTDC4010\2017-03-11</v>
      </c>
      <c r="S47" s="92" t="str">
        <f>IF(VLOOKUP(C47,'Train Runs'!$A$13:$AE$9947,1,1)=C47,VLOOKUP(C47,'Train Runs'!$A$13:$AE$9947,22,1),NA())</f>
        <v>https://d0f6bd738d7f1b3e5a7ca70fe4ff75f0.us-east-1.aws.found.io/app/kibana#/discover/Steve-Slow-Train-Analysis-(2080s-and-2083s)?_g=(refreshInterval:(display:Off,pause:!f,section:0,value:0),time:(from:'2017-03-10T15:17:04-0700',mode:absolute,to:'2017-03-10T18:13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7" s="94" t="str">
        <f t="shared" si="11"/>
        <v>"C:\Program Files (x86)\AstroGrep\AstroGrep.exe" /e /r /s /spath="%USERPROFILE%\AppData\Local\Temp\OnboardLogs" /stypes="*4010*201703110*" /stext=" 00:.+((SYSTEM_STATE.+slice.+state.+changed )|(ment ac)|(multiple cpu faults)|(system.+state.+changed )|(\[timeout)|(PRM\|1\|D)|(kpr)|(kdp)|(\|lc)|(penalty))"</v>
      </c>
      <c r="U47" s="9" t="str">
        <f t="shared" si="12"/>
        <v>4010</v>
      </c>
      <c r="V47" s="32">
        <f t="shared" si="13"/>
        <v>42805.008437500001</v>
      </c>
      <c r="W47" s="46" t="str">
        <f t="shared" si="14"/>
        <v>EC</v>
      </c>
      <c r="X47" s="46" t="str">
        <f t="shared" si="15"/>
        <v>KEEP</v>
      </c>
      <c r="Y47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{"issue":{"subject":"","project_id":79,"tracker_id":40,"status_id":1,"priority_id":2,"assigned_to_id":23,"start_date":"2017-03-10","description":"","custom_fields":[{"id":1,"name":"Subdivision","value":"EC"},{"id":4,"name":"Milepost","value":"0.0001"},{"id":17,"name":"Train ID","value":"196-10"},{"id":16,"name":"Locomotive ID","value":"4010"},{"id":130,"name":"Impact","value":""},{"id":150,"name":"Time of Event (Mountain Time)","value":"17:12:09"},{"id":151,"name":"Denver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7"/>
        <v>grep -hSE -A400 "Enforcement Action" "%USERPROFILE%\AppData\Local\Temp\OnboardLogs"\RTDC4010\*4010*201703110*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"%USERPROFILE%\AppData\Local\Temp\OnboardLogs"\RTDC4010\*4010*201703110* &gt;&gt; 2017-03-10-SliceDisagreementCheck.txt</v>
      </c>
      <c r="AE47" s="157" t="str">
        <f t="shared" si="9"/>
        <v>start /low /b %USERPROFILE%\Documents\GitHub\eaglep3\Utilities\DownloadLogsFromS3.py --loco 4010 --day 2017-03-11</v>
      </c>
      <c r="AF47" s="1"/>
    </row>
    <row r="48" spans="1:32" x14ac:dyDescent="0.25">
      <c r="A48" s="32">
        <v>42804.789340277777</v>
      </c>
      <c r="B48" s="30" t="s">
        <v>564</v>
      </c>
      <c r="C48" s="30" t="s">
        <v>605</v>
      </c>
      <c r="D48" s="30" t="s">
        <v>49</v>
      </c>
      <c r="E48" s="30" t="s">
        <v>186</v>
      </c>
      <c r="F48" s="43">
        <v>0</v>
      </c>
      <c r="G48" s="43">
        <v>28</v>
      </c>
      <c r="H48" s="43">
        <v>119</v>
      </c>
      <c r="I48" s="43">
        <v>105</v>
      </c>
      <c r="J48" s="30" t="s">
        <v>187</v>
      </c>
      <c r="K48" s="43">
        <v>1</v>
      </c>
      <c r="L48" s="143" t="s">
        <v>51</v>
      </c>
      <c r="M48" s="144">
        <f t="shared" si="10"/>
        <v>54.911999999999999</v>
      </c>
      <c r="N48" s="145" t="str">
        <f>VLOOKUP(C48,'Trips&amp;Operators'!$C$1:$G$99999,5,FALSE)</f>
        <v>HOLCOMB KAMDEN</v>
      </c>
      <c r="O48" s="194" t="s">
        <v>185</v>
      </c>
      <c r="P48" s="146"/>
      <c r="Q48" s="30"/>
      <c r="R48" s="89" t="str">
        <f>IF(VLOOKUP(C48,'Train Runs'!$A$13:$AE$9947,1,1)=C48,VLOOKUP(C48,'Train Runs'!$A$13:$AE$9947,31,1),NA())</f>
        <v>aws s3 cp s3://rtdc.mdm.uploadarchive.raw/RTDC4052/ "%USERPROFILE%\AppData\Local\Temp\OnboardLogs"\RTDC4052\2017-03-10 --exclude "*" --recursive --include "*20170310*" &amp; "%USERPROFILE%\Documents\GitHub\mrs-test-scripts\Headless Mode &amp; Sideloading\WalkAndUnGZ.bat" "%USERPROFILE%\AppData\Local\Temp\OnboardLogs"\RTDC4052\2017-03-10 &amp; aws s3 cp s3://rtdc.mdm.uploadarchive.raw/RTDC4052/ "%USERPROFILE%\AppData\Local\Temp\OnboardLogs"\RTDC4052\2017-03-11 --exclude "*" --recursive --include "*20170311*" &amp; "%USERPROFILE%\Documents\GitHub\mrs-test-scripts\Headless Mode &amp; Sideloading\WalkAndUnGZ.bat" "%USERPROFILE%\AppData\Local\Temp\OnboardLogs"\RTDC4052\2017-03-11</v>
      </c>
      <c r="S48" s="92" t="str">
        <f>IF(VLOOKUP(C48,'Train Runs'!$A$13:$AE$9947,1,1)=C48,VLOOKUP(C48,'Train Runs'!$A$13:$AE$9947,22,1),NA())</f>
        <v>https://d0f6bd738d7f1b3e5a7ca70fe4ff75f0.us-east-1.aws.found.io/app/kibana#/discover/Steve-Slow-Train-Analysis-(2080s-and-2083s)?_g=(refreshInterval:(display:Off,pause:!f,section:0,value:0),time:(from:'2017-03-10T17:05:48-0700',mode:absolute,to:'2017-03-10T19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8" s="94" t="str">
        <f t="shared" si="11"/>
        <v>"C:\Program Files (x86)\AstroGrep\AstroGrep.exe" /e /r /s /spath="%USERPROFILE%\AppData\Local\Temp\OnboardLogs" /stypes="*4052*201703110*" /stext=" 01:.+((SYSTEM_STATE.+slice.+state.+changed )|(ment ac)|(multiple cpu faults)|(system.+state.+changed )|(\[timeout)|(PRM\|1\|D)|(kpr)|(kdp)|(\|lc)|(penalty))"</v>
      </c>
      <c r="U48" s="9" t="str">
        <f t="shared" si="12"/>
        <v>4052</v>
      </c>
      <c r="V48" s="32">
        <f t="shared" si="13"/>
        <v>42805.081006944441</v>
      </c>
      <c r="W48" s="46" t="str">
        <f t="shared" si="14"/>
        <v>EC</v>
      </c>
      <c r="X48" s="46" t="str">
        <f t="shared" si="15"/>
        <v>KEEP</v>
      </c>
      <c r="Y48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{"issue":{"subject":"","project_id":79,"tracker_id":40,"status_id":1,"priority_id":2,"assigned_to_id":23,"start_date":"2017-03-10","description":"","custom_fields":[{"id":1,"name":"Subdivision","value":"EC"},{"id":4,"name":"Milepost","value":"0.0001"},{"id":17,"name":"Train ID","value":"210-10"},{"id":16,"name":"Locomotive ID","value":"4052"},{"id":130,"name":"Impact","value":""},{"id":150,"name":"Time of Event (Mountain Time)","value":"18:56:39"},{"id":151,"name":"Denver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7"/>
        <v>grep -hSE -A400 "Enforcement Action" "%USERPROFILE%\AppData\Local\Temp\OnboardLogs"\RTDC4052\*4052*201703110*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"%USERPROFILE%\AppData\Local\Temp\OnboardLogs"\RTDC4052\*4052*201703110* &gt;&gt; 2017-03-10-SliceDisagreementCheck.txt</v>
      </c>
      <c r="AE48" s="157" t="str">
        <f t="shared" si="9"/>
        <v>start /low /b %USERPROFILE%\Documents\GitHub\eaglep3\Utilities\DownloadLogsFromS3.py --loco 4052 --day 2017-03-11</v>
      </c>
      <c r="AF48" s="1"/>
    </row>
    <row r="49" spans="1:32" x14ac:dyDescent="0.25">
      <c r="A49" s="32">
        <v>42804.215277777781</v>
      </c>
      <c r="B49" s="30" t="s">
        <v>469</v>
      </c>
      <c r="C49" s="30" t="s">
        <v>566</v>
      </c>
      <c r="D49" s="30" t="s">
        <v>49</v>
      </c>
      <c r="E49" s="30" t="s">
        <v>186</v>
      </c>
      <c r="F49" s="43">
        <v>0</v>
      </c>
      <c r="G49" s="43">
        <v>79</v>
      </c>
      <c r="H49" s="43">
        <v>233186</v>
      </c>
      <c r="I49" s="43">
        <v>233257</v>
      </c>
      <c r="J49" s="30" t="s">
        <v>187</v>
      </c>
      <c r="K49" s="43">
        <v>233491</v>
      </c>
      <c r="L49" s="143" t="s">
        <v>50</v>
      </c>
      <c r="M49" s="144">
        <f t="shared" si="10"/>
        <v>123.55200000000001</v>
      </c>
      <c r="N49" s="145" t="str">
        <f>VLOOKUP(C49,'Trips&amp;Operators'!$C$1:$G$99999,5,FALSE)</f>
        <v>STARKS ANGELINA</v>
      </c>
      <c r="O49" s="194" t="s">
        <v>185</v>
      </c>
      <c r="P49" s="146"/>
      <c r="Q49" s="30"/>
      <c r="R49" s="89" t="str">
        <f>IF(VLOOKUP(C49,'Train Runs'!$A$13:$AE$9947,1,1)=C49,VLOOKUP(C49,'Train Runs'!$A$13:$AE$9947,31,1),NA())</f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S49" s="92" t="str">
        <f>IF(VLOOKUP(C49,'Train Runs'!$A$13:$AE$9947,1,1)=C49,VLOOKUP(C49,'Train Runs'!$A$13:$AE$9947,22,1),NA())</f>
        <v>https://d0f6bd738d7f1b3e5a7ca70fe4ff75f0.us-east-1.aws.found.io/app/kibana#/discover/Steve-Slow-Train-Analysis-(2080s-and-2083s)?_g=(refreshInterval:(display:Off,pause:!f,section:0,value:0),time:(from:'2017-03-10T03:26:18-0700',mode:absolute,to:'2017-03-10T06:10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9" s="94" t="str">
        <f t="shared" si="11"/>
        <v>"C:\Program Files (x86)\AstroGrep\AstroGrep.exe" /e /r /s /spath="%USERPROFILE%\AppData\Local\Temp\OnboardLogs" /stypes="*4040*201703101*" /stext=" 12:.+((SYSTEM_STATE.+slice.+state.+changed )|(ment ac)|(multiple cpu faults)|(system.+state.+changed )|(\[timeout)|(PRM\|1\|D)|(kpr)|(kdp)|(\|lc)|(penalty))"</v>
      </c>
      <c r="U49" s="9" t="str">
        <f t="shared" si="12"/>
        <v>4040</v>
      </c>
      <c r="V49" s="32">
        <f t="shared" si="13"/>
        <v>42804.506944444445</v>
      </c>
      <c r="W49" s="46" t="str">
        <f t="shared" si="14"/>
        <v>EC</v>
      </c>
      <c r="X49" s="46" t="str">
        <f t="shared" si="15"/>
        <v>KEEP</v>
      </c>
      <c r="Y49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{"issue":{"subject":"","project_id":79,"tracker_id":40,"status_id":1,"priority_id":2,"assigned_to_id":23,"start_date":"2017-03-10","description":"","custom_fields":[{"id":1,"name":"Subdivision","value":"EC"},{"id":4,"name":"Milepost","value":"23.3491"},{"id":17,"name":"Train ID","value":"107-10"},{"id":16,"name":"Locomotive ID","value":"4040"},{"id":130,"name":"Impact","value":""},{"id":150,"name":"Time of Event (Mountain Time)","value":"05:10:00"},{"id":151,"name":"Denver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7"/>
        <v>grep -hSE -A400 "Enforcement Action" "%USERPROFILE%\AppData\Local\Temp\OnboardLogs"\RTDC4040\*4040*201703101*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"%USERPROFILE%\AppData\Local\Temp\OnboardLogs"\RTDC4040\*4040*201703101* &gt;&gt; 2017-03-10-SliceDisagreementCheck.txt</v>
      </c>
      <c r="AE49" s="157" t="str">
        <f t="shared" si="9"/>
        <v>start /low /b %USERPROFILE%\Documents\GitHub\eaglep3\Utilities\DownloadLogsFromS3.py --loco 4040 --day 2017-03-10</v>
      </c>
      <c r="AF49" s="1"/>
    </row>
    <row r="50" spans="1:32" x14ac:dyDescent="0.25">
      <c r="A50" s="32">
        <v>42804.432847222219</v>
      </c>
      <c r="B50" s="30" t="s">
        <v>469</v>
      </c>
      <c r="C50" s="30" t="s">
        <v>577</v>
      </c>
      <c r="D50" s="30" t="s">
        <v>49</v>
      </c>
      <c r="E50" s="30" t="s">
        <v>186</v>
      </c>
      <c r="F50" s="43">
        <v>0</v>
      </c>
      <c r="G50" s="43">
        <v>64</v>
      </c>
      <c r="H50" s="43">
        <v>233229</v>
      </c>
      <c r="I50" s="43">
        <v>233274</v>
      </c>
      <c r="J50" s="30" t="s">
        <v>187</v>
      </c>
      <c r="K50" s="43">
        <v>233491</v>
      </c>
      <c r="L50" s="143" t="s">
        <v>50</v>
      </c>
      <c r="M50" s="144">
        <f t="shared" si="10"/>
        <v>114.57599999999999</v>
      </c>
      <c r="N50" s="145" t="str">
        <f>VLOOKUP(C50,'Trips&amp;Operators'!$C$1:$G$99999,5,FALSE)</f>
        <v>STARKS ANGELINA</v>
      </c>
      <c r="O50" s="194" t="s">
        <v>185</v>
      </c>
      <c r="P50" s="146"/>
      <c r="Q50" s="30"/>
      <c r="R50" s="89" t="str">
        <f>IF(VLOOKUP(C50,'Train Runs'!$A$13:$AE$9947,1,1)=C50,VLOOKUP(C50,'Train Runs'!$A$13:$AE$9947,31,1),NA())</f>
        <v>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 &amp; aws s3 cp s3://rtdc.mdm.uploadarchive.raw/RTDC4040/ "%USERPROFILE%\AppData\Local\Temp\OnboardLogs"\RTDC4040\2017-03-11 --exclude "*" --recursive --include "*20170311*" &amp; "%USERPROFILE%\Documents\GitHub\mrs-test-scripts\Headless Mode &amp; Sideloading\WalkAndUnGZ.bat" "%USERPROFILE%\AppData\Local\Temp\OnboardLogs"\RTDC4040\2017-03-11</v>
      </c>
      <c r="S50" s="92" t="str">
        <f>IF(VLOOKUP(C50,'Train Runs'!$A$13:$AE$9947,1,1)=C50,VLOOKUP(C50,'Train Runs'!$A$13:$AE$9947,22,1),NA())</f>
        <v>https://d0f6bd738d7f1b3e5a7ca70fe4ff75f0.us-east-1.aws.found.io/app/kibana#/discover/Steve-Slow-Train-Analysis-(2080s-and-2083s)?_g=(refreshInterval:(display:Off,pause:!f,section:0,value:0),time:(from:'2017-03-10T08:43:03-0700',mode:absolute,to:'2017-03-10T11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0" s="94" t="str">
        <f t="shared" si="11"/>
        <v>"C:\Program Files (x86)\AstroGrep\AstroGrep.exe" /e /r /s /spath="%USERPROFILE%\AppData\Local\Temp\OnboardLogs" /stypes="*4040*201703101*" /stext=" 17:.+((SYSTEM_STATE.+slice.+state.+changed )|(ment ac)|(multiple cpu faults)|(system.+state.+changed )|(\[timeout)|(PRM\|1\|D)|(kpr)|(kdp)|(\|lc)|(penalty))"</v>
      </c>
      <c r="U50" s="9" t="str">
        <f t="shared" si="12"/>
        <v>4040</v>
      </c>
      <c r="V50" s="32">
        <f t="shared" si="13"/>
        <v>42804.724513888883</v>
      </c>
      <c r="W50" s="46" t="str">
        <f t="shared" si="14"/>
        <v>EC</v>
      </c>
      <c r="X50" s="46" t="str">
        <f t="shared" si="15"/>
        <v>KEEP</v>
      </c>
      <c r="Y50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{"issue":{"subject":"","project_id":79,"tracker_id":40,"status_id":1,"priority_id":2,"assigned_to_id":23,"start_date":"2017-03-10","description":"","custom_fields":[{"id":1,"name":"Subdivision","value":"EC"},{"id":4,"name":"Milepost","value":"23.3491"},{"id":17,"name":"Train ID","value":"149-10"},{"id":16,"name":"Locomotive ID","value":"4040"},{"id":130,"name":"Impact","value":""},{"id":150,"name":"Time of Event (Mountain Time)","value":"10:23:18"},{"id":151,"name":"Denver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7"/>
        <v>grep -hSE -A400 "Enforcement Action" "%USERPROFILE%\AppData\Local\Temp\OnboardLogs"\RTDC4040\*4040*201703101*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"%USERPROFILE%\AppData\Local\Temp\OnboardLogs"\RTDC4040\*4040*201703101* &gt;&gt; 2017-03-10-SliceDisagreementCheck.txt</v>
      </c>
      <c r="AE50" s="157" t="str">
        <f t="shared" si="9"/>
        <v>start /low /b %USERPROFILE%\Documents\GitHub\eaglep3\Utilities\DownloadLogsFromS3.py --loco 4040 --day 2017-03-10</v>
      </c>
      <c r="AF50" s="1"/>
    </row>
    <row r="51" spans="1:32" x14ac:dyDescent="0.25">
      <c r="A51" s="32">
        <v>42804.559305555558</v>
      </c>
      <c r="B51" s="30" t="s">
        <v>584</v>
      </c>
      <c r="C51" s="30" t="s">
        <v>585</v>
      </c>
      <c r="D51" s="30" t="s">
        <v>49</v>
      </c>
      <c r="E51" s="30" t="s">
        <v>186</v>
      </c>
      <c r="F51" s="43">
        <v>0</v>
      </c>
      <c r="G51" s="43">
        <v>62</v>
      </c>
      <c r="H51" s="43">
        <v>233253</v>
      </c>
      <c r="I51" s="43">
        <v>233314</v>
      </c>
      <c r="J51" s="30" t="s">
        <v>187</v>
      </c>
      <c r="K51" s="43">
        <v>233491</v>
      </c>
      <c r="L51" s="143" t="s">
        <v>50</v>
      </c>
      <c r="M51" s="144">
        <f t="shared" si="10"/>
        <v>93.456000000000003</v>
      </c>
      <c r="N51" s="145" t="str">
        <f>VLOOKUP(C51,'Trips&amp;Operators'!$C$1:$G$99999,5,FALSE)</f>
        <v>STEWART MICHAEL</v>
      </c>
      <c r="O51" s="194" t="s">
        <v>185</v>
      </c>
      <c r="P51" s="146"/>
      <c r="Q51" s="30"/>
      <c r="R51" s="89" t="str">
        <f>IF(VLOOKUP(C51,'Train Runs'!$A$13:$AE$9947,1,1)=C51,VLOOKUP(C51,'Train Runs'!$A$13:$AE$9947,31,1),NA())</f>
        <v>aws s3 cp s3://rtdc.mdm.uploadarchive.raw/RTDC4053/ "%USERPROFILE%\AppData\Local\Temp\OnboardLogs"\RTDC4053\2017-03-10 --exclude "*" --recursive --include "*20170310*" &amp; "%USERPROFILE%\Documents\GitHub\mrs-test-scripts\Headless Mode &amp; Sideloading\WalkAndUnGZ.bat" "%USERPROFILE%\AppData\Local\Temp\OnboardLogs"\RTDC4053\2017-03-10 &amp; aws s3 cp s3://rtdc.mdm.uploadarchive.raw/RTDC4053/ "%USERPROFILE%\AppData\Local\Temp\OnboardLogs"\RTDC4053\2017-03-11 --exclude "*" --recursive --include "*20170311*" &amp; "%USERPROFILE%\Documents\GitHub\mrs-test-scripts\Headless Mode &amp; Sideloading\WalkAndUnGZ.bat" "%USERPROFILE%\AppData\Local\Temp\OnboardLogs"\RTDC4053\2017-03-11</v>
      </c>
      <c r="S51" s="92" t="str">
        <f>IF(VLOOKUP(C51,'Train Runs'!$A$13:$AE$9947,1,1)=C51,VLOOKUP(C51,'Train Runs'!$A$13:$AE$9947,22,1),NA())</f>
        <v>https://d0f6bd738d7f1b3e5a7ca70fe4ff75f0.us-east-1.aws.found.io/app/kibana#/discover/Steve-Slow-Train-Analysis-(2080s-and-2083s)?_g=(refreshInterval:(display:Off,pause:!f,section:0,value:0),time:(from:'2017-03-10T11:29:51-0700',mode:absolute,to:'2017-03-10T14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51" s="94" t="str">
        <f t="shared" si="11"/>
        <v>"C:\Program Files (x86)\AstroGrep\AstroGrep.exe" /e /r /s /spath="%USERPROFILE%\AppData\Local\Temp\OnboardLogs" /stypes="*4053*201703102*" /stext=" 20:.+((SYSTEM_STATE.+slice.+state.+changed )|(ment ac)|(multiple cpu faults)|(system.+state.+changed )|(\[timeout)|(PRM\|1\|D)|(kpr)|(kdp)|(\|lc)|(penalty))"</v>
      </c>
      <c r="U51" s="9" t="str">
        <f t="shared" si="12"/>
        <v>4053</v>
      </c>
      <c r="V51" s="32">
        <f t="shared" si="13"/>
        <v>42804.850972222222</v>
      </c>
      <c r="W51" s="46" t="str">
        <f t="shared" si="14"/>
        <v>EC</v>
      </c>
      <c r="X51" s="46" t="str">
        <f t="shared" si="15"/>
        <v>KEEP</v>
      </c>
      <c r="Y51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{"issue":{"subject":"","project_id":79,"tracker_id":40,"status_id":1,"priority_id":2,"assigned_to_id":23,"start_date":"2017-03-10","description":"","custom_fields":[{"id":1,"name":"Subdivision","value":"EC"},{"id":4,"name":"Milepost","value":"23.3491"},{"id":17,"name":"Train ID","value":"173-10"},{"id":16,"name":"Locomotive ID","value":"4053"},{"id":130,"name":"Impact","value":""},{"id":150,"name":"Time of Event (Mountain Time)","value":"13:25:24"},{"id":151,"name":"Denver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7"/>
        <v>grep -hSE -A400 "Enforcement Action" "%USERPROFILE%\AppData\Local\Temp\OnboardLogs"\RTDC4053\*4053*201703102*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"%USERPROFILE%\AppData\Local\Temp\OnboardLogs"\RTDC4053\*4053*201703102* &gt;&gt; 2017-03-10-SliceDisagreementCheck.txt</v>
      </c>
      <c r="AE51" s="157" t="str">
        <f t="shared" si="9"/>
        <v>start /low /b %USERPROFILE%\Documents\GitHub\eaglep3\Utilities\DownloadLogsFromS3.py --loco 4053 --day 2017-03-10</v>
      </c>
      <c r="AF51" s="1"/>
    </row>
    <row r="52" spans="1:32" x14ac:dyDescent="0.25">
      <c r="A52" s="32">
        <v>42804.731261574074</v>
      </c>
      <c r="B52" s="30" t="s">
        <v>211</v>
      </c>
      <c r="C52" s="30" t="s">
        <v>600</v>
      </c>
      <c r="D52" s="30" t="s">
        <v>49</v>
      </c>
      <c r="E52" s="30" t="s">
        <v>186</v>
      </c>
      <c r="F52" s="43">
        <v>0</v>
      </c>
      <c r="G52" s="43">
        <v>64</v>
      </c>
      <c r="H52" s="43">
        <v>233257</v>
      </c>
      <c r="I52" s="43">
        <v>233326</v>
      </c>
      <c r="J52" s="30" t="s">
        <v>187</v>
      </c>
      <c r="K52" s="43">
        <v>233491</v>
      </c>
      <c r="L52" s="143" t="s">
        <v>50</v>
      </c>
      <c r="M52" s="144">
        <f t="shared" si="10"/>
        <v>87.12</v>
      </c>
      <c r="N52" s="145" t="str">
        <f>VLOOKUP(C52,'Trips&amp;Operators'!$C$1:$G$99999,5,FALSE)</f>
        <v>BRANDNER MELINDA</v>
      </c>
      <c r="O52" s="194" t="s">
        <v>185</v>
      </c>
      <c r="P52" s="146"/>
      <c r="Q52" s="30"/>
      <c r="R52" s="89" t="str">
        <f>IF(VLOOKUP(C52,'Train Runs'!$A$13:$AE$9947,1,1)=C52,VLOOKUP(C52,'Train Runs'!$A$13:$AE$9947,31,1),NA())</f>
        <v>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 &amp; aws s3 cp s3://rtdc.mdm.uploadarchive.raw/RTDC4046/ "%USERPROFILE%\AppData\Local\Temp\OnboardLogs"\RTDC4046\2017-03-11 --exclude "*" --recursive --include "*20170311*" &amp; "%USERPROFILE%\Documents\GitHub\mrs-test-scripts\Headless Mode &amp; Sideloading\WalkAndUnGZ.bat" "%USERPROFILE%\AppData\Local\Temp\OnboardLogs"\RTDC4046\2017-03-11</v>
      </c>
      <c r="S52" s="92" t="str">
        <f>IF(VLOOKUP(C52,'Train Runs'!$A$13:$AE$9947,1,1)=C52,VLOOKUP(C52,'Train Runs'!$A$13:$AE$9947,22,1),NA())</f>
        <v>https://d0f6bd738d7f1b3e5a7ca70fe4ff75f0.us-east-1.aws.found.io/app/kibana#/discover/Steve-Slow-Train-Analysis-(2080s-and-2083s)?_g=(refreshInterval:(display:Off,pause:!f,section:0,value:0),time:(from:'2017-03-10T15:40:09-0700',mode:absolute,to:'2017-03-10T18:33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2" s="94" t="str">
        <f t="shared" si="11"/>
        <v>"C:\Program Files (x86)\AstroGrep\AstroGrep.exe" /e /r /s /spath="%USERPROFILE%\AppData\Local\Temp\OnboardLogs" /stypes="*4046*201703110*" /stext=" 00:.+((SYSTEM_STATE.+slice.+state.+changed )|(ment ac)|(multiple cpu faults)|(system.+state.+changed )|(\[timeout)|(PRM\|1\|D)|(kpr)|(kdp)|(\|lc)|(penalty))"</v>
      </c>
      <c r="U52" s="9" t="str">
        <f t="shared" si="12"/>
        <v>4046</v>
      </c>
      <c r="V52" s="32">
        <f t="shared" si="13"/>
        <v>42805.022928240738</v>
      </c>
      <c r="W52" s="46" t="str">
        <f t="shared" si="14"/>
        <v>EC</v>
      </c>
      <c r="X52" s="46" t="str">
        <f t="shared" si="15"/>
        <v>KEEP</v>
      </c>
      <c r="Y52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{"issue":{"subject":"","project_id":79,"tracker_id":40,"status_id":1,"priority_id":2,"assigned_to_id":23,"start_date":"2017-03-10","description":"","custom_fields":[{"id":1,"name":"Subdivision","value":"EC"},{"id":4,"name":"Milepost","value":"23.3491"},{"id":17,"name":"Train ID","value":"205-10"},{"id":16,"name":"Locomotive ID","value":"4046"},{"id":130,"name":"Impact","value":""},{"id":150,"name":"Time of Event (Mountain Time)","value":"17:33:01"},{"id":151,"name":"Denver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7"/>
        <v>grep -hSE -A400 "Enforcement Action" "%USERPROFILE%\AppData\Local\Temp\OnboardLogs"\RTDC4046\*4046*201703110*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"%USERPROFILE%\AppData\Local\Temp\OnboardLogs"\RTDC4046\*4046*201703110* &gt;&gt; 2017-03-10-SliceDisagreementCheck.txt</v>
      </c>
      <c r="AE52" s="157" t="str">
        <f t="shared" si="9"/>
        <v>start /low /b %USERPROFILE%\Documents\GitHub\eaglep3\Utilities\DownloadLogsFromS3.py --loco 4046 --day 2017-03-11</v>
      </c>
      <c r="AF52" s="1"/>
    </row>
    <row r="53" spans="1:32" x14ac:dyDescent="0.25">
      <c r="A53" s="32">
        <v>42804.942696759259</v>
      </c>
      <c r="B53" s="30" t="s">
        <v>401</v>
      </c>
      <c r="C53" s="30" t="s">
        <v>609</v>
      </c>
      <c r="D53" s="30" t="s">
        <v>49</v>
      </c>
      <c r="E53" s="30" t="s">
        <v>186</v>
      </c>
      <c r="F53" s="43">
        <v>0</v>
      </c>
      <c r="G53" s="43">
        <v>29</v>
      </c>
      <c r="H53" s="43">
        <v>233389</v>
      </c>
      <c r="I53" s="43">
        <v>233406</v>
      </c>
      <c r="J53" s="30" t="s">
        <v>187</v>
      </c>
      <c r="K53" s="43">
        <v>233491</v>
      </c>
      <c r="L53" s="143" t="s">
        <v>50</v>
      </c>
      <c r="M53" s="144">
        <f t="shared" si="10"/>
        <v>44.88</v>
      </c>
      <c r="N53" s="145" t="str">
        <f>VLOOKUP(C53,'Trips&amp;Operators'!$C$1:$G$99999,5,FALSE)</f>
        <v>STAMBAUGH JAMES</v>
      </c>
      <c r="O53" s="194" t="s">
        <v>185</v>
      </c>
      <c r="P53" s="146"/>
      <c r="Q53" s="30"/>
      <c r="R53" s="89" t="str">
        <f>IF(VLOOKUP(C53,'Train Runs'!$A$13:$AE$9947,1,1)=C53,VLOOKUP(C53,'Train Runs'!$A$13:$AE$9947,31,1),NA())</f>
        <v>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 &amp; 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</v>
      </c>
      <c r="S53" s="92" t="str">
        <f>IF(VLOOKUP(C53,'Train Runs'!$A$13:$AE$9947,1,1)=C53,VLOOKUP(C53,'Train Runs'!$A$13:$AE$9947,22,1),NA())</f>
        <v>https://d0f6bd738d7f1b3e5a7ca70fe4ff75f0.us-east-1.aws.found.io/app/kibana#/discover/Steve-Slow-Train-Analysis-(2080s-and-2083s)?_g=(refreshInterval:(display:Off,pause:!f,section:0,value:0),time:(from:'2017-03-10T20:43:14-0700',mode:absolute,to:'2017-03-10T23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53" s="94" t="str">
        <f t="shared" si="11"/>
        <v>"C:\Program Files (x86)\AstroGrep\AstroGrep.exe" /e /r /s /spath="%USERPROFILE%\AppData\Local\Temp\OnboardLogs" /stypes="*4003*201703110*" /stext=" 05:.+((SYSTEM_STATE.+slice.+state.+changed )|(ment ac)|(multiple cpu faults)|(system.+state.+changed )|(\[timeout)|(PRM\|1\|D)|(kpr)|(kdp)|(\|lc)|(penalty))"</v>
      </c>
      <c r="U53" s="9" t="str">
        <f t="shared" si="12"/>
        <v>4003</v>
      </c>
      <c r="V53" s="32">
        <f t="shared" si="13"/>
        <v>42805.234363425923</v>
      </c>
      <c r="W53" s="46" t="str">
        <f t="shared" si="14"/>
        <v>EC</v>
      </c>
      <c r="X53" s="46" t="str">
        <f t="shared" si="15"/>
        <v>KEEP</v>
      </c>
      <c r="Y53" s="108" t="str">
        <f t="shared" si="16"/>
        <v>echo {"issue":{"subject":"","project_id":79,"tracker_id":40,"status_id":1,"priority_id":2,"assigned_to_id":23,"start_date":"2017-03-10","description":"","custom_fields":[{"id":1,"name":"Subdivision","value":"EC"},{"id":4,"name":"Milepost","value":"23.3491"},{"id":17,"name":"Train ID","value":"233-10"},{"id":16,"name":"Locomotive ID","value":"4003"},{"id":130,"name":"Impact","value":""},{"id":150,"name":"Time of Event (Mountain Time)","value":"22:37:29"},{"id":151,"name":"Denver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7"/>
        <v>grep -hSE -A400 "Enforcement Action" "%USERPROFILE%\AppData\Local\Temp\OnboardLogs"\RTDC4003\*4003*201703110*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"%USERPROFILE%\AppData\Local\Temp\OnboardLogs"\RTDC4003\*4003*201703110* &gt;&gt; 2017-03-10-SliceDisagreementCheck.txt</v>
      </c>
      <c r="AE53" s="157" t="str">
        <f t="shared" si="9"/>
        <v>start /low /b %USERPROFILE%\Documents\GitHub\eaglep3\Utilities\DownloadLogsFromS3.py --loco 4003 --day 2017-03-11</v>
      </c>
      <c r="AF53" s="1"/>
    </row>
    <row r="54" spans="1:32" x14ac:dyDescent="0.25">
      <c r="A54" s="32">
        <v>42804.682673611111</v>
      </c>
      <c r="B54" s="30" t="s">
        <v>204</v>
      </c>
      <c r="C54" s="30" t="s">
        <v>595</v>
      </c>
      <c r="D54" s="30" t="s">
        <v>49</v>
      </c>
      <c r="E54" s="30" t="s">
        <v>596</v>
      </c>
      <c r="F54" s="43">
        <v>0</v>
      </c>
      <c r="G54" s="43">
        <v>124</v>
      </c>
      <c r="H54" s="43">
        <v>5379</v>
      </c>
      <c r="I54" s="43">
        <v>5171</v>
      </c>
      <c r="J54" s="30" t="s">
        <v>597</v>
      </c>
      <c r="K54" s="43">
        <v>4790</v>
      </c>
      <c r="L54" s="143" t="s">
        <v>51</v>
      </c>
      <c r="M54" s="144">
        <f t="shared" si="10"/>
        <v>201.16800000000001</v>
      </c>
      <c r="N54" s="145" t="str">
        <f>VLOOKUP(C54,'Trips&amp;Operators'!$C$1:$G$99999,5,FALSE)</f>
        <v>SMITH MICHAEL</v>
      </c>
      <c r="O54" s="194" t="s">
        <v>185</v>
      </c>
      <c r="P54" s="146"/>
      <c r="Q54" s="30"/>
      <c r="R54" s="89" t="e">
        <f>IF(VLOOKUP(C54,'Train Runs'!$A$13:$AE$9947,1,1)=C54,VLOOKUP(C54,'Train Runs'!$A$13:$AE$9947,31,1),NA())</f>
        <v>#N/A</v>
      </c>
      <c r="S54" s="92" t="e">
        <f>IF(VLOOKUP(C54,'Train Runs'!$A$13:$AE$9947,1,1)=C54,VLOOKUP(C54,'Train Runs'!$A$13:$AE$9947,22,1),NA())</f>
        <v>#N/A</v>
      </c>
      <c r="T54" s="94" t="str">
        <f t="shared" si="11"/>
        <v>"C:\Program Files (x86)\AstroGrep\AstroGrep.exe" /e /r /s /spath="%USERPROFILE%\AppData\Local\Temp\OnboardLogs" /stypes="*4030*201703102*" /stext=" 23:.+((SYSTEM_STATE.+slice.+state.+changed )|(ment ac)|(multiple cpu faults)|(system.+state.+changed )|(\[timeout)|(PRM\|1\|D)|(kpr)|(kdp)|(\|lc)|(penalty))"</v>
      </c>
      <c r="U54" s="9" t="str">
        <f t="shared" si="12"/>
        <v>4030</v>
      </c>
      <c r="V54" s="32">
        <f t="shared" si="13"/>
        <v>42804.974340277775</v>
      </c>
      <c r="W54" s="46" t="str">
        <f t="shared" si="14"/>
        <v>NW</v>
      </c>
      <c r="X54" s="46" t="str">
        <f t="shared" si="15"/>
        <v>KEEP</v>
      </c>
      <c r="Y54" s="108" t="str">
        <f t="shared" si="16"/>
        <v>echo {"issue":{"subject":"","project_id":79,"tracker_id":40,"status_id":1,"priority_id":2,"assigned_to_id":23,"start_date":"2017-03-10","description":"","custom_fields":[{"id":1,"name":"Subdivision","value":"NW"},{"id":4,"name":"Milepost","value":"0.479"},{"id":17,"name":"Train ID","value":"828-10"},{"id":16,"name":"Locomotive ID","value":"4030"},{"id":130,"name":"Impact","value":""},{"id":150,"name":"Time of Event (Mountain Time)","value":"16:23:03"},{"id":151,"name":"Denver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7"/>
        <v>grep -hSE -A400 "Enforcement Action" "%USERPROFILE%\AppData\Local\Temp\OnboardLogs"\RTDC4030\*4030*201703102* | grep -SE "((Enforcement Ac)|(PRM.+XING))"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"%USERPROFILE%\AppData\Local\Temp\OnboardLogs"\RTDC4030\*4030*201703102* &gt;&gt; 2017-03-10-SliceDisagreementCheck.txt</v>
      </c>
      <c r="AE54" s="157" t="str">
        <f t="shared" si="9"/>
        <v>start /low /b %USERPROFILE%\Documents\GitHub\eaglep3\Utilities\DownloadLogsFromS3.py --loco 4030 --day 2017-03-10</v>
      </c>
      <c r="AF54" s="1"/>
    </row>
    <row r="55" spans="1:32" x14ac:dyDescent="0.25">
      <c r="A55" s="32">
        <v>42804.756539351853</v>
      </c>
      <c r="B55" s="30" t="s">
        <v>204</v>
      </c>
      <c r="C55" s="30" t="s">
        <v>604</v>
      </c>
      <c r="D55" s="30" t="s">
        <v>98</v>
      </c>
      <c r="E55" s="30" t="s">
        <v>418</v>
      </c>
      <c r="F55" s="43">
        <v>0</v>
      </c>
      <c r="G55" s="43">
        <v>12</v>
      </c>
      <c r="H55" s="43">
        <v>58342</v>
      </c>
      <c r="I55" s="43">
        <v>58338</v>
      </c>
      <c r="J55" s="30" t="s">
        <v>419</v>
      </c>
      <c r="K55" s="43">
        <v>58472</v>
      </c>
      <c r="L55" s="143" t="s">
        <v>51</v>
      </c>
      <c r="M55" s="144">
        <f t="shared" si="10"/>
        <v>-70.751999999999995</v>
      </c>
      <c r="N55" s="145" t="str">
        <f>VLOOKUP(C55,'Trips&amp;Operators'!$C$1:$G$99999,5,FALSE)</f>
        <v>SMITH MICHAEL</v>
      </c>
      <c r="O55" s="194" t="s">
        <v>185</v>
      </c>
      <c r="P55" s="146" t="s">
        <v>1019</v>
      </c>
      <c r="Q55" s="30"/>
      <c r="R55" s="89" t="e">
        <f>IF(VLOOKUP(C55,'Train Runs'!$A$13:$AE$9947,1,1)=C55,VLOOKUP(C55,'Train Runs'!$A$13:$AE$9947,31,1),NA())</f>
        <v>#N/A</v>
      </c>
      <c r="S55" s="92" t="e">
        <f>IF(VLOOKUP(C55,'Train Runs'!$A$13:$AE$9947,1,1)=C55,VLOOKUP(C55,'Train Runs'!$A$13:$AE$9947,22,1),NA())</f>
        <v>#N/A</v>
      </c>
      <c r="T55" s="94" t="str">
        <f t="shared" si="11"/>
        <v>"C:\Program Files (x86)\AstroGrep\AstroGrep.exe" /e /r /s /spath="%USERPROFILE%\AppData\Local\Temp\OnboardLogs" /stypes="*4030*201703110*" /stext=" 01:.+((SYSTEM_STATE.+slice.+state.+changed )|(ment ac)|(multiple cpu faults)|(system.+state.+changed )|(\[timeout)|(PRM\|1\|D)|(kpr)|(kdp)|(\|lc)|(penalty))"</v>
      </c>
      <c r="U55" s="9" t="str">
        <f t="shared" si="12"/>
        <v>4030</v>
      </c>
      <c r="V55" s="32">
        <f t="shared" si="13"/>
        <v>42805.048206018517</v>
      </c>
      <c r="W55" s="46" t="str">
        <f t="shared" si="14"/>
        <v>NW</v>
      </c>
      <c r="X55" s="46" t="str">
        <f t="shared" si="15"/>
        <v>KEEP</v>
      </c>
      <c r="Y55" s="108" t="str">
        <f t="shared" si="16"/>
        <v>echo {"issue":{"subject":"Initialized too close to Westminster 2S","project_id":79,"tracker_id":40,"status_id":1,"priority_id":2,"assigned_to_id":23,"start_date":"2017-03-10","description":"","custom_fields":[{"id":1,"name":"Subdivision","value":"NW"},{"id":4,"name":"Milepost","value":"5.8472"},{"id":17,"name":"Train ID","value":"836-10"},{"id":16,"name":"Locomotive ID","value":"4030"},{"id":130,"name":"Impact","value":""},{"id":150,"name":"Time of Event (Mountain Time)","value":"18:09:25"},{"id":151,"name":"Denver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7"/>
        <v>grep -hSE -A400 "Enforcement Action" "%USERPROFILE%\AppData\Local\Temp\OnboardLogs"\RTDC4030\*4030*201703110* | grep -SE "((Enforcement Ac)|(PRM.+XING))"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"%USERPROFILE%\AppData\Local\Temp\OnboardLogs"\RTDC4030\*4030*201703110* &gt;&gt; 2017-03-10-SliceDisagreementCheck.txt</v>
      </c>
      <c r="AE55" s="157" t="str">
        <f t="shared" si="9"/>
        <v>start /low /b %USERPROFILE%\Documents\GitHub\eaglep3\Utilities\DownloadLogsFromS3.py --loco 4030 --day 2017-03-11</v>
      </c>
      <c r="AF55" s="1"/>
    </row>
    <row r="56" spans="1:32" x14ac:dyDescent="0.25">
      <c r="A56" s="32">
        <v>42804.141250000001</v>
      </c>
      <c r="B56" s="30" t="s">
        <v>407</v>
      </c>
      <c r="C56" s="30" t="s">
        <v>563</v>
      </c>
      <c r="D56" s="30" t="s">
        <v>49</v>
      </c>
      <c r="E56" s="30" t="s">
        <v>195</v>
      </c>
      <c r="F56" s="43">
        <v>450</v>
      </c>
      <c r="G56" s="43">
        <v>505</v>
      </c>
      <c r="H56" s="43">
        <v>57170</v>
      </c>
      <c r="I56" s="43">
        <v>58850</v>
      </c>
      <c r="J56" s="30" t="s">
        <v>196</v>
      </c>
      <c r="K56" s="43">
        <v>58117</v>
      </c>
      <c r="L56" s="143" t="s">
        <v>50</v>
      </c>
      <c r="M56" s="144">
        <f t="shared" si="10"/>
        <v>-387.024</v>
      </c>
      <c r="N56" s="145" t="str">
        <f>VLOOKUP(C56,'Trips&amp;Operators'!$C$1:$G$99999,5,FALSE)</f>
        <v>SPECTOR MICHAEL</v>
      </c>
      <c r="O56" s="194" t="s">
        <v>185</v>
      </c>
      <c r="P56" s="146"/>
      <c r="Q56" s="30"/>
      <c r="R56" s="89" t="e">
        <f>IF(VLOOKUP(C56,'Train Runs'!$A$13:$AE$9947,1,1)=C56,VLOOKUP(C56,'Train Runs'!$A$13:$AE$9947,31,1),NA())</f>
        <v>#N/A</v>
      </c>
      <c r="S56" s="92" t="e">
        <f>IF(VLOOKUP(C56,'Train Runs'!$A$13:$AE$9947,1,1)=C56,VLOOKUP(C56,'Train Runs'!$A$13:$AE$9947,22,1),NA())</f>
        <v>#N/A</v>
      </c>
      <c r="T56" s="94" t="str">
        <f t="shared" si="11"/>
        <v>"C:\Program Files (x86)\AstroGrep\AstroGrep.exe" /e /r /s /spath="%USERPROFILE%\AppData\Local\Temp\OnboardLogs" /stypes="*4009*201703101*" /stext=" 10:.+((SYSTEM_STATE.+slice.+state.+changed )|(ment ac)|(multiple cpu faults)|(system.+state.+changed )|(\[timeout)|(PRM\|1\|D)|(kpr)|(kdp)|(\|lc)|(penalty))"</v>
      </c>
      <c r="U56" s="9" t="str">
        <f t="shared" si="12"/>
        <v>4009</v>
      </c>
      <c r="V56" s="32">
        <f t="shared" si="13"/>
        <v>42804.432916666665</v>
      </c>
      <c r="W56" s="46" t="str">
        <f t="shared" si="14"/>
        <v>Other</v>
      </c>
      <c r="X56" s="46" t="str">
        <f t="shared" si="15"/>
        <v>KEEP</v>
      </c>
      <c r="Y56" s="108" t="str">
        <f t="shared" si="16"/>
        <v>echo {"issue":{"subject":"","project_id":79,"tracker_id":40,"status_id":1,"priority_id":2,"assigned_to_id":23,"start_date":"2017-03-10","description":"","custom_fields":[{"id":1,"name":"Subdivision","value":"Other"},{"id":4,"name":"Milepost","value":"5.8117"},{"id":17,"name":"Train ID","value":"51-10"},{"id":16,"name":"Locomotive ID","value":"4009"},{"id":130,"name":"Impact","value":""},{"id":150,"name":"Time of Event (Mountain Time)","value":"03:23:24"},{"id":151,"name":"Denver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7"/>
        <v>grep -hSE -A400 "Enforcement Action" "%USERPROFILE%\AppData\Local\Temp\OnboardLogs"\RTDC4009\*4009*201703101* | grep -SE "((Enforcement Ac)|(PRM.+XING))"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"%USERPROFILE%\AppData\Local\Temp\OnboardLogs"\RTDC4009\*4009*201703101* &gt;&gt; 2017-03-10-SliceDisagreementCheck.txt</v>
      </c>
      <c r="AE56" s="157" t="str">
        <f t="shared" si="9"/>
        <v>start /low /b %USERPROFILE%\Documents\GitHub\eaglep3\Utilities\DownloadLogsFromS3.py --loco 4009 --day 2017-03-10</v>
      </c>
      <c r="AF56" s="1"/>
    </row>
    <row r="57" spans="1:32" x14ac:dyDescent="0.25">
      <c r="A57" s="32">
        <v>42804.161134259259</v>
      </c>
      <c r="B57" s="30" t="s">
        <v>564</v>
      </c>
      <c r="C57" s="30" t="s">
        <v>565</v>
      </c>
      <c r="D57" s="30" t="s">
        <v>49</v>
      </c>
      <c r="E57" s="30" t="s">
        <v>418</v>
      </c>
      <c r="F57" s="43">
        <v>0</v>
      </c>
      <c r="G57" s="43">
        <v>194</v>
      </c>
      <c r="H57" s="43">
        <v>18154</v>
      </c>
      <c r="I57" s="43">
        <v>17794</v>
      </c>
      <c r="J57" s="30" t="s">
        <v>419</v>
      </c>
      <c r="K57" s="43">
        <v>16590</v>
      </c>
      <c r="L57" s="143" t="s">
        <v>51</v>
      </c>
      <c r="M57" s="144">
        <f t="shared" si="10"/>
        <v>635.71199999999999</v>
      </c>
      <c r="N57" s="145" t="str">
        <f>VLOOKUP(C57,'Trips&amp;Operators'!$C$1:$G$99999,5,FALSE)</f>
        <v>ROBINSON KADDIBA</v>
      </c>
      <c r="O57" s="194" t="s">
        <v>185</v>
      </c>
      <c r="P57" s="146"/>
      <c r="Q57" s="30"/>
      <c r="R57" s="89" t="e">
        <f>IF(VLOOKUP(C57,'Train Runs'!$A$13:$AE$9947,1,1)=C57,VLOOKUP(C57,'Train Runs'!$A$13:$AE$9947,31,1),NA())</f>
        <v>#N/A</v>
      </c>
      <c r="S57" s="92" t="e">
        <f>IF(VLOOKUP(C57,'Train Runs'!$A$13:$AE$9947,1,1)=C57,VLOOKUP(C57,'Train Runs'!$A$13:$AE$9947,22,1),NA())</f>
        <v>#N/A</v>
      </c>
      <c r="T57" s="94" t="str">
        <f t="shared" si="11"/>
        <v>"C:\Program Files (x86)\AstroGrep\AstroGrep.exe" /e /r /s /spath="%USERPROFILE%\AppData\Local\Temp\OnboardLogs" /stypes="*4052*201703101*" /stext=" 10:.+((SYSTEM_STATE.+slice.+state.+changed )|(ment ac)|(multiple cpu faults)|(system.+state.+changed )|(\[timeout)|(PRM\|1\|D)|(kpr)|(kdp)|(\|lc)|(penalty))"</v>
      </c>
      <c r="U57" s="9" t="str">
        <f t="shared" si="12"/>
        <v>4052</v>
      </c>
      <c r="V57" s="32">
        <f t="shared" si="13"/>
        <v>42804.452800925923</v>
      </c>
      <c r="W57" s="46" t="str">
        <f t="shared" si="14"/>
        <v>Other</v>
      </c>
      <c r="X57" s="46" t="str">
        <f t="shared" si="15"/>
        <v>KEEP</v>
      </c>
      <c r="Y57" s="108" t="str">
        <f t="shared" si="16"/>
        <v>echo {"issue":{"subject":"","project_id":79,"tracker_id":40,"status_id":1,"priority_id":2,"assigned_to_id":23,"start_date":"2017-03-10","description":"","custom_fields":[{"id":1,"name":"Subdivision","value":"Other"},{"id":4,"name":"Milepost","value":"1.659"},{"id":17,"name":"Train ID","value":"306-10"},{"id":16,"name":"Locomotive ID","value":"4052"},{"id":130,"name":"Impact","value":""},{"id":150,"name":"Time of Event (Mountain Time)","value":"03:52:02"},{"id":151,"name":"Denver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7"/>
        <v>grep -hSE -A400 "Enforcement Action" "%USERPROFILE%\AppData\Local\Temp\OnboardLogs"\RTDC4052\*4052*201703101* | grep -SE "((Enforcement Ac)|(PRM.+XING))"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"%USERPROFILE%\AppData\Local\Temp\OnboardLogs"\RTDC4052\*4052*201703101* &gt;&gt; 2017-03-10-SliceDisagreementCheck.txt</v>
      </c>
      <c r="AE57" s="157" t="str">
        <f t="shared" si="9"/>
        <v>start /low /b %USERPROFILE%\Documents\GitHub\eaglep3\Utilities\DownloadLogsFromS3.py --loco 4052 --day 2017-03-10</v>
      </c>
      <c r="AF57" s="1"/>
    </row>
    <row r="58" spans="1:32" x14ac:dyDescent="0.25">
      <c r="A58" s="32">
        <v>42804.16033564815</v>
      </c>
      <c r="B58" s="30" t="s">
        <v>564</v>
      </c>
      <c r="C58" s="30" t="s">
        <v>565</v>
      </c>
      <c r="D58" s="30" t="s">
        <v>49</v>
      </c>
      <c r="E58" s="30" t="s">
        <v>418</v>
      </c>
      <c r="F58" s="43">
        <v>0</v>
      </c>
      <c r="G58" s="43">
        <v>84</v>
      </c>
      <c r="H58" s="43">
        <v>19278</v>
      </c>
      <c r="I58" s="43">
        <v>19173</v>
      </c>
      <c r="J58" s="30" t="s">
        <v>419</v>
      </c>
      <c r="K58" s="43">
        <v>19000</v>
      </c>
      <c r="L58" s="143" t="s">
        <v>51</v>
      </c>
      <c r="M58" s="144">
        <f t="shared" si="10"/>
        <v>91.343999999999994</v>
      </c>
      <c r="N58" s="145" t="str">
        <f>VLOOKUP(C58,'Trips&amp;Operators'!$C$1:$G$99999,5,FALSE)</f>
        <v>ROBINSON KADDIBA</v>
      </c>
      <c r="O58" s="194" t="s">
        <v>185</v>
      </c>
      <c r="P58" s="146"/>
      <c r="Q58" s="30"/>
      <c r="R58" s="89" t="e">
        <f>IF(VLOOKUP(C58,'Train Runs'!$A$13:$AE$9947,1,1)=C58,VLOOKUP(C58,'Train Runs'!$A$13:$AE$9947,31,1),NA())</f>
        <v>#N/A</v>
      </c>
      <c r="S58" s="92" t="e">
        <f>IF(VLOOKUP(C58,'Train Runs'!$A$13:$AE$9947,1,1)=C58,VLOOKUP(C58,'Train Runs'!$A$13:$AE$9947,22,1),NA())</f>
        <v>#N/A</v>
      </c>
      <c r="T58" s="94" t="str">
        <f t="shared" si="11"/>
        <v>"C:\Program Files (x86)\AstroGrep\AstroGrep.exe" /e /r /s /spath="%USERPROFILE%\AppData\Local\Temp\OnboardLogs" /stypes="*4052*201703101*" /stext=" 10:.+((SYSTEM_STATE.+slice.+state.+changed )|(ment ac)|(multiple cpu faults)|(system.+state.+changed )|(\[timeout)|(PRM\|1\|D)|(kpr)|(kdp)|(\|lc)|(penalty))"</v>
      </c>
      <c r="U58" s="9" t="str">
        <f t="shared" si="12"/>
        <v>4052</v>
      </c>
      <c r="V58" s="32">
        <f t="shared" si="13"/>
        <v>42804.452002314814</v>
      </c>
      <c r="W58" s="46" t="str">
        <f t="shared" si="14"/>
        <v>Other</v>
      </c>
      <c r="X58" s="46" t="str">
        <f t="shared" si="15"/>
        <v>KEEP</v>
      </c>
      <c r="Y58" s="108" t="str">
        <f t="shared" si="16"/>
        <v>echo {"issue":{"subject":"","project_id":79,"tracker_id":40,"status_id":1,"priority_id":2,"assigned_to_id":23,"start_date":"2017-03-10","description":"","custom_fields":[{"id":1,"name":"Subdivision","value":"Other"},{"id":4,"name":"Milepost","value":"1.9"},{"id":17,"name":"Train ID","value":"306-10"},{"id":16,"name":"Locomotive ID","value":"4052"},{"id":130,"name":"Impact","value":""},{"id":150,"name":"Time of Event (Mountain Time)","value":"03:50:53"},{"id":151,"name":"Denver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7"/>
        <v>grep -hSE -A400 "Enforcement Action" "%USERPROFILE%\AppData\Local\Temp\OnboardLogs"\RTDC4052\*4052*201703101* | grep -SE "((Enforcement Ac)|(PRM.+XING))"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"%USERPROFILE%\AppData\Local\Temp\OnboardLogs"\RTDC4052\*4052*201703101* &gt;&gt; 2017-03-10-SliceDisagreementCheck.txt</v>
      </c>
      <c r="AE58" s="157" t="str">
        <f t="shared" si="9"/>
        <v>start /low /b %USERPROFILE%\Documents\GitHub\eaglep3\Utilities\DownloadLogsFromS3.py --loco 4052 --day 2017-03-10</v>
      </c>
      <c r="AF58" s="1"/>
    </row>
    <row r="59" spans="1:32" x14ac:dyDescent="0.25">
      <c r="A59" s="32">
        <v>42804.464490740742</v>
      </c>
      <c r="B59" s="30" t="s">
        <v>463</v>
      </c>
      <c r="C59" s="30" t="s">
        <v>578</v>
      </c>
      <c r="D59" s="30" t="s">
        <v>49</v>
      </c>
      <c r="E59" s="30" t="s">
        <v>186</v>
      </c>
      <c r="F59" s="43">
        <v>0</v>
      </c>
      <c r="G59" s="43">
        <v>33</v>
      </c>
      <c r="H59" s="43">
        <v>102</v>
      </c>
      <c r="I59" s="43">
        <v>73</v>
      </c>
      <c r="J59" s="30" t="s">
        <v>187</v>
      </c>
      <c r="K59" s="43">
        <v>1</v>
      </c>
      <c r="L59" s="143" t="s">
        <v>51</v>
      </c>
      <c r="M59" s="144">
        <f t="shared" si="10"/>
        <v>38.015999999999998</v>
      </c>
      <c r="N59" s="145" t="str">
        <f>VLOOKUP(C59,'Trips&amp;Operators'!$C$1:$G$99999,5,FALSE)</f>
        <v>BRUDER RICHARD</v>
      </c>
      <c r="O59" s="194" t="s">
        <v>185</v>
      </c>
      <c r="P59" s="146"/>
      <c r="Q59" s="30"/>
      <c r="R59" s="89" t="e">
        <f>IF(VLOOKUP(C59,'Train Runs'!$A$13:$AE$9947,1,1)=C59,VLOOKUP(C59,'Train Runs'!$A$13:$AE$9947,31,1),NA())</f>
        <v>#N/A</v>
      </c>
      <c r="S59" s="92" t="e">
        <f>IF(VLOOKUP(C59,'Train Runs'!$A$13:$AE$9947,1,1)=C59,VLOOKUP(C59,'Train Runs'!$A$13:$AE$9947,22,1),NA())</f>
        <v>#N/A</v>
      </c>
      <c r="T59" s="94" t="str">
        <f t="shared" si="11"/>
        <v>"C:\Program Files (x86)\AstroGrep\AstroGrep.exe" /e /r /s /spath="%USERPROFILE%\AppData\Local\Temp\OnboardLogs" /stypes="*4041*201703101*" /stext=" 18:.+((SYSTEM_STATE.+slice.+state.+changed )|(ment ac)|(multiple cpu faults)|(system.+state.+changed )|(\[timeout)|(PRM\|1\|D)|(kpr)|(kdp)|(\|lc)|(penalty))"</v>
      </c>
      <c r="U59" s="9" t="str">
        <f t="shared" si="12"/>
        <v>4041</v>
      </c>
      <c r="V59" s="32">
        <f t="shared" si="13"/>
        <v>42804.756157407406</v>
      </c>
      <c r="W59" s="46" t="str">
        <f t="shared" si="14"/>
        <v>Other</v>
      </c>
      <c r="X59" s="46" t="str">
        <f t="shared" si="15"/>
        <v>KEEP</v>
      </c>
      <c r="Y59" s="108" t="str">
        <f t="shared" si="16"/>
        <v>echo {"issue":{"subject":"","project_id":79,"tracker_id":40,"status_id":1,"priority_id":2,"assigned_to_id":23,"start_date":"2017-03-10","description":"","custom_fields":[{"id":1,"name":"Subdivision","value":"Other"},{"id":4,"name":"Milepost","value":"0.0001"},{"id":17,"name":"Train ID","value":"50-10"},{"id":16,"name":"Locomotive ID","value":"4041"},{"id":130,"name":"Impact","value":""},{"id":150,"name":"Time of Event (Mountain Time)","value":"11:08:52"},{"id":151,"name":"Denver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7"/>
        <v>grep -hSE -A400 "Enforcement Action" "%USERPROFILE%\AppData\Local\Temp\OnboardLogs"\RTDC4041\*4041*201703101* | grep -SE "((Enforcement Ac)|(PRM.+XING))"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"%USERPROFILE%\AppData\Local\Temp\OnboardLogs"\RTDC4041\*4041*201703101* &gt;&gt; 2017-03-10-SliceDisagreementCheck.txt</v>
      </c>
      <c r="AE59" s="157" t="str">
        <f t="shared" si="9"/>
        <v>start /low /b %USERPROFILE%\Documents\GitHub\eaglep3\Utilities\DownloadLogsFromS3.py --loco 4041 --day 2017-03-10</v>
      </c>
      <c r="AF59" s="1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59"/>
      <sortCondition ref="E7:E59"/>
      <sortCondition ref="K7:K59"/>
      <sortCondition ref="F7:F59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5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AA7:AA59</xm:sqref>
        </x14:dataValidation>
        <x14:dataValidation type="list" allowBlank="1" showInputMessage="1" showErrorMessage="1">
          <x14:formula1>
            <xm:f>'Redmine List Values'!$C$2:$C$15</xm:f>
          </x14:formula1>
          <xm:sqref>AB7:AB59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26"/>
  <sheetViews>
    <sheetView workbookViewId="0">
      <selection activeCell="A3" sqref="A3:A7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2017-03-10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135</v>
      </c>
      <c r="B3" s="43" t="str">
        <f>A3&amp;"-"&amp;IF(DAY(Variables!$A$2)&lt;10,0,"")&amp;DAY(Variables!$A$2)</f>
        <v>135-10</v>
      </c>
      <c r="C3" s="147"/>
      <c r="D3" s="165"/>
      <c r="E3" s="30" t="s">
        <v>1021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22135-10%22)),sort:!(Time.ISO8601,asc))</v>
      </c>
      <c r="J3" s="30" t="e">
        <f>VLOOKUP(B3,'Train Runs'!$A$13:$A$99944,1,FALSE)</f>
        <v>#N/A</v>
      </c>
    </row>
    <row r="4" spans="1:10" x14ac:dyDescent="0.25">
      <c r="A4" s="185">
        <v>145</v>
      </c>
      <c r="B4" s="43" t="str">
        <f>A4&amp;"-"&amp;IF(DAY(Variables!$A$2)&lt;10,0,"")&amp;DAY(Variables!$A$2)</f>
        <v>145-10</v>
      </c>
      <c r="C4" s="147"/>
      <c r="D4" s="165"/>
      <c r="E4" s="30" t="s">
        <v>1021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-10%22)),sort:!(Time.ISO8601,asc))</v>
      </c>
      <c r="J4" s="30" t="e">
        <f>VLOOKUP(B4,'Train Runs'!$A$13:$A$99944,1,FALSE)</f>
        <v>#N/A</v>
      </c>
    </row>
    <row r="5" spans="1:10" x14ac:dyDescent="0.25">
      <c r="A5" s="185">
        <v>150</v>
      </c>
      <c r="B5" s="43" t="str">
        <f>A5&amp;"-"&amp;IF(DAY(Variables!$A$2)&lt;10,0,"")&amp;DAY(Variables!$A$2)</f>
        <v>150-10</v>
      </c>
      <c r="C5" s="147"/>
      <c r="D5" s="165"/>
      <c r="E5" s="30" t="s">
        <v>1021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22150-10%22)),sort:!(Time.ISO8601,asc))</v>
      </c>
      <c r="J5" s="30" t="e">
        <f>VLOOKUP(B5,'Train Runs'!$A$13:$A$99944,1,FALSE)</f>
        <v>#N/A</v>
      </c>
    </row>
    <row r="6" spans="1:10" x14ac:dyDescent="0.25">
      <c r="A6" s="185">
        <v>155</v>
      </c>
      <c r="B6" s="43" t="str">
        <f>A6&amp;"-"&amp;IF(DAY(Variables!$A$2)&lt;10,0,"")&amp;DAY(Variables!$A$2)</f>
        <v>155-10</v>
      </c>
      <c r="C6" s="147"/>
      <c r="D6" s="165"/>
      <c r="E6" s="30" t="s">
        <v>1014</v>
      </c>
      <c r="F6" s="21" t="str">
        <f>VLOOKUP(B6,'Trips&amp;Operators'!$C$2:$E$10000,3,FALSE)</f>
        <v>GEBRETEKLE</v>
      </c>
      <c r="G6" s="21" t="str">
        <f>VLOOKUP(B6,'Trips&amp;Operators'!$C$1:$F$10000,4,FALSE)</f>
        <v>DAGNEW</v>
      </c>
      <c r="H6" s="29" t="str">
        <f>VLOOKUP(B6,'Trips&amp;Operators'!$C$1:$H$10000,5,FALSE)</f>
        <v>GEBRETEKLE DAGNEW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22155-10%22)),sort:!(Time.ISO8601,asc))</v>
      </c>
      <c r="J6" s="30" t="e">
        <f>VLOOKUP(B6,'Train Runs'!$A$13:$A$99944,1,FALSE)</f>
        <v>#N/A</v>
      </c>
    </row>
    <row r="7" spans="1:10" x14ac:dyDescent="0.25">
      <c r="A7" s="185">
        <v>192</v>
      </c>
      <c r="B7" s="43" t="str">
        <f>A7&amp;"-"&amp;IF(DAY(Variables!$A$2)&lt;10,0,"")&amp;DAY(Variables!$A$2)</f>
        <v>192-10</v>
      </c>
      <c r="C7" s="147"/>
      <c r="D7" s="165"/>
      <c r="E7" s="30" t="s">
        <v>1021</v>
      </c>
      <c r="F7" s="21" t="str">
        <f>VLOOKUP(B7,'Trips&amp;Operators'!$C$2:$E$10000,3,FALSE)</f>
        <v>BRUDER</v>
      </c>
      <c r="G7" s="21" t="str">
        <f>VLOOKUP(B7,'Trips&amp;Operators'!$C$1:$F$10000,4,FALSE)</f>
        <v>RICHARD</v>
      </c>
      <c r="H7" s="29" t="str">
        <f>VLOOKUP(B7,'Trips&amp;Operators'!$C$1:$H$10000,5,FALSE)</f>
        <v>BRUDER RICHARD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22192-10%22)),sort:!(Time.ISO8601,asc))</v>
      </c>
      <c r="J7" s="30" t="e">
        <f>VLOOKUP(B7,'Train Runs'!$A$13:$A$99944,1,FALSE)</f>
        <v>#N/A</v>
      </c>
    </row>
    <row r="8" spans="1:10" x14ac:dyDescent="0.25">
      <c r="A8" s="185"/>
      <c r="B8" s="43" t="str">
        <f>A8&amp;"-"&amp;IF(DAY(Variables!$A$2)&lt;10,0,"")&amp;DAY(Variables!$A$2)</f>
        <v>-10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Runs'!$A$13:$A$99944,1,FALSE)</f>
        <v>#N/A</v>
      </c>
    </row>
    <row r="9" spans="1:10" x14ac:dyDescent="0.25">
      <c r="A9" s="185"/>
      <c r="B9" s="43" t="str">
        <f>A9&amp;"-"&amp;IF(DAY(Variables!$A$2)&lt;10,0,"")&amp;DAY(Variables!$A$2)</f>
        <v>-10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Runs'!$A$13:$A$99944,1,FALSE)</f>
        <v>#N/A</v>
      </c>
    </row>
    <row r="10" spans="1:10" x14ac:dyDescent="0.25">
      <c r="A10" s="185"/>
      <c r="B10" s="43" t="str">
        <f>A10&amp;"-"&amp;IF(DAY(Variables!$A$2)&lt;10,0,"")&amp;DAY(Variables!$A$2)</f>
        <v>-10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ref="I10:I4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Runs'!$A$13:$A$99944,1,FALSE)</f>
        <v>#N/A</v>
      </c>
    </row>
    <row r="11" spans="1:10" x14ac:dyDescent="0.25">
      <c r="A11" s="185"/>
      <c r="B11" s="43" t="str">
        <f>A11&amp;"-"&amp;IF(DAY(Variables!$A$2)&lt;10,0,"")&amp;DAY(Variables!$A$2)</f>
        <v>-10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Runs'!$A$13:$A$99944,1,FALSE)</f>
        <v>#N/A</v>
      </c>
    </row>
    <row r="12" spans="1:10" x14ac:dyDescent="0.25">
      <c r="A12" s="185"/>
      <c r="B12" s="43" t="str">
        <f>A12&amp;"-"&amp;IF(DAY(Variables!$A$2)&lt;10,0,"")&amp;DAY(Variables!$A$2)</f>
        <v>-10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Runs'!$A$13:$A$99944,1,FALSE)</f>
        <v>#N/A</v>
      </c>
    </row>
    <row r="13" spans="1:10" x14ac:dyDescent="0.25">
      <c r="A13" s="185"/>
      <c r="B13" s="43" t="str">
        <f>A13&amp;"-"&amp;IF(DAY(Variables!$A$2)&lt;10,0,"")&amp;DAY(Variables!$A$2)</f>
        <v>-10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Runs'!$A$13:$A$99944,1,FALSE)</f>
        <v>#N/A</v>
      </c>
    </row>
    <row r="14" spans="1:10" x14ac:dyDescent="0.25">
      <c r="A14" s="185"/>
      <c r="B14" s="43" t="str">
        <f>A14&amp;"-"&amp;IF(DAY(Variables!$A$2)&lt;10,0,"")&amp;DAY(Variables!$A$2)</f>
        <v>-10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Runs'!$A$13:$A$99944,1,FALSE)</f>
        <v>#N/A</v>
      </c>
    </row>
    <row r="15" spans="1:10" x14ac:dyDescent="0.25">
      <c r="A15" s="185"/>
      <c r="B15" s="43" t="str">
        <f>A15&amp;"-"&amp;IF(DAY(Variables!$A$2)&lt;10,0,"")&amp;DAY(Variables!$A$2)</f>
        <v>-10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Runs'!$A$13:$A$99944,1,FALSE)</f>
        <v>#N/A</v>
      </c>
    </row>
    <row r="16" spans="1:10" x14ac:dyDescent="0.25">
      <c r="A16" s="185"/>
      <c r="B16" s="43" t="str">
        <f>A16&amp;"-"&amp;IF(DAY(Variables!$A$2)&lt;10,0,"")&amp;DAY(Variables!$A$2)</f>
        <v>-10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Runs'!$A$13:$A$99944,1,FALSE)</f>
        <v>#N/A</v>
      </c>
    </row>
    <row r="17" spans="1:10" x14ac:dyDescent="0.25">
      <c r="A17" s="185"/>
      <c r="B17" s="43" t="str">
        <f>A17&amp;"-"&amp;IF(DAY(Variables!$A$2)&lt;10,0,"")&amp;DAY(Variables!$A$2)</f>
        <v>-10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Runs'!$A$13:$A$99944,1,FALSE)</f>
        <v>#N/A</v>
      </c>
    </row>
    <row r="18" spans="1:10" x14ac:dyDescent="0.25">
      <c r="A18" s="185"/>
      <c r="B18" s="43" t="str">
        <f>A18&amp;"-"&amp;IF(DAY(Variables!$A$2)&lt;10,0,"")&amp;DAY(Variables!$A$2)</f>
        <v>-10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Runs'!$A$13:$A$99944,1,FALSE)</f>
        <v>#N/A</v>
      </c>
    </row>
    <row r="19" spans="1:10" x14ac:dyDescent="0.25">
      <c r="A19" s="185"/>
      <c r="B19" s="43" t="str">
        <f>A19&amp;"-"&amp;IF(DAY(Variables!$A$2)&lt;10,0,"")&amp;DAY(Variables!$A$2)</f>
        <v>-10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" s="30" t="e">
        <f>VLOOKUP(B19,'Train Runs'!$A$13:$A$99944,1,FALSE)</f>
        <v>#N/A</v>
      </c>
    </row>
    <row r="20" spans="1:10" x14ac:dyDescent="0.25">
      <c r="A20" s="185"/>
      <c r="B20" s="43" t="str">
        <f>A20&amp;"-"&amp;IF(DAY(Variables!$A$2)&lt;10,0,"")&amp;DAY(Variables!$A$2)</f>
        <v>-10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0" s="30" t="e">
        <f>VLOOKUP(B20,'Train Runs'!$A$13:$A$99944,1,FALSE)</f>
        <v>#N/A</v>
      </c>
    </row>
    <row r="21" spans="1:10" x14ac:dyDescent="0.25">
      <c r="A21" s="185"/>
      <c r="B21" s="43" t="str">
        <f>A21&amp;"-"&amp;IF(DAY(Variables!$A$2)&lt;10,0,"")&amp;DAY(Variables!$A$2)</f>
        <v>-10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" s="30" t="e">
        <f>VLOOKUP(B21,'Train Runs'!$A$13:$A$99944,1,FALSE)</f>
        <v>#N/A</v>
      </c>
    </row>
    <row r="22" spans="1:10" x14ac:dyDescent="0.25">
      <c r="A22" s="185"/>
      <c r="B22" s="43" t="str">
        <f>A22&amp;"-"&amp;IF(DAY(Variables!$A$2)&lt;10,0,"")&amp;DAY(Variables!$A$2)</f>
        <v>-10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" s="30" t="e">
        <f>VLOOKUP(B22,'Train Runs'!$A$13:$A$99944,1,FALSE)</f>
        <v>#N/A</v>
      </c>
    </row>
    <row r="23" spans="1:10" x14ac:dyDescent="0.25">
      <c r="A23" s="185"/>
      <c r="B23" s="43" t="str">
        <f>A23&amp;"-"&amp;IF(DAY(Variables!$A$2)&lt;10,0,"")&amp;DAY(Variables!$A$2)</f>
        <v>-10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3" s="30" t="e">
        <f>VLOOKUP(B23,'Train Runs'!$A$13:$A$99944,1,FALSE)</f>
        <v>#N/A</v>
      </c>
    </row>
    <row r="24" spans="1:10" x14ac:dyDescent="0.25">
      <c r="A24" s="185"/>
      <c r="B24" s="43" t="str">
        <f>A24&amp;"-"&amp;IF(DAY(Variables!$A$2)&lt;10,0,"")&amp;DAY(Variables!$A$2)</f>
        <v>-10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4" s="30" t="e">
        <f>VLOOKUP(B24,'Train Runs'!$A$13:$A$99944,1,FALSE)</f>
        <v>#N/A</v>
      </c>
    </row>
    <row r="25" spans="1:10" x14ac:dyDescent="0.25">
      <c r="A25" s="185"/>
      <c r="B25" s="43" t="str">
        <f>A25&amp;"-"&amp;IF(DAY(Variables!$A$2)&lt;10,0,"")&amp;DAY(Variables!$A$2)</f>
        <v>-10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5" s="30" t="e">
        <f>VLOOKUP(B25,'Train Runs'!$A$13:$A$99944,1,FALSE)</f>
        <v>#N/A</v>
      </c>
    </row>
    <row r="26" spans="1:10" x14ac:dyDescent="0.25">
      <c r="A26" s="185"/>
      <c r="B26" s="43" t="str">
        <f>A26&amp;"-"&amp;IF(DAY(Variables!$A$2)&lt;10,0,"")&amp;DAY(Variables!$A$2)</f>
        <v>-10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6" s="30" t="e">
        <f>VLOOKUP(B26,'Train Runs'!$A$13:$A$99944,1,FALSE)</f>
        <v>#N/A</v>
      </c>
    </row>
    <row r="27" spans="1:10" x14ac:dyDescent="0.25">
      <c r="A27" s="185"/>
      <c r="B27" s="43" t="str">
        <f>A27&amp;"-"&amp;IF(DAY(Variables!$A$2)&lt;10,0,"")&amp;DAY(Variables!$A$2)</f>
        <v>-10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7" s="30" t="e">
        <f>VLOOKUP(B27,'Train Runs'!$A$13:$A$99944,1,FALSE)</f>
        <v>#N/A</v>
      </c>
    </row>
    <row r="28" spans="1:10" x14ac:dyDescent="0.25">
      <c r="A28" s="185"/>
      <c r="B28" s="43" t="str">
        <f>A28&amp;"-"&amp;IF(DAY(Variables!$A$2)&lt;10,0,"")&amp;DAY(Variables!$A$2)</f>
        <v>-10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8" s="30" t="e">
        <f>VLOOKUP(B28,'Train Runs'!$A$13:$A$99944,1,FALSE)</f>
        <v>#N/A</v>
      </c>
    </row>
    <row r="29" spans="1:10" x14ac:dyDescent="0.25">
      <c r="A29" s="185"/>
      <c r="B29" s="43" t="str">
        <f>A29&amp;"-"&amp;IF(DAY(Variables!$A$2)&lt;10,0,"")&amp;DAY(Variables!$A$2)</f>
        <v>-10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9" s="30" t="e">
        <f>VLOOKUP(B29,'Train Runs'!$A$13:$A$99944,1,FALSE)</f>
        <v>#N/A</v>
      </c>
    </row>
    <row r="30" spans="1:10" x14ac:dyDescent="0.25">
      <c r="A30" s="185"/>
      <c r="B30" s="43" t="str">
        <f>A30&amp;"-"&amp;IF(DAY(Variables!$A$2)&lt;10,0,"")&amp;DAY(Variables!$A$2)</f>
        <v>-10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0" s="30" t="e">
        <f>VLOOKUP(B30,'Train Runs'!$A$13:$A$99944,1,FALSE)</f>
        <v>#N/A</v>
      </c>
    </row>
    <row r="31" spans="1:10" x14ac:dyDescent="0.25">
      <c r="A31" s="185"/>
      <c r="B31" s="43" t="str">
        <f>A31&amp;"-"&amp;IF(DAY(Variables!$A$2)&lt;10,0,"")&amp;DAY(Variables!$A$2)</f>
        <v>-10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1" s="30" t="e">
        <f>VLOOKUP(B31,'Train Runs'!$A$13:$A$99944,1,FALSE)</f>
        <v>#N/A</v>
      </c>
    </row>
    <row r="32" spans="1:10" x14ac:dyDescent="0.25">
      <c r="A32" s="185"/>
      <c r="B32" s="43" t="str">
        <f>A32&amp;"-"&amp;IF(DAY(Variables!$A$2)&lt;10,0,"")&amp;DAY(Variables!$A$2)</f>
        <v>-10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2" s="30" t="e">
        <f>VLOOKUP(B32,'Train Runs'!$A$13:$A$99944,1,FALSE)</f>
        <v>#N/A</v>
      </c>
    </row>
    <row r="33" spans="1:10" x14ac:dyDescent="0.25">
      <c r="A33" s="185"/>
      <c r="B33" s="43" t="str">
        <f>A33&amp;"-"&amp;IF(DAY(Variables!$A$2)&lt;10,0,"")&amp;DAY(Variables!$A$2)</f>
        <v>-10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3" s="30" t="e">
        <f>VLOOKUP(B33,'Train Runs'!$A$13:$A$99944,1,FALSE)</f>
        <v>#N/A</v>
      </c>
    </row>
    <row r="34" spans="1:10" x14ac:dyDescent="0.25">
      <c r="A34" s="185"/>
      <c r="B34" s="43" t="str">
        <f>A34&amp;"-"&amp;IF(DAY(Variables!$A$2)&lt;10,0,"")&amp;DAY(Variables!$A$2)</f>
        <v>-10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4" s="30" t="e">
        <f>VLOOKUP(B34,'Train Runs'!$A$13:$A$99944,1,FALSE)</f>
        <v>#N/A</v>
      </c>
    </row>
    <row r="35" spans="1:10" x14ac:dyDescent="0.25">
      <c r="A35" s="185"/>
      <c r="B35" s="43" t="str">
        <f>A35&amp;"-"&amp;IF(DAY(Variables!$A$2)&lt;10,0,"")&amp;DAY(Variables!$A$2)</f>
        <v>-10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5" s="30" t="e">
        <f>VLOOKUP(B35,'Train Runs'!$A$13:$A$99944,1,FALSE)</f>
        <v>#N/A</v>
      </c>
    </row>
    <row r="36" spans="1:10" x14ac:dyDescent="0.25">
      <c r="A36" s="185"/>
      <c r="B36" s="43" t="str">
        <f>A36&amp;"-"&amp;IF(DAY(Variables!$A$2)&lt;10,0,"")&amp;DAY(Variables!$A$2)</f>
        <v>-10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6" s="30" t="e">
        <f>VLOOKUP(B36,'Train Runs'!$A$13:$A$99944,1,FALSE)</f>
        <v>#N/A</v>
      </c>
    </row>
    <row r="37" spans="1:10" x14ac:dyDescent="0.25">
      <c r="A37" s="185"/>
      <c r="B37" s="43" t="str">
        <f>A37&amp;"-"&amp;IF(DAY(Variables!$A$2)&lt;10,0,"")&amp;DAY(Variables!$A$2)</f>
        <v>-10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7" s="30" t="e">
        <f>VLOOKUP(B37,'Train Runs'!$A$13:$A$99944,1,FALSE)</f>
        <v>#N/A</v>
      </c>
    </row>
    <row r="38" spans="1:10" x14ac:dyDescent="0.25">
      <c r="A38" s="185"/>
      <c r="B38" s="43" t="str">
        <f>A38&amp;"-"&amp;IF(DAY(Variables!$A$2)&lt;10,0,"")&amp;DAY(Variables!$A$2)</f>
        <v>-10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8" s="30" t="e">
        <f>VLOOKUP(B38,'Train Runs'!$A$13:$A$99944,1,FALSE)</f>
        <v>#N/A</v>
      </c>
    </row>
    <row r="39" spans="1:10" x14ac:dyDescent="0.25">
      <c r="A39" s="185"/>
      <c r="B39" s="43" t="str">
        <f>A39&amp;"-"&amp;IF(DAY(Variables!$A$2)&lt;10,0,"")&amp;DAY(Variables!$A$2)</f>
        <v>-10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9" s="30" t="e">
        <f>VLOOKUP(B39,'Train Runs'!$A$13:$A$99944,1,FALSE)</f>
        <v>#N/A</v>
      </c>
    </row>
    <row r="40" spans="1:10" x14ac:dyDescent="0.25">
      <c r="A40" s="185"/>
      <c r="B40" s="43" t="str">
        <f>A40&amp;"-"&amp;IF(DAY(Variables!$A$2)&lt;10,0,"")&amp;DAY(Variables!$A$2)</f>
        <v>-10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0" s="30" t="e">
        <f>VLOOKUP(B40,'Train Runs'!$A$13:$A$99944,1,FALSE)</f>
        <v>#N/A</v>
      </c>
    </row>
    <row r="41" spans="1:10" x14ac:dyDescent="0.25">
      <c r="A41" s="185"/>
      <c r="B41" s="43" t="str">
        <f>A41&amp;"-"&amp;IF(DAY(Variables!$A$2)&lt;10,0,"")&amp;DAY(Variables!$A$2)</f>
        <v>-10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1" s="30" t="e">
        <f>VLOOKUP(B41,'Train Runs'!$A$13:$A$99944,1,FALSE)</f>
        <v>#N/A</v>
      </c>
    </row>
    <row r="42" spans="1:10" x14ac:dyDescent="0.25">
      <c r="A42" s="185"/>
      <c r="B42" s="43" t="str">
        <f>A42&amp;"-"&amp;IF(DAY(Variables!$A$2)&lt;10,0,"")&amp;DAY(Variables!$A$2)</f>
        <v>-10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ref="I42:I7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2" s="30" t="e">
        <f>VLOOKUP(B42,'Train Runs'!$A$13:$A$99944,1,FALSE)</f>
        <v>#N/A</v>
      </c>
    </row>
    <row r="43" spans="1:10" x14ac:dyDescent="0.25">
      <c r="A43" s="185"/>
      <c r="B43" s="43" t="str">
        <f>A43&amp;"-"&amp;IF(DAY(Variables!$A$2)&lt;10,0,"")&amp;DAY(Variables!$A$2)</f>
        <v>-10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3" s="30" t="e">
        <f>VLOOKUP(B43,'Train Runs'!$A$13:$A$99944,1,FALSE)</f>
        <v>#N/A</v>
      </c>
    </row>
    <row r="44" spans="1:10" x14ac:dyDescent="0.25">
      <c r="A44" s="185"/>
      <c r="B44" s="43" t="str">
        <f>A44&amp;"-"&amp;IF(DAY(Variables!$A$2)&lt;10,0,"")&amp;DAY(Variables!$A$2)</f>
        <v>-10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4" s="30" t="e">
        <f>VLOOKUP(B44,'Train Runs'!$A$13:$A$99944,1,FALSE)</f>
        <v>#N/A</v>
      </c>
    </row>
    <row r="45" spans="1:10" x14ac:dyDescent="0.25">
      <c r="A45" s="185"/>
      <c r="B45" s="43" t="str">
        <f>A45&amp;"-"&amp;IF(DAY(Variables!$A$2)&lt;10,0,"")&amp;DAY(Variables!$A$2)</f>
        <v>-10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5" s="30" t="e">
        <f>VLOOKUP(B45,'Train Runs'!$A$13:$A$99944,1,FALSE)</f>
        <v>#N/A</v>
      </c>
    </row>
    <row r="46" spans="1:10" x14ac:dyDescent="0.25">
      <c r="A46" s="185"/>
      <c r="B46" s="43" t="str">
        <f>A46&amp;"-"&amp;IF(DAY(Variables!$A$2)&lt;10,0,"")&amp;DAY(Variables!$A$2)</f>
        <v>-10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6" s="30" t="e">
        <f>VLOOKUP(B46,'Train Runs'!$A$13:$A$99944,1,FALSE)</f>
        <v>#N/A</v>
      </c>
    </row>
    <row r="47" spans="1:10" x14ac:dyDescent="0.25">
      <c r="A47" s="185"/>
      <c r="B47" s="43" t="str">
        <f>A47&amp;"-"&amp;IF(DAY(Variables!$A$2)&lt;10,0,"")&amp;DAY(Variables!$A$2)</f>
        <v>-10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7" s="30" t="e">
        <f>VLOOKUP(B47,'Train Runs'!$A$13:$A$99944,1,FALSE)</f>
        <v>#N/A</v>
      </c>
    </row>
    <row r="48" spans="1:10" x14ac:dyDescent="0.25">
      <c r="A48" s="185"/>
      <c r="B48" s="43" t="str">
        <f>A48&amp;"-"&amp;IF(DAY(Variables!$A$2)&lt;10,0,"")&amp;DAY(Variables!$A$2)</f>
        <v>-10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8" s="30" t="e">
        <f>VLOOKUP(B48,'Train Runs'!$A$13:$A$99944,1,FALSE)</f>
        <v>#N/A</v>
      </c>
    </row>
    <row r="49" spans="1:10" x14ac:dyDescent="0.25">
      <c r="A49" s="185"/>
      <c r="B49" s="43" t="str">
        <f>A49&amp;"-"&amp;IF(DAY(Variables!$A$2)&lt;10,0,"")&amp;DAY(Variables!$A$2)</f>
        <v>-10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9" s="30" t="e">
        <f>VLOOKUP(B49,'Train Runs'!$A$13:$A$99944,1,FALSE)</f>
        <v>#N/A</v>
      </c>
    </row>
    <row r="50" spans="1:10" x14ac:dyDescent="0.25">
      <c r="A50" s="185"/>
      <c r="B50" s="43" t="str">
        <f>A50&amp;"-"&amp;IF(DAY(Variables!$A$2)&lt;10,0,"")&amp;DAY(Variables!$A$2)</f>
        <v>-10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0" s="30" t="e">
        <f>VLOOKUP(B50,'Train Runs'!$A$13:$A$99944,1,FALSE)</f>
        <v>#N/A</v>
      </c>
    </row>
    <row r="51" spans="1:10" x14ac:dyDescent="0.25">
      <c r="A51" s="185"/>
      <c r="B51" s="43" t="str">
        <f>A51&amp;"-"&amp;IF(DAY(Variables!$A$2)&lt;10,0,"")&amp;DAY(Variables!$A$2)</f>
        <v>-10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1" s="30" t="e">
        <f>VLOOKUP(B51,'Train Runs'!$A$13:$A$99944,1,FALSE)</f>
        <v>#N/A</v>
      </c>
    </row>
    <row r="52" spans="1:10" x14ac:dyDescent="0.25">
      <c r="A52" s="185"/>
      <c r="B52" s="43" t="str">
        <f>A52&amp;"-"&amp;IF(DAY(Variables!$A$2)&lt;10,0,"")&amp;DAY(Variables!$A$2)</f>
        <v>-10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2" s="30" t="e">
        <f>VLOOKUP(B52,'Train Runs'!$A$13:$A$99944,1,FALSE)</f>
        <v>#N/A</v>
      </c>
    </row>
    <row r="53" spans="1:10" x14ac:dyDescent="0.25">
      <c r="A53" s="185"/>
      <c r="B53" s="43" t="str">
        <f>A53&amp;"-"&amp;IF(DAY(Variables!$A$2)&lt;10,0,"")&amp;DAY(Variables!$A$2)</f>
        <v>-10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3" s="30" t="e">
        <f>VLOOKUP(B53,'Train Runs'!$A$13:$A$99944,1,FALSE)</f>
        <v>#N/A</v>
      </c>
    </row>
    <row r="54" spans="1:10" x14ac:dyDescent="0.25">
      <c r="A54" s="185"/>
      <c r="B54" s="43" t="str">
        <f>A54&amp;"-"&amp;IF(DAY(Variables!$A$2)&lt;10,0,"")&amp;DAY(Variables!$A$2)</f>
        <v>-10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4" s="30" t="e">
        <f>VLOOKUP(B54,'Train Runs'!$A$13:$A$99944,1,FALSE)</f>
        <v>#N/A</v>
      </c>
    </row>
    <row r="55" spans="1:10" x14ac:dyDescent="0.25">
      <c r="A55" s="185"/>
      <c r="B55" s="43" t="str">
        <f>A55&amp;"-"&amp;IF(DAY(Variables!$A$2)&lt;10,0,"")&amp;DAY(Variables!$A$2)</f>
        <v>-10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5" s="30" t="e">
        <f>VLOOKUP(B55,'Train Runs'!$A$13:$A$99944,1,FALSE)</f>
        <v>#N/A</v>
      </c>
    </row>
    <row r="56" spans="1:10" x14ac:dyDescent="0.25">
      <c r="A56" s="185"/>
      <c r="B56" s="43" t="str">
        <f>A56&amp;"-"&amp;IF(DAY(Variables!$A$2)&lt;10,0,"")&amp;DAY(Variables!$A$2)</f>
        <v>-10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6" s="30" t="e">
        <f>VLOOKUP(B56,'Train Runs'!$A$13:$A$99944,1,FALSE)</f>
        <v>#N/A</v>
      </c>
    </row>
    <row r="57" spans="1:10" x14ac:dyDescent="0.25">
      <c r="A57" s="185"/>
      <c r="B57" s="43" t="str">
        <f>A57&amp;"-"&amp;IF(DAY(Variables!$A$2)&lt;10,0,"")&amp;DAY(Variables!$A$2)</f>
        <v>-10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7" s="30" t="e">
        <f>VLOOKUP(B57,'Train Runs'!$A$13:$A$99944,1,FALSE)</f>
        <v>#N/A</v>
      </c>
    </row>
    <row r="58" spans="1:10" x14ac:dyDescent="0.25">
      <c r="A58" s="185"/>
      <c r="B58" s="43" t="str">
        <f>A58&amp;"-"&amp;IF(DAY(Variables!$A$2)&lt;10,0,"")&amp;DAY(Variables!$A$2)</f>
        <v>-10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8" s="30" t="e">
        <f>VLOOKUP(B58,'Train Runs'!$A$13:$A$99944,1,FALSE)</f>
        <v>#N/A</v>
      </c>
    </row>
    <row r="59" spans="1:10" x14ac:dyDescent="0.25">
      <c r="A59" s="185"/>
      <c r="B59" s="43" t="str">
        <f>A59&amp;"-"&amp;IF(DAY(Variables!$A$2)&lt;10,0,"")&amp;DAY(Variables!$A$2)</f>
        <v>-10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9" s="30" t="e">
        <f>VLOOKUP(B59,'Train Runs'!$A$13:$A$99944,1,FALSE)</f>
        <v>#N/A</v>
      </c>
    </row>
    <row r="60" spans="1:10" x14ac:dyDescent="0.25">
      <c r="A60" s="185"/>
      <c r="B60" s="43" t="str">
        <f>A60&amp;"-"&amp;IF(DAY(Variables!$A$2)&lt;10,0,"")&amp;DAY(Variables!$A$2)</f>
        <v>-10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0" s="30" t="e">
        <f>VLOOKUP(B60,'Train Runs'!$A$13:$A$99944,1,FALSE)</f>
        <v>#N/A</v>
      </c>
    </row>
    <row r="61" spans="1:10" x14ac:dyDescent="0.25">
      <c r="A61" s="185"/>
      <c r="B61" s="43" t="str">
        <f>A61&amp;"-"&amp;IF(DAY(Variables!$A$2)&lt;10,0,"")&amp;DAY(Variables!$A$2)</f>
        <v>-10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1" s="30" t="e">
        <f>VLOOKUP(B61,'Train Runs'!$A$13:$A$99944,1,FALSE)</f>
        <v>#N/A</v>
      </c>
    </row>
    <row r="62" spans="1:10" x14ac:dyDescent="0.25">
      <c r="A62" s="185"/>
      <c r="B62" s="43" t="str">
        <f>A62&amp;"-"&amp;IF(DAY(Variables!$A$2)&lt;10,0,"")&amp;DAY(Variables!$A$2)</f>
        <v>-10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2" s="30" t="e">
        <f>VLOOKUP(B62,'Train Runs'!$A$13:$A$99944,1,FALSE)</f>
        <v>#N/A</v>
      </c>
    </row>
    <row r="63" spans="1:10" x14ac:dyDescent="0.25">
      <c r="A63" s="185"/>
      <c r="B63" s="43" t="str">
        <f>A63&amp;"-"&amp;IF(DAY(Variables!$A$2)&lt;10,0,"")&amp;DAY(Variables!$A$2)</f>
        <v>-10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3" s="30" t="e">
        <f>VLOOKUP(B63,'Train Runs'!$A$13:$A$99944,1,FALSE)</f>
        <v>#N/A</v>
      </c>
    </row>
    <row r="64" spans="1:10" x14ac:dyDescent="0.25">
      <c r="A64" s="185"/>
      <c r="B64" s="43" t="str">
        <f>A64&amp;"-"&amp;IF(DAY(Variables!$A$2)&lt;10,0,"")&amp;DAY(Variables!$A$2)</f>
        <v>-10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4" s="30" t="e">
        <f>VLOOKUP(B64,'Train Runs'!$A$13:$A$99944,1,FALSE)</f>
        <v>#N/A</v>
      </c>
    </row>
    <row r="65" spans="1:10" x14ac:dyDescent="0.25">
      <c r="A65" s="185"/>
      <c r="B65" s="43" t="str">
        <f>A65&amp;"-"&amp;IF(DAY(Variables!$A$2)&lt;10,0,"")&amp;DAY(Variables!$A$2)</f>
        <v>-10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5" s="30" t="e">
        <f>VLOOKUP(B65,'Train Runs'!$A$13:$A$99944,1,FALSE)</f>
        <v>#N/A</v>
      </c>
    </row>
    <row r="66" spans="1:10" x14ac:dyDescent="0.25">
      <c r="A66" s="185"/>
      <c r="B66" s="43" t="str">
        <f>A66&amp;"-"&amp;IF(DAY(Variables!$A$2)&lt;10,0,"")&amp;DAY(Variables!$A$2)</f>
        <v>-10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6" s="30" t="e">
        <f>VLOOKUP(B66,'Train Runs'!$A$13:$A$99944,1,FALSE)</f>
        <v>#N/A</v>
      </c>
    </row>
    <row r="67" spans="1:10" x14ac:dyDescent="0.25">
      <c r="A67" s="185"/>
      <c r="B67" s="43" t="str">
        <f>A67&amp;"-"&amp;IF(DAY(Variables!$A$2)&lt;10,0,"")&amp;DAY(Variables!$A$2)</f>
        <v>-10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7" s="30" t="e">
        <f>VLOOKUP(B67,'Train Runs'!$A$13:$A$99944,1,FALSE)</f>
        <v>#N/A</v>
      </c>
    </row>
    <row r="68" spans="1:10" x14ac:dyDescent="0.25">
      <c r="A68" s="185"/>
      <c r="B68" s="43" t="str">
        <f>A68&amp;"-"&amp;IF(DAY(Variables!$A$2)&lt;10,0,"")&amp;DAY(Variables!$A$2)</f>
        <v>-10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8" s="30" t="e">
        <f>VLOOKUP(B68,'Train Runs'!$A$13:$A$99944,1,FALSE)</f>
        <v>#N/A</v>
      </c>
    </row>
    <row r="69" spans="1:10" x14ac:dyDescent="0.25">
      <c r="A69" s="185"/>
      <c r="B69" s="43" t="str">
        <f>A69&amp;"-"&amp;IF(DAY(Variables!$A$2)&lt;10,0,"")&amp;DAY(Variables!$A$2)</f>
        <v>-10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9" s="30" t="e">
        <f>VLOOKUP(B69,'Train Runs'!$A$13:$A$99944,1,FALSE)</f>
        <v>#N/A</v>
      </c>
    </row>
    <row r="70" spans="1:10" x14ac:dyDescent="0.25">
      <c r="A70" s="185"/>
      <c r="B70" s="43" t="str">
        <f>A70&amp;"-"&amp;IF(DAY(Variables!$A$2)&lt;10,0,"")&amp;DAY(Variables!$A$2)</f>
        <v>-10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0" s="30" t="e">
        <f>VLOOKUP(B70,'Train Runs'!$A$13:$A$99944,1,FALSE)</f>
        <v>#N/A</v>
      </c>
    </row>
    <row r="71" spans="1:10" x14ac:dyDescent="0.25">
      <c r="A71" s="185"/>
      <c r="B71" s="43" t="str">
        <f>A71&amp;"-"&amp;IF(DAY(Variables!$A$2)&lt;10,0,"")&amp;DAY(Variables!$A$2)</f>
        <v>-10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1" s="30" t="e">
        <f>VLOOKUP(B71,'Train Runs'!$A$13:$A$99944,1,FALSE)</f>
        <v>#N/A</v>
      </c>
    </row>
    <row r="72" spans="1:10" x14ac:dyDescent="0.25">
      <c r="A72" s="185"/>
      <c r="B72" s="43" t="str">
        <f>A72&amp;"-"&amp;IF(DAY(Variables!$A$2)&lt;10,0,"")&amp;DAY(Variables!$A$2)</f>
        <v>-10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2" s="30" t="e">
        <f>VLOOKUP(B72,'Train Runs'!$A$13:$A$99944,1,FALSE)</f>
        <v>#N/A</v>
      </c>
    </row>
    <row r="73" spans="1:10" x14ac:dyDescent="0.25">
      <c r="A73" s="185"/>
      <c r="B73" s="43" t="str">
        <f>A73&amp;"-"&amp;IF(DAY(Variables!$A$2)&lt;10,0,"")&amp;DAY(Variables!$A$2)</f>
        <v>-10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3" s="30" t="e">
        <f>VLOOKUP(B73,'Train Runs'!$A$13:$A$99944,1,FALSE)</f>
        <v>#N/A</v>
      </c>
    </row>
    <row r="74" spans="1:10" x14ac:dyDescent="0.25">
      <c r="A74" s="185"/>
      <c r="B74" s="43" t="str">
        <f>A74&amp;"-"&amp;IF(DAY(Variables!$A$2)&lt;10,0,"")&amp;DAY(Variables!$A$2)</f>
        <v>-10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ref="I74:I95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4" s="30" t="e">
        <f>VLOOKUP(B74,'Train Runs'!$A$13:$A$99944,1,FALSE)</f>
        <v>#N/A</v>
      </c>
    </row>
    <row r="75" spans="1:10" x14ac:dyDescent="0.25">
      <c r="A75" s="185"/>
      <c r="B75" s="43" t="str">
        <f>A75&amp;"-"&amp;IF(DAY(Variables!$A$2)&lt;10,0,"")&amp;DAY(Variables!$A$2)</f>
        <v>-10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5" s="30" t="e">
        <f>VLOOKUP(B75,'Train Runs'!$A$13:$A$99944,1,FALSE)</f>
        <v>#N/A</v>
      </c>
    </row>
    <row r="76" spans="1:10" x14ac:dyDescent="0.25">
      <c r="A76" s="185"/>
      <c r="B76" s="43" t="str">
        <f>A76&amp;"-"&amp;IF(DAY(Variables!$A$2)&lt;10,0,"")&amp;DAY(Variables!$A$2)</f>
        <v>-10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6" s="30" t="e">
        <f>VLOOKUP(B76,'Train Runs'!$A$13:$A$99944,1,FALSE)</f>
        <v>#N/A</v>
      </c>
    </row>
    <row r="77" spans="1:10" x14ac:dyDescent="0.25">
      <c r="A77" s="185"/>
      <c r="B77" s="43" t="str">
        <f>A77&amp;"-"&amp;IF(DAY(Variables!$A$2)&lt;10,0,"")&amp;DAY(Variables!$A$2)</f>
        <v>-10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7" s="30" t="e">
        <f>VLOOKUP(B77,'Train Runs'!$A$13:$A$99944,1,FALSE)</f>
        <v>#N/A</v>
      </c>
    </row>
    <row r="78" spans="1:10" x14ac:dyDescent="0.25">
      <c r="A78" s="185"/>
      <c r="B78" s="43" t="str">
        <f>A78&amp;"-"&amp;IF(DAY(Variables!$A$2)&lt;10,0,"")&amp;DAY(Variables!$A$2)</f>
        <v>-10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8" s="30" t="e">
        <f>VLOOKUP(B78,'Train Runs'!$A$13:$A$99944,1,FALSE)</f>
        <v>#N/A</v>
      </c>
    </row>
    <row r="79" spans="1:10" x14ac:dyDescent="0.25">
      <c r="A79" s="185"/>
      <c r="B79" s="43" t="str">
        <f>A79&amp;"-"&amp;IF(DAY(Variables!$A$2)&lt;10,0,"")&amp;DAY(Variables!$A$2)</f>
        <v>-10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9" s="30" t="e">
        <f>VLOOKUP(B79,'Train Runs'!$A$13:$A$99944,1,FALSE)</f>
        <v>#N/A</v>
      </c>
    </row>
    <row r="80" spans="1:10" x14ac:dyDescent="0.25">
      <c r="A80" s="185"/>
      <c r="B80" s="43" t="str">
        <f>A80&amp;"-"&amp;IF(DAY(Variables!$A$2)&lt;10,0,"")&amp;DAY(Variables!$A$2)</f>
        <v>-10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0" s="30" t="e">
        <f>VLOOKUP(B80,'Train Runs'!$A$13:$A$99944,1,FALSE)</f>
        <v>#N/A</v>
      </c>
    </row>
    <row r="81" spans="1:10" x14ac:dyDescent="0.25">
      <c r="A81" s="185"/>
      <c r="B81" s="43" t="str">
        <f>A81&amp;"-"&amp;IF(DAY(Variables!$A$2)&lt;10,0,"")&amp;DAY(Variables!$A$2)</f>
        <v>-10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1" s="30" t="e">
        <f>VLOOKUP(B81,'Train Runs'!$A$13:$A$99944,1,FALSE)</f>
        <v>#N/A</v>
      </c>
    </row>
    <row r="82" spans="1:10" x14ac:dyDescent="0.25">
      <c r="A82" s="185"/>
      <c r="B82" s="43" t="str">
        <f>A82&amp;"-"&amp;IF(DAY(Variables!$A$2)&lt;10,0,"")&amp;DAY(Variables!$A$2)</f>
        <v>-10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2" s="30" t="e">
        <f>VLOOKUP(B82,'Train Runs'!$A$13:$A$99944,1,FALSE)</f>
        <v>#N/A</v>
      </c>
    </row>
    <row r="83" spans="1:10" x14ac:dyDescent="0.25">
      <c r="A83" s="185"/>
      <c r="B83" s="43" t="str">
        <f>A83&amp;"-"&amp;IF(DAY(Variables!$A$2)&lt;10,0,"")&amp;DAY(Variables!$A$2)</f>
        <v>-10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3" s="30" t="e">
        <f>VLOOKUP(B83,'Train Runs'!$A$13:$A$99944,1,FALSE)</f>
        <v>#N/A</v>
      </c>
    </row>
    <row r="84" spans="1:10" x14ac:dyDescent="0.25">
      <c r="A84" s="185"/>
      <c r="B84" s="43" t="str">
        <f>A84&amp;"-"&amp;IF(DAY(Variables!$A$2)&lt;10,0,"")&amp;DAY(Variables!$A$2)</f>
        <v>-10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4" s="30" t="e">
        <f>VLOOKUP(B84,'Train Runs'!$A$13:$A$99944,1,FALSE)</f>
        <v>#N/A</v>
      </c>
    </row>
    <row r="85" spans="1:10" x14ac:dyDescent="0.25">
      <c r="A85" s="185"/>
      <c r="B85" s="43" t="str">
        <f>A85&amp;"-"&amp;IF(DAY(Variables!$A$2)&lt;10,0,"")&amp;DAY(Variables!$A$2)</f>
        <v>-10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5" s="30" t="e">
        <f>VLOOKUP(B85,'Train Runs'!$A$13:$A$99944,1,FALSE)</f>
        <v>#N/A</v>
      </c>
    </row>
    <row r="86" spans="1:10" x14ac:dyDescent="0.25">
      <c r="A86" s="185"/>
      <c r="B86" s="43" t="str">
        <f>A86&amp;"-"&amp;IF(DAY(Variables!$A$2)&lt;10,0,"")&amp;DAY(Variables!$A$2)</f>
        <v>-10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6" s="30" t="e">
        <f>VLOOKUP(B86,'Train Runs'!$A$13:$A$99944,1,FALSE)</f>
        <v>#N/A</v>
      </c>
    </row>
    <row r="87" spans="1:10" x14ac:dyDescent="0.25">
      <c r="A87" s="185"/>
      <c r="B87" s="43" t="str">
        <f>A87&amp;"-"&amp;IF(DAY(Variables!$A$2)&lt;10,0,"")&amp;DAY(Variables!$A$2)</f>
        <v>-10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7" s="30" t="e">
        <f>VLOOKUP(B87,'Train Runs'!$A$13:$A$99944,1,FALSE)</f>
        <v>#N/A</v>
      </c>
    </row>
    <row r="88" spans="1:10" x14ac:dyDescent="0.25">
      <c r="A88" s="185"/>
      <c r="B88" s="43" t="str">
        <f>A88&amp;"-"&amp;IF(DAY(Variables!$A$2)&lt;10,0,"")&amp;DAY(Variables!$A$2)</f>
        <v>-10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8" s="30" t="e">
        <f>VLOOKUP(B88,'Train Runs'!$A$13:$A$99944,1,FALSE)</f>
        <v>#N/A</v>
      </c>
    </row>
    <row r="89" spans="1:10" x14ac:dyDescent="0.25">
      <c r="A89" s="185"/>
      <c r="B89" s="43" t="str">
        <f>A89&amp;"-"&amp;IF(DAY(Variables!$A$2)&lt;10,0,"")&amp;DAY(Variables!$A$2)</f>
        <v>-10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9" s="30" t="e">
        <f>VLOOKUP(B89,'Train Runs'!$A$13:$A$99944,1,FALSE)</f>
        <v>#N/A</v>
      </c>
    </row>
    <row r="90" spans="1:10" x14ac:dyDescent="0.25">
      <c r="A90" s="185"/>
      <c r="B90" s="43" t="str">
        <f>A90&amp;"-"&amp;IF(DAY(Variables!$A$2)&lt;10,0,"")&amp;DAY(Variables!$A$2)</f>
        <v>-10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0" s="30" t="e">
        <f>VLOOKUP(B90,'Train Runs'!$A$13:$A$99944,1,FALSE)</f>
        <v>#N/A</v>
      </c>
    </row>
    <row r="91" spans="1:10" x14ac:dyDescent="0.25">
      <c r="A91" s="185"/>
      <c r="B91" s="43" t="str">
        <f>A91&amp;"-"&amp;IF(DAY(Variables!$A$2)&lt;10,0,"")&amp;DAY(Variables!$A$2)</f>
        <v>-10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1" s="30" t="e">
        <f>VLOOKUP(B91,'Train Runs'!$A$13:$A$99944,1,FALSE)</f>
        <v>#N/A</v>
      </c>
    </row>
    <row r="92" spans="1:10" x14ac:dyDescent="0.25">
      <c r="A92" s="185"/>
      <c r="B92" s="43" t="str">
        <f>A92&amp;"-"&amp;IF(DAY(Variables!$A$2)&lt;10,0,"")&amp;DAY(Variables!$A$2)</f>
        <v>-10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2" s="30" t="e">
        <f>VLOOKUP(B92,'Train Runs'!$A$13:$A$99944,1,FALSE)</f>
        <v>#N/A</v>
      </c>
    </row>
    <row r="93" spans="1:10" x14ac:dyDescent="0.25">
      <c r="A93" s="185"/>
      <c r="B93" s="43" t="str">
        <f>A93&amp;"-"&amp;IF(DAY(Variables!$A$2)&lt;10,0,"")&amp;DAY(Variables!$A$2)</f>
        <v>-10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3" s="30" t="e">
        <f>VLOOKUP(B93,'Train Runs'!$A$13:$A$99944,1,FALSE)</f>
        <v>#N/A</v>
      </c>
    </row>
    <row r="94" spans="1:10" x14ac:dyDescent="0.25">
      <c r="A94" s="185"/>
      <c r="B94" s="43" t="str">
        <f>A94&amp;"-"&amp;IF(DAY(Variables!$A$2)&lt;10,0,"")&amp;DAY(Variables!$A$2)</f>
        <v>-10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4" s="30" t="e">
        <f>VLOOKUP(B94,'Train Runs'!$A$13:$A$99944,1,FALSE)</f>
        <v>#N/A</v>
      </c>
    </row>
    <row r="95" spans="1:10" x14ac:dyDescent="0.25">
      <c r="A95" s="185"/>
      <c r="B95" s="43" t="str">
        <f>A95&amp;"-"&amp;IF(DAY(Variables!$A$2)&lt;10,0,"")&amp;DAY(Variables!$A$2)</f>
        <v>-10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5" s="30" t="e">
        <f>VLOOKUP(B95,'Train Runs'!$A$13:$A$99944,1,FALSE)</f>
        <v>#N/A</v>
      </c>
    </row>
    <row r="96" spans="1:10" x14ac:dyDescent="0.25">
      <c r="A96" s="185"/>
      <c r="B96" s="43" t="str">
        <f>A96&amp;"-"&amp;IF(DAY(Variables!$A$2)&lt;10,0,"")&amp;DAY(Variables!$A$2)</f>
        <v>-10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ref="I96:I159" si="4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6" s="30" t="e">
        <f>VLOOKUP(B96,'Train Runs'!$A$13:$A$99944,1,FALSE)</f>
        <v>#N/A</v>
      </c>
    </row>
    <row r="97" spans="1:10" x14ac:dyDescent="0.25">
      <c r="A97" s="185"/>
      <c r="B97" s="43" t="str">
        <f>A97&amp;"-"&amp;IF(DAY(Variables!$A$2)&lt;10,0,"")&amp;DAY(Variables!$A$2)</f>
        <v>-10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7" s="30" t="e">
        <f>VLOOKUP(B97,'Train Runs'!$A$13:$A$99944,1,FALSE)</f>
        <v>#N/A</v>
      </c>
    </row>
    <row r="98" spans="1:10" x14ac:dyDescent="0.25">
      <c r="A98" s="185"/>
      <c r="B98" s="43" t="str">
        <f>A98&amp;"-"&amp;IF(DAY(Variables!$A$2)&lt;10,0,"")&amp;DAY(Variables!$A$2)</f>
        <v>-10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8" s="30" t="e">
        <f>VLOOKUP(B98,'Train Runs'!$A$13:$A$99944,1,FALSE)</f>
        <v>#N/A</v>
      </c>
    </row>
    <row r="99" spans="1:10" x14ac:dyDescent="0.25">
      <c r="A99" s="185"/>
      <c r="B99" s="43" t="str">
        <f>A99&amp;"-"&amp;IF(DAY(Variables!$A$2)&lt;10,0,"")&amp;DAY(Variables!$A$2)</f>
        <v>-10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9" s="30" t="e">
        <f>VLOOKUP(B99,'Train Runs'!$A$13:$A$99944,1,FALSE)</f>
        <v>#N/A</v>
      </c>
    </row>
    <row r="100" spans="1:10" x14ac:dyDescent="0.25">
      <c r="A100" s="185"/>
      <c r="B100" s="43" t="str">
        <f>A100&amp;"-"&amp;IF(DAY(Variables!$A$2)&lt;10,0,"")&amp;DAY(Variables!$A$2)</f>
        <v>-10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0" s="30" t="e">
        <f>VLOOKUP(B100,'Train Runs'!$A$13:$A$99944,1,FALSE)</f>
        <v>#N/A</v>
      </c>
    </row>
    <row r="101" spans="1:10" x14ac:dyDescent="0.25">
      <c r="A101" s="185"/>
      <c r="B101" s="43" t="str">
        <f>A101&amp;"-"&amp;IF(DAY(Variables!$A$2)&lt;10,0,"")&amp;DAY(Variables!$A$2)</f>
        <v>-10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1" s="30" t="e">
        <f>VLOOKUP(B101,'Train Runs'!$A$13:$A$99944,1,FALSE)</f>
        <v>#N/A</v>
      </c>
    </row>
    <row r="102" spans="1:10" x14ac:dyDescent="0.25">
      <c r="A102" s="185"/>
      <c r="B102" s="43" t="str">
        <f>A102&amp;"-"&amp;IF(DAY(Variables!$A$2)&lt;10,0,"")&amp;DAY(Variables!$A$2)</f>
        <v>-10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2" s="30" t="e">
        <f>VLOOKUP(B102,'Train Runs'!$A$13:$A$99944,1,FALSE)</f>
        <v>#N/A</v>
      </c>
    </row>
    <row r="103" spans="1:10" x14ac:dyDescent="0.25">
      <c r="A103" s="185"/>
      <c r="B103" s="43" t="str">
        <f>A103&amp;"-"&amp;IF(DAY(Variables!$A$2)&lt;10,0,"")&amp;DAY(Variables!$A$2)</f>
        <v>-10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3" s="30" t="e">
        <f>VLOOKUP(B103,'Train Runs'!$A$13:$A$99944,1,FALSE)</f>
        <v>#N/A</v>
      </c>
    </row>
    <row r="104" spans="1:10" x14ac:dyDescent="0.25">
      <c r="A104" s="185"/>
      <c r="B104" s="43" t="str">
        <f>A104&amp;"-"&amp;IF(DAY(Variables!$A$2)&lt;10,0,"")&amp;DAY(Variables!$A$2)</f>
        <v>-10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4" s="30" t="e">
        <f>VLOOKUP(B104,'Train Runs'!$A$13:$A$99944,1,FALSE)</f>
        <v>#N/A</v>
      </c>
    </row>
    <row r="105" spans="1:10" x14ac:dyDescent="0.25">
      <c r="A105" s="185"/>
      <c r="B105" s="43" t="str">
        <f>A105&amp;"-"&amp;IF(DAY(Variables!$A$2)&lt;10,0,"")&amp;DAY(Variables!$A$2)</f>
        <v>-10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5" s="30" t="e">
        <f>VLOOKUP(B105,'Train Runs'!$A$13:$A$99944,1,FALSE)</f>
        <v>#N/A</v>
      </c>
    </row>
    <row r="106" spans="1:10" x14ac:dyDescent="0.25">
      <c r="A106" s="185"/>
      <c r="B106" s="43" t="str">
        <f>A106&amp;"-"&amp;IF(DAY(Variables!$A$2)&lt;10,0,"")&amp;DAY(Variables!$A$2)</f>
        <v>-10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6" s="30" t="e">
        <f>VLOOKUP(B106,'Train Runs'!$A$13:$A$99944,1,FALSE)</f>
        <v>#N/A</v>
      </c>
    </row>
    <row r="107" spans="1:10" x14ac:dyDescent="0.25">
      <c r="A107" s="185"/>
      <c r="B107" s="43" t="str">
        <f>A107&amp;"-"&amp;IF(DAY(Variables!$A$2)&lt;10,0,"")&amp;DAY(Variables!$A$2)</f>
        <v>-10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7" s="30" t="e">
        <f>VLOOKUP(B107,'Train Runs'!$A$13:$A$99944,1,FALSE)</f>
        <v>#N/A</v>
      </c>
    </row>
    <row r="108" spans="1:10" x14ac:dyDescent="0.25">
      <c r="A108" s="185"/>
      <c r="B108" s="43" t="str">
        <f>A108&amp;"-"&amp;IF(DAY(Variables!$A$2)&lt;10,0,"")&amp;DAY(Variables!$A$2)</f>
        <v>-10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8" s="30" t="e">
        <f>VLOOKUP(B108,'Train Runs'!$A$13:$A$99944,1,FALSE)</f>
        <v>#N/A</v>
      </c>
    </row>
    <row r="109" spans="1:10" x14ac:dyDescent="0.25">
      <c r="A109" s="185"/>
      <c r="B109" s="43" t="str">
        <f>A109&amp;"-"&amp;IF(DAY(Variables!$A$2)&lt;10,0,"")&amp;DAY(Variables!$A$2)</f>
        <v>-10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9" s="30" t="e">
        <f>VLOOKUP(B109,'Train Runs'!$A$13:$A$99944,1,FALSE)</f>
        <v>#N/A</v>
      </c>
    </row>
    <row r="110" spans="1:10" x14ac:dyDescent="0.25">
      <c r="A110" s="185"/>
      <c r="B110" s="43" t="str">
        <f>A110&amp;"-"&amp;IF(DAY(Variables!$A$2)&lt;10,0,"")&amp;DAY(Variables!$A$2)</f>
        <v>-10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0" s="30" t="e">
        <f>VLOOKUP(B110,'Train Runs'!$A$13:$A$99944,1,FALSE)</f>
        <v>#N/A</v>
      </c>
    </row>
    <row r="111" spans="1:10" x14ac:dyDescent="0.25">
      <c r="A111" s="185"/>
      <c r="B111" s="43" t="str">
        <f>A111&amp;"-"&amp;IF(DAY(Variables!$A$2)&lt;10,0,"")&amp;DAY(Variables!$A$2)</f>
        <v>-10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1" s="30" t="e">
        <f>VLOOKUP(B111,'Train Runs'!$A$13:$A$99944,1,FALSE)</f>
        <v>#N/A</v>
      </c>
    </row>
    <row r="112" spans="1:10" x14ac:dyDescent="0.25">
      <c r="A112" s="185"/>
      <c r="B112" s="43" t="str">
        <f>A112&amp;"-"&amp;IF(DAY(Variables!$A$2)&lt;10,0,"")&amp;DAY(Variables!$A$2)</f>
        <v>-10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2" s="30" t="e">
        <f>VLOOKUP(B112,'Train Runs'!$A$13:$A$99944,1,FALSE)</f>
        <v>#N/A</v>
      </c>
    </row>
    <row r="113" spans="1:10" x14ac:dyDescent="0.25">
      <c r="A113" s="185"/>
      <c r="B113" s="43" t="str">
        <f>A113&amp;"-"&amp;IF(DAY(Variables!$A$2)&lt;10,0,"")&amp;DAY(Variables!$A$2)</f>
        <v>-10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3" s="30" t="e">
        <f>VLOOKUP(B113,'Train Runs'!$A$13:$A$99944,1,FALSE)</f>
        <v>#N/A</v>
      </c>
    </row>
    <row r="114" spans="1:10" x14ac:dyDescent="0.25">
      <c r="A114" s="185"/>
      <c r="B114" s="43" t="str">
        <f>A114&amp;"-"&amp;IF(DAY(Variables!$A$2)&lt;10,0,"")&amp;DAY(Variables!$A$2)</f>
        <v>-10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4" s="30" t="e">
        <f>VLOOKUP(B114,'Train Runs'!$A$13:$A$99944,1,FALSE)</f>
        <v>#N/A</v>
      </c>
    </row>
    <row r="115" spans="1:10" x14ac:dyDescent="0.25">
      <c r="A115" s="185"/>
      <c r="B115" s="43" t="str">
        <f>A115&amp;"-"&amp;IF(DAY(Variables!$A$2)&lt;10,0,"")&amp;DAY(Variables!$A$2)</f>
        <v>-10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5" s="30" t="e">
        <f>VLOOKUP(B115,'Train Runs'!$A$13:$A$99944,1,FALSE)</f>
        <v>#N/A</v>
      </c>
    </row>
    <row r="116" spans="1:10" x14ac:dyDescent="0.25">
      <c r="A116" s="185"/>
      <c r="B116" s="43" t="str">
        <f>A116&amp;"-"&amp;IF(DAY(Variables!$A$2)&lt;10,0,"")&amp;DAY(Variables!$A$2)</f>
        <v>-10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6" s="30" t="e">
        <f>VLOOKUP(B116,'Train Runs'!$A$13:$A$99944,1,FALSE)</f>
        <v>#N/A</v>
      </c>
    </row>
    <row r="117" spans="1:10" x14ac:dyDescent="0.25">
      <c r="A117" s="185"/>
      <c r="B117" s="43" t="str">
        <f>A117&amp;"-"&amp;IF(DAY(Variables!$A$2)&lt;10,0,"")&amp;DAY(Variables!$A$2)</f>
        <v>-10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7" s="30" t="e">
        <f>VLOOKUP(B117,'Train Runs'!$A$13:$A$99944,1,FALSE)</f>
        <v>#N/A</v>
      </c>
    </row>
    <row r="118" spans="1:10" x14ac:dyDescent="0.25">
      <c r="A118" s="185"/>
      <c r="B118" s="43" t="str">
        <f>A118&amp;"-"&amp;IF(DAY(Variables!$A$2)&lt;10,0,"")&amp;DAY(Variables!$A$2)</f>
        <v>-10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8" s="30" t="e">
        <f>VLOOKUP(B118,'Train Runs'!$A$13:$A$99944,1,FALSE)</f>
        <v>#N/A</v>
      </c>
    </row>
    <row r="119" spans="1:10" x14ac:dyDescent="0.25">
      <c r="A119" s="185"/>
      <c r="B119" s="43" t="str">
        <f>A119&amp;"-"&amp;IF(DAY(Variables!$A$2)&lt;10,0,"")&amp;DAY(Variables!$A$2)</f>
        <v>-10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9" s="30" t="e">
        <f>VLOOKUP(B119,'Train Runs'!$A$13:$A$99944,1,FALSE)</f>
        <v>#N/A</v>
      </c>
    </row>
    <row r="120" spans="1:10" x14ac:dyDescent="0.25">
      <c r="A120" s="185"/>
      <c r="B120" s="43" t="str">
        <f>A120&amp;"-"&amp;IF(DAY(Variables!$A$2)&lt;10,0,"")&amp;DAY(Variables!$A$2)</f>
        <v>-10</v>
      </c>
      <c r="C120" s="147"/>
      <c r="D120" s="165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0" s="30" t="e">
        <f>VLOOKUP(B120,'Train Runs'!$A$13:$A$99944,1,FALSE)</f>
        <v>#N/A</v>
      </c>
    </row>
    <row r="121" spans="1:10" x14ac:dyDescent="0.25">
      <c r="A121" s="185"/>
      <c r="B121" s="43" t="str">
        <f>A121&amp;"-"&amp;IF(DAY(Variables!$A$2)&lt;10,0,"")&amp;DAY(Variables!$A$2)</f>
        <v>-10</v>
      </c>
      <c r="C121" s="147"/>
      <c r="D121" s="165"/>
      <c r="E121" s="30"/>
      <c r="F121" s="21" t="e">
        <f>VLOOKUP(B121,'Trips&amp;Operators'!$C$2:$E$10000,3,FALSE)</f>
        <v>#N/A</v>
      </c>
      <c r="G121" s="21" t="e">
        <f>VLOOKUP(B121,'Trips&amp;Operators'!$C$1:$F$10000,4,FALSE)</f>
        <v>#N/A</v>
      </c>
      <c r="H121" s="29" t="e">
        <f>VLOOKUP(B121,'Trips&amp;Operators'!$C$1:$H$10000,5,FALSE)</f>
        <v>#N/A</v>
      </c>
      <c r="I121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1" s="30" t="e">
        <f>VLOOKUP(B121,'Train Runs'!$A$13:$A$99944,1,FALSE)</f>
        <v>#N/A</v>
      </c>
    </row>
    <row r="122" spans="1:10" x14ac:dyDescent="0.25">
      <c r="A122" s="185"/>
      <c r="B122" s="43" t="str">
        <f>A122&amp;"-"&amp;IF(DAY(Variables!$A$2)&lt;10,0,"")&amp;DAY(Variables!$A$2)</f>
        <v>-10</v>
      </c>
      <c r="C122" s="147"/>
      <c r="D122" s="165"/>
      <c r="E122" s="30"/>
      <c r="F122" s="21" t="e">
        <f>VLOOKUP(B122,'Trips&amp;Operators'!$C$2:$E$10000,3,FALSE)</f>
        <v>#N/A</v>
      </c>
      <c r="G122" s="21" t="e">
        <f>VLOOKUP(B122,'Trips&amp;Operators'!$C$1:$F$10000,4,FALSE)</f>
        <v>#N/A</v>
      </c>
      <c r="H122" s="29" t="e">
        <f>VLOOKUP(B122,'Trips&amp;Operators'!$C$1:$H$10000,5,FALSE)</f>
        <v>#N/A</v>
      </c>
      <c r="I122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2" s="30" t="e">
        <f>VLOOKUP(B122,'Train Runs'!$A$13:$A$99944,1,FALSE)</f>
        <v>#N/A</v>
      </c>
    </row>
    <row r="123" spans="1:10" x14ac:dyDescent="0.25">
      <c r="A123" s="185"/>
      <c r="B123" s="43" t="str">
        <f>A123&amp;"-"&amp;IF(DAY(Variables!$A$2)&lt;10,0,"")&amp;DAY(Variables!$A$2)</f>
        <v>-10</v>
      </c>
      <c r="C123" s="147"/>
      <c r="D123" s="165"/>
      <c r="E123" s="30"/>
      <c r="F123" s="21" t="e">
        <f>VLOOKUP(B123,'Trips&amp;Operators'!$C$2:$E$10000,3,FALSE)</f>
        <v>#N/A</v>
      </c>
      <c r="G123" s="21" t="e">
        <f>VLOOKUP(B123,'Trips&amp;Operators'!$C$1:$F$10000,4,FALSE)</f>
        <v>#N/A</v>
      </c>
      <c r="H123" s="29" t="e">
        <f>VLOOKUP(B123,'Trips&amp;Operators'!$C$1:$H$10000,5,FALSE)</f>
        <v>#N/A</v>
      </c>
      <c r="I123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3" s="30" t="e">
        <f>VLOOKUP(B123,'Train Runs'!$A$13:$A$99944,1,FALSE)</f>
        <v>#N/A</v>
      </c>
    </row>
    <row r="124" spans="1:10" x14ac:dyDescent="0.25">
      <c r="A124" s="185"/>
      <c r="B124" s="43" t="str">
        <f>A124&amp;"-"&amp;IF(DAY(Variables!$A$2)&lt;10,0,"")&amp;DAY(Variables!$A$2)</f>
        <v>-10</v>
      </c>
      <c r="C124" s="147"/>
      <c r="D124" s="165"/>
      <c r="E124" s="30"/>
      <c r="F124" s="21" t="e">
        <f>VLOOKUP(B124,'Trips&amp;Operators'!$C$2:$E$10000,3,FALSE)</f>
        <v>#N/A</v>
      </c>
      <c r="G124" s="21" t="e">
        <f>VLOOKUP(B124,'Trips&amp;Operators'!$C$1:$F$10000,4,FALSE)</f>
        <v>#N/A</v>
      </c>
      <c r="H124" s="29" t="e">
        <f>VLOOKUP(B124,'Trips&amp;Operators'!$C$1:$H$10000,5,FALSE)</f>
        <v>#N/A</v>
      </c>
      <c r="I124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4" s="30" t="e">
        <f>VLOOKUP(B124,'Train Runs'!$A$13:$A$99944,1,FALSE)</f>
        <v>#N/A</v>
      </c>
    </row>
    <row r="125" spans="1:10" x14ac:dyDescent="0.25">
      <c r="A125" s="185"/>
      <c r="B125" s="43" t="str">
        <f>A125&amp;"-"&amp;IF(DAY(Variables!$A$2)&lt;10,0,"")&amp;DAY(Variables!$A$2)</f>
        <v>-10</v>
      </c>
      <c r="C125" s="147"/>
      <c r="D125" s="165"/>
      <c r="E125" s="30"/>
      <c r="F125" s="21" t="e">
        <f>VLOOKUP(B125,'Trips&amp;Operators'!$C$2:$E$10000,3,FALSE)</f>
        <v>#N/A</v>
      </c>
      <c r="G125" s="21" t="e">
        <f>VLOOKUP(B125,'Trips&amp;Operators'!$C$1:$F$10000,4,FALSE)</f>
        <v>#N/A</v>
      </c>
      <c r="H125" s="29" t="e">
        <f>VLOOKUP(B125,'Trips&amp;Operators'!$C$1:$H$10000,5,FALSE)</f>
        <v>#N/A</v>
      </c>
      <c r="I125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5" s="30" t="e">
        <f>VLOOKUP(B125,'Train Runs'!$A$13:$A$99944,1,FALSE)</f>
        <v>#N/A</v>
      </c>
    </row>
    <row r="126" spans="1:10" x14ac:dyDescent="0.25">
      <c r="A126" s="185"/>
      <c r="B126" s="43" t="str">
        <f>A126&amp;"-"&amp;IF(DAY(Variables!$A$2)&lt;10,0,"")&amp;DAY(Variables!$A$2)</f>
        <v>-10</v>
      </c>
      <c r="C126" s="147"/>
      <c r="D126" s="165"/>
      <c r="E126" s="30"/>
      <c r="F126" s="21" t="e">
        <f>VLOOKUP(B126,'Trips&amp;Operators'!$C$2:$E$10000,3,FALSE)</f>
        <v>#N/A</v>
      </c>
      <c r="G126" s="21" t="e">
        <f>VLOOKUP(B126,'Trips&amp;Operators'!$C$1:$F$10000,4,FALSE)</f>
        <v>#N/A</v>
      </c>
      <c r="H126" s="29" t="e">
        <f>VLOOKUP(B126,'Trips&amp;Operators'!$C$1:$H$10000,5,FALSE)</f>
        <v>#N/A</v>
      </c>
      <c r="I126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6" s="30" t="e">
        <f>VLOOKUP(B126,'Train Runs'!$A$13:$A$99944,1,FALSE)</f>
        <v>#N/A</v>
      </c>
    </row>
    <row r="127" spans="1:10" x14ac:dyDescent="0.25">
      <c r="A127" s="185"/>
      <c r="B127" s="43" t="str">
        <f>A127&amp;"-"&amp;IF(DAY(Variables!$A$2)&lt;10,0,"")&amp;DAY(Variables!$A$2)</f>
        <v>-10</v>
      </c>
      <c r="C127" s="147"/>
      <c r="D127" s="165"/>
      <c r="E127" s="30"/>
      <c r="F127" s="21" t="e">
        <f>VLOOKUP(B127,'Trips&amp;Operators'!$C$2:$E$10000,3,FALSE)</f>
        <v>#N/A</v>
      </c>
      <c r="G127" s="21" t="e">
        <f>VLOOKUP(B127,'Trips&amp;Operators'!$C$1:$F$10000,4,FALSE)</f>
        <v>#N/A</v>
      </c>
      <c r="H127" s="29" t="e">
        <f>VLOOKUP(B127,'Trips&amp;Operators'!$C$1:$H$10000,5,FALSE)</f>
        <v>#N/A</v>
      </c>
      <c r="I127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7" s="30" t="e">
        <f>VLOOKUP(B127,'Train Runs'!$A$13:$A$99944,1,FALSE)</f>
        <v>#N/A</v>
      </c>
    </row>
    <row r="128" spans="1:10" x14ac:dyDescent="0.25">
      <c r="A128" s="185"/>
      <c r="B128" s="43" t="str">
        <f>A128&amp;"-"&amp;IF(DAY(Variables!$A$2)&lt;10,0,"")&amp;DAY(Variables!$A$2)</f>
        <v>-10</v>
      </c>
      <c r="C128" s="147"/>
      <c r="D128" s="165"/>
      <c r="E128" s="30"/>
      <c r="F128" s="21" t="e">
        <f>VLOOKUP(B128,'Trips&amp;Operators'!$C$2:$E$10000,3,FALSE)</f>
        <v>#N/A</v>
      </c>
      <c r="G128" s="21" t="e">
        <f>VLOOKUP(B128,'Trips&amp;Operators'!$C$1:$F$10000,4,FALSE)</f>
        <v>#N/A</v>
      </c>
      <c r="H128" s="29" t="e">
        <f>VLOOKUP(B128,'Trips&amp;Operators'!$C$1:$H$10000,5,FALSE)</f>
        <v>#N/A</v>
      </c>
      <c r="I128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8" s="30" t="e">
        <f>VLOOKUP(B128,'Train Runs'!$A$13:$A$99944,1,FALSE)</f>
        <v>#N/A</v>
      </c>
    </row>
    <row r="129" spans="1:10" x14ac:dyDescent="0.25">
      <c r="A129" s="185"/>
      <c r="B129" s="43" t="str">
        <f>A129&amp;"-"&amp;IF(DAY(Variables!$A$2)&lt;10,0,"")&amp;DAY(Variables!$A$2)</f>
        <v>-10</v>
      </c>
      <c r="C129" s="147"/>
      <c r="D129" s="165"/>
      <c r="E129" s="30"/>
      <c r="F129" s="21" t="e">
        <f>VLOOKUP(B129,'Trips&amp;Operators'!$C$2:$E$10000,3,FALSE)</f>
        <v>#N/A</v>
      </c>
      <c r="G129" s="21" t="e">
        <f>VLOOKUP(B129,'Trips&amp;Operators'!$C$1:$F$10000,4,FALSE)</f>
        <v>#N/A</v>
      </c>
      <c r="H129" s="29" t="e">
        <f>VLOOKUP(B129,'Trips&amp;Operators'!$C$1:$H$10000,5,FALSE)</f>
        <v>#N/A</v>
      </c>
      <c r="I129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9" s="30" t="e">
        <f>VLOOKUP(B129,'Train Runs'!$A$13:$A$99944,1,FALSE)</f>
        <v>#N/A</v>
      </c>
    </row>
    <row r="130" spans="1:10" x14ac:dyDescent="0.25">
      <c r="A130" s="185"/>
      <c r="B130" s="43" t="str">
        <f>A130&amp;"-"&amp;IF(DAY(Variables!$A$2)&lt;10,0,"")&amp;DAY(Variables!$A$2)</f>
        <v>-10</v>
      </c>
      <c r="C130" s="147"/>
      <c r="D130" s="165"/>
      <c r="E130" s="30"/>
      <c r="F130" s="21" t="e">
        <f>VLOOKUP(B130,'Trips&amp;Operators'!$C$2:$E$10000,3,FALSE)</f>
        <v>#N/A</v>
      </c>
      <c r="G130" s="21" t="e">
        <f>VLOOKUP(B130,'Trips&amp;Operators'!$C$1:$F$10000,4,FALSE)</f>
        <v>#N/A</v>
      </c>
      <c r="H130" s="29" t="e">
        <f>VLOOKUP(B130,'Trips&amp;Operators'!$C$1:$H$10000,5,FALSE)</f>
        <v>#N/A</v>
      </c>
      <c r="I130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0" s="30" t="e">
        <f>VLOOKUP(B130,'Train Runs'!$A$13:$A$99944,1,FALSE)</f>
        <v>#N/A</v>
      </c>
    </row>
    <row r="131" spans="1:10" x14ac:dyDescent="0.25">
      <c r="A131" s="185"/>
      <c r="B131" s="43" t="str">
        <f>A131&amp;"-"&amp;IF(DAY(Variables!$A$2)&lt;10,0,"")&amp;DAY(Variables!$A$2)</f>
        <v>-10</v>
      </c>
      <c r="C131" s="147"/>
      <c r="D131" s="165"/>
      <c r="E131" s="30"/>
      <c r="F131" s="21" t="e">
        <f>VLOOKUP(B131,'Trips&amp;Operators'!$C$2:$E$10000,3,FALSE)</f>
        <v>#N/A</v>
      </c>
      <c r="G131" s="21" t="e">
        <f>VLOOKUP(B131,'Trips&amp;Operators'!$C$1:$F$10000,4,FALSE)</f>
        <v>#N/A</v>
      </c>
      <c r="H131" s="29" t="e">
        <f>VLOOKUP(B131,'Trips&amp;Operators'!$C$1:$H$10000,5,FALSE)</f>
        <v>#N/A</v>
      </c>
      <c r="I131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1" s="30" t="e">
        <f>VLOOKUP(B131,'Train Runs'!$A$13:$A$99944,1,FALSE)</f>
        <v>#N/A</v>
      </c>
    </row>
    <row r="132" spans="1:10" x14ac:dyDescent="0.25">
      <c r="A132" s="185"/>
      <c r="B132" s="43" t="str">
        <f>A132&amp;"-"&amp;IF(DAY(Variables!$A$2)&lt;10,0,"")&amp;DAY(Variables!$A$2)</f>
        <v>-10</v>
      </c>
      <c r="C132" s="147"/>
      <c r="D132" s="165"/>
      <c r="E132" s="30"/>
      <c r="F132" s="21" t="e">
        <f>VLOOKUP(B132,'Trips&amp;Operators'!$C$2:$E$10000,3,FALSE)</f>
        <v>#N/A</v>
      </c>
      <c r="G132" s="21" t="e">
        <f>VLOOKUP(B132,'Trips&amp;Operators'!$C$1:$F$10000,4,FALSE)</f>
        <v>#N/A</v>
      </c>
      <c r="H132" s="29" t="e">
        <f>VLOOKUP(B132,'Trips&amp;Operators'!$C$1:$H$10000,5,FALSE)</f>
        <v>#N/A</v>
      </c>
      <c r="I132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2" s="30" t="e">
        <f>VLOOKUP(B132,'Train Runs'!$A$13:$A$99944,1,FALSE)</f>
        <v>#N/A</v>
      </c>
    </row>
    <row r="133" spans="1:10" x14ac:dyDescent="0.25">
      <c r="A133" s="185"/>
      <c r="B133" s="43" t="str">
        <f>A133&amp;"-"&amp;IF(DAY(Variables!$A$2)&lt;10,0,"")&amp;DAY(Variables!$A$2)</f>
        <v>-10</v>
      </c>
      <c r="C133" s="147"/>
      <c r="D133" s="165"/>
      <c r="E133" s="30"/>
      <c r="F133" s="21" t="e">
        <f>VLOOKUP(B133,'Trips&amp;Operators'!$C$2:$E$10000,3,FALSE)</f>
        <v>#N/A</v>
      </c>
      <c r="G133" s="21" t="e">
        <f>VLOOKUP(B133,'Trips&amp;Operators'!$C$1:$F$10000,4,FALSE)</f>
        <v>#N/A</v>
      </c>
      <c r="H133" s="29" t="e">
        <f>VLOOKUP(B133,'Trips&amp;Operators'!$C$1:$H$10000,5,FALSE)</f>
        <v>#N/A</v>
      </c>
      <c r="I133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3" s="30" t="e">
        <f>VLOOKUP(B133,'Train Runs'!$A$13:$A$99944,1,FALSE)</f>
        <v>#N/A</v>
      </c>
    </row>
    <row r="134" spans="1:10" x14ac:dyDescent="0.25">
      <c r="A134" s="185"/>
      <c r="B134" s="43" t="str">
        <f>A134&amp;"-"&amp;IF(DAY(Variables!$A$2)&lt;10,0,"")&amp;DAY(Variables!$A$2)</f>
        <v>-10</v>
      </c>
      <c r="C134" s="147"/>
      <c r="D134" s="165"/>
      <c r="E134" s="30"/>
      <c r="F134" s="21" t="e">
        <f>VLOOKUP(B134,'Trips&amp;Operators'!$C$2:$E$10000,3,FALSE)</f>
        <v>#N/A</v>
      </c>
      <c r="G134" s="21" t="e">
        <f>VLOOKUP(B134,'Trips&amp;Operators'!$C$1:$F$10000,4,FALSE)</f>
        <v>#N/A</v>
      </c>
      <c r="H134" s="29" t="e">
        <f>VLOOKUP(B134,'Trips&amp;Operators'!$C$1:$H$10000,5,FALSE)</f>
        <v>#N/A</v>
      </c>
      <c r="I134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4" s="30" t="e">
        <f>VLOOKUP(B134,'Train Runs'!$A$13:$A$99944,1,FALSE)</f>
        <v>#N/A</v>
      </c>
    </row>
    <row r="135" spans="1:10" x14ac:dyDescent="0.25">
      <c r="A135" s="185"/>
      <c r="B135" s="43" t="str">
        <f>A135&amp;"-"&amp;IF(DAY(Variables!$A$2)&lt;10,0,"")&amp;DAY(Variables!$A$2)</f>
        <v>-10</v>
      </c>
      <c r="C135" s="147"/>
      <c r="D135" s="165"/>
      <c r="E135" s="30"/>
      <c r="F135" s="21" t="e">
        <f>VLOOKUP(B135,'Trips&amp;Operators'!$C$2:$E$10000,3,FALSE)</f>
        <v>#N/A</v>
      </c>
      <c r="G135" s="21" t="e">
        <f>VLOOKUP(B135,'Trips&amp;Operators'!$C$1:$F$10000,4,FALSE)</f>
        <v>#N/A</v>
      </c>
      <c r="H135" s="29" t="e">
        <f>VLOOKUP(B135,'Trips&amp;Operators'!$C$1:$H$10000,5,FALSE)</f>
        <v>#N/A</v>
      </c>
      <c r="I135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5" s="30" t="e">
        <f>VLOOKUP(B135,'Train Runs'!$A$13:$A$99944,1,FALSE)</f>
        <v>#N/A</v>
      </c>
    </row>
    <row r="136" spans="1:10" x14ac:dyDescent="0.25">
      <c r="A136" s="185"/>
      <c r="B136" s="43" t="str">
        <f>A136&amp;"-"&amp;IF(DAY(Variables!$A$2)&lt;10,0,"")&amp;DAY(Variables!$A$2)</f>
        <v>-10</v>
      </c>
      <c r="C136" s="147"/>
      <c r="D136" s="165"/>
      <c r="E136" s="30"/>
      <c r="F136" s="21" t="e">
        <f>VLOOKUP(B136,'Trips&amp;Operators'!$C$2:$E$10000,3,FALSE)</f>
        <v>#N/A</v>
      </c>
      <c r="G136" s="21" t="e">
        <f>VLOOKUP(B136,'Trips&amp;Operators'!$C$1:$F$10000,4,FALSE)</f>
        <v>#N/A</v>
      </c>
      <c r="H136" s="29" t="e">
        <f>VLOOKUP(B136,'Trips&amp;Operators'!$C$1:$H$10000,5,FALSE)</f>
        <v>#N/A</v>
      </c>
      <c r="I136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6" s="30" t="e">
        <f>VLOOKUP(B136,'Train Runs'!$A$13:$A$99944,1,FALSE)</f>
        <v>#N/A</v>
      </c>
    </row>
    <row r="137" spans="1:10" x14ac:dyDescent="0.25">
      <c r="A137" s="185"/>
      <c r="B137" s="43" t="str">
        <f>A137&amp;"-"&amp;IF(DAY(Variables!$A$2)&lt;10,0,"")&amp;DAY(Variables!$A$2)</f>
        <v>-10</v>
      </c>
      <c r="C137" s="147"/>
      <c r="D137" s="165"/>
      <c r="E137" s="30"/>
      <c r="F137" s="21" t="e">
        <f>VLOOKUP(B137,'Trips&amp;Operators'!$C$2:$E$10000,3,FALSE)</f>
        <v>#N/A</v>
      </c>
      <c r="G137" s="21" t="e">
        <f>VLOOKUP(B137,'Trips&amp;Operators'!$C$1:$F$10000,4,FALSE)</f>
        <v>#N/A</v>
      </c>
      <c r="H137" s="29" t="e">
        <f>VLOOKUP(B137,'Trips&amp;Operators'!$C$1:$H$10000,5,FALSE)</f>
        <v>#N/A</v>
      </c>
      <c r="I137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7" s="30" t="e">
        <f>VLOOKUP(B137,'Train Runs'!$A$13:$A$99944,1,FALSE)</f>
        <v>#N/A</v>
      </c>
    </row>
    <row r="138" spans="1:10" x14ac:dyDescent="0.25">
      <c r="A138" s="185"/>
      <c r="B138" s="43" t="str">
        <f>A138&amp;"-"&amp;IF(DAY(Variables!$A$2)&lt;10,0,"")&amp;DAY(Variables!$A$2)</f>
        <v>-10</v>
      </c>
      <c r="C138" s="147"/>
      <c r="D138" s="165"/>
      <c r="E138" s="30"/>
      <c r="F138" s="21" t="e">
        <f>VLOOKUP(B138,'Trips&amp;Operators'!$C$2:$E$10000,3,FALSE)</f>
        <v>#N/A</v>
      </c>
      <c r="G138" s="21" t="e">
        <f>VLOOKUP(B138,'Trips&amp;Operators'!$C$1:$F$10000,4,FALSE)</f>
        <v>#N/A</v>
      </c>
      <c r="H138" s="29" t="e">
        <f>VLOOKUP(B138,'Trips&amp;Operators'!$C$1:$H$10000,5,FALSE)</f>
        <v>#N/A</v>
      </c>
      <c r="I138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8" s="30" t="e">
        <f>VLOOKUP(B138,'Train Runs'!$A$13:$A$99944,1,FALSE)</f>
        <v>#N/A</v>
      </c>
    </row>
    <row r="139" spans="1:10" x14ac:dyDescent="0.25">
      <c r="A139" s="185"/>
      <c r="B139" s="43" t="str">
        <f>A139&amp;"-"&amp;IF(DAY(Variables!$A$2)&lt;10,0,"")&amp;DAY(Variables!$A$2)</f>
        <v>-10</v>
      </c>
      <c r="C139" s="147"/>
      <c r="D139" s="165"/>
      <c r="E139" s="30"/>
      <c r="F139" s="21" t="e">
        <f>VLOOKUP(B139,'Trips&amp;Operators'!$C$2:$E$10000,3,FALSE)</f>
        <v>#N/A</v>
      </c>
      <c r="G139" s="21" t="e">
        <f>VLOOKUP(B139,'Trips&amp;Operators'!$C$1:$F$10000,4,FALSE)</f>
        <v>#N/A</v>
      </c>
      <c r="H139" s="29" t="e">
        <f>VLOOKUP(B139,'Trips&amp;Operators'!$C$1:$H$10000,5,FALSE)</f>
        <v>#N/A</v>
      </c>
      <c r="I139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9" s="30" t="e">
        <f>VLOOKUP(B139,'Train Runs'!$A$13:$A$99944,1,FALSE)</f>
        <v>#N/A</v>
      </c>
    </row>
    <row r="140" spans="1:10" x14ac:dyDescent="0.25">
      <c r="A140" s="185"/>
      <c r="B140" s="43" t="str">
        <f>A140&amp;"-"&amp;IF(DAY(Variables!$A$2)&lt;10,0,"")&amp;DAY(Variables!$A$2)</f>
        <v>-10</v>
      </c>
      <c r="C140" s="147"/>
      <c r="D140" s="165"/>
      <c r="E140" s="30"/>
      <c r="F140" s="21" t="e">
        <f>VLOOKUP(B140,'Trips&amp;Operators'!$C$2:$E$10000,3,FALSE)</f>
        <v>#N/A</v>
      </c>
      <c r="G140" s="21" t="e">
        <f>VLOOKUP(B140,'Trips&amp;Operators'!$C$1:$F$10000,4,FALSE)</f>
        <v>#N/A</v>
      </c>
      <c r="H140" s="29" t="e">
        <f>VLOOKUP(B140,'Trips&amp;Operators'!$C$1:$H$10000,5,FALSE)</f>
        <v>#N/A</v>
      </c>
      <c r="I140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0" s="30" t="e">
        <f>VLOOKUP(B140,'Train Runs'!$A$13:$A$99944,1,FALSE)</f>
        <v>#N/A</v>
      </c>
    </row>
    <row r="141" spans="1:10" x14ac:dyDescent="0.25">
      <c r="A141" s="185"/>
      <c r="B141" s="43" t="str">
        <f>A141&amp;"-"&amp;IF(DAY(Variables!$A$2)&lt;10,0,"")&amp;DAY(Variables!$A$2)</f>
        <v>-10</v>
      </c>
      <c r="C141" s="147"/>
      <c r="D141" s="165"/>
      <c r="E141" s="30"/>
      <c r="F141" s="21" t="e">
        <f>VLOOKUP(B141,'Trips&amp;Operators'!$C$2:$E$10000,3,FALSE)</f>
        <v>#N/A</v>
      </c>
      <c r="G141" s="21" t="e">
        <f>VLOOKUP(B141,'Trips&amp;Operators'!$C$1:$F$10000,4,FALSE)</f>
        <v>#N/A</v>
      </c>
      <c r="H141" s="29" t="e">
        <f>VLOOKUP(B141,'Trips&amp;Operators'!$C$1:$H$10000,5,FALSE)</f>
        <v>#N/A</v>
      </c>
      <c r="I141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1" s="30" t="e">
        <f>VLOOKUP(B141,'Train Runs'!$A$13:$A$99944,1,FALSE)</f>
        <v>#N/A</v>
      </c>
    </row>
    <row r="142" spans="1:10" x14ac:dyDescent="0.25">
      <c r="A142" s="185"/>
      <c r="B142" s="43" t="str">
        <f>A142&amp;"-"&amp;IF(DAY(Variables!$A$2)&lt;10,0,"")&amp;DAY(Variables!$A$2)</f>
        <v>-10</v>
      </c>
      <c r="C142" s="147"/>
      <c r="D142" s="165"/>
      <c r="E142" s="30"/>
      <c r="F142" s="21" t="e">
        <f>VLOOKUP(B142,'Trips&amp;Operators'!$C$2:$E$10000,3,FALSE)</f>
        <v>#N/A</v>
      </c>
      <c r="G142" s="21" t="e">
        <f>VLOOKUP(B142,'Trips&amp;Operators'!$C$1:$F$10000,4,FALSE)</f>
        <v>#N/A</v>
      </c>
      <c r="H142" s="29" t="e">
        <f>VLOOKUP(B142,'Trips&amp;Operators'!$C$1:$H$10000,5,FALSE)</f>
        <v>#N/A</v>
      </c>
      <c r="I142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2" s="30" t="e">
        <f>VLOOKUP(B142,'Train Runs'!$A$13:$A$99944,1,FALSE)</f>
        <v>#N/A</v>
      </c>
    </row>
    <row r="143" spans="1:10" x14ac:dyDescent="0.25">
      <c r="A143" s="185"/>
      <c r="B143" s="43" t="str">
        <f>A143&amp;"-"&amp;IF(DAY(Variables!$A$2)&lt;10,0,"")&amp;DAY(Variables!$A$2)</f>
        <v>-10</v>
      </c>
      <c r="C143" s="147"/>
      <c r="D143" s="165"/>
      <c r="E143" s="30"/>
      <c r="F143" s="21" t="e">
        <f>VLOOKUP(B143,'Trips&amp;Operators'!$C$2:$E$10000,3,FALSE)</f>
        <v>#N/A</v>
      </c>
      <c r="G143" s="21" t="e">
        <f>VLOOKUP(B143,'Trips&amp;Operators'!$C$1:$F$10000,4,FALSE)</f>
        <v>#N/A</v>
      </c>
      <c r="H143" s="29" t="e">
        <f>VLOOKUP(B143,'Trips&amp;Operators'!$C$1:$H$10000,5,FALSE)</f>
        <v>#N/A</v>
      </c>
      <c r="I143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3" s="30" t="e">
        <f>VLOOKUP(B143,'Train Runs'!$A$13:$A$99944,1,FALSE)</f>
        <v>#N/A</v>
      </c>
    </row>
    <row r="144" spans="1:10" x14ac:dyDescent="0.25">
      <c r="A144" s="185"/>
      <c r="B144" s="43" t="str">
        <f>A144&amp;"-"&amp;IF(DAY(Variables!$A$2)&lt;10,0,"")&amp;DAY(Variables!$A$2)</f>
        <v>-10</v>
      </c>
      <c r="C144" s="147"/>
      <c r="D144" s="165"/>
      <c r="E144" s="30"/>
      <c r="F144" s="21" t="e">
        <f>VLOOKUP(B144,'Trips&amp;Operators'!$C$2:$E$10000,3,FALSE)</f>
        <v>#N/A</v>
      </c>
      <c r="G144" s="21" t="e">
        <f>VLOOKUP(B144,'Trips&amp;Operators'!$C$1:$F$10000,4,FALSE)</f>
        <v>#N/A</v>
      </c>
      <c r="H144" s="29" t="e">
        <f>VLOOKUP(B144,'Trips&amp;Operators'!$C$1:$H$10000,5,FALSE)</f>
        <v>#N/A</v>
      </c>
      <c r="I144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4" s="30" t="e">
        <f>VLOOKUP(B144,'Train Runs'!$A$13:$A$99944,1,FALSE)</f>
        <v>#N/A</v>
      </c>
    </row>
    <row r="145" spans="1:10" x14ac:dyDescent="0.25">
      <c r="A145" s="185"/>
      <c r="B145" s="43" t="str">
        <f>A145&amp;"-"&amp;IF(DAY(Variables!$A$2)&lt;10,0,"")&amp;DAY(Variables!$A$2)</f>
        <v>-10</v>
      </c>
      <c r="C145" s="147"/>
      <c r="D145" s="165"/>
      <c r="E145" s="30"/>
      <c r="F145" s="21" t="e">
        <f>VLOOKUP(B145,'Trips&amp;Operators'!$C$2:$E$10000,3,FALSE)</f>
        <v>#N/A</v>
      </c>
      <c r="G145" s="21" t="e">
        <f>VLOOKUP(B145,'Trips&amp;Operators'!$C$1:$F$10000,4,FALSE)</f>
        <v>#N/A</v>
      </c>
      <c r="H145" s="29" t="e">
        <f>VLOOKUP(B145,'Trips&amp;Operators'!$C$1:$H$10000,5,FALSE)</f>
        <v>#N/A</v>
      </c>
      <c r="I145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5" s="30" t="e">
        <f>VLOOKUP(B145,'Train Runs'!$A$13:$A$99944,1,FALSE)</f>
        <v>#N/A</v>
      </c>
    </row>
    <row r="146" spans="1:10" x14ac:dyDescent="0.25">
      <c r="A146" s="185"/>
      <c r="B146" s="43" t="str">
        <f>A146&amp;"-"&amp;IF(DAY(Variables!$A$2)&lt;10,0,"")&amp;DAY(Variables!$A$2)</f>
        <v>-10</v>
      </c>
      <c r="C146" s="147"/>
      <c r="D146" s="165"/>
      <c r="E146" s="30"/>
      <c r="F146" s="21" t="e">
        <f>VLOOKUP(B146,'Trips&amp;Operators'!$C$2:$E$10000,3,FALSE)</f>
        <v>#N/A</v>
      </c>
      <c r="G146" s="21" t="e">
        <f>VLOOKUP(B146,'Trips&amp;Operators'!$C$1:$F$10000,4,FALSE)</f>
        <v>#N/A</v>
      </c>
      <c r="H146" s="29" t="e">
        <f>VLOOKUP(B146,'Trips&amp;Operators'!$C$1:$H$10000,5,FALSE)</f>
        <v>#N/A</v>
      </c>
      <c r="I146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6" s="30" t="e">
        <f>VLOOKUP(B146,'Train Runs'!$A$13:$A$99944,1,FALSE)</f>
        <v>#N/A</v>
      </c>
    </row>
    <row r="147" spans="1:10" x14ac:dyDescent="0.25">
      <c r="A147" s="185"/>
      <c r="B147" s="43" t="str">
        <f>A147&amp;"-"&amp;IF(DAY(Variables!$A$2)&lt;10,0,"")&amp;DAY(Variables!$A$2)</f>
        <v>-10</v>
      </c>
      <c r="C147" s="147"/>
      <c r="D147" s="165"/>
      <c r="E147" s="30"/>
      <c r="F147" s="21" t="e">
        <f>VLOOKUP(B147,'Trips&amp;Operators'!$C$2:$E$10000,3,FALSE)</f>
        <v>#N/A</v>
      </c>
      <c r="G147" s="21" t="e">
        <f>VLOOKUP(B147,'Trips&amp;Operators'!$C$1:$F$10000,4,FALSE)</f>
        <v>#N/A</v>
      </c>
      <c r="H147" s="29" t="e">
        <f>VLOOKUP(B147,'Trips&amp;Operators'!$C$1:$H$10000,5,FALSE)</f>
        <v>#N/A</v>
      </c>
      <c r="I147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7" s="30" t="e">
        <f>VLOOKUP(B147,'Train Runs'!$A$13:$A$99944,1,FALSE)</f>
        <v>#N/A</v>
      </c>
    </row>
    <row r="148" spans="1:10" x14ac:dyDescent="0.25">
      <c r="A148" s="185"/>
      <c r="B148" s="43" t="str">
        <f>A148&amp;"-"&amp;IF(DAY(Variables!$A$2)&lt;10,0,"")&amp;DAY(Variables!$A$2)</f>
        <v>-10</v>
      </c>
      <c r="C148" s="147"/>
      <c r="D148" s="165"/>
      <c r="E148" s="30"/>
      <c r="F148" s="21" t="e">
        <f>VLOOKUP(B148,'Trips&amp;Operators'!$C$2:$E$10000,3,FALSE)</f>
        <v>#N/A</v>
      </c>
      <c r="G148" s="21" t="e">
        <f>VLOOKUP(B148,'Trips&amp;Operators'!$C$1:$F$10000,4,FALSE)</f>
        <v>#N/A</v>
      </c>
      <c r="H148" s="29" t="e">
        <f>VLOOKUP(B148,'Trips&amp;Operators'!$C$1:$H$10000,5,FALSE)</f>
        <v>#N/A</v>
      </c>
      <c r="I148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8" s="30" t="e">
        <f>VLOOKUP(B148,'Train Runs'!$A$13:$A$99944,1,FALSE)</f>
        <v>#N/A</v>
      </c>
    </row>
    <row r="149" spans="1:10" x14ac:dyDescent="0.25">
      <c r="A149" s="185"/>
      <c r="B149" s="43" t="str">
        <f>A149&amp;"-"&amp;IF(DAY(Variables!$A$2)&lt;10,0,"")&amp;DAY(Variables!$A$2)</f>
        <v>-10</v>
      </c>
      <c r="C149" s="147"/>
      <c r="D149" s="165"/>
      <c r="E149" s="30"/>
      <c r="F149" s="21" t="e">
        <f>VLOOKUP(B149,'Trips&amp;Operators'!$C$2:$E$10000,3,FALSE)</f>
        <v>#N/A</v>
      </c>
      <c r="G149" s="21" t="e">
        <f>VLOOKUP(B149,'Trips&amp;Operators'!$C$1:$F$10000,4,FALSE)</f>
        <v>#N/A</v>
      </c>
      <c r="H149" s="29" t="e">
        <f>VLOOKUP(B149,'Trips&amp;Operators'!$C$1:$H$10000,5,FALSE)</f>
        <v>#N/A</v>
      </c>
      <c r="I149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9" s="30" t="e">
        <f>VLOOKUP(B149,'Train Runs'!$A$13:$A$99944,1,FALSE)</f>
        <v>#N/A</v>
      </c>
    </row>
    <row r="150" spans="1:10" x14ac:dyDescent="0.25">
      <c r="A150" s="185"/>
      <c r="B150" s="43" t="str">
        <f>A150&amp;"-"&amp;IF(DAY(Variables!$A$2)&lt;10,0,"")&amp;DAY(Variables!$A$2)</f>
        <v>-10</v>
      </c>
      <c r="C150" s="147"/>
      <c r="D150" s="165"/>
      <c r="E150" s="30"/>
      <c r="F150" s="21" t="e">
        <f>VLOOKUP(B150,'Trips&amp;Operators'!$C$2:$E$10000,3,FALSE)</f>
        <v>#N/A</v>
      </c>
      <c r="G150" s="21" t="e">
        <f>VLOOKUP(B150,'Trips&amp;Operators'!$C$1:$F$10000,4,FALSE)</f>
        <v>#N/A</v>
      </c>
      <c r="H150" s="29" t="e">
        <f>VLOOKUP(B150,'Trips&amp;Operators'!$C$1:$H$10000,5,FALSE)</f>
        <v>#N/A</v>
      </c>
      <c r="I150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0" s="30" t="e">
        <f>VLOOKUP(B150,'Train Runs'!$A$13:$A$99944,1,FALSE)</f>
        <v>#N/A</v>
      </c>
    </row>
    <row r="151" spans="1:10" x14ac:dyDescent="0.25">
      <c r="A151" s="185"/>
      <c r="B151" s="43" t="str">
        <f>A151&amp;"-"&amp;IF(DAY(Variables!$A$2)&lt;10,0,"")&amp;DAY(Variables!$A$2)</f>
        <v>-10</v>
      </c>
      <c r="C151" s="147"/>
      <c r="D151" s="165"/>
      <c r="E151" s="30"/>
      <c r="F151" s="21" t="e">
        <f>VLOOKUP(B151,'Trips&amp;Operators'!$C$2:$E$10000,3,FALSE)</f>
        <v>#N/A</v>
      </c>
      <c r="G151" s="21" t="e">
        <f>VLOOKUP(B151,'Trips&amp;Operators'!$C$1:$F$10000,4,FALSE)</f>
        <v>#N/A</v>
      </c>
      <c r="H151" s="29" t="e">
        <f>VLOOKUP(B151,'Trips&amp;Operators'!$C$1:$H$10000,5,FALSE)</f>
        <v>#N/A</v>
      </c>
      <c r="I151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1" s="30" t="e">
        <f>VLOOKUP(B151,'Train Runs'!$A$13:$A$99944,1,FALSE)</f>
        <v>#N/A</v>
      </c>
    </row>
    <row r="152" spans="1:10" x14ac:dyDescent="0.25">
      <c r="A152" s="185"/>
      <c r="B152" s="43" t="str">
        <f>A152&amp;"-"&amp;IF(DAY(Variables!$A$2)&lt;10,0,"")&amp;DAY(Variables!$A$2)</f>
        <v>-10</v>
      </c>
      <c r="C152" s="147"/>
      <c r="D152" s="165"/>
      <c r="E152" s="30"/>
      <c r="F152" s="21" t="e">
        <f>VLOOKUP(B152,'Trips&amp;Operators'!$C$2:$E$10000,3,FALSE)</f>
        <v>#N/A</v>
      </c>
      <c r="G152" s="21" t="e">
        <f>VLOOKUP(B152,'Trips&amp;Operators'!$C$1:$F$10000,4,FALSE)</f>
        <v>#N/A</v>
      </c>
      <c r="H152" s="29" t="e">
        <f>VLOOKUP(B152,'Trips&amp;Operators'!$C$1:$H$10000,5,FALSE)</f>
        <v>#N/A</v>
      </c>
      <c r="I152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2" s="30" t="e">
        <f>VLOOKUP(B152,'Train Runs'!$A$13:$A$99944,1,FALSE)</f>
        <v>#N/A</v>
      </c>
    </row>
    <row r="153" spans="1:10" x14ac:dyDescent="0.25">
      <c r="A153" s="185"/>
      <c r="B153" s="43" t="str">
        <f>A153&amp;"-"&amp;IF(DAY(Variables!$A$2)&lt;10,0,"")&amp;DAY(Variables!$A$2)</f>
        <v>-10</v>
      </c>
      <c r="C153" s="147"/>
      <c r="D153" s="165"/>
      <c r="E153" s="30"/>
      <c r="F153" s="21" t="e">
        <f>VLOOKUP(B153,'Trips&amp;Operators'!$C$2:$E$10000,3,FALSE)</f>
        <v>#N/A</v>
      </c>
      <c r="G153" s="21" t="e">
        <f>VLOOKUP(B153,'Trips&amp;Operators'!$C$1:$F$10000,4,FALSE)</f>
        <v>#N/A</v>
      </c>
      <c r="H153" s="29" t="e">
        <f>VLOOKUP(B153,'Trips&amp;Operators'!$C$1:$H$10000,5,FALSE)</f>
        <v>#N/A</v>
      </c>
      <c r="I153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3" s="30" t="e">
        <f>VLOOKUP(B153,'Train Runs'!$A$13:$A$99944,1,FALSE)</f>
        <v>#N/A</v>
      </c>
    </row>
    <row r="154" spans="1:10" x14ac:dyDescent="0.25">
      <c r="A154" s="185"/>
      <c r="B154" s="43" t="str">
        <f>A154&amp;"-"&amp;IF(DAY(Variables!$A$2)&lt;10,0,"")&amp;DAY(Variables!$A$2)</f>
        <v>-10</v>
      </c>
      <c r="C154" s="147"/>
      <c r="D154" s="165"/>
      <c r="E154" s="30"/>
      <c r="F154" s="21" t="e">
        <f>VLOOKUP(B154,'Trips&amp;Operators'!$C$2:$E$10000,3,FALSE)</f>
        <v>#N/A</v>
      </c>
      <c r="G154" s="21" t="e">
        <f>VLOOKUP(B154,'Trips&amp;Operators'!$C$1:$F$10000,4,FALSE)</f>
        <v>#N/A</v>
      </c>
      <c r="H154" s="29" t="e">
        <f>VLOOKUP(B154,'Trips&amp;Operators'!$C$1:$H$10000,5,FALSE)</f>
        <v>#N/A</v>
      </c>
      <c r="I154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4" s="30" t="e">
        <f>VLOOKUP(B154,'Train Runs'!$A$13:$A$99944,1,FALSE)</f>
        <v>#N/A</v>
      </c>
    </row>
    <row r="155" spans="1:10" x14ac:dyDescent="0.25">
      <c r="A155" s="185"/>
      <c r="B155" s="43" t="str">
        <f>A155&amp;"-"&amp;IF(DAY(Variables!$A$2)&lt;10,0,"")&amp;DAY(Variables!$A$2)</f>
        <v>-10</v>
      </c>
      <c r="C155" s="147"/>
      <c r="D155" s="165"/>
      <c r="E155" s="30"/>
      <c r="F155" s="21" t="e">
        <f>VLOOKUP(B155,'Trips&amp;Operators'!$C$2:$E$10000,3,FALSE)</f>
        <v>#N/A</v>
      </c>
      <c r="G155" s="21" t="e">
        <f>VLOOKUP(B155,'Trips&amp;Operators'!$C$1:$F$10000,4,FALSE)</f>
        <v>#N/A</v>
      </c>
      <c r="H155" s="29" t="e">
        <f>VLOOKUP(B155,'Trips&amp;Operators'!$C$1:$H$10000,5,FALSE)</f>
        <v>#N/A</v>
      </c>
      <c r="I155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5" s="30" t="e">
        <f>VLOOKUP(B155,'Train Runs'!$A$13:$A$99944,1,FALSE)</f>
        <v>#N/A</v>
      </c>
    </row>
    <row r="156" spans="1:10" x14ac:dyDescent="0.25">
      <c r="A156" s="185"/>
      <c r="B156" s="43" t="str">
        <f>A156&amp;"-"&amp;IF(DAY(Variables!$A$2)&lt;10,0,"")&amp;DAY(Variables!$A$2)</f>
        <v>-10</v>
      </c>
      <c r="C156" s="147"/>
      <c r="D156" s="165"/>
      <c r="E156" s="30"/>
      <c r="F156" s="21" t="e">
        <f>VLOOKUP(B156,'Trips&amp;Operators'!$C$2:$E$10000,3,FALSE)</f>
        <v>#N/A</v>
      </c>
      <c r="G156" s="21" t="e">
        <f>VLOOKUP(B156,'Trips&amp;Operators'!$C$1:$F$10000,4,FALSE)</f>
        <v>#N/A</v>
      </c>
      <c r="H156" s="29" t="e">
        <f>VLOOKUP(B156,'Trips&amp;Operators'!$C$1:$H$10000,5,FALSE)</f>
        <v>#N/A</v>
      </c>
      <c r="I156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6" s="30" t="e">
        <f>VLOOKUP(B156,'Train Runs'!$A$13:$A$99944,1,FALSE)</f>
        <v>#N/A</v>
      </c>
    </row>
    <row r="157" spans="1:10" x14ac:dyDescent="0.25">
      <c r="A157" s="185"/>
      <c r="B157" s="43" t="str">
        <f>A157&amp;"-"&amp;IF(DAY(Variables!$A$2)&lt;10,0,"")&amp;DAY(Variables!$A$2)</f>
        <v>-10</v>
      </c>
      <c r="C157" s="147"/>
      <c r="D157" s="165"/>
      <c r="E157" s="30"/>
      <c r="F157" s="21" t="e">
        <f>VLOOKUP(B157,'Trips&amp;Operators'!$C$2:$E$10000,3,FALSE)</f>
        <v>#N/A</v>
      </c>
      <c r="G157" s="21" t="e">
        <f>VLOOKUP(B157,'Trips&amp;Operators'!$C$1:$F$10000,4,FALSE)</f>
        <v>#N/A</v>
      </c>
      <c r="H157" s="29" t="e">
        <f>VLOOKUP(B157,'Trips&amp;Operators'!$C$1:$H$10000,5,FALSE)</f>
        <v>#N/A</v>
      </c>
      <c r="I157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7" s="30" t="e">
        <f>VLOOKUP(B157,'Train Runs'!$A$13:$A$99944,1,FALSE)</f>
        <v>#N/A</v>
      </c>
    </row>
    <row r="158" spans="1:10" x14ac:dyDescent="0.25">
      <c r="A158" s="185"/>
      <c r="B158" s="43" t="str">
        <f>A158&amp;"-"&amp;IF(DAY(Variables!$A$2)&lt;10,0,"")&amp;DAY(Variables!$A$2)</f>
        <v>-10</v>
      </c>
      <c r="C158" s="147"/>
      <c r="D158" s="165"/>
      <c r="E158" s="30"/>
      <c r="F158" s="21" t="e">
        <f>VLOOKUP(B158,'Trips&amp;Operators'!$C$2:$E$10000,3,FALSE)</f>
        <v>#N/A</v>
      </c>
      <c r="G158" s="21" t="e">
        <f>VLOOKUP(B158,'Trips&amp;Operators'!$C$1:$F$10000,4,FALSE)</f>
        <v>#N/A</v>
      </c>
      <c r="H158" s="29" t="e">
        <f>VLOOKUP(B158,'Trips&amp;Operators'!$C$1:$H$10000,5,FALSE)</f>
        <v>#N/A</v>
      </c>
      <c r="I158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8" s="30" t="e">
        <f>VLOOKUP(B158,'Train Runs'!$A$13:$A$99944,1,FALSE)</f>
        <v>#N/A</v>
      </c>
    </row>
    <row r="159" spans="1:10" x14ac:dyDescent="0.25">
      <c r="A159" s="185"/>
      <c r="B159" s="43" t="str">
        <f>A159&amp;"-"&amp;IF(DAY(Variables!$A$2)&lt;10,0,"")&amp;DAY(Variables!$A$2)</f>
        <v>-10</v>
      </c>
      <c r="C159" s="147"/>
      <c r="D159" s="165"/>
      <c r="E159" s="30"/>
      <c r="F159" s="21" t="e">
        <f>VLOOKUP(B159,'Trips&amp;Operators'!$C$2:$E$10000,3,FALSE)</f>
        <v>#N/A</v>
      </c>
      <c r="G159" s="21" t="e">
        <f>VLOOKUP(B159,'Trips&amp;Operators'!$C$1:$F$10000,4,FALSE)</f>
        <v>#N/A</v>
      </c>
      <c r="H159" s="29" t="e">
        <f>VLOOKUP(B159,'Trips&amp;Operators'!$C$1:$H$10000,5,FALSE)</f>
        <v>#N/A</v>
      </c>
      <c r="I159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9" s="30" t="e">
        <f>VLOOKUP(B159,'Train Runs'!$A$13:$A$99944,1,FALSE)</f>
        <v>#N/A</v>
      </c>
    </row>
    <row r="160" spans="1:10" x14ac:dyDescent="0.25">
      <c r="A160" s="185"/>
      <c r="B160" s="43" t="str">
        <f>A160&amp;"-"&amp;IF(DAY(Variables!$A$2)&lt;10,0,"")&amp;DAY(Variables!$A$2)</f>
        <v>-10</v>
      </c>
      <c r="C160" s="147"/>
      <c r="D160" s="165"/>
      <c r="E160" s="30"/>
      <c r="F160" s="21" t="e">
        <f>VLOOKUP(B160,'Trips&amp;Operators'!$C$2:$E$10000,3,FALSE)</f>
        <v>#N/A</v>
      </c>
      <c r="G160" s="21" t="e">
        <f>VLOOKUP(B160,'Trips&amp;Operators'!$C$1:$F$10000,4,FALSE)</f>
        <v>#N/A</v>
      </c>
      <c r="H160" s="29" t="e">
        <f>VLOOKUP(B160,'Trips&amp;Operators'!$C$1:$H$10000,5,FALSE)</f>
        <v>#N/A</v>
      </c>
      <c r="I160" s="46" t="str">
        <f t="shared" ref="I160:I223" si="5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160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0" s="30" t="e">
        <f>VLOOKUP(B160,'Train Runs'!$A$13:$A$99944,1,FALSE)</f>
        <v>#N/A</v>
      </c>
    </row>
    <row r="161" spans="1:10" x14ac:dyDescent="0.25">
      <c r="A161" s="185"/>
      <c r="B161" s="43" t="str">
        <f>A161&amp;"-"&amp;IF(DAY(Variables!$A$2)&lt;10,0,"")&amp;DAY(Variables!$A$2)</f>
        <v>-10</v>
      </c>
      <c r="C161" s="147"/>
      <c r="D161" s="165"/>
      <c r="E161" s="30"/>
      <c r="F161" s="21" t="e">
        <f>VLOOKUP(B161,'Trips&amp;Operators'!$C$2:$E$10000,3,FALSE)</f>
        <v>#N/A</v>
      </c>
      <c r="G161" s="21" t="e">
        <f>VLOOKUP(B161,'Trips&amp;Operators'!$C$1:$F$10000,4,FALSE)</f>
        <v>#N/A</v>
      </c>
      <c r="H161" s="29" t="e">
        <f>VLOOKUP(B161,'Trips&amp;Operators'!$C$1:$H$10000,5,FALSE)</f>
        <v>#N/A</v>
      </c>
      <c r="I161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1" s="30" t="e">
        <f>VLOOKUP(B161,'Train Runs'!$A$13:$A$99944,1,FALSE)</f>
        <v>#N/A</v>
      </c>
    </row>
    <row r="162" spans="1:10" x14ac:dyDescent="0.25">
      <c r="A162" s="185"/>
      <c r="B162" s="43" t="str">
        <f>A162&amp;"-"&amp;IF(DAY(Variables!$A$2)&lt;10,0,"")&amp;DAY(Variables!$A$2)</f>
        <v>-10</v>
      </c>
      <c r="C162" s="147"/>
      <c r="D162" s="165"/>
      <c r="E162" s="30"/>
      <c r="F162" s="21" t="e">
        <f>VLOOKUP(B162,'Trips&amp;Operators'!$C$2:$E$10000,3,FALSE)</f>
        <v>#N/A</v>
      </c>
      <c r="G162" s="21" t="e">
        <f>VLOOKUP(B162,'Trips&amp;Operators'!$C$1:$F$10000,4,FALSE)</f>
        <v>#N/A</v>
      </c>
      <c r="H162" s="29" t="e">
        <f>VLOOKUP(B162,'Trips&amp;Operators'!$C$1:$H$10000,5,FALSE)</f>
        <v>#N/A</v>
      </c>
      <c r="I162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2" s="30" t="e">
        <f>VLOOKUP(B162,'Train Runs'!$A$13:$A$99944,1,FALSE)</f>
        <v>#N/A</v>
      </c>
    </row>
    <row r="163" spans="1:10" x14ac:dyDescent="0.25">
      <c r="A163" s="185"/>
      <c r="B163" s="43" t="str">
        <f>A163&amp;"-"&amp;IF(DAY(Variables!$A$2)&lt;10,0,"")&amp;DAY(Variables!$A$2)</f>
        <v>-10</v>
      </c>
      <c r="C163" s="147"/>
      <c r="D163" s="165"/>
      <c r="E163" s="30"/>
      <c r="F163" s="21" t="e">
        <f>VLOOKUP(B163,'Trips&amp;Operators'!$C$2:$E$10000,3,FALSE)</f>
        <v>#N/A</v>
      </c>
      <c r="G163" s="21" t="e">
        <f>VLOOKUP(B163,'Trips&amp;Operators'!$C$1:$F$10000,4,FALSE)</f>
        <v>#N/A</v>
      </c>
      <c r="H163" s="29" t="e">
        <f>VLOOKUP(B163,'Trips&amp;Operators'!$C$1:$H$10000,5,FALSE)</f>
        <v>#N/A</v>
      </c>
      <c r="I163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3" s="30" t="e">
        <f>VLOOKUP(B163,'Train Runs'!$A$13:$A$99944,1,FALSE)</f>
        <v>#N/A</v>
      </c>
    </row>
    <row r="164" spans="1:10" x14ac:dyDescent="0.25">
      <c r="A164" s="185"/>
      <c r="B164" s="43" t="str">
        <f>A164&amp;"-"&amp;IF(DAY(Variables!$A$2)&lt;10,0,"")&amp;DAY(Variables!$A$2)</f>
        <v>-10</v>
      </c>
      <c r="C164" s="147"/>
      <c r="D164" s="165"/>
      <c r="E164" s="30"/>
      <c r="F164" s="21" t="e">
        <f>VLOOKUP(B164,'Trips&amp;Operators'!$C$2:$E$10000,3,FALSE)</f>
        <v>#N/A</v>
      </c>
      <c r="G164" s="21" t="e">
        <f>VLOOKUP(B164,'Trips&amp;Operators'!$C$1:$F$10000,4,FALSE)</f>
        <v>#N/A</v>
      </c>
      <c r="H164" s="29" t="e">
        <f>VLOOKUP(B164,'Trips&amp;Operators'!$C$1:$H$10000,5,FALSE)</f>
        <v>#N/A</v>
      </c>
      <c r="I164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4" s="30" t="e">
        <f>VLOOKUP(B164,'Train Runs'!$A$13:$A$99944,1,FALSE)</f>
        <v>#N/A</v>
      </c>
    </row>
    <row r="165" spans="1:10" x14ac:dyDescent="0.25">
      <c r="A165" s="185"/>
      <c r="B165" s="43" t="str">
        <f>A165&amp;"-"&amp;IF(DAY(Variables!$A$2)&lt;10,0,"")&amp;DAY(Variables!$A$2)</f>
        <v>-10</v>
      </c>
      <c r="C165" s="147"/>
      <c r="D165" s="165"/>
      <c r="E165" s="30"/>
      <c r="F165" s="21" t="e">
        <f>VLOOKUP(B165,'Trips&amp;Operators'!$C$2:$E$10000,3,FALSE)</f>
        <v>#N/A</v>
      </c>
      <c r="G165" s="21" t="e">
        <f>VLOOKUP(B165,'Trips&amp;Operators'!$C$1:$F$10000,4,FALSE)</f>
        <v>#N/A</v>
      </c>
      <c r="H165" s="29" t="e">
        <f>VLOOKUP(B165,'Trips&amp;Operators'!$C$1:$H$10000,5,FALSE)</f>
        <v>#N/A</v>
      </c>
      <c r="I165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5" s="30" t="e">
        <f>VLOOKUP(B165,'Train Runs'!$A$13:$A$99944,1,FALSE)</f>
        <v>#N/A</v>
      </c>
    </row>
    <row r="166" spans="1:10" x14ac:dyDescent="0.25">
      <c r="A166" s="185"/>
      <c r="B166" s="43" t="str">
        <f>A166&amp;"-"&amp;IF(DAY(Variables!$A$2)&lt;10,0,"")&amp;DAY(Variables!$A$2)</f>
        <v>-10</v>
      </c>
      <c r="C166" s="147"/>
      <c r="D166" s="165"/>
      <c r="E166" s="30"/>
      <c r="F166" s="21" t="e">
        <f>VLOOKUP(B166,'Trips&amp;Operators'!$C$2:$E$10000,3,FALSE)</f>
        <v>#N/A</v>
      </c>
      <c r="G166" s="21" t="e">
        <f>VLOOKUP(B166,'Trips&amp;Operators'!$C$1:$F$10000,4,FALSE)</f>
        <v>#N/A</v>
      </c>
      <c r="H166" s="29" t="e">
        <f>VLOOKUP(B166,'Trips&amp;Operators'!$C$1:$H$10000,5,FALSE)</f>
        <v>#N/A</v>
      </c>
      <c r="I166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6" s="30" t="e">
        <f>VLOOKUP(B166,'Train Runs'!$A$13:$A$99944,1,FALSE)</f>
        <v>#N/A</v>
      </c>
    </row>
    <row r="167" spans="1:10" x14ac:dyDescent="0.25">
      <c r="A167" s="185"/>
      <c r="B167" s="43" t="str">
        <f>A167&amp;"-"&amp;IF(DAY(Variables!$A$2)&lt;10,0,"")&amp;DAY(Variables!$A$2)</f>
        <v>-10</v>
      </c>
      <c r="C167" s="147"/>
      <c r="D167" s="165"/>
      <c r="E167" s="30"/>
      <c r="F167" s="21" t="e">
        <f>VLOOKUP(B167,'Trips&amp;Operators'!$C$2:$E$10000,3,FALSE)</f>
        <v>#N/A</v>
      </c>
      <c r="G167" s="21" t="e">
        <f>VLOOKUP(B167,'Trips&amp;Operators'!$C$1:$F$10000,4,FALSE)</f>
        <v>#N/A</v>
      </c>
      <c r="H167" s="29" t="e">
        <f>VLOOKUP(B167,'Trips&amp;Operators'!$C$1:$H$10000,5,FALSE)</f>
        <v>#N/A</v>
      </c>
      <c r="I167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7" s="30" t="e">
        <f>VLOOKUP(B167,'Train Runs'!$A$13:$A$99944,1,FALSE)</f>
        <v>#N/A</v>
      </c>
    </row>
    <row r="168" spans="1:10" x14ac:dyDescent="0.25">
      <c r="A168" s="185"/>
      <c r="B168" s="43" t="str">
        <f>A168&amp;"-"&amp;IF(DAY(Variables!$A$2)&lt;10,0,"")&amp;DAY(Variables!$A$2)</f>
        <v>-10</v>
      </c>
      <c r="C168" s="147"/>
      <c r="D168" s="165"/>
      <c r="E168" s="30"/>
      <c r="F168" s="21" t="e">
        <f>VLOOKUP(B168,'Trips&amp;Operators'!$C$2:$E$10000,3,FALSE)</f>
        <v>#N/A</v>
      </c>
      <c r="G168" s="21" t="e">
        <f>VLOOKUP(B168,'Trips&amp;Operators'!$C$1:$F$10000,4,FALSE)</f>
        <v>#N/A</v>
      </c>
      <c r="H168" s="29" t="e">
        <f>VLOOKUP(B168,'Trips&amp;Operators'!$C$1:$H$10000,5,FALSE)</f>
        <v>#N/A</v>
      </c>
      <c r="I168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8" s="30" t="e">
        <f>VLOOKUP(B168,'Train Runs'!$A$13:$A$99944,1,FALSE)</f>
        <v>#N/A</v>
      </c>
    </row>
    <row r="169" spans="1:10" x14ac:dyDescent="0.25">
      <c r="A169" s="185"/>
      <c r="B169" s="43" t="str">
        <f>A169&amp;"-"&amp;IF(DAY(Variables!$A$2)&lt;10,0,"")&amp;DAY(Variables!$A$2)</f>
        <v>-10</v>
      </c>
      <c r="C169" s="147"/>
      <c r="D169" s="165"/>
      <c r="E169" s="30"/>
      <c r="F169" s="21" t="e">
        <f>VLOOKUP(B169,'Trips&amp;Operators'!$C$2:$E$10000,3,FALSE)</f>
        <v>#N/A</v>
      </c>
      <c r="G169" s="21" t="e">
        <f>VLOOKUP(B169,'Trips&amp;Operators'!$C$1:$F$10000,4,FALSE)</f>
        <v>#N/A</v>
      </c>
      <c r="H169" s="29" t="e">
        <f>VLOOKUP(B169,'Trips&amp;Operators'!$C$1:$H$10000,5,FALSE)</f>
        <v>#N/A</v>
      </c>
      <c r="I169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9" s="30" t="e">
        <f>VLOOKUP(B169,'Train Runs'!$A$13:$A$99944,1,FALSE)</f>
        <v>#N/A</v>
      </c>
    </row>
    <row r="170" spans="1:10" x14ac:dyDescent="0.25">
      <c r="A170" s="185"/>
      <c r="B170" s="43" t="str">
        <f>A170&amp;"-"&amp;IF(DAY(Variables!$A$2)&lt;10,0,"")&amp;DAY(Variables!$A$2)</f>
        <v>-10</v>
      </c>
      <c r="C170" s="147"/>
      <c r="D170" s="165"/>
      <c r="E170" s="30"/>
      <c r="F170" s="21" t="e">
        <f>VLOOKUP(B170,'Trips&amp;Operators'!$C$2:$E$10000,3,FALSE)</f>
        <v>#N/A</v>
      </c>
      <c r="G170" s="21" t="e">
        <f>VLOOKUP(B170,'Trips&amp;Operators'!$C$1:$F$10000,4,FALSE)</f>
        <v>#N/A</v>
      </c>
      <c r="H170" s="29" t="e">
        <f>VLOOKUP(B170,'Trips&amp;Operators'!$C$1:$H$10000,5,FALSE)</f>
        <v>#N/A</v>
      </c>
      <c r="I170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0" s="30" t="e">
        <f>VLOOKUP(B170,'Train Runs'!$A$13:$A$99944,1,FALSE)</f>
        <v>#N/A</v>
      </c>
    </row>
    <row r="171" spans="1:10" x14ac:dyDescent="0.25">
      <c r="A171" s="185"/>
      <c r="B171" s="43" t="str">
        <f>A171&amp;"-"&amp;IF(DAY(Variables!$A$2)&lt;10,0,"")&amp;DAY(Variables!$A$2)</f>
        <v>-10</v>
      </c>
      <c r="C171" s="147"/>
      <c r="D171" s="165"/>
      <c r="E171" s="30"/>
      <c r="F171" s="21" t="e">
        <f>VLOOKUP(B171,'Trips&amp;Operators'!$C$2:$E$10000,3,FALSE)</f>
        <v>#N/A</v>
      </c>
      <c r="G171" s="21" t="e">
        <f>VLOOKUP(B171,'Trips&amp;Operators'!$C$1:$F$10000,4,FALSE)</f>
        <v>#N/A</v>
      </c>
      <c r="H171" s="29" t="e">
        <f>VLOOKUP(B171,'Trips&amp;Operators'!$C$1:$H$10000,5,FALSE)</f>
        <v>#N/A</v>
      </c>
      <c r="I171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1" s="30" t="e">
        <f>VLOOKUP(B171,'Train Runs'!$A$13:$A$99944,1,FALSE)</f>
        <v>#N/A</v>
      </c>
    </row>
    <row r="172" spans="1:10" x14ac:dyDescent="0.25">
      <c r="A172" s="185"/>
      <c r="B172" s="43" t="str">
        <f>A172&amp;"-"&amp;IF(DAY(Variables!$A$2)&lt;10,0,"")&amp;DAY(Variables!$A$2)</f>
        <v>-10</v>
      </c>
      <c r="C172" s="147"/>
      <c r="D172" s="165"/>
      <c r="E172" s="30"/>
      <c r="F172" s="21" t="e">
        <f>VLOOKUP(B172,'Trips&amp;Operators'!$C$2:$E$10000,3,FALSE)</f>
        <v>#N/A</v>
      </c>
      <c r="G172" s="21" t="e">
        <f>VLOOKUP(B172,'Trips&amp;Operators'!$C$1:$F$10000,4,FALSE)</f>
        <v>#N/A</v>
      </c>
      <c r="H172" s="29" t="e">
        <f>VLOOKUP(B172,'Trips&amp;Operators'!$C$1:$H$10000,5,FALSE)</f>
        <v>#N/A</v>
      </c>
      <c r="I172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2" s="30" t="e">
        <f>VLOOKUP(B172,'Train Runs'!$A$13:$A$99944,1,FALSE)</f>
        <v>#N/A</v>
      </c>
    </row>
    <row r="173" spans="1:10" x14ac:dyDescent="0.25">
      <c r="A173" s="185"/>
      <c r="B173" s="43" t="str">
        <f>A173&amp;"-"&amp;IF(DAY(Variables!$A$2)&lt;10,0,"")&amp;DAY(Variables!$A$2)</f>
        <v>-10</v>
      </c>
      <c r="C173" s="147"/>
      <c r="D173" s="165"/>
      <c r="E173" s="30"/>
      <c r="F173" s="21" t="e">
        <f>VLOOKUP(B173,'Trips&amp;Operators'!$C$2:$E$10000,3,FALSE)</f>
        <v>#N/A</v>
      </c>
      <c r="G173" s="21" t="e">
        <f>VLOOKUP(B173,'Trips&amp;Operators'!$C$1:$F$10000,4,FALSE)</f>
        <v>#N/A</v>
      </c>
      <c r="H173" s="29" t="e">
        <f>VLOOKUP(B173,'Trips&amp;Operators'!$C$1:$H$10000,5,FALSE)</f>
        <v>#N/A</v>
      </c>
      <c r="I173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3" s="30" t="e">
        <f>VLOOKUP(B173,'Train Runs'!$A$13:$A$99944,1,FALSE)</f>
        <v>#N/A</v>
      </c>
    </row>
    <row r="174" spans="1:10" x14ac:dyDescent="0.25">
      <c r="A174" s="185"/>
      <c r="B174" s="43" t="str">
        <f>A174&amp;"-"&amp;IF(DAY(Variables!$A$2)&lt;10,0,"")&amp;DAY(Variables!$A$2)</f>
        <v>-10</v>
      </c>
      <c r="C174" s="147"/>
      <c r="D174" s="165"/>
      <c r="E174" s="30"/>
      <c r="F174" s="21" t="e">
        <f>VLOOKUP(B174,'Trips&amp;Operators'!$C$2:$E$10000,3,FALSE)</f>
        <v>#N/A</v>
      </c>
      <c r="G174" s="21" t="e">
        <f>VLOOKUP(B174,'Trips&amp;Operators'!$C$1:$F$10000,4,FALSE)</f>
        <v>#N/A</v>
      </c>
      <c r="H174" s="29" t="e">
        <f>VLOOKUP(B174,'Trips&amp;Operators'!$C$1:$H$10000,5,FALSE)</f>
        <v>#N/A</v>
      </c>
      <c r="I174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4" s="30" t="e">
        <f>VLOOKUP(B174,'Train Runs'!$A$13:$A$99944,1,FALSE)</f>
        <v>#N/A</v>
      </c>
    </row>
    <row r="175" spans="1:10" x14ac:dyDescent="0.25">
      <c r="A175" s="185"/>
      <c r="B175" s="43" t="str">
        <f>A175&amp;"-"&amp;IF(DAY(Variables!$A$2)&lt;10,0,"")&amp;DAY(Variables!$A$2)</f>
        <v>-10</v>
      </c>
      <c r="C175" s="147"/>
      <c r="D175" s="165"/>
      <c r="E175" s="30"/>
      <c r="F175" s="21" t="e">
        <f>VLOOKUP(B175,'Trips&amp;Operators'!$C$2:$E$10000,3,FALSE)</f>
        <v>#N/A</v>
      </c>
      <c r="G175" s="21" t="e">
        <f>VLOOKUP(B175,'Trips&amp;Operators'!$C$1:$F$10000,4,FALSE)</f>
        <v>#N/A</v>
      </c>
      <c r="H175" s="29" t="e">
        <f>VLOOKUP(B175,'Trips&amp;Operators'!$C$1:$H$10000,5,FALSE)</f>
        <v>#N/A</v>
      </c>
      <c r="I175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5" s="30" t="e">
        <f>VLOOKUP(B175,'Train Runs'!$A$13:$A$99944,1,FALSE)</f>
        <v>#N/A</v>
      </c>
    </row>
    <row r="176" spans="1:10" x14ac:dyDescent="0.25">
      <c r="A176" s="185"/>
      <c r="B176" s="43" t="str">
        <f>A176&amp;"-"&amp;IF(DAY(Variables!$A$2)&lt;10,0,"")&amp;DAY(Variables!$A$2)</f>
        <v>-10</v>
      </c>
      <c r="C176" s="147"/>
      <c r="D176" s="165"/>
      <c r="E176" s="30"/>
      <c r="F176" s="21" t="e">
        <f>VLOOKUP(B176,'Trips&amp;Operators'!$C$2:$E$10000,3,FALSE)</f>
        <v>#N/A</v>
      </c>
      <c r="G176" s="21" t="e">
        <f>VLOOKUP(B176,'Trips&amp;Operators'!$C$1:$F$10000,4,FALSE)</f>
        <v>#N/A</v>
      </c>
      <c r="H176" s="29" t="e">
        <f>VLOOKUP(B176,'Trips&amp;Operators'!$C$1:$H$10000,5,FALSE)</f>
        <v>#N/A</v>
      </c>
      <c r="I176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6" s="30" t="e">
        <f>VLOOKUP(B176,'Train Runs'!$A$13:$A$99944,1,FALSE)</f>
        <v>#N/A</v>
      </c>
    </row>
    <row r="177" spans="1:10" x14ac:dyDescent="0.25">
      <c r="A177" s="185"/>
      <c r="B177" s="43" t="str">
        <f>A177&amp;"-"&amp;IF(DAY(Variables!$A$2)&lt;10,0,"")&amp;DAY(Variables!$A$2)</f>
        <v>-10</v>
      </c>
      <c r="C177" s="147"/>
      <c r="D177" s="165"/>
      <c r="E177" s="30"/>
      <c r="F177" s="21" t="e">
        <f>VLOOKUP(B177,'Trips&amp;Operators'!$C$2:$E$10000,3,FALSE)</f>
        <v>#N/A</v>
      </c>
      <c r="G177" s="21" t="e">
        <f>VLOOKUP(B177,'Trips&amp;Operators'!$C$1:$F$10000,4,FALSE)</f>
        <v>#N/A</v>
      </c>
      <c r="H177" s="29" t="e">
        <f>VLOOKUP(B177,'Trips&amp;Operators'!$C$1:$H$10000,5,FALSE)</f>
        <v>#N/A</v>
      </c>
      <c r="I177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7" s="30" t="e">
        <f>VLOOKUP(B177,'Train Runs'!$A$13:$A$99944,1,FALSE)</f>
        <v>#N/A</v>
      </c>
    </row>
    <row r="178" spans="1:10" x14ac:dyDescent="0.25">
      <c r="A178" s="185"/>
      <c r="B178" s="43" t="str">
        <f>A178&amp;"-"&amp;IF(DAY(Variables!$A$2)&lt;10,0,"")&amp;DAY(Variables!$A$2)</f>
        <v>-10</v>
      </c>
      <c r="C178" s="147"/>
      <c r="D178" s="165"/>
      <c r="E178" s="30"/>
      <c r="F178" s="21" t="e">
        <f>VLOOKUP(B178,'Trips&amp;Operators'!$C$2:$E$10000,3,FALSE)</f>
        <v>#N/A</v>
      </c>
      <c r="G178" s="21" t="e">
        <f>VLOOKUP(B178,'Trips&amp;Operators'!$C$1:$F$10000,4,FALSE)</f>
        <v>#N/A</v>
      </c>
      <c r="H178" s="29" t="e">
        <f>VLOOKUP(B178,'Trips&amp;Operators'!$C$1:$H$10000,5,FALSE)</f>
        <v>#N/A</v>
      </c>
      <c r="I178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8" s="30" t="e">
        <f>VLOOKUP(B178,'Train Runs'!$A$13:$A$99944,1,FALSE)</f>
        <v>#N/A</v>
      </c>
    </row>
    <row r="179" spans="1:10" x14ac:dyDescent="0.25">
      <c r="A179" s="185"/>
      <c r="B179" s="43" t="str">
        <f>A179&amp;"-"&amp;IF(DAY(Variables!$A$2)&lt;10,0,"")&amp;DAY(Variables!$A$2)</f>
        <v>-10</v>
      </c>
      <c r="C179" s="147"/>
      <c r="D179" s="165"/>
      <c r="E179" s="30"/>
      <c r="F179" s="21" t="e">
        <f>VLOOKUP(B179,'Trips&amp;Operators'!$C$2:$E$10000,3,FALSE)</f>
        <v>#N/A</v>
      </c>
      <c r="G179" s="21" t="e">
        <f>VLOOKUP(B179,'Trips&amp;Operators'!$C$1:$F$10000,4,FALSE)</f>
        <v>#N/A</v>
      </c>
      <c r="H179" s="29" t="e">
        <f>VLOOKUP(B179,'Trips&amp;Operators'!$C$1:$H$10000,5,FALSE)</f>
        <v>#N/A</v>
      </c>
      <c r="I179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9" s="30" t="e">
        <f>VLOOKUP(B179,'Train Runs'!$A$13:$A$99944,1,FALSE)</f>
        <v>#N/A</v>
      </c>
    </row>
    <row r="180" spans="1:10" x14ac:dyDescent="0.25">
      <c r="A180" s="185"/>
      <c r="B180" s="43" t="str">
        <f>A180&amp;"-"&amp;IF(DAY(Variables!$A$2)&lt;10,0,"")&amp;DAY(Variables!$A$2)</f>
        <v>-10</v>
      </c>
      <c r="C180" s="147"/>
      <c r="D180" s="165"/>
      <c r="E180" s="30"/>
      <c r="F180" s="21" t="e">
        <f>VLOOKUP(B180,'Trips&amp;Operators'!$C$2:$E$10000,3,FALSE)</f>
        <v>#N/A</v>
      </c>
      <c r="G180" s="21" t="e">
        <f>VLOOKUP(B180,'Trips&amp;Operators'!$C$1:$F$10000,4,FALSE)</f>
        <v>#N/A</v>
      </c>
      <c r="H180" s="29" t="e">
        <f>VLOOKUP(B180,'Trips&amp;Operators'!$C$1:$H$10000,5,FALSE)</f>
        <v>#N/A</v>
      </c>
      <c r="I180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0" s="30" t="e">
        <f>VLOOKUP(B180,'Train Runs'!$A$13:$A$99944,1,FALSE)</f>
        <v>#N/A</v>
      </c>
    </row>
    <row r="181" spans="1:10" x14ac:dyDescent="0.25">
      <c r="A181" s="185"/>
      <c r="B181" s="43" t="str">
        <f>A181&amp;"-"&amp;IF(DAY(Variables!$A$2)&lt;10,0,"")&amp;DAY(Variables!$A$2)</f>
        <v>-10</v>
      </c>
      <c r="C181" s="147"/>
      <c r="D181" s="165"/>
      <c r="E181" s="30"/>
      <c r="F181" s="21" t="e">
        <f>VLOOKUP(B181,'Trips&amp;Operators'!$C$2:$E$10000,3,FALSE)</f>
        <v>#N/A</v>
      </c>
      <c r="G181" s="21" t="e">
        <f>VLOOKUP(B181,'Trips&amp;Operators'!$C$1:$F$10000,4,FALSE)</f>
        <v>#N/A</v>
      </c>
      <c r="H181" s="29" t="e">
        <f>VLOOKUP(B181,'Trips&amp;Operators'!$C$1:$H$10000,5,FALSE)</f>
        <v>#N/A</v>
      </c>
      <c r="I181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1" s="30" t="e">
        <f>VLOOKUP(B181,'Train Runs'!$A$13:$A$99944,1,FALSE)</f>
        <v>#N/A</v>
      </c>
    </row>
    <row r="182" spans="1:10" x14ac:dyDescent="0.25">
      <c r="A182" s="185"/>
      <c r="B182" s="43" t="str">
        <f>A182&amp;"-"&amp;IF(DAY(Variables!$A$2)&lt;10,0,"")&amp;DAY(Variables!$A$2)</f>
        <v>-10</v>
      </c>
      <c r="C182" s="147"/>
      <c r="D182" s="165"/>
      <c r="E182" s="30"/>
      <c r="F182" s="21" t="e">
        <f>VLOOKUP(B182,'Trips&amp;Operators'!$C$2:$E$10000,3,FALSE)</f>
        <v>#N/A</v>
      </c>
      <c r="G182" s="21" t="e">
        <f>VLOOKUP(B182,'Trips&amp;Operators'!$C$1:$F$10000,4,FALSE)</f>
        <v>#N/A</v>
      </c>
      <c r="H182" s="29" t="e">
        <f>VLOOKUP(B182,'Trips&amp;Operators'!$C$1:$H$10000,5,FALSE)</f>
        <v>#N/A</v>
      </c>
      <c r="I182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2" s="30" t="e">
        <f>VLOOKUP(B182,'Train Runs'!$A$13:$A$99944,1,FALSE)</f>
        <v>#N/A</v>
      </c>
    </row>
    <row r="183" spans="1:10" x14ac:dyDescent="0.25">
      <c r="A183" s="185"/>
      <c r="B183" s="43" t="str">
        <f>A183&amp;"-"&amp;IF(DAY(Variables!$A$2)&lt;10,0,"")&amp;DAY(Variables!$A$2)</f>
        <v>-10</v>
      </c>
      <c r="C183" s="147"/>
      <c r="D183" s="165"/>
      <c r="E183" s="30"/>
      <c r="F183" s="21" t="e">
        <f>VLOOKUP(B183,'Trips&amp;Operators'!$C$2:$E$10000,3,FALSE)</f>
        <v>#N/A</v>
      </c>
      <c r="G183" s="21" t="e">
        <f>VLOOKUP(B183,'Trips&amp;Operators'!$C$1:$F$10000,4,FALSE)</f>
        <v>#N/A</v>
      </c>
      <c r="H183" s="29" t="e">
        <f>VLOOKUP(B183,'Trips&amp;Operators'!$C$1:$H$10000,5,FALSE)</f>
        <v>#N/A</v>
      </c>
      <c r="I183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3" s="30" t="e">
        <f>VLOOKUP(B183,'Train Runs'!$A$13:$A$99944,1,FALSE)</f>
        <v>#N/A</v>
      </c>
    </row>
    <row r="184" spans="1:10" x14ac:dyDescent="0.25">
      <c r="A184" s="185"/>
      <c r="B184" s="43" t="str">
        <f>A184&amp;"-"&amp;IF(DAY(Variables!$A$2)&lt;10,0,"")&amp;DAY(Variables!$A$2)</f>
        <v>-10</v>
      </c>
      <c r="C184" s="147"/>
      <c r="D184" s="165"/>
      <c r="E184" s="30"/>
      <c r="F184" s="21" t="e">
        <f>VLOOKUP(B184,'Trips&amp;Operators'!$C$2:$E$10000,3,FALSE)</f>
        <v>#N/A</v>
      </c>
      <c r="G184" s="21" t="e">
        <f>VLOOKUP(B184,'Trips&amp;Operators'!$C$1:$F$10000,4,FALSE)</f>
        <v>#N/A</v>
      </c>
      <c r="H184" s="29" t="e">
        <f>VLOOKUP(B184,'Trips&amp;Operators'!$C$1:$H$10000,5,FALSE)</f>
        <v>#N/A</v>
      </c>
      <c r="I184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4" s="30" t="e">
        <f>VLOOKUP(B184,'Train Runs'!$A$13:$A$99944,1,FALSE)</f>
        <v>#N/A</v>
      </c>
    </row>
    <row r="185" spans="1:10" x14ac:dyDescent="0.25">
      <c r="A185" s="185"/>
      <c r="B185" s="43" t="str">
        <f>A185&amp;"-"&amp;IF(DAY(Variables!$A$2)&lt;10,0,"")&amp;DAY(Variables!$A$2)</f>
        <v>-10</v>
      </c>
      <c r="C185" s="147"/>
      <c r="D185" s="165"/>
      <c r="E185" s="30"/>
      <c r="F185" s="21" t="e">
        <f>VLOOKUP(B185,'Trips&amp;Operators'!$C$2:$E$10000,3,FALSE)</f>
        <v>#N/A</v>
      </c>
      <c r="G185" s="21" t="e">
        <f>VLOOKUP(B185,'Trips&amp;Operators'!$C$1:$F$10000,4,FALSE)</f>
        <v>#N/A</v>
      </c>
      <c r="H185" s="29" t="e">
        <f>VLOOKUP(B185,'Trips&amp;Operators'!$C$1:$H$10000,5,FALSE)</f>
        <v>#N/A</v>
      </c>
      <c r="I185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5" s="30" t="e">
        <f>VLOOKUP(B185,'Train Runs'!$A$13:$A$99944,1,FALSE)</f>
        <v>#N/A</v>
      </c>
    </row>
    <row r="186" spans="1:10" x14ac:dyDescent="0.25">
      <c r="A186" s="185"/>
      <c r="B186" s="43" t="str">
        <f>A186&amp;"-"&amp;IF(DAY(Variables!$A$2)&lt;10,0,"")&amp;DAY(Variables!$A$2)</f>
        <v>-10</v>
      </c>
      <c r="C186" s="147"/>
      <c r="D186" s="165"/>
      <c r="E186" s="30"/>
      <c r="F186" s="21" t="e">
        <f>VLOOKUP(B186,'Trips&amp;Operators'!$C$2:$E$10000,3,FALSE)</f>
        <v>#N/A</v>
      </c>
      <c r="G186" s="21" t="e">
        <f>VLOOKUP(B186,'Trips&amp;Operators'!$C$1:$F$10000,4,FALSE)</f>
        <v>#N/A</v>
      </c>
      <c r="H186" s="29" t="e">
        <f>VLOOKUP(B186,'Trips&amp;Operators'!$C$1:$H$10000,5,FALSE)</f>
        <v>#N/A</v>
      </c>
      <c r="I186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6" s="30" t="e">
        <f>VLOOKUP(B186,'Train Runs'!$A$13:$A$99944,1,FALSE)</f>
        <v>#N/A</v>
      </c>
    </row>
    <row r="187" spans="1:10" x14ac:dyDescent="0.25">
      <c r="A187" s="185"/>
      <c r="B187" s="43" t="str">
        <f>A187&amp;"-"&amp;IF(DAY(Variables!$A$2)&lt;10,0,"")&amp;DAY(Variables!$A$2)</f>
        <v>-10</v>
      </c>
      <c r="C187" s="147"/>
      <c r="D187" s="165"/>
      <c r="E187" s="30"/>
      <c r="F187" s="21" t="e">
        <f>VLOOKUP(B187,'Trips&amp;Operators'!$C$2:$E$10000,3,FALSE)</f>
        <v>#N/A</v>
      </c>
      <c r="G187" s="21" t="e">
        <f>VLOOKUP(B187,'Trips&amp;Operators'!$C$1:$F$10000,4,FALSE)</f>
        <v>#N/A</v>
      </c>
      <c r="H187" s="29" t="e">
        <f>VLOOKUP(B187,'Trips&amp;Operators'!$C$1:$H$10000,5,FALSE)</f>
        <v>#N/A</v>
      </c>
      <c r="I187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7" s="30" t="e">
        <f>VLOOKUP(B187,'Train Runs'!$A$13:$A$99944,1,FALSE)</f>
        <v>#N/A</v>
      </c>
    </row>
    <row r="188" spans="1:10" x14ac:dyDescent="0.25">
      <c r="A188" s="185"/>
      <c r="B188" s="43" t="str">
        <f>A188&amp;"-"&amp;IF(DAY(Variables!$A$2)&lt;10,0,"")&amp;DAY(Variables!$A$2)</f>
        <v>-10</v>
      </c>
      <c r="C188" s="147"/>
      <c r="D188" s="165"/>
      <c r="E188" s="30"/>
      <c r="F188" s="21" t="e">
        <f>VLOOKUP(B188,'Trips&amp;Operators'!$C$2:$E$10000,3,FALSE)</f>
        <v>#N/A</v>
      </c>
      <c r="G188" s="21" t="e">
        <f>VLOOKUP(B188,'Trips&amp;Operators'!$C$1:$F$10000,4,FALSE)</f>
        <v>#N/A</v>
      </c>
      <c r="H188" s="29" t="e">
        <f>VLOOKUP(B188,'Trips&amp;Operators'!$C$1:$H$10000,5,FALSE)</f>
        <v>#N/A</v>
      </c>
      <c r="I188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8" s="30" t="e">
        <f>VLOOKUP(B188,'Train Runs'!$A$13:$A$99944,1,FALSE)</f>
        <v>#N/A</v>
      </c>
    </row>
    <row r="189" spans="1:10" x14ac:dyDescent="0.25">
      <c r="A189" s="185"/>
      <c r="B189" s="43" t="str">
        <f>A189&amp;"-"&amp;IF(DAY(Variables!$A$2)&lt;10,0,"")&amp;DAY(Variables!$A$2)</f>
        <v>-10</v>
      </c>
      <c r="C189" s="147"/>
      <c r="D189" s="165"/>
      <c r="E189" s="30"/>
      <c r="F189" s="21" t="e">
        <f>VLOOKUP(B189,'Trips&amp;Operators'!$C$2:$E$10000,3,FALSE)</f>
        <v>#N/A</v>
      </c>
      <c r="G189" s="21" t="e">
        <f>VLOOKUP(B189,'Trips&amp;Operators'!$C$1:$F$10000,4,FALSE)</f>
        <v>#N/A</v>
      </c>
      <c r="H189" s="29" t="e">
        <f>VLOOKUP(B189,'Trips&amp;Operators'!$C$1:$H$10000,5,FALSE)</f>
        <v>#N/A</v>
      </c>
      <c r="I189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9" s="30" t="e">
        <f>VLOOKUP(B189,'Train Runs'!$A$13:$A$99944,1,FALSE)</f>
        <v>#N/A</v>
      </c>
    </row>
    <row r="190" spans="1:10" x14ac:dyDescent="0.25">
      <c r="A190" s="185"/>
      <c r="B190" s="43" t="str">
        <f>A190&amp;"-"&amp;IF(DAY(Variables!$A$2)&lt;10,0,"")&amp;DAY(Variables!$A$2)</f>
        <v>-10</v>
      </c>
      <c r="C190" s="147"/>
      <c r="D190" s="165"/>
      <c r="E190" s="30"/>
      <c r="F190" s="21" t="e">
        <f>VLOOKUP(B190,'Trips&amp;Operators'!$C$2:$E$10000,3,FALSE)</f>
        <v>#N/A</v>
      </c>
      <c r="G190" s="21" t="e">
        <f>VLOOKUP(B190,'Trips&amp;Operators'!$C$1:$F$10000,4,FALSE)</f>
        <v>#N/A</v>
      </c>
      <c r="H190" s="29" t="e">
        <f>VLOOKUP(B190,'Trips&amp;Operators'!$C$1:$H$10000,5,FALSE)</f>
        <v>#N/A</v>
      </c>
      <c r="I190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0" s="30" t="e">
        <f>VLOOKUP(B190,'Train Runs'!$A$13:$A$99944,1,FALSE)</f>
        <v>#N/A</v>
      </c>
    </row>
    <row r="191" spans="1:10" x14ac:dyDescent="0.25">
      <c r="A191" s="185"/>
      <c r="B191" s="43" t="str">
        <f>A191&amp;"-"&amp;IF(DAY(Variables!$A$2)&lt;10,0,"")&amp;DAY(Variables!$A$2)</f>
        <v>-10</v>
      </c>
      <c r="C191" s="147"/>
      <c r="D191" s="165"/>
      <c r="E191" s="30"/>
      <c r="F191" s="21" t="e">
        <f>VLOOKUP(B191,'Trips&amp;Operators'!$C$2:$E$10000,3,FALSE)</f>
        <v>#N/A</v>
      </c>
      <c r="G191" s="21" t="e">
        <f>VLOOKUP(B191,'Trips&amp;Operators'!$C$1:$F$10000,4,FALSE)</f>
        <v>#N/A</v>
      </c>
      <c r="H191" s="29" t="e">
        <f>VLOOKUP(B191,'Trips&amp;Operators'!$C$1:$H$10000,5,FALSE)</f>
        <v>#N/A</v>
      </c>
      <c r="I191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1" s="30" t="e">
        <f>VLOOKUP(B191,'Train Runs'!$A$13:$A$99944,1,FALSE)</f>
        <v>#N/A</v>
      </c>
    </row>
    <row r="192" spans="1:10" x14ac:dyDescent="0.25">
      <c r="A192" s="185"/>
      <c r="B192" s="43" t="str">
        <f>A192&amp;"-"&amp;IF(DAY(Variables!$A$2)&lt;10,0,"")&amp;DAY(Variables!$A$2)</f>
        <v>-10</v>
      </c>
      <c r="C192" s="147"/>
      <c r="D192" s="165"/>
      <c r="E192" s="30"/>
      <c r="F192" s="21" t="e">
        <f>VLOOKUP(B192,'Trips&amp;Operators'!$C$2:$E$10000,3,FALSE)</f>
        <v>#N/A</v>
      </c>
      <c r="G192" s="21" t="e">
        <f>VLOOKUP(B192,'Trips&amp;Operators'!$C$1:$F$10000,4,FALSE)</f>
        <v>#N/A</v>
      </c>
      <c r="H192" s="29" t="e">
        <f>VLOOKUP(B192,'Trips&amp;Operators'!$C$1:$H$10000,5,FALSE)</f>
        <v>#N/A</v>
      </c>
      <c r="I192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2" s="30" t="e">
        <f>VLOOKUP(B192,'Train Runs'!$A$13:$A$99944,1,FALSE)</f>
        <v>#N/A</v>
      </c>
    </row>
    <row r="193" spans="1:10" x14ac:dyDescent="0.25">
      <c r="A193" s="185"/>
      <c r="B193" s="43" t="str">
        <f>A193&amp;"-"&amp;IF(DAY(Variables!$A$2)&lt;10,0,"")&amp;DAY(Variables!$A$2)</f>
        <v>-10</v>
      </c>
      <c r="C193" s="147"/>
      <c r="D193" s="165"/>
      <c r="E193" s="30"/>
      <c r="F193" s="21" t="e">
        <f>VLOOKUP(B193,'Trips&amp;Operators'!$C$2:$E$10000,3,FALSE)</f>
        <v>#N/A</v>
      </c>
      <c r="G193" s="21" t="e">
        <f>VLOOKUP(B193,'Trips&amp;Operators'!$C$1:$F$10000,4,FALSE)</f>
        <v>#N/A</v>
      </c>
      <c r="H193" s="29" t="e">
        <f>VLOOKUP(B193,'Trips&amp;Operators'!$C$1:$H$10000,5,FALSE)</f>
        <v>#N/A</v>
      </c>
      <c r="I193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3" s="30" t="e">
        <f>VLOOKUP(B193,'Train Runs'!$A$13:$A$99944,1,FALSE)</f>
        <v>#N/A</v>
      </c>
    </row>
    <row r="194" spans="1:10" x14ac:dyDescent="0.25">
      <c r="A194" s="185"/>
      <c r="B194" s="43" t="str">
        <f>A194&amp;"-"&amp;IF(DAY(Variables!$A$2)&lt;10,0,"")&amp;DAY(Variables!$A$2)</f>
        <v>-10</v>
      </c>
      <c r="C194" s="147"/>
      <c r="D194" s="165"/>
      <c r="E194" s="30"/>
      <c r="F194" s="21" t="e">
        <f>VLOOKUP(B194,'Trips&amp;Operators'!$C$2:$E$10000,3,FALSE)</f>
        <v>#N/A</v>
      </c>
      <c r="G194" s="21" t="e">
        <f>VLOOKUP(B194,'Trips&amp;Operators'!$C$1:$F$10000,4,FALSE)</f>
        <v>#N/A</v>
      </c>
      <c r="H194" s="29" t="e">
        <f>VLOOKUP(B194,'Trips&amp;Operators'!$C$1:$H$10000,5,FALSE)</f>
        <v>#N/A</v>
      </c>
      <c r="I194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4" s="30" t="e">
        <f>VLOOKUP(B194,'Train Runs'!$A$13:$A$99944,1,FALSE)</f>
        <v>#N/A</v>
      </c>
    </row>
    <row r="195" spans="1:10" x14ac:dyDescent="0.25">
      <c r="A195" s="185"/>
      <c r="B195" s="43" t="str">
        <f>A195&amp;"-"&amp;IF(DAY(Variables!$A$2)&lt;10,0,"")&amp;DAY(Variables!$A$2)</f>
        <v>-10</v>
      </c>
      <c r="C195" s="147"/>
      <c r="D195" s="165"/>
      <c r="E195" s="30"/>
      <c r="F195" s="21" t="e">
        <f>VLOOKUP(B195,'Trips&amp;Operators'!$C$2:$E$10000,3,FALSE)</f>
        <v>#N/A</v>
      </c>
      <c r="G195" s="21" t="e">
        <f>VLOOKUP(B195,'Trips&amp;Operators'!$C$1:$F$10000,4,FALSE)</f>
        <v>#N/A</v>
      </c>
      <c r="H195" s="29" t="e">
        <f>VLOOKUP(B195,'Trips&amp;Operators'!$C$1:$H$10000,5,FALSE)</f>
        <v>#N/A</v>
      </c>
      <c r="I195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5" s="30" t="e">
        <f>VLOOKUP(B195,'Train Runs'!$A$13:$A$99944,1,FALSE)</f>
        <v>#N/A</v>
      </c>
    </row>
    <row r="196" spans="1:10" x14ac:dyDescent="0.25">
      <c r="A196" s="185"/>
      <c r="B196" s="43" t="str">
        <f>A196&amp;"-"&amp;IF(DAY(Variables!$A$2)&lt;10,0,"")&amp;DAY(Variables!$A$2)</f>
        <v>-10</v>
      </c>
      <c r="C196" s="147"/>
      <c r="D196" s="165"/>
      <c r="E196" s="30"/>
      <c r="F196" s="21" t="e">
        <f>VLOOKUP(B196,'Trips&amp;Operators'!$C$2:$E$10000,3,FALSE)</f>
        <v>#N/A</v>
      </c>
      <c r="G196" s="21" t="e">
        <f>VLOOKUP(B196,'Trips&amp;Operators'!$C$1:$F$10000,4,FALSE)</f>
        <v>#N/A</v>
      </c>
      <c r="H196" s="29" t="e">
        <f>VLOOKUP(B196,'Trips&amp;Operators'!$C$1:$H$10000,5,FALSE)</f>
        <v>#N/A</v>
      </c>
      <c r="I196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6" s="30" t="e">
        <f>VLOOKUP(B196,'Train Runs'!$A$13:$A$99944,1,FALSE)</f>
        <v>#N/A</v>
      </c>
    </row>
    <row r="197" spans="1:10" x14ac:dyDescent="0.25">
      <c r="A197" s="185"/>
      <c r="B197" s="43" t="str">
        <f>A197&amp;"-"&amp;IF(DAY(Variables!$A$2)&lt;10,0,"")&amp;DAY(Variables!$A$2)</f>
        <v>-10</v>
      </c>
      <c r="C197" s="147"/>
      <c r="D197" s="165"/>
      <c r="E197" s="30"/>
      <c r="F197" s="21" t="e">
        <f>VLOOKUP(B197,'Trips&amp;Operators'!$C$2:$E$10000,3,FALSE)</f>
        <v>#N/A</v>
      </c>
      <c r="G197" s="21" t="e">
        <f>VLOOKUP(B197,'Trips&amp;Operators'!$C$1:$F$10000,4,FALSE)</f>
        <v>#N/A</v>
      </c>
      <c r="H197" s="29" t="e">
        <f>VLOOKUP(B197,'Trips&amp;Operators'!$C$1:$H$10000,5,FALSE)</f>
        <v>#N/A</v>
      </c>
      <c r="I197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7" s="30" t="e">
        <f>VLOOKUP(B197,'Train Runs'!$A$13:$A$99944,1,FALSE)</f>
        <v>#N/A</v>
      </c>
    </row>
    <row r="198" spans="1:10" x14ac:dyDescent="0.25">
      <c r="A198" s="185"/>
      <c r="B198" s="43" t="str">
        <f>A198&amp;"-"&amp;IF(DAY(Variables!$A$2)&lt;10,0,"")&amp;DAY(Variables!$A$2)</f>
        <v>-10</v>
      </c>
      <c r="C198" s="147"/>
      <c r="D198" s="165"/>
      <c r="E198" s="30"/>
      <c r="F198" s="21" t="e">
        <f>VLOOKUP(B198,'Trips&amp;Operators'!$C$2:$E$10000,3,FALSE)</f>
        <v>#N/A</v>
      </c>
      <c r="G198" s="21" t="e">
        <f>VLOOKUP(B198,'Trips&amp;Operators'!$C$1:$F$10000,4,FALSE)</f>
        <v>#N/A</v>
      </c>
      <c r="H198" s="29" t="e">
        <f>VLOOKUP(B198,'Trips&amp;Operators'!$C$1:$H$10000,5,FALSE)</f>
        <v>#N/A</v>
      </c>
      <c r="I198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8" s="30" t="e">
        <f>VLOOKUP(B198,'Train Runs'!$A$13:$A$99944,1,FALSE)</f>
        <v>#N/A</v>
      </c>
    </row>
    <row r="199" spans="1:10" x14ac:dyDescent="0.25">
      <c r="A199" s="185"/>
      <c r="B199" s="43" t="str">
        <f>A199&amp;"-"&amp;IF(DAY(Variables!$A$2)&lt;10,0,"")&amp;DAY(Variables!$A$2)</f>
        <v>-10</v>
      </c>
      <c r="C199" s="147"/>
      <c r="D199" s="165"/>
      <c r="E199" s="30"/>
      <c r="F199" s="21" t="e">
        <f>VLOOKUP(B199,'Trips&amp;Operators'!$C$2:$E$10000,3,FALSE)</f>
        <v>#N/A</v>
      </c>
      <c r="G199" s="21" t="e">
        <f>VLOOKUP(B199,'Trips&amp;Operators'!$C$1:$F$10000,4,FALSE)</f>
        <v>#N/A</v>
      </c>
      <c r="H199" s="29" t="e">
        <f>VLOOKUP(B199,'Trips&amp;Operators'!$C$1:$H$10000,5,FALSE)</f>
        <v>#N/A</v>
      </c>
      <c r="I199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9" s="30" t="e">
        <f>VLOOKUP(B199,'Train Runs'!$A$13:$A$99944,1,FALSE)</f>
        <v>#N/A</v>
      </c>
    </row>
    <row r="200" spans="1:10" x14ac:dyDescent="0.25">
      <c r="A200" s="185">
        <f t="shared" ref="A200:A213" si="6">A199+1</f>
        <v>1</v>
      </c>
      <c r="B200" s="43" t="str">
        <f>A200&amp;"-"&amp;IF(DAY(Variables!$A$2)&lt;10,0,"")&amp;DAY(Variables!$A$2)</f>
        <v>1-10</v>
      </c>
      <c r="C200" s="147"/>
      <c r="D200" s="165"/>
      <c r="E200" s="30"/>
      <c r="F200" s="21" t="e">
        <f>VLOOKUP(B200,'Trips&amp;Operators'!$C$2:$E$10000,3,FALSE)</f>
        <v>#N/A</v>
      </c>
      <c r="G200" s="21" t="e">
        <f>VLOOKUP(B200,'Trips&amp;Operators'!$C$1:$F$10000,4,FALSE)</f>
        <v>#N/A</v>
      </c>
      <c r="H200" s="29" t="e">
        <f>VLOOKUP(B200,'Trips&amp;Operators'!$C$1:$H$10000,5,FALSE)</f>
        <v>#N/A</v>
      </c>
      <c r="I200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221-10%22)),sort:!(Time.ISO8601,asc))</v>
      </c>
      <c r="J200" s="30" t="e">
        <f>VLOOKUP(B200,'Train Runs'!$A$13:$A$99944,1,FALSE)</f>
        <v>#N/A</v>
      </c>
    </row>
    <row r="201" spans="1:10" x14ac:dyDescent="0.25">
      <c r="A201" s="185">
        <f t="shared" si="6"/>
        <v>2</v>
      </c>
      <c r="B201" s="43" t="str">
        <f>A201&amp;"-"&amp;IF(DAY(Variables!$A$2)&lt;10,0,"")&amp;DAY(Variables!$A$2)</f>
        <v>2-10</v>
      </c>
      <c r="C201" s="147"/>
      <c r="D201" s="165"/>
      <c r="E201" s="30"/>
      <c r="F201" s="21" t="e">
        <f>VLOOKUP(B201,'Trips&amp;Operators'!$C$2:$E$10000,3,FALSE)</f>
        <v>#N/A</v>
      </c>
      <c r="G201" s="21" t="e">
        <f>VLOOKUP(B201,'Trips&amp;Operators'!$C$1:$F$10000,4,FALSE)</f>
        <v>#N/A</v>
      </c>
      <c r="H201" s="29" t="e">
        <f>VLOOKUP(B201,'Trips&amp;Operators'!$C$1:$H$10000,5,FALSE)</f>
        <v>#N/A</v>
      </c>
      <c r="I201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222-10%22)),sort:!(Time.ISO8601,asc))</v>
      </c>
      <c r="J201" s="30" t="e">
        <f>VLOOKUP(B201,'Train Runs'!$A$13:$A$99944,1,FALSE)</f>
        <v>#N/A</v>
      </c>
    </row>
    <row r="202" spans="1:10" x14ac:dyDescent="0.25">
      <c r="A202" s="185">
        <f t="shared" si="6"/>
        <v>3</v>
      </c>
      <c r="B202" s="43" t="str">
        <f>A202&amp;"-"&amp;IF(DAY(Variables!$A$2)&lt;10,0,"")&amp;DAY(Variables!$A$2)</f>
        <v>3-10</v>
      </c>
      <c r="C202" s="147"/>
      <c r="D202" s="165"/>
      <c r="E202" s="30"/>
      <c r="F202" s="21" t="e">
        <f>VLOOKUP(B202,'Trips&amp;Operators'!$C$2:$E$10000,3,FALSE)</f>
        <v>#N/A</v>
      </c>
      <c r="G202" s="21" t="e">
        <f>VLOOKUP(B202,'Trips&amp;Operators'!$C$1:$F$10000,4,FALSE)</f>
        <v>#N/A</v>
      </c>
      <c r="H202" s="29" t="e">
        <f>VLOOKUP(B202,'Trips&amp;Operators'!$C$1:$H$10000,5,FALSE)</f>
        <v>#N/A</v>
      </c>
      <c r="I202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223-10%22)),sort:!(Time.ISO8601,asc))</v>
      </c>
      <c r="J202" s="30" t="e">
        <f>VLOOKUP(B202,'Train Runs'!$A$13:$A$99944,1,FALSE)</f>
        <v>#N/A</v>
      </c>
    </row>
    <row r="203" spans="1:10" x14ac:dyDescent="0.25">
      <c r="A203" s="185">
        <f t="shared" si="6"/>
        <v>4</v>
      </c>
      <c r="B203" s="43" t="str">
        <f>A203&amp;"-"&amp;IF(DAY(Variables!$A$2)&lt;10,0,"")&amp;DAY(Variables!$A$2)</f>
        <v>4-10</v>
      </c>
      <c r="C203" s="147"/>
      <c r="D203" s="165"/>
      <c r="E203" s="30"/>
      <c r="F203" s="21" t="e">
        <f>VLOOKUP(B203,'Trips&amp;Operators'!$C$2:$E$10000,3,FALSE)</f>
        <v>#N/A</v>
      </c>
      <c r="G203" s="21" t="e">
        <f>VLOOKUP(B203,'Trips&amp;Operators'!$C$1:$F$10000,4,FALSE)</f>
        <v>#N/A</v>
      </c>
      <c r="H203" s="29" t="e">
        <f>VLOOKUP(B203,'Trips&amp;Operators'!$C$1:$H$10000,5,FALSE)</f>
        <v>#N/A</v>
      </c>
      <c r="I203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224-10%22)),sort:!(Time.ISO8601,asc))</v>
      </c>
      <c r="J203" s="30" t="e">
        <f>VLOOKUP(B203,'Train Runs'!$A$13:$A$99944,1,FALSE)</f>
        <v>#N/A</v>
      </c>
    </row>
    <row r="204" spans="1:10" x14ac:dyDescent="0.25">
      <c r="A204" s="185">
        <f t="shared" si="6"/>
        <v>5</v>
      </c>
      <c r="B204" s="43" t="str">
        <f>A204&amp;"-"&amp;IF(DAY(Variables!$A$2)&lt;10,0,"")&amp;DAY(Variables!$A$2)</f>
        <v>5-10</v>
      </c>
      <c r="C204" s="147"/>
      <c r="D204" s="165"/>
      <c r="E204" s="30"/>
      <c r="F204" s="21" t="e">
        <f>VLOOKUP(B204,'Trips&amp;Operators'!$C$2:$E$10000,3,FALSE)</f>
        <v>#N/A</v>
      </c>
      <c r="G204" s="21" t="e">
        <f>VLOOKUP(B204,'Trips&amp;Operators'!$C$1:$F$10000,4,FALSE)</f>
        <v>#N/A</v>
      </c>
      <c r="H204" s="29" t="e">
        <f>VLOOKUP(B204,'Trips&amp;Operators'!$C$1:$H$10000,5,FALSE)</f>
        <v>#N/A</v>
      </c>
      <c r="I204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225-10%22)),sort:!(Time.ISO8601,asc))</v>
      </c>
      <c r="J204" s="30" t="e">
        <f>VLOOKUP(B204,'Train Runs'!$A$13:$A$99944,1,FALSE)</f>
        <v>#N/A</v>
      </c>
    </row>
    <row r="205" spans="1:10" x14ac:dyDescent="0.25">
      <c r="A205" s="185">
        <f t="shared" si="6"/>
        <v>6</v>
      </c>
      <c r="B205" s="43" t="str">
        <f>A205&amp;"-"&amp;IF(DAY(Variables!$A$2)&lt;10,0,"")&amp;DAY(Variables!$A$2)</f>
        <v>6-10</v>
      </c>
      <c r="C205" s="147"/>
      <c r="D205" s="165"/>
      <c r="E205" s="30"/>
      <c r="F205" s="21" t="e">
        <f>VLOOKUP(B205,'Trips&amp;Operators'!$C$2:$E$10000,3,FALSE)</f>
        <v>#N/A</v>
      </c>
      <c r="G205" s="21" t="e">
        <f>VLOOKUP(B205,'Trips&amp;Operators'!$C$1:$F$10000,4,FALSE)</f>
        <v>#N/A</v>
      </c>
      <c r="H205" s="29" t="e">
        <f>VLOOKUP(B205,'Trips&amp;Operators'!$C$1:$H$10000,5,FALSE)</f>
        <v>#N/A</v>
      </c>
      <c r="I205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226-10%22)),sort:!(Time.ISO8601,asc))</v>
      </c>
      <c r="J205" s="30" t="e">
        <f>VLOOKUP(B205,'Train Runs'!$A$13:$A$99944,1,FALSE)</f>
        <v>#N/A</v>
      </c>
    </row>
    <row r="206" spans="1:10" x14ac:dyDescent="0.25">
      <c r="A206" s="185">
        <f t="shared" si="6"/>
        <v>7</v>
      </c>
      <c r="B206" s="43" t="str">
        <f>A206&amp;"-"&amp;IF(DAY(Variables!$A$2)&lt;10,0,"")&amp;DAY(Variables!$A$2)</f>
        <v>7-10</v>
      </c>
      <c r="C206" s="147"/>
      <c r="D206" s="165"/>
      <c r="E206" s="30"/>
      <c r="F206" s="21" t="e">
        <f>VLOOKUP(B206,'Trips&amp;Operators'!$C$2:$E$10000,3,FALSE)</f>
        <v>#N/A</v>
      </c>
      <c r="G206" s="21" t="e">
        <f>VLOOKUP(B206,'Trips&amp;Operators'!$C$1:$F$10000,4,FALSE)</f>
        <v>#N/A</v>
      </c>
      <c r="H206" s="29" t="e">
        <f>VLOOKUP(B206,'Trips&amp;Operators'!$C$1:$H$10000,5,FALSE)</f>
        <v>#N/A</v>
      </c>
      <c r="I206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227-10%22)),sort:!(Time.ISO8601,asc))</v>
      </c>
      <c r="J206" s="30" t="e">
        <f>VLOOKUP(B206,'Train Runs'!$A$13:$A$99944,1,FALSE)</f>
        <v>#N/A</v>
      </c>
    </row>
    <row r="207" spans="1:10" x14ac:dyDescent="0.25">
      <c r="A207" s="185">
        <f t="shared" si="6"/>
        <v>8</v>
      </c>
      <c r="B207" s="43" t="str">
        <f>A207&amp;"-"&amp;IF(DAY(Variables!$A$2)&lt;10,0,"")&amp;DAY(Variables!$A$2)</f>
        <v>8-10</v>
      </c>
      <c r="C207" s="147"/>
      <c r="D207" s="165"/>
      <c r="E207" s="30"/>
      <c r="F207" s="21" t="e">
        <f>VLOOKUP(B207,'Trips&amp;Operators'!$C$2:$E$10000,3,FALSE)</f>
        <v>#N/A</v>
      </c>
      <c r="G207" s="21" t="e">
        <f>VLOOKUP(B207,'Trips&amp;Operators'!$C$1:$F$10000,4,FALSE)</f>
        <v>#N/A</v>
      </c>
      <c r="H207" s="29" t="e">
        <f>VLOOKUP(B207,'Trips&amp;Operators'!$C$1:$H$10000,5,FALSE)</f>
        <v>#N/A</v>
      </c>
      <c r="I207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228-10%22)),sort:!(Time.ISO8601,asc))</v>
      </c>
      <c r="J207" s="30" t="e">
        <f>VLOOKUP(B207,'Train Runs'!$A$13:$A$99944,1,FALSE)</f>
        <v>#N/A</v>
      </c>
    </row>
    <row r="208" spans="1:10" x14ac:dyDescent="0.25">
      <c r="A208" s="185">
        <f t="shared" si="6"/>
        <v>9</v>
      </c>
      <c r="B208" s="43" t="str">
        <f>A208&amp;"-"&amp;IF(DAY(Variables!$A$2)&lt;10,0,"")&amp;DAY(Variables!$A$2)</f>
        <v>9-10</v>
      </c>
      <c r="C208" s="147"/>
      <c r="D208" s="165"/>
      <c r="E208" s="30"/>
      <c r="F208" s="21" t="e">
        <f>VLOOKUP(B208,'Trips&amp;Operators'!$C$2:$E$10000,3,FALSE)</f>
        <v>#N/A</v>
      </c>
      <c r="G208" s="21" t="e">
        <f>VLOOKUP(B208,'Trips&amp;Operators'!$C$1:$F$10000,4,FALSE)</f>
        <v>#N/A</v>
      </c>
      <c r="H208" s="29" t="e">
        <f>VLOOKUP(B208,'Trips&amp;Operators'!$C$1:$H$10000,5,FALSE)</f>
        <v>#N/A</v>
      </c>
      <c r="I208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229-10%22)),sort:!(Time.ISO8601,asc))</v>
      </c>
      <c r="J208" s="30" t="e">
        <f>VLOOKUP(B208,'Train Runs'!$A$13:$A$99944,1,FALSE)</f>
        <v>#N/A</v>
      </c>
    </row>
    <row r="209" spans="1:10" x14ac:dyDescent="0.25">
      <c r="A209" s="185">
        <f t="shared" si="6"/>
        <v>10</v>
      </c>
      <c r="B209" s="43" t="str">
        <f>A209&amp;"-"&amp;IF(DAY(Variables!$A$2)&lt;10,0,"")&amp;DAY(Variables!$A$2)</f>
        <v>10-10</v>
      </c>
      <c r="C209" s="147"/>
      <c r="D209" s="165"/>
      <c r="E209" s="30"/>
      <c r="F209" s="21" t="e">
        <f>VLOOKUP(B209,'Trips&amp;Operators'!$C$2:$E$10000,3,FALSE)</f>
        <v>#N/A</v>
      </c>
      <c r="G209" s="21" t="e">
        <f>VLOOKUP(B209,'Trips&amp;Operators'!$C$1:$F$10000,4,FALSE)</f>
        <v>#N/A</v>
      </c>
      <c r="H209" s="29" t="e">
        <f>VLOOKUP(B209,'Trips&amp;Operators'!$C$1:$H$10000,5,FALSE)</f>
        <v>#N/A</v>
      </c>
      <c r="I209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2210-10%22)),sort:!(Time.ISO8601,asc))</v>
      </c>
      <c r="J209" s="30" t="e">
        <f>VLOOKUP(B209,'Train Runs'!$A$13:$A$99944,1,FALSE)</f>
        <v>#N/A</v>
      </c>
    </row>
    <row r="210" spans="1:10" x14ac:dyDescent="0.25">
      <c r="A210" s="185"/>
      <c r="B210" s="43" t="str">
        <f>A210&amp;"-"&amp;IF(DAY(Variables!$A$2)&lt;10,0,"")&amp;DAY(Variables!$A$2)</f>
        <v>-10</v>
      </c>
      <c r="C210" s="147"/>
      <c r="D210" s="165"/>
      <c r="E210" s="30"/>
      <c r="F210" s="21" t="e">
        <f>VLOOKUP(B210,'Trips&amp;Operators'!$C$2:$E$10000,3,FALSE)</f>
        <v>#N/A</v>
      </c>
      <c r="G210" s="21" t="e">
        <f>VLOOKUP(B210,'Trips&amp;Operators'!$C$1:$F$10000,4,FALSE)</f>
        <v>#N/A</v>
      </c>
      <c r="H210" s="29" t="e">
        <f>VLOOKUP(B210,'Trips&amp;Operators'!$C$1:$H$10000,5,FALSE)</f>
        <v>#N/A</v>
      </c>
      <c r="I210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0" s="30" t="e">
        <f>VLOOKUP(B210,'Train Runs'!$A$13:$A$99944,1,FALSE)</f>
        <v>#N/A</v>
      </c>
    </row>
    <row r="211" spans="1:10" x14ac:dyDescent="0.25">
      <c r="A211" s="185">
        <f t="shared" si="6"/>
        <v>1</v>
      </c>
      <c r="B211" s="43" t="str">
        <f>A211&amp;"-"&amp;IF(DAY(Variables!$A$2)&lt;10,0,"")&amp;DAY(Variables!$A$2)</f>
        <v>1-10</v>
      </c>
      <c r="C211" s="147"/>
      <c r="D211" s="165"/>
      <c r="E211" s="30"/>
      <c r="F211" s="21" t="e">
        <f>VLOOKUP(B211,'Trips&amp;Operators'!$C$2:$E$10000,3,FALSE)</f>
        <v>#N/A</v>
      </c>
      <c r="G211" s="21" t="e">
        <f>VLOOKUP(B211,'Trips&amp;Operators'!$C$1:$F$10000,4,FALSE)</f>
        <v>#N/A</v>
      </c>
      <c r="H211" s="29" t="e">
        <f>VLOOKUP(B211,'Trips&amp;Operators'!$C$1:$H$10000,5,FALSE)</f>
        <v>#N/A</v>
      </c>
      <c r="I211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221-10%22)),sort:!(Time.ISO8601,asc))</v>
      </c>
      <c r="J211" s="30" t="e">
        <f>VLOOKUP(B211,'Train Runs'!$A$13:$A$99944,1,FALSE)</f>
        <v>#N/A</v>
      </c>
    </row>
    <row r="212" spans="1:10" x14ac:dyDescent="0.25">
      <c r="A212" s="185"/>
      <c r="B212" s="43" t="str">
        <f>A212&amp;"-"&amp;IF(DAY(Variables!$A$2)&lt;10,0,"")&amp;DAY(Variables!$A$2)</f>
        <v>-10</v>
      </c>
      <c r="C212" s="147"/>
      <c r="D212" s="165"/>
      <c r="E212" s="30"/>
      <c r="F212" s="21" t="e">
        <f>VLOOKUP(B212,'Trips&amp;Operators'!$C$2:$E$10000,3,FALSE)</f>
        <v>#N/A</v>
      </c>
      <c r="G212" s="21" t="e">
        <f>VLOOKUP(B212,'Trips&amp;Operators'!$C$1:$F$10000,4,FALSE)</f>
        <v>#N/A</v>
      </c>
      <c r="H212" s="29" t="e">
        <f>VLOOKUP(B212,'Trips&amp;Operators'!$C$1:$H$10000,5,FALSE)</f>
        <v>#N/A</v>
      </c>
      <c r="I212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2" s="30" t="e">
        <f>VLOOKUP(B212,'Train Runs'!$A$13:$A$99944,1,FALSE)</f>
        <v>#N/A</v>
      </c>
    </row>
    <row r="213" spans="1:10" x14ac:dyDescent="0.25">
      <c r="A213" s="185">
        <f t="shared" si="6"/>
        <v>1</v>
      </c>
      <c r="B213" s="43" t="str">
        <f>A213&amp;"-"&amp;IF(DAY(Variables!$A$2)&lt;10,0,"")&amp;DAY(Variables!$A$2)</f>
        <v>1-10</v>
      </c>
      <c r="C213" s="147"/>
      <c r="D213" s="165"/>
      <c r="E213" s="30"/>
      <c r="F213" s="21" t="e">
        <f>VLOOKUP(B213,'Trips&amp;Operators'!$C$2:$E$10000,3,FALSE)</f>
        <v>#N/A</v>
      </c>
      <c r="G213" s="21" t="e">
        <f>VLOOKUP(B213,'Trips&amp;Operators'!$C$1:$F$10000,4,FALSE)</f>
        <v>#N/A</v>
      </c>
      <c r="H213" s="29" t="e">
        <f>VLOOKUP(B213,'Trips&amp;Operators'!$C$1:$H$10000,5,FALSE)</f>
        <v>#N/A</v>
      </c>
      <c r="I213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221-10%22)),sort:!(Time.ISO8601,asc))</v>
      </c>
      <c r="J213" s="30" t="e">
        <f>VLOOKUP(B213,'Train Runs'!$A$13:$A$99944,1,FALSE)</f>
        <v>#N/A</v>
      </c>
    </row>
    <row r="214" spans="1:10" x14ac:dyDescent="0.25">
      <c r="A214" s="185"/>
      <c r="B214" s="43" t="str">
        <f>A214&amp;"-"&amp;IF(DAY(Variables!$A$2)&lt;10,0,"")&amp;DAY(Variables!$A$2)</f>
        <v>-10</v>
      </c>
      <c r="C214" s="147"/>
      <c r="D214" s="165"/>
      <c r="E214" s="30"/>
      <c r="F214" s="21" t="e">
        <f>VLOOKUP(B214,'Trips&amp;Operators'!$C$2:$E$10000,3,FALSE)</f>
        <v>#N/A</v>
      </c>
      <c r="G214" s="21" t="e">
        <f>VLOOKUP(B214,'Trips&amp;Operators'!$C$1:$F$10000,4,FALSE)</f>
        <v>#N/A</v>
      </c>
      <c r="H214" s="29" t="e">
        <f>VLOOKUP(B214,'Trips&amp;Operators'!$C$1:$H$10000,5,FALSE)</f>
        <v>#N/A</v>
      </c>
      <c r="I214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4" s="30" t="e">
        <f>VLOOKUP(B214,'Train Runs'!$A$13:$A$99944,1,FALSE)</f>
        <v>#N/A</v>
      </c>
    </row>
    <row r="215" spans="1:10" x14ac:dyDescent="0.25">
      <c r="A215" s="185"/>
      <c r="B215" s="43" t="str">
        <f>A215&amp;"-"&amp;IF(DAY(Variables!$A$2)&lt;10,0,"")&amp;DAY(Variables!$A$2)</f>
        <v>-10</v>
      </c>
      <c r="C215" s="147"/>
      <c r="D215" s="165"/>
      <c r="E215" s="30"/>
      <c r="F215" s="21" t="e">
        <f>VLOOKUP(B215,'Trips&amp;Operators'!$C$2:$E$10000,3,FALSE)</f>
        <v>#N/A</v>
      </c>
      <c r="G215" s="21" t="e">
        <f>VLOOKUP(B215,'Trips&amp;Operators'!$C$1:$F$10000,4,FALSE)</f>
        <v>#N/A</v>
      </c>
      <c r="H215" s="29" t="e">
        <f>VLOOKUP(B215,'Trips&amp;Operators'!$C$1:$H$10000,5,FALSE)</f>
        <v>#N/A</v>
      </c>
      <c r="I215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5" s="30" t="e">
        <f>VLOOKUP(B215,'Train Runs'!$A$13:$A$99944,1,FALSE)</f>
        <v>#N/A</v>
      </c>
    </row>
    <row r="216" spans="1:10" x14ac:dyDescent="0.25">
      <c r="A216" s="185"/>
      <c r="B216" s="43" t="str">
        <f>A216&amp;"-"&amp;IF(DAY(Variables!$A$2)&lt;10,0,"")&amp;DAY(Variables!$A$2)</f>
        <v>-10</v>
      </c>
      <c r="C216" s="147"/>
      <c r="D216" s="165"/>
      <c r="E216" s="30"/>
      <c r="F216" s="21" t="e">
        <f>VLOOKUP(B216,'Trips&amp;Operators'!$C$2:$E$10000,3,FALSE)</f>
        <v>#N/A</v>
      </c>
      <c r="G216" s="21" t="e">
        <f>VLOOKUP(B216,'Trips&amp;Operators'!$C$1:$F$10000,4,FALSE)</f>
        <v>#N/A</v>
      </c>
      <c r="H216" s="29" t="e">
        <f>VLOOKUP(B216,'Trips&amp;Operators'!$C$1:$H$10000,5,FALSE)</f>
        <v>#N/A</v>
      </c>
      <c r="I216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6" s="30" t="e">
        <f>VLOOKUP(B216,'Train Runs'!$A$13:$A$99944,1,FALSE)</f>
        <v>#N/A</v>
      </c>
    </row>
    <row r="217" spans="1:10" x14ac:dyDescent="0.25">
      <c r="A217" s="185"/>
      <c r="B217" s="43" t="str">
        <f>A217&amp;"-"&amp;IF(DAY(Variables!$A$2)&lt;10,0,"")&amp;DAY(Variables!$A$2)</f>
        <v>-10</v>
      </c>
      <c r="C217" s="147"/>
      <c r="D217" s="165"/>
      <c r="E217" s="30"/>
      <c r="F217" s="21" t="e">
        <f>VLOOKUP(B217,'Trips&amp;Operators'!$C$2:$E$10000,3,FALSE)</f>
        <v>#N/A</v>
      </c>
      <c r="G217" s="21" t="e">
        <f>VLOOKUP(B217,'Trips&amp;Operators'!$C$1:$F$10000,4,FALSE)</f>
        <v>#N/A</v>
      </c>
      <c r="H217" s="29" t="e">
        <f>VLOOKUP(B217,'Trips&amp;Operators'!$C$1:$H$10000,5,FALSE)</f>
        <v>#N/A</v>
      </c>
      <c r="I217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7" s="30" t="e">
        <f>VLOOKUP(B217,'Train Runs'!$A$13:$A$99944,1,FALSE)</f>
        <v>#N/A</v>
      </c>
    </row>
    <row r="218" spans="1:10" x14ac:dyDescent="0.25">
      <c r="A218" s="185"/>
      <c r="B218" s="43" t="str">
        <f>A218&amp;"-"&amp;IF(DAY(Variables!$A$2)&lt;10,0,"")&amp;DAY(Variables!$A$2)</f>
        <v>-10</v>
      </c>
      <c r="C218" s="147"/>
      <c r="D218" s="165"/>
      <c r="E218" s="30"/>
      <c r="F218" s="21" t="e">
        <f>VLOOKUP(B218,'Trips&amp;Operators'!$C$2:$E$10000,3,FALSE)</f>
        <v>#N/A</v>
      </c>
      <c r="G218" s="21" t="e">
        <f>VLOOKUP(B218,'Trips&amp;Operators'!$C$1:$F$10000,4,FALSE)</f>
        <v>#N/A</v>
      </c>
      <c r="H218" s="29" t="e">
        <f>VLOOKUP(B218,'Trips&amp;Operators'!$C$1:$H$10000,5,FALSE)</f>
        <v>#N/A</v>
      </c>
      <c r="I218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8" s="30" t="e">
        <f>VLOOKUP(B218,'Train Runs'!$A$13:$A$99944,1,FALSE)</f>
        <v>#N/A</v>
      </c>
    </row>
    <row r="219" spans="1:10" x14ac:dyDescent="0.25">
      <c r="A219" s="185"/>
      <c r="B219" s="43" t="str">
        <f>A219&amp;"-"&amp;IF(DAY(Variables!$A$2)&lt;10,0,"")&amp;DAY(Variables!$A$2)</f>
        <v>-10</v>
      </c>
      <c r="C219" s="147"/>
      <c r="D219" s="165"/>
      <c r="E219" s="30"/>
      <c r="F219" s="21" t="e">
        <f>VLOOKUP(B219,'Trips&amp;Operators'!$C$2:$E$10000,3,FALSE)</f>
        <v>#N/A</v>
      </c>
      <c r="G219" s="21" t="e">
        <f>VLOOKUP(B219,'Trips&amp;Operators'!$C$1:$F$10000,4,FALSE)</f>
        <v>#N/A</v>
      </c>
      <c r="H219" s="29" t="e">
        <f>VLOOKUP(B219,'Trips&amp;Operators'!$C$1:$H$10000,5,FALSE)</f>
        <v>#N/A</v>
      </c>
      <c r="I219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9" s="30" t="e">
        <f>VLOOKUP(B219,'Train Runs'!$A$13:$A$99944,1,FALSE)</f>
        <v>#N/A</v>
      </c>
    </row>
    <row r="220" spans="1:10" x14ac:dyDescent="0.25">
      <c r="A220" s="185"/>
      <c r="B220" s="43" t="str">
        <f>A220&amp;"-"&amp;IF(DAY(Variables!$A$2)&lt;10,0,"")&amp;DAY(Variables!$A$2)</f>
        <v>-10</v>
      </c>
      <c r="C220" s="147"/>
      <c r="D220" s="165"/>
      <c r="E220" s="30"/>
      <c r="F220" s="21" t="e">
        <f>VLOOKUP(B220,'Trips&amp;Operators'!$C$2:$E$10000,3,FALSE)</f>
        <v>#N/A</v>
      </c>
      <c r="G220" s="21" t="e">
        <f>VLOOKUP(B220,'Trips&amp;Operators'!$C$1:$F$10000,4,FALSE)</f>
        <v>#N/A</v>
      </c>
      <c r="H220" s="29" t="e">
        <f>VLOOKUP(B220,'Trips&amp;Operators'!$C$1:$H$10000,5,FALSE)</f>
        <v>#N/A</v>
      </c>
      <c r="I220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0" s="30" t="e">
        <f>VLOOKUP(B220,'Train Runs'!$A$13:$A$99944,1,FALSE)</f>
        <v>#N/A</v>
      </c>
    </row>
    <row r="221" spans="1:10" x14ac:dyDescent="0.25">
      <c r="A221" s="185"/>
      <c r="B221" s="43" t="str">
        <f>A221&amp;"-"&amp;IF(DAY(Variables!$A$2)&lt;10,0,"")&amp;DAY(Variables!$A$2)</f>
        <v>-10</v>
      </c>
      <c r="C221" s="147"/>
      <c r="D221" s="165"/>
      <c r="E221" s="30"/>
      <c r="F221" s="21" t="e">
        <f>VLOOKUP(B221,'Trips&amp;Operators'!$C$2:$E$10000,3,FALSE)</f>
        <v>#N/A</v>
      </c>
      <c r="G221" s="21" t="e">
        <f>VLOOKUP(B221,'Trips&amp;Operators'!$C$1:$F$10000,4,FALSE)</f>
        <v>#N/A</v>
      </c>
      <c r="H221" s="29" t="e">
        <f>VLOOKUP(B221,'Trips&amp;Operators'!$C$1:$H$10000,5,FALSE)</f>
        <v>#N/A</v>
      </c>
      <c r="I221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1" s="30" t="e">
        <f>VLOOKUP(B221,'Train Runs'!$A$13:$A$99944,1,FALSE)</f>
        <v>#N/A</v>
      </c>
    </row>
    <row r="222" spans="1:10" x14ac:dyDescent="0.25">
      <c r="A222" s="185"/>
      <c r="B222" s="43" t="str">
        <f>A222&amp;"-"&amp;IF(DAY(Variables!$A$2)&lt;10,0,"")&amp;DAY(Variables!$A$2)</f>
        <v>-10</v>
      </c>
      <c r="C222" s="147"/>
      <c r="D222" s="165"/>
      <c r="E222" s="30"/>
      <c r="F222" s="21" t="e">
        <f>VLOOKUP(B222,'Trips&amp;Operators'!$C$2:$E$10000,3,FALSE)</f>
        <v>#N/A</v>
      </c>
      <c r="G222" s="21" t="e">
        <f>VLOOKUP(B222,'Trips&amp;Operators'!$C$1:$F$10000,4,FALSE)</f>
        <v>#N/A</v>
      </c>
      <c r="H222" s="29" t="e">
        <f>VLOOKUP(B222,'Trips&amp;Operators'!$C$1:$H$10000,5,FALSE)</f>
        <v>#N/A</v>
      </c>
      <c r="I222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2" s="30" t="e">
        <f>VLOOKUP(B222,'Train Runs'!$A$13:$A$99944,1,FALSE)</f>
        <v>#N/A</v>
      </c>
    </row>
    <row r="223" spans="1:10" x14ac:dyDescent="0.25">
      <c r="A223" s="185"/>
      <c r="B223" s="43" t="str">
        <f>A223&amp;"-"&amp;IF(DAY(Variables!$A$2)&lt;10,0,"")&amp;DAY(Variables!$A$2)</f>
        <v>-10</v>
      </c>
      <c r="C223" s="147"/>
      <c r="D223" s="165"/>
      <c r="E223" s="30"/>
      <c r="F223" s="21" t="e">
        <f>VLOOKUP(B223,'Trips&amp;Operators'!$C$2:$E$10000,3,FALSE)</f>
        <v>#N/A</v>
      </c>
      <c r="G223" s="21" t="e">
        <f>VLOOKUP(B223,'Trips&amp;Operators'!$C$1:$F$10000,4,FALSE)</f>
        <v>#N/A</v>
      </c>
      <c r="H223" s="29" t="e">
        <f>VLOOKUP(B223,'Trips&amp;Operators'!$C$1:$H$10000,5,FALSE)</f>
        <v>#N/A</v>
      </c>
      <c r="I223" s="46" t="str">
        <f t="shared" si="5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3" s="30" t="e">
        <f>VLOOKUP(B223,'Train Runs'!$A$13:$A$99944,1,FALSE)</f>
        <v>#N/A</v>
      </c>
    </row>
    <row r="224" spans="1:10" x14ac:dyDescent="0.25">
      <c r="A224" s="185"/>
      <c r="B224" s="43" t="str">
        <f>A224&amp;"-"&amp;IF(DAY(Variables!$A$2)&lt;10,0,"")&amp;DAY(Variables!$A$2)</f>
        <v>-10</v>
      </c>
      <c r="C224" s="147"/>
      <c r="D224" s="165"/>
      <c r="E224" s="30"/>
      <c r="F224" s="21" t="e">
        <f>VLOOKUP(B224,'Trips&amp;Operators'!$C$2:$E$10000,3,FALSE)</f>
        <v>#N/A</v>
      </c>
      <c r="G224" s="21" t="e">
        <f>VLOOKUP(B224,'Trips&amp;Operators'!$C$1:$F$10000,4,FALSE)</f>
        <v>#N/A</v>
      </c>
      <c r="H224" s="29" t="e">
        <f>VLOOKUP(B224,'Trips&amp;Operators'!$C$1:$H$10000,5,FALSE)</f>
        <v>#N/A</v>
      </c>
      <c r="I224" s="46" t="str">
        <f t="shared" ref="I224:I226" si="7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4" s="30" t="e">
        <f>VLOOKUP(B224,'Train Runs'!$A$13:$A$99944,1,FALSE)</f>
        <v>#N/A</v>
      </c>
    </row>
    <row r="225" spans="1:10" x14ac:dyDescent="0.25">
      <c r="A225" s="185"/>
      <c r="B225" s="43" t="str">
        <f>A225&amp;"-"&amp;IF(DAY(Variables!$A$2)&lt;10,0,"")&amp;DAY(Variables!$A$2)</f>
        <v>-10</v>
      </c>
      <c r="C225" s="147"/>
      <c r="D225" s="165"/>
      <c r="E225" s="30"/>
      <c r="F225" s="21" t="e">
        <f>VLOOKUP(B225,'Trips&amp;Operators'!$C$2:$E$10000,3,FALSE)</f>
        <v>#N/A</v>
      </c>
      <c r="G225" s="21" t="e">
        <f>VLOOKUP(B225,'Trips&amp;Operators'!$C$1:$F$10000,4,FALSE)</f>
        <v>#N/A</v>
      </c>
      <c r="H225" s="29" t="e">
        <f>VLOOKUP(B225,'Trips&amp;Operators'!$C$1:$H$10000,5,FALSE)</f>
        <v>#N/A</v>
      </c>
      <c r="I225" s="46" t="str">
        <f t="shared" si="7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5" s="30" t="e">
        <f>VLOOKUP(B225,'Train Runs'!$A$13:$A$99944,1,FALSE)</f>
        <v>#N/A</v>
      </c>
    </row>
    <row r="226" spans="1:10" x14ac:dyDescent="0.25">
      <c r="A226" s="185"/>
      <c r="B226" s="43" t="str">
        <f>A226&amp;"-"&amp;IF(DAY(Variables!$A$2)&lt;10,0,"")&amp;DAY(Variables!$A$2)</f>
        <v>-10</v>
      </c>
      <c r="C226" s="147"/>
      <c r="D226" s="165"/>
      <c r="E226" s="30"/>
      <c r="F226" s="21" t="e">
        <f>VLOOKUP(B226,'Trips&amp;Operators'!$C$2:$E$10000,3,FALSE)</f>
        <v>#N/A</v>
      </c>
      <c r="G226" s="21" t="e">
        <f>VLOOKUP(B226,'Trips&amp;Operators'!$C$1:$F$10000,4,FALSE)</f>
        <v>#N/A</v>
      </c>
      <c r="H226" s="29" t="e">
        <f>VLOOKUP(B226,'Trips&amp;Operators'!$C$1:$H$10000,5,FALSE)</f>
        <v>#N/A</v>
      </c>
      <c r="I226" s="46" t="str">
        <f t="shared" si="7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6" s="30" t="e">
        <f>VLOOKUP(B226,'Train Runs'!$A$13:$A$99944,1,FALSE)</f>
        <v>#N/A</v>
      </c>
    </row>
  </sheetData>
  <autoFilter ref="A2:J22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439</v>
      </c>
      <c r="B1" s="207" t="s">
        <v>440</v>
      </c>
      <c r="C1" s="199" t="s">
        <v>448</v>
      </c>
      <c r="D1" s="211" t="s">
        <v>58</v>
      </c>
      <c r="E1" s="196" t="s">
        <v>24</v>
      </c>
      <c r="F1" s="211" t="s">
        <v>454</v>
      </c>
      <c r="G1" s="215" t="s">
        <v>94</v>
      </c>
      <c r="H1" s="217" t="s">
        <v>458</v>
      </c>
      <c r="I1" s="213" t="s">
        <v>457</v>
      </c>
      <c r="J1" s="209" t="s">
        <v>84</v>
      </c>
      <c r="K1" s="209" t="s">
        <v>453</v>
      </c>
      <c r="L1" s="204" t="s">
        <v>450</v>
      </c>
      <c r="M1" s="204" t="s">
        <v>441</v>
      </c>
      <c r="N1" s="204" t="s">
        <v>443</v>
      </c>
      <c r="O1" s="204" t="s">
        <v>444</v>
      </c>
      <c r="P1" s="204" t="s">
        <v>445</v>
      </c>
      <c r="Q1" s="203" t="s">
        <v>442</v>
      </c>
    </row>
    <row r="2" spans="1:17" x14ac:dyDescent="0.25">
      <c r="A2" s="201">
        <v>42800.21875</v>
      </c>
      <c r="B2" s="208" t="s">
        <v>447</v>
      </c>
      <c r="C2" s="198" t="s">
        <v>449</v>
      </c>
      <c r="D2" s="212">
        <v>104</v>
      </c>
      <c r="E2" s="30" t="s">
        <v>452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/stypes="*4032*201703061*" /stext=" 12:.+((SYSTEM_STATE.+slice.+state.+changed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12:.+((\|PRM\|1\|D)|(crossing.((167)|(168)|(199)|(200))))" "%USERPROFILE%\AppData\Local\Temp\OnboardLogs"\RTDC4032\*4032*201703061*</v>
      </c>
      <c r="I2" s="214" t="str">
        <f>IF(VLOOKUP(K2,'Train Runs'!$A$13:$V$1000,1,TRUE)=K2,VLOOKUP(K2,'Train Runs'!$A$13:$V$1000,22,TRUE),NA())</f>
        <v>https://d0f6bd738d7f1b3e5a7ca70fe4ff75f0.us-east-1.aws.found.io/app/kibana#/discover/Steve-Slow-Train-Analysis-(2080s-and-2083s)?_g=(refreshInterval:(display:Off,pause:!f,section:0,value:0),time:(from:'2017-03-10T03:36:38-0700',mode:absolute,to:'2017-03-10T06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" s="210">
        <f t="shared" ref="J2:J35" si="2">A2-utc_offset/24</f>
        <v>42800.510416666664</v>
      </c>
      <c r="K2" s="210" t="str">
        <f>D2&amp;"-"&amp;IF(DAY(Variables!$A$2)&lt;10,0,"")&amp;DAY(Variables!$A$2)</f>
        <v>104-10</v>
      </c>
      <c r="L2" s="206">
        <f>IF(VLOOKUP(K2,'Train Runs'!$A$12:$B$1000,1,TRUE)=K2,VLOOKUP(K2,'Train Runs'!$A$12:$B$1000,2,TRUE),NA())</f>
        <v>4032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447</v>
      </c>
      <c r="C3" s="198" t="s">
        <v>449</v>
      </c>
      <c r="D3" s="212">
        <v>126</v>
      </c>
      <c r="E3" s="30" t="s">
        <v>451</v>
      </c>
      <c r="F3" s="212" t="b">
        <v>1</v>
      </c>
      <c r="G3" s="216" t="str">
        <f t="shared" si="0"/>
        <v>"C:\Program Files (x86)\AstroGrep\AstroGrep.exe" /e /r /s /spath="%USERPROFILE%\AppData\Local\Temp\OnboardLogs" /stypes="*4010*201703061*" /stext=" 15:.+((SYSTEM_STATE.+slice.+state.+changed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15:.+((\|PRM\|1\|D)|(crossing.((167)|(168)|(199)|(200))))" "%USERPROFILE%\AppData\Local\Temp\OnboardLogs"\RTDC4010\*4010*201703061*</v>
      </c>
      <c r="I3" s="214" t="str">
        <f>IF(VLOOKUP(K3,'Train Runs'!$A$13:$V$1000,1,TRUE)=K3,VLOOKUP(K3,'Train Runs'!$A$13:$V$1000,22,TRUE),NA())</f>
        <v>https://d0f6bd738d7f1b3e5a7ca70fe4ff75f0.us-east-1.aws.found.io/app/kibana#/discover/Steve-Slow-Train-Analysis-(2080s-and-2083s)?_g=(refreshInterval:(display:Off,pause:!f,section:0,value:0),time:(from:'2017-03-10T06:36:59-0700',mode:absolute,to:'2017-03-10T09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3" s="210">
        <f t="shared" si="2"/>
        <v>42800.634722222218</v>
      </c>
      <c r="K3" s="210" t="str">
        <f>D3&amp;"-"&amp;IF(DAY(Variables!$A$2)&lt;10,0,"")&amp;DAY(Variables!$A$2)</f>
        <v>126-10</v>
      </c>
      <c r="L3" s="206">
        <f>IF(VLOOKUP(K3,'Train Runs'!$A$12:$B$1000,1,TRUE)=K3,VLOOKUP(K3,'Train Runs'!$A$12:$B$1000,2,TRUE),NA())</f>
        <v>4010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447</v>
      </c>
      <c r="C4" s="198" t="s">
        <v>449</v>
      </c>
      <c r="D4" s="212">
        <v>128</v>
      </c>
      <c r="E4" s="30" t="s">
        <v>451</v>
      </c>
      <c r="F4" s="212" t="b">
        <v>1</v>
      </c>
      <c r="G4" s="216" t="str">
        <f t="shared" si="0"/>
        <v>"C:\Program Files (x86)\AstroGrep\AstroGrep.exe" /e /r /s /spath="%USERPROFILE%\AppData\Local\Temp\OnboardLogs" /stypes="*4008*201703061*" /stext=" 15:.+((SYSTEM_STATE.+slice.+state.+changed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15:.+((\|PRM\|1\|D)|(crossing.((167)|(168)|(199)|(200))))" "%USERPROFILE%\AppData\Local\Temp\OnboardLogs"\RTDC4008\*4008*201703061*</v>
      </c>
      <c r="I4" s="214" t="str">
        <f>IF(VLOOKUP(K4,'Train Runs'!$A$13:$V$1000,1,TRUE)=K4,VLOOKUP(K4,'Train Runs'!$A$13:$V$1000,22,TRUE),NA())</f>
        <v>https://d0f6bd738d7f1b3e5a7ca70fe4ff75f0.us-east-1.aws.found.io/app/kibana#/discover/Steve-Slow-Train-Analysis-(2080s-and-2083s)?_g=(refreshInterval:(display:Off,pause:!f,section:0,value:0),time:(from:'2017-03-10T06:41:45-0700',mode:absolute,to:'2017-03-10T09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J4" s="210">
        <f t="shared" si="2"/>
        <v>42800.646527777775</v>
      </c>
      <c r="K4" s="210" t="str">
        <f>D4&amp;"-"&amp;IF(DAY(Variables!$A$2)&lt;10,0,"")&amp;DAY(Variables!$A$2)</f>
        <v>128-10</v>
      </c>
      <c r="L4" s="206">
        <f>IF(VLOOKUP(K4,'Train Runs'!$A$12:$B$1000,1,TRUE)=K4,VLOOKUP(K4,'Train Runs'!$A$12:$B$1000,2,TRUE),NA())</f>
        <v>4008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447</v>
      </c>
      <c r="C5" s="198" t="s">
        <v>449</v>
      </c>
      <c r="D5" s="212">
        <f>D4+2</f>
        <v>130</v>
      </c>
      <c r="E5" s="30" t="s">
        <v>451</v>
      </c>
      <c r="F5" s="212" t="b">
        <v>1</v>
      </c>
      <c r="G5" s="216" t="str">
        <f t="shared" si="0"/>
        <v>"C:\Program Files (x86)\AstroGrep\AstroGrep.exe" /e /r /s /spath="%USERPROFILE%\AppData\Local\Temp\OnboardLogs" /stypes="*4054*201703061*" /stext=" 15:.+((SYSTEM_STATE.+slice.+state.+changed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15:.+((\|PRM\|1\|D)|(crossing.((167)|(168)|(199)|(200))))" "%USERPROFILE%\AppData\Local\Temp\OnboardLogs"\RTDC4054\*4054*201703061*</v>
      </c>
      <c r="I5" s="214" t="str">
        <f>IF(VLOOKUP(K5,'Train Runs'!$A$13:$V$1000,1,TRUE)=K5,VLOOKUP(K5,'Train Runs'!$A$13:$V$1000,22,TRUE),NA())</f>
        <v>https://d0f6bd738d7f1b3e5a7ca70fe4ff75f0.us-east-1.aws.found.io/app/kibana#/discover/Steve-Slow-Train-Analysis-(2080s-and-2083s)?_g=(refreshInterval:(display:Off,pause:!f,section:0,value:0),time:(from:'2017-03-10T07:06:29-0700',mode:absolute,to:'2017-03-10T09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5" s="210">
        <f t="shared" si="2"/>
        <v>42800.65625</v>
      </c>
      <c r="K5" s="210" t="str">
        <f>D5&amp;"-"&amp;IF(DAY(Variables!$A$2)&lt;10,0,"")&amp;DAY(Variables!$A$2)</f>
        <v>130-10</v>
      </c>
      <c r="L5" s="206">
        <f>IF(VLOOKUP(K5,'Train Runs'!$A$12:$B$1000,1,TRUE)=K5,VLOOKUP(K5,'Train Runs'!$A$12:$B$1000,2,TRUE),NA())</f>
        <v>4054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447</v>
      </c>
      <c r="C6" s="198" t="s">
        <v>449</v>
      </c>
      <c r="D6" s="212">
        <f>D5+2</f>
        <v>132</v>
      </c>
      <c r="E6" s="30" t="s">
        <v>451</v>
      </c>
      <c r="F6" s="212" t="b">
        <v>1</v>
      </c>
      <c r="G6" s="216" t="str">
        <f t="shared" si="0"/>
        <v>"C:\Program Files (x86)\AstroGrep\AstroGrep.exe" /e /r /s /spath="%USERPROFILE%\AppData\Local\Temp\OnboardLogs" /stypes="*4045*201703061*" /stext=" 16:.+((SYSTEM_STATE.+slice.+state.+changed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16:.+((\|PRM\|1\|D)|(crossing.((167)|(168)|(199)|(200))))" "%USERPROFILE%\AppData\Local\Temp\OnboardLogs"\RTDC4045\*4045*201703061*</v>
      </c>
      <c r="I6" s="214" t="str">
        <f>IF(VLOOKUP(K6,'Train Runs'!$A$13:$V$1000,1,TRUE)=K6,VLOOKUP(K6,'Train Runs'!$A$13:$V$1000,22,TRUE),NA())</f>
        <v>https://d0f6bd738d7f1b3e5a7ca70fe4ff75f0.us-east-1.aws.found.io/app/kibana#/discover/Steve-Slow-Train-Analysis-(2080s-and-2083s)?_g=(refreshInterval:(display:Off,pause:!f,section:0,value:0),time:(from:'2017-03-10T07:23:51-0700',mode:absolute,to:'2017-03-10T10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6" s="210">
        <f t="shared" si="2"/>
        <v>42800.666666666664</v>
      </c>
      <c r="K6" s="210" t="str">
        <f>D6&amp;"-"&amp;IF(DAY(Variables!$A$2)&lt;10,0,"")&amp;DAY(Variables!$A$2)</f>
        <v>132-10</v>
      </c>
      <c r="L6" s="206">
        <f>IF(VLOOKUP(K6,'Train Runs'!$A$12:$B$1000,1,TRUE)=K6,VLOOKUP(K6,'Train Runs'!$A$12:$B$1000,2,TRUE),NA())</f>
        <v>4045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447</v>
      </c>
      <c r="C7" s="198" t="s">
        <v>449</v>
      </c>
      <c r="D7" s="212">
        <f t="shared" ref="D7:D11" si="4">D6+2</f>
        <v>134</v>
      </c>
      <c r="E7" s="30" t="s">
        <v>451</v>
      </c>
      <c r="F7" s="212" t="b">
        <v>1</v>
      </c>
      <c r="G7" s="216" t="str">
        <f t="shared" si="0"/>
        <v>"C:\Program Files (x86)\AstroGrep\AstroGrep.exe" /e /r /s /spath="%USERPROFILE%\AppData\Local\Temp\OnboardLogs" /stypes="*4032*201703061*" /stext=" 16:.+((SYSTEM_STATE.+slice.+state.+changed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16:.+((\|PRM\|1\|D)|(crossing.((167)|(168)|(199)|(200))))" "%USERPROFILE%\AppData\Local\Temp\OnboardLogs"\RTDC4032\*4032*201703061*</v>
      </c>
      <c r="I7" s="214" t="str">
        <f>IF(VLOOKUP(K7,'Train Runs'!$A$13:$V$1000,1,TRUE)=K7,VLOOKUP(K7,'Train Runs'!$A$13:$V$1000,22,TRUE),NA())</f>
        <v>https://d0f6bd738d7f1b3e5a7ca70fe4ff75f0.us-east-1.aws.found.io/app/kibana#/discover/Steve-Slow-Train-Analysis-(2080s-and-2083s)?_g=(refreshInterval:(display:Off,pause:!f,section:0,value:0),time:(from:'2017-03-10T07:36:38-0700',mode:absolute,to:'2017-03-10T10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7" s="210">
        <f t="shared" si="2"/>
        <v>42800.674999999996</v>
      </c>
      <c r="K7" s="210" t="str">
        <f>D7&amp;"-"&amp;IF(DAY(Variables!$A$2)&lt;10,0,"")&amp;DAY(Variables!$A$2)</f>
        <v>134-10</v>
      </c>
      <c r="L7" s="206">
        <f>IF(VLOOKUP(K7,'Train Runs'!$A$12:$B$1000,1,TRUE)=K7,VLOOKUP(K7,'Train Runs'!$A$12:$B$1000,2,TRUE),NA())</f>
        <v>4032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447</v>
      </c>
      <c r="C8" s="198" t="s">
        <v>449</v>
      </c>
      <c r="D8" s="212">
        <f t="shared" si="4"/>
        <v>136</v>
      </c>
      <c r="E8" s="30" t="s">
        <v>451</v>
      </c>
      <c r="F8" s="212" t="b">
        <v>1</v>
      </c>
      <c r="G8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16:.+((\|PRM\|1\|D)|(crossing.((167)|(168)|(199)|(200))))" "%USERPROFILE%\AppData\Local\Temp\OnboardLogs"\RTDC4039\*4039*201703061*</v>
      </c>
      <c r="I8" s="214" t="str">
        <f>IF(VLOOKUP(K8,'Train Runs'!$A$13:$V$1000,1,TRUE)=K8,VLOOKUP(K8,'Train Runs'!$A$13:$V$1000,22,TRUE),NA())</f>
        <v>https://d0f6bd738d7f1b3e5a7ca70fe4ff75f0.us-east-1.aws.found.io/app/kibana#/discover/Steve-Slow-Train-Analysis-(2080s-and-2083s)?_g=(refreshInterval:(display:Off,pause:!f,section:0,value:0),time:(from:'2017-03-10T07:57:43-0700',mode:absolute,to:'2017-03-10T10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8" s="210">
        <f t="shared" si="2"/>
        <v>42800.685416666667</v>
      </c>
      <c r="K8" s="210" t="str">
        <f>D8&amp;"-"&amp;IF(DAY(Variables!$A$2)&lt;10,0,"")&amp;DAY(Variables!$A$2)</f>
        <v>136-10</v>
      </c>
      <c r="L8" s="206">
        <f>IF(VLOOKUP(K8,'Train Runs'!$A$12:$B$1000,1,TRUE)=K8,VLOOKUP(K8,'Train Runs'!$A$12:$B$1000,2,TRUE),NA())</f>
        <v>4039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447</v>
      </c>
      <c r="C9" s="198" t="s">
        <v>449</v>
      </c>
      <c r="D9" s="212">
        <f t="shared" si="4"/>
        <v>138</v>
      </c>
      <c r="E9" s="30" t="s">
        <v>451</v>
      </c>
      <c r="F9" s="212" t="b">
        <v>1</v>
      </c>
      <c r="G9" s="216" t="str">
        <f t="shared" si="0"/>
        <v>"C:\Program Files (x86)\AstroGrep\AstroGrep.exe" /e /r /s /spath="%USERPROFILE%\AppData\Local\Temp\OnboardLogs" /stypes="*4012*201703061*" /stext=" 16:.+((SYSTEM_STATE.+slice.+state.+changed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16:.+((\|PRM\|1\|D)|(crossing.((167)|(168)|(199)|(200))))" "%USERPROFILE%\AppData\Local\Temp\OnboardLogs"\RTDC4012\*4012*201703061*</v>
      </c>
      <c r="I9" s="214" t="str">
        <f>IF(VLOOKUP(K9,'Train Runs'!$A$13:$V$1000,1,TRUE)=K9,VLOOKUP(K9,'Train Runs'!$A$13:$V$1000,22,TRUE),NA())</f>
        <v>https://d0f6bd738d7f1b3e5a7ca70fe4ff75f0.us-east-1.aws.found.io/app/kibana#/discover/Steve-Slow-Train-Analysis-(2080s-and-2083s)?_g=(refreshInterval:(display:Off,pause:!f,section:0,value:0),time:(from:'2017-03-10T08:07:00-0700',mode:absolute,to:'2017-03-10T10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9" s="210">
        <f t="shared" si="2"/>
        <v>42800.696527777778</v>
      </c>
      <c r="K9" s="210" t="str">
        <f>D9&amp;"-"&amp;IF(DAY(Variables!$A$2)&lt;10,0,"")&amp;DAY(Variables!$A$2)</f>
        <v>138-10</v>
      </c>
      <c r="L9" s="206">
        <f>IF(VLOOKUP(K9,'Train Runs'!$A$12:$B$1000,1,TRUE)=K9,VLOOKUP(K9,'Train Runs'!$A$12:$B$1000,2,TRUE),NA())</f>
        <v>4012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447</v>
      </c>
      <c r="C10" s="198" t="s">
        <v>449</v>
      </c>
      <c r="D10" s="212">
        <f t="shared" si="4"/>
        <v>140</v>
      </c>
      <c r="E10" s="30" t="s">
        <v>451</v>
      </c>
      <c r="F10" s="212" t="b">
        <v>1</v>
      </c>
      <c r="G10" s="216" t="str">
        <f t="shared" si="0"/>
        <v>"C:\Program Files (x86)\AstroGrep\AstroGrep.exe" /e /r /s /spath="%USERPROFILE%\AppData\Local\Temp\OnboardLogs" /stypes="*4010*201703061*" /stext=" 16:.+((SYSTEM_STATE.+slice.+state.+changed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16:.+((\|PRM\|1\|D)|(crossing.((167)|(168)|(199)|(200))))" "%USERPROFILE%\AppData\Local\Temp\OnboardLogs"\RTDC4010\*4010*201703061*</v>
      </c>
      <c r="I10" s="214" t="str">
        <f>IF(VLOOKUP(K10,'Train Runs'!$A$13:$V$1000,1,TRUE)=K10,VLOOKUP(K10,'Train Runs'!$A$13:$V$1000,22,TRUE),NA())</f>
        <v>https://d0f6bd738d7f1b3e5a7ca70fe4ff75f0.us-east-1.aws.found.io/app/kibana#/discover/Steve-Slow-Train-Analysis-(2080s-and-2083s)?_g=(refreshInterval:(display:Off,pause:!f,section:0,value:0),time:(from:'2017-03-10T08:19:49-0700',mode:absolute,to:'2017-03-10T11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10" s="210">
        <f t="shared" si="2"/>
        <v>42800.707638888889</v>
      </c>
      <c r="K10" s="210" t="str">
        <f>D10&amp;"-"&amp;IF(DAY(Variables!$A$2)&lt;10,0,"")&amp;DAY(Variables!$A$2)</f>
        <v>140-10</v>
      </c>
      <c r="L10" s="206">
        <f>IF(VLOOKUP(K10,'Train Runs'!$A$12:$B$1000,1,TRUE)=K10,VLOOKUP(K10,'Train Runs'!$A$12:$B$1000,2,TRUE),NA())</f>
        <v>4010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447</v>
      </c>
      <c r="C11" s="198" t="s">
        <v>449</v>
      </c>
      <c r="D11" s="212">
        <f t="shared" si="4"/>
        <v>142</v>
      </c>
      <c r="E11" s="30" t="s">
        <v>451</v>
      </c>
      <c r="F11" s="212" t="b">
        <v>1</v>
      </c>
      <c r="G11" s="216" t="str">
        <f t="shared" si="0"/>
        <v>"C:\Program Files (x86)\AstroGrep\AstroGrep.exe" /e /r /s /spath="%USERPROFILE%\AppData\Local\Temp\OnboardLogs" /stypes="*4008*201703061*" /stext=" 17:.+((SYSTEM_STATE.+slice.+state.+changed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17:.+((\|PRM\|1\|D)|(crossing.((167)|(168)|(199)|(200))))" "%USERPROFILE%\AppData\Local\Temp\OnboardLogs"\RTDC4008\*4008*201703061*</v>
      </c>
      <c r="I11" s="214" t="str">
        <f>IF(VLOOKUP(K11,'Train Runs'!$A$13:$V$1000,1,TRUE)=K11,VLOOKUP(K11,'Train Runs'!$A$13:$V$1000,22,TRUE),NA())</f>
        <v>https://d0f6bd738d7f1b3e5a7ca70fe4ff75f0.us-east-1.aws.found.io/app/kibana#/discover/Steve-Slow-Train-Analysis-(2080s-and-2083s)?_g=(refreshInterval:(display:Off,pause:!f,section:0,value:0),time:(from:'2017-03-10T08:31:10-0700',mode:absolute,to:'2017-03-10T11:30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J11" s="210">
        <f t="shared" si="2"/>
        <v>42800.716666666667</v>
      </c>
      <c r="K11" s="210" t="str">
        <f>D11&amp;"-"&amp;IF(DAY(Variables!$A$2)&lt;10,0,"")&amp;DAY(Variables!$A$2)</f>
        <v>142-10</v>
      </c>
      <c r="L11" s="206">
        <f>IF(VLOOKUP(K11,'Train Runs'!$A$12:$B$1000,1,TRUE)=K11,VLOOKUP(K11,'Train Runs'!$A$12:$B$1000,2,TRUE),NA())</f>
        <v>4008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447</v>
      </c>
      <c r="C12" s="198" t="s">
        <v>449</v>
      </c>
      <c r="D12" s="212">
        <v>144</v>
      </c>
      <c r="E12" s="30" t="s">
        <v>451</v>
      </c>
      <c r="F12" s="212" t="b">
        <v>1</v>
      </c>
      <c r="G12" s="216" t="str">
        <f t="shared" si="0"/>
        <v>"C:\Program Files (x86)\AstroGrep\AstroGrep.exe" /e /r /s /spath="%USERPROFILE%\AppData\Local\Temp\OnboardLogs" /stypes="*4054*201703061*" /stext=" 17:.+((SYSTEM_STATE.+slice.+state.+changed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17:.+((\|PRM\|1\|D)|(crossing.((167)|(168)|(199)|(200))))" "%USERPROFILE%\AppData\Local\Temp\OnboardLogs"\RTDC4054\*4054*201703061*</v>
      </c>
      <c r="I12" s="214" t="str">
        <f>IF(VLOOKUP(K12,'Train Runs'!$A$13:$V$1000,1,TRUE)=K12,VLOOKUP(K12,'Train Runs'!$A$13:$V$1000,22,TRUE),NA())</f>
        <v>https://d0f6bd738d7f1b3e5a7ca70fe4ff75f0.us-east-1.aws.found.io/app/kibana#/discover/Steve-Slow-Train-Analysis-(2080s-and-2083s)?_g=(refreshInterval:(display:Off,pause:!f,section:0,value:0),time:(from:'2017-03-10T08:54:45-0700',mode:absolute,to:'2017-03-10T12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2" s="210">
        <f t="shared" si="2"/>
        <v>42800.727083333331</v>
      </c>
      <c r="K12" s="210" t="str">
        <f>D12&amp;"-"&amp;IF(DAY(Variables!$A$2)&lt;10,0,"")&amp;DAY(Variables!$A$2)</f>
        <v>144-10</v>
      </c>
      <c r="L12" s="206">
        <f>IF(VLOOKUP(K12,'Train Runs'!$A$12:$B$1000,1,TRUE)=K12,VLOOKUP(K12,'Train Runs'!$A$12:$B$1000,2,TRUE),NA())</f>
        <v>4054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447</v>
      </c>
      <c r="C13" s="198" t="s">
        <v>449</v>
      </c>
      <c r="D13" s="212">
        <v>146</v>
      </c>
      <c r="E13" s="30" t="s">
        <v>451</v>
      </c>
      <c r="F13" s="212" t="b">
        <v>1</v>
      </c>
      <c r="G13" s="216" t="str">
        <f t="shared" si="0"/>
        <v>"C:\Program Files (x86)\AstroGrep\AstroGrep.exe" /e /r /s /spath="%USERPROFILE%\AppData\Local\Temp\OnboardLogs" /stypes="*4045*201703061*" /stext=" 17:.+((SYSTEM_STATE.+slice.+state.+changed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17:.+((\|PRM\|1\|D)|(crossing.((167)|(168)|(199)|(200))))" "%USERPROFILE%\AppData\Local\Temp\OnboardLogs"\RTDC4045\*4045*201703061*</v>
      </c>
      <c r="I13" s="214" t="str">
        <f>IF(VLOOKUP(K13,'Train Runs'!$A$13:$V$1000,1,TRUE)=K13,VLOOKUP(K13,'Train Runs'!$A$13:$V$1000,22,TRUE),NA())</f>
        <v>https://d0f6bd738d7f1b3e5a7ca70fe4ff75f0.us-east-1.aws.found.io/app/kibana#/discover/Steve-Slow-Train-Analysis-(2080s-and-2083s)?_g=(refreshInterval:(display:Off,pause:!f,section:0,value:0),time:(from:'2017-03-10T09:07:26-0700',mode:absolute,to:'2017-03-10T12:13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3" s="210">
        <f t="shared" si="2"/>
        <v>42800.737499999996</v>
      </c>
      <c r="K13" s="210" t="str">
        <f>D13&amp;"-"&amp;IF(DAY(Variables!$A$2)&lt;10,0,"")&amp;DAY(Variables!$A$2)</f>
        <v>146-10</v>
      </c>
      <c r="L13" s="206">
        <f>IF(VLOOKUP(K13,'Train Runs'!$A$12:$B$1000,1,TRUE)=K13,VLOOKUP(K13,'Train Runs'!$A$12:$B$1000,2,TRUE),NA())</f>
        <v>4045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447</v>
      </c>
      <c r="C14" s="198" t="s">
        <v>449</v>
      </c>
      <c r="D14" s="212">
        <v>148</v>
      </c>
      <c r="E14" s="30" t="s">
        <v>455</v>
      </c>
      <c r="F14" s="212" t="b">
        <v>1</v>
      </c>
      <c r="G14" s="216" t="str">
        <f t="shared" si="0"/>
        <v>"C:\Program Files (x86)\AstroGrep\AstroGrep.exe" /e /r /s /spath="%USERPROFILE%\AppData\Local\Temp\OnboardLogs" /stypes="*4032*201703061*" /stext=" 17:.+((SYSTEM_STATE.+slice.+state.+changed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17:.+((\|PRM\|1\|D)|(crossing.((167)|(168)|(199)|(200))))" "%USERPROFILE%\AppData\Local\Temp\OnboardLogs"\RTDC4032\*4032*201703061*</v>
      </c>
      <c r="I14" s="214" t="str">
        <f>IF(VLOOKUP(K14,'Train Runs'!$A$13:$V$1000,1,TRUE)=K14,VLOOKUP(K14,'Train Runs'!$A$13:$V$1000,22,TRUE),NA())</f>
        <v>https://d0f6bd738d7f1b3e5a7ca70fe4ff75f0.us-east-1.aws.found.io/app/kibana#/discover/Steve-Slow-Train-Analysis-(2080s-and-2083s)?_g=(refreshInterval:(display:Off,pause:!f,section:0,value:0),time:(from:'2017-03-10T09:15:01-0700',mode:absolute,to:'2017-03-10T12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4" s="210">
        <f t="shared" si="2"/>
        <v>42800.748611111107</v>
      </c>
      <c r="K14" s="210" t="str">
        <f>D14&amp;"-"&amp;IF(DAY(Variables!$A$2)&lt;10,0,"")&amp;DAY(Variables!$A$2)</f>
        <v>148-10</v>
      </c>
      <c r="L14" s="206">
        <f>IF(VLOOKUP(K14,'Train Runs'!$A$12:$B$1000,1,TRUE)=K14,VLOOKUP(K14,'Train Runs'!$A$12:$B$1000,2,TRUE),NA())</f>
        <v>4032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447</v>
      </c>
      <c r="C15" s="198" t="s">
        <v>449</v>
      </c>
      <c r="D15" s="212">
        <v>178</v>
      </c>
      <c r="E15" s="30" t="s">
        <v>456</v>
      </c>
      <c r="F15" s="212" t="b">
        <v>1</v>
      </c>
      <c r="G15" s="216" t="str">
        <f t="shared" si="0"/>
        <v>"C:\Program Files (x86)\AstroGrep\AstroGrep.exe" /e /r /s /spath="%USERPROFILE%\AppData\Local\Temp\OnboardLogs" /stypes="*4032*201703062*" /stext=" 21:.+((SYSTEM_STATE.+slice.+state.+changed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21:.+((\|PRM\|1\|D)|(crossing.((167)|(168)|(199)|(200))))" "%USERPROFILE%\AppData\Local\Temp\OnboardLogs"\RTDC4032\*4032*201703062*</v>
      </c>
      <c r="I15" s="214" t="str">
        <f>IF(VLOOKUP(K15,'Train Runs'!$A$13:$V$1000,1,TRUE)=K15,VLOOKUP(K15,'Train Runs'!$A$13:$V$1000,22,TRUE),NA())</f>
        <v>https://d0f6bd738d7f1b3e5a7ca70fe4ff75f0.us-east-1.aws.found.io/app/kibana#/discover/Steve-Slow-Train-Analysis-(2080s-and-2083s)?_g=(refreshInterval:(display:Off,pause:!f,section:0,value:0),time:(from:'2017-03-10T13:06:19-0700',mode:absolute,to:'2017-03-10T16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5" s="210">
        <f t="shared" si="2"/>
        <v>42800.90625</v>
      </c>
      <c r="K15" s="210" t="str">
        <f>D15&amp;"-"&amp;IF(DAY(Variables!$A$2)&lt;10,0,"")&amp;DAY(Variables!$A$2)</f>
        <v>178-10</v>
      </c>
      <c r="L15" s="206">
        <f>IF(VLOOKUP(K15,'Train Runs'!$A$12:$B$1000,1,TRUE)=K15,VLOOKUP(K15,'Train Runs'!$A$12:$B$1000,2,TRUE),NA())</f>
        <v>4032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447</v>
      </c>
      <c r="C16" s="198" t="s">
        <v>449</v>
      </c>
      <c r="D16" s="212">
        <v>194</v>
      </c>
      <c r="E16" s="30" t="s">
        <v>456</v>
      </c>
      <c r="F16" s="212" t="b">
        <v>1</v>
      </c>
      <c r="G16" s="216" t="str">
        <f t="shared" si="0"/>
        <v>"C:\Program Files (x86)\AstroGrep\AstroGrep.exe" /e /r /s /spath="%USERPROFILE%\AppData\Local\Temp\OnboardLogs" /stypes="*4039*201703062*" /stext=" 23:.+((SYSTEM_STATE.+slice.+state.+changed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23:.+((\|PRM\|1\|D)|(crossing.((167)|(168)|(199)|(200))))" "%USERPROFILE%\AppData\Local\Temp\OnboardLogs"\RTDC4039\*4039*201703062*</v>
      </c>
      <c r="I16" s="214" t="str">
        <f>IF(VLOOKUP(K16,'Train Runs'!$A$13:$V$1000,1,TRUE)=K16,VLOOKUP(K16,'Train Runs'!$A$13:$V$1000,22,TRUE),NA())</f>
        <v>https://d0f6bd738d7f1b3e5a7ca70fe4ff75f0.us-east-1.aws.found.io/app/kibana#/discover/Steve-Slow-Train-Analysis-(2080s-and-2083s)?_g=(refreshInterval:(display:Off,pause:!f,section:0,value:0),time:(from:'2017-03-10T15:11:53-0700',mode:absolute,to:'2017-03-10T17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6" s="210">
        <f t="shared" si="2"/>
        <v>42800.990972222222</v>
      </c>
      <c r="K16" s="210" t="str">
        <f>D16&amp;"-"&amp;IF(DAY(Variables!$A$2)&lt;10,0,"")&amp;DAY(Variables!$A$2)</f>
        <v>194-10</v>
      </c>
      <c r="L16" s="206">
        <f>IF(VLOOKUP(K16,'Train Runs'!$A$12:$B$1000,1,TRUE)=K16,VLOOKUP(K16,'Train Runs'!$A$12:$B$1000,2,TRUE),NA())</f>
        <v>4039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447</v>
      </c>
      <c r="C17" s="198" t="s">
        <v>449</v>
      </c>
      <c r="D17" s="212">
        <v>206</v>
      </c>
      <c r="E17" s="30" t="s">
        <v>451</v>
      </c>
      <c r="F17" s="212" t="b">
        <v>1</v>
      </c>
      <c r="G17" s="216" t="str">
        <f t="shared" si="0"/>
        <v>"C:\Program Files (x86)\AstroGrep\AstroGrep.exe" /e /r /s /spath="%USERPROFILE%\AppData\Local\Temp\OnboardLogs" /stypes="*4045*201703070*" /stext=" 01:.+((SYSTEM_STATE.+slice.+state.+changed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01:.+((\|PRM\|1\|D)|(crossing.((167)|(168)|(199)|(200))))" "%USERPROFILE%\AppData\Local\Temp\OnboardLogs"\RTDC4045\*4045*201703070*</v>
      </c>
      <c r="I17" s="214" t="str">
        <f>IF(VLOOKUP(K17,'Train Runs'!$A$13:$V$1000,1,TRUE)=K17,VLOOKUP(K17,'Train Runs'!$A$13:$V$1000,22,TRUE),NA())</f>
        <v>https://d0f6bd738d7f1b3e5a7ca70fe4ff75f0.us-east-1.aws.found.io/app/kibana#/discover/Steve-Slow-Train-Analysis-(2080s-and-2083s)?_g=(refreshInterval:(display:Off,pause:!f,section:0,value:0),time:(from:'2017-03-10T16:36:28-0700',mode:absolute,to:'2017-03-10T19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10">
        <f t="shared" si="2"/>
        <v>42801.063194444439</v>
      </c>
      <c r="K17" s="210" t="str">
        <f>D17&amp;"-"&amp;IF(DAY(Variables!$A$2)&lt;10,0,"")&amp;DAY(Variables!$A$2)</f>
        <v>206-10</v>
      </c>
      <c r="L17" s="206">
        <f>IF(VLOOKUP(K17,'Train Runs'!$A$12:$B$1000,1,TRUE)=K17,VLOOKUP(K17,'Train Runs'!$A$12:$B$1000,2,TRUE),NA())</f>
        <v>4045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447</v>
      </c>
      <c r="C18" s="198" t="s">
        <v>449</v>
      </c>
      <c r="D18" s="212">
        <v>210</v>
      </c>
      <c r="E18" s="30" t="s">
        <v>451</v>
      </c>
      <c r="F18" s="212" t="b">
        <v>1</v>
      </c>
      <c r="G18" s="216" t="str">
        <f t="shared" si="0"/>
        <v>"C:\Program Files (x86)\AstroGrep\AstroGrep.exe" /e /r /s /spath="%USERPROFILE%\AppData\Local\Temp\OnboardLogs" /stypes="*4052*201703070*" /stext=" 01:.+((SYSTEM_STATE.+slice.+state.+changed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01:.+((\|PRM\|1\|D)|(crossing.((167)|(168)|(199)|(200))))" "%USERPROFILE%\AppData\Local\Temp\OnboardLogs"\RTDC4052\*4052*201703070*</v>
      </c>
      <c r="I18" s="214" t="str">
        <f>IF(VLOOKUP(K18,'Train Runs'!$A$13:$V$1000,1,TRUE)=K18,VLOOKUP(K18,'Train Runs'!$A$13:$V$1000,22,TRUE),NA())</f>
        <v>https://d0f6bd738d7f1b3e5a7ca70fe4ff75f0.us-east-1.aws.found.io/app/kibana#/discover/Steve-Slow-Train-Analysis-(2080s-and-2083s)?_g=(refreshInterval:(display:Off,pause:!f,section:0,value:0),time:(from:'2017-03-10T17:05:48-0700',mode:absolute,to:'2017-03-10T19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8" s="210">
        <f t="shared" si="2"/>
        <v>42801.076388888883</v>
      </c>
      <c r="K18" s="210" t="str">
        <f>D18&amp;"-"&amp;IF(DAY(Variables!$A$2)&lt;10,0,"")&amp;DAY(Variables!$A$2)</f>
        <v>210-10</v>
      </c>
      <c r="L18" s="206">
        <f>IF(VLOOKUP(K18,'Train Runs'!$A$12:$B$1000,1,TRUE)=K18,VLOOKUP(K18,'Train Runs'!$A$12:$B$1000,2,TRUE),NA())</f>
        <v>4052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447</v>
      </c>
      <c r="C19" s="198" t="s">
        <v>449</v>
      </c>
      <c r="D19" s="212">
        <f>D18+2</f>
        <v>212</v>
      </c>
      <c r="E19" s="30" t="s">
        <v>451</v>
      </c>
      <c r="F19" s="212" t="b">
        <v>1</v>
      </c>
      <c r="G19" s="216" t="str">
        <f t="shared" si="0"/>
        <v>"C:\Program Files (x86)\AstroGrep\AstroGrep.exe" /e /r /s /spath="%USERPROFILE%\AppData\Local\Temp\OnboardLogs" /stypes="*4012*201703070*" /stext=" 01:.+((SYSTEM_STATE.+slice.+state.+changed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01:.+((\|PRM\|1\|D)|(crossing.((167)|(168)|(199)|(200))))" "%USERPROFILE%\AppData\Local\Temp\OnboardLogs"\RTDC4012\*4012*201703070*</v>
      </c>
      <c r="I19" s="214" t="str">
        <f>IF(VLOOKUP(K19,'Train Runs'!$A$13:$V$1000,1,TRUE)=K19,VLOOKUP(K19,'Train Runs'!$A$13:$V$1000,22,TRUE),NA())</f>
        <v>https://d0f6bd738d7f1b3e5a7ca70fe4ff75f0.us-east-1.aws.found.io/app/kibana#/discover/Steve-Slow-Train-Analysis-(2080s-and-2083s)?_g=(refreshInterval:(display:Off,pause:!f,section:0,value:0),time:(from:'2017-03-10T17:19:38-0700',mode:absolute,to:'2017-03-10T20:09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9" s="210">
        <f t="shared" si="2"/>
        <v>42801.081944444442</v>
      </c>
      <c r="K19" s="210" t="str">
        <f>D19&amp;"-"&amp;IF(DAY(Variables!$A$2)&lt;10,0,"")&amp;DAY(Variables!$A$2)</f>
        <v>212-10</v>
      </c>
      <c r="L19" s="206">
        <f>IF(VLOOKUP(K19,'Train Runs'!$A$12:$B$1000,1,TRUE)=K19,VLOOKUP(K19,'Train Runs'!$A$12:$B$1000,2,TRUE),NA())</f>
        <v>4012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447</v>
      </c>
      <c r="C20" s="198" t="s">
        <v>449</v>
      </c>
      <c r="D20" s="212">
        <v>214</v>
      </c>
      <c r="E20" s="30" t="s">
        <v>451</v>
      </c>
      <c r="F20" s="212" t="b">
        <v>1</v>
      </c>
      <c r="G20" s="216" t="str">
        <f t="shared" si="0"/>
        <v>"C:\Program Files (x86)\AstroGrep\AstroGrep.exe" /e /r /s /spath="%USERPROFILE%\AppData\Local\Temp\OnboardLogs" /stypes="*4028*201703070*" /stext=" 02:.+((SYSTEM_STATE.+slice.+state.+changed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02:.+((\|PRM\|1\|D)|(crossing.((167)|(168)|(199)|(200))))" "%USERPROFILE%\AppData\Local\Temp\OnboardLogs"\RTDC4028\*4028*201703070*</v>
      </c>
      <c r="I20" s="214" t="str">
        <f>IF(VLOOKUP(K20,'Train Runs'!$A$13:$V$1000,1,TRUE)=K20,VLOOKUP(K20,'Train Runs'!$A$13:$V$1000,22,TRUE),NA())</f>
        <v>https://d0f6bd738d7f1b3e5a7ca70fe4ff75f0.us-east-1.aws.found.io/app/kibana#/discover/Steve-Slow-Train-Analysis-(2080s-and-2083s)?_g=(refreshInterval:(display:Off,pause:!f,section:0,value:0),time:(from:'2017-03-10T17:38:46-0700',mode:absolute,to:'2017-03-10T20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0" s="210">
        <f t="shared" si="2"/>
        <v>42801.095138888886</v>
      </c>
      <c r="K20" s="210" t="str">
        <f>D20&amp;"-"&amp;IF(DAY(Variables!$A$2)&lt;10,0,"")&amp;DAY(Variables!$A$2)</f>
        <v>214-10</v>
      </c>
      <c r="L20" s="206">
        <f>IF(VLOOKUP(K20,'Train Runs'!$A$12:$B$1000,1,TRUE)=K20,VLOOKUP(K20,'Train Runs'!$A$12:$B$1000,2,TRUE),NA())</f>
        <v>4028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447</v>
      </c>
      <c r="C21" s="198" t="s">
        <v>449</v>
      </c>
      <c r="D21" s="212">
        <v>216</v>
      </c>
      <c r="E21" s="30" t="s">
        <v>451</v>
      </c>
      <c r="F21" s="212" t="b">
        <v>1</v>
      </c>
      <c r="G21" s="216" t="str">
        <f t="shared" si="0"/>
        <v>"C:\Program Files (x86)\AstroGrep\AstroGrep.exe" /e /r /s /spath="%USERPROFILE%\AppData\Local\Temp\OnboardLogs" /stypes="*4054*201703070*" /stext=" 02:.+((SYSTEM_STATE.+slice.+state.+changed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02:.+((\|PRM\|1\|D)|(crossing.((167)|(168)|(199)|(200))))" "%USERPROFILE%\AppData\Local\Temp\OnboardLogs"\RTDC4054\*4054*201703070*</v>
      </c>
      <c r="I21" s="214" t="str">
        <f>IF(VLOOKUP(K21,'Train Runs'!$A$13:$V$1000,1,TRUE)=K21,VLOOKUP(K21,'Train Runs'!$A$13:$V$1000,22,TRUE),NA())</f>
        <v>https://d0f6bd738d7f1b3e5a7ca70fe4ff75f0.us-east-1.aws.found.io/app/kibana#/discover/Steve-Slow-Train-Analysis-(2080s-and-2083s)?_g=(refreshInterval:(display:Off,pause:!f,section:0,value:0),time:(from:'2017-03-10T17:45:46-0700',mode:absolute,to:'2017-03-10T20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1" s="210">
        <f t="shared" si="2"/>
        <v>42801.111111111109</v>
      </c>
      <c r="K21" s="210" t="str">
        <f>D21&amp;"-"&amp;IF(DAY(Variables!$A$2)&lt;10,0,"")&amp;DAY(Variables!$A$2)</f>
        <v>216-10</v>
      </c>
      <c r="L21" s="206">
        <f>IF(VLOOKUP(K21,'Train Runs'!$A$12:$B$1000,1,TRUE)=K21,VLOOKUP(K21,'Train Runs'!$A$12:$B$1000,2,TRUE),NA())</f>
        <v>4054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447</v>
      </c>
      <c r="C22" s="198" t="s">
        <v>449</v>
      </c>
      <c r="D22" s="212">
        <f>D21+2</f>
        <v>218</v>
      </c>
      <c r="E22" s="30" t="s">
        <v>451</v>
      </c>
      <c r="F22" s="212" t="b">
        <v>1</v>
      </c>
      <c r="G22" s="216" t="str">
        <f t="shared" si="0"/>
        <v>"C:\Program Files (x86)\AstroGrep\AstroGrep.exe" /e /r /s /spath="%USERPROFILE%\AppData\Local\Temp\OnboardLogs" /stypes="*4004*201703070*" /stext=" 02:.+((SYSTEM_STATE.+slice.+state.+changed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02:.+((\|PRM\|1\|D)|(crossing.((167)|(168)|(199)|(200))))" "%USERPROFILE%\AppData\Local\Temp\OnboardLogs"\RTDC4004\*4004*201703070*</v>
      </c>
      <c r="I22" s="214" t="str">
        <f>IF(VLOOKUP(K22,'Train Runs'!$A$13:$V$1000,1,TRUE)=K22,VLOOKUP(K22,'Train Runs'!$A$13:$V$1000,22,TRUE),NA())</f>
        <v>https://d0f6bd738d7f1b3e5a7ca70fe4ff75f0.us-east-1.aws.found.io/app/kibana#/discover/Steve-Slow-Train-Analysis-(2080s-and-2083s)?_g=(refreshInterval:(display:Off,pause:!f,section:0,value:0),time:(from:'2017-03-10T18:44:20-0700',mode:absolute,to:'2017-03-10T20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2" s="210">
        <f t="shared" si="2"/>
        <v>42801.120138888888</v>
      </c>
      <c r="K22" s="210" t="str">
        <f>D22&amp;"-"&amp;IF(DAY(Variables!$A$2)&lt;10,0,"")&amp;DAY(Variables!$A$2)</f>
        <v>218-10</v>
      </c>
      <c r="L22" s="206">
        <f>IF(VLOOKUP(K22,'Train Runs'!$A$12:$B$1000,1,TRUE)=K22,VLOOKUP(K22,'Train Runs'!$A$12:$B$1000,2,TRUE),NA())</f>
        <v>4004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447</v>
      </c>
      <c r="C23" s="198" t="s">
        <v>449</v>
      </c>
      <c r="D23" s="212">
        <f>D22+2</f>
        <v>220</v>
      </c>
      <c r="E23" s="30" t="s">
        <v>451</v>
      </c>
      <c r="F23" s="212" t="b">
        <v>1</v>
      </c>
      <c r="G23" s="216" t="str">
        <f t="shared" si="0"/>
        <v>"C:\Program Files (x86)\AstroGrep\AstroGrep.exe" /e /r /s /spath="%USERPROFILE%\AppData\Local\Temp\OnboardLogs" /stypes="*4019*201703070*" /stext=" 03:.+((SYSTEM_STATE.+slice.+state.+changed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03:.+((\|PRM\|1\|D)|(crossing.((167)|(168)|(199)|(200))))" "%USERPROFILE%\AppData\Local\Temp\OnboardLogs"\RTDC4019\*4019*201703070*</v>
      </c>
      <c r="I23" s="214" t="str">
        <f>IF(VLOOKUP(K23,'Train Runs'!$A$13:$V$1000,1,TRUE)=K23,VLOOKUP(K23,'Train Runs'!$A$13:$V$1000,22,TRUE),NA())</f>
        <v>https://d0f6bd738d7f1b3e5a7ca70fe4ff75f0.us-east-1.aws.found.io/app/kibana#/discover/Steve-Slow-Train-Analysis-(2080s-and-2083s)?_g=(refreshInterval:(display:Off,pause:!f,section:0,value:0),time:(from:'2017-03-10T18:19:42-0700',mode:absolute,to:'2017-03-10T21:13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3" s="210">
        <f t="shared" si="2"/>
        <v>42801.127083333333</v>
      </c>
      <c r="K23" s="210" t="str">
        <f>D23&amp;"-"&amp;IF(DAY(Variables!$A$2)&lt;10,0,"")&amp;DAY(Variables!$A$2)</f>
        <v>220-10</v>
      </c>
      <c r="L23" s="206">
        <f>IF(VLOOKUP(K23,'Train Runs'!$A$12:$B$1000,1,TRUE)=K23,VLOOKUP(K23,'Train Runs'!$A$12:$B$1000,2,TRUE),NA())</f>
        <v>4019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447</v>
      </c>
      <c r="C24" s="198" t="s">
        <v>449</v>
      </c>
      <c r="D24" s="212">
        <f>D23+2</f>
        <v>222</v>
      </c>
      <c r="E24" s="30" t="s">
        <v>451</v>
      </c>
      <c r="F24" s="212" t="b">
        <v>1</v>
      </c>
      <c r="G24" s="216" t="str">
        <f t="shared" si="0"/>
        <v>"C:\Program Files (x86)\AstroGrep\AstroGrep.exe" /e /r /s /spath="%USERPROFILE%\AppData\Local\Temp\OnboardLogs" /stypes="*4052*201703070*" /stext=" 03:.+((SYSTEM_STATE.+slice.+state.+changed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03:.+((\|PRM\|1\|D)|(crossing.((167)|(168)|(199)|(200))))" "%USERPROFILE%\AppData\Local\Temp\OnboardLogs"\RTDC4052\*4052*201703070*</v>
      </c>
      <c r="I24" s="214" t="str">
        <f>IF(VLOOKUP(K24,'Train Runs'!$A$13:$V$1000,1,TRUE)=K24,VLOOKUP(K24,'Train Runs'!$A$13:$V$1000,22,TRUE),NA())</f>
        <v>https://d0f6bd738d7f1b3e5a7ca70fe4ff75f0.us-east-1.aws.found.io/app/kibana#/discover/Steve-Slow-Train-Analysis-(2080s-and-2083s)?_g=(refreshInterval:(display:Off,pause:!f,section:0,value:0),time:(from:'2017-03-10T18:48:04-0700',mode:absolute,to:'2017-03-10T21:41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4" s="210">
        <f t="shared" si="2"/>
        <v>42801.145833333328</v>
      </c>
      <c r="K24" s="210" t="str">
        <f>D24&amp;"-"&amp;IF(DAY(Variables!$A$2)&lt;10,0,"")&amp;DAY(Variables!$A$2)</f>
        <v>222-10</v>
      </c>
      <c r="L24" s="206">
        <f>IF(VLOOKUP(K24,'Train Runs'!$A$12:$B$1000,1,TRUE)=K24,VLOOKUP(K24,'Train Runs'!$A$12:$B$1000,2,TRUE),NA())</f>
        <v>4052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447</v>
      </c>
      <c r="C25" s="198" t="s">
        <v>449</v>
      </c>
      <c r="D25" s="212">
        <f>D24+2</f>
        <v>224</v>
      </c>
      <c r="E25" s="30" t="s">
        <v>451</v>
      </c>
      <c r="F25" s="212" t="b">
        <v>1</v>
      </c>
      <c r="G25" s="216" t="str">
        <f t="shared" si="0"/>
        <v>"C:\Program Files (x86)\AstroGrep\AstroGrep.exe" /e /r /s /spath="%USERPROFILE%\AppData\Local\Temp\OnboardLogs" /stypes="*4028*201703070*" /stext=" 03:.+((SYSTEM_STATE.+slice.+state.+changed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03:.+((\|PRM\|1\|D)|(crossing.((167)|(168)|(199)|(200))))" "%USERPROFILE%\AppData\Local\Temp\OnboardLogs"\RTDC4028\*4028*201703070*</v>
      </c>
      <c r="I25" s="214" t="str">
        <f>IF(VLOOKUP(K25,'Train Runs'!$A$13:$V$1000,1,TRUE)=K25,VLOOKUP(K25,'Train Runs'!$A$13:$V$1000,22,TRUE),NA())</f>
        <v>https://d0f6bd738d7f1b3e5a7ca70fe4ff75f0.us-east-1.aws.found.io/app/kibana#/discover/Steve-Slow-Train-Analysis-(2080s-and-2083s)?_g=(refreshInterval:(display:Off,pause:!f,section:0,value:0),time:(from:'2017-03-10T19:21:52-0700',mode:absolute,to:'2017-03-10T22:13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5" s="210">
        <f t="shared" si="2"/>
        <v>42801.164583333331</v>
      </c>
      <c r="K25" s="210" t="str">
        <f>D25&amp;"-"&amp;IF(DAY(Variables!$A$2)&lt;10,0,"")&amp;DAY(Variables!$A$2)</f>
        <v>224-10</v>
      </c>
      <c r="L25" s="206">
        <f>IF(VLOOKUP(K25,'Train Runs'!$A$12:$B$1000,1,TRUE)=K25,VLOOKUP(K25,'Train Runs'!$A$12:$B$1000,2,TRUE),NA())</f>
        <v>4028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447</v>
      </c>
      <c r="C26" s="198" t="s">
        <v>449</v>
      </c>
      <c r="D26" s="212">
        <f>D25+2</f>
        <v>226</v>
      </c>
      <c r="E26" s="30" t="s">
        <v>451</v>
      </c>
      <c r="F26" s="212" t="b">
        <v>1</v>
      </c>
      <c r="G26" s="216" t="str">
        <f t="shared" si="0"/>
        <v>"C:\Program Files (x86)\AstroGrep\AstroGrep.exe" /e /r /s /spath="%USERPROFILE%\AppData\Local\Temp\OnboardLogs" /stypes="*4004*201703070*" /stext=" 04:.+((SYSTEM_STATE.+slice.+state.+changed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04:.+((\|PRM\|1\|D)|(crossing.((167)|(168)|(199)|(200))))" "%USERPROFILE%\AppData\Local\Temp\OnboardLogs"\RTDC4004\*4004*201703070*</v>
      </c>
      <c r="I26" s="214" t="str">
        <f>IF(VLOOKUP(K26,'Train Runs'!$A$13:$V$1000,1,TRUE)=K26,VLOOKUP(K26,'Train Runs'!$A$13:$V$1000,22,TRUE),NA())</f>
        <v>https://d0f6bd738d7f1b3e5a7ca70fe4ff75f0.us-east-1.aws.found.io/app/kibana#/discover/Steve-Slow-Train-Analysis-(2080s-and-2083s)?_g=(refreshInterval:(display:Off,pause:!f,section:0,value:0),time:(from:'2017-03-10T19:53:14-0700',mode:absolute,to:'2017-03-10T22:40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6" s="210">
        <f t="shared" si="2"/>
        <v>42801.186805555553</v>
      </c>
      <c r="K26" s="210" t="str">
        <f>D26&amp;"-"&amp;IF(DAY(Variables!$A$2)&lt;10,0,"")&amp;DAY(Variables!$A$2)</f>
        <v>226-10</v>
      </c>
      <c r="L26" s="206">
        <f>IF(VLOOKUP(K26,'Train Runs'!$A$12:$B$1000,1,TRUE)=K26,VLOOKUP(K26,'Train Runs'!$A$12:$B$1000,2,TRUE),NA())</f>
        <v>4004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447</v>
      </c>
      <c r="C27" s="198" t="s">
        <v>449</v>
      </c>
      <c r="D27" s="212">
        <f t="shared" ref="D27:D33" si="5">D26+2</f>
        <v>228</v>
      </c>
      <c r="E27" s="30" t="s">
        <v>451</v>
      </c>
      <c r="F27" s="212" t="b">
        <v>1</v>
      </c>
      <c r="G27" s="216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05:.+((\|PRM\|1\|D)|(crossing.((167)|(168)|(199)|(200))))" "%USERPROFILE%\AppData\Local\Temp\OnboardLogs"\RTDC4019\*4019*201703070*</v>
      </c>
      <c r="I27" s="214" t="str">
        <f>IF(VLOOKUP(K27,'Train Runs'!$A$13:$V$1000,1,TRUE)=K27,VLOOKUP(K27,'Train Runs'!$A$13:$V$1000,22,TRUE),NA())</f>
        <v>https://d0f6bd738d7f1b3e5a7ca70fe4ff75f0.us-east-1.aws.found.io/app/kibana#/discover/Steve-Slow-Train-Analysis-(2080s-and-2083s)?_g=(refreshInterval:(display:Off,pause:!f,section:0,value:0),time:(from:'2017-03-10T20:11:33-0700',mode:absolute,to:'2017-03-10T23:11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7" s="210">
        <f t="shared" si="2"/>
        <v>42801.208333333328</v>
      </c>
      <c r="K27" s="210" t="str">
        <f>D27&amp;"-"&amp;IF(DAY(Variables!$A$2)&lt;10,0,"")&amp;DAY(Variables!$A$2)</f>
        <v>228-10</v>
      </c>
      <c r="L27" s="206">
        <f>IF(VLOOKUP(K27,'Train Runs'!$A$12:$B$1000,1,TRUE)=K27,VLOOKUP(K27,'Train Runs'!$A$12:$B$1000,2,TRUE),NA())</f>
        <v>4019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447</v>
      </c>
      <c r="C28" s="198" t="s">
        <v>449</v>
      </c>
      <c r="D28" s="212">
        <f t="shared" si="5"/>
        <v>230</v>
      </c>
      <c r="E28" s="30" t="s">
        <v>451</v>
      </c>
      <c r="F28" s="212" t="b">
        <v>1</v>
      </c>
      <c r="G28" s="216" t="str">
        <f t="shared" si="0"/>
        <v>"C:\Program Files (x86)\AstroGrep\AstroGrep.exe" /e /r /s /spath="%USERPROFILE%\AppData\Local\Temp\OnboardLogs" /stypes="*4052*201703070*" /stext=" 05:.+((SYSTEM_STATE.+slice.+state.+changed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05:.+((\|PRM\|1\|D)|(crossing.((167)|(168)|(199)|(200))))" "%USERPROFILE%\AppData\Local\Temp\OnboardLogs"\RTDC4052\*4052*201703070*</v>
      </c>
      <c r="I28" s="214" t="str">
        <f>IF(VLOOKUP(K28,'Train Runs'!$A$13:$V$1000,1,TRUE)=K28,VLOOKUP(K28,'Train Runs'!$A$13:$V$1000,22,TRUE),NA())</f>
        <v>https://d0f6bd738d7f1b3e5a7ca70fe4ff75f0.us-east-1.aws.found.io/app/kibana#/discover/Steve-Slow-Train-Analysis-(2080s-and-2083s)?_g=(refreshInterval:(display:Off,pause:!f,section:0,value:0),time:(from:'2017-03-10T20:50:27-0700',mode:absolute,to:'2017-03-10T23:40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8" s="210">
        <f t="shared" si="2"/>
        <v>42801.231249999997</v>
      </c>
      <c r="K28" s="210" t="str">
        <f>D28&amp;"-"&amp;IF(DAY(Variables!$A$2)&lt;10,0,"")&amp;DAY(Variables!$A$2)</f>
        <v>230-10</v>
      </c>
      <c r="L28" s="206">
        <f>IF(VLOOKUP(K28,'Train Runs'!$A$12:$B$1000,1,TRUE)=K28,VLOOKUP(K28,'Train Runs'!$A$12:$B$1000,2,TRUE),NA())</f>
        <v>4052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447</v>
      </c>
      <c r="C29" s="198" t="s">
        <v>449</v>
      </c>
      <c r="D29" s="212">
        <f t="shared" si="5"/>
        <v>232</v>
      </c>
      <c r="E29" s="30" t="s">
        <v>451</v>
      </c>
      <c r="F29" s="212" t="b">
        <v>1</v>
      </c>
      <c r="G29" s="216" t="str">
        <f t="shared" si="0"/>
        <v>"C:\Program Files (x86)\AstroGrep\AstroGrep.exe" /e /r /s /spath="%USERPROFILE%\AppData\Local\Temp\OnboardLogs" /stypes="*4028*201703070*" /stext=" 05:.+((SYSTEM_STATE.+slice.+state.+changed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05:.+((\|PRM\|1\|D)|(crossing.((167)|(168)|(199)|(200))))" "%USERPROFILE%\AppData\Local\Temp\OnboardLogs"\RTDC4028\*4028*201703070*</v>
      </c>
      <c r="I29" s="214" t="str">
        <f>IF(VLOOKUP(K29,'Train Runs'!$A$13:$V$1000,1,TRUE)=K29,VLOOKUP(K29,'Train Runs'!$A$13:$V$1000,22,TRUE),NA())</f>
        <v>https://d0f6bd738d7f1b3e5a7ca70fe4ff75f0.us-east-1.aws.found.io/app/kibana#/discover/Steve-Slow-Train-Analysis-(2080s-and-2083s)?_g=(refreshInterval:(display:Off,pause:!f,section:0,value:0),time:(from:'2017-03-10T21:17:48-0700',mode:absolute,to:'2017-03-11T00:14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9" s="210">
        <f t="shared" si="2"/>
        <v>42801.249305555553</v>
      </c>
      <c r="K29" s="210" t="str">
        <f>D29&amp;"-"&amp;IF(DAY(Variables!$A$2)&lt;10,0,"")&amp;DAY(Variables!$A$2)</f>
        <v>232-10</v>
      </c>
      <c r="L29" s="206">
        <f>IF(VLOOKUP(K29,'Train Runs'!$A$12:$B$1000,1,TRUE)=K29,VLOOKUP(K29,'Train Runs'!$A$12:$B$1000,2,TRUE),NA())</f>
        <v>4028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447</v>
      </c>
      <c r="C30" s="198" t="s">
        <v>449</v>
      </c>
      <c r="D30" s="212">
        <f t="shared" si="5"/>
        <v>234</v>
      </c>
      <c r="E30" s="30" t="s">
        <v>451</v>
      </c>
      <c r="F30" s="212" t="b">
        <v>1</v>
      </c>
      <c r="G30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06:.+((\|PRM\|1\|D)|(crossing.((167)|(168)|(199)|(200))))" "%USERPROFILE%\AppData\Local\Temp\OnboardLogs"\RTDC4004\*4004*201703070*</v>
      </c>
      <c r="I30" s="214" t="str">
        <f>IF(VLOOKUP(K30,'Train Runs'!$A$13:$V$1000,1,TRUE)=K30,VLOOKUP(K30,'Train Runs'!$A$13:$V$1000,22,TRUE),NA())</f>
        <v>https://d0f6bd738d7f1b3e5a7ca70fe4ff75f0.us-east-1.aws.found.io/app/kibana#/discover/Steve-Slow-Train-Analysis-(2080s-and-2083s)?_g=(refreshInterval:(display:Off,pause:!f,section:0,value:0),time:(from:'2017-03-10T21:40:10-0700',mode:absolute,to:'2017-03-11T00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0" s="210">
        <f t="shared" si="2"/>
        <v>42801.260416666664</v>
      </c>
      <c r="K30" s="210" t="str">
        <f>D30&amp;"-"&amp;IF(DAY(Variables!$A$2)&lt;10,0,"")&amp;DAY(Variables!$A$2)</f>
        <v>234-10</v>
      </c>
      <c r="L30" s="206">
        <f>IF(VLOOKUP(K30,'Train Runs'!$A$12:$B$1000,1,TRUE)=K30,VLOOKUP(K30,'Train Runs'!$A$12:$B$1000,2,TRUE),NA())</f>
        <v>4004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447</v>
      </c>
      <c r="C31" s="198" t="s">
        <v>449</v>
      </c>
      <c r="D31" s="212">
        <f t="shared" si="5"/>
        <v>236</v>
      </c>
      <c r="E31" s="30" t="s">
        <v>451</v>
      </c>
      <c r="F31" s="212" t="b">
        <v>1</v>
      </c>
      <c r="G31" s="216" t="str">
        <f t="shared" si="0"/>
        <v>"C:\Program Files (x86)\AstroGrep\AstroGrep.exe" /e /r /s /spath="%USERPROFILE%\AppData\Local\Temp\OnboardLogs" /stypes="*4019*201703070*" /stext=" 06:.+((SYSTEM_STATE.+slice.+state.+changed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06:.+((\|PRM\|1\|D)|(crossing.((167)|(168)|(199)|(200))))" "%USERPROFILE%\AppData\Local\Temp\OnboardLogs"\RTDC4019\*4019*201703070*</v>
      </c>
      <c r="I31" s="214" t="str">
        <f>IF(VLOOKUP(K31,'Train Runs'!$A$13:$V$1000,1,TRUE)=K31,VLOOKUP(K31,'Train Runs'!$A$13:$V$1000,22,TRUE),NA())</f>
        <v>https://d0f6bd738d7f1b3e5a7ca70fe4ff75f0.us-east-1.aws.found.io/app/kibana#/discover/Steve-Slow-Train-Analysis-(2080s-and-2083s)?_g=(refreshInterval:(display:Off,pause:!f,section:0,value:0),time:(from:'2017-03-10T22:10:46-0700',mode:absolute,to:'2017-03-11T01:10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1" s="210">
        <f t="shared" si="2"/>
        <v>42801.271527777775</v>
      </c>
      <c r="K31" s="210" t="str">
        <f>D31&amp;"-"&amp;IF(DAY(Variables!$A$2)&lt;10,0,"")&amp;DAY(Variables!$A$2)</f>
        <v>236-10</v>
      </c>
      <c r="L31" s="206">
        <f>IF(VLOOKUP(K31,'Train Runs'!$A$12:$B$1000,1,TRUE)=K31,VLOOKUP(K31,'Train Runs'!$A$12:$B$1000,2,TRUE),NA())</f>
        <v>4019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447</v>
      </c>
      <c r="C32" s="198" t="s">
        <v>449</v>
      </c>
      <c r="D32" s="212">
        <f t="shared" si="5"/>
        <v>238</v>
      </c>
      <c r="E32" s="30" t="s">
        <v>451</v>
      </c>
      <c r="F32" s="212" t="b">
        <v>1</v>
      </c>
      <c r="G32" s="216" t="str">
        <f t="shared" si="0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06:.+((\|PRM\|1\|D)|(crossing.((167)|(168)|(199)|(200))))" "%USERPROFILE%\AppData\Local\Temp\OnboardLogs"\RTDC4052\*4052*201703070*</v>
      </c>
      <c r="I32" s="214" t="str">
        <f>IF(VLOOKUP(K32,'Train Runs'!$A$13:$V$1000,1,TRUE)=K32,VLOOKUP(K32,'Train Runs'!$A$13:$V$1000,22,TRUE),NA())</f>
        <v>https://d0f6bd738d7f1b3e5a7ca70fe4ff75f0.us-east-1.aws.found.io/app/kibana#/discover/Steve-Slow-Train-Analysis-(2080s-and-2083s)?_g=(refreshInterval:(display:Off,pause:!f,section:0,value:0),time:(from:'2017-03-10T22:49:41-0700',mode:absolute,to:'2017-03-11T01:41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2" s="210">
        <f t="shared" si="2"/>
        <v>42801.290972222218</v>
      </c>
      <c r="K32" s="210" t="str">
        <f>D32&amp;"-"&amp;IF(DAY(Variables!$A$2)&lt;10,0,"")&amp;DAY(Variables!$A$2)</f>
        <v>238-10</v>
      </c>
      <c r="L32" s="206">
        <f>IF(VLOOKUP(K32,'Train Runs'!$A$12:$B$1000,1,TRUE)=K32,VLOOKUP(K32,'Train Runs'!$A$12:$B$1000,2,TRUE),NA())</f>
        <v>4052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447</v>
      </c>
      <c r="C33" s="198" t="s">
        <v>449</v>
      </c>
      <c r="D33" s="212">
        <f t="shared" si="5"/>
        <v>240</v>
      </c>
      <c r="E33" s="30" t="s">
        <v>451</v>
      </c>
      <c r="F33" s="212" t="b">
        <v>1</v>
      </c>
      <c r="G33" s="216" t="str">
        <f t="shared" si="0"/>
        <v>"C:\Program Files (x86)\AstroGrep\AstroGrep.exe" /e /r /s /spath="%USERPROFILE%\AppData\Local\Temp\OnboardLogs" /stypes="*4028*201703070*" /stext=" 07:.+((SYSTEM_STATE.+slice.+state.+changed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07:.+((\|PRM\|1\|D)|(crossing.((167)|(168)|(199)|(200))))" "%USERPROFILE%\AppData\Local\Temp\OnboardLogs"\RTDC4028\*4028*201703070*</v>
      </c>
      <c r="I33" s="214" t="str">
        <f>IF(VLOOKUP(K33,'Train Runs'!$A$13:$V$1000,1,TRUE)=K33,VLOOKUP(K33,'Train Runs'!$A$13:$V$1000,22,TRUE),NA())</f>
        <v>https://d0f6bd738d7f1b3e5a7ca70fe4ff75f0.us-east-1.aws.found.io/app/kibana#/discover/Steve-Slow-Train-Analysis-(2080s-and-2083s)?_g=(refreshInterval:(display:Off,pause:!f,section:0,value:0),time:(from:'2017-03-10T23:24:05-0700',mode:absolute,to:'2017-03-11T02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3" s="210">
        <f t="shared" si="2"/>
        <v>42801.313888888886</v>
      </c>
      <c r="K33" s="210" t="str">
        <f>D33&amp;"-"&amp;IF(DAY(Variables!$A$2)&lt;10,0,"")&amp;DAY(Variables!$A$2)</f>
        <v>240-10</v>
      </c>
      <c r="L33" s="206">
        <f>IF(VLOOKUP(K33,'Train Runs'!$A$12:$B$1000,1,TRUE)=K33,VLOOKUP(K33,'Train Runs'!$A$12:$B$1000,2,TRUE),NA())</f>
        <v>4028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447</v>
      </c>
      <c r="C34" s="198" t="s">
        <v>449</v>
      </c>
      <c r="D34" s="212">
        <v>240</v>
      </c>
      <c r="E34" s="30" t="s">
        <v>451</v>
      </c>
      <c r="F34" s="212" t="b">
        <v>1</v>
      </c>
      <c r="G34" s="216" t="str">
        <f t="shared" si="0"/>
        <v>"C:\Program Files (x86)\AstroGrep\AstroGrep.exe" /e /r /s /spath="%USERPROFILE%\AppData\Local\Temp\OnboardLogs" /stypes="*4028*201703070*" /stext=" 07:.+((SYSTEM_STATE.+slice.+state.+changed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07:.+((\|PRM\|1\|D)|(crossing.((167)|(168)|(199)|(200))))" "%USERPROFILE%\AppData\Local\Temp\OnboardLogs"\RTDC4028\*4028*201703070*</v>
      </c>
      <c r="I34" s="214" t="str">
        <f>IF(VLOOKUP(K34,'Train Runs'!$A$13:$V$1000,1,TRUE)=K34,VLOOKUP(K34,'Train Runs'!$A$13:$V$1000,22,TRUE),NA())</f>
        <v>https://d0f6bd738d7f1b3e5a7ca70fe4ff75f0.us-east-1.aws.found.io/app/kibana#/discover/Steve-Slow-Train-Analysis-(2080s-and-2083s)?_g=(refreshInterval:(display:Off,pause:!f,section:0,value:0),time:(from:'2017-03-10T23:24:05-0700',mode:absolute,to:'2017-03-11T02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4" s="210">
        <f t="shared" si="2"/>
        <v>42801.331944444442</v>
      </c>
      <c r="K34" s="210" t="str">
        <f>D34&amp;"-"&amp;IF(DAY(Variables!$A$2)&lt;10,0,"")&amp;DAY(Variables!$A$2)</f>
        <v>240-10</v>
      </c>
      <c r="L34" s="206">
        <f>IF(VLOOKUP(K34,'Train Runs'!$A$12:$B$1000,1,TRUE)=K34,VLOOKUP(K34,'Train Runs'!$A$12:$B$1000,2,TRUE),NA())</f>
        <v>4028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447</v>
      </c>
      <c r="C35" s="198" t="s">
        <v>449</v>
      </c>
      <c r="D35" s="212">
        <v>242</v>
      </c>
      <c r="E35" s="30" t="s">
        <v>451</v>
      </c>
      <c r="F35" s="212" t="b">
        <v>1</v>
      </c>
      <c r="G35" s="216" t="str">
        <f t="shared" si="0"/>
        <v>"C:\Program Files (x86)\AstroGrep\AstroGrep.exe" /e /r /s /spath="%USERPROFILE%\AppData\Local\Temp\OnboardLogs" /stypes="*4004*201703070*" /stext=" 08:.+((SYSTEM_STATE.+slice.+state.+changed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08:.+((\|PRM\|1\|D)|(crossing.((167)|(168)|(199)|(200))))" "%USERPROFILE%\AppData\Local\Temp\OnboardLogs"\RTDC4004\*4004*201703070*</v>
      </c>
      <c r="I35" s="214" t="str">
        <f>IF(VLOOKUP(K35,'Train Runs'!$A$13:$V$1000,1,TRUE)=K35,VLOOKUP(K35,'Train Runs'!$A$13:$V$1000,22,TRUE),NA())</f>
        <v>https://d0f6bd738d7f1b3e5a7ca70fe4ff75f0.us-east-1.aws.found.io/app/kibana#/discover/Steve-Slow-Train-Analysis-(2080s-and-2083s)?_g=(refreshInterval:(display:Off,pause:!f,section:0,value:0),time:(from:'2017-03-10T23:41:51-0700',mode:absolute,to:'2017-03-11T02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5" s="210">
        <f t="shared" si="2"/>
        <v>42801.353472222218</v>
      </c>
      <c r="K35" s="210" t="str">
        <f>D35&amp;"-"&amp;IF(DAY(Variables!$A$2)&lt;10,0,"")&amp;DAY(Variables!$A$2)</f>
        <v>242-10</v>
      </c>
      <c r="L35" s="206">
        <f>IF(VLOOKUP(K35,'Train Runs'!$A$12:$B$1000,1,TRUE)=K35,VLOOKUP(K35,'Train Runs'!$A$12:$B$1000,2,TRUE),NA())</f>
        <v>4004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42804.033171296294</v>
      </c>
      <c r="B2" s="20" t="s">
        <v>400</v>
      </c>
      <c r="C2" s="20" t="s">
        <v>511</v>
      </c>
      <c r="D2" s="150">
        <v>2540000</v>
      </c>
      <c r="E2" s="20" t="s">
        <v>214</v>
      </c>
      <c r="F2" s="20" t="s">
        <v>215</v>
      </c>
      <c r="G2" s="8" t="str">
        <f>E2&amp;" "&amp;F2</f>
        <v>MCREYNOLDS KYLE</v>
      </c>
    </row>
    <row r="3" spans="1:7" x14ac:dyDescent="0.25">
      <c r="A3" s="8">
        <v>42804.042881944442</v>
      </c>
      <c r="B3" s="20" t="s">
        <v>466</v>
      </c>
      <c r="C3" s="20" t="s">
        <v>510</v>
      </c>
      <c r="D3" s="150">
        <v>2730000</v>
      </c>
      <c r="E3" s="20" t="s">
        <v>237</v>
      </c>
      <c r="F3" s="20" t="s">
        <v>238</v>
      </c>
      <c r="G3" s="8" t="str">
        <f t="shared" ref="G3:G66" si="0">E3&amp;" "&amp;F3</f>
        <v>YANG JAN</v>
      </c>
    </row>
    <row r="4" spans="1:7" x14ac:dyDescent="0.25">
      <c r="A4" s="8">
        <v>42804.04996527778</v>
      </c>
      <c r="B4" s="20" t="s">
        <v>264</v>
      </c>
      <c r="C4" s="20" t="s">
        <v>512</v>
      </c>
      <c r="D4" s="150">
        <v>1810000</v>
      </c>
      <c r="E4" s="20" t="s">
        <v>201</v>
      </c>
      <c r="F4" s="20" t="s">
        <v>197</v>
      </c>
      <c r="G4" s="8" t="str">
        <f t="shared" si="0"/>
        <v>NEWELL JAMES</v>
      </c>
    </row>
    <row r="5" spans="1:7" x14ac:dyDescent="0.25">
      <c r="A5" s="8">
        <v>42804.052256944444</v>
      </c>
      <c r="B5" s="20" t="s">
        <v>500</v>
      </c>
      <c r="C5" s="20" t="s">
        <v>513</v>
      </c>
      <c r="D5" s="150">
        <v>2150000</v>
      </c>
      <c r="E5" s="20" t="s">
        <v>476</v>
      </c>
      <c r="F5" s="20" t="s">
        <v>477</v>
      </c>
      <c r="G5" s="8" t="str">
        <f t="shared" si="0"/>
        <v>SWANSON BRYCE</v>
      </c>
    </row>
    <row r="6" spans="1:7" x14ac:dyDescent="0.25">
      <c r="A6" s="8">
        <v>42804.060740740744</v>
      </c>
      <c r="B6" s="20" t="s">
        <v>462</v>
      </c>
      <c r="C6" s="20" t="s">
        <v>509</v>
      </c>
      <c r="D6" s="150">
        <v>2730000</v>
      </c>
      <c r="E6" s="20" t="s">
        <v>237</v>
      </c>
      <c r="F6" s="20" t="s">
        <v>238</v>
      </c>
      <c r="G6" s="8" t="str">
        <f t="shared" si="0"/>
        <v>YANG JAN</v>
      </c>
    </row>
    <row r="7" spans="1:7" x14ac:dyDescent="0.25">
      <c r="A7" s="8">
        <v>42804.071018518516</v>
      </c>
      <c r="B7" s="20" t="s">
        <v>401</v>
      </c>
      <c r="C7" s="20" t="s">
        <v>514</v>
      </c>
      <c r="D7" s="150">
        <v>2540000</v>
      </c>
      <c r="E7" s="20" t="s">
        <v>214</v>
      </c>
      <c r="F7" s="20" t="s">
        <v>215</v>
      </c>
      <c r="G7" s="8" t="str">
        <f t="shared" si="0"/>
        <v>MCREYNOLDS KYLE</v>
      </c>
    </row>
    <row r="8" spans="1:7" x14ac:dyDescent="0.25">
      <c r="A8" s="8">
        <v>42804.073368055557</v>
      </c>
      <c r="B8" s="20" t="s">
        <v>466</v>
      </c>
      <c r="C8" s="20" t="s">
        <v>510</v>
      </c>
      <c r="D8" s="150">
        <v>2730000</v>
      </c>
      <c r="E8" s="20" t="s">
        <v>237</v>
      </c>
      <c r="F8" s="20" t="s">
        <v>238</v>
      </c>
      <c r="G8" s="8" t="str">
        <f t="shared" si="0"/>
        <v>YANG JAN</v>
      </c>
    </row>
    <row r="9" spans="1:7" ht="15.75" thickBot="1" x14ac:dyDescent="0.3">
      <c r="A9" s="24">
        <v>42804.085752314815</v>
      </c>
      <c r="B9" s="20" t="s">
        <v>462</v>
      </c>
      <c r="C9" s="20" t="s">
        <v>509</v>
      </c>
      <c r="D9" s="150">
        <v>2730000</v>
      </c>
      <c r="E9" s="20" t="s">
        <v>237</v>
      </c>
      <c r="F9" s="20" t="s">
        <v>238</v>
      </c>
      <c r="G9" s="8" t="str">
        <f t="shared" si="0"/>
        <v>YANG JAN</v>
      </c>
    </row>
    <row r="10" spans="1:7" x14ac:dyDescent="0.25">
      <c r="A10" s="8">
        <v>42804.091979166667</v>
      </c>
      <c r="B10" s="20" t="s">
        <v>496</v>
      </c>
      <c r="C10" s="20" t="s">
        <v>515</v>
      </c>
      <c r="D10" s="150">
        <v>2150000</v>
      </c>
      <c r="E10" s="20" t="s">
        <v>476</v>
      </c>
      <c r="F10" s="20" t="s">
        <v>477</v>
      </c>
      <c r="G10" s="8" t="str">
        <f t="shared" si="0"/>
        <v>SWANSON BRYCE</v>
      </c>
    </row>
    <row r="11" spans="1:7" x14ac:dyDescent="0.25">
      <c r="A11" s="8">
        <v>42804.100902777776</v>
      </c>
      <c r="B11" s="20" t="s">
        <v>466</v>
      </c>
      <c r="C11" s="20" t="s">
        <v>510</v>
      </c>
      <c r="D11" s="150">
        <v>2730000</v>
      </c>
      <c r="E11" s="20" t="s">
        <v>237</v>
      </c>
      <c r="F11" s="20" t="s">
        <v>238</v>
      </c>
      <c r="G11" s="8" t="str">
        <f t="shared" si="0"/>
        <v>YANG JAN</v>
      </c>
    </row>
    <row r="12" spans="1:7" x14ac:dyDescent="0.25">
      <c r="A12" s="8">
        <v>42804.11314814815</v>
      </c>
      <c r="B12" s="20" t="s">
        <v>462</v>
      </c>
      <c r="C12" s="20" t="s">
        <v>509</v>
      </c>
      <c r="D12" s="150">
        <v>2730000</v>
      </c>
      <c r="E12" s="20" t="s">
        <v>237</v>
      </c>
      <c r="F12" s="20" t="s">
        <v>238</v>
      </c>
      <c r="G12" s="8" t="str">
        <f t="shared" si="0"/>
        <v>YANG JAN</v>
      </c>
    </row>
    <row r="13" spans="1:7" x14ac:dyDescent="0.25">
      <c r="A13" s="8">
        <v>42804.122858796298</v>
      </c>
      <c r="B13" s="20" t="s">
        <v>586</v>
      </c>
      <c r="C13" s="20" t="s">
        <v>612</v>
      </c>
      <c r="D13" s="150">
        <v>2550000</v>
      </c>
      <c r="E13" s="20" t="s">
        <v>613</v>
      </c>
      <c r="F13" s="20" t="s">
        <v>614</v>
      </c>
      <c r="G13" s="8" t="str">
        <f t="shared" si="0"/>
        <v>BADERTSCHER DIANE</v>
      </c>
    </row>
    <row r="14" spans="1:7" x14ac:dyDescent="0.25">
      <c r="A14" s="8">
        <v>42804.124826388892</v>
      </c>
      <c r="B14" s="20" t="s">
        <v>407</v>
      </c>
      <c r="C14" s="20" t="s">
        <v>563</v>
      </c>
      <c r="D14" s="150">
        <v>1090000</v>
      </c>
      <c r="E14" s="20" t="s">
        <v>499</v>
      </c>
      <c r="F14" s="20" t="s">
        <v>200</v>
      </c>
      <c r="G14" s="8" t="str">
        <f t="shared" si="0"/>
        <v>SPECTOR MICHAEL</v>
      </c>
    </row>
    <row r="15" spans="1:7" x14ac:dyDescent="0.25">
      <c r="A15" s="8">
        <v>42804.134525462963</v>
      </c>
      <c r="B15" s="20" t="s">
        <v>498</v>
      </c>
      <c r="C15" s="20" t="s">
        <v>615</v>
      </c>
      <c r="D15" s="150">
        <v>2550000</v>
      </c>
      <c r="E15" s="20" t="s">
        <v>613</v>
      </c>
      <c r="F15" s="20" t="s">
        <v>614</v>
      </c>
      <c r="G15" s="8" t="str">
        <f t="shared" si="0"/>
        <v>BADERTSCHER DIANE</v>
      </c>
    </row>
    <row r="16" spans="1:7" x14ac:dyDescent="0.25">
      <c r="A16" s="8">
        <v>42804.140694444446</v>
      </c>
      <c r="B16" s="20" t="s">
        <v>567</v>
      </c>
      <c r="C16" s="20" t="s">
        <v>616</v>
      </c>
      <c r="D16" s="150">
        <v>1990000</v>
      </c>
      <c r="E16" s="20" t="s">
        <v>617</v>
      </c>
      <c r="F16" s="20" t="s">
        <v>618</v>
      </c>
      <c r="G16" s="8" t="str">
        <f t="shared" si="0"/>
        <v>DAVIS WENDY</v>
      </c>
    </row>
    <row r="17" spans="1:7" x14ac:dyDescent="0.25">
      <c r="A17" s="8">
        <v>42804.141782407409</v>
      </c>
      <c r="B17" s="20" t="s">
        <v>567</v>
      </c>
      <c r="C17" s="20" t="s">
        <v>616</v>
      </c>
      <c r="D17" s="150">
        <v>1990000</v>
      </c>
      <c r="E17" s="20" t="s">
        <v>617</v>
      </c>
      <c r="F17" s="20" t="s">
        <v>618</v>
      </c>
      <c r="G17" s="8" t="str">
        <f t="shared" si="0"/>
        <v>DAVIS WENDY</v>
      </c>
    </row>
    <row r="18" spans="1:7" x14ac:dyDescent="0.25">
      <c r="A18" s="8">
        <v>42804.151597222219</v>
      </c>
      <c r="B18" s="20" t="s">
        <v>211</v>
      </c>
      <c r="C18" s="20" t="s">
        <v>619</v>
      </c>
      <c r="D18" s="150">
        <v>1990000</v>
      </c>
      <c r="E18" s="20" t="s">
        <v>617</v>
      </c>
      <c r="F18" s="20" t="s">
        <v>618</v>
      </c>
      <c r="G18" s="8" t="str">
        <f t="shared" si="0"/>
        <v>DAVIS WENDY</v>
      </c>
    </row>
    <row r="19" spans="1:7" x14ac:dyDescent="0.25">
      <c r="A19" s="8">
        <v>42804.154699074075</v>
      </c>
      <c r="B19" s="20" t="s">
        <v>406</v>
      </c>
      <c r="C19" s="20" t="s">
        <v>563</v>
      </c>
      <c r="D19" s="150">
        <v>1090000</v>
      </c>
      <c r="E19" s="20" t="s">
        <v>499</v>
      </c>
      <c r="F19" s="20" t="s">
        <v>200</v>
      </c>
      <c r="G19" s="8" t="str">
        <f t="shared" si="0"/>
        <v>SPECTOR MICHAEL</v>
      </c>
    </row>
    <row r="20" spans="1:7" x14ac:dyDescent="0.25">
      <c r="A20" s="8">
        <v>42804.15693287037</v>
      </c>
      <c r="B20" s="20" t="s">
        <v>564</v>
      </c>
      <c r="C20" s="20" t="s">
        <v>565</v>
      </c>
      <c r="D20" s="150">
        <v>2140000</v>
      </c>
      <c r="E20" s="20" t="s">
        <v>501</v>
      </c>
      <c r="F20" s="20" t="s">
        <v>502</v>
      </c>
      <c r="G20" s="8" t="str">
        <f t="shared" si="0"/>
        <v>ROBINSON KADDIBA</v>
      </c>
    </row>
    <row r="21" spans="1:7" x14ac:dyDescent="0.25">
      <c r="A21" s="8">
        <v>42804.165405092594</v>
      </c>
      <c r="B21" s="20" t="s">
        <v>406</v>
      </c>
      <c r="C21" s="20" t="s">
        <v>563</v>
      </c>
      <c r="D21" s="150">
        <v>1090000</v>
      </c>
      <c r="E21" s="20" t="s">
        <v>499</v>
      </c>
      <c r="F21" s="20" t="s">
        <v>200</v>
      </c>
      <c r="G21" s="8" t="str">
        <f t="shared" si="0"/>
        <v>SPECTOR MICHAEL</v>
      </c>
    </row>
    <row r="22" spans="1:7" x14ac:dyDescent="0.25">
      <c r="A22" s="26">
        <v>42804.171134259261</v>
      </c>
      <c r="B22" s="20" t="s">
        <v>465</v>
      </c>
      <c r="C22" s="20" t="s">
        <v>620</v>
      </c>
      <c r="D22" s="150">
        <v>1110000</v>
      </c>
      <c r="E22" s="20" t="s">
        <v>422</v>
      </c>
      <c r="F22" s="20" t="s">
        <v>423</v>
      </c>
      <c r="G22" s="8" t="str">
        <f t="shared" si="0"/>
        <v>STARKS ANGELINA</v>
      </c>
    </row>
    <row r="23" spans="1:7" x14ac:dyDescent="0.25">
      <c r="A23" s="8">
        <v>42804.177986111114</v>
      </c>
      <c r="B23" s="20" t="s">
        <v>465</v>
      </c>
      <c r="C23" s="20" t="s">
        <v>620</v>
      </c>
      <c r="D23" s="150">
        <v>1110000</v>
      </c>
      <c r="E23" s="20" t="s">
        <v>422</v>
      </c>
      <c r="F23" s="20" t="s">
        <v>423</v>
      </c>
      <c r="G23" s="8" t="str">
        <f t="shared" si="0"/>
        <v>STARKS ANGELINA</v>
      </c>
    </row>
    <row r="24" spans="1:7" x14ac:dyDescent="0.25">
      <c r="A24" s="8">
        <v>42804.18440972222</v>
      </c>
      <c r="B24" s="20" t="s">
        <v>228</v>
      </c>
      <c r="C24" s="20" t="s">
        <v>621</v>
      </c>
      <c r="D24" s="150">
        <v>890000</v>
      </c>
      <c r="E24" s="20" t="s">
        <v>470</v>
      </c>
      <c r="F24" s="20" t="s">
        <v>471</v>
      </c>
      <c r="G24" s="8" t="str">
        <f t="shared" si="0"/>
        <v>LOZA FIDEL</v>
      </c>
    </row>
    <row r="25" spans="1:7" x14ac:dyDescent="0.25">
      <c r="A25" s="8">
        <v>42804.185590277775</v>
      </c>
      <c r="B25" s="20" t="s">
        <v>469</v>
      </c>
      <c r="C25" s="20" t="s">
        <v>566</v>
      </c>
      <c r="D25" s="150">
        <v>1110000</v>
      </c>
      <c r="E25" s="20" t="s">
        <v>422</v>
      </c>
      <c r="F25" s="20" t="s">
        <v>423</v>
      </c>
      <c r="G25" s="8" t="str">
        <f t="shared" si="0"/>
        <v>STARKS ANGELINA</v>
      </c>
    </row>
    <row r="26" spans="1:7" x14ac:dyDescent="0.25">
      <c r="A26" s="8">
        <v>42804.185833333337</v>
      </c>
      <c r="B26" s="20" t="s">
        <v>586</v>
      </c>
      <c r="C26" s="20" t="s">
        <v>622</v>
      </c>
      <c r="D26" s="150">
        <v>2550000</v>
      </c>
      <c r="E26" s="20" t="s">
        <v>613</v>
      </c>
      <c r="F26" s="20" t="s">
        <v>614</v>
      </c>
      <c r="G26" s="8" t="str">
        <f t="shared" si="0"/>
        <v>BADERTSCHER DIANE</v>
      </c>
    </row>
    <row r="27" spans="1:7" x14ac:dyDescent="0.25">
      <c r="A27" s="8">
        <v>42804.19258101852</v>
      </c>
      <c r="B27" s="20" t="s">
        <v>567</v>
      </c>
      <c r="C27" s="20" t="s">
        <v>568</v>
      </c>
      <c r="D27" s="150">
        <v>1990000</v>
      </c>
      <c r="E27" s="20" t="s">
        <v>617</v>
      </c>
      <c r="F27" s="20" t="s">
        <v>618</v>
      </c>
      <c r="G27" s="8" t="str">
        <f t="shared" si="0"/>
        <v>DAVIS WENDY</v>
      </c>
    </row>
    <row r="28" spans="1:7" x14ac:dyDescent="0.25">
      <c r="A28" s="8">
        <v>42804.195219907408</v>
      </c>
      <c r="B28" s="20" t="s">
        <v>190</v>
      </c>
      <c r="C28" s="20" t="s">
        <v>623</v>
      </c>
      <c r="D28" s="150">
        <v>890000</v>
      </c>
      <c r="E28" s="20" t="s">
        <v>470</v>
      </c>
      <c r="F28" s="20" t="s">
        <v>471</v>
      </c>
      <c r="G28" s="8" t="str">
        <f t="shared" si="0"/>
        <v>LOZA FIDEL</v>
      </c>
    </row>
    <row r="29" spans="1:7" x14ac:dyDescent="0.25">
      <c r="A29" s="8">
        <v>42804.200196759259</v>
      </c>
      <c r="B29" s="20" t="s">
        <v>405</v>
      </c>
      <c r="C29" s="20" t="s">
        <v>624</v>
      </c>
      <c r="D29" s="150">
        <v>1100000</v>
      </c>
      <c r="E29" s="20" t="s">
        <v>467</v>
      </c>
      <c r="F29" s="20" t="s">
        <v>468</v>
      </c>
      <c r="G29" s="8" t="str">
        <f t="shared" si="0"/>
        <v>GEBRETEKLE DAGNEW</v>
      </c>
    </row>
    <row r="30" spans="1:7" x14ac:dyDescent="0.25">
      <c r="A30" s="8">
        <v>42804.202002314814</v>
      </c>
      <c r="B30" s="20" t="s">
        <v>407</v>
      </c>
      <c r="C30" s="20" t="s">
        <v>625</v>
      </c>
      <c r="D30" s="150">
        <v>940000</v>
      </c>
      <c r="E30" s="20" t="s">
        <v>424</v>
      </c>
      <c r="F30" s="20" t="s">
        <v>425</v>
      </c>
      <c r="G30" s="8" t="str">
        <f t="shared" si="0"/>
        <v>BONDS REYNALDO</v>
      </c>
    </row>
    <row r="31" spans="1:7" x14ac:dyDescent="0.25">
      <c r="A31" s="8">
        <v>42804.210555555554</v>
      </c>
      <c r="B31" s="20" t="s">
        <v>204</v>
      </c>
      <c r="C31" s="20" t="s">
        <v>626</v>
      </c>
      <c r="D31" s="150">
        <v>1100000</v>
      </c>
      <c r="E31" s="20" t="s">
        <v>467</v>
      </c>
      <c r="F31" s="20" t="s">
        <v>468</v>
      </c>
      <c r="G31" s="8" t="str">
        <f t="shared" si="0"/>
        <v>GEBRETEKLE DAGNEW</v>
      </c>
    </row>
    <row r="32" spans="1:7" x14ac:dyDescent="0.25">
      <c r="A32" s="8">
        <v>42804.217499999999</v>
      </c>
      <c r="B32" s="20" t="s">
        <v>498</v>
      </c>
      <c r="C32" s="20" t="s">
        <v>627</v>
      </c>
      <c r="D32" s="150">
        <v>2550000</v>
      </c>
      <c r="E32" s="20" t="s">
        <v>613</v>
      </c>
      <c r="F32" s="20" t="s">
        <v>614</v>
      </c>
      <c r="G32" s="8" t="str">
        <f t="shared" si="0"/>
        <v>BADERTSCHER DIANE</v>
      </c>
    </row>
    <row r="33" spans="1:7" x14ac:dyDescent="0.25">
      <c r="A33" s="8">
        <v>42804.224722222221</v>
      </c>
      <c r="B33" s="20" t="s">
        <v>465</v>
      </c>
      <c r="C33" s="20" t="s">
        <v>569</v>
      </c>
      <c r="D33" s="150">
        <v>1110000</v>
      </c>
      <c r="E33" s="20" t="s">
        <v>422</v>
      </c>
      <c r="F33" s="20" t="s">
        <v>423</v>
      </c>
      <c r="G33" s="8" t="str">
        <f t="shared" si="0"/>
        <v>STARKS ANGELINA</v>
      </c>
    </row>
    <row r="34" spans="1:7" x14ac:dyDescent="0.25">
      <c r="A34" s="8">
        <v>42804.2265625</v>
      </c>
      <c r="B34" s="20" t="s">
        <v>584</v>
      </c>
      <c r="C34" s="20" t="s">
        <v>628</v>
      </c>
      <c r="D34" s="150">
        <v>900000</v>
      </c>
      <c r="E34" s="20" t="s">
        <v>426</v>
      </c>
      <c r="F34" s="20" t="s">
        <v>427</v>
      </c>
      <c r="G34" s="8" t="str">
        <f t="shared" si="0"/>
        <v>ROCHA YAOTL</v>
      </c>
    </row>
    <row r="35" spans="1:7" x14ac:dyDescent="0.25">
      <c r="A35" s="8">
        <v>42804.227222222224</v>
      </c>
      <c r="B35" s="20" t="s">
        <v>405</v>
      </c>
      <c r="C35" s="20" t="s">
        <v>629</v>
      </c>
      <c r="D35" s="150">
        <v>1100000</v>
      </c>
      <c r="E35" s="20" t="s">
        <v>467</v>
      </c>
      <c r="F35" s="20" t="s">
        <v>468</v>
      </c>
      <c r="G35" s="8" t="str">
        <f t="shared" si="0"/>
        <v>GEBRETEKLE DAGNEW</v>
      </c>
    </row>
    <row r="36" spans="1:7" x14ac:dyDescent="0.25">
      <c r="A36" s="8">
        <v>42804.232824074075</v>
      </c>
      <c r="B36" s="20" t="s">
        <v>228</v>
      </c>
      <c r="C36" s="20" t="s">
        <v>630</v>
      </c>
      <c r="D36" s="150">
        <v>890000</v>
      </c>
      <c r="E36" s="20" t="s">
        <v>470</v>
      </c>
      <c r="F36" s="20" t="s">
        <v>471</v>
      </c>
      <c r="G36" s="8" t="str">
        <f t="shared" si="0"/>
        <v>LOZA FIDEL</v>
      </c>
    </row>
    <row r="37" spans="1:7" x14ac:dyDescent="0.25">
      <c r="A37" s="8">
        <v>42804.233460648145</v>
      </c>
      <c r="B37" s="20" t="s">
        <v>211</v>
      </c>
      <c r="C37" s="20" t="s">
        <v>631</v>
      </c>
      <c r="D37" s="150">
        <v>1990000</v>
      </c>
      <c r="E37" s="20" t="s">
        <v>617</v>
      </c>
      <c r="F37" s="20" t="s">
        <v>618</v>
      </c>
      <c r="G37" s="8" t="str">
        <f t="shared" si="0"/>
        <v>DAVIS WENDY</v>
      </c>
    </row>
    <row r="38" spans="1:7" x14ac:dyDescent="0.25">
      <c r="A38" s="8">
        <v>42804.239872685182</v>
      </c>
      <c r="B38" s="20" t="s">
        <v>632</v>
      </c>
      <c r="C38" s="20" t="s">
        <v>633</v>
      </c>
      <c r="D38" s="150">
        <v>2020000</v>
      </c>
      <c r="E38" s="20" t="s">
        <v>503</v>
      </c>
      <c r="F38" s="20" t="s">
        <v>402</v>
      </c>
      <c r="G38" s="8" t="str">
        <f t="shared" si="0"/>
        <v>SHOOK JOHN</v>
      </c>
    </row>
    <row r="39" spans="1:7" x14ac:dyDescent="0.25">
      <c r="A39" s="8">
        <v>42804.24355324074</v>
      </c>
      <c r="B39" s="20" t="s">
        <v>406</v>
      </c>
      <c r="C39" s="20" t="s">
        <v>634</v>
      </c>
      <c r="D39" s="150">
        <v>940000</v>
      </c>
      <c r="E39" s="20" t="s">
        <v>424</v>
      </c>
      <c r="F39" s="20" t="s">
        <v>425</v>
      </c>
      <c r="G39" s="8" t="str">
        <f t="shared" si="0"/>
        <v>BONDS REYNALDO</v>
      </c>
    </row>
    <row r="40" spans="1:7" x14ac:dyDescent="0.25">
      <c r="A40" s="8">
        <v>42804.244988425926</v>
      </c>
      <c r="B40" s="25" t="s">
        <v>406</v>
      </c>
      <c r="C40" s="20" t="s">
        <v>634</v>
      </c>
      <c r="D40" s="150">
        <v>940000</v>
      </c>
      <c r="E40" s="20" t="s">
        <v>424</v>
      </c>
      <c r="F40" s="20" t="s">
        <v>425</v>
      </c>
      <c r="G40" s="8" t="str">
        <f t="shared" si="0"/>
        <v>BONDS REYNALDO</v>
      </c>
    </row>
    <row r="41" spans="1:7" x14ac:dyDescent="0.25">
      <c r="A41" s="8">
        <v>42804.247766203705</v>
      </c>
      <c r="B41" s="20" t="s">
        <v>574</v>
      </c>
      <c r="C41" s="20" t="s">
        <v>635</v>
      </c>
      <c r="D41" s="150">
        <v>2140000</v>
      </c>
      <c r="E41" s="20" t="s">
        <v>501</v>
      </c>
      <c r="F41" s="20" t="s">
        <v>502</v>
      </c>
      <c r="G41" s="8" t="str">
        <f t="shared" si="0"/>
        <v>ROBINSON KADDIBA</v>
      </c>
    </row>
    <row r="42" spans="1:7" x14ac:dyDescent="0.25">
      <c r="A42" s="8">
        <v>42804.254814814813</v>
      </c>
      <c r="B42" s="20" t="s">
        <v>204</v>
      </c>
      <c r="C42" s="20" t="s">
        <v>636</v>
      </c>
      <c r="D42" s="150">
        <v>1100000</v>
      </c>
      <c r="E42" s="20" t="s">
        <v>467</v>
      </c>
      <c r="F42" s="20" t="s">
        <v>468</v>
      </c>
      <c r="G42" s="8" t="str">
        <f t="shared" si="0"/>
        <v>GEBRETEKLE DAGNEW</v>
      </c>
    </row>
    <row r="43" spans="1:7" x14ac:dyDescent="0.25">
      <c r="A43" s="8">
        <v>42804.257118055553</v>
      </c>
      <c r="B43" s="20" t="s">
        <v>497</v>
      </c>
      <c r="C43" s="20" t="s">
        <v>570</v>
      </c>
      <c r="D43" s="150">
        <v>2550000</v>
      </c>
      <c r="E43" s="20" t="s">
        <v>613</v>
      </c>
      <c r="F43" s="20" t="s">
        <v>614</v>
      </c>
      <c r="G43" s="8" t="str">
        <f t="shared" si="0"/>
        <v>BADERTSCHER DIANE</v>
      </c>
    </row>
    <row r="44" spans="1:7" x14ac:dyDescent="0.25">
      <c r="A44" s="8">
        <v>42804.260798611111</v>
      </c>
      <c r="B44" s="20" t="s">
        <v>637</v>
      </c>
      <c r="C44" s="20" t="s">
        <v>638</v>
      </c>
      <c r="D44" s="150">
        <v>2020000</v>
      </c>
      <c r="E44" s="20" t="s">
        <v>503</v>
      </c>
      <c r="F44" s="20" t="s">
        <v>402</v>
      </c>
      <c r="G44" s="8" t="str">
        <f t="shared" si="0"/>
        <v>SHOOK JOHN</v>
      </c>
    </row>
    <row r="45" spans="1:7" x14ac:dyDescent="0.25">
      <c r="A45" s="8">
        <v>42804.261574074073</v>
      </c>
      <c r="B45" s="20" t="s">
        <v>637</v>
      </c>
      <c r="C45" s="20" t="s">
        <v>638</v>
      </c>
      <c r="D45" s="150">
        <v>2020000</v>
      </c>
      <c r="E45" s="20" t="s">
        <v>503</v>
      </c>
      <c r="F45" s="20" t="s">
        <v>402</v>
      </c>
      <c r="G45" s="8" t="str">
        <f t="shared" si="0"/>
        <v>SHOOK JOHN</v>
      </c>
    </row>
    <row r="46" spans="1:7" x14ac:dyDescent="0.25">
      <c r="A46" s="8">
        <v>42804.263784722221</v>
      </c>
      <c r="B46" s="20" t="s">
        <v>637</v>
      </c>
      <c r="C46" s="20" t="s">
        <v>638</v>
      </c>
      <c r="D46" s="150">
        <v>2020000</v>
      </c>
      <c r="E46" s="20" t="s">
        <v>503</v>
      </c>
      <c r="F46" s="20" t="s">
        <v>402</v>
      </c>
      <c r="G46" s="8" t="str">
        <f t="shared" si="0"/>
        <v>SHOOK JOHN</v>
      </c>
    </row>
    <row r="47" spans="1:7" x14ac:dyDescent="0.25">
      <c r="A47" s="8">
        <v>42804.267812500002</v>
      </c>
      <c r="B47" s="20" t="s">
        <v>586</v>
      </c>
      <c r="C47" s="20" t="s">
        <v>639</v>
      </c>
      <c r="D47" s="150">
        <v>900000</v>
      </c>
      <c r="E47" s="20" t="s">
        <v>426</v>
      </c>
      <c r="F47" s="20" t="s">
        <v>427</v>
      </c>
      <c r="G47" s="8" t="str">
        <f t="shared" si="0"/>
        <v>ROCHA YAOTL</v>
      </c>
    </row>
    <row r="48" spans="1:7" x14ac:dyDescent="0.25">
      <c r="A48" s="8">
        <v>42804.26871527778</v>
      </c>
      <c r="B48" s="20" t="s">
        <v>405</v>
      </c>
      <c r="C48" s="20" t="s">
        <v>640</v>
      </c>
      <c r="D48" s="150">
        <v>1100000</v>
      </c>
      <c r="E48" s="20" t="s">
        <v>467</v>
      </c>
      <c r="F48" s="20" t="s">
        <v>468</v>
      </c>
      <c r="G48" s="8" t="str">
        <f t="shared" si="0"/>
        <v>GEBRETEKLE DAGNEW</v>
      </c>
    </row>
    <row r="49" spans="1:7" x14ac:dyDescent="0.25">
      <c r="A49" s="8">
        <v>42804.270474537036</v>
      </c>
      <c r="B49" s="20" t="s">
        <v>190</v>
      </c>
      <c r="C49" s="20" t="s">
        <v>641</v>
      </c>
      <c r="D49" s="150">
        <v>890000</v>
      </c>
      <c r="E49" s="20" t="s">
        <v>470</v>
      </c>
      <c r="F49" s="20" t="s">
        <v>471</v>
      </c>
      <c r="G49" s="8" t="str">
        <f t="shared" si="0"/>
        <v>LOZA FIDEL</v>
      </c>
    </row>
    <row r="50" spans="1:7" x14ac:dyDescent="0.25">
      <c r="A50" s="8">
        <v>42804.276759259257</v>
      </c>
      <c r="B50" s="20" t="s">
        <v>632</v>
      </c>
      <c r="C50" s="20" t="s">
        <v>642</v>
      </c>
      <c r="D50" s="150">
        <v>2020000</v>
      </c>
      <c r="E50" s="20" t="s">
        <v>503</v>
      </c>
      <c r="F50" s="20" t="s">
        <v>402</v>
      </c>
      <c r="G50" s="8" t="str">
        <f t="shared" si="0"/>
        <v>SHOOK JOHN</v>
      </c>
    </row>
    <row r="51" spans="1:7" x14ac:dyDescent="0.25">
      <c r="A51" s="8">
        <v>42804.277615740742</v>
      </c>
      <c r="B51" s="20" t="s">
        <v>212</v>
      </c>
      <c r="C51" s="20" t="s">
        <v>643</v>
      </c>
      <c r="D51" s="150">
        <v>1990000</v>
      </c>
      <c r="E51" s="20" t="s">
        <v>617</v>
      </c>
      <c r="F51" s="20" t="s">
        <v>618</v>
      </c>
      <c r="G51" s="8" t="str">
        <f t="shared" si="0"/>
        <v>DAVIS WENDY</v>
      </c>
    </row>
    <row r="52" spans="1:7" x14ac:dyDescent="0.25">
      <c r="A52" s="8">
        <v>42804.27815972222</v>
      </c>
      <c r="B52" s="20" t="s">
        <v>407</v>
      </c>
      <c r="C52" s="20" t="s">
        <v>644</v>
      </c>
      <c r="D52" s="150">
        <v>940000</v>
      </c>
      <c r="E52" s="20" t="s">
        <v>424</v>
      </c>
      <c r="F52" s="20" t="s">
        <v>425</v>
      </c>
      <c r="G52" s="8" t="str">
        <f t="shared" si="0"/>
        <v>BONDS REYNALDO</v>
      </c>
    </row>
    <row r="53" spans="1:7" x14ac:dyDescent="0.25">
      <c r="A53" s="8">
        <v>42804.286400462966</v>
      </c>
      <c r="B53" s="20" t="s">
        <v>567</v>
      </c>
      <c r="C53" s="20" t="s">
        <v>571</v>
      </c>
      <c r="D53" s="150">
        <v>1990000</v>
      </c>
      <c r="E53" s="20" t="s">
        <v>617</v>
      </c>
      <c r="F53" s="20" t="s">
        <v>618</v>
      </c>
      <c r="G53" s="8" t="str">
        <f t="shared" si="0"/>
        <v>DAVIS WENDY</v>
      </c>
    </row>
    <row r="54" spans="1:7" x14ac:dyDescent="0.25">
      <c r="A54" s="8">
        <v>42804.290833333333</v>
      </c>
      <c r="B54" s="20" t="s">
        <v>637</v>
      </c>
      <c r="C54" s="20" t="s">
        <v>645</v>
      </c>
      <c r="D54" s="150">
        <v>2020000</v>
      </c>
      <c r="E54" s="20" t="s">
        <v>503</v>
      </c>
      <c r="F54" s="20" t="s">
        <v>402</v>
      </c>
      <c r="G54" s="8" t="str">
        <f t="shared" si="0"/>
        <v>SHOOK JOHN</v>
      </c>
    </row>
    <row r="55" spans="1:7" x14ac:dyDescent="0.25">
      <c r="A55" s="8">
        <v>42804.291504629633</v>
      </c>
      <c r="B55" s="20" t="s">
        <v>498</v>
      </c>
      <c r="C55" s="20" t="s">
        <v>646</v>
      </c>
      <c r="D55" s="150">
        <v>2550000</v>
      </c>
      <c r="E55" s="20" t="s">
        <v>613</v>
      </c>
      <c r="F55" s="20" t="s">
        <v>614</v>
      </c>
      <c r="G55" s="8" t="str">
        <f t="shared" si="0"/>
        <v>BADERTSCHER DIANE</v>
      </c>
    </row>
    <row r="56" spans="1:7" x14ac:dyDescent="0.25">
      <c r="A56" s="8">
        <v>42804.295162037037</v>
      </c>
      <c r="B56" s="20" t="s">
        <v>465</v>
      </c>
      <c r="C56" s="20" t="s">
        <v>647</v>
      </c>
      <c r="D56" s="150">
        <v>1110000</v>
      </c>
      <c r="E56" s="20" t="s">
        <v>422</v>
      </c>
      <c r="F56" s="20" t="s">
        <v>423</v>
      </c>
      <c r="G56" s="8" t="str">
        <f t="shared" si="0"/>
        <v>STARKS ANGELINA</v>
      </c>
    </row>
    <row r="57" spans="1:7" x14ac:dyDescent="0.25">
      <c r="A57" s="8">
        <v>42804.296331018515</v>
      </c>
      <c r="B57" s="20" t="s">
        <v>204</v>
      </c>
      <c r="C57" s="20" t="s">
        <v>648</v>
      </c>
      <c r="D57" s="150">
        <v>1100000</v>
      </c>
      <c r="E57" s="20" t="s">
        <v>467</v>
      </c>
      <c r="F57" s="20" t="s">
        <v>468</v>
      </c>
      <c r="G57" s="8" t="str">
        <f t="shared" si="0"/>
        <v>GEBRETEKLE DAGNEW</v>
      </c>
    </row>
    <row r="58" spans="1:7" x14ac:dyDescent="0.25">
      <c r="A58" s="8">
        <v>42804.29791666667</v>
      </c>
      <c r="B58" s="20" t="s">
        <v>465</v>
      </c>
      <c r="C58" s="20" t="s">
        <v>647</v>
      </c>
      <c r="D58" s="150">
        <v>1110000</v>
      </c>
      <c r="E58" s="20" t="s">
        <v>422</v>
      </c>
      <c r="F58" s="20" t="s">
        <v>423</v>
      </c>
      <c r="G58" s="8" t="str">
        <f t="shared" si="0"/>
        <v>STARKS ANGELINA</v>
      </c>
    </row>
    <row r="59" spans="1:7" x14ac:dyDescent="0.25">
      <c r="A59" s="8">
        <v>42804.300775462965</v>
      </c>
      <c r="B59" s="20" t="s">
        <v>584</v>
      </c>
      <c r="C59" s="20" t="s">
        <v>649</v>
      </c>
      <c r="D59" s="150">
        <v>900000</v>
      </c>
      <c r="E59" s="20" t="s">
        <v>426</v>
      </c>
      <c r="F59" s="20" t="s">
        <v>427</v>
      </c>
      <c r="G59" s="8" t="str">
        <f t="shared" si="0"/>
        <v>ROCHA YAOTL</v>
      </c>
    </row>
    <row r="60" spans="1:7" x14ac:dyDescent="0.25">
      <c r="A60" s="8">
        <v>42804.305104166669</v>
      </c>
      <c r="B60" s="20" t="s">
        <v>574</v>
      </c>
      <c r="C60" s="20" t="s">
        <v>571</v>
      </c>
      <c r="D60" s="150">
        <v>2140000</v>
      </c>
      <c r="E60" s="20" t="s">
        <v>501</v>
      </c>
      <c r="F60" s="20" t="s">
        <v>502</v>
      </c>
      <c r="G60" s="8" t="str">
        <f t="shared" si="0"/>
        <v>ROBINSON KADDIBA</v>
      </c>
    </row>
    <row r="61" spans="1:7" x14ac:dyDescent="0.25">
      <c r="A61" s="8">
        <v>42804.306944444441</v>
      </c>
      <c r="B61" s="20" t="s">
        <v>567</v>
      </c>
      <c r="C61" s="20" t="s">
        <v>571</v>
      </c>
      <c r="D61" s="150">
        <v>1990000</v>
      </c>
      <c r="E61" s="20" t="s">
        <v>617</v>
      </c>
      <c r="F61" s="20" t="s">
        <v>618</v>
      </c>
      <c r="G61" s="8" t="str">
        <f t="shared" si="0"/>
        <v>DAVIS WENDY</v>
      </c>
    </row>
    <row r="62" spans="1:7" x14ac:dyDescent="0.25">
      <c r="A62" s="8">
        <v>42804.307500000003</v>
      </c>
      <c r="B62" s="20" t="s">
        <v>228</v>
      </c>
      <c r="C62" s="20" t="s">
        <v>650</v>
      </c>
      <c r="D62" s="150">
        <v>890000</v>
      </c>
      <c r="E62" s="20" t="s">
        <v>470</v>
      </c>
      <c r="F62" s="20" t="s">
        <v>471</v>
      </c>
      <c r="G62" s="8" t="str">
        <f t="shared" si="0"/>
        <v>LOZA FIDEL</v>
      </c>
    </row>
    <row r="63" spans="1:7" x14ac:dyDescent="0.25">
      <c r="A63" s="8">
        <v>42804.309444444443</v>
      </c>
      <c r="B63" s="20" t="s">
        <v>211</v>
      </c>
      <c r="C63" s="20" t="s">
        <v>651</v>
      </c>
      <c r="D63" s="150">
        <v>1990000</v>
      </c>
      <c r="E63" s="20" t="s">
        <v>617</v>
      </c>
      <c r="F63" s="20" t="s">
        <v>618</v>
      </c>
      <c r="G63" s="8" t="str">
        <f t="shared" si="0"/>
        <v>DAVIS WENDY</v>
      </c>
    </row>
    <row r="64" spans="1:7" x14ac:dyDescent="0.25">
      <c r="A64" s="26">
        <v>42804.311574074076</v>
      </c>
      <c r="B64" s="20" t="s">
        <v>405</v>
      </c>
      <c r="C64" s="20" t="s">
        <v>652</v>
      </c>
      <c r="D64" s="150">
        <v>1100000</v>
      </c>
      <c r="E64" s="20" t="s">
        <v>467</v>
      </c>
      <c r="F64" s="20" t="s">
        <v>468</v>
      </c>
      <c r="G64" s="8" t="str">
        <f t="shared" si="0"/>
        <v>GEBRETEKLE DAGNEW</v>
      </c>
    </row>
    <row r="65" spans="1:7" x14ac:dyDescent="0.25">
      <c r="A65" s="8">
        <v>42804.317708333336</v>
      </c>
      <c r="B65" s="20" t="s">
        <v>406</v>
      </c>
      <c r="C65" s="20" t="s">
        <v>653</v>
      </c>
      <c r="D65" s="150">
        <v>940000</v>
      </c>
      <c r="E65" s="20" t="s">
        <v>424</v>
      </c>
      <c r="F65" s="20" t="s">
        <v>425</v>
      </c>
      <c r="G65" s="8" t="str">
        <f t="shared" si="0"/>
        <v>BONDS REYNALDO</v>
      </c>
    </row>
    <row r="66" spans="1:7" x14ac:dyDescent="0.25">
      <c r="A66" s="8">
        <v>42804.317916666667</v>
      </c>
      <c r="B66" s="20" t="s">
        <v>632</v>
      </c>
      <c r="C66" s="20" t="s">
        <v>654</v>
      </c>
      <c r="D66" s="150">
        <v>2020000</v>
      </c>
      <c r="E66" s="20" t="s">
        <v>503</v>
      </c>
      <c r="F66" s="20" t="s">
        <v>402</v>
      </c>
      <c r="G66" s="8" t="str">
        <f t="shared" si="0"/>
        <v>SHOOK JOHN</v>
      </c>
    </row>
    <row r="67" spans="1:7" x14ac:dyDescent="0.25">
      <c r="A67" s="8">
        <v>42804.32135416667</v>
      </c>
      <c r="B67" s="20" t="s">
        <v>497</v>
      </c>
      <c r="C67" s="20" t="s">
        <v>655</v>
      </c>
      <c r="D67" s="150">
        <v>2550000</v>
      </c>
      <c r="E67" s="20" t="s">
        <v>613</v>
      </c>
      <c r="F67" s="20" t="s">
        <v>614</v>
      </c>
      <c r="G67" s="8" t="str">
        <f t="shared" ref="G67:G130" si="1">E67&amp;" "&amp;F67</f>
        <v>BADERTSCHER DIANE</v>
      </c>
    </row>
    <row r="68" spans="1:7" x14ac:dyDescent="0.25">
      <c r="A68" s="8">
        <v>42804.324328703704</v>
      </c>
      <c r="B68" s="20" t="s">
        <v>574</v>
      </c>
      <c r="C68" s="20" t="s">
        <v>656</v>
      </c>
      <c r="D68" s="150">
        <v>2140000</v>
      </c>
      <c r="E68" s="20" t="s">
        <v>501</v>
      </c>
      <c r="F68" s="20" t="s">
        <v>502</v>
      </c>
      <c r="G68" s="8" t="str">
        <f t="shared" si="1"/>
        <v>ROBINSON KADDIBA</v>
      </c>
    </row>
    <row r="69" spans="1:7" x14ac:dyDescent="0.25">
      <c r="A69" s="8">
        <v>42804.332766203705</v>
      </c>
      <c r="B69" s="20" t="s">
        <v>637</v>
      </c>
      <c r="C69" s="20" t="s">
        <v>657</v>
      </c>
      <c r="D69" s="150">
        <v>2020000</v>
      </c>
      <c r="E69" s="20" t="s">
        <v>503</v>
      </c>
      <c r="F69" s="20" t="s">
        <v>402</v>
      </c>
      <c r="G69" s="8" t="str">
        <f t="shared" si="1"/>
        <v>SHOOK JOHN</v>
      </c>
    </row>
    <row r="70" spans="1:7" x14ac:dyDescent="0.25">
      <c r="A70" s="8">
        <v>42804.337754629632</v>
      </c>
      <c r="B70" s="20" t="s">
        <v>204</v>
      </c>
      <c r="C70" s="20" t="s">
        <v>658</v>
      </c>
      <c r="D70" s="150">
        <v>1100000</v>
      </c>
      <c r="E70" s="20" t="s">
        <v>467</v>
      </c>
      <c r="F70" s="20" t="s">
        <v>468</v>
      </c>
      <c r="G70" s="8" t="str">
        <f t="shared" si="1"/>
        <v>GEBRETEKLE DAGNEW</v>
      </c>
    </row>
    <row r="71" spans="1:7" x14ac:dyDescent="0.25">
      <c r="A71" s="8">
        <v>42804.338229166664</v>
      </c>
      <c r="B71" s="20" t="s">
        <v>586</v>
      </c>
      <c r="C71" s="20" t="s">
        <v>659</v>
      </c>
      <c r="D71" s="150">
        <v>900000</v>
      </c>
      <c r="E71" s="20" t="s">
        <v>426</v>
      </c>
      <c r="F71" s="20" t="s">
        <v>427</v>
      </c>
      <c r="G71" s="8" t="str">
        <f t="shared" si="1"/>
        <v>ROCHA YAOTL</v>
      </c>
    </row>
    <row r="72" spans="1:7" x14ac:dyDescent="0.25">
      <c r="A72" s="8">
        <v>42804.341249999998</v>
      </c>
      <c r="B72" s="20" t="s">
        <v>190</v>
      </c>
      <c r="C72" s="20" t="s">
        <v>660</v>
      </c>
      <c r="D72" s="150">
        <v>890000</v>
      </c>
      <c r="E72" s="20" t="s">
        <v>470</v>
      </c>
      <c r="F72" s="20" t="s">
        <v>471</v>
      </c>
      <c r="G72" s="8" t="str">
        <f t="shared" si="1"/>
        <v>LOZA FIDEL</v>
      </c>
    </row>
    <row r="73" spans="1:7" x14ac:dyDescent="0.25">
      <c r="A73" s="8">
        <v>42804.350486111114</v>
      </c>
      <c r="B73" s="20" t="s">
        <v>212</v>
      </c>
      <c r="C73" s="20" t="s">
        <v>573</v>
      </c>
      <c r="D73" s="150">
        <v>1990000</v>
      </c>
      <c r="E73" s="20" t="s">
        <v>617</v>
      </c>
      <c r="F73" s="20" t="s">
        <v>618</v>
      </c>
      <c r="G73" s="8" t="str">
        <f t="shared" si="1"/>
        <v>DAVIS WENDY</v>
      </c>
    </row>
    <row r="74" spans="1:7" x14ac:dyDescent="0.25">
      <c r="A74" s="8">
        <v>42804.350763888891</v>
      </c>
      <c r="B74" s="20" t="s">
        <v>407</v>
      </c>
      <c r="C74" s="20" t="s">
        <v>572</v>
      </c>
      <c r="D74" s="150">
        <v>940000</v>
      </c>
      <c r="E74" s="20" t="s">
        <v>424</v>
      </c>
      <c r="F74" s="20" t="s">
        <v>425</v>
      </c>
      <c r="G74" s="8" t="str">
        <f t="shared" si="1"/>
        <v>BONDS REYNALDO</v>
      </c>
    </row>
    <row r="75" spans="1:7" x14ac:dyDescent="0.25">
      <c r="A75" s="8">
        <v>42804.352916666663</v>
      </c>
      <c r="B75" s="20" t="s">
        <v>405</v>
      </c>
      <c r="C75" s="20" t="s">
        <v>661</v>
      </c>
      <c r="D75" s="150">
        <v>1100000</v>
      </c>
      <c r="E75" s="20" t="s">
        <v>467</v>
      </c>
      <c r="F75" s="20" t="s">
        <v>468</v>
      </c>
      <c r="G75" s="8" t="str">
        <f t="shared" si="1"/>
        <v>GEBRETEKLE DAGNEW</v>
      </c>
    </row>
    <row r="76" spans="1:7" x14ac:dyDescent="0.25">
      <c r="A76" s="8">
        <v>42804.359155092592</v>
      </c>
      <c r="B76" s="20" t="s">
        <v>567</v>
      </c>
      <c r="C76" s="20" t="s">
        <v>662</v>
      </c>
      <c r="D76" s="150">
        <v>1990000</v>
      </c>
      <c r="E76" s="20" t="s">
        <v>617</v>
      </c>
      <c r="F76" s="20" t="s">
        <v>618</v>
      </c>
      <c r="G76" s="8" t="str">
        <f t="shared" si="1"/>
        <v>DAVIS WENDY</v>
      </c>
    </row>
    <row r="77" spans="1:7" x14ac:dyDescent="0.25">
      <c r="A77" s="8">
        <v>42804.360277777778</v>
      </c>
      <c r="B77" s="20" t="s">
        <v>632</v>
      </c>
      <c r="C77" s="20" t="s">
        <v>663</v>
      </c>
      <c r="D77" s="150">
        <v>2020000</v>
      </c>
      <c r="E77" s="20" t="s">
        <v>503</v>
      </c>
      <c r="F77" s="20" t="s">
        <v>402</v>
      </c>
      <c r="G77" s="8" t="str">
        <f t="shared" si="1"/>
        <v>SHOOK JOHN</v>
      </c>
    </row>
    <row r="78" spans="1:7" x14ac:dyDescent="0.25">
      <c r="A78" s="8">
        <v>42804.36314814815</v>
      </c>
      <c r="B78" s="20" t="s">
        <v>498</v>
      </c>
      <c r="C78" s="20" t="s">
        <v>664</v>
      </c>
      <c r="D78" s="150">
        <v>2550000</v>
      </c>
      <c r="E78" s="20" t="s">
        <v>613</v>
      </c>
      <c r="F78" s="20" t="s">
        <v>614</v>
      </c>
      <c r="G78" s="8" t="str">
        <f t="shared" si="1"/>
        <v>BADERTSCHER DIANE</v>
      </c>
    </row>
    <row r="79" spans="1:7" x14ac:dyDescent="0.25">
      <c r="A79" s="8">
        <v>42804.368842592594</v>
      </c>
      <c r="B79" s="20" t="s">
        <v>465</v>
      </c>
      <c r="C79" s="20" t="s">
        <v>665</v>
      </c>
      <c r="D79" s="150">
        <v>1110000</v>
      </c>
      <c r="E79" s="20" t="s">
        <v>422</v>
      </c>
      <c r="F79" s="20" t="s">
        <v>423</v>
      </c>
      <c r="G79" s="8" t="str">
        <f t="shared" si="1"/>
        <v>STARKS ANGELINA</v>
      </c>
    </row>
    <row r="80" spans="1:7" x14ac:dyDescent="0.25">
      <c r="A80" s="8">
        <v>42804.372800925928</v>
      </c>
      <c r="B80" s="20" t="s">
        <v>465</v>
      </c>
      <c r="C80" s="20" t="s">
        <v>665</v>
      </c>
      <c r="D80" s="150">
        <v>1110000</v>
      </c>
      <c r="E80" s="20" t="s">
        <v>422</v>
      </c>
      <c r="F80" s="20" t="s">
        <v>423</v>
      </c>
      <c r="G80" s="8" t="str">
        <f t="shared" si="1"/>
        <v>STARKS ANGELINA</v>
      </c>
    </row>
    <row r="81" spans="1:7" x14ac:dyDescent="0.25">
      <c r="A81" s="8">
        <v>42804.373564814814</v>
      </c>
      <c r="B81" s="20" t="s">
        <v>584</v>
      </c>
      <c r="C81" s="20" t="s">
        <v>666</v>
      </c>
      <c r="D81" s="150">
        <v>900000</v>
      </c>
      <c r="E81" s="20" t="s">
        <v>426</v>
      </c>
      <c r="F81" s="20" t="s">
        <v>427</v>
      </c>
      <c r="G81" s="8" t="str">
        <f t="shared" si="1"/>
        <v>ROCHA YAOTL</v>
      </c>
    </row>
    <row r="82" spans="1:7" x14ac:dyDescent="0.25">
      <c r="A82" s="8">
        <v>42804.373726851853</v>
      </c>
      <c r="B82" s="20" t="s">
        <v>465</v>
      </c>
      <c r="C82" s="20" t="s">
        <v>665</v>
      </c>
      <c r="D82" s="150">
        <v>1110000</v>
      </c>
      <c r="E82" s="20" t="s">
        <v>422</v>
      </c>
      <c r="F82" s="20" t="s">
        <v>423</v>
      </c>
      <c r="G82" s="8" t="str">
        <f t="shared" si="1"/>
        <v>STARKS ANGELINA</v>
      </c>
    </row>
    <row r="83" spans="1:7" x14ac:dyDescent="0.25">
      <c r="A83" s="8">
        <v>42804.375115740739</v>
      </c>
      <c r="B83" s="20" t="s">
        <v>637</v>
      </c>
      <c r="C83" s="20" t="s">
        <v>667</v>
      </c>
      <c r="D83" s="150">
        <v>2020000</v>
      </c>
      <c r="E83" s="20" t="s">
        <v>503</v>
      </c>
      <c r="F83" s="20" t="s">
        <v>402</v>
      </c>
      <c r="G83" s="8" t="str">
        <f t="shared" si="1"/>
        <v>SHOOK JOHN</v>
      </c>
    </row>
    <row r="84" spans="1:7" x14ac:dyDescent="0.25">
      <c r="A84" s="8">
        <v>42804.380162037036</v>
      </c>
      <c r="B84" s="20" t="s">
        <v>228</v>
      </c>
      <c r="C84" s="20" t="s">
        <v>668</v>
      </c>
      <c r="D84" s="150">
        <v>890000</v>
      </c>
      <c r="E84" s="20" t="s">
        <v>470</v>
      </c>
      <c r="F84" s="20" t="s">
        <v>471</v>
      </c>
      <c r="G84" s="8" t="str">
        <f t="shared" si="1"/>
        <v>LOZA FIDEL</v>
      </c>
    </row>
    <row r="85" spans="1:7" x14ac:dyDescent="0.25">
      <c r="A85" s="8">
        <v>42804.389224537037</v>
      </c>
      <c r="B85" s="20" t="s">
        <v>406</v>
      </c>
      <c r="C85" s="20" t="s">
        <v>669</v>
      </c>
      <c r="D85" s="150">
        <v>940000</v>
      </c>
      <c r="E85" s="20" t="s">
        <v>424</v>
      </c>
      <c r="F85" s="20" t="s">
        <v>425</v>
      </c>
      <c r="G85" s="8" t="str">
        <f t="shared" si="1"/>
        <v>BONDS REYNALDO</v>
      </c>
    </row>
    <row r="86" spans="1:7" x14ac:dyDescent="0.25">
      <c r="A86" s="8">
        <v>42804.391724537039</v>
      </c>
      <c r="B86" s="20" t="s">
        <v>574</v>
      </c>
      <c r="C86" s="20" t="s">
        <v>575</v>
      </c>
      <c r="D86" s="150">
        <v>2140000</v>
      </c>
      <c r="E86" s="20" t="s">
        <v>501</v>
      </c>
      <c r="F86" s="20" t="s">
        <v>502</v>
      </c>
      <c r="G86" s="8" t="str">
        <f t="shared" si="1"/>
        <v>ROBINSON KADDIBA</v>
      </c>
    </row>
    <row r="87" spans="1:7" x14ac:dyDescent="0.25">
      <c r="A87" s="8">
        <v>42804.397476851853</v>
      </c>
      <c r="B87" s="20" t="s">
        <v>497</v>
      </c>
      <c r="C87" s="20" t="s">
        <v>576</v>
      </c>
      <c r="D87" s="150">
        <v>2550000</v>
      </c>
      <c r="E87" s="20" t="s">
        <v>613</v>
      </c>
      <c r="F87" s="20" t="s">
        <v>614</v>
      </c>
      <c r="G87" s="8" t="str">
        <f t="shared" si="1"/>
        <v>BADERTSCHER DIANE</v>
      </c>
    </row>
    <row r="88" spans="1:7" x14ac:dyDescent="0.25">
      <c r="A88" s="8">
        <v>42804.401365740741</v>
      </c>
      <c r="B88" s="20" t="s">
        <v>632</v>
      </c>
      <c r="C88" s="20" t="s">
        <v>670</v>
      </c>
      <c r="D88" s="150">
        <v>2020000</v>
      </c>
      <c r="E88" s="20" t="s">
        <v>503</v>
      </c>
      <c r="F88" s="20" t="s">
        <v>402</v>
      </c>
      <c r="G88" s="8" t="str">
        <f t="shared" si="1"/>
        <v>SHOOK JOHN</v>
      </c>
    </row>
    <row r="89" spans="1:7" x14ac:dyDescent="0.25">
      <c r="A89" s="8">
        <v>42804.405497685184</v>
      </c>
      <c r="B89" s="20" t="s">
        <v>469</v>
      </c>
      <c r="C89" s="20" t="s">
        <v>577</v>
      </c>
      <c r="D89" s="150">
        <v>1110000</v>
      </c>
      <c r="E89" s="20" t="s">
        <v>422</v>
      </c>
      <c r="F89" s="20" t="s">
        <v>423</v>
      </c>
      <c r="G89" s="8" t="str">
        <f t="shared" si="1"/>
        <v>STARKS ANGELINA</v>
      </c>
    </row>
    <row r="90" spans="1:7" x14ac:dyDescent="0.25">
      <c r="A90" s="8">
        <v>42804.413310185184</v>
      </c>
      <c r="B90" s="20" t="s">
        <v>586</v>
      </c>
      <c r="C90" s="20" t="s">
        <v>671</v>
      </c>
      <c r="D90" s="150">
        <v>900000</v>
      </c>
      <c r="E90" s="20" t="s">
        <v>426</v>
      </c>
      <c r="F90" s="20" t="s">
        <v>427</v>
      </c>
      <c r="G90" s="8" t="str">
        <f t="shared" si="1"/>
        <v>ROCHA YAOTL</v>
      </c>
    </row>
    <row r="91" spans="1:7" x14ac:dyDescent="0.25">
      <c r="A91" s="8">
        <v>42804.414293981485</v>
      </c>
      <c r="B91" s="20" t="s">
        <v>190</v>
      </c>
      <c r="C91" s="20" t="s">
        <v>672</v>
      </c>
      <c r="D91" s="150">
        <v>890000</v>
      </c>
      <c r="E91" s="20" t="s">
        <v>470</v>
      </c>
      <c r="F91" s="20" t="s">
        <v>471</v>
      </c>
      <c r="G91" s="8" t="str">
        <f t="shared" si="1"/>
        <v>LOZA FIDEL</v>
      </c>
    </row>
    <row r="92" spans="1:7" x14ac:dyDescent="0.25">
      <c r="A92" s="8">
        <v>42804.415208333332</v>
      </c>
      <c r="B92" s="20" t="s">
        <v>637</v>
      </c>
      <c r="C92" s="20" t="s">
        <v>673</v>
      </c>
      <c r="D92" s="150">
        <v>2020000</v>
      </c>
      <c r="E92" s="20" t="s">
        <v>503</v>
      </c>
      <c r="F92" s="20" t="s">
        <v>402</v>
      </c>
      <c r="G92" s="8" t="str">
        <f t="shared" si="1"/>
        <v>SHOOK JOHN</v>
      </c>
    </row>
    <row r="93" spans="1:7" x14ac:dyDescent="0.25">
      <c r="A93" s="8">
        <v>42804.422152777777</v>
      </c>
      <c r="B93" s="20" t="s">
        <v>212</v>
      </c>
      <c r="C93" s="20" t="s">
        <v>674</v>
      </c>
      <c r="D93" s="150">
        <v>1990000</v>
      </c>
      <c r="E93" s="20" t="s">
        <v>617</v>
      </c>
      <c r="F93" s="20" t="s">
        <v>618</v>
      </c>
      <c r="G93" s="8" t="str">
        <f t="shared" si="1"/>
        <v>DAVIS WENDY</v>
      </c>
    </row>
    <row r="94" spans="1:7" x14ac:dyDescent="0.25">
      <c r="A94" s="8">
        <v>42804.424733796295</v>
      </c>
      <c r="B94" s="20" t="s">
        <v>407</v>
      </c>
      <c r="C94" s="20" t="s">
        <v>675</v>
      </c>
      <c r="D94" s="150">
        <v>940000</v>
      </c>
      <c r="E94" s="20" t="s">
        <v>424</v>
      </c>
      <c r="F94" s="20" t="s">
        <v>425</v>
      </c>
      <c r="G94" s="8" t="str">
        <f t="shared" si="1"/>
        <v>BONDS REYNALDO</v>
      </c>
    </row>
    <row r="95" spans="1:7" x14ac:dyDescent="0.25">
      <c r="A95" s="8">
        <v>42804.427581018521</v>
      </c>
      <c r="B95" s="20" t="s">
        <v>567</v>
      </c>
      <c r="C95" s="20" t="s">
        <v>676</v>
      </c>
      <c r="D95" s="150">
        <v>1990000</v>
      </c>
      <c r="E95" s="20" t="s">
        <v>617</v>
      </c>
      <c r="F95" s="20" t="s">
        <v>618</v>
      </c>
      <c r="G95" s="8" t="str">
        <f t="shared" si="1"/>
        <v>DAVIS WENDY</v>
      </c>
    </row>
    <row r="96" spans="1:7" x14ac:dyDescent="0.25">
      <c r="A96" s="8">
        <v>42804.429467592592</v>
      </c>
      <c r="B96" s="20" t="s">
        <v>593</v>
      </c>
      <c r="C96" s="20" t="s">
        <v>677</v>
      </c>
      <c r="D96" s="150">
        <v>1100000</v>
      </c>
      <c r="E96" s="20" t="s">
        <v>467</v>
      </c>
      <c r="F96" s="20" t="s">
        <v>468</v>
      </c>
      <c r="G96" s="8" t="str">
        <f t="shared" si="1"/>
        <v>GEBRETEKLE DAGNEW</v>
      </c>
    </row>
    <row r="97" spans="1:7" x14ac:dyDescent="0.25">
      <c r="A97" s="8">
        <v>42804.437071759261</v>
      </c>
      <c r="B97" s="20" t="s">
        <v>593</v>
      </c>
      <c r="C97" s="20" t="s">
        <v>678</v>
      </c>
      <c r="D97" s="150">
        <v>1100000</v>
      </c>
      <c r="E97" s="20" t="s">
        <v>467</v>
      </c>
      <c r="F97" s="20" t="s">
        <v>468</v>
      </c>
      <c r="G97" s="8" t="str">
        <f t="shared" si="1"/>
        <v>GEBRETEKLE DAGNEW</v>
      </c>
    </row>
    <row r="98" spans="1:7" x14ac:dyDescent="0.25">
      <c r="A98" s="8">
        <v>42804.44290509259</v>
      </c>
      <c r="B98" s="20" t="s">
        <v>632</v>
      </c>
      <c r="C98" s="20" t="s">
        <v>679</v>
      </c>
      <c r="D98" s="150">
        <v>2020000</v>
      </c>
      <c r="E98" s="20" t="s">
        <v>503</v>
      </c>
      <c r="F98" s="20" t="s">
        <v>402</v>
      </c>
      <c r="G98" s="8" t="str">
        <f t="shared" si="1"/>
        <v>SHOOK JOHN</v>
      </c>
    </row>
    <row r="99" spans="1:7" x14ac:dyDescent="0.25">
      <c r="A99" s="8">
        <v>42804.452534722222</v>
      </c>
      <c r="B99" s="20" t="s">
        <v>463</v>
      </c>
      <c r="C99" s="20" t="s">
        <v>578</v>
      </c>
      <c r="D99" s="150">
        <v>1770000</v>
      </c>
      <c r="E99" s="20" t="s">
        <v>474</v>
      </c>
      <c r="F99" s="20" t="s">
        <v>475</v>
      </c>
      <c r="G99" s="8" t="str">
        <f t="shared" si="1"/>
        <v>BRUDER RICHARD</v>
      </c>
    </row>
    <row r="100" spans="1:7" x14ac:dyDescent="0.25">
      <c r="A100" s="8">
        <v>42804.453414351854</v>
      </c>
      <c r="B100" s="20" t="s">
        <v>465</v>
      </c>
      <c r="C100" s="20" t="s">
        <v>680</v>
      </c>
      <c r="D100" s="150">
        <v>1110000</v>
      </c>
      <c r="E100" s="20" t="s">
        <v>422</v>
      </c>
      <c r="F100" s="20" t="s">
        <v>423</v>
      </c>
      <c r="G100" s="8" t="str">
        <f t="shared" si="1"/>
        <v>STARKS ANGELINA</v>
      </c>
    </row>
    <row r="101" spans="1:7" x14ac:dyDescent="0.25">
      <c r="A101" s="8">
        <v>42804.457303240742</v>
      </c>
      <c r="B101" s="20" t="s">
        <v>637</v>
      </c>
      <c r="C101" s="20" t="s">
        <v>681</v>
      </c>
      <c r="D101" s="150">
        <v>2020000</v>
      </c>
      <c r="E101" s="20" t="s">
        <v>503</v>
      </c>
      <c r="F101" s="20" t="s">
        <v>402</v>
      </c>
      <c r="G101" s="8" t="str">
        <f t="shared" si="1"/>
        <v>SHOOK JOHN</v>
      </c>
    </row>
    <row r="102" spans="1:7" x14ac:dyDescent="0.25">
      <c r="A102" s="8">
        <v>42804.462222222224</v>
      </c>
      <c r="B102" s="20" t="s">
        <v>498</v>
      </c>
      <c r="C102" s="20" t="s">
        <v>682</v>
      </c>
      <c r="D102" s="150">
        <v>880000</v>
      </c>
      <c r="E102" s="20" t="s">
        <v>683</v>
      </c>
      <c r="F102" s="20" t="s">
        <v>200</v>
      </c>
      <c r="G102" s="8" t="str">
        <f t="shared" si="1"/>
        <v>STEWART MICHAEL</v>
      </c>
    </row>
    <row r="103" spans="1:7" x14ac:dyDescent="0.25">
      <c r="A103" s="8">
        <v>42804.463935185187</v>
      </c>
      <c r="B103" s="20" t="s">
        <v>406</v>
      </c>
      <c r="C103" s="20" t="s">
        <v>579</v>
      </c>
      <c r="D103" s="150">
        <v>940000</v>
      </c>
      <c r="E103" s="20" t="s">
        <v>424</v>
      </c>
      <c r="F103" s="20" t="s">
        <v>425</v>
      </c>
      <c r="G103" s="8" t="str">
        <f t="shared" si="1"/>
        <v>BONDS REYNALDO</v>
      </c>
    </row>
    <row r="104" spans="1:7" x14ac:dyDescent="0.25">
      <c r="A104" s="8">
        <v>42804.469988425924</v>
      </c>
      <c r="B104" s="20" t="s">
        <v>211</v>
      </c>
      <c r="C104" s="20" t="s">
        <v>684</v>
      </c>
      <c r="D104" s="150">
        <v>2470000</v>
      </c>
      <c r="E104" s="20" t="s">
        <v>685</v>
      </c>
      <c r="F104" s="20" t="s">
        <v>686</v>
      </c>
      <c r="G104" s="8" t="str">
        <f t="shared" si="1"/>
        <v>ROMERO CHAD</v>
      </c>
    </row>
    <row r="105" spans="1:7" x14ac:dyDescent="0.25">
      <c r="A105" s="8">
        <v>42804.474282407406</v>
      </c>
      <c r="B105" s="20" t="s">
        <v>228</v>
      </c>
      <c r="C105" s="20" t="s">
        <v>687</v>
      </c>
      <c r="D105" s="150">
        <v>890000</v>
      </c>
      <c r="E105" s="20" t="s">
        <v>470</v>
      </c>
      <c r="F105" s="20" t="s">
        <v>471</v>
      </c>
      <c r="G105" s="8" t="str">
        <f t="shared" si="1"/>
        <v>LOZA FIDEL</v>
      </c>
    </row>
    <row r="106" spans="1:7" x14ac:dyDescent="0.25">
      <c r="A106" s="8">
        <v>42804.474918981483</v>
      </c>
      <c r="B106" s="20" t="s">
        <v>574</v>
      </c>
      <c r="C106" s="20" t="s">
        <v>688</v>
      </c>
      <c r="D106" s="150">
        <v>930000</v>
      </c>
      <c r="E106" s="20" t="s">
        <v>428</v>
      </c>
      <c r="F106" s="20" t="s">
        <v>429</v>
      </c>
      <c r="G106" s="8" t="str">
        <f t="shared" si="1"/>
        <v>CLARK KATHLEEN</v>
      </c>
    </row>
    <row r="107" spans="1:7" x14ac:dyDescent="0.25">
      <c r="A107" s="8">
        <v>42804.484594907408</v>
      </c>
      <c r="B107" s="20" t="s">
        <v>580</v>
      </c>
      <c r="C107" s="20" t="s">
        <v>581</v>
      </c>
      <c r="D107" s="150">
        <v>1100000</v>
      </c>
      <c r="E107" s="20" t="s">
        <v>467</v>
      </c>
      <c r="F107" s="20" t="s">
        <v>468</v>
      </c>
      <c r="G107" s="8" t="str">
        <f t="shared" si="1"/>
        <v>GEBRETEKLE DAGNEW</v>
      </c>
    </row>
    <row r="108" spans="1:7" x14ac:dyDescent="0.25">
      <c r="A108" s="8">
        <v>42804.485115740739</v>
      </c>
      <c r="B108" s="20" t="s">
        <v>632</v>
      </c>
      <c r="C108" s="20" t="s">
        <v>689</v>
      </c>
      <c r="D108" s="150">
        <v>2020000</v>
      </c>
      <c r="E108" s="20" t="s">
        <v>503</v>
      </c>
      <c r="F108" s="20" t="s">
        <v>402</v>
      </c>
      <c r="G108" s="8" t="str">
        <f t="shared" si="1"/>
        <v>SHOOK JOHN</v>
      </c>
    </row>
    <row r="109" spans="1:7" x14ac:dyDescent="0.25">
      <c r="A109" s="8">
        <v>42804.49082175926</v>
      </c>
      <c r="B109" s="20" t="s">
        <v>469</v>
      </c>
      <c r="C109" s="20" t="s">
        <v>690</v>
      </c>
      <c r="D109" s="150">
        <v>1770000</v>
      </c>
      <c r="E109" s="20" t="s">
        <v>474</v>
      </c>
      <c r="F109" s="20" t="s">
        <v>475</v>
      </c>
      <c r="G109" s="8" t="str">
        <f t="shared" si="1"/>
        <v>BRUDER RICHARD</v>
      </c>
    </row>
    <row r="110" spans="1:7" x14ac:dyDescent="0.25">
      <c r="A110" s="8">
        <v>42804.494641203702</v>
      </c>
      <c r="B110" s="20" t="s">
        <v>497</v>
      </c>
      <c r="C110" s="20" t="s">
        <v>691</v>
      </c>
      <c r="D110" s="150">
        <v>880000</v>
      </c>
      <c r="E110" s="20" t="s">
        <v>683</v>
      </c>
      <c r="F110" s="20" t="s">
        <v>200</v>
      </c>
      <c r="G110" s="8" t="str">
        <f t="shared" si="1"/>
        <v>STEWART MICHAEL</v>
      </c>
    </row>
    <row r="111" spans="1:7" x14ac:dyDescent="0.25">
      <c r="A111" s="8">
        <v>42804.498159722221</v>
      </c>
      <c r="B111" s="20" t="s">
        <v>464</v>
      </c>
      <c r="C111" s="20" t="s">
        <v>692</v>
      </c>
      <c r="D111" s="150">
        <v>1110000</v>
      </c>
      <c r="E111" s="20" t="s">
        <v>422</v>
      </c>
      <c r="F111" s="20" t="s">
        <v>423</v>
      </c>
      <c r="G111" s="8" t="str">
        <f t="shared" si="1"/>
        <v>STARKS ANGELINA</v>
      </c>
    </row>
    <row r="112" spans="1:7" x14ac:dyDescent="0.25">
      <c r="A112" s="8">
        <v>42804.498506944445</v>
      </c>
      <c r="B112" s="20" t="s">
        <v>637</v>
      </c>
      <c r="C112" s="20" t="s">
        <v>693</v>
      </c>
      <c r="D112" s="150">
        <v>2020000</v>
      </c>
      <c r="E112" s="20" t="s">
        <v>503</v>
      </c>
      <c r="F112" s="20" t="s">
        <v>402</v>
      </c>
      <c r="G112" s="8" t="str">
        <f t="shared" si="1"/>
        <v>SHOOK JOHN</v>
      </c>
    </row>
    <row r="113" spans="1:7" x14ac:dyDescent="0.25">
      <c r="A113" s="8">
        <v>42804.501666666663</v>
      </c>
      <c r="B113" s="20" t="s">
        <v>407</v>
      </c>
      <c r="C113" s="20" t="s">
        <v>694</v>
      </c>
      <c r="D113" s="150">
        <v>2260000</v>
      </c>
      <c r="E113" s="20" t="s">
        <v>695</v>
      </c>
      <c r="F113" s="20" t="s">
        <v>696</v>
      </c>
      <c r="G113" s="8" t="str">
        <f t="shared" si="1"/>
        <v>ARVIDSON DANIEL</v>
      </c>
    </row>
    <row r="114" spans="1:7" x14ac:dyDescent="0.25">
      <c r="A114" s="8">
        <v>42804.504872685182</v>
      </c>
      <c r="B114" s="20" t="s">
        <v>212</v>
      </c>
      <c r="C114" s="20" t="s">
        <v>582</v>
      </c>
      <c r="D114" s="150">
        <v>2470000</v>
      </c>
      <c r="E114" s="20" t="s">
        <v>685</v>
      </c>
      <c r="F114" s="20" t="s">
        <v>686</v>
      </c>
      <c r="G114" s="8" t="str">
        <f t="shared" si="1"/>
        <v>ROMERO CHAD</v>
      </c>
    </row>
    <row r="115" spans="1:7" x14ac:dyDescent="0.25">
      <c r="A115" s="8">
        <v>42804.507106481484</v>
      </c>
      <c r="B115" s="20" t="s">
        <v>190</v>
      </c>
      <c r="C115" s="20" t="s">
        <v>697</v>
      </c>
      <c r="D115" s="150">
        <v>2370000</v>
      </c>
      <c r="E115" s="20" t="s">
        <v>698</v>
      </c>
      <c r="F115" s="20" t="s">
        <v>699</v>
      </c>
      <c r="G115" s="8" t="str">
        <f t="shared" si="1"/>
        <v>DELGADO DIANAH</v>
      </c>
    </row>
    <row r="116" spans="1:7" x14ac:dyDescent="0.25">
      <c r="A116" s="8">
        <v>42804.517708333333</v>
      </c>
      <c r="B116" s="20" t="s">
        <v>567</v>
      </c>
      <c r="C116" s="20" t="s">
        <v>583</v>
      </c>
      <c r="D116" s="150">
        <v>930000</v>
      </c>
      <c r="E116" s="20" t="s">
        <v>428</v>
      </c>
      <c r="F116" s="20" t="s">
        <v>429</v>
      </c>
      <c r="G116" s="8" t="str">
        <f t="shared" si="1"/>
        <v>CLARK KATHLEEN</v>
      </c>
    </row>
    <row r="117" spans="1:7" x14ac:dyDescent="0.25">
      <c r="A117" s="8">
        <v>42804.518159722225</v>
      </c>
      <c r="B117" s="20" t="s">
        <v>593</v>
      </c>
      <c r="C117" s="20" t="s">
        <v>700</v>
      </c>
      <c r="D117" s="150">
        <v>2440000</v>
      </c>
      <c r="E117" s="20" t="s">
        <v>507</v>
      </c>
      <c r="F117" s="20" t="s">
        <v>508</v>
      </c>
      <c r="G117" s="8" t="str">
        <f t="shared" si="1"/>
        <v>LOPES KIMBERLY</v>
      </c>
    </row>
    <row r="118" spans="1:7" x14ac:dyDescent="0.25">
      <c r="A118" s="8">
        <v>42804.521493055552</v>
      </c>
      <c r="B118" s="20" t="s">
        <v>584</v>
      </c>
      <c r="C118" s="20" t="s">
        <v>585</v>
      </c>
      <c r="D118" s="150">
        <v>880000</v>
      </c>
      <c r="E118" s="20" t="s">
        <v>683</v>
      </c>
      <c r="F118" s="20" t="s">
        <v>200</v>
      </c>
      <c r="G118" s="8" t="str">
        <f t="shared" si="1"/>
        <v>STEWART MICHAEL</v>
      </c>
    </row>
    <row r="119" spans="1:7" x14ac:dyDescent="0.25">
      <c r="A119" s="8">
        <v>42804.526377314818</v>
      </c>
      <c r="B119" s="20" t="s">
        <v>632</v>
      </c>
      <c r="C119" s="20" t="s">
        <v>701</v>
      </c>
      <c r="D119" s="150">
        <v>2020000</v>
      </c>
      <c r="E119" s="20" t="s">
        <v>503</v>
      </c>
      <c r="F119" s="20" t="s">
        <v>402</v>
      </c>
      <c r="G119" s="8" t="str">
        <f t="shared" si="1"/>
        <v>SHOOK JOHN</v>
      </c>
    </row>
    <row r="120" spans="1:7" x14ac:dyDescent="0.25">
      <c r="A120" s="8">
        <v>42804.526782407411</v>
      </c>
      <c r="B120" s="20" t="s">
        <v>465</v>
      </c>
      <c r="C120" s="20" t="s">
        <v>702</v>
      </c>
      <c r="D120" s="150">
        <v>1770000</v>
      </c>
      <c r="E120" s="20" t="s">
        <v>474</v>
      </c>
      <c r="F120" s="20" t="s">
        <v>475</v>
      </c>
      <c r="G120" s="8" t="str">
        <f t="shared" si="1"/>
        <v>BRUDER RICHARD</v>
      </c>
    </row>
    <row r="121" spans="1:7" x14ac:dyDescent="0.25">
      <c r="A121" s="8">
        <v>42804.536354166667</v>
      </c>
      <c r="B121" s="20" t="s">
        <v>406</v>
      </c>
      <c r="C121" s="20" t="s">
        <v>703</v>
      </c>
      <c r="D121" s="150">
        <v>2260000</v>
      </c>
      <c r="E121" s="20" t="s">
        <v>695</v>
      </c>
      <c r="F121" s="20" t="s">
        <v>696</v>
      </c>
      <c r="G121" s="8" t="str">
        <f t="shared" si="1"/>
        <v>ARVIDSON DANIEL</v>
      </c>
    </row>
    <row r="122" spans="1:7" x14ac:dyDescent="0.25">
      <c r="A122" s="8">
        <v>42804.542592592596</v>
      </c>
      <c r="B122" s="25" t="s">
        <v>211</v>
      </c>
      <c r="C122" s="20" t="s">
        <v>704</v>
      </c>
      <c r="D122" s="150">
        <v>2470000</v>
      </c>
      <c r="E122" s="20" t="s">
        <v>685</v>
      </c>
      <c r="F122" s="20" t="s">
        <v>686</v>
      </c>
      <c r="G122" s="8" t="str">
        <f t="shared" si="1"/>
        <v>ROMERO CHAD</v>
      </c>
    </row>
    <row r="123" spans="1:7" x14ac:dyDescent="0.25">
      <c r="A123" s="8">
        <v>42804.545127314814</v>
      </c>
      <c r="B123" s="20" t="s">
        <v>228</v>
      </c>
      <c r="C123" s="20" t="s">
        <v>705</v>
      </c>
      <c r="D123" s="150">
        <v>2370000</v>
      </c>
      <c r="E123" s="20" t="s">
        <v>698</v>
      </c>
      <c r="F123" s="20" t="s">
        <v>699</v>
      </c>
      <c r="G123" s="8" t="str">
        <f t="shared" si="1"/>
        <v>DELGADO DIANAH</v>
      </c>
    </row>
    <row r="124" spans="1:7" x14ac:dyDescent="0.25">
      <c r="A124" s="8">
        <v>42804.548020833332</v>
      </c>
      <c r="B124" s="20" t="s">
        <v>637</v>
      </c>
      <c r="C124" s="20" t="s">
        <v>706</v>
      </c>
      <c r="D124" s="150">
        <v>2540000</v>
      </c>
      <c r="E124" s="20" t="s">
        <v>214</v>
      </c>
      <c r="F124" s="20" t="s">
        <v>215</v>
      </c>
      <c r="G124" s="8" t="str">
        <f t="shared" si="1"/>
        <v>MCREYNOLDS KYLE</v>
      </c>
    </row>
    <row r="125" spans="1:7" x14ac:dyDescent="0.25">
      <c r="A125" s="8">
        <v>42804.551238425927</v>
      </c>
      <c r="B125" s="20" t="s">
        <v>574</v>
      </c>
      <c r="C125" s="20" t="s">
        <v>707</v>
      </c>
      <c r="D125" s="150">
        <v>930000</v>
      </c>
      <c r="E125" s="20" t="s">
        <v>428</v>
      </c>
      <c r="F125" s="20" t="s">
        <v>429</v>
      </c>
      <c r="G125" s="8" t="str">
        <f t="shared" si="1"/>
        <v>CLARK KATHLEEN</v>
      </c>
    </row>
    <row r="126" spans="1:7" x14ac:dyDescent="0.25">
      <c r="A126" s="8">
        <v>42804.553923611114</v>
      </c>
      <c r="B126" s="20" t="s">
        <v>580</v>
      </c>
      <c r="C126" s="20" t="s">
        <v>708</v>
      </c>
      <c r="D126" s="150">
        <v>2440000</v>
      </c>
      <c r="E126" s="20" t="s">
        <v>507</v>
      </c>
      <c r="F126" s="20" t="s">
        <v>508</v>
      </c>
      <c r="G126" s="8" t="str">
        <f t="shared" si="1"/>
        <v>LOPES KIMBERLY</v>
      </c>
    </row>
    <row r="127" spans="1:7" x14ac:dyDescent="0.25">
      <c r="A127" s="8">
        <v>42804.559421296297</v>
      </c>
      <c r="B127" s="20" t="s">
        <v>469</v>
      </c>
      <c r="C127" s="20" t="s">
        <v>709</v>
      </c>
      <c r="D127" s="150">
        <v>1770000</v>
      </c>
      <c r="E127" s="20" t="s">
        <v>474</v>
      </c>
      <c r="F127" s="20" t="s">
        <v>475</v>
      </c>
      <c r="G127" s="8" t="str">
        <f t="shared" si="1"/>
        <v>BRUDER RICHARD</v>
      </c>
    </row>
    <row r="128" spans="1:7" x14ac:dyDescent="0.25">
      <c r="A128" s="8">
        <v>42804.567430555559</v>
      </c>
      <c r="B128" s="20" t="s">
        <v>586</v>
      </c>
      <c r="C128" s="20" t="s">
        <v>587</v>
      </c>
      <c r="D128" s="150">
        <v>880000</v>
      </c>
      <c r="E128" s="20" t="s">
        <v>683</v>
      </c>
      <c r="F128" s="20" t="s">
        <v>200</v>
      </c>
      <c r="G128" s="8" t="str">
        <f t="shared" si="1"/>
        <v>STEWART MICHAEL</v>
      </c>
    </row>
    <row r="129" spans="1:7" x14ac:dyDescent="0.25">
      <c r="A129" s="8">
        <v>42804.567731481482</v>
      </c>
      <c r="B129" s="20" t="s">
        <v>632</v>
      </c>
      <c r="C129" s="20" t="s">
        <v>710</v>
      </c>
      <c r="D129" s="150">
        <v>2540000</v>
      </c>
      <c r="E129" s="20" t="s">
        <v>214</v>
      </c>
      <c r="F129" s="20" t="s">
        <v>215</v>
      </c>
      <c r="G129" s="8" t="str">
        <f t="shared" si="1"/>
        <v>MCREYNOLDS KYLE</v>
      </c>
    </row>
    <row r="130" spans="1:7" x14ac:dyDescent="0.25">
      <c r="A130" s="8">
        <v>42804.571620370371</v>
      </c>
      <c r="B130" s="20" t="s">
        <v>212</v>
      </c>
      <c r="C130" s="20" t="s">
        <v>589</v>
      </c>
      <c r="D130" s="150">
        <v>2470000</v>
      </c>
      <c r="E130" s="20" t="s">
        <v>685</v>
      </c>
      <c r="F130" s="20" t="s">
        <v>686</v>
      </c>
      <c r="G130" s="8" t="str">
        <f t="shared" si="1"/>
        <v>ROMERO CHAD</v>
      </c>
    </row>
    <row r="131" spans="1:7" x14ac:dyDescent="0.25">
      <c r="A131" s="8">
        <v>42804.573807870373</v>
      </c>
      <c r="B131" s="20" t="s">
        <v>407</v>
      </c>
      <c r="C131" s="20" t="s">
        <v>711</v>
      </c>
      <c r="D131" s="150">
        <v>2420000</v>
      </c>
      <c r="E131" s="20" t="s">
        <v>712</v>
      </c>
      <c r="F131" s="20" t="s">
        <v>713</v>
      </c>
      <c r="G131" s="8" t="str">
        <f t="shared" ref="G131:G194" si="2">E131&amp;" "&amp;F131</f>
        <v>HOLCOMB KAMDEN</v>
      </c>
    </row>
    <row r="132" spans="1:7" x14ac:dyDescent="0.25">
      <c r="A132" s="8">
        <v>42804.581863425927</v>
      </c>
      <c r="B132" s="20" t="s">
        <v>190</v>
      </c>
      <c r="C132" s="20" t="s">
        <v>588</v>
      </c>
      <c r="D132" s="150">
        <v>2370000</v>
      </c>
      <c r="E132" s="20" t="s">
        <v>698</v>
      </c>
      <c r="F132" s="20" t="s">
        <v>699</v>
      </c>
      <c r="G132" s="8" t="str">
        <f t="shared" si="2"/>
        <v>DELGADO DIANAH</v>
      </c>
    </row>
    <row r="133" spans="1:7" x14ac:dyDescent="0.25">
      <c r="A133" s="8">
        <v>42804.585509259261</v>
      </c>
      <c r="B133" s="20" t="s">
        <v>637</v>
      </c>
      <c r="C133" s="20" t="s">
        <v>714</v>
      </c>
      <c r="D133" s="150">
        <v>2540000</v>
      </c>
      <c r="E133" s="20" t="s">
        <v>214</v>
      </c>
      <c r="F133" s="20" t="s">
        <v>215</v>
      </c>
      <c r="G133" s="8" t="str">
        <f t="shared" si="2"/>
        <v>MCREYNOLDS KYLE</v>
      </c>
    </row>
    <row r="134" spans="1:7" x14ac:dyDescent="0.25">
      <c r="A134" s="8">
        <v>42804.588113425925</v>
      </c>
      <c r="B134" s="20" t="s">
        <v>567</v>
      </c>
      <c r="C134" s="20" t="s">
        <v>715</v>
      </c>
      <c r="D134" s="150">
        <v>930000</v>
      </c>
      <c r="E134" s="20" t="s">
        <v>428</v>
      </c>
      <c r="F134" s="20" t="s">
        <v>429</v>
      </c>
      <c r="G134" s="8" t="str">
        <f t="shared" si="2"/>
        <v>CLARK KATHLEEN</v>
      </c>
    </row>
    <row r="135" spans="1:7" x14ac:dyDescent="0.25">
      <c r="A135" s="8">
        <v>42804.592187499999</v>
      </c>
      <c r="B135" s="20" t="s">
        <v>593</v>
      </c>
      <c r="C135" s="20" t="s">
        <v>716</v>
      </c>
      <c r="D135" s="150">
        <v>2440000</v>
      </c>
      <c r="E135" s="20" t="s">
        <v>507</v>
      </c>
      <c r="F135" s="20" t="s">
        <v>508</v>
      </c>
      <c r="G135" s="8" t="str">
        <f t="shared" si="2"/>
        <v>LOPES KIMBERLY</v>
      </c>
    </row>
    <row r="136" spans="1:7" x14ac:dyDescent="0.25">
      <c r="A136" s="8">
        <v>42804.597071759257</v>
      </c>
      <c r="B136" s="20" t="s">
        <v>465</v>
      </c>
      <c r="C136" s="20" t="s">
        <v>717</v>
      </c>
      <c r="D136" s="150">
        <v>1770000</v>
      </c>
      <c r="E136" s="20" t="s">
        <v>474</v>
      </c>
      <c r="F136" s="20" t="s">
        <v>475</v>
      </c>
      <c r="G136" s="8" t="str">
        <f t="shared" si="2"/>
        <v>BRUDER RICHARD</v>
      </c>
    </row>
    <row r="137" spans="1:7" x14ac:dyDescent="0.25">
      <c r="A137" s="8">
        <v>42804.603009259263</v>
      </c>
      <c r="B137" s="20" t="s">
        <v>406</v>
      </c>
      <c r="C137" s="20" t="s">
        <v>718</v>
      </c>
      <c r="D137" s="150">
        <v>2420000</v>
      </c>
      <c r="E137" s="20" t="s">
        <v>712</v>
      </c>
      <c r="F137" s="20" t="s">
        <v>713</v>
      </c>
      <c r="G137" s="8" t="str">
        <f t="shared" si="2"/>
        <v>HOLCOMB KAMDEN</v>
      </c>
    </row>
    <row r="138" spans="1:7" x14ac:dyDescent="0.25">
      <c r="A138" s="8">
        <v>42804.603738425925</v>
      </c>
      <c r="B138" s="20" t="s">
        <v>584</v>
      </c>
      <c r="C138" s="20" t="s">
        <v>719</v>
      </c>
      <c r="D138" s="150">
        <v>880000</v>
      </c>
      <c r="E138" s="20" t="s">
        <v>683</v>
      </c>
      <c r="F138" s="20" t="s">
        <v>200</v>
      </c>
      <c r="G138" s="8" t="str">
        <f t="shared" si="2"/>
        <v>STEWART MICHAEL</v>
      </c>
    </row>
    <row r="139" spans="1:7" x14ac:dyDescent="0.25">
      <c r="A139" s="8">
        <v>42804.609537037039</v>
      </c>
      <c r="B139" s="20" t="s">
        <v>632</v>
      </c>
      <c r="C139" s="20" t="s">
        <v>720</v>
      </c>
      <c r="D139" s="150">
        <v>2540000</v>
      </c>
      <c r="E139" s="20" t="s">
        <v>214</v>
      </c>
      <c r="F139" s="20" t="s">
        <v>215</v>
      </c>
      <c r="G139" s="8" t="str">
        <f t="shared" si="2"/>
        <v>MCREYNOLDS KYLE</v>
      </c>
    </row>
    <row r="140" spans="1:7" x14ac:dyDescent="0.25">
      <c r="A140" s="8">
        <v>42804.615486111114</v>
      </c>
      <c r="B140" s="20" t="s">
        <v>401</v>
      </c>
      <c r="C140" s="20" t="s">
        <v>721</v>
      </c>
      <c r="D140" s="150">
        <v>1780000</v>
      </c>
      <c r="E140" s="20" t="s">
        <v>472</v>
      </c>
      <c r="F140" s="20" t="s">
        <v>473</v>
      </c>
      <c r="G140" s="8" t="str">
        <f t="shared" si="2"/>
        <v>DE LA ROSA ALEX</v>
      </c>
    </row>
    <row r="141" spans="1:7" x14ac:dyDescent="0.25">
      <c r="A141" s="8">
        <v>42804.615567129629</v>
      </c>
      <c r="B141" s="20" t="s">
        <v>228</v>
      </c>
      <c r="C141" s="20" t="s">
        <v>590</v>
      </c>
      <c r="D141" s="150">
        <v>2370000</v>
      </c>
      <c r="E141" s="20" t="s">
        <v>698</v>
      </c>
      <c r="F141" s="20" t="s">
        <v>699</v>
      </c>
      <c r="G141" s="8" t="str">
        <f t="shared" si="2"/>
        <v>DELGADO DIANAH</v>
      </c>
    </row>
    <row r="142" spans="1:7" x14ac:dyDescent="0.25">
      <c r="A142" s="8">
        <v>42804.617858796293</v>
      </c>
      <c r="B142" s="20" t="s">
        <v>212</v>
      </c>
      <c r="C142" s="20" t="s">
        <v>589</v>
      </c>
      <c r="D142" s="150">
        <v>2470000</v>
      </c>
      <c r="E142" s="20" t="s">
        <v>685</v>
      </c>
      <c r="F142" s="20" t="s">
        <v>686</v>
      </c>
      <c r="G142" s="8" t="str">
        <f t="shared" si="2"/>
        <v>ROMERO CHAD</v>
      </c>
    </row>
    <row r="143" spans="1:7" x14ac:dyDescent="0.25">
      <c r="A143" s="8">
        <v>42804.623449074075</v>
      </c>
      <c r="B143" s="20" t="s">
        <v>637</v>
      </c>
      <c r="C143" s="20" t="s">
        <v>722</v>
      </c>
      <c r="D143" s="150">
        <v>2540000</v>
      </c>
      <c r="E143" s="20" t="s">
        <v>214</v>
      </c>
      <c r="F143" s="20" t="s">
        <v>215</v>
      </c>
      <c r="G143" s="8" t="str">
        <f t="shared" si="2"/>
        <v>MCREYNOLDS KYLE</v>
      </c>
    </row>
    <row r="144" spans="1:7" x14ac:dyDescent="0.25">
      <c r="A144" s="8">
        <v>42804.630347222221</v>
      </c>
      <c r="B144" s="20" t="s">
        <v>580</v>
      </c>
      <c r="C144" s="20" t="s">
        <v>591</v>
      </c>
      <c r="D144" s="150">
        <v>2440000</v>
      </c>
      <c r="E144" s="20" t="s">
        <v>507</v>
      </c>
      <c r="F144" s="20" t="s">
        <v>508</v>
      </c>
      <c r="G144" s="8" t="str">
        <f t="shared" si="2"/>
        <v>LOPES KIMBERLY</v>
      </c>
    </row>
    <row r="145" spans="1:7" x14ac:dyDescent="0.25">
      <c r="A145" s="8">
        <v>42804.632407407407</v>
      </c>
      <c r="B145" s="20" t="s">
        <v>574</v>
      </c>
      <c r="C145" s="20" t="s">
        <v>723</v>
      </c>
      <c r="D145" s="150">
        <v>930000</v>
      </c>
      <c r="E145" s="20" t="s">
        <v>428</v>
      </c>
      <c r="F145" s="20" t="s">
        <v>429</v>
      </c>
      <c r="G145" s="8" t="str">
        <f t="shared" si="2"/>
        <v>CLARK KATHLEEN</v>
      </c>
    </row>
    <row r="146" spans="1:7" x14ac:dyDescent="0.25">
      <c r="A146" s="8">
        <v>42804.635706018518</v>
      </c>
      <c r="B146" s="20" t="s">
        <v>469</v>
      </c>
      <c r="C146" s="20" t="s">
        <v>724</v>
      </c>
      <c r="D146" s="150">
        <v>1770000</v>
      </c>
      <c r="E146" s="20" t="s">
        <v>474</v>
      </c>
      <c r="F146" s="20" t="s">
        <v>475</v>
      </c>
      <c r="G146" s="8" t="str">
        <f t="shared" si="2"/>
        <v>BRUDER RICHARD</v>
      </c>
    </row>
    <row r="147" spans="1:7" x14ac:dyDescent="0.25">
      <c r="A147" s="8">
        <v>42804.638692129629</v>
      </c>
      <c r="B147" s="20" t="s">
        <v>204</v>
      </c>
      <c r="C147" s="20" t="s">
        <v>725</v>
      </c>
      <c r="D147" s="150">
        <v>2230000</v>
      </c>
      <c r="E147" s="20" t="s">
        <v>504</v>
      </c>
      <c r="F147" s="20" t="s">
        <v>200</v>
      </c>
      <c r="G147" s="8" t="str">
        <f t="shared" si="2"/>
        <v>SMITH MICHAEL</v>
      </c>
    </row>
    <row r="148" spans="1:7" x14ac:dyDescent="0.25">
      <c r="A148" s="8">
        <v>42804.641296296293</v>
      </c>
      <c r="B148" s="20" t="s">
        <v>586</v>
      </c>
      <c r="C148" s="20" t="s">
        <v>592</v>
      </c>
      <c r="D148" s="150">
        <v>880000</v>
      </c>
      <c r="E148" s="20" t="s">
        <v>683</v>
      </c>
      <c r="F148" s="20" t="s">
        <v>200</v>
      </c>
      <c r="G148" s="8" t="str">
        <f t="shared" si="2"/>
        <v>STEWART MICHAEL</v>
      </c>
    </row>
    <row r="149" spans="1:7" x14ac:dyDescent="0.25">
      <c r="A149" s="8">
        <v>42804.643773148149</v>
      </c>
      <c r="B149" s="20" t="s">
        <v>407</v>
      </c>
      <c r="C149" s="20" t="s">
        <v>726</v>
      </c>
      <c r="D149" s="150">
        <v>2420000</v>
      </c>
      <c r="E149" s="20" t="s">
        <v>712</v>
      </c>
      <c r="F149" s="20" t="s">
        <v>713</v>
      </c>
      <c r="G149" s="8" t="str">
        <f t="shared" si="2"/>
        <v>HOLCOMB KAMDEN</v>
      </c>
    </row>
    <row r="150" spans="1:7" x14ac:dyDescent="0.25">
      <c r="A150" s="8">
        <v>42804.648738425924</v>
      </c>
      <c r="B150" s="20" t="s">
        <v>405</v>
      </c>
      <c r="C150" s="20" t="s">
        <v>727</v>
      </c>
      <c r="D150" s="150">
        <v>2230000</v>
      </c>
      <c r="E150" s="20" t="s">
        <v>504</v>
      </c>
      <c r="F150" s="20" t="s">
        <v>200</v>
      </c>
      <c r="G150" s="8" t="str">
        <f t="shared" si="2"/>
        <v>SMITH MICHAEL</v>
      </c>
    </row>
    <row r="151" spans="1:7" x14ac:dyDescent="0.25">
      <c r="A151" s="8">
        <v>42804.649224537039</v>
      </c>
      <c r="B151" s="20" t="s">
        <v>400</v>
      </c>
      <c r="C151" s="20" t="s">
        <v>598</v>
      </c>
      <c r="D151" s="150">
        <v>1780000</v>
      </c>
      <c r="E151" s="20" t="s">
        <v>472</v>
      </c>
      <c r="F151" s="20" t="s">
        <v>473</v>
      </c>
      <c r="G151" s="8" t="str">
        <f t="shared" si="2"/>
        <v>DE LA ROSA ALEX</v>
      </c>
    </row>
    <row r="152" spans="1:7" x14ac:dyDescent="0.25">
      <c r="A152" s="8">
        <v>42804.649722222224</v>
      </c>
      <c r="B152" s="20" t="s">
        <v>405</v>
      </c>
      <c r="C152" s="20" t="s">
        <v>727</v>
      </c>
      <c r="D152" s="150">
        <v>2230000</v>
      </c>
      <c r="E152" s="20" t="s">
        <v>504</v>
      </c>
      <c r="F152" s="20" t="s">
        <v>200</v>
      </c>
      <c r="G152" s="8" t="str">
        <f t="shared" si="2"/>
        <v>SMITH MICHAEL</v>
      </c>
    </row>
    <row r="153" spans="1:7" x14ac:dyDescent="0.25">
      <c r="A153" s="8">
        <v>42804.650983796295</v>
      </c>
      <c r="B153" s="20" t="s">
        <v>400</v>
      </c>
      <c r="C153" s="20" t="s">
        <v>598</v>
      </c>
      <c r="D153" s="150">
        <v>1780000</v>
      </c>
      <c r="E153" s="20" t="s">
        <v>472</v>
      </c>
      <c r="F153" s="20" t="s">
        <v>473</v>
      </c>
      <c r="G153" s="8" t="str">
        <f t="shared" si="2"/>
        <v>DE LA ROSA ALEX</v>
      </c>
    </row>
    <row r="154" spans="1:7" x14ac:dyDescent="0.25">
      <c r="A154" s="8">
        <v>42804.65115740741</v>
      </c>
      <c r="B154" s="20" t="s">
        <v>405</v>
      </c>
      <c r="C154" s="20" t="s">
        <v>727</v>
      </c>
      <c r="D154" s="150">
        <v>2230000</v>
      </c>
      <c r="E154" s="20" t="s">
        <v>504</v>
      </c>
      <c r="F154" s="20" t="s">
        <v>200</v>
      </c>
      <c r="G154" s="8" t="str">
        <f t="shared" si="2"/>
        <v>SMITH MICHAEL</v>
      </c>
    </row>
    <row r="155" spans="1:7" x14ac:dyDescent="0.25">
      <c r="A155" s="8">
        <v>42804.651296296295</v>
      </c>
      <c r="B155" s="20" t="s">
        <v>632</v>
      </c>
      <c r="C155" s="20" t="s">
        <v>728</v>
      </c>
      <c r="D155" s="150">
        <v>2540000</v>
      </c>
      <c r="E155" s="20" t="s">
        <v>214</v>
      </c>
      <c r="F155" s="20" t="s">
        <v>215</v>
      </c>
      <c r="G155" s="8" t="str">
        <f t="shared" si="2"/>
        <v>MCREYNOLDS KYLE</v>
      </c>
    </row>
    <row r="156" spans="1:7" x14ac:dyDescent="0.25">
      <c r="A156" s="8">
        <v>42804.652280092596</v>
      </c>
      <c r="B156" s="20" t="s">
        <v>400</v>
      </c>
      <c r="C156" s="20" t="s">
        <v>598</v>
      </c>
      <c r="D156" s="150">
        <v>1780000</v>
      </c>
      <c r="E156" s="20" t="s">
        <v>472</v>
      </c>
      <c r="F156" s="20" t="s">
        <v>473</v>
      </c>
      <c r="G156" s="8" t="str">
        <f t="shared" si="2"/>
        <v>DE LA ROSA ALEX</v>
      </c>
    </row>
    <row r="157" spans="1:7" x14ac:dyDescent="0.25">
      <c r="A157" s="8">
        <v>42804.652650462966</v>
      </c>
      <c r="B157" s="20" t="s">
        <v>405</v>
      </c>
      <c r="C157" s="20" t="s">
        <v>727</v>
      </c>
      <c r="D157" s="150">
        <v>2230000</v>
      </c>
      <c r="E157" s="20" t="s">
        <v>504</v>
      </c>
      <c r="F157" s="20" t="s">
        <v>200</v>
      </c>
      <c r="G157" s="8" t="str">
        <f t="shared" si="2"/>
        <v>SMITH MICHAEL</v>
      </c>
    </row>
    <row r="158" spans="1:7" x14ac:dyDescent="0.25">
      <c r="A158" s="8">
        <v>42804.65556712963</v>
      </c>
      <c r="B158" s="20" t="s">
        <v>190</v>
      </c>
      <c r="C158" s="20" t="s">
        <v>729</v>
      </c>
      <c r="D158" s="150">
        <v>2370000</v>
      </c>
      <c r="E158" s="20" t="s">
        <v>698</v>
      </c>
      <c r="F158" s="20" t="s">
        <v>699</v>
      </c>
      <c r="G158" s="8" t="str">
        <f t="shared" si="2"/>
        <v>DELGADO DIANAH</v>
      </c>
    </row>
    <row r="159" spans="1:7" x14ac:dyDescent="0.25">
      <c r="A159" s="8">
        <v>42804.6637962963</v>
      </c>
      <c r="B159" s="20" t="s">
        <v>593</v>
      </c>
      <c r="C159" s="20" t="s">
        <v>594</v>
      </c>
      <c r="D159" s="150">
        <v>2440000</v>
      </c>
      <c r="E159" s="20" t="s">
        <v>507</v>
      </c>
      <c r="F159" s="20" t="s">
        <v>508</v>
      </c>
      <c r="G159" s="8" t="str">
        <f t="shared" si="2"/>
        <v>LOPES KIMBERLY</v>
      </c>
    </row>
    <row r="160" spans="1:7" x14ac:dyDescent="0.25">
      <c r="A160" s="8">
        <v>42804.672476851854</v>
      </c>
      <c r="B160" s="20" t="s">
        <v>204</v>
      </c>
      <c r="C160" s="20" t="s">
        <v>595</v>
      </c>
      <c r="D160" s="150">
        <v>2230000</v>
      </c>
      <c r="E160" s="20" t="s">
        <v>504</v>
      </c>
      <c r="F160" s="20" t="s">
        <v>200</v>
      </c>
      <c r="G160" s="8" t="str">
        <f t="shared" si="2"/>
        <v>SMITH MICHAEL</v>
      </c>
    </row>
    <row r="161" spans="1:7" x14ac:dyDescent="0.25">
      <c r="A161" s="8">
        <v>42804.674467592595</v>
      </c>
      <c r="B161" s="20" t="s">
        <v>465</v>
      </c>
      <c r="C161" s="20" t="s">
        <v>730</v>
      </c>
      <c r="D161" s="150">
        <v>1770000</v>
      </c>
      <c r="E161" s="20" t="s">
        <v>474</v>
      </c>
      <c r="F161" s="20" t="s">
        <v>475</v>
      </c>
      <c r="G161" s="8" t="str">
        <f t="shared" si="2"/>
        <v>BRUDER RICHARD</v>
      </c>
    </row>
    <row r="162" spans="1:7" x14ac:dyDescent="0.25">
      <c r="A162" s="8">
        <v>42804.675324074073</v>
      </c>
      <c r="B162" s="20" t="s">
        <v>465</v>
      </c>
      <c r="C162" s="20" t="s">
        <v>731</v>
      </c>
      <c r="D162" s="150">
        <v>1770000</v>
      </c>
      <c r="E162" s="20" t="s">
        <v>474</v>
      </c>
      <c r="F162" s="20" t="s">
        <v>475</v>
      </c>
      <c r="G162" s="8" t="str">
        <f t="shared" si="2"/>
        <v>BRUDER RICHARD</v>
      </c>
    </row>
    <row r="163" spans="1:7" x14ac:dyDescent="0.25">
      <c r="A163" s="8">
        <v>42804.675717592596</v>
      </c>
      <c r="B163" s="20" t="s">
        <v>584</v>
      </c>
      <c r="C163" s="20" t="s">
        <v>732</v>
      </c>
      <c r="D163" s="150">
        <v>880000</v>
      </c>
      <c r="E163" s="20" t="s">
        <v>683</v>
      </c>
      <c r="F163" s="20" t="s">
        <v>200</v>
      </c>
      <c r="G163" s="8" t="str">
        <f t="shared" si="2"/>
        <v>STEWART MICHAEL</v>
      </c>
    </row>
    <row r="164" spans="1:7" x14ac:dyDescent="0.25">
      <c r="A164" s="8">
        <v>42804.676307870373</v>
      </c>
      <c r="B164" s="20" t="s">
        <v>637</v>
      </c>
      <c r="C164" s="20" t="s">
        <v>733</v>
      </c>
      <c r="D164" s="150">
        <v>2540000</v>
      </c>
      <c r="E164" s="20" t="s">
        <v>214</v>
      </c>
      <c r="F164" s="20" t="s">
        <v>215</v>
      </c>
      <c r="G164" s="8" t="str">
        <f t="shared" si="2"/>
        <v>MCREYNOLDS KYLE</v>
      </c>
    </row>
    <row r="165" spans="1:7" x14ac:dyDescent="0.25">
      <c r="A165" s="8">
        <v>42804.678923611114</v>
      </c>
      <c r="B165" s="20" t="s">
        <v>406</v>
      </c>
      <c r="C165" s="20" t="s">
        <v>599</v>
      </c>
      <c r="D165" s="150">
        <v>2420000</v>
      </c>
      <c r="E165" s="20" t="s">
        <v>712</v>
      </c>
      <c r="F165" s="20" t="s">
        <v>713</v>
      </c>
      <c r="G165" s="8" t="str">
        <f t="shared" si="2"/>
        <v>HOLCOMB KAMDEN</v>
      </c>
    </row>
    <row r="166" spans="1:7" x14ac:dyDescent="0.25">
      <c r="A166" s="8">
        <v>42804.686180555553</v>
      </c>
      <c r="B166" s="20" t="s">
        <v>401</v>
      </c>
      <c r="C166" s="20" t="s">
        <v>734</v>
      </c>
      <c r="D166" s="150">
        <v>2470000</v>
      </c>
      <c r="E166" s="20" t="s">
        <v>685</v>
      </c>
      <c r="F166" s="20" t="s">
        <v>686</v>
      </c>
      <c r="G166" s="8" t="str">
        <f t="shared" si="2"/>
        <v>ROMERO CHAD</v>
      </c>
    </row>
    <row r="167" spans="1:7" x14ac:dyDescent="0.25">
      <c r="A167" s="8">
        <v>42804.686886574076</v>
      </c>
      <c r="B167" s="20" t="s">
        <v>401</v>
      </c>
      <c r="C167" s="20" t="s">
        <v>734</v>
      </c>
      <c r="D167" s="150">
        <v>2470000</v>
      </c>
      <c r="E167" s="20" t="s">
        <v>685</v>
      </c>
      <c r="F167" s="20" t="s">
        <v>686</v>
      </c>
      <c r="G167" s="8" t="str">
        <f t="shared" si="2"/>
        <v>ROMERO CHAD</v>
      </c>
    </row>
    <row r="168" spans="1:7" x14ac:dyDescent="0.25">
      <c r="A168" s="8">
        <v>42804.687222222223</v>
      </c>
      <c r="B168" s="20" t="s">
        <v>405</v>
      </c>
      <c r="C168" s="20" t="s">
        <v>735</v>
      </c>
      <c r="D168" s="150">
        <v>2230000</v>
      </c>
      <c r="E168" s="20" t="s">
        <v>504</v>
      </c>
      <c r="F168" s="20" t="s">
        <v>200</v>
      </c>
      <c r="G168" s="8" t="str">
        <f t="shared" si="2"/>
        <v>SMITH MICHAEL</v>
      </c>
    </row>
    <row r="169" spans="1:7" x14ac:dyDescent="0.25">
      <c r="A169" s="8">
        <v>42804.688518518517</v>
      </c>
      <c r="B169" s="20" t="s">
        <v>401</v>
      </c>
      <c r="C169" s="20" t="s">
        <v>734</v>
      </c>
      <c r="D169" s="150">
        <v>2470000</v>
      </c>
      <c r="E169" s="20" t="s">
        <v>685</v>
      </c>
      <c r="F169" s="20" t="s">
        <v>686</v>
      </c>
      <c r="G169" s="8" t="str">
        <f t="shared" si="2"/>
        <v>ROMERO CHAD</v>
      </c>
    </row>
    <row r="170" spans="1:7" x14ac:dyDescent="0.25">
      <c r="A170" s="8">
        <v>42804.692314814813</v>
      </c>
      <c r="B170" s="20" t="s">
        <v>632</v>
      </c>
      <c r="C170" s="20" t="s">
        <v>736</v>
      </c>
      <c r="D170" s="150">
        <v>2540000</v>
      </c>
      <c r="E170" s="20" t="s">
        <v>214</v>
      </c>
      <c r="F170" s="20" t="s">
        <v>215</v>
      </c>
      <c r="G170" s="8" t="str">
        <f t="shared" si="2"/>
        <v>MCREYNOLDS KYLE</v>
      </c>
    </row>
    <row r="171" spans="1:7" x14ac:dyDescent="0.25">
      <c r="A171" s="8">
        <v>42804.693842592591</v>
      </c>
      <c r="B171" s="20" t="s">
        <v>228</v>
      </c>
      <c r="C171" s="20" t="s">
        <v>737</v>
      </c>
      <c r="D171" s="150">
        <v>2370000</v>
      </c>
      <c r="E171" s="20" t="s">
        <v>698</v>
      </c>
      <c r="F171" s="20" t="s">
        <v>699</v>
      </c>
      <c r="G171" s="8" t="str">
        <f t="shared" si="2"/>
        <v>DELGADO DIANAH</v>
      </c>
    </row>
    <row r="172" spans="1:7" x14ac:dyDescent="0.25">
      <c r="A172" s="8">
        <v>42804.695162037038</v>
      </c>
      <c r="B172" s="20" t="s">
        <v>211</v>
      </c>
      <c r="C172" s="20" t="s">
        <v>600</v>
      </c>
      <c r="D172" s="150">
        <v>2360000</v>
      </c>
      <c r="E172" s="20" t="s">
        <v>505</v>
      </c>
      <c r="F172" s="20" t="s">
        <v>506</v>
      </c>
      <c r="G172" s="8" t="str">
        <f t="shared" si="2"/>
        <v>BRANDNER MELINDA</v>
      </c>
    </row>
    <row r="173" spans="1:7" x14ac:dyDescent="0.25">
      <c r="A173" s="8">
        <v>42804.703032407408</v>
      </c>
      <c r="B173" s="20" t="s">
        <v>580</v>
      </c>
      <c r="C173" s="20" t="s">
        <v>738</v>
      </c>
      <c r="D173" s="150">
        <v>2440000</v>
      </c>
      <c r="E173" s="20" t="s">
        <v>507</v>
      </c>
      <c r="F173" s="20" t="s">
        <v>508</v>
      </c>
      <c r="G173" s="8" t="str">
        <f t="shared" si="2"/>
        <v>LOPES KIMBERLY</v>
      </c>
    </row>
    <row r="174" spans="1:7" x14ac:dyDescent="0.25">
      <c r="A174" s="8">
        <v>42804.707048611112</v>
      </c>
      <c r="B174" s="20" t="s">
        <v>469</v>
      </c>
      <c r="C174" s="20" t="s">
        <v>739</v>
      </c>
      <c r="D174" s="150">
        <v>1770000</v>
      </c>
      <c r="E174" s="20" t="s">
        <v>474</v>
      </c>
      <c r="F174" s="20" t="s">
        <v>475</v>
      </c>
      <c r="G174" s="8" t="str">
        <f t="shared" si="2"/>
        <v>BRUDER RICHARD</v>
      </c>
    </row>
    <row r="175" spans="1:7" x14ac:dyDescent="0.25">
      <c r="A175" s="8">
        <v>42804.707418981481</v>
      </c>
      <c r="B175" s="20" t="s">
        <v>637</v>
      </c>
      <c r="C175" s="20" t="s">
        <v>740</v>
      </c>
      <c r="D175" s="150">
        <v>2540000</v>
      </c>
      <c r="E175" s="20" t="s">
        <v>214</v>
      </c>
      <c r="F175" s="20" t="s">
        <v>215</v>
      </c>
      <c r="G175" s="8" t="str">
        <f t="shared" si="2"/>
        <v>MCREYNOLDS KYLE</v>
      </c>
    </row>
    <row r="176" spans="1:7" x14ac:dyDescent="0.25">
      <c r="A176" s="8">
        <v>42804.713310185187</v>
      </c>
      <c r="B176" s="20" t="s">
        <v>204</v>
      </c>
      <c r="C176" s="20" t="s">
        <v>741</v>
      </c>
      <c r="D176" s="150">
        <v>2230000</v>
      </c>
      <c r="E176" s="20" t="s">
        <v>504</v>
      </c>
      <c r="F176" s="20" t="s">
        <v>200</v>
      </c>
      <c r="G176" s="8" t="str">
        <f t="shared" si="2"/>
        <v>SMITH MICHAEL</v>
      </c>
    </row>
    <row r="177" spans="1:7" x14ac:dyDescent="0.25">
      <c r="A177" s="8">
        <v>42804.720127314817</v>
      </c>
      <c r="B177" s="20" t="s">
        <v>420</v>
      </c>
      <c r="C177" s="20" t="s">
        <v>742</v>
      </c>
      <c r="D177" s="150">
        <v>2420000</v>
      </c>
      <c r="E177" s="20" t="s">
        <v>712</v>
      </c>
      <c r="F177" s="20" t="s">
        <v>713</v>
      </c>
      <c r="G177" s="8" t="str">
        <f t="shared" si="2"/>
        <v>HOLCOMB KAMDEN</v>
      </c>
    </row>
    <row r="178" spans="1:7" x14ac:dyDescent="0.25">
      <c r="A178" s="8">
        <v>42804.721284722225</v>
      </c>
      <c r="B178" s="20" t="s">
        <v>420</v>
      </c>
      <c r="C178" s="20" t="s">
        <v>742</v>
      </c>
      <c r="D178" s="150">
        <v>2420000</v>
      </c>
      <c r="E178" s="20" t="s">
        <v>712</v>
      </c>
      <c r="F178" s="20" t="s">
        <v>713</v>
      </c>
      <c r="G178" s="8" t="str">
        <f t="shared" si="2"/>
        <v>HOLCOMB KAMDEN</v>
      </c>
    </row>
    <row r="179" spans="1:7" x14ac:dyDescent="0.25">
      <c r="A179" s="8">
        <v>42804.722129629627</v>
      </c>
      <c r="B179" s="20" t="s">
        <v>400</v>
      </c>
      <c r="C179" s="20" t="s">
        <v>602</v>
      </c>
      <c r="D179" s="150">
        <v>2470000</v>
      </c>
      <c r="E179" s="20" t="s">
        <v>685</v>
      </c>
      <c r="F179" s="20" t="s">
        <v>686</v>
      </c>
      <c r="G179" s="8" t="str">
        <f t="shared" si="2"/>
        <v>ROMERO CHAD</v>
      </c>
    </row>
    <row r="180" spans="1:7" x14ac:dyDescent="0.25">
      <c r="A180" s="8">
        <v>42804.722824074073</v>
      </c>
      <c r="B180" s="20" t="s">
        <v>420</v>
      </c>
      <c r="C180" s="20" t="s">
        <v>742</v>
      </c>
      <c r="D180" s="150">
        <v>2420000</v>
      </c>
      <c r="E180" s="20" t="s">
        <v>712</v>
      </c>
      <c r="F180" s="20" t="s">
        <v>713</v>
      </c>
      <c r="G180" s="8" t="str">
        <f t="shared" si="2"/>
        <v>HOLCOMB KAMDEN</v>
      </c>
    </row>
    <row r="181" spans="1:7" x14ac:dyDescent="0.25">
      <c r="A181" s="8">
        <v>42804.723611111112</v>
      </c>
      <c r="B181" s="20" t="s">
        <v>420</v>
      </c>
      <c r="C181" s="20" t="s">
        <v>742</v>
      </c>
      <c r="D181" s="150">
        <v>2420000</v>
      </c>
      <c r="E181" s="20" t="s">
        <v>712</v>
      </c>
      <c r="F181" s="20" t="s">
        <v>713</v>
      </c>
      <c r="G181" s="8" t="str">
        <f t="shared" si="2"/>
        <v>HOLCOMB KAMDEN</v>
      </c>
    </row>
    <row r="182" spans="1:7" x14ac:dyDescent="0.25">
      <c r="A182" s="8">
        <v>42804.725034722222</v>
      </c>
      <c r="B182" s="20" t="s">
        <v>400</v>
      </c>
      <c r="C182" s="20" t="s">
        <v>602</v>
      </c>
      <c r="D182" s="150">
        <v>2470000</v>
      </c>
      <c r="E182" s="20" t="s">
        <v>685</v>
      </c>
      <c r="F182" s="20" t="s">
        <v>686</v>
      </c>
      <c r="G182" s="8" t="str">
        <f t="shared" si="2"/>
        <v>ROMERO CHAD</v>
      </c>
    </row>
    <row r="183" spans="1:7" x14ac:dyDescent="0.25">
      <c r="A183" s="8">
        <v>42804.727268518516</v>
      </c>
      <c r="B183" s="20" t="s">
        <v>190</v>
      </c>
      <c r="C183" s="20" t="s">
        <v>743</v>
      </c>
      <c r="D183" s="150">
        <v>2370000</v>
      </c>
      <c r="E183" s="20" t="s">
        <v>698</v>
      </c>
      <c r="F183" s="20" t="s">
        <v>699</v>
      </c>
      <c r="G183" s="8" t="str">
        <f t="shared" si="2"/>
        <v>DELGADO DIANAH</v>
      </c>
    </row>
    <row r="184" spans="1:7" x14ac:dyDescent="0.25">
      <c r="A184" s="8">
        <v>42804.729178240741</v>
      </c>
      <c r="B184" s="20" t="s">
        <v>405</v>
      </c>
      <c r="C184" s="20" t="s">
        <v>744</v>
      </c>
      <c r="D184" s="150">
        <v>2230000</v>
      </c>
      <c r="E184" s="20" t="s">
        <v>504</v>
      </c>
      <c r="F184" s="20" t="s">
        <v>200</v>
      </c>
      <c r="G184" s="8" t="str">
        <f t="shared" si="2"/>
        <v>SMITH MICHAEL</v>
      </c>
    </row>
    <row r="185" spans="1:7" x14ac:dyDescent="0.25">
      <c r="A185" s="8">
        <v>42804.731122685182</v>
      </c>
      <c r="B185" s="20" t="s">
        <v>574</v>
      </c>
      <c r="C185" s="20" t="s">
        <v>745</v>
      </c>
      <c r="D185" s="150">
        <v>1780000</v>
      </c>
      <c r="E185" s="20" t="s">
        <v>472</v>
      </c>
      <c r="F185" s="20" t="s">
        <v>473</v>
      </c>
      <c r="G185" s="8" t="str">
        <f t="shared" si="2"/>
        <v>DE LA ROSA ALEX</v>
      </c>
    </row>
    <row r="186" spans="1:7" x14ac:dyDescent="0.25">
      <c r="A186" s="8">
        <v>42804.734143518515</v>
      </c>
      <c r="B186" s="20" t="s">
        <v>212</v>
      </c>
      <c r="C186" s="20" t="s">
        <v>746</v>
      </c>
      <c r="D186" s="150">
        <v>2360000</v>
      </c>
      <c r="E186" s="20" t="s">
        <v>505</v>
      </c>
      <c r="F186" s="20" t="s">
        <v>506</v>
      </c>
      <c r="G186" s="8" t="str">
        <f t="shared" si="2"/>
        <v>BRANDNER MELINDA</v>
      </c>
    </row>
    <row r="187" spans="1:7" x14ac:dyDescent="0.25">
      <c r="A187" s="8">
        <v>42804.734270833331</v>
      </c>
      <c r="B187" s="20" t="s">
        <v>632</v>
      </c>
      <c r="C187" s="20" t="s">
        <v>747</v>
      </c>
      <c r="D187" s="150">
        <v>2540000</v>
      </c>
      <c r="E187" s="20" t="s">
        <v>214</v>
      </c>
      <c r="F187" s="20" t="s">
        <v>215</v>
      </c>
      <c r="G187" s="8" t="str">
        <f t="shared" si="2"/>
        <v>MCREYNOLDS KYLE</v>
      </c>
    </row>
    <row r="188" spans="1:7" x14ac:dyDescent="0.25">
      <c r="A188" s="8">
        <v>42804.738634259258</v>
      </c>
      <c r="B188" s="20" t="s">
        <v>593</v>
      </c>
      <c r="C188" s="20" t="s">
        <v>603</v>
      </c>
      <c r="D188" s="150">
        <v>1740000</v>
      </c>
      <c r="E188" s="20" t="s">
        <v>430</v>
      </c>
      <c r="F188" s="20" t="s">
        <v>431</v>
      </c>
      <c r="G188" s="8" t="str">
        <f t="shared" si="2"/>
        <v>STORY SAMANTHA</v>
      </c>
    </row>
    <row r="189" spans="1:7" x14ac:dyDescent="0.25">
      <c r="A189" s="8">
        <v>42804.742615740739</v>
      </c>
      <c r="B189" s="20" t="s">
        <v>465</v>
      </c>
      <c r="C189" s="20" t="s">
        <v>748</v>
      </c>
      <c r="D189" s="150">
        <v>1770000</v>
      </c>
      <c r="E189" s="20" t="s">
        <v>474</v>
      </c>
      <c r="F189" s="20" t="s">
        <v>475</v>
      </c>
      <c r="G189" s="8" t="str">
        <f t="shared" si="2"/>
        <v>BRUDER RICHARD</v>
      </c>
    </row>
    <row r="190" spans="1:7" x14ac:dyDescent="0.25">
      <c r="A190" s="8">
        <v>42804.744016203702</v>
      </c>
      <c r="B190" s="20" t="s">
        <v>463</v>
      </c>
      <c r="C190" s="20" t="s">
        <v>749</v>
      </c>
      <c r="D190" s="150">
        <v>2150000</v>
      </c>
      <c r="E190" s="20" t="s">
        <v>476</v>
      </c>
      <c r="F190" s="20" t="s">
        <v>477</v>
      </c>
      <c r="G190" s="8" t="str">
        <f t="shared" si="2"/>
        <v>SWANSON BRYCE</v>
      </c>
    </row>
    <row r="191" spans="1:7" x14ac:dyDescent="0.25">
      <c r="A191" s="8">
        <v>42804.746064814812</v>
      </c>
      <c r="B191" s="20" t="s">
        <v>399</v>
      </c>
      <c r="C191" s="20" t="s">
        <v>750</v>
      </c>
      <c r="D191" s="150">
        <v>2630000</v>
      </c>
      <c r="E191" s="20" t="s">
        <v>751</v>
      </c>
      <c r="F191" s="20" t="s">
        <v>752</v>
      </c>
      <c r="G191" s="8" t="str">
        <f t="shared" si="2"/>
        <v>SAFIEF AEIMEN</v>
      </c>
    </row>
    <row r="192" spans="1:7" x14ac:dyDescent="0.25">
      <c r="A192" s="8">
        <v>42804.747349537036</v>
      </c>
      <c r="B192" s="20" t="s">
        <v>584</v>
      </c>
      <c r="C192" s="20" t="s">
        <v>753</v>
      </c>
      <c r="D192" s="150">
        <v>2440000</v>
      </c>
      <c r="E192" s="20" t="s">
        <v>507</v>
      </c>
      <c r="F192" s="20" t="s">
        <v>508</v>
      </c>
      <c r="G192" s="8" t="str">
        <f t="shared" si="2"/>
        <v>LOPES KIMBERLY</v>
      </c>
    </row>
    <row r="193" spans="1:7" x14ac:dyDescent="0.25">
      <c r="A193" s="8">
        <v>42804.754618055558</v>
      </c>
      <c r="B193" s="20" t="s">
        <v>564</v>
      </c>
      <c r="C193" s="20" t="s">
        <v>605</v>
      </c>
      <c r="D193" s="150">
        <v>2420000</v>
      </c>
      <c r="E193" s="20" t="s">
        <v>712</v>
      </c>
      <c r="F193" s="20" t="s">
        <v>713</v>
      </c>
      <c r="G193" s="8" t="str">
        <f t="shared" si="2"/>
        <v>HOLCOMB KAMDEN</v>
      </c>
    </row>
    <row r="194" spans="1:7" x14ac:dyDescent="0.25">
      <c r="A194" s="8">
        <v>42804.755011574074</v>
      </c>
      <c r="B194" s="20" t="s">
        <v>204</v>
      </c>
      <c r="C194" s="20" t="s">
        <v>604</v>
      </c>
      <c r="D194" s="150">
        <v>2230000</v>
      </c>
      <c r="E194" s="20" t="s">
        <v>504</v>
      </c>
      <c r="F194" s="20" t="s">
        <v>200</v>
      </c>
      <c r="G194" s="8" t="str">
        <f t="shared" si="2"/>
        <v>SMITH MICHAEL</v>
      </c>
    </row>
    <row r="195" spans="1:7" x14ac:dyDescent="0.25">
      <c r="A195" s="8">
        <v>42804.755277777775</v>
      </c>
      <c r="B195" s="20" t="s">
        <v>637</v>
      </c>
      <c r="C195" s="20" t="s">
        <v>754</v>
      </c>
      <c r="D195" s="150">
        <v>2540000</v>
      </c>
      <c r="E195" s="20" t="s">
        <v>214</v>
      </c>
      <c r="F195" s="20" t="s">
        <v>215</v>
      </c>
      <c r="G195" s="8" t="str">
        <f t="shared" ref="G195:G258" si="3">E195&amp;" "&amp;F195</f>
        <v>MCREYNOLDS KYLE</v>
      </c>
    </row>
    <row r="196" spans="1:7" x14ac:dyDescent="0.25">
      <c r="A196" s="8">
        <v>42804.756631944445</v>
      </c>
      <c r="B196" s="20" t="s">
        <v>401</v>
      </c>
      <c r="C196" s="20" t="s">
        <v>755</v>
      </c>
      <c r="D196" s="150">
        <v>2000000</v>
      </c>
      <c r="E196" s="20" t="s">
        <v>756</v>
      </c>
      <c r="F196" s="20" t="s">
        <v>197</v>
      </c>
      <c r="G196" s="8" t="str">
        <f t="shared" si="3"/>
        <v>STAMBAUGH JAMES</v>
      </c>
    </row>
    <row r="197" spans="1:7" x14ac:dyDescent="0.25">
      <c r="A197" s="8">
        <v>42804.758344907408</v>
      </c>
      <c r="B197" s="20" t="s">
        <v>204</v>
      </c>
      <c r="C197" s="20" t="s">
        <v>604</v>
      </c>
      <c r="D197" s="150">
        <v>2230000</v>
      </c>
      <c r="E197" s="20" t="s">
        <v>504</v>
      </c>
      <c r="F197" s="20" t="s">
        <v>200</v>
      </c>
      <c r="G197" s="8" t="str">
        <f t="shared" si="3"/>
        <v>SMITH MICHAEL</v>
      </c>
    </row>
    <row r="198" spans="1:7" x14ac:dyDescent="0.25">
      <c r="A198" s="8">
        <v>42804.764004629629</v>
      </c>
      <c r="B198" s="20" t="s">
        <v>228</v>
      </c>
      <c r="C198" s="20" t="s">
        <v>757</v>
      </c>
      <c r="D198" s="150">
        <v>2370000</v>
      </c>
      <c r="E198" s="20" t="s">
        <v>698</v>
      </c>
      <c r="F198" s="20" t="s">
        <v>699</v>
      </c>
      <c r="G198" s="8" t="str">
        <f t="shared" si="3"/>
        <v>DELGADO DIANAH</v>
      </c>
    </row>
    <row r="199" spans="1:7" x14ac:dyDescent="0.25">
      <c r="A199" s="8">
        <v>42804.773055555554</v>
      </c>
      <c r="B199" s="20" t="s">
        <v>405</v>
      </c>
      <c r="C199" s="20" t="s">
        <v>758</v>
      </c>
      <c r="D199" s="150">
        <v>2230000</v>
      </c>
      <c r="E199" s="20" t="s">
        <v>504</v>
      </c>
      <c r="F199" s="20" t="s">
        <v>200</v>
      </c>
      <c r="G199" s="8" t="str">
        <f t="shared" si="3"/>
        <v>SMITH MICHAEL</v>
      </c>
    </row>
    <row r="200" spans="1:7" x14ac:dyDescent="0.25">
      <c r="A200" s="8">
        <v>42804.773240740738</v>
      </c>
      <c r="B200" s="20" t="s">
        <v>264</v>
      </c>
      <c r="C200" s="20" t="s">
        <v>759</v>
      </c>
      <c r="D200" s="150">
        <v>2150000</v>
      </c>
      <c r="E200" s="20" t="s">
        <v>476</v>
      </c>
      <c r="F200" s="20" t="s">
        <v>477</v>
      </c>
      <c r="G200" s="8" t="str">
        <f t="shared" si="3"/>
        <v>SWANSON BRYCE</v>
      </c>
    </row>
    <row r="201" spans="1:7" x14ac:dyDescent="0.25">
      <c r="A201" s="8">
        <v>42804.774004629631</v>
      </c>
      <c r="B201" s="20" t="s">
        <v>264</v>
      </c>
      <c r="C201" s="20" t="s">
        <v>759</v>
      </c>
      <c r="D201" s="150">
        <v>2150000</v>
      </c>
      <c r="E201" s="20" t="s">
        <v>476</v>
      </c>
      <c r="F201" s="20" t="s">
        <v>477</v>
      </c>
      <c r="G201" s="8" t="str">
        <f t="shared" si="3"/>
        <v>SWANSON BRYCE</v>
      </c>
    </row>
    <row r="202" spans="1:7" x14ac:dyDescent="0.25">
      <c r="A202" s="26">
        <v>42804.776134259257</v>
      </c>
      <c r="B202" s="20" t="s">
        <v>632</v>
      </c>
      <c r="C202" s="20" t="s">
        <v>760</v>
      </c>
      <c r="D202" s="150">
        <v>2540000</v>
      </c>
      <c r="E202" s="20" t="s">
        <v>214</v>
      </c>
      <c r="F202" s="20" t="s">
        <v>215</v>
      </c>
      <c r="G202" s="8" t="str">
        <f t="shared" si="3"/>
        <v>MCREYNOLDS KYLE</v>
      </c>
    </row>
    <row r="203" spans="1:7" x14ac:dyDescent="0.25">
      <c r="A203" s="8">
        <v>42804.777372685188</v>
      </c>
      <c r="B203" s="20" t="s">
        <v>580</v>
      </c>
      <c r="C203" s="20" t="s">
        <v>606</v>
      </c>
      <c r="D203" s="150">
        <v>1740000</v>
      </c>
      <c r="E203" s="20" t="s">
        <v>430</v>
      </c>
      <c r="F203" s="20" t="s">
        <v>431</v>
      </c>
      <c r="G203" s="8" t="str">
        <f t="shared" si="3"/>
        <v>STORY SAMANTHA</v>
      </c>
    </row>
    <row r="204" spans="1:7" x14ac:dyDescent="0.25">
      <c r="A204" s="8">
        <v>42804.782546296294</v>
      </c>
      <c r="B204" s="20" t="s">
        <v>586</v>
      </c>
      <c r="C204" s="20" t="s">
        <v>761</v>
      </c>
      <c r="D204" s="150">
        <v>2440000</v>
      </c>
      <c r="E204" s="20" t="s">
        <v>507</v>
      </c>
      <c r="F204" s="20" t="s">
        <v>508</v>
      </c>
      <c r="G204" s="8" t="str">
        <f t="shared" si="3"/>
        <v>LOPES KIMBERLY</v>
      </c>
    </row>
    <row r="205" spans="1:7" x14ac:dyDescent="0.25">
      <c r="A205" s="8">
        <v>42804.783912037034</v>
      </c>
      <c r="B205" s="20" t="s">
        <v>469</v>
      </c>
      <c r="C205" s="20" t="s">
        <v>762</v>
      </c>
      <c r="D205" s="150">
        <v>1770000</v>
      </c>
      <c r="E205" s="20" t="s">
        <v>474</v>
      </c>
      <c r="F205" s="20" t="s">
        <v>475</v>
      </c>
      <c r="G205" s="8" t="str">
        <f t="shared" si="3"/>
        <v>BRUDER RICHARD</v>
      </c>
    </row>
    <row r="206" spans="1:7" x14ac:dyDescent="0.25">
      <c r="A206" s="8">
        <v>42804.792430555557</v>
      </c>
      <c r="B206" s="20" t="s">
        <v>420</v>
      </c>
      <c r="C206" s="20" t="s">
        <v>763</v>
      </c>
      <c r="D206" s="150">
        <v>2270000</v>
      </c>
      <c r="E206" s="20" t="s">
        <v>219</v>
      </c>
      <c r="F206" s="20" t="s">
        <v>220</v>
      </c>
      <c r="G206" s="8" t="str">
        <f t="shared" si="3"/>
        <v>BROWN JACOB</v>
      </c>
    </row>
    <row r="207" spans="1:7" x14ac:dyDescent="0.25">
      <c r="A207" s="8">
        <v>42804.79351851852</v>
      </c>
      <c r="B207" s="20" t="s">
        <v>400</v>
      </c>
      <c r="C207" s="20" t="s">
        <v>607</v>
      </c>
      <c r="D207" s="150">
        <v>2000000</v>
      </c>
      <c r="E207" s="20" t="s">
        <v>756</v>
      </c>
      <c r="F207" s="20" t="s">
        <v>197</v>
      </c>
      <c r="G207" s="8" t="str">
        <f t="shared" si="3"/>
        <v>STAMBAUGH JAMES</v>
      </c>
    </row>
    <row r="208" spans="1:7" x14ac:dyDescent="0.25">
      <c r="A208" s="8">
        <v>42804.796064814815</v>
      </c>
      <c r="B208" s="20" t="s">
        <v>637</v>
      </c>
      <c r="C208" s="20" t="s">
        <v>764</v>
      </c>
      <c r="D208" s="150">
        <v>2600000</v>
      </c>
      <c r="E208" s="20" t="s">
        <v>765</v>
      </c>
      <c r="F208" s="20" t="s">
        <v>766</v>
      </c>
      <c r="G208" s="8" t="str">
        <f t="shared" si="3"/>
        <v>DAVIDSON DAVID</v>
      </c>
    </row>
    <row r="209" spans="1:7" x14ac:dyDescent="0.25">
      <c r="A209" s="8">
        <v>42804.796388888892</v>
      </c>
      <c r="B209" s="20" t="s">
        <v>204</v>
      </c>
      <c r="C209" s="20" t="s">
        <v>767</v>
      </c>
      <c r="D209" s="150">
        <v>2230000</v>
      </c>
      <c r="E209" s="20" t="s">
        <v>504</v>
      </c>
      <c r="F209" s="20" t="s">
        <v>200</v>
      </c>
      <c r="G209" s="8" t="str">
        <f t="shared" si="3"/>
        <v>SMITH MICHAEL</v>
      </c>
    </row>
    <row r="210" spans="1:7" x14ac:dyDescent="0.25">
      <c r="A210" s="8">
        <v>42804.800949074073</v>
      </c>
      <c r="B210" s="20" t="s">
        <v>190</v>
      </c>
      <c r="C210" s="20" t="s">
        <v>768</v>
      </c>
      <c r="D210" s="150">
        <v>2370000</v>
      </c>
      <c r="E210" s="20" t="s">
        <v>698</v>
      </c>
      <c r="F210" s="20" t="s">
        <v>699</v>
      </c>
      <c r="G210" s="8" t="str">
        <f t="shared" si="3"/>
        <v>DELGADO DIANAH</v>
      </c>
    </row>
    <row r="211" spans="1:7" x14ac:dyDescent="0.25">
      <c r="A211" s="8">
        <v>42804.806134259263</v>
      </c>
      <c r="B211" s="20" t="s">
        <v>399</v>
      </c>
      <c r="C211" s="20" t="s">
        <v>769</v>
      </c>
      <c r="D211" s="150">
        <v>2150000</v>
      </c>
      <c r="E211" s="20" t="s">
        <v>476</v>
      </c>
      <c r="F211" s="20" t="s">
        <v>477</v>
      </c>
      <c r="G211" s="8" t="str">
        <f t="shared" si="3"/>
        <v>SWANSON BRYCE</v>
      </c>
    </row>
    <row r="212" spans="1:7" x14ac:dyDescent="0.25">
      <c r="A212" s="8">
        <v>42804.81046296296</v>
      </c>
      <c r="B212" s="20" t="s">
        <v>593</v>
      </c>
      <c r="C212" s="20" t="s">
        <v>770</v>
      </c>
      <c r="D212" s="150">
        <v>2560000</v>
      </c>
      <c r="E212" s="20" t="s">
        <v>771</v>
      </c>
      <c r="F212" s="20" t="s">
        <v>772</v>
      </c>
      <c r="G212" s="8" t="str">
        <f t="shared" si="3"/>
        <v>MACDONALD THOMAS</v>
      </c>
    </row>
    <row r="213" spans="1:7" x14ac:dyDescent="0.25">
      <c r="A213" s="8">
        <v>42804.818101851852</v>
      </c>
      <c r="B213" s="20" t="s">
        <v>632</v>
      </c>
      <c r="C213" s="20" t="s">
        <v>773</v>
      </c>
      <c r="D213" s="150">
        <v>2600000</v>
      </c>
      <c r="E213" s="20" t="s">
        <v>765</v>
      </c>
      <c r="F213" s="20" t="s">
        <v>766</v>
      </c>
      <c r="G213" s="8" t="str">
        <f t="shared" si="3"/>
        <v>DAVIDSON DAVID</v>
      </c>
    </row>
    <row r="214" spans="1:7" x14ac:dyDescent="0.25">
      <c r="A214" s="8">
        <v>42804.819756944446</v>
      </c>
      <c r="B214" s="20" t="s">
        <v>584</v>
      </c>
      <c r="C214" s="20" t="s">
        <v>774</v>
      </c>
      <c r="D214" s="150">
        <v>2440000</v>
      </c>
      <c r="E214" s="20" t="s">
        <v>507</v>
      </c>
      <c r="F214" s="20" t="s">
        <v>508</v>
      </c>
      <c r="G214" s="8" t="str">
        <f t="shared" si="3"/>
        <v>LOPES KIMBERLY</v>
      </c>
    </row>
    <row r="215" spans="1:7" x14ac:dyDescent="0.25">
      <c r="A215" s="8">
        <v>42804.822627314818</v>
      </c>
      <c r="B215" s="20" t="s">
        <v>400</v>
      </c>
      <c r="C215" s="20" t="s">
        <v>607</v>
      </c>
      <c r="D215" s="150">
        <v>2000000</v>
      </c>
      <c r="E215" s="20" t="s">
        <v>756</v>
      </c>
      <c r="F215" s="20" t="s">
        <v>197</v>
      </c>
      <c r="G215" s="8" t="str">
        <f t="shared" si="3"/>
        <v>STAMBAUGH JAMES</v>
      </c>
    </row>
    <row r="216" spans="1:7" x14ac:dyDescent="0.25">
      <c r="A216" s="8">
        <v>42804.825555555559</v>
      </c>
      <c r="B216" s="20" t="s">
        <v>564</v>
      </c>
      <c r="C216" s="20" t="s">
        <v>775</v>
      </c>
      <c r="D216" s="150">
        <v>2270000</v>
      </c>
      <c r="E216" s="20" t="s">
        <v>219</v>
      </c>
      <c r="F216" s="20" t="s">
        <v>220</v>
      </c>
      <c r="G216" s="8" t="str">
        <f t="shared" si="3"/>
        <v>BROWN JACOB</v>
      </c>
    </row>
    <row r="217" spans="1:7" x14ac:dyDescent="0.25">
      <c r="A217" s="8">
        <v>42804.83252314815</v>
      </c>
      <c r="B217" s="20" t="s">
        <v>401</v>
      </c>
      <c r="C217" s="20" t="s">
        <v>776</v>
      </c>
      <c r="D217" s="150">
        <v>2000000</v>
      </c>
      <c r="E217" s="20" t="s">
        <v>756</v>
      </c>
      <c r="F217" s="20" t="s">
        <v>197</v>
      </c>
      <c r="G217" s="8" t="str">
        <f t="shared" si="3"/>
        <v>STAMBAUGH JAMES</v>
      </c>
    </row>
    <row r="218" spans="1:7" x14ac:dyDescent="0.25">
      <c r="A218" s="8">
        <v>42804.834305555552</v>
      </c>
      <c r="B218" s="20" t="s">
        <v>637</v>
      </c>
      <c r="C218" s="20" t="s">
        <v>777</v>
      </c>
      <c r="D218" s="150">
        <v>2540000</v>
      </c>
      <c r="E218" s="20" t="s">
        <v>214</v>
      </c>
      <c r="F218" s="20" t="s">
        <v>215</v>
      </c>
      <c r="G218" s="8" t="str">
        <f t="shared" si="3"/>
        <v>MCREYNOLDS KYLE</v>
      </c>
    </row>
    <row r="219" spans="1:7" x14ac:dyDescent="0.25">
      <c r="A219" s="8">
        <v>42804.845810185187</v>
      </c>
      <c r="B219" s="20" t="s">
        <v>264</v>
      </c>
      <c r="C219" s="20" t="s">
        <v>778</v>
      </c>
      <c r="D219" s="150">
        <v>2150000</v>
      </c>
      <c r="E219" s="20" t="s">
        <v>476</v>
      </c>
      <c r="F219" s="20" t="s">
        <v>477</v>
      </c>
      <c r="G219" s="8" t="str">
        <f t="shared" si="3"/>
        <v>SWANSON BRYCE</v>
      </c>
    </row>
    <row r="220" spans="1:7" x14ac:dyDescent="0.25">
      <c r="A220" s="8">
        <v>42804.849016203705</v>
      </c>
      <c r="B220" s="20" t="s">
        <v>580</v>
      </c>
      <c r="C220" s="20" t="s">
        <v>608</v>
      </c>
      <c r="D220" s="150">
        <v>2560000</v>
      </c>
      <c r="E220" s="20" t="s">
        <v>771</v>
      </c>
      <c r="F220" s="20" t="s">
        <v>772</v>
      </c>
      <c r="G220" s="8" t="str">
        <f t="shared" si="3"/>
        <v>MACDONALD THOMAS</v>
      </c>
    </row>
    <row r="221" spans="1:7" x14ac:dyDescent="0.25">
      <c r="A221" s="8">
        <v>42804.855358796296</v>
      </c>
      <c r="B221" s="20" t="s">
        <v>462</v>
      </c>
      <c r="C221" s="20" t="s">
        <v>779</v>
      </c>
      <c r="D221" s="150">
        <v>2680000</v>
      </c>
      <c r="E221" s="20" t="s">
        <v>780</v>
      </c>
      <c r="F221" s="20" t="s">
        <v>781</v>
      </c>
      <c r="G221" s="8" t="str">
        <f t="shared" si="3"/>
        <v>DUNCAN SHEILA</v>
      </c>
    </row>
    <row r="222" spans="1:7" x14ac:dyDescent="0.25">
      <c r="A222" s="8">
        <v>42804.859629629631</v>
      </c>
      <c r="B222" s="20" t="s">
        <v>632</v>
      </c>
      <c r="C222" s="20" t="s">
        <v>782</v>
      </c>
      <c r="D222" s="150">
        <v>2540000</v>
      </c>
      <c r="E222" s="20" t="s">
        <v>214</v>
      </c>
      <c r="F222" s="20" t="s">
        <v>215</v>
      </c>
      <c r="G222" s="8" t="str">
        <f t="shared" si="3"/>
        <v>MCREYNOLDS KYLE</v>
      </c>
    </row>
    <row r="223" spans="1:7" x14ac:dyDescent="0.25">
      <c r="A223" s="8">
        <v>42804.870567129627</v>
      </c>
      <c r="B223" s="20" t="s">
        <v>400</v>
      </c>
      <c r="C223" s="20" t="s">
        <v>783</v>
      </c>
      <c r="D223" s="150">
        <v>2000000</v>
      </c>
      <c r="E223" s="20" t="s">
        <v>756</v>
      </c>
      <c r="F223" s="20" t="s">
        <v>197</v>
      </c>
      <c r="G223" s="8" t="str">
        <f t="shared" si="3"/>
        <v>STAMBAUGH JAMES</v>
      </c>
    </row>
    <row r="224" spans="1:7" x14ac:dyDescent="0.25">
      <c r="A224" s="8">
        <v>42804.870833333334</v>
      </c>
      <c r="B224" t="s">
        <v>420</v>
      </c>
      <c r="C224" t="s">
        <v>784</v>
      </c>
      <c r="D224" s="150">
        <v>2270000</v>
      </c>
      <c r="E224" t="s">
        <v>219</v>
      </c>
      <c r="F224" s="20" t="s">
        <v>220</v>
      </c>
      <c r="G224" s="8" t="str">
        <f t="shared" si="3"/>
        <v>BROWN JACOB</v>
      </c>
    </row>
    <row r="225" spans="1:7" x14ac:dyDescent="0.25">
      <c r="A225" s="8">
        <v>42804.871631944443</v>
      </c>
      <c r="B225" t="s">
        <v>466</v>
      </c>
      <c r="C225" t="s">
        <v>785</v>
      </c>
      <c r="D225" s="150">
        <v>2680000</v>
      </c>
      <c r="E225" t="s">
        <v>780</v>
      </c>
      <c r="F225" s="20" t="s">
        <v>781</v>
      </c>
      <c r="G225" s="8" t="str">
        <f t="shared" si="3"/>
        <v>DUNCAN SHEILA</v>
      </c>
    </row>
    <row r="226" spans="1:7" x14ac:dyDescent="0.25">
      <c r="A226" s="8">
        <v>42804.876666666663</v>
      </c>
      <c r="B226" t="s">
        <v>637</v>
      </c>
      <c r="C226" t="s">
        <v>786</v>
      </c>
      <c r="D226" s="150">
        <v>2230000</v>
      </c>
      <c r="E226" t="s">
        <v>504</v>
      </c>
      <c r="F226" s="20" t="s">
        <v>200</v>
      </c>
      <c r="G226" s="8" t="str">
        <f t="shared" si="3"/>
        <v>SMITH MICHAEL</v>
      </c>
    </row>
    <row r="227" spans="1:7" x14ac:dyDescent="0.25">
      <c r="A227" s="8">
        <v>42804.883402777778</v>
      </c>
      <c r="B227" t="s">
        <v>399</v>
      </c>
      <c r="C227" t="s">
        <v>787</v>
      </c>
      <c r="D227" s="150">
        <v>2150000</v>
      </c>
      <c r="E227" t="s">
        <v>476</v>
      </c>
      <c r="F227" s="20" t="s">
        <v>477</v>
      </c>
      <c r="G227" s="8" t="str">
        <f t="shared" si="3"/>
        <v>SWANSON BRYCE</v>
      </c>
    </row>
    <row r="228" spans="1:7" x14ac:dyDescent="0.25">
      <c r="A228" s="8">
        <v>42804.888877314814</v>
      </c>
      <c r="B228" t="s">
        <v>593</v>
      </c>
      <c r="C228" t="s">
        <v>788</v>
      </c>
      <c r="D228" s="150">
        <v>1740000</v>
      </c>
      <c r="E228" t="s">
        <v>430</v>
      </c>
      <c r="F228" s="20" t="s">
        <v>431</v>
      </c>
      <c r="G228" s="8" t="str">
        <f t="shared" si="3"/>
        <v>STORY SAMANTHA</v>
      </c>
    </row>
    <row r="229" spans="1:7" x14ac:dyDescent="0.25">
      <c r="A229" s="8">
        <v>42804.90152777778</v>
      </c>
      <c r="B229" t="s">
        <v>632</v>
      </c>
      <c r="C229" t="s">
        <v>789</v>
      </c>
      <c r="D229" s="150">
        <v>2230000</v>
      </c>
      <c r="E229" t="s">
        <v>504</v>
      </c>
      <c r="F229" s="20" t="s">
        <v>200</v>
      </c>
      <c r="G229" s="8" t="str">
        <f t="shared" si="3"/>
        <v>SMITH MICHAEL</v>
      </c>
    </row>
    <row r="230" spans="1:7" x14ac:dyDescent="0.25">
      <c r="A230" s="8">
        <v>42804.905370370368</v>
      </c>
      <c r="B230" t="s">
        <v>401</v>
      </c>
      <c r="C230" t="s">
        <v>609</v>
      </c>
      <c r="D230" s="150">
        <v>2000000</v>
      </c>
      <c r="E230" t="s">
        <v>756</v>
      </c>
      <c r="F230" s="20" t="s">
        <v>197</v>
      </c>
      <c r="G230" s="8" t="str">
        <f t="shared" si="3"/>
        <v>STAMBAUGH JAMES</v>
      </c>
    </row>
    <row r="231" spans="1:7" x14ac:dyDescent="0.25">
      <c r="A231" s="8">
        <v>42804.91033564815</v>
      </c>
      <c r="B231" t="s">
        <v>564</v>
      </c>
      <c r="C231" t="s">
        <v>790</v>
      </c>
      <c r="D231" s="150">
        <v>2270000</v>
      </c>
      <c r="E231" t="s">
        <v>219</v>
      </c>
      <c r="F231" s="20" t="s">
        <v>220</v>
      </c>
      <c r="G231" s="8" t="str">
        <f t="shared" si="3"/>
        <v>BROWN JACOB</v>
      </c>
    </row>
    <row r="232" spans="1:7" x14ac:dyDescent="0.25">
      <c r="A232" s="8">
        <v>42804.915520833332</v>
      </c>
      <c r="B232" t="s">
        <v>462</v>
      </c>
      <c r="C232" t="s">
        <v>779</v>
      </c>
      <c r="D232" s="150">
        <v>2680000</v>
      </c>
      <c r="E232" t="s">
        <v>780</v>
      </c>
      <c r="F232" s="20" t="s">
        <v>781</v>
      </c>
      <c r="G232" s="8" t="str">
        <f t="shared" si="3"/>
        <v>DUNCAN SHEILA</v>
      </c>
    </row>
    <row r="233" spans="1:7" x14ac:dyDescent="0.25">
      <c r="A233" s="8">
        <v>42804.922523148147</v>
      </c>
      <c r="B233" t="s">
        <v>637</v>
      </c>
      <c r="C233" t="s">
        <v>791</v>
      </c>
      <c r="D233" s="150">
        <v>2230000</v>
      </c>
      <c r="E233" t="s">
        <v>504</v>
      </c>
      <c r="F233" s="20" t="s">
        <v>200</v>
      </c>
      <c r="G233" s="8" t="str">
        <f t="shared" si="3"/>
        <v>SMITH MICHAEL</v>
      </c>
    </row>
    <row r="234" spans="1:7" x14ac:dyDescent="0.25">
      <c r="A234" s="8">
        <v>42804.928078703706</v>
      </c>
      <c r="B234" t="s">
        <v>637</v>
      </c>
      <c r="C234" t="s">
        <v>791</v>
      </c>
      <c r="D234" s="150">
        <v>2230000</v>
      </c>
      <c r="E234" t="s">
        <v>504</v>
      </c>
      <c r="F234" s="20" t="s">
        <v>200</v>
      </c>
      <c r="G234" s="8" t="str">
        <f t="shared" si="3"/>
        <v>SMITH MICHAEL</v>
      </c>
    </row>
    <row r="235" spans="1:7" x14ac:dyDescent="0.25">
      <c r="A235" s="8">
        <v>42804.929548611108</v>
      </c>
      <c r="B235" t="s">
        <v>580</v>
      </c>
      <c r="C235" t="s">
        <v>792</v>
      </c>
      <c r="D235" s="150">
        <v>1740000</v>
      </c>
      <c r="E235" t="s">
        <v>430</v>
      </c>
      <c r="F235" s="20" t="s">
        <v>431</v>
      </c>
      <c r="G235" s="8" t="str">
        <f t="shared" si="3"/>
        <v>STORY SAMANTHA</v>
      </c>
    </row>
    <row r="236" spans="1:7" x14ac:dyDescent="0.25">
      <c r="A236" s="8">
        <v>42804.933171296296</v>
      </c>
      <c r="B236" t="s">
        <v>637</v>
      </c>
      <c r="C236" t="s">
        <v>791</v>
      </c>
      <c r="D236" s="150">
        <v>2230000</v>
      </c>
      <c r="E236" t="s">
        <v>504</v>
      </c>
      <c r="F236" s="20" t="s">
        <v>200</v>
      </c>
      <c r="G236" s="8" t="str">
        <f t="shared" si="3"/>
        <v>SMITH MICHAEL</v>
      </c>
    </row>
    <row r="237" spans="1:7" x14ac:dyDescent="0.25">
      <c r="A237" s="8">
        <v>42804.935543981483</v>
      </c>
      <c r="B237" t="s">
        <v>264</v>
      </c>
      <c r="C237" t="s">
        <v>793</v>
      </c>
      <c r="D237" s="150">
        <v>2150000</v>
      </c>
      <c r="E237" t="s">
        <v>476</v>
      </c>
      <c r="F237" s="20" t="s">
        <v>477</v>
      </c>
      <c r="G237" s="8" t="str">
        <f t="shared" si="3"/>
        <v>SWANSON BRYCE</v>
      </c>
    </row>
    <row r="238" spans="1:7" x14ac:dyDescent="0.25">
      <c r="A238" s="8">
        <v>42804.936550925922</v>
      </c>
      <c r="B238" t="s">
        <v>580</v>
      </c>
      <c r="C238" t="s">
        <v>792</v>
      </c>
      <c r="D238" s="150">
        <v>1740000</v>
      </c>
      <c r="E238" t="s">
        <v>430</v>
      </c>
      <c r="F238" s="20" t="s">
        <v>431</v>
      </c>
      <c r="G238" s="8" t="str">
        <f t="shared" si="3"/>
        <v>STORY SAMANTHA</v>
      </c>
    </row>
    <row r="239" spans="1:7" x14ac:dyDescent="0.25">
      <c r="A239" s="8">
        <v>42804.93712962963</v>
      </c>
      <c r="B239" t="s">
        <v>580</v>
      </c>
      <c r="C239" t="s">
        <v>792</v>
      </c>
      <c r="D239" s="150">
        <v>1740000</v>
      </c>
      <c r="E239" t="s">
        <v>430</v>
      </c>
      <c r="F239" s="20" t="s">
        <v>431</v>
      </c>
      <c r="G239" s="8" t="str">
        <f t="shared" si="3"/>
        <v>STORY SAMANTHA</v>
      </c>
    </row>
    <row r="240" spans="1:7" x14ac:dyDescent="0.25">
      <c r="A240" s="8">
        <v>42804.941331018519</v>
      </c>
      <c r="B240" t="s">
        <v>464</v>
      </c>
      <c r="C240" t="s">
        <v>794</v>
      </c>
      <c r="D240" s="150">
        <v>2560000</v>
      </c>
      <c r="E240" t="s">
        <v>771</v>
      </c>
      <c r="F240" s="20" t="s">
        <v>772</v>
      </c>
      <c r="G240" s="8" t="str">
        <f t="shared" si="3"/>
        <v>MACDONALD THOMAS</v>
      </c>
    </row>
    <row r="241" spans="1:7" x14ac:dyDescent="0.25">
      <c r="A241" s="8">
        <v>42804.945023148146</v>
      </c>
      <c r="B241" t="s">
        <v>400</v>
      </c>
      <c r="C241" t="s">
        <v>795</v>
      </c>
      <c r="D241" s="150">
        <v>2000000</v>
      </c>
      <c r="E241" t="s">
        <v>756</v>
      </c>
      <c r="F241" s="20" t="s">
        <v>197</v>
      </c>
      <c r="G241" s="8" t="str">
        <f t="shared" si="3"/>
        <v>STAMBAUGH JAMES</v>
      </c>
    </row>
    <row r="242" spans="1:7" x14ac:dyDescent="0.25">
      <c r="A242" s="8">
        <v>42804.945949074077</v>
      </c>
      <c r="B242" t="s">
        <v>632</v>
      </c>
      <c r="C242" t="s">
        <v>796</v>
      </c>
      <c r="D242" s="150">
        <v>2230000</v>
      </c>
      <c r="E242" t="s">
        <v>504</v>
      </c>
      <c r="F242" s="20" t="s">
        <v>200</v>
      </c>
      <c r="G242" s="8" t="str">
        <f t="shared" si="3"/>
        <v>SMITH MICHAEL</v>
      </c>
    </row>
    <row r="243" spans="1:7" x14ac:dyDescent="0.25">
      <c r="A243" s="8">
        <v>42804.953402777777</v>
      </c>
      <c r="B243" t="s">
        <v>420</v>
      </c>
      <c r="C243" t="s">
        <v>797</v>
      </c>
      <c r="D243" s="150">
        <v>2270000</v>
      </c>
      <c r="E243" t="s">
        <v>219</v>
      </c>
      <c r="F243" s="20" t="s">
        <v>220</v>
      </c>
      <c r="G243" s="8" t="str">
        <f t="shared" si="3"/>
        <v>BROWN JACOB</v>
      </c>
    </row>
    <row r="244" spans="1:7" x14ac:dyDescent="0.25">
      <c r="A244" s="8">
        <v>42804.955474537041</v>
      </c>
      <c r="B244" t="s">
        <v>466</v>
      </c>
      <c r="C244" t="s">
        <v>785</v>
      </c>
      <c r="D244" s="150">
        <v>2680000</v>
      </c>
      <c r="E244" t="s">
        <v>780</v>
      </c>
      <c r="F244" s="20" t="s">
        <v>781</v>
      </c>
      <c r="G244" s="8" t="str">
        <f t="shared" si="3"/>
        <v>DUNCAN SHEILA</v>
      </c>
    </row>
    <row r="245" spans="1:7" x14ac:dyDescent="0.25">
      <c r="A245" s="8">
        <v>42804.95621527778</v>
      </c>
      <c r="B245" t="s">
        <v>466</v>
      </c>
      <c r="C245" t="s">
        <v>785</v>
      </c>
      <c r="D245" s="150">
        <v>2680000</v>
      </c>
      <c r="E245" t="s">
        <v>780</v>
      </c>
      <c r="F245" s="20" t="s">
        <v>781</v>
      </c>
      <c r="G245" s="8" t="str">
        <f t="shared" si="3"/>
        <v>DUNCAN SHEILA</v>
      </c>
    </row>
    <row r="246" spans="1:7" x14ac:dyDescent="0.25">
      <c r="A246" s="8">
        <v>42804.966226851851</v>
      </c>
      <c r="B246" t="s">
        <v>399</v>
      </c>
      <c r="C246" t="s">
        <v>798</v>
      </c>
      <c r="D246" s="150">
        <v>2150000</v>
      </c>
      <c r="E246" t="s">
        <v>476</v>
      </c>
      <c r="F246" s="20" t="s">
        <v>477</v>
      </c>
      <c r="G246" s="8" t="str">
        <f t="shared" si="3"/>
        <v>SWANSON BRYCE</v>
      </c>
    </row>
    <row r="247" spans="1:7" x14ac:dyDescent="0.25">
      <c r="A247" s="8">
        <v>42804.97761574074</v>
      </c>
      <c r="B247" t="s">
        <v>593</v>
      </c>
      <c r="C247" t="s">
        <v>610</v>
      </c>
      <c r="D247" s="150">
        <v>1740000</v>
      </c>
      <c r="E247" t="s">
        <v>430</v>
      </c>
      <c r="F247" s="20" t="s">
        <v>431</v>
      </c>
      <c r="G247" s="8" t="str">
        <f t="shared" si="3"/>
        <v>STORY SAMANTHA</v>
      </c>
    </row>
    <row r="248" spans="1:7" x14ac:dyDescent="0.25">
      <c r="A248" s="8">
        <v>42804.986296296294</v>
      </c>
      <c r="B248" t="s">
        <v>401</v>
      </c>
      <c r="C248" t="s">
        <v>799</v>
      </c>
      <c r="D248" s="150">
        <v>2000000</v>
      </c>
      <c r="E248" t="s">
        <v>756</v>
      </c>
      <c r="F248" s="20" t="s">
        <v>197</v>
      </c>
      <c r="G248" s="8" t="str">
        <f t="shared" si="3"/>
        <v>STAMBAUGH JAMES</v>
      </c>
    </row>
    <row r="249" spans="1:7" x14ac:dyDescent="0.25">
      <c r="A249" s="8">
        <v>42804.993194444447</v>
      </c>
      <c r="B249" t="s">
        <v>564</v>
      </c>
      <c r="C249" t="s">
        <v>800</v>
      </c>
      <c r="D249" s="150">
        <v>2270000</v>
      </c>
      <c r="E249" t="s">
        <v>219</v>
      </c>
      <c r="F249" s="20" t="s">
        <v>220</v>
      </c>
      <c r="G249" s="8" t="str">
        <f t="shared" si="3"/>
        <v>BROWN JACOB</v>
      </c>
    </row>
    <row r="250" spans="1:7" x14ac:dyDescent="0.25">
      <c r="A250" s="8">
        <v>42805.000694444447</v>
      </c>
      <c r="B250" t="s">
        <v>462</v>
      </c>
      <c r="C250" t="s">
        <v>779</v>
      </c>
      <c r="D250" s="150">
        <v>2680000</v>
      </c>
      <c r="E250" t="s">
        <v>780</v>
      </c>
      <c r="F250" s="20" t="s">
        <v>781</v>
      </c>
      <c r="G250" s="8" t="str">
        <f t="shared" si="3"/>
        <v>DUNCAN SHEILA</v>
      </c>
    </row>
    <row r="251" spans="1:7" x14ac:dyDescent="0.25">
      <c r="A251" s="8">
        <v>42805.017083333332</v>
      </c>
      <c r="B251" t="s">
        <v>580</v>
      </c>
      <c r="C251" t="s">
        <v>611</v>
      </c>
      <c r="D251" s="150">
        <v>1740000</v>
      </c>
      <c r="E251" t="s">
        <v>430</v>
      </c>
      <c r="F251" s="20" t="s">
        <v>431</v>
      </c>
      <c r="G251" s="8" t="str">
        <f t="shared" si="3"/>
        <v>STORY SAMANTHA</v>
      </c>
    </row>
    <row r="252" spans="1:7" x14ac:dyDescent="0.25">
      <c r="A252" s="8">
        <v>42805.019305555557</v>
      </c>
      <c r="B252" t="s">
        <v>264</v>
      </c>
      <c r="C252" t="s">
        <v>801</v>
      </c>
      <c r="D252" s="150">
        <v>2150000</v>
      </c>
      <c r="E252" t="s">
        <v>476</v>
      </c>
      <c r="F252" s="20" t="s">
        <v>477</v>
      </c>
      <c r="G252" s="8" t="str">
        <f t="shared" si="3"/>
        <v>SWANSON BRYCE</v>
      </c>
    </row>
    <row r="253" spans="1:7" x14ac:dyDescent="0.25">
      <c r="A253" s="8">
        <v>42805.029583333337</v>
      </c>
      <c r="B253" t="s">
        <v>400</v>
      </c>
      <c r="C253" t="s">
        <v>802</v>
      </c>
      <c r="D253" s="150">
        <v>2000000</v>
      </c>
      <c r="E253" t="s">
        <v>756</v>
      </c>
      <c r="F253" s="20" t="s">
        <v>197</v>
      </c>
      <c r="G253" s="8" t="str">
        <f t="shared" si="3"/>
        <v>STAMBAUGH JAMES</v>
      </c>
    </row>
    <row r="254" spans="1:7" x14ac:dyDescent="0.25">
      <c r="A254" s="8">
        <v>42805.03696759259</v>
      </c>
      <c r="B254" t="s">
        <v>466</v>
      </c>
      <c r="C254" t="s">
        <v>785</v>
      </c>
      <c r="D254" s="150">
        <v>2680000</v>
      </c>
      <c r="E254" t="s">
        <v>780</v>
      </c>
      <c r="F254" s="20" t="s">
        <v>781</v>
      </c>
      <c r="G254" s="8" t="str">
        <f t="shared" si="3"/>
        <v>DUNCAN SHEILA</v>
      </c>
    </row>
    <row r="255" spans="1:7" x14ac:dyDescent="0.25">
      <c r="A255" s="8">
        <v>42805.037939814814</v>
      </c>
      <c r="B255" t="s">
        <v>420</v>
      </c>
      <c r="C255" t="s">
        <v>803</v>
      </c>
      <c r="D255" s="150">
        <v>2270000</v>
      </c>
      <c r="E255" t="s">
        <v>219</v>
      </c>
      <c r="F255" s="20" t="s">
        <v>220</v>
      </c>
      <c r="G255" s="8" t="str">
        <f t="shared" si="3"/>
        <v>BROWN JACOB</v>
      </c>
    </row>
    <row r="256" spans="1:7" x14ac:dyDescent="0.25">
      <c r="A256" s="8">
        <v>42805.051828703705</v>
      </c>
      <c r="B256" t="s">
        <v>593</v>
      </c>
      <c r="C256" t="s">
        <v>804</v>
      </c>
      <c r="D256" s="150">
        <v>1740000</v>
      </c>
      <c r="E256" t="s">
        <v>430</v>
      </c>
      <c r="F256" s="20" t="s">
        <v>431</v>
      </c>
      <c r="G256" s="8" t="str">
        <f t="shared" si="3"/>
        <v>STORY SAMANTHA</v>
      </c>
    </row>
    <row r="257" spans="1:7" x14ac:dyDescent="0.25">
      <c r="A257" s="8">
        <v>42805.052511574075</v>
      </c>
      <c r="B257" t="s">
        <v>462</v>
      </c>
      <c r="C257" t="s">
        <v>779</v>
      </c>
      <c r="D257" s="150">
        <v>2680000</v>
      </c>
      <c r="E257" t="s">
        <v>780</v>
      </c>
      <c r="F257" s="20" t="s">
        <v>781</v>
      </c>
      <c r="G257" s="8" t="str">
        <f t="shared" si="3"/>
        <v>DUNCAN SHEILA</v>
      </c>
    </row>
    <row r="258" spans="1:7" x14ac:dyDescent="0.25">
      <c r="A258" s="8">
        <v>42805.058472222219</v>
      </c>
      <c r="B258" t="s">
        <v>399</v>
      </c>
      <c r="C258" t="s">
        <v>805</v>
      </c>
      <c r="D258" s="150">
        <v>2150000</v>
      </c>
      <c r="E258" t="s">
        <v>476</v>
      </c>
      <c r="F258" s="20" t="s">
        <v>477</v>
      </c>
      <c r="G258" s="8" t="str">
        <f t="shared" si="3"/>
        <v>SWANSON BRYCE</v>
      </c>
    </row>
    <row r="259" spans="1:7" x14ac:dyDescent="0.25">
      <c r="A259" s="8">
        <v>42805.06517361111</v>
      </c>
      <c r="B259" t="s">
        <v>466</v>
      </c>
      <c r="C259" t="s">
        <v>785</v>
      </c>
      <c r="D259" s="150">
        <v>2680000</v>
      </c>
      <c r="E259" t="s">
        <v>780</v>
      </c>
      <c r="F259" s="20" t="s">
        <v>781</v>
      </c>
      <c r="G259" s="8" t="str">
        <f t="shared" ref="G259:G322" si="4">E259&amp;" "&amp;F259</f>
        <v>DUNCAN SHEILA</v>
      </c>
    </row>
    <row r="260" spans="1:7" x14ac:dyDescent="0.25">
      <c r="A260" s="8">
        <v>42805.068935185183</v>
      </c>
      <c r="B260" t="s">
        <v>401</v>
      </c>
      <c r="C260" t="s">
        <v>806</v>
      </c>
      <c r="D260" s="150">
        <v>2000000</v>
      </c>
      <c r="E260" t="s">
        <v>756</v>
      </c>
      <c r="F260" s="20" t="s">
        <v>197</v>
      </c>
      <c r="G260" s="8" t="str">
        <f t="shared" si="4"/>
        <v>STAMBAUGH JAMES</v>
      </c>
    </row>
    <row r="261" spans="1:7" x14ac:dyDescent="0.25">
      <c r="A261" s="8">
        <v>42805.078634259262</v>
      </c>
      <c r="B261" t="s">
        <v>564</v>
      </c>
      <c r="C261" t="s">
        <v>807</v>
      </c>
      <c r="D261" s="150">
        <v>2270000</v>
      </c>
      <c r="E261" t="s">
        <v>219</v>
      </c>
      <c r="F261" s="20" t="s">
        <v>220</v>
      </c>
      <c r="G261" s="8" t="str">
        <f t="shared" si="4"/>
        <v>BROWN JACOB</v>
      </c>
    </row>
    <row r="262" spans="1:7" x14ac:dyDescent="0.25">
      <c r="A262" s="8">
        <v>42805.080034722225</v>
      </c>
      <c r="B262" t="s">
        <v>462</v>
      </c>
      <c r="C262" t="s">
        <v>779</v>
      </c>
      <c r="D262" s="150">
        <v>2680000</v>
      </c>
      <c r="E262" t="s">
        <v>780</v>
      </c>
      <c r="F262" s="20" t="s">
        <v>781</v>
      </c>
      <c r="G262" s="8" t="str">
        <f t="shared" si="4"/>
        <v>DUNCAN SHEILA</v>
      </c>
    </row>
    <row r="263" spans="1:7" x14ac:dyDescent="0.25">
      <c r="A263" s="8">
        <v>42805.093472222223</v>
      </c>
      <c r="B263" t="s">
        <v>264</v>
      </c>
      <c r="C263" t="s">
        <v>808</v>
      </c>
      <c r="D263" s="150">
        <v>2150000</v>
      </c>
      <c r="E263" t="s">
        <v>476</v>
      </c>
      <c r="F263" s="20" t="s">
        <v>477</v>
      </c>
      <c r="G263" s="8" t="str">
        <f t="shared" si="4"/>
        <v>SWANSON BRYCE</v>
      </c>
    </row>
    <row r="264" spans="1:7" x14ac:dyDescent="0.25">
      <c r="A264" s="8">
        <v>42805.098194444443</v>
      </c>
      <c r="B264" t="s">
        <v>466</v>
      </c>
      <c r="C264" t="s">
        <v>785</v>
      </c>
      <c r="D264" s="150">
        <v>2680000</v>
      </c>
      <c r="E264" t="s">
        <v>780</v>
      </c>
      <c r="F264" s="20" t="s">
        <v>781</v>
      </c>
      <c r="G264" s="8" t="str">
        <f t="shared" si="4"/>
        <v>DUNCAN SHEILA</v>
      </c>
    </row>
    <row r="265" spans="1:7" x14ac:dyDescent="0.25">
      <c r="A265" s="8">
        <v>42805.111944444441</v>
      </c>
      <c r="B265" t="s">
        <v>420</v>
      </c>
      <c r="C265" t="s">
        <v>809</v>
      </c>
      <c r="D265" s="150">
        <v>2270000</v>
      </c>
      <c r="E265" t="s">
        <v>219</v>
      </c>
      <c r="F265" s="20" t="s">
        <v>220</v>
      </c>
      <c r="G265" s="8" t="str">
        <f t="shared" si="4"/>
        <v>BROWN JACOB</v>
      </c>
    </row>
    <row r="266" spans="1:7" x14ac:dyDescent="0.25">
      <c r="A266" s="8">
        <v>42790.063483796293</v>
      </c>
      <c r="B266" t="s">
        <v>242</v>
      </c>
      <c r="C266" t="s">
        <v>248</v>
      </c>
      <c r="D266" s="150">
        <v>2670000</v>
      </c>
      <c r="E266" t="s">
        <v>221</v>
      </c>
      <c r="F266" s="20" t="s">
        <v>222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243</v>
      </c>
      <c r="C267" t="s">
        <v>249</v>
      </c>
      <c r="D267" s="150">
        <v>2730000</v>
      </c>
      <c r="E267" t="s">
        <v>237</v>
      </c>
      <c r="F267" s="20" t="s">
        <v>238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247</v>
      </c>
      <c r="C268" t="s">
        <v>250</v>
      </c>
      <c r="D268" s="150">
        <v>2270000</v>
      </c>
      <c r="E268" t="s">
        <v>219</v>
      </c>
      <c r="F268" s="20" t="s">
        <v>220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242</v>
      </c>
      <c r="C269" t="s">
        <v>248</v>
      </c>
      <c r="D269" s="150">
        <v>2670000</v>
      </c>
      <c r="E269" t="s">
        <v>221</v>
      </c>
      <c r="F269" s="20" t="s">
        <v>222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243</v>
      </c>
      <c r="C270" t="s">
        <v>249</v>
      </c>
      <c r="D270" s="150">
        <v>2730000</v>
      </c>
      <c r="E270" t="s">
        <v>237</v>
      </c>
      <c r="F270" s="20" t="s">
        <v>238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190</v>
      </c>
      <c r="C271" t="s">
        <v>251</v>
      </c>
      <c r="D271" s="150">
        <v>2220000</v>
      </c>
      <c r="E271" t="s">
        <v>209</v>
      </c>
      <c r="F271" s="20" t="s">
        <v>210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242</v>
      </c>
      <c r="C272" t="s">
        <v>248</v>
      </c>
      <c r="D272" s="150">
        <v>2670000</v>
      </c>
      <c r="E272" t="s">
        <v>221</v>
      </c>
      <c r="F272" s="20" t="s">
        <v>222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243</v>
      </c>
      <c r="C273" t="s">
        <v>249</v>
      </c>
      <c r="D273" s="150">
        <v>2730000</v>
      </c>
      <c r="E273" t="s">
        <v>237</v>
      </c>
      <c r="F273" s="20" t="s">
        <v>238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40.43</v>
      </c>
      <c r="B2" s="168">
        <v>0.83</v>
      </c>
      <c r="C2" s="168">
        <v>25.96</v>
      </c>
      <c r="D2" s="8">
        <v>42804</v>
      </c>
      <c r="E2" s="168">
        <v>0.53</v>
      </c>
      <c r="F2" s="168" t="s">
        <v>408</v>
      </c>
      <c r="G2" s="168">
        <v>315.61</v>
      </c>
      <c r="H2" s="168">
        <v>0</v>
      </c>
      <c r="I2" s="168">
        <v>0</v>
      </c>
      <c r="J2" s="168">
        <v>1027.31</v>
      </c>
      <c r="K2" s="168" t="s">
        <v>516</v>
      </c>
      <c r="L2" s="168">
        <v>41.89</v>
      </c>
      <c r="M2" s="168">
        <v>1489129200</v>
      </c>
      <c r="N2" s="168">
        <v>10</v>
      </c>
      <c r="O2" s="168">
        <v>42</v>
      </c>
      <c r="P2" s="168">
        <v>3.06</v>
      </c>
      <c r="Q2"/>
      <c r="R2"/>
    </row>
    <row r="3" spans="1:18" x14ac:dyDescent="0.25">
      <c r="A3" s="168">
        <v>37.74</v>
      </c>
      <c r="B3" s="168">
        <v>0.77</v>
      </c>
      <c r="C3" s="168">
        <v>24.14</v>
      </c>
      <c r="D3" s="8">
        <v>42804.041666666664</v>
      </c>
      <c r="E3" s="168">
        <v>0.57999999999999996</v>
      </c>
      <c r="F3" s="168" t="s">
        <v>408</v>
      </c>
      <c r="G3" s="168">
        <v>315.5</v>
      </c>
      <c r="H3" s="168">
        <v>0</v>
      </c>
      <c r="I3" s="168">
        <v>0</v>
      </c>
      <c r="J3" s="168">
        <v>1027.3699999999999</v>
      </c>
      <c r="K3" s="168" t="s">
        <v>516</v>
      </c>
      <c r="L3" s="168">
        <v>37.74</v>
      </c>
      <c r="M3" s="168">
        <v>1489132800</v>
      </c>
      <c r="N3" s="168">
        <v>4.95</v>
      </c>
      <c r="O3" s="168">
        <v>71</v>
      </c>
      <c r="P3" s="168">
        <v>1.59</v>
      </c>
      <c r="Q3"/>
      <c r="R3"/>
    </row>
    <row r="4" spans="1:18" x14ac:dyDescent="0.25">
      <c r="A4" s="168">
        <v>36.54</v>
      </c>
      <c r="B4" s="168">
        <v>0.71</v>
      </c>
      <c r="C4" s="168">
        <v>23.53</v>
      </c>
      <c r="D4" s="8">
        <v>42804.083333333336</v>
      </c>
      <c r="E4" s="168">
        <v>0.59</v>
      </c>
      <c r="F4" s="168" t="s">
        <v>408</v>
      </c>
      <c r="G4" s="168">
        <v>315.38</v>
      </c>
      <c r="H4" s="168">
        <v>0</v>
      </c>
      <c r="I4" s="168">
        <v>0</v>
      </c>
      <c r="J4" s="168">
        <v>1027.3900000000001</v>
      </c>
      <c r="K4" s="168" t="s">
        <v>516</v>
      </c>
      <c r="L4" s="168">
        <v>36.54</v>
      </c>
      <c r="M4" s="168">
        <v>1489136400</v>
      </c>
      <c r="N4" s="168">
        <v>4.63</v>
      </c>
      <c r="O4" s="168">
        <v>112</v>
      </c>
      <c r="P4" s="168">
        <v>0.61</v>
      </c>
      <c r="Q4"/>
      <c r="R4"/>
    </row>
    <row r="5" spans="1:18" x14ac:dyDescent="0.25">
      <c r="A5" s="168">
        <v>35.43</v>
      </c>
      <c r="B5" s="168">
        <v>0.69</v>
      </c>
      <c r="C5" s="168">
        <v>23.08</v>
      </c>
      <c r="D5" s="8">
        <v>42804.125</v>
      </c>
      <c r="E5" s="168">
        <v>0.6</v>
      </c>
      <c r="F5" s="168" t="s">
        <v>408</v>
      </c>
      <c r="G5" s="168">
        <v>314.39999999999998</v>
      </c>
      <c r="H5" s="168">
        <v>0</v>
      </c>
      <c r="I5" s="168">
        <v>0</v>
      </c>
      <c r="J5" s="168">
        <v>1027.45</v>
      </c>
      <c r="K5" s="168" t="s">
        <v>516</v>
      </c>
      <c r="L5" s="168">
        <v>35.43</v>
      </c>
      <c r="M5" s="168">
        <v>1489140000</v>
      </c>
      <c r="N5" s="168">
        <v>4.46</v>
      </c>
      <c r="O5" s="168">
        <v>20</v>
      </c>
      <c r="P5" s="168">
        <v>1.19</v>
      </c>
      <c r="Q5"/>
      <c r="R5"/>
    </row>
    <row r="6" spans="1:18" x14ac:dyDescent="0.25">
      <c r="A6" s="168">
        <v>34.090000000000003</v>
      </c>
      <c r="B6" s="168">
        <v>0.71</v>
      </c>
      <c r="C6" s="168">
        <v>22.6</v>
      </c>
      <c r="D6" s="8">
        <v>42804.166666666664</v>
      </c>
      <c r="E6" s="168">
        <v>0.62</v>
      </c>
      <c r="F6" s="168" t="s">
        <v>408</v>
      </c>
      <c r="G6" s="168">
        <v>313.11</v>
      </c>
      <c r="H6" s="168">
        <v>0</v>
      </c>
      <c r="I6" s="168">
        <v>0</v>
      </c>
      <c r="J6" s="168">
        <v>1027.43</v>
      </c>
      <c r="K6" s="168" t="s">
        <v>516</v>
      </c>
      <c r="L6" s="168">
        <v>34.090000000000003</v>
      </c>
      <c r="M6" s="168">
        <v>1489143600</v>
      </c>
      <c r="N6" s="168">
        <v>4.8600000000000003</v>
      </c>
      <c r="O6" s="168">
        <v>352</v>
      </c>
      <c r="P6" s="168">
        <v>2.11</v>
      </c>
      <c r="Q6"/>
      <c r="R6"/>
    </row>
    <row r="7" spans="1:18" x14ac:dyDescent="0.25">
      <c r="A7" s="168">
        <v>32.619999999999997</v>
      </c>
      <c r="B7" s="168">
        <v>0.73</v>
      </c>
      <c r="C7" s="168">
        <v>21.82</v>
      </c>
      <c r="D7" s="8">
        <v>42804.208333333336</v>
      </c>
      <c r="E7" s="168">
        <v>0.64</v>
      </c>
      <c r="F7" s="168" t="s">
        <v>408</v>
      </c>
      <c r="G7" s="168">
        <v>312.12</v>
      </c>
      <c r="H7" s="168">
        <v>0</v>
      </c>
      <c r="I7" s="168">
        <v>0</v>
      </c>
      <c r="J7" s="168">
        <v>1027.0999999999999</v>
      </c>
      <c r="K7" s="168" t="s">
        <v>516</v>
      </c>
      <c r="L7" s="168">
        <v>32.619999999999997</v>
      </c>
      <c r="M7" s="168">
        <v>1489147200</v>
      </c>
      <c r="N7" s="168">
        <v>6.5</v>
      </c>
      <c r="O7" s="168">
        <v>347</v>
      </c>
      <c r="P7" s="168">
        <v>2.84</v>
      </c>
      <c r="Q7"/>
      <c r="R7"/>
    </row>
    <row r="8" spans="1:18" x14ac:dyDescent="0.25">
      <c r="A8" s="168">
        <v>31.62</v>
      </c>
      <c r="B8" s="168">
        <v>0.8</v>
      </c>
      <c r="C8" s="168">
        <v>21.48</v>
      </c>
      <c r="D8" s="8">
        <v>42804.25</v>
      </c>
      <c r="E8" s="168">
        <v>0.66</v>
      </c>
      <c r="F8" s="168" t="s">
        <v>408</v>
      </c>
      <c r="G8" s="168">
        <v>311.93</v>
      </c>
      <c r="H8" s="168">
        <v>0</v>
      </c>
      <c r="I8" s="168">
        <v>0</v>
      </c>
      <c r="J8" s="168">
        <v>1026.3699999999999</v>
      </c>
      <c r="K8" s="168" t="s">
        <v>516</v>
      </c>
      <c r="L8" s="168">
        <v>31.62</v>
      </c>
      <c r="M8" s="168">
        <v>1489150800</v>
      </c>
      <c r="N8" s="168">
        <v>5.08</v>
      </c>
      <c r="O8" s="168">
        <v>341</v>
      </c>
      <c r="P8" s="168">
        <v>2.36</v>
      </c>
      <c r="Q8"/>
      <c r="R8"/>
    </row>
    <row r="9" spans="1:18" x14ac:dyDescent="0.25">
      <c r="A9" s="168">
        <v>30.7</v>
      </c>
      <c r="B9" s="168">
        <v>0.91</v>
      </c>
      <c r="C9" s="168">
        <v>21.49</v>
      </c>
      <c r="D9" s="8">
        <v>42804.291666666664</v>
      </c>
      <c r="E9" s="168">
        <v>0.68</v>
      </c>
      <c r="F9" s="168" t="s">
        <v>410</v>
      </c>
      <c r="G9" s="168">
        <v>312.05</v>
      </c>
      <c r="H9" s="168">
        <v>0</v>
      </c>
      <c r="I9" s="168">
        <v>0</v>
      </c>
      <c r="J9" s="168">
        <v>1025.33</v>
      </c>
      <c r="K9" s="168" t="s">
        <v>516</v>
      </c>
      <c r="L9" s="168">
        <v>30.7</v>
      </c>
      <c r="M9" s="168">
        <v>1489154400</v>
      </c>
      <c r="N9" s="168">
        <v>4.28</v>
      </c>
      <c r="O9" s="168">
        <v>306</v>
      </c>
      <c r="P9" s="168">
        <v>1.18</v>
      </c>
      <c r="Q9"/>
      <c r="R9"/>
    </row>
    <row r="10" spans="1:18" x14ac:dyDescent="0.25">
      <c r="A10" s="168">
        <v>33.36</v>
      </c>
      <c r="B10" s="168">
        <v>0.97</v>
      </c>
      <c r="C10" s="168">
        <v>23.75</v>
      </c>
      <c r="D10" s="8">
        <v>42804.333333333336</v>
      </c>
      <c r="E10" s="168">
        <v>0.67</v>
      </c>
      <c r="F10" s="168" t="s">
        <v>810</v>
      </c>
      <c r="G10" s="168">
        <v>311.73</v>
      </c>
      <c r="H10" s="168">
        <v>0</v>
      </c>
      <c r="I10" s="168">
        <v>0</v>
      </c>
      <c r="J10" s="168">
        <v>1023.93</v>
      </c>
      <c r="K10" s="168" t="s">
        <v>811</v>
      </c>
      <c r="L10" s="168">
        <v>33.36</v>
      </c>
      <c r="M10" s="168">
        <v>1489158000</v>
      </c>
      <c r="N10" s="168">
        <v>4.01</v>
      </c>
      <c r="O10" s="168">
        <v>309</v>
      </c>
      <c r="P10" s="168">
        <v>1.43</v>
      </c>
      <c r="Q10"/>
      <c r="R10"/>
    </row>
    <row r="11" spans="1:18" x14ac:dyDescent="0.25">
      <c r="A11" s="168">
        <v>37.5</v>
      </c>
      <c r="B11" s="168">
        <v>0.91</v>
      </c>
      <c r="C11" s="168">
        <v>27.06</v>
      </c>
      <c r="D11" s="8">
        <v>42804.375</v>
      </c>
      <c r="E11" s="168">
        <v>0.66</v>
      </c>
      <c r="F11" s="168" t="s">
        <v>410</v>
      </c>
      <c r="G11" s="168">
        <v>310.45</v>
      </c>
      <c r="H11" s="168">
        <v>0</v>
      </c>
      <c r="I11" s="168">
        <v>0</v>
      </c>
      <c r="J11" s="168">
        <v>1022.08</v>
      </c>
      <c r="K11" s="168" t="s">
        <v>516</v>
      </c>
      <c r="L11" s="168">
        <v>37.5</v>
      </c>
      <c r="M11" s="168">
        <v>1489161600</v>
      </c>
      <c r="N11" s="168">
        <v>3.89</v>
      </c>
      <c r="O11" s="168">
        <v>328</v>
      </c>
      <c r="P11" s="168">
        <v>0.91</v>
      </c>
      <c r="Q11"/>
      <c r="R11"/>
    </row>
    <row r="12" spans="1:18" x14ac:dyDescent="0.25">
      <c r="A12" s="168">
        <v>40.93</v>
      </c>
      <c r="B12" s="168">
        <v>0.74</v>
      </c>
      <c r="C12" s="168">
        <v>26.38</v>
      </c>
      <c r="D12" s="8">
        <v>42804.416666666664</v>
      </c>
      <c r="E12" s="168">
        <v>0.56000000000000005</v>
      </c>
      <c r="F12" s="168" t="s">
        <v>410</v>
      </c>
      <c r="G12" s="168">
        <v>308.74</v>
      </c>
      <c r="H12" s="168">
        <v>0</v>
      </c>
      <c r="I12" s="168">
        <v>0</v>
      </c>
      <c r="J12" s="168">
        <v>1020.15</v>
      </c>
      <c r="K12" s="168" t="s">
        <v>516</v>
      </c>
      <c r="L12" s="168">
        <v>40.93</v>
      </c>
      <c r="M12" s="168">
        <v>1489165200</v>
      </c>
      <c r="N12" s="168">
        <v>10</v>
      </c>
      <c r="O12" s="168">
        <v>339</v>
      </c>
      <c r="P12" s="168">
        <v>1.48</v>
      </c>
      <c r="Q12"/>
      <c r="R12"/>
    </row>
    <row r="13" spans="1:18" x14ac:dyDescent="0.25">
      <c r="A13" s="168">
        <v>45.26</v>
      </c>
      <c r="B13" s="168">
        <v>0.45</v>
      </c>
      <c r="C13" s="168">
        <v>25.38</v>
      </c>
      <c r="D13" s="8">
        <v>42804.458333333336</v>
      </c>
      <c r="E13" s="168">
        <v>0.45</v>
      </c>
      <c r="F13" s="168" t="s">
        <v>410</v>
      </c>
      <c r="G13" s="168">
        <v>307.38</v>
      </c>
      <c r="H13" s="168">
        <v>0</v>
      </c>
      <c r="I13" s="168">
        <v>0</v>
      </c>
      <c r="J13" s="168">
        <v>1018.31</v>
      </c>
      <c r="K13" s="168" t="s">
        <v>409</v>
      </c>
      <c r="L13" s="168">
        <v>45.26</v>
      </c>
      <c r="M13" s="168">
        <v>1489168800</v>
      </c>
      <c r="N13" s="168">
        <v>3.98</v>
      </c>
      <c r="O13" s="168">
        <v>339</v>
      </c>
      <c r="P13" s="168">
        <v>1.34</v>
      </c>
      <c r="Q13"/>
      <c r="R13"/>
    </row>
    <row r="14" spans="1:18" x14ac:dyDescent="0.25">
      <c r="A14" s="168">
        <v>50.65</v>
      </c>
      <c r="B14" s="168">
        <v>0.38</v>
      </c>
      <c r="C14" s="168">
        <v>27.06</v>
      </c>
      <c r="D14" s="8">
        <v>42804.5</v>
      </c>
      <c r="E14" s="168">
        <v>0.4</v>
      </c>
      <c r="F14" s="168" t="s">
        <v>410</v>
      </c>
      <c r="G14" s="168">
        <v>306.75</v>
      </c>
      <c r="H14" s="168">
        <v>0</v>
      </c>
      <c r="I14" s="168">
        <v>0</v>
      </c>
      <c r="J14" s="168">
        <v>1016.82</v>
      </c>
      <c r="K14" s="168" t="s">
        <v>409</v>
      </c>
      <c r="L14" s="168">
        <v>50.65</v>
      </c>
      <c r="M14" s="168">
        <v>1489172400</v>
      </c>
      <c r="N14" s="168">
        <v>3.99</v>
      </c>
      <c r="O14" s="168">
        <v>17</v>
      </c>
      <c r="P14" s="168">
        <v>2.04</v>
      </c>
      <c r="Q14"/>
      <c r="R14"/>
    </row>
    <row r="15" spans="1:18" x14ac:dyDescent="0.25">
      <c r="A15" s="168">
        <v>55.86</v>
      </c>
      <c r="B15" s="168">
        <v>0.38</v>
      </c>
      <c r="C15" s="168">
        <v>27.16</v>
      </c>
      <c r="D15" s="8">
        <v>42804.541666666664</v>
      </c>
      <c r="E15" s="168">
        <v>0.33</v>
      </c>
      <c r="F15" s="168" t="s">
        <v>410</v>
      </c>
      <c r="G15" s="168">
        <v>306.45999999999998</v>
      </c>
      <c r="H15" s="168">
        <v>0</v>
      </c>
      <c r="I15" s="168">
        <v>0</v>
      </c>
      <c r="J15" s="168">
        <v>1015.41</v>
      </c>
      <c r="K15" s="168" t="s">
        <v>409</v>
      </c>
      <c r="L15" s="168">
        <v>55.86</v>
      </c>
      <c r="M15" s="168">
        <v>1489176000</v>
      </c>
      <c r="N15" s="168">
        <v>3.98</v>
      </c>
      <c r="O15" s="168">
        <v>336</v>
      </c>
      <c r="P15" s="168">
        <v>1.83</v>
      </c>
      <c r="Q15"/>
      <c r="R15"/>
    </row>
    <row r="16" spans="1:18" x14ac:dyDescent="0.25">
      <c r="A16" s="168">
        <v>60.33</v>
      </c>
      <c r="B16" s="168">
        <v>0.24</v>
      </c>
      <c r="C16" s="168">
        <v>24.76</v>
      </c>
      <c r="D16" s="8">
        <v>42804.583333333336</v>
      </c>
      <c r="E16" s="168">
        <v>0.25</v>
      </c>
      <c r="F16" s="168" t="s">
        <v>812</v>
      </c>
      <c r="G16" s="168">
        <v>306.14</v>
      </c>
      <c r="H16" s="168">
        <v>0</v>
      </c>
      <c r="I16" s="168">
        <v>0</v>
      </c>
      <c r="J16" s="168">
        <v>1014.24</v>
      </c>
      <c r="K16" s="168" t="s">
        <v>813</v>
      </c>
      <c r="L16" s="168">
        <v>60.33</v>
      </c>
      <c r="M16" s="168">
        <v>1489179600</v>
      </c>
      <c r="N16" s="168">
        <v>5.24</v>
      </c>
      <c r="O16" s="168">
        <v>346</v>
      </c>
      <c r="P16" s="168">
        <v>3.7</v>
      </c>
      <c r="Q16"/>
      <c r="R16"/>
    </row>
    <row r="17" spans="1:18" x14ac:dyDescent="0.25">
      <c r="A17" s="168">
        <v>61.25</v>
      </c>
      <c r="B17" s="168">
        <v>0.4</v>
      </c>
      <c r="C17" s="168">
        <v>24.63</v>
      </c>
      <c r="D17" s="8">
        <v>42804.625</v>
      </c>
      <c r="E17" s="168">
        <v>0.24</v>
      </c>
      <c r="F17" s="168" t="s">
        <v>410</v>
      </c>
      <c r="G17" s="168">
        <v>305.45999999999998</v>
      </c>
      <c r="H17" s="168">
        <v>0</v>
      </c>
      <c r="I17" s="168">
        <v>0</v>
      </c>
      <c r="J17" s="168">
        <v>1013.34</v>
      </c>
      <c r="K17" s="168" t="s">
        <v>409</v>
      </c>
      <c r="L17" s="168">
        <v>61.25</v>
      </c>
      <c r="M17" s="168">
        <v>1489183200</v>
      </c>
      <c r="N17" s="168">
        <v>5.28</v>
      </c>
      <c r="O17" s="168">
        <v>23</v>
      </c>
      <c r="P17" s="168">
        <v>3.96</v>
      </c>
      <c r="Q17"/>
      <c r="R17"/>
    </row>
    <row r="18" spans="1:18" x14ac:dyDescent="0.25">
      <c r="A18" s="168">
        <v>62.93</v>
      </c>
      <c r="B18" s="168">
        <v>0.53</v>
      </c>
      <c r="C18" s="168">
        <v>24.91</v>
      </c>
      <c r="D18" s="8">
        <v>42804.666666666664</v>
      </c>
      <c r="E18" s="168">
        <v>0.23</v>
      </c>
      <c r="F18" s="168" t="s">
        <v>410</v>
      </c>
      <c r="G18" s="168">
        <v>304.75</v>
      </c>
      <c r="H18" s="168">
        <v>0</v>
      </c>
      <c r="I18" s="168">
        <v>0</v>
      </c>
      <c r="J18" s="168">
        <v>1012.71</v>
      </c>
      <c r="K18" s="168" t="s">
        <v>409</v>
      </c>
      <c r="L18" s="168">
        <v>62.93</v>
      </c>
      <c r="M18" s="168">
        <v>1489186800</v>
      </c>
      <c r="N18" s="168">
        <v>5.43</v>
      </c>
      <c r="O18" s="168">
        <v>37</v>
      </c>
      <c r="P18" s="168">
        <v>3.13</v>
      </c>
      <c r="Q18"/>
      <c r="R18"/>
    </row>
    <row r="19" spans="1:18" x14ac:dyDescent="0.25">
      <c r="A19" s="168">
        <v>63.11</v>
      </c>
      <c r="B19" s="168">
        <v>0.68</v>
      </c>
      <c r="C19" s="168">
        <v>24.4</v>
      </c>
      <c r="D19" s="8">
        <v>42804.708333333336</v>
      </c>
      <c r="E19" s="168">
        <v>0.23</v>
      </c>
      <c r="F19" s="168" t="s">
        <v>410</v>
      </c>
      <c r="G19" s="168">
        <v>304.52999999999997</v>
      </c>
      <c r="H19" s="168">
        <v>0</v>
      </c>
      <c r="I19" s="168">
        <v>0</v>
      </c>
      <c r="J19" s="168">
        <v>1012.47</v>
      </c>
      <c r="K19" s="168" t="s">
        <v>516</v>
      </c>
      <c r="L19" s="168">
        <v>63.11</v>
      </c>
      <c r="M19" s="168">
        <v>1489190400</v>
      </c>
      <c r="N19" s="168">
        <v>5.78</v>
      </c>
      <c r="O19" s="168">
        <v>26</v>
      </c>
      <c r="P19" s="168">
        <v>3.11</v>
      </c>
      <c r="Q19"/>
      <c r="R19"/>
    </row>
    <row r="20" spans="1:18" x14ac:dyDescent="0.25">
      <c r="A20" s="168">
        <v>59.99</v>
      </c>
      <c r="B20" s="168">
        <v>0.78</v>
      </c>
      <c r="C20" s="168">
        <v>23.35</v>
      </c>
      <c r="D20" s="8">
        <v>42804.75</v>
      </c>
      <c r="E20" s="168">
        <v>0.24</v>
      </c>
      <c r="F20" s="168" t="s">
        <v>408</v>
      </c>
      <c r="G20" s="168">
        <v>305.22000000000003</v>
      </c>
      <c r="H20" s="168">
        <v>0</v>
      </c>
      <c r="I20" s="168">
        <v>0</v>
      </c>
      <c r="J20" s="168">
        <v>1013.03</v>
      </c>
      <c r="K20" s="168" t="s">
        <v>516</v>
      </c>
      <c r="L20" s="168">
        <v>59.99</v>
      </c>
      <c r="M20" s="168">
        <v>1489194000</v>
      </c>
      <c r="N20" s="168">
        <v>6.5</v>
      </c>
      <c r="O20" s="168">
        <v>2</v>
      </c>
      <c r="P20" s="168">
        <v>2.83</v>
      </c>
      <c r="Q20"/>
      <c r="R20"/>
    </row>
    <row r="21" spans="1:18" x14ac:dyDescent="0.25">
      <c r="A21" s="168">
        <v>56.93</v>
      </c>
      <c r="B21" s="168">
        <v>0.7</v>
      </c>
      <c r="C21" s="168">
        <v>24.19</v>
      </c>
      <c r="D21" s="8">
        <v>42804.791666666664</v>
      </c>
      <c r="E21" s="168">
        <v>0.28000000000000003</v>
      </c>
      <c r="F21" s="168" t="s">
        <v>408</v>
      </c>
      <c r="G21" s="168">
        <v>306.39999999999998</v>
      </c>
      <c r="H21" s="168">
        <v>0</v>
      </c>
      <c r="I21" s="168">
        <v>0</v>
      </c>
      <c r="J21" s="168">
        <v>1013.88</v>
      </c>
      <c r="K21" s="168" t="s">
        <v>516</v>
      </c>
      <c r="L21" s="168">
        <v>56.93</v>
      </c>
      <c r="M21" s="168">
        <v>1489197600</v>
      </c>
      <c r="N21" s="168">
        <v>7.49</v>
      </c>
      <c r="O21" s="168">
        <v>359</v>
      </c>
      <c r="P21" s="168">
        <v>1.66</v>
      </c>
      <c r="Q21"/>
      <c r="R21"/>
    </row>
    <row r="22" spans="1:18" x14ac:dyDescent="0.25">
      <c r="A22" s="168">
        <v>53.42</v>
      </c>
      <c r="B22" s="168">
        <v>0.65</v>
      </c>
      <c r="C22" s="168">
        <v>24.92</v>
      </c>
      <c r="D22" s="8">
        <v>42804.833333333336</v>
      </c>
      <c r="E22" s="168">
        <v>0.33</v>
      </c>
      <c r="F22" s="168" t="s">
        <v>408</v>
      </c>
      <c r="G22" s="168">
        <v>307.33</v>
      </c>
      <c r="H22" s="168">
        <v>0</v>
      </c>
      <c r="I22" s="168">
        <v>0</v>
      </c>
      <c r="J22" s="168">
        <v>1014.69</v>
      </c>
      <c r="K22" s="168" t="s">
        <v>516</v>
      </c>
      <c r="L22" s="168">
        <v>53.42</v>
      </c>
      <c r="M22" s="168">
        <v>1489201200</v>
      </c>
      <c r="N22" s="168">
        <v>6.67</v>
      </c>
      <c r="O22" s="168">
        <v>337</v>
      </c>
      <c r="P22" s="168">
        <v>2</v>
      </c>
      <c r="Q22"/>
      <c r="R22"/>
    </row>
    <row r="23" spans="1:18" x14ac:dyDescent="0.25">
      <c r="A23" s="168">
        <v>51.41</v>
      </c>
      <c r="B23" s="168">
        <v>0.64</v>
      </c>
      <c r="C23" s="168">
        <v>24.19</v>
      </c>
      <c r="D23" s="8">
        <v>42804.875</v>
      </c>
      <c r="E23" s="168">
        <v>0.34</v>
      </c>
      <c r="F23" s="168" t="s">
        <v>408</v>
      </c>
      <c r="G23" s="168">
        <v>307.62</v>
      </c>
      <c r="H23" s="168">
        <v>0</v>
      </c>
      <c r="I23" s="168">
        <v>0</v>
      </c>
      <c r="J23" s="168">
        <v>1015.37</v>
      </c>
      <c r="K23" s="168" t="s">
        <v>516</v>
      </c>
      <c r="L23" s="168">
        <v>51.41</v>
      </c>
      <c r="M23" s="168">
        <v>1489204800</v>
      </c>
      <c r="N23" s="168">
        <v>6.09</v>
      </c>
      <c r="O23" s="168">
        <v>347</v>
      </c>
      <c r="P23" s="168">
        <v>2.96</v>
      </c>
      <c r="Q23"/>
      <c r="R23"/>
    </row>
    <row r="24" spans="1:18" x14ac:dyDescent="0.25">
      <c r="A24" s="168">
        <v>49.33</v>
      </c>
      <c r="B24" s="168">
        <v>0.7</v>
      </c>
      <c r="C24" s="168">
        <v>25.12</v>
      </c>
      <c r="D24" s="8">
        <v>42804.916666666664</v>
      </c>
      <c r="E24" s="168">
        <v>0.38</v>
      </c>
      <c r="F24" s="168" t="s">
        <v>408</v>
      </c>
      <c r="G24" s="168">
        <v>307.66000000000003</v>
      </c>
      <c r="H24" s="168">
        <v>0</v>
      </c>
      <c r="I24" s="168">
        <v>0</v>
      </c>
      <c r="J24" s="168">
        <v>1016.03</v>
      </c>
      <c r="K24" s="168" t="s">
        <v>516</v>
      </c>
      <c r="L24" s="168">
        <v>49.33</v>
      </c>
      <c r="M24" s="168">
        <v>1489208400</v>
      </c>
      <c r="N24" s="168">
        <v>10</v>
      </c>
      <c r="O24" s="168">
        <v>315</v>
      </c>
      <c r="P24" s="168">
        <v>0.53</v>
      </c>
      <c r="Q24"/>
      <c r="R24"/>
    </row>
    <row r="25" spans="1:18" x14ac:dyDescent="0.25">
      <c r="A25" s="168">
        <v>47.81</v>
      </c>
      <c r="B25" s="168">
        <v>0.74</v>
      </c>
      <c r="C25" s="168">
        <v>24.11</v>
      </c>
      <c r="D25" s="8">
        <v>42804.958333333336</v>
      </c>
      <c r="E25" s="168">
        <v>0.39</v>
      </c>
      <c r="F25" s="168" t="s">
        <v>408</v>
      </c>
      <c r="G25" s="168">
        <v>307.93</v>
      </c>
      <c r="H25" s="168">
        <v>0</v>
      </c>
      <c r="I25" s="168">
        <v>0</v>
      </c>
      <c r="J25" s="168">
        <v>1016.7</v>
      </c>
      <c r="K25" s="168" t="s">
        <v>516</v>
      </c>
      <c r="L25" s="168">
        <v>47.81</v>
      </c>
      <c r="M25" s="168">
        <v>1489212000</v>
      </c>
      <c r="N25" s="168">
        <v>6.27</v>
      </c>
      <c r="O25" s="168">
        <v>350</v>
      </c>
      <c r="P25" s="168">
        <v>2.02</v>
      </c>
      <c r="Q25"/>
      <c r="R25"/>
    </row>
    <row r="26" spans="1:18" x14ac:dyDescent="0.25">
      <c r="A26" s="168">
        <v>45.65</v>
      </c>
      <c r="B26" s="168">
        <v>0.68</v>
      </c>
      <c r="C26" s="168">
        <v>24.13</v>
      </c>
      <c r="D26" s="8">
        <v>42805</v>
      </c>
      <c r="E26" s="168">
        <v>0.42</v>
      </c>
      <c r="F26" s="168" t="s">
        <v>408</v>
      </c>
      <c r="G26" s="168">
        <v>308.82</v>
      </c>
      <c r="H26" s="168">
        <v>0</v>
      </c>
      <c r="I26" s="168">
        <v>0</v>
      </c>
      <c r="J26" s="168">
        <v>1017.03</v>
      </c>
      <c r="K26" s="168" t="s">
        <v>516</v>
      </c>
      <c r="L26" s="168">
        <v>45.65</v>
      </c>
      <c r="M26" s="168">
        <v>1489215600</v>
      </c>
      <c r="N26" s="168">
        <v>6.44</v>
      </c>
      <c r="O26" s="168">
        <v>318</v>
      </c>
      <c r="P26" s="168">
        <v>1.34</v>
      </c>
      <c r="Q26"/>
      <c r="R26"/>
    </row>
    <row r="27" spans="1:18" x14ac:dyDescent="0.25">
      <c r="A27" s="168">
        <v>44.13</v>
      </c>
      <c r="B27" s="168">
        <v>0.67</v>
      </c>
      <c r="C27" s="168">
        <v>24.46</v>
      </c>
      <c r="D27" s="8">
        <v>42805.041666666664</v>
      </c>
      <c r="E27" s="168">
        <v>0.46</v>
      </c>
      <c r="F27" s="168" t="s">
        <v>408</v>
      </c>
      <c r="G27" s="168">
        <v>309.7</v>
      </c>
      <c r="H27" s="168">
        <v>0</v>
      </c>
      <c r="I27" s="168">
        <v>0</v>
      </c>
      <c r="J27" s="168">
        <v>1017.33</v>
      </c>
      <c r="K27" s="168" t="s">
        <v>516</v>
      </c>
      <c r="L27" s="168">
        <v>44.13</v>
      </c>
      <c r="M27" s="168">
        <v>1489219200</v>
      </c>
      <c r="N27" s="168">
        <v>6.34</v>
      </c>
      <c r="O27" s="168">
        <v>272</v>
      </c>
      <c r="P27" s="168">
        <v>1.48</v>
      </c>
      <c r="Q27"/>
      <c r="R27"/>
    </row>
    <row r="28" spans="1:18" x14ac:dyDescent="0.25">
      <c r="A28" s="168">
        <v>44.24</v>
      </c>
      <c r="B28" s="168">
        <v>0.68</v>
      </c>
      <c r="C28" s="168">
        <v>26.02</v>
      </c>
      <c r="D28" s="8">
        <v>42805.083333333336</v>
      </c>
      <c r="E28" s="168">
        <v>0.48</v>
      </c>
      <c r="F28" s="168" t="s">
        <v>408</v>
      </c>
      <c r="G28" s="168">
        <v>310.58</v>
      </c>
      <c r="H28" s="168">
        <v>0</v>
      </c>
      <c r="I28" s="168">
        <v>0</v>
      </c>
      <c r="J28" s="168">
        <v>1017.63</v>
      </c>
      <c r="K28" s="168" t="s">
        <v>516</v>
      </c>
      <c r="L28" s="168">
        <v>44.24</v>
      </c>
      <c r="M28" s="168">
        <v>1489222800</v>
      </c>
      <c r="N28" s="168">
        <v>10</v>
      </c>
      <c r="O28" s="168">
        <v>179</v>
      </c>
      <c r="P28" s="168">
        <v>1.1499999999999999</v>
      </c>
      <c r="Q28"/>
      <c r="R28"/>
    </row>
    <row r="29" spans="1:18" x14ac:dyDescent="0.25">
      <c r="A29" s="168">
        <v>42.58</v>
      </c>
      <c r="B29" s="168">
        <v>0.76</v>
      </c>
      <c r="C29" s="168">
        <v>24.75</v>
      </c>
      <c r="D29" s="8">
        <v>42805.125</v>
      </c>
      <c r="E29" s="168">
        <v>0.49</v>
      </c>
      <c r="F29" s="168" t="s">
        <v>408</v>
      </c>
      <c r="G29" s="168">
        <v>312.08999999999997</v>
      </c>
      <c r="H29" s="168">
        <v>0</v>
      </c>
      <c r="I29" s="168">
        <v>0</v>
      </c>
      <c r="J29" s="168">
        <v>1018.35</v>
      </c>
      <c r="K29" s="168" t="s">
        <v>516</v>
      </c>
      <c r="L29" s="168">
        <v>42.58</v>
      </c>
      <c r="M29" s="168">
        <v>1489226400</v>
      </c>
      <c r="N29" s="168">
        <v>5.94</v>
      </c>
      <c r="O29" s="168">
        <v>228</v>
      </c>
      <c r="P29" s="168">
        <v>1.46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446</v>
      </c>
      <c r="U1" s="219"/>
      <c r="V1" s="219"/>
      <c r="W1" s="219"/>
      <c r="X1" s="219"/>
    </row>
    <row r="2" spans="1:24" ht="15.75" thickBot="1" x14ac:dyDescent="0.3">
      <c r="A2" s="12">
        <v>42804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447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459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460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461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989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990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991</v>
      </c>
      <c r="J20" s="152" t="s">
        <v>87</v>
      </c>
      <c r="M20" s="168" t="s">
        <v>437</v>
      </c>
      <c r="N20" s="168" t="s">
        <v>437</v>
      </c>
      <c r="T20" s="197"/>
      <c r="U20" s="197"/>
      <c r="V20" s="197"/>
      <c r="W20" s="197"/>
      <c r="X20" s="197"/>
    </row>
    <row r="21" spans="3:24" x14ac:dyDescent="0.25">
      <c r="C21" t="s">
        <v>992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557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993</v>
      </c>
      <c r="J23" s="162" t="s">
        <v>95</v>
      </c>
      <c r="M23" s="168" t="str">
        <f>"-07"</f>
        <v>-07</v>
      </c>
      <c r="T23" s="197"/>
      <c r="U23" s="197"/>
      <c r="V23" s="197"/>
      <c r="W23" s="197"/>
      <c r="X23" s="197"/>
    </row>
    <row r="24" spans="3:24" x14ac:dyDescent="0.25">
      <c r="C24" t="s">
        <v>994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559</v>
      </c>
      <c r="J25" s="152" t="s">
        <v>150</v>
      </c>
      <c r="M25" s="168" t="b">
        <v>1</v>
      </c>
    </row>
    <row r="26" spans="3:24" x14ac:dyDescent="0.25">
      <c r="C26" t="s">
        <v>995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C:\Users\stu\Documents\GitHub\eaglep3-reporting\EC\2017-03-10-refined-times.txt</v>
      </c>
    </row>
    <row r="27" spans="3:24" x14ac:dyDescent="0.25">
      <c r="C27" t="s">
        <v>996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C:\Users\stu\Documents\GitHub\eaglep3-reporting\EC\2017-03-10-Enforcements.txt</v>
      </c>
    </row>
    <row r="28" spans="3:24" x14ac:dyDescent="0.25">
      <c r="C28" t="s">
        <v>997</v>
      </c>
      <c r="J28" s="152" t="s">
        <v>181</v>
      </c>
      <c r="M28" s="168" t="str">
        <f>"C:\Users\stu\Documents\GitHub\eaglep3-reporting\EC\"&amp;TEXT(A2,"YYYY-MM-DD")&amp;"-Runs.txt"</f>
        <v>C:\Users\stu\Documents\GitHub\eaglep3-reporting\EC\2017-03-10-Runs.txt</v>
      </c>
    </row>
    <row r="29" spans="3:24" x14ac:dyDescent="0.25">
      <c r="C29" t="s">
        <v>998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C:\Users\stu\Documents\GitHub\eaglep3-reporting\EC\2017-03-10-Trips.txt</v>
      </c>
    </row>
    <row r="30" spans="3:24" x14ac:dyDescent="0.25">
      <c r="C30" t="s">
        <v>999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C:\Users\stu\Documents\GitHub\eaglep3-reporting\EC\2017-03-10-Weather.txt</v>
      </c>
    </row>
    <row r="31" spans="3:24" x14ac:dyDescent="0.25">
      <c r="C31" t="s">
        <v>1000</v>
      </c>
      <c r="J31" s="152" t="s">
        <v>206</v>
      </c>
      <c r="M31" s="168" t="s">
        <v>207</v>
      </c>
    </row>
    <row r="32" spans="3:24" x14ac:dyDescent="0.25">
      <c r="C32" t="s">
        <v>1001</v>
      </c>
    </row>
    <row r="33" spans="3:3" x14ac:dyDescent="0.25">
      <c r="C33" t="s">
        <v>1002</v>
      </c>
    </row>
    <row r="34" spans="3:3" x14ac:dyDescent="0.25">
      <c r="C34" t="s">
        <v>1003</v>
      </c>
    </row>
    <row r="35" spans="3:3" x14ac:dyDescent="0.25">
      <c r="C35" t="s">
        <v>1004</v>
      </c>
    </row>
    <row r="36" spans="3:3" x14ac:dyDescent="0.25">
      <c r="C36" t="s">
        <v>1005</v>
      </c>
    </row>
    <row r="37" spans="3:3" x14ac:dyDescent="0.25">
      <c r="C37" t="s">
        <v>1006</v>
      </c>
    </row>
    <row r="38" spans="3:3" x14ac:dyDescent="0.25">
      <c r="C38" t="s">
        <v>558</v>
      </c>
    </row>
    <row r="39" spans="3:3" x14ac:dyDescent="0.25">
      <c r="C39" t="s">
        <v>1007</v>
      </c>
    </row>
    <row r="40" spans="3:3" x14ac:dyDescent="0.25">
      <c r="C40" t="s">
        <v>1008</v>
      </c>
    </row>
    <row r="41" spans="3:3" x14ac:dyDescent="0.25">
      <c r="C41" t="s">
        <v>1009</v>
      </c>
    </row>
    <row r="42" spans="3:3" x14ac:dyDescent="0.25">
      <c r="C42" t="s">
        <v>1010</v>
      </c>
    </row>
    <row r="43" spans="3:3" x14ac:dyDescent="0.25">
      <c r="C43" t="s">
        <v>1011</v>
      </c>
    </row>
    <row r="44" spans="3:3" x14ac:dyDescent="0.25">
      <c r="C44" t="s">
        <v>1012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269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270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271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272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273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274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275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276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277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278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279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280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281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282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283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284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285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286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287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288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289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290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291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292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293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294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295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296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297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298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299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300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301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302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303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304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305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306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307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308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309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310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311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312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313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314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315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316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317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318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319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320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321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322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323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324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325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326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327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328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329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330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331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332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333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334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335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336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337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338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339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340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341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342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343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344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345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346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347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348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349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350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351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352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353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354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355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356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357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358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359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360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361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362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363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364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365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366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367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368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369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370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371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372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373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374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375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376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377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378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379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380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381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382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383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384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385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386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387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388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389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390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391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392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393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394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395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396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397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398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2017-03-13T15:59:33Z</dcterms:modified>
</cp:coreProperties>
</file>