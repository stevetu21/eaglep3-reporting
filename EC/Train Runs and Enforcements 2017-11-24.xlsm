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Enforcements!$A$6:$AC$18</definedName>
    <definedName name="_xlnm._FilterDatabase" localSheetId="2" hidden="1">'Missing Trips'!$A$2:$J$26</definedName>
    <definedName name="_xlnm._FilterDatabase" localSheetId="0" hidden="1">'Train Runs'!$A$12:$AG$498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9" i="1" l="1"/>
  <c r="K208" i="1"/>
  <c r="L208" i="1"/>
  <c r="M208" i="1"/>
  <c r="N208" i="1"/>
  <c r="V208" i="1"/>
  <c r="Y208" i="1"/>
  <c r="Z208" i="1"/>
  <c r="AA208" i="1" s="1"/>
  <c r="AB208" i="1"/>
  <c r="AC208" i="1"/>
  <c r="AD208" i="1"/>
  <c r="T208" i="1" s="1"/>
  <c r="AE208" i="1"/>
  <c r="AF208" i="1"/>
  <c r="AH208" i="1"/>
  <c r="AM208" i="1"/>
  <c r="AN208" i="1"/>
  <c r="AO208" i="1"/>
  <c r="P177" i="1"/>
  <c r="P179" i="1"/>
  <c r="I179" i="1"/>
  <c r="F179" i="1"/>
  <c r="X180" i="1"/>
  <c r="K179" i="1"/>
  <c r="M179" i="1"/>
  <c r="V179" i="1"/>
  <c r="AA179" i="1"/>
  <c r="AB179" i="1"/>
  <c r="AC179" i="1"/>
  <c r="AD179" i="1"/>
  <c r="T179" i="1" s="1"/>
  <c r="AE179" i="1"/>
  <c r="AF179" i="1"/>
  <c r="AH179" i="1"/>
  <c r="AM179" i="1"/>
  <c r="AN179" i="1"/>
  <c r="AO179" i="1"/>
  <c r="X178" i="1"/>
  <c r="K177" i="1"/>
  <c r="L177" i="1"/>
  <c r="M177" i="1"/>
  <c r="V177" i="1"/>
  <c r="AA177" i="1"/>
  <c r="AB177" i="1"/>
  <c r="AC177" i="1"/>
  <c r="AD177" i="1"/>
  <c r="T177" i="1" s="1"/>
  <c r="AE177" i="1"/>
  <c r="AF177" i="1"/>
  <c r="AH177" i="1"/>
  <c r="AM177" i="1"/>
  <c r="AN177" i="1"/>
  <c r="AO177" i="1"/>
  <c r="X160" i="1"/>
  <c r="K159" i="1"/>
  <c r="L159" i="1"/>
  <c r="M159" i="1"/>
  <c r="N159" i="1" s="1"/>
  <c r="V159" i="1"/>
  <c r="AA159" i="1"/>
  <c r="AB159" i="1"/>
  <c r="AC159" i="1"/>
  <c r="AD159" i="1"/>
  <c r="T159" i="1" s="1"/>
  <c r="AE159" i="1"/>
  <c r="AF159" i="1"/>
  <c r="AH159" i="1"/>
  <c r="AM159" i="1"/>
  <c r="AN159" i="1"/>
  <c r="AO159" i="1"/>
  <c r="P206" i="1"/>
  <c r="X206" i="1"/>
  <c r="K205" i="1"/>
  <c r="L205" i="1"/>
  <c r="M205" i="1"/>
  <c r="N205" i="1"/>
  <c r="V205" i="1"/>
  <c r="AA205" i="1"/>
  <c r="AB205" i="1"/>
  <c r="AC205" i="1"/>
  <c r="AD205" i="1"/>
  <c r="T205" i="1" s="1"/>
  <c r="AE205" i="1"/>
  <c r="AF205" i="1"/>
  <c r="AH205" i="1"/>
  <c r="AM205" i="1"/>
  <c r="AN205" i="1"/>
  <c r="AO205" i="1"/>
  <c r="K204" i="1"/>
  <c r="L204" i="1"/>
  <c r="M204" i="1"/>
  <c r="N204" i="1"/>
  <c r="V204" i="1"/>
  <c r="AA204" i="1"/>
  <c r="AB204" i="1"/>
  <c r="AC204" i="1"/>
  <c r="AD204" i="1"/>
  <c r="T204" i="1" s="1"/>
  <c r="AE204" i="1"/>
  <c r="AF204" i="1"/>
  <c r="AH204" i="1"/>
  <c r="AM204" i="1"/>
  <c r="AN204" i="1"/>
  <c r="AO204" i="1"/>
  <c r="X203" i="1"/>
  <c r="K202" i="1"/>
  <c r="L202" i="1"/>
  <c r="M202" i="1"/>
  <c r="N202" i="1" s="1"/>
  <c r="V202" i="1"/>
  <c r="AA202" i="1"/>
  <c r="AB202" i="1"/>
  <c r="AC202" i="1"/>
  <c r="AD202" i="1"/>
  <c r="T202" i="1" s="1"/>
  <c r="AE202" i="1"/>
  <c r="AF202" i="1"/>
  <c r="AH202" i="1"/>
  <c r="AM202" i="1"/>
  <c r="AN202" i="1"/>
  <c r="AO202" i="1"/>
  <c r="K148" i="1"/>
  <c r="L148" i="1"/>
  <c r="M148" i="1"/>
  <c r="V148" i="1"/>
  <c r="Z148" i="1"/>
  <c r="AA148" i="1" s="1"/>
  <c r="AB148" i="1"/>
  <c r="AC148" i="1"/>
  <c r="AD148" i="1"/>
  <c r="T148" i="1" s="1"/>
  <c r="AE148" i="1"/>
  <c r="AF148" i="1"/>
  <c r="AH148" i="1"/>
  <c r="AM148" i="1"/>
  <c r="AN148" i="1"/>
  <c r="AO148" i="1"/>
  <c r="K14" i="1"/>
  <c r="L14" i="1"/>
  <c r="M14" i="1"/>
  <c r="N14" i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S14" i="3" s="1"/>
  <c r="Y43" i="1"/>
  <c r="Z43" i="1"/>
  <c r="AB43" i="1"/>
  <c r="AC43" i="1"/>
  <c r="AD43" i="1"/>
  <c r="T43" i="1" s="1"/>
  <c r="AE43" i="1"/>
  <c r="R14" i="3" s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X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S8" i="3" s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S16" i="3" s="1"/>
  <c r="Y59" i="1"/>
  <c r="Z59" i="1"/>
  <c r="AB59" i="1"/>
  <c r="AC59" i="1"/>
  <c r="AD59" i="1"/>
  <c r="AE59" i="1"/>
  <c r="R16" i="3" s="1"/>
  <c r="AF59" i="1"/>
  <c r="AH59" i="1"/>
  <c r="AM59" i="1"/>
  <c r="AN59" i="1"/>
  <c r="AO59" i="1"/>
  <c r="K60" i="1"/>
  <c r="L60" i="1"/>
  <c r="M60" i="1"/>
  <c r="N60" i="1" s="1"/>
  <c r="V60" i="1"/>
  <c r="S7" i="3" s="1"/>
  <c r="Y60" i="1"/>
  <c r="Z60" i="1"/>
  <c r="AB60" i="1"/>
  <c r="AC60" i="1"/>
  <c r="AD60" i="1"/>
  <c r="T60" i="1" s="1"/>
  <c r="AE60" i="1"/>
  <c r="R7" i="3" s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S13" i="3" s="1"/>
  <c r="Y70" i="1"/>
  <c r="Z70" i="1"/>
  <c r="AB70" i="1"/>
  <c r="AC70" i="1"/>
  <c r="AD70" i="1"/>
  <c r="T70" i="1" s="1"/>
  <c r="AE70" i="1"/>
  <c r="R13" i="3" s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S11" i="3" s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S12" i="3" s="1"/>
  <c r="Y83" i="1"/>
  <c r="Z83" i="1"/>
  <c r="AB83" i="1"/>
  <c r="AC83" i="1"/>
  <c r="AD83" i="1"/>
  <c r="AE83" i="1"/>
  <c r="R12" i="3" s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A99" i="1" s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/>
  <c r="V102" i="1"/>
  <c r="Y102" i="1"/>
  <c r="AA102" i="1" s="1"/>
  <c r="Z102" i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S9" i="3" s="1"/>
  <c r="Y110" i="1"/>
  <c r="Z110" i="1"/>
  <c r="AB110" i="1"/>
  <c r="AC110" i="1"/>
  <c r="AD110" i="1"/>
  <c r="T110" i="1" s="1"/>
  <c r="AE110" i="1"/>
  <c r="R9" i="3" s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A112" i="1" s="1"/>
  <c r="AB112" i="1"/>
  <c r="AC112" i="1"/>
  <c r="AD112" i="1"/>
  <c r="T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A116" i="1" s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/>
  <c r="V118" i="1"/>
  <c r="Y118" i="1"/>
  <c r="Z118" i="1"/>
  <c r="AA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A119" i="1" s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/>
  <c r="V122" i="1"/>
  <c r="Y122" i="1"/>
  <c r="AA122" i="1" s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A124" i="1" s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A128" i="1" s="1"/>
  <c r="AB128" i="1"/>
  <c r="AC128" i="1"/>
  <c r="AD128" i="1"/>
  <c r="T128" i="1" s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AA130" i="1" s="1"/>
  <c r="Z130" i="1"/>
  <c r="AB130" i="1"/>
  <c r="AC130" i="1"/>
  <c r="AD130" i="1"/>
  <c r="T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45" i="1"/>
  <c r="AM145" i="1"/>
  <c r="AN145" i="1"/>
  <c r="AO145" i="1"/>
  <c r="K146" i="1"/>
  <c r="L146" i="1"/>
  <c r="M146" i="1"/>
  <c r="N146" i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AO146" i="1"/>
  <c r="K147" i="1"/>
  <c r="L147" i="1"/>
  <c r="M147" i="1"/>
  <c r="P147" i="1" s="1"/>
  <c r="V147" i="1"/>
  <c r="S17" i="3" s="1"/>
  <c r="Y147" i="1"/>
  <c r="AA147" i="1" s="1"/>
  <c r="AB147" i="1"/>
  <c r="AC147" i="1"/>
  <c r="AD147" i="1"/>
  <c r="T147" i="1" s="1"/>
  <c r="AE147" i="1"/>
  <c r="R17" i="3" s="1"/>
  <c r="AF147" i="1"/>
  <c r="AH147" i="1"/>
  <c r="AM147" i="1"/>
  <c r="AN147" i="1"/>
  <c r="AO147" i="1"/>
  <c r="K149" i="1"/>
  <c r="L149" i="1"/>
  <c r="M149" i="1"/>
  <c r="N149" i="1" s="1"/>
  <c r="V149" i="1"/>
  <c r="Y149" i="1"/>
  <c r="Z149" i="1"/>
  <c r="AB149" i="1"/>
  <c r="AC149" i="1"/>
  <c r="AD149" i="1"/>
  <c r="X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156" i="1"/>
  <c r="L156" i="1"/>
  <c r="M156" i="1"/>
  <c r="N156" i="1"/>
  <c r="V156" i="1"/>
  <c r="Y156" i="1"/>
  <c r="Z156" i="1"/>
  <c r="AB156" i="1"/>
  <c r="AC156" i="1"/>
  <c r="AD156" i="1"/>
  <c r="X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S10" i="3" s="1"/>
  <c r="Y157" i="1"/>
  <c r="Z157" i="1"/>
  <c r="AB157" i="1"/>
  <c r="AC157" i="1"/>
  <c r="AD157" i="1"/>
  <c r="T157" i="1" s="1"/>
  <c r="AE157" i="1"/>
  <c r="R10" i="3" s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X158" i="1" s="1"/>
  <c r="AE158" i="1"/>
  <c r="AF158" i="1"/>
  <c r="AH158" i="1"/>
  <c r="AM158" i="1"/>
  <c r="AN158" i="1"/>
  <c r="AO15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A210" i="1" s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/>
  <c r="V212" i="1"/>
  <c r="Y212" i="1"/>
  <c r="Z212" i="1"/>
  <c r="AA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S20" i="3" s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A220" i="1" s="1"/>
  <c r="AB220" i="1"/>
  <c r="AC220" i="1"/>
  <c r="AD220" i="1"/>
  <c r="AE220" i="1"/>
  <c r="AF220" i="1"/>
  <c r="AH171" i="1"/>
  <c r="AM171" i="1"/>
  <c r="AN171" i="1"/>
  <c r="AO171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2" i="1"/>
  <c r="AM172" i="1"/>
  <c r="AN172" i="1"/>
  <c r="AO172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3" i="1"/>
  <c r="AM173" i="1"/>
  <c r="AN173" i="1"/>
  <c r="AO173" i="1"/>
  <c r="K228" i="1"/>
  <c r="L228" i="1"/>
  <c r="M228" i="1"/>
  <c r="N228" i="1" s="1"/>
  <c r="V228" i="1"/>
  <c r="S21" i="3" s="1"/>
  <c r="Y228" i="1"/>
  <c r="Z228" i="1"/>
  <c r="AB228" i="1"/>
  <c r="AC228" i="1"/>
  <c r="AD228" i="1"/>
  <c r="AE228" i="1"/>
  <c r="R21" i="3" s="1"/>
  <c r="AF228" i="1"/>
  <c r="AH174" i="1"/>
  <c r="AM174" i="1"/>
  <c r="AN174" i="1"/>
  <c r="AO174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5" i="1"/>
  <c r="AM175" i="1"/>
  <c r="AN175" i="1"/>
  <c r="AO175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6" i="1"/>
  <c r="AM176" i="1"/>
  <c r="AN176" i="1"/>
  <c r="AO176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AM178" i="1"/>
  <c r="AN178" i="1"/>
  <c r="AO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80" i="1"/>
  <c r="AM180" i="1"/>
  <c r="AN180" i="1"/>
  <c r="AO180" i="1"/>
  <c r="K233" i="1"/>
  <c r="L233" i="1"/>
  <c r="M233" i="1"/>
  <c r="N233" i="1" s="1"/>
  <c r="V233" i="1"/>
  <c r="Y233" i="1"/>
  <c r="Z233" i="1"/>
  <c r="AA233" i="1" s="1"/>
  <c r="AB233" i="1"/>
  <c r="AC233" i="1"/>
  <c r="AD233" i="1"/>
  <c r="AE233" i="1"/>
  <c r="AF233" i="1"/>
  <c r="AH181" i="1"/>
  <c r="AM181" i="1"/>
  <c r="AN181" i="1"/>
  <c r="AO181" i="1"/>
  <c r="K234" i="1"/>
  <c r="L234" i="1"/>
  <c r="M234" i="1"/>
  <c r="N234" i="1" s="1"/>
  <c r="V234" i="1"/>
  <c r="Y234" i="1"/>
  <c r="Z234" i="1"/>
  <c r="AA234" i="1" s="1"/>
  <c r="AB234" i="1"/>
  <c r="AC234" i="1"/>
  <c r="AD234" i="1"/>
  <c r="AE234" i="1"/>
  <c r="AF234" i="1"/>
  <c r="AH182" i="1"/>
  <c r="AM182" i="1"/>
  <c r="AN182" i="1"/>
  <c r="AO182" i="1"/>
  <c r="K160" i="1"/>
  <c r="L160" i="1"/>
  <c r="M160" i="1"/>
  <c r="N160" i="1" s="1"/>
  <c r="V160" i="1"/>
  <c r="Y160" i="1"/>
  <c r="Z160" i="1"/>
  <c r="AA160" i="1" s="1"/>
  <c r="AB160" i="1"/>
  <c r="AC160" i="1"/>
  <c r="AD160" i="1"/>
  <c r="AE160" i="1"/>
  <c r="AF160" i="1"/>
  <c r="AH183" i="1"/>
  <c r="AM183" i="1"/>
  <c r="AN183" i="1"/>
  <c r="AO183" i="1"/>
  <c r="K161" i="1"/>
  <c r="L161" i="1"/>
  <c r="M161" i="1"/>
  <c r="N161" i="1"/>
  <c r="V161" i="1"/>
  <c r="Y161" i="1"/>
  <c r="Z161" i="1"/>
  <c r="AA161" i="1"/>
  <c r="AB161" i="1"/>
  <c r="AC161" i="1"/>
  <c r="AD161" i="1"/>
  <c r="AE161" i="1"/>
  <c r="AF161" i="1"/>
  <c r="AH184" i="1"/>
  <c r="AM184" i="1"/>
  <c r="AN184" i="1"/>
  <c r="AO184" i="1"/>
  <c r="K162" i="1"/>
  <c r="L162" i="1"/>
  <c r="M162" i="1"/>
  <c r="N162" i="1" s="1"/>
  <c r="V162" i="1"/>
  <c r="Y162" i="1"/>
  <c r="Z162" i="1"/>
  <c r="AA162" i="1"/>
  <c r="AB162" i="1"/>
  <c r="AC162" i="1"/>
  <c r="AD162" i="1"/>
  <c r="AE162" i="1"/>
  <c r="AF162" i="1"/>
  <c r="AH185" i="1"/>
  <c r="AM185" i="1"/>
  <c r="AN185" i="1"/>
  <c r="AO185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H186" i="1"/>
  <c r="AM186" i="1"/>
  <c r="AN186" i="1"/>
  <c r="AO186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7" i="1"/>
  <c r="AM187" i="1"/>
  <c r="AN187" i="1"/>
  <c r="AO187" i="1"/>
  <c r="K165" i="1"/>
  <c r="L165" i="1"/>
  <c r="M165" i="1"/>
  <c r="N165" i="1"/>
  <c r="V165" i="1"/>
  <c r="Y165" i="1"/>
  <c r="AA165" i="1" s="1"/>
  <c r="Z165" i="1"/>
  <c r="AB165" i="1"/>
  <c r="AC165" i="1"/>
  <c r="AD165" i="1"/>
  <c r="AE165" i="1"/>
  <c r="AF165" i="1"/>
  <c r="AH188" i="1"/>
  <c r="AM188" i="1"/>
  <c r="AN188" i="1"/>
  <c r="AO188" i="1"/>
  <c r="K166" i="1"/>
  <c r="L166" i="1"/>
  <c r="M166" i="1"/>
  <c r="N166" i="1"/>
  <c r="V166" i="1"/>
  <c r="Y166" i="1"/>
  <c r="Z166" i="1"/>
  <c r="AB166" i="1"/>
  <c r="AC166" i="1"/>
  <c r="AD166" i="1"/>
  <c r="X166" i="1" s="1"/>
  <c r="AE166" i="1"/>
  <c r="AF166" i="1"/>
  <c r="AH189" i="1"/>
  <c r="AM189" i="1"/>
  <c r="AN189" i="1"/>
  <c r="AO189" i="1"/>
  <c r="K167" i="1"/>
  <c r="L167" i="1"/>
  <c r="M167" i="1"/>
  <c r="N167" i="1"/>
  <c r="V167" i="1"/>
  <c r="Y167" i="1"/>
  <c r="AA167" i="1" s="1"/>
  <c r="Z167" i="1"/>
  <c r="AB167" i="1"/>
  <c r="AC167" i="1"/>
  <c r="AD167" i="1"/>
  <c r="AE167" i="1"/>
  <c r="AF167" i="1"/>
  <c r="AH190" i="1"/>
  <c r="AM190" i="1"/>
  <c r="AN190" i="1"/>
  <c r="AO19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1" i="1"/>
  <c r="AM191" i="1"/>
  <c r="AN191" i="1"/>
  <c r="AO191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2" i="1"/>
  <c r="AM192" i="1"/>
  <c r="AN192" i="1"/>
  <c r="AO192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3" i="1"/>
  <c r="AM193" i="1"/>
  <c r="AN193" i="1"/>
  <c r="AO193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4" i="1"/>
  <c r="AM194" i="1"/>
  <c r="AN194" i="1"/>
  <c r="AO194" i="1"/>
  <c r="K172" i="1"/>
  <c r="L172" i="1"/>
  <c r="M172" i="1"/>
  <c r="N172" i="1"/>
  <c r="V172" i="1"/>
  <c r="Y172" i="1"/>
  <c r="Z172" i="1"/>
  <c r="AB172" i="1"/>
  <c r="AC172" i="1"/>
  <c r="AD172" i="1"/>
  <c r="X172" i="1" s="1"/>
  <c r="AE172" i="1"/>
  <c r="AF172" i="1"/>
  <c r="AH195" i="1"/>
  <c r="AM195" i="1"/>
  <c r="AN195" i="1"/>
  <c r="AO195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196" i="1"/>
  <c r="AM196" i="1"/>
  <c r="AN196" i="1"/>
  <c r="AO196" i="1"/>
  <c r="K174" i="1"/>
  <c r="L174" i="1"/>
  <c r="M174" i="1"/>
  <c r="N174" i="1" s="1"/>
  <c r="V174" i="1"/>
  <c r="Y174" i="1"/>
  <c r="Z174" i="1"/>
  <c r="AA174" i="1" s="1"/>
  <c r="AB174" i="1"/>
  <c r="AC174" i="1"/>
  <c r="AD174" i="1"/>
  <c r="T174" i="1" s="1"/>
  <c r="AE174" i="1"/>
  <c r="AF174" i="1"/>
  <c r="AH197" i="1"/>
  <c r="AM197" i="1"/>
  <c r="AN197" i="1"/>
  <c r="AO197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AF175" i="1"/>
  <c r="AH198" i="1"/>
  <c r="AM198" i="1"/>
  <c r="AN198" i="1"/>
  <c r="AO19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9" i="1"/>
  <c r="AM199" i="1"/>
  <c r="AN199" i="1"/>
  <c r="AO199" i="1"/>
  <c r="K178" i="1"/>
  <c r="L178" i="1"/>
  <c r="M178" i="1"/>
  <c r="N178" i="1" s="1"/>
  <c r="V178" i="1"/>
  <c r="S18" i="3" s="1"/>
  <c r="Y178" i="1"/>
  <c r="Z178" i="1"/>
  <c r="AA178" i="1" s="1"/>
  <c r="AB178" i="1"/>
  <c r="AC178" i="1"/>
  <c r="AD178" i="1"/>
  <c r="T178" i="1" s="1"/>
  <c r="AE178" i="1"/>
  <c r="R18" i="3" s="1"/>
  <c r="AF178" i="1"/>
  <c r="AH200" i="1"/>
  <c r="AM200" i="1"/>
  <c r="AN200" i="1"/>
  <c r="AO200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AF181" i="1"/>
  <c r="AH201" i="1"/>
  <c r="AM201" i="1"/>
  <c r="AN201" i="1"/>
  <c r="AO20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3" i="1"/>
  <c r="AM203" i="1"/>
  <c r="AN203" i="1"/>
  <c r="AO203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206" i="1"/>
  <c r="AM206" i="1"/>
  <c r="AN206" i="1"/>
  <c r="AO206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207" i="1"/>
  <c r="AM207" i="1"/>
  <c r="AN207" i="1"/>
  <c r="AO207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09" i="1"/>
  <c r="AM209" i="1"/>
  <c r="AN209" i="1"/>
  <c r="AO20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0" i="1"/>
  <c r="AM210" i="1"/>
  <c r="AN210" i="1"/>
  <c r="AO210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211" i="1"/>
  <c r="AM211" i="1"/>
  <c r="AN211" i="1"/>
  <c r="AO21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2" i="1"/>
  <c r="AM212" i="1"/>
  <c r="AN212" i="1"/>
  <c r="AO212" i="1"/>
  <c r="K189" i="1"/>
  <c r="L189" i="1"/>
  <c r="M189" i="1"/>
  <c r="N189" i="1"/>
  <c r="V189" i="1"/>
  <c r="Y189" i="1"/>
  <c r="Z189" i="1"/>
  <c r="AB189" i="1"/>
  <c r="AC189" i="1"/>
  <c r="AD189" i="1"/>
  <c r="T189" i="1" s="1"/>
  <c r="AE189" i="1"/>
  <c r="AF189" i="1"/>
  <c r="AH213" i="1"/>
  <c r="AM213" i="1"/>
  <c r="AN213" i="1"/>
  <c r="AO21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4" i="1"/>
  <c r="AM214" i="1"/>
  <c r="AN214" i="1"/>
  <c r="AO21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5" i="1"/>
  <c r="AM215" i="1"/>
  <c r="AN215" i="1"/>
  <c r="AO21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6" i="1"/>
  <c r="AM216" i="1"/>
  <c r="AN216" i="1"/>
  <c r="AO216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H217" i="1"/>
  <c r="AM217" i="1"/>
  <c r="AN217" i="1"/>
  <c r="AO21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8" i="1"/>
  <c r="AM218" i="1"/>
  <c r="AN218" i="1"/>
  <c r="AO21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9" i="1"/>
  <c r="AM219" i="1"/>
  <c r="AN219" i="1"/>
  <c r="AO219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0" i="1"/>
  <c r="AM220" i="1"/>
  <c r="AN220" i="1"/>
  <c r="AO220" i="1"/>
  <c r="K197" i="1"/>
  <c r="L197" i="1"/>
  <c r="M197" i="1"/>
  <c r="N197" i="1" s="1"/>
  <c r="V197" i="1"/>
  <c r="Y197" i="1"/>
  <c r="AA197" i="1" s="1"/>
  <c r="Z197" i="1"/>
  <c r="AB197" i="1"/>
  <c r="AC197" i="1"/>
  <c r="AD197" i="1"/>
  <c r="T197" i="1" s="1"/>
  <c r="AE197" i="1"/>
  <c r="AF197" i="1"/>
  <c r="AH221" i="1"/>
  <c r="AM221" i="1"/>
  <c r="AN221" i="1"/>
  <c r="AO221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2" i="1"/>
  <c r="AM222" i="1"/>
  <c r="AN222" i="1"/>
  <c r="AO222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23" i="1"/>
  <c r="AM223" i="1"/>
  <c r="AN223" i="1"/>
  <c r="AO223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4" i="1"/>
  <c r="AM224" i="1"/>
  <c r="AN224" i="1"/>
  <c r="AO224" i="1"/>
  <c r="AH225" i="1"/>
  <c r="AM225" i="1"/>
  <c r="AN225" i="1"/>
  <c r="AO225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6" i="1"/>
  <c r="AM226" i="1"/>
  <c r="AN226" i="1"/>
  <c r="AO226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27" i="1"/>
  <c r="AM227" i="1"/>
  <c r="AN227" i="1"/>
  <c r="AO227" i="1"/>
  <c r="K206" i="1"/>
  <c r="L206" i="1"/>
  <c r="M206" i="1"/>
  <c r="V206" i="1"/>
  <c r="Y206" i="1"/>
  <c r="Z206" i="1"/>
  <c r="AB206" i="1"/>
  <c r="AC206" i="1"/>
  <c r="AD206" i="1"/>
  <c r="T206" i="1" s="1"/>
  <c r="AE206" i="1"/>
  <c r="AF206" i="1"/>
  <c r="AH228" i="1"/>
  <c r="AM228" i="1"/>
  <c r="AN228" i="1"/>
  <c r="AO228" i="1"/>
  <c r="K207" i="1"/>
  <c r="L207" i="1"/>
  <c r="M207" i="1"/>
  <c r="N207" i="1"/>
  <c r="V207" i="1"/>
  <c r="Y207" i="1"/>
  <c r="Z207" i="1"/>
  <c r="AB207" i="1"/>
  <c r="AC207" i="1"/>
  <c r="AD207" i="1"/>
  <c r="T207" i="1" s="1"/>
  <c r="AE207" i="1"/>
  <c r="AF207" i="1"/>
  <c r="AH229" i="1"/>
  <c r="AM229" i="1"/>
  <c r="AN229" i="1"/>
  <c r="AO22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0" i="1"/>
  <c r="AM230" i="1"/>
  <c r="AN230" i="1"/>
  <c r="AO230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1" i="1"/>
  <c r="AM231" i="1"/>
  <c r="AN231" i="1"/>
  <c r="AO231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2" i="1"/>
  <c r="AM232" i="1"/>
  <c r="AN232" i="1"/>
  <c r="AO232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233" i="1"/>
  <c r="AM233" i="1"/>
  <c r="AN233" i="1"/>
  <c r="AO233" i="1"/>
  <c r="K226" i="1"/>
  <c r="L226" i="1"/>
  <c r="M226" i="1"/>
  <c r="N226" i="1" s="1"/>
  <c r="V226" i="1"/>
  <c r="Y226" i="1"/>
  <c r="Z226" i="1"/>
  <c r="AA226" i="1" s="1"/>
  <c r="AB226" i="1"/>
  <c r="AC226" i="1"/>
  <c r="AD226" i="1"/>
  <c r="T226" i="1" s="1"/>
  <c r="AE226" i="1"/>
  <c r="AF226" i="1"/>
  <c r="AH234" i="1"/>
  <c r="AM234" i="1"/>
  <c r="AN234" i="1"/>
  <c r="AO234" i="1"/>
  <c r="M14" i="3"/>
  <c r="U14" i="3"/>
  <c r="T14" i="3" s="1"/>
  <c r="V14" i="3"/>
  <c r="X14" i="3"/>
  <c r="M8" i="3"/>
  <c r="R8" i="3"/>
  <c r="U8" i="3"/>
  <c r="AC8" i="3" s="1"/>
  <c r="V8" i="3"/>
  <c r="X8" i="3"/>
  <c r="M16" i="3"/>
  <c r="U16" i="3"/>
  <c r="AC16" i="3" s="1"/>
  <c r="V16" i="3"/>
  <c r="X16" i="3"/>
  <c r="M21" i="3"/>
  <c r="U21" i="3"/>
  <c r="AC21" i="3" s="1"/>
  <c r="V21" i="3"/>
  <c r="X21" i="3"/>
  <c r="M7" i="3"/>
  <c r="U7" i="3"/>
  <c r="T7" i="3" s="1"/>
  <c r="V7" i="3"/>
  <c r="X7" i="3"/>
  <c r="M18" i="3"/>
  <c r="U18" i="3"/>
  <c r="AD18" i="3" s="1"/>
  <c r="V18" i="3"/>
  <c r="X18" i="3"/>
  <c r="M13" i="3"/>
  <c r="U13" i="3"/>
  <c r="AC13" i="3" s="1"/>
  <c r="V13" i="3"/>
  <c r="X13" i="3"/>
  <c r="M11" i="3"/>
  <c r="R11" i="3"/>
  <c r="U11" i="3"/>
  <c r="AC11" i="3" s="1"/>
  <c r="V11" i="3"/>
  <c r="X11" i="3"/>
  <c r="M12" i="3"/>
  <c r="U12" i="3"/>
  <c r="T12" i="3" s="1"/>
  <c r="V12" i="3"/>
  <c r="X12" i="3"/>
  <c r="M9" i="3"/>
  <c r="U9" i="3"/>
  <c r="AC9" i="3" s="1"/>
  <c r="V9" i="3"/>
  <c r="X9" i="3"/>
  <c r="M19" i="3"/>
  <c r="U19" i="3"/>
  <c r="AC19" i="3" s="1"/>
  <c r="V19" i="3"/>
  <c r="X19" i="3"/>
  <c r="AD19" i="3"/>
  <c r="M17" i="3"/>
  <c r="U17" i="3"/>
  <c r="AC17" i="3" s="1"/>
  <c r="V17" i="3"/>
  <c r="X17" i="3"/>
  <c r="M20" i="3"/>
  <c r="R20" i="3"/>
  <c r="U20" i="3"/>
  <c r="AC20" i="3" s="1"/>
  <c r="V20" i="3"/>
  <c r="X20" i="3"/>
  <c r="M10" i="3"/>
  <c r="U10" i="3"/>
  <c r="T10" i="3" s="1"/>
  <c r="V10" i="3"/>
  <c r="X10" i="3"/>
  <c r="AG208" i="1"/>
  <c r="AG179" i="1"/>
  <c r="AG177" i="1"/>
  <c r="AG159" i="1"/>
  <c r="AG205" i="1"/>
  <c r="AG204" i="1"/>
  <c r="AG202" i="1"/>
  <c r="AG148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3" i="1"/>
  <c r="AG85" i="1"/>
  <c r="AG89" i="1"/>
  <c r="AG93" i="1"/>
  <c r="AG97" i="1"/>
  <c r="AG101" i="1"/>
  <c r="AG105" i="1"/>
  <c r="AG109" i="1"/>
  <c r="AG113" i="1"/>
  <c r="AG117" i="1"/>
  <c r="AG121" i="1"/>
  <c r="AG125" i="1"/>
  <c r="AG129" i="1"/>
  <c r="AG133" i="1"/>
  <c r="AG137" i="1"/>
  <c r="AG141" i="1"/>
  <c r="AG145" i="1"/>
  <c r="AG150" i="1"/>
  <c r="AG154" i="1"/>
  <c r="AG158" i="1"/>
  <c r="AG68" i="1"/>
  <c r="AG72" i="1"/>
  <c r="AG76" i="1"/>
  <c r="AG80" i="1"/>
  <c r="AG210" i="1"/>
  <c r="AG214" i="1"/>
  <c r="AG218" i="1"/>
  <c r="AG227" i="1"/>
  <c r="AG231" i="1"/>
  <c r="AG160" i="1"/>
  <c r="AG164" i="1"/>
  <c r="AG168" i="1"/>
  <c r="AG172" i="1"/>
  <c r="AG180" i="1"/>
  <c r="AG187" i="1"/>
  <c r="AG193" i="1"/>
  <c r="AG199" i="1"/>
  <c r="AG207" i="1"/>
  <c r="AG173" i="1"/>
  <c r="AG186" i="1"/>
  <c r="AG198" i="1"/>
  <c r="AG225" i="1"/>
  <c r="AG143" i="1"/>
  <c r="AG74" i="1"/>
  <c r="AG212" i="1"/>
  <c r="AG220" i="1"/>
  <c r="AG162" i="1"/>
  <c r="AG170" i="1"/>
  <c r="AG190" i="1"/>
  <c r="AG201" i="1"/>
  <c r="AG192" i="1"/>
  <c r="AG50" i="1"/>
  <c r="AG88" i="1"/>
  <c r="AG96" i="1"/>
  <c r="AG104" i="1"/>
  <c r="AG112" i="1"/>
  <c r="AG120" i="1"/>
  <c r="AG128" i="1"/>
  <c r="AG132" i="1"/>
  <c r="AG140" i="1"/>
  <c r="AG149" i="1"/>
  <c r="AG157" i="1"/>
  <c r="AG71" i="1"/>
  <c r="AG79" i="1"/>
  <c r="AG213" i="1"/>
  <c r="AG167" i="1"/>
  <c r="AG191" i="1"/>
  <c r="AG203" i="1"/>
  <c r="AG183" i="1"/>
  <c r="AG222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86" i="1"/>
  <c r="AG90" i="1"/>
  <c r="AG94" i="1"/>
  <c r="AG98" i="1"/>
  <c r="AG102" i="1"/>
  <c r="AG106" i="1"/>
  <c r="AG110" i="1"/>
  <c r="AG114" i="1"/>
  <c r="AG118" i="1"/>
  <c r="AG122" i="1"/>
  <c r="AG126" i="1"/>
  <c r="AG130" i="1"/>
  <c r="AG134" i="1"/>
  <c r="AG138" i="1"/>
  <c r="AG142" i="1"/>
  <c r="AG146" i="1"/>
  <c r="AG151" i="1"/>
  <c r="AG155" i="1"/>
  <c r="AG65" i="1"/>
  <c r="AG69" i="1"/>
  <c r="AG73" i="1"/>
  <c r="AG77" i="1"/>
  <c r="AG81" i="1"/>
  <c r="AG211" i="1"/>
  <c r="AG215" i="1"/>
  <c r="AG219" i="1"/>
  <c r="AG228" i="1"/>
  <c r="AG232" i="1"/>
  <c r="AG161" i="1"/>
  <c r="AG165" i="1"/>
  <c r="AG169" i="1"/>
  <c r="AG174" i="1"/>
  <c r="AG182" i="1"/>
  <c r="AG188" i="1"/>
  <c r="AG194" i="1"/>
  <c r="AG200" i="1"/>
  <c r="AG223" i="1"/>
  <c r="AG176" i="1"/>
  <c r="AG189" i="1"/>
  <c r="AG99" i="1"/>
  <c r="AG135" i="1"/>
  <c r="AG66" i="1"/>
  <c r="AG82" i="1"/>
  <c r="AG233" i="1"/>
  <c r="AG184" i="1"/>
  <c r="AG181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83" i="1"/>
  <c r="AG87" i="1"/>
  <c r="AG91" i="1"/>
  <c r="AG95" i="1"/>
  <c r="AG103" i="1"/>
  <c r="AG107" i="1"/>
  <c r="AG111" i="1"/>
  <c r="AG115" i="1"/>
  <c r="AG119" i="1"/>
  <c r="AG123" i="1"/>
  <c r="AG127" i="1"/>
  <c r="AG131" i="1"/>
  <c r="AG139" i="1"/>
  <c r="AG147" i="1"/>
  <c r="AG152" i="1"/>
  <c r="AG156" i="1"/>
  <c r="AG70" i="1"/>
  <c r="AG78" i="1"/>
  <c r="AG216" i="1"/>
  <c r="AG229" i="1"/>
  <c r="AG166" i="1"/>
  <c r="AG175" i="1"/>
  <c r="AG196" i="1"/>
  <c r="AG224" i="1"/>
  <c r="AG206" i="1"/>
  <c r="AG14" i="1"/>
  <c r="AG18" i="1"/>
  <c r="AG22" i="1"/>
  <c r="AG26" i="1"/>
  <c r="AG30" i="1"/>
  <c r="AG34" i="1"/>
  <c r="AG38" i="1"/>
  <c r="AG42" i="1"/>
  <c r="AG46" i="1"/>
  <c r="AG54" i="1"/>
  <c r="AG58" i="1"/>
  <c r="AG62" i="1"/>
  <c r="AG84" i="1"/>
  <c r="AG92" i="1"/>
  <c r="AG100" i="1"/>
  <c r="AG108" i="1"/>
  <c r="AG116" i="1"/>
  <c r="AG124" i="1"/>
  <c r="AG136" i="1"/>
  <c r="AG144" i="1"/>
  <c r="AG153" i="1"/>
  <c r="AG67" i="1"/>
  <c r="AG75" i="1"/>
  <c r="AG209" i="1"/>
  <c r="AG217" i="1"/>
  <c r="AG221" i="1"/>
  <c r="AG230" i="1"/>
  <c r="AG234" i="1"/>
  <c r="AG163" i="1"/>
  <c r="AG171" i="1"/>
  <c r="AG178" i="1"/>
  <c r="AG185" i="1"/>
  <c r="AG197" i="1"/>
  <c r="AG226" i="1"/>
  <c r="AG195" i="1"/>
  <c r="W17" i="3"/>
  <c r="W18" i="3"/>
  <c r="W16" i="3"/>
  <c r="W19" i="3"/>
  <c r="W10" i="3"/>
  <c r="W9" i="3"/>
  <c r="W20" i="3"/>
  <c r="W7" i="3"/>
  <c r="W8" i="3"/>
  <c r="W11" i="3"/>
  <c r="W12" i="3"/>
  <c r="W13" i="3"/>
  <c r="W21" i="3"/>
  <c r="W14" i="3"/>
  <c r="AI208" i="1" l="1"/>
  <c r="U208" i="1"/>
  <c r="S208" i="1" s="1"/>
  <c r="W208" i="1"/>
  <c r="X208" i="1"/>
  <c r="AI179" i="1"/>
  <c r="U179" i="1"/>
  <c r="S179" i="1" s="1"/>
  <c r="W179" i="1"/>
  <c r="X179" i="1"/>
  <c r="AI177" i="1"/>
  <c r="U177" i="1"/>
  <c r="S177" i="1" s="1"/>
  <c r="W177" i="1"/>
  <c r="X177" i="1"/>
  <c r="S19" i="3"/>
  <c r="AI159" i="1"/>
  <c r="U159" i="1"/>
  <c r="S159" i="1" s="1"/>
  <c r="W159" i="1"/>
  <c r="X159" i="1"/>
  <c r="W205" i="1"/>
  <c r="U205" i="1"/>
  <c r="S205" i="1" s="1"/>
  <c r="AI205" i="1"/>
  <c r="X205" i="1"/>
  <c r="AI204" i="1"/>
  <c r="U204" i="1"/>
  <c r="S204" i="1" s="1"/>
  <c r="W204" i="1"/>
  <c r="X204" i="1"/>
  <c r="AI202" i="1"/>
  <c r="U202" i="1"/>
  <c r="S202" i="1" s="1"/>
  <c r="W202" i="1"/>
  <c r="X202" i="1"/>
  <c r="AA106" i="1"/>
  <c r="X96" i="1"/>
  <c r="X86" i="1"/>
  <c r="X46" i="1"/>
  <c r="AA30" i="1"/>
  <c r="T21" i="3"/>
  <c r="X171" i="1"/>
  <c r="AA189" i="1"/>
  <c r="AA155" i="1"/>
  <c r="AD21" i="3"/>
  <c r="AA191" i="1"/>
  <c r="W191" i="1" s="1"/>
  <c r="AA182" i="1"/>
  <c r="AA176" i="1"/>
  <c r="AA172" i="1"/>
  <c r="X167" i="1"/>
  <c r="AA166" i="1"/>
  <c r="AA232" i="1"/>
  <c r="AA227" i="1"/>
  <c r="AA157" i="1"/>
  <c r="W157" i="1" s="1"/>
  <c r="T149" i="1"/>
  <c r="AA134" i="1"/>
  <c r="AA103" i="1"/>
  <c r="AA100" i="1"/>
  <c r="W100" i="1" s="1"/>
  <c r="AA96" i="1"/>
  <c r="AA93" i="1"/>
  <c r="AA89" i="1"/>
  <c r="X84" i="1"/>
  <c r="AA57" i="1"/>
  <c r="X48" i="1"/>
  <c r="AA48" i="1"/>
  <c r="X201" i="1"/>
  <c r="AA153" i="1"/>
  <c r="X152" i="1"/>
  <c r="X138" i="1"/>
  <c r="X133" i="1"/>
  <c r="AA216" i="1"/>
  <c r="X61" i="1"/>
  <c r="AA55" i="1"/>
  <c r="X54" i="1"/>
  <c r="X50" i="1"/>
  <c r="AA50" i="1"/>
  <c r="AA46" i="1"/>
  <c r="X45" i="1"/>
  <c r="AA41" i="1"/>
  <c r="AA36" i="1"/>
  <c r="AA32" i="1"/>
  <c r="T19" i="3"/>
  <c r="AD16" i="3"/>
  <c r="AE18" i="3"/>
  <c r="AA207" i="1"/>
  <c r="AA195" i="1"/>
  <c r="W195" i="1" s="1"/>
  <c r="AA170" i="1"/>
  <c r="AA169" i="1"/>
  <c r="AA164" i="1"/>
  <c r="AA229" i="1"/>
  <c r="AA218" i="1"/>
  <c r="X154" i="1"/>
  <c r="AA150" i="1"/>
  <c r="AA149" i="1"/>
  <c r="AA144" i="1"/>
  <c r="X142" i="1"/>
  <c r="AA136" i="1"/>
  <c r="AA126" i="1"/>
  <c r="W126" i="1" s="1"/>
  <c r="AA110" i="1"/>
  <c r="AA58" i="1"/>
  <c r="X56" i="1"/>
  <c r="X51" i="1"/>
  <c r="X47" i="1"/>
  <c r="X42" i="1"/>
  <c r="AA38" i="1"/>
  <c r="X37" i="1"/>
  <c r="AA34" i="1"/>
  <c r="AD11" i="3"/>
  <c r="AA223" i="1"/>
  <c r="T172" i="1"/>
  <c r="U172" i="1" s="1"/>
  <c r="S172" i="1" s="1"/>
  <c r="AA231" i="1"/>
  <c r="AA221" i="1"/>
  <c r="AA219" i="1"/>
  <c r="AA214" i="1"/>
  <c r="W214" i="1" s="1"/>
  <c r="AA158" i="1"/>
  <c r="AA139" i="1"/>
  <c r="AA138" i="1"/>
  <c r="AA137" i="1"/>
  <c r="W137" i="1" s="1"/>
  <c r="AA132" i="1"/>
  <c r="AA127" i="1"/>
  <c r="AA111" i="1"/>
  <c r="AA98" i="1"/>
  <c r="W98" i="1" s="1"/>
  <c r="AA91" i="1"/>
  <c r="AA59" i="1"/>
  <c r="AA43" i="1"/>
  <c r="AI148" i="1"/>
  <c r="U148" i="1"/>
  <c r="W148" i="1"/>
  <c r="X148" i="1"/>
  <c r="AD8" i="3"/>
  <c r="AC12" i="3"/>
  <c r="AC14" i="3"/>
  <c r="AC7" i="3"/>
  <c r="X169" i="1"/>
  <c r="T142" i="1"/>
  <c r="X128" i="1"/>
  <c r="AA61" i="1"/>
  <c r="AA60" i="1"/>
  <c r="W60" i="1" s="1"/>
  <c r="AA54" i="1"/>
  <c r="AA53" i="1"/>
  <c r="AA27" i="1"/>
  <c r="AA25" i="1"/>
  <c r="W25" i="1" s="1"/>
  <c r="AA21" i="1"/>
  <c r="AA17" i="1"/>
  <c r="AA222" i="1"/>
  <c r="AA206" i="1"/>
  <c r="W206" i="1" s="1"/>
  <c r="AA198" i="1"/>
  <c r="AA196" i="1"/>
  <c r="AA190" i="1"/>
  <c r="AA188" i="1"/>
  <c r="W188" i="1" s="1"/>
  <c r="AA171" i="1"/>
  <c r="AA230" i="1"/>
  <c r="AA228" i="1"/>
  <c r="AA217" i="1"/>
  <c r="AA215" i="1"/>
  <c r="AA209" i="1"/>
  <c r="AA156" i="1"/>
  <c r="AA154" i="1"/>
  <c r="W154" i="1" s="1"/>
  <c r="X153" i="1"/>
  <c r="AA145" i="1"/>
  <c r="AA142" i="1"/>
  <c r="AA141" i="1"/>
  <c r="W141" i="1" s="1"/>
  <c r="AA140" i="1"/>
  <c r="X137" i="1"/>
  <c r="X131" i="1"/>
  <c r="AA123" i="1"/>
  <c r="W123" i="1" s="1"/>
  <c r="AA120" i="1"/>
  <c r="AA107" i="1"/>
  <c r="AA104" i="1"/>
  <c r="AA97" i="1"/>
  <c r="W97" i="1" s="1"/>
  <c r="AA90" i="1"/>
  <c r="X88" i="1"/>
  <c r="X79" i="1"/>
  <c r="X71" i="1"/>
  <c r="AA62" i="1"/>
  <c r="X58" i="1"/>
  <c r="AA45" i="1"/>
  <c r="AA44" i="1"/>
  <c r="W44" i="1" s="1"/>
  <c r="AA42" i="1"/>
  <c r="AA40" i="1"/>
  <c r="AA39" i="1"/>
  <c r="AA31" i="1"/>
  <c r="W31" i="1" s="1"/>
  <c r="AA29" i="1"/>
  <c r="AA28" i="1"/>
  <c r="AA22" i="1"/>
  <c r="AA18" i="1"/>
  <c r="W18" i="1" s="1"/>
  <c r="T51" i="1"/>
  <c r="AA47" i="1"/>
  <c r="AA35" i="1"/>
  <c r="AA33" i="1"/>
  <c r="W33" i="1" s="1"/>
  <c r="AA23" i="1"/>
  <c r="AA19" i="1"/>
  <c r="AA15" i="1"/>
  <c r="AA224" i="1"/>
  <c r="W224" i="1" s="1"/>
  <c r="AA201" i="1"/>
  <c r="AA200" i="1"/>
  <c r="AA194" i="1"/>
  <c r="AA192" i="1"/>
  <c r="W192" i="1" s="1"/>
  <c r="AA186" i="1"/>
  <c r="AA168" i="1"/>
  <c r="AA213" i="1"/>
  <c r="AA211" i="1"/>
  <c r="W211" i="1" s="1"/>
  <c r="X157" i="1"/>
  <c r="X155" i="1"/>
  <c r="AA135" i="1"/>
  <c r="X129" i="1"/>
  <c r="X81" i="1"/>
  <c r="X77" i="1"/>
  <c r="AA52" i="1"/>
  <c r="AA49" i="1"/>
  <c r="W49" i="1" s="1"/>
  <c r="AA37" i="1"/>
  <c r="AA24" i="1"/>
  <c r="AA20" i="1"/>
  <c r="AA16" i="1"/>
  <c r="W16" i="1" s="1"/>
  <c r="T169" i="1"/>
  <c r="X151" i="1"/>
  <c r="AA146" i="1"/>
  <c r="T146" i="1"/>
  <c r="U146" i="1" s="1"/>
  <c r="S146" i="1" s="1"/>
  <c r="T167" i="1"/>
  <c r="X140" i="1"/>
  <c r="X170" i="1"/>
  <c r="AA151" i="1"/>
  <c r="W151" i="1" s="1"/>
  <c r="X168" i="1"/>
  <c r="T166" i="1"/>
  <c r="U166" i="1" s="1"/>
  <c r="S166" i="1" s="1"/>
  <c r="T158" i="1"/>
  <c r="T156" i="1"/>
  <c r="U156" i="1" s="1"/>
  <c r="S156" i="1" s="1"/>
  <c r="X143" i="1"/>
  <c r="X144" i="1"/>
  <c r="AA143" i="1"/>
  <c r="X141" i="1"/>
  <c r="X139" i="1"/>
  <c r="AA133" i="1"/>
  <c r="X127" i="1"/>
  <c r="AA121" i="1"/>
  <c r="W121" i="1" s="1"/>
  <c r="AA113" i="1"/>
  <c r="AA105" i="1"/>
  <c r="AA95" i="1"/>
  <c r="AA94" i="1"/>
  <c r="W94" i="1" s="1"/>
  <c r="X80" i="1"/>
  <c r="X75" i="1"/>
  <c r="AA63" i="1"/>
  <c r="X62" i="1"/>
  <c r="X59" i="1"/>
  <c r="X57" i="1"/>
  <c r="X55" i="1"/>
  <c r="X53" i="1"/>
  <c r="T50" i="1"/>
  <c r="T48" i="1"/>
  <c r="T46" i="1"/>
  <c r="X134" i="1"/>
  <c r="T131" i="1"/>
  <c r="T71" i="1"/>
  <c r="T54" i="1"/>
  <c r="X40" i="1"/>
  <c r="X38" i="1"/>
  <c r="AA14" i="1"/>
  <c r="AA152" i="1"/>
  <c r="X150" i="1"/>
  <c r="X147" i="1"/>
  <c r="T141" i="1"/>
  <c r="T139" i="1"/>
  <c r="X136" i="1"/>
  <c r="X135" i="1"/>
  <c r="AA131" i="1"/>
  <c r="X130" i="1"/>
  <c r="T127" i="1"/>
  <c r="U127" i="1" s="1"/>
  <c r="S127" i="1" s="1"/>
  <c r="AA125" i="1"/>
  <c r="AA117" i="1"/>
  <c r="AA109" i="1"/>
  <c r="AA101" i="1"/>
  <c r="W101" i="1" s="1"/>
  <c r="X94" i="1"/>
  <c r="X90" i="1"/>
  <c r="AA87" i="1"/>
  <c r="AA86" i="1"/>
  <c r="AA85" i="1"/>
  <c r="AA84" i="1"/>
  <c r="AA83" i="1"/>
  <c r="X82" i="1"/>
  <c r="X78" i="1"/>
  <c r="T75" i="1"/>
  <c r="X67" i="1"/>
  <c r="T59" i="1"/>
  <c r="U59" i="1" s="1"/>
  <c r="S59" i="1" s="1"/>
  <c r="AA51" i="1"/>
  <c r="X43" i="1"/>
  <c r="X41" i="1"/>
  <c r="X39" i="1"/>
  <c r="X132" i="1"/>
  <c r="X126" i="1"/>
  <c r="AI233" i="1"/>
  <c r="U225" i="1"/>
  <c r="S225" i="1" s="1"/>
  <c r="AI230" i="1"/>
  <c r="U222" i="1"/>
  <c r="S222" i="1" s="1"/>
  <c r="U206" i="1"/>
  <c r="S206" i="1" s="1"/>
  <c r="AI228" i="1"/>
  <c r="AI225" i="1"/>
  <c r="AI222" i="1"/>
  <c r="U198" i="1"/>
  <c r="S198" i="1" s="1"/>
  <c r="U195" i="1"/>
  <c r="S195" i="1" s="1"/>
  <c r="AI219" i="1"/>
  <c r="U192" i="1"/>
  <c r="S192" i="1" s="1"/>
  <c r="AI216" i="1"/>
  <c r="AI213" i="1"/>
  <c r="U189" i="1"/>
  <c r="S189" i="1" s="1"/>
  <c r="AI210" i="1"/>
  <c r="U186" i="1"/>
  <c r="S186" i="1" s="1"/>
  <c r="U183" i="1"/>
  <c r="S183" i="1" s="1"/>
  <c r="AI206" i="1"/>
  <c r="AI201" i="1"/>
  <c r="U181" i="1"/>
  <c r="S181" i="1" s="1"/>
  <c r="U176" i="1"/>
  <c r="S176" i="1" s="1"/>
  <c r="AI199" i="1"/>
  <c r="AI196" i="1"/>
  <c r="U173" i="1"/>
  <c r="S173" i="1" s="1"/>
  <c r="U226" i="1"/>
  <c r="S226" i="1" s="1"/>
  <c r="AI234" i="1"/>
  <c r="U224" i="1"/>
  <c r="S224" i="1" s="1"/>
  <c r="AI232" i="1"/>
  <c r="U223" i="1"/>
  <c r="S223" i="1" s="1"/>
  <c r="AI231" i="1"/>
  <c r="U207" i="1"/>
  <c r="S207" i="1" s="1"/>
  <c r="AI229" i="1"/>
  <c r="U203" i="1"/>
  <c r="S203" i="1" s="1"/>
  <c r="AI227" i="1"/>
  <c r="U201" i="1"/>
  <c r="S201" i="1" s="1"/>
  <c r="AI226" i="1"/>
  <c r="U200" i="1"/>
  <c r="S200" i="1" s="1"/>
  <c r="AI224" i="1"/>
  <c r="U199" i="1"/>
  <c r="S199" i="1" s="1"/>
  <c r="AI223" i="1"/>
  <c r="U197" i="1"/>
  <c r="S197" i="1" s="1"/>
  <c r="AI221" i="1"/>
  <c r="U196" i="1"/>
  <c r="S196" i="1" s="1"/>
  <c r="AI220" i="1"/>
  <c r="U194" i="1"/>
  <c r="S194" i="1" s="1"/>
  <c r="AI218" i="1"/>
  <c r="U193" i="1"/>
  <c r="S193" i="1" s="1"/>
  <c r="AI217" i="1"/>
  <c r="U191" i="1"/>
  <c r="S191" i="1" s="1"/>
  <c r="AI215" i="1"/>
  <c r="U190" i="1"/>
  <c r="S190" i="1" s="1"/>
  <c r="AI214" i="1"/>
  <c r="U188" i="1"/>
  <c r="S188" i="1" s="1"/>
  <c r="AI212" i="1"/>
  <c r="U187" i="1"/>
  <c r="S187" i="1" s="1"/>
  <c r="W187" i="1"/>
  <c r="AI211" i="1"/>
  <c r="U185" i="1"/>
  <c r="S185" i="1" s="1"/>
  <c r="AI209" i="1"/>
  <c r="U184" i="1"/>
  <c r="S184" i="1" s="1"/>
  <c r="AI207" i="1"/>
  <c r="U182" i="1"/>
  <c r="S182" i="1" s="1"/>
  <c r="AI203" i="1"/>
  <c r="U180" i="1"/>
  <c r="S180" i="1" s="1"/>
  <c r="U178" i="1"/>
  <c r="S178" i="1" s="1"/>
  <c r="AI200" i="1"/>
  <c r="U175" i="1"/>
  <c r="S175" i="1" s="1"/>
  <c r="AI198" i="1"/>
  <c r="U174" i="1"/>
  <c r="S174" i="1" s="1"/>
  <c r="AI197" i="1"/>
  <c r="AI195" i="1"/>
  <c r="U171" i="1"/>
  <c r="S171" i="1" s="1"/>
  <c r="AI194" i="1"/>
  <c r="U170" i="1"/>
  <c r="S170" i="1" s="1"/>
  <c r="AI193" i="1"/>
  <c r="U169" i="1"/>
  <c r="S169" i="1" s="1"/>
  <c r="AI192" i="1"/>
  <c r="U168" i="1"/>
  <c r="S168" i="1" s="1"/>
  <c r="AI191" i="1"/>
  <c r="U167" i="1"/>
  <c r="S167" i="1" s="1"/>
  <c r="AI190" i="1"/>
  <c r="AI189" i="1"/>
  <c r="AI188" i="1"/>
  <c r="AI187" i="1"/>
  <c r="AI186" i="1"/>
  <c r="AI185" i="1"/>
  <c r="AI184" i="1"/>
  <c r="AI183" i="1"/>
  <c r="AI182" i="1"/>
  <c r="AI181" i="1"/>
  <c r="AI180" i="1"/>
  <c r="AI178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82" i="1"/>
  <c r="AI81" i="1"/>
  <c r="AI80" i="1"/>
  <c r="AI79" i="1"/>
  <c r="AI78" i="1"/>
  <c r="AI77" i="1"/>
  <c r="AI76" i="1"/>
  <c r="AI75" i="1"/>
  <c r="U75" i="1"/>
  <c r="S75" i="1" s="1"/>
  <c r="AI74" i="1"/>
  <c r="U74" i="1"/>
  <c r="S74" i="1" s="1"/>
  <c r="AI73" i="1"/>
  <c r="AI72" i="1"/>
  <c r="U72" i="1"/>
  <c r="S72" i="1" s="1"/>
  <c r="AI71" i="1"/>
  <c r="U71" i="1"/>
  <c r="S71" i="1" s="1"/>
  <c r="AI70" i="1"/>
  <c r="U70" i="1"/>
  <c r="S70" i="1" s="1"/>
  <c r="AI69" i="1"/>
  <c r="AI68" i="1"/>
  <c r="U68" i="1"/>
  <c r="S68" i="1" s="1"/>
  <c r="AI67" i="1"/>
  <c r="U67" i="1"/>
  <c r="S67" i="1" s="1"/>
  <c r="AI66" i="1"/>
  <c r="U66" i="1"/>
  <c r="S66" i="1" s="1"/>
  <c r="AI65" i="1"/>
  <c r="U158" i="1"/>
  <c r="S158" i="1" s="1"/>
  <c r="AI158" i="1"/>
  <c r="U157" i="1"/>
  <c r="S157" i="1" s="1"/>
  <c r="AI157" i="1"/>
  <c r="AI156" i="1"/>
  <c r="U155" i="1"/>
  <c r="S155" i="1" s="1"/>
  <c r="AI155" i="1"/>
  <c r="AI154" i="1"/>
  <c r="U153" i="1"/>
  <c r="S153" i="1" s="1"/>
  <c r="AI153" i="1"/>
  <c r="AI152" i="1"/>
  <c r="U151" i="1"/>
  <c r="S151" i="1" s="1"/>
  <c r="AI151" i="1"/>
  <c r="U150" i="1"/>
  <c r="S150" i="1" s="1"/>
  <c r="AI150" i="1"/>
  <c r="U149" i="1"/>
  <c r="S149" i="1" s="1"/>
  <c r="AI149" i="1"/>
  <c r="U147" i="1"/>
  <c r="S147" i="1" s="1"/>
  <c r="AI147" i="1"/>
  <c r="AI146" i="1"/>
  <c r="AI145" i="1"/>
  <c r="U144" i="1"/>
  <c r="S144" i="1" s="1"/>
  <c r="AI144" i="1"/>
  <c r="AI143" i="1"/>
  <c r="U142" i="1"/>
  <c r="S142" i="1" s="1"/>
  <c r="AI142" i="1"/>
  <c r="U141" i="1"/>
  <c r="S141" i="1" s="1"/>
  <c r="AI141" i="1"/>
  <c r="U140" i="1"/>
  <c r="S140" i="1" s="1"/>
  <c r="AI140" i="1"/>
  <c r="U139" i="1"/>
  <c r="S139" i="1" s="1"/>
  <c r="AI139" i="1"/>
  <c r="U138" i="1"/>
  <c r="S138" i="1" s="1"/>
  <c r="AI138" i="1"/>
  <c r="AI137" i="1"/>
  <c r="U136" i="1"/>
  <c r="S136" i="1" s="1"/>
  <c r="AI136" i="1"/>
  <c r="U135" i="1"/>
  <c r="S135" i="1" s="1"/>
  <c r="AI135" i="1"/>
  <c r="U134" i="1"/>
  <c r="S134" i="1" s="1"/>
  <c r="AI134" i="1"/>
  <c r="AI133" i="1"/>
  <c r="U132" i="1"/>
  <c r="S132" i="1" s="1"/>
  <c r="AI132" i="1"/>
  <c r="U131" i="1"/>
  <c r="S131" i="1" s="1"/>
  <c r="AI131" i="1"/>
  <c r="U130" i="1"/>
  <c r="S130" i="1" s="1"/>
  <c r="AI130" i="1"/>
  <c r="AI129" i="1"/>
  <c r="U128" i="1"/>
  <c r="S128" i="1" s="1"/>
  <c r="AI128" i="1"/>
  <c r="AI127" i="1"/>
  <c r="U126" i="1"/>
  <c r="S126" i="1" s="1"/>
  <c r="AI126" i="1"/>
  <c r="AI125" i="1"/>
  <c r="U124" i="1"/>
  <c r="S124" i="1" s="1"/>
  <c r="AI124" i="1"/>
  <c r="AI123" i="1"/>
  <c r="U122" i="1"/>
  <c r="S122" i="1" s="1"/>
  <c r="AI122" i="1"/>
  <c r="AI121" i="1"/>
  <c r="U120" i="1"/>
  <c r="S120" i="1" s="1"/>
  <c r="AI120" i="1"/>
  <c r="AI119" i="1"/>
  <c r="U118" i="1"/>
  <c r="S118" i="1" s="1"/>
  <c r="AI118" i="1"/>
  <c r="AI117" i="1"/>
  <c r="U116" i="1"/>
  <c r="S116" i="1" s="1"/>
  <c r="AI116" i="1"/>
  <c r="AI115" i="1"/>
  <c r="U114" i="1"/>
  <c r="S114" i="1" s="1"/>
  <c r="AI114" i="1"/>
  <c r="AI113" i="1"/>
  <c r="U112" i="1"/>
  <c r="S112" i="1" s="1"/>
  <c r="AI112" i="1"/>
  <c r="AI111" i="1"/>
  <c r="U110" i="1"/>
  <c r="S110" i="1" s="1"/>
  <c r="AI110" i="1"/>
  <c r="AI109" i="1"/>
  <c r="U108" i="1"/>
  <c r="S108" i="1" s="1"/>
  <c r="AI108" i="1"/>
  <c r="AI107" i="1"/>
  <c r="U106" i="1"/>
  <c r="S106" i="1" s="1"/>
  <c r="AI106" i="1"/>
  <c r="AI105" i="1"/>
  <c r="U104" i="1"/>
  <c r="S104" i="1" s="1"/>
  <c r="AI104" i="1"/>
  <c r="AI103" i="1"/>
  <c r="U102" i="1"/>
  <c r="S102" i="1" s="1"/>
  <c r="AI102" i="1"/>
  <c r="AI101" i="1"/>
  <c r="U100" i="1"/>
  <c r="S100" i="1" s="1"/>
  <c r="AI100" i="1"/>
  <c r="AI99" i="1"/>
  <c r="U98" i="1"/>
  <c r="S98" i="1" s="1"/>
  <c r="AI98" i="1"/>
  <c r="AI97" i="1"/>
  <c r="U96" i="1"/>
  <c r="S96" i="1" s="1"/>
  <c r="AI96" i="1"/>
  <c r="AI95" i="1"/>
  <c r="U94" i="1"/>
  <c r="S94" i="1" s="1"/>
  <c r="AI94" i="1"/>
  <c r="AI93" i="1"/>
  <c r="U92" i="1"/>
  <c r="S92" i="1" s="1"/>
  <c r="AI92" i="1"/>
  <c r="AI91" i="1"/>
  <c r="U90" i="1"/>
  <c r="S90" i="1" s="1"/>
  <c r="AI90" i="1"/>
  <c r="AI89" i="1"/>
  <c r="U88" i="1"/>
  <c r="S88" i="1" s="1"/>
  <c r="AI88" i="1"/>
  <c r="AI87" i="1"/>
  <c r="AI86" i="1"/>
  <c r="AI85" i="1"/>
  <c r="AI84" i="1"/>
  <c r="AI83" i="1"/>
  <c r="U64" i="1"/>
  <c r="S64" i="1" s="1"/>
  <c r="AI64" i="1"/>
  <c r="U63" i="1"/>
  <c r="S63" i="1" s="1"/>
  <c r="AI63" i="1"/>
  <c r="U62" i="1"/>
  <c r="S62" i="1" s="1"/>
  <c r="AI62" i="1"/>
  <c r="AI61" i="1"/>
  <c r="W61" i="1"/>
  <c r="U60" i="1"/>
  <c r="S60" i="1" s="1"/>
  <c r="AI60" i="1"/>
  <c r="AI59" i="1"/>
  <c r="U58" i="1"/>
  <c r="S58" i="1" s="1"/>
  <c r="AI58" i="1"/>
  <c r="AI57" i="1"/>
  <c r="U56" i="1"/>
  <c r="S56" i="1" s="1"/>
  <c r="AI56" i="1"/>
  <c r="AI55" i="1"/>
  <c r="W55" i="1"/>
  <c r="U54" i="1"/>
  <c r="S54" i="1" s="1"/>
  <c r="AI54" i="1"/>
  <c r="AI53" i="1"/>
  <c r="W53" i="1"/>
  <c r="U52" i="1"/>
  <c r="S52" i="1" s="1"/>
  <c r="AI52" i="1"/>
  <c r="U51" i="1"/>
  <c r="S51" i="1" s="1"/>
  <c r="AI51" i="1"/>
  <c r="U50" i="1"/>
  <c r="S50" i="1" s="1"/>
  <c r="AI50" i="1"/>
  <c r="AI49" i="1"/>
  <c r="U48" i="1"/>
  <c r="S48" i="1" s="1"/>
  <c r="AI48" i="1"/>
  <c r="AI47" i="1"/>
  <c r="W47" i="1"/>
  <c r="U46" i="1"/>
  <c r="S46" i="1" s="1"/>
  <c r="AI46" i="1"/>
  <c r="AI45" i="1"/>
  <c r="W45" i="1"/>
  <c r="U44" i="1"/>
  <c r="S44" i="1" s="1"/>
  <c r="AI44" i="1"/>
  <c r="U43" i="1"/>
  <c r="S43" i="1" s="1"/>
  <c r="AI43" i="1"/>
  <c r="U42" i="1"/>
  <c r="S42" i="1" s="1"/>
  <c r="AI42" i="1"/>
  <c r="AI41" i="1"/>
  <c r="U40" i="1"/>
  <c r="S40" i="1" s="1"/>
  <c r="AI40" i="1"/>
  <c r="AI39" i="1"/>
  <c r="W39" i="1"/>
  <c r="U38" i="1"/>
  <c r="S38" i="1" s="1"/>
  <c r="AI38" i="1"/>
  <c r="AI37" i="1"/>
  <c r="AI36" i="1"/>
  <c r="W36" i="1"/>
  <c r="AI35" i="1"/>
  <c r="AI34" i="1"/>
  <c r="W34" i="1"/>
  <c r="AI33" i="1"/>
  <c r="AI32" i="1"/>
  <c r="W32" i="1"/>
  <c r="AI31" i="1"/>
  <c r="AI30" i="1"/>
  <c r="W30" i="1"/>
  <c r="AI29" i="1"/>
  <c r="W29" i="1"/>
  <c r="AI28" i="1"/>
  <c r="W28" i="1"/>
  <c r="AI27" i="1"/>
  <c r="W27" i="1"/>
  <c r="AI26" i="1"/>
  <c r="W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161" i="1"/>
  <c r="W219" i="1"/>
  <c r="W155" i="1"/>
  <c r="W142" i="1"/>
  <c r="W138" i="1"/>
  <c r="W132" i="1"/>
  <c r="W223" i="1"/>
  <c r="W203" i="1"/>
  <c r="W199" i="1"/>
  <c r="W171" i="1"/>
  <c r="W168" i="1"/>
  <c r="W164" i="1"/>
  <c r="W160" i="1"/>
  <c r="W231" i="1"/>
  <c r="W227" i="1"/>
  <c r="W218" i="1"/>
  <c r="W210" i="1"/>
  <c r="W144" i="1"/>
  <c r="W128" i="1"/>
  <c r="W200" i="1"/>
  <c r="W196" i="1"/>
  <c r="W232" i="1"/>
  <c r="W215" i="1"/>
  <c r="W140" i="1"/>
  <c r="W226" i="1"/>
  <c r="W222" i="1"/>
  <c r="W201" i="1"/>
  <c r="W198" i="1"/>
  <c r="W194" i="1"/>
  <c r="W190" i="1"/>
  <c r="W186" i="1"/>
  <c r="W169" i="1"/>
  <c r="W166" i="1"/>
  <c r="W163" i="1"/>
  <c r="W234" i="1"/>
  <c r="W230" i="1"/>
  <c r="W221" i="1"/>
  <c r="W217" i="1"/>
  <c r="W213" i="1"/>
  <c r="W209" i="1"/>
  <c r="W149" i="1"/>
  <c r="W146" i="1"/>
  <c r="W134" i="1"/>
  <c r="W170" i="1"/>
  <c r="W165" i="1"/>
  <c r="W228" i="1"/>
  <c r="W225" i="1"/>
  <c r="W207" i="1"/>
  <c r="W197" i="1"/>
  <c r="W193" i="1"/>
  <c r="W189" i="1"/>
  <c r="W185" i="1"/>
  <c r="W184" i="1"/>
  <c r="W183" i="1"/>
  <c r="W182" i="1"/>
  <c r="W181" i="1"/>
  <c r="W180" i="1"/>
  <c r="W178" i="1"/>
  <c r="W176" i="1"/>
  <c r="W175" i="1"/>
  <c r="W174" i="1"/>
  <c r="W173" i="1"/>
  <c r="W172" i="1"/>
  <c r="W167" i="1"/>
  <c r="W162" i="1"/>
  <c r="W233" i="1"/>
  <c r="W229" i="1"/>
  <c r="W220" i="1"/>
  <c r="W216" i="1"/>
  <c r="W212" i="1"/>
  <c r="W153" i="1"/>
  <c r="W136" i="1"/>
  <c r="W130" i="1"/>
  <c r="W122" i="1"/>
  <c r="W119" i="1"/>
  <c r="W117" i="1"/>
  <c r="W116" i="1"/>
  <c r="W113" i="1"/>
  <c r="W112" i="1"/>
  <c r="W109" i="1"/>
  <c r="W108" i="1"/>
  <c r="W105" i="1"/>
  <c r="W104" i="1"/>
  <c r="X97" i="1"/>
  <c r="T97" i="1"/>
  <c r="U97" i="1" s="1"/>
  <c r="S97" i="1" s="1"/>
  <c r="W156" i="1"/>
  <c r="W147" i="1"/>
  <c r="W139" i="1"/>
  <c r="X125" i="1"/>
  <c r="T125" i="1"/>
  <c r="U125" i="1" s="1"/>
  <c r="S125" i="1" s="1"/>
  <c r="X123" i="1"/>
  <c r="T123" i="1"/>
  <c r="U123" i="1" s="1"/>
  <c r="S123" i="1" s="1"/>
  <c r="X121" i="1"/>
  <c r="T121" i="1"/>
  <c r="U121" i="1" s="1"/>
  <c r="S121" i="1" s="1"/>
  <c r="X119" i="1"/>
  <c r="T119" i="1"/>
  <c r="U119" i="1" s="1"/>
  <c r="S119" i="1" s="1"/>
  <c r="X117" i="1"/>
  <c r="T117" i="1"/>
  <c r="U117" i="1" s="1"/>
  <c r="S117" i="1" s="1"/>
  <c r="X115" i="1"/>
  <c r="T115" i="1"/>
  <c r="U115" i="1" s="1"/>
  <c r="S115" i="1" s="1"/>
  <c r="X113" i="1"/>
  <c r="T113" i="1"/>
  <c r="U113" i="1" s="1"/>
  <c r="S113" i="1" s="1"/>
  <c r="X111" i="1"/>
  <c r="T111" i="1"/>
  <c r="U111" i="1" s="1"/>
  <c r="S111" i="1" s="1"/>
  <c r="X109" i="1"/>
  <c r="T109" i="1"/>
  <c r="U109" i="1" s="1"/>
  <c r="S109" i="1" s="1"/>
  <c r="X107" i="1"/>
  <c r="T107" i="1"/>
  <c r="U107" i="1" s="1"/>
  <c r="S107" i="1" s="1"/>
  <c r="X105" i="1"/>
  <c r="T105" i="1"/>
  <c r="U105" i="1" s="1"/>
  <c r="S105" i="1" s="1"/>
  <c r="X103" i="1"/>
  <c r="T103" i="1"/>
  <c r="U103" i="1" s="1"/>
  <c r="S103" i="1" s="1"/>
  <c r="X101" i="1"/>
  <c r="T101" i="1"/>
  <c r="U101" i="1" s="1"/>
  <c r="S101" i="1" s="1"/>
  <c r="X99" i="1"/>
  <c r="T99" i="1"/>
  <c r="U99" i="1" s="1"/>
  <c r="S99" i="1" s="1"/>
  <c r="W93" i="1"/>
  <c r="W92" i="1"/>
  <c r="X91" i="1"/>
  <c r="T91" i="1"/>
  <c r="U91" i="1" s="1"/>
  <c r="S91" i="1" s="1"/>
  <c r="X69" i="1"/>
  <c r="T69" i="1"/>
  <c r="U69" i="1" s="1"/>
  <c r="S69" i="1" s="1"/>
  <c r="W125" i="1"/>
  <c r="W124" i="1"/>
  <c r="W120" i="1"/>
  <c r="W118" i="1"/>
  <c r="W115" i="1"/>
  <c r="W114" i="1"/>
  <c r="W111" i="1"/>
  <c r="W110" i="1"/>
  <c r="W107" i="1"/>
  <c r="W106" i="1"/>
  <c r="W103" i="1"/>
  <c r="W102" i="1"/>
  <c r="W99" i="1"/>
  <c r="W63" i="1"/>
  <c r="R19" i="3"/>
  <c r="T143" i="1"/>
  <c r="U143" i="1" s="1"/>
  <c r="S143" i="1" s="1"/>
  <c r="W135" i="1"/>
  <c r="W131" i="1"/>
  <c r="W127" i="1"/>
  <c r="X98" i="1"/>
  <c r="W95" i="1"/>
  <c r="X93" i="1"/>
  <c r="T93" i="1"/>
  <c r="U93" i="1" s="1"/>
  <c r="S93" i="1" s="1"/>
  <c r="W87" i="1"/>
  <c r="X73" i="1"/>
  <c r="T73" i="1"/>
  <c r="U73" i="1" s="1"/>
  <c r="S73" i="1" s="1"/>
  <c r="W145" i="1"/>
  <c r="W133" i="1"/>
  <c r="W129" i="1"/>
  <c r="W91" i="1"/>
  <c r="W90" i="1"/>
  <c r="X89" i="1"/>
  <c r="T89" i="1"/>
  <c r="U89" i="1" s="1"/>
  <c r="S89" i="1" s="1"/>
  <c r="W158" i="1"/>
  <c r="T152" i="1"/>
  <c r="U152" i="1" s="1"/>
  <c r="S152" i="1" s="1"/>
  <c r="W150" i="1"/>
  <c r="X226" i="1"/>
  <c r="X225" i="1"/>
  <c r="X224" i="1"/>
  <c r="X223" i="1"/>
  <c r="X222" i="1"/>
  <c r="X207" i="1"/>
  <c r="X200" i="1"/>
  <c r="X199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76" i="1"/>
  <c r="X175" i="1"/>
  <c r="X174" i="1"/>
  <c r="X173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X162" i="1"/>
  <c r="T161" i="1"/>
  <c r="U161" i="1" s="1"/>
  <c r="S161" i="1" s="1"/>
  <c r="X161" i="1"/>
  <c r="T160" i="1"/>
  <c r="U160" i="1" s="1"/>
  <c r="S160" i="1" s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T231" i="1"/>
  <c r="U231" i="1" s="1"/>
  <c r="S231" i="1" s="1"/>
  <c r="X231" i="1"/>
  <c r="T230" i="1"/>
  <c r="U230" i="1" s="1"/>
  <c r="S230" i="1" s="1"/>
  <c r="X230" i="1"/>
  <c r="T229" i="1"/>
  <c r="U229" i="1" s="1"/>
  <c r="S229" i="1" s="1"/>
  <c r="X229" i="1"/>
  <c r="T228" i="1"/>
  <c r="U228" i="1" s="1"/>
  <c r="S228" i="1" s="1"/>
  <c r="X228" i="1"/>
  <c r="T227" i="1"/>
  <c r="U227" i="1" s="1"/>
  <c r="S227" i="1" s="1"/>
  <c r="X227" i="1"/>
  <c r="T221" i="1"/>
  <c r="U221" i="1" s="1"/>
  <c r="S221" i="1" s="1"/>
  <c r="X221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T154" i="1"/>
  <c r="U154" i="1" s="1"/>
  <c r="S154" i="1" s="1"/>
  <c r="W152" i="1"/>
  <c r="T145" i="1"/>
  <c r="U145" i="1" s="1"/>
  <c r="S145" i="1" s="1"/>
  <c r="W143" i="1"/>
  <c r="T137" i="1"/>
  <c r="U137" i="1" s="1"/>
  <c r="S137" i="1" s="1"/>
  <c r="T133" i="1"/>
  <c r="U133" i="1" s="1"/>
  <c r="S133" i="1" s="1"/>
  <c r="T129" i="1"/>
  <c r="U129" i="1" s="1"/>
  <c r="S129" i="1" s="1"/>
  <c r="X124" i="1"/>
  <c r="X122" i="1"/>
  <c r="X120" i="1"/>
  <c r="X118" i="1"/>
  <c r="X116" i="1"/>
  <c r="X114" i="1"/>
  <c r="X112" i="1"/>
  <c r="X110" i="1"/>
  <c r="X108" i="1"/>
  <c r="X106" i="1"/>
  <c r="X104" i="1"/>
  <c r="X102" i="1"/>
  <c r="X100" i="1"/>
  <c r="W96" i="1"/>
  <c r="X95" i="1"/>
  <c r="T95" i="1"/>
  <c r="U95" i="1" s="1"/>
  <c r="S95" i="1" s="1"/>
  <c r="X92" i="1"/>
  <c r="W89" i="1"/>
  <c r="W88" i="1"/>
  <c r="X87" i="1"/>
  <c r="T87" i="1"/>
  <c r="U87" i="1" s="1"/>
  <c r="S87" i="1" s="1"/>
  <c r="T85" i="1"/>
  <c r="U85" i="1" s="1"/>
  <c r="S85" i="1" s="1"/>
  <c r="X85" i="1"/>
  <c r="T83" i="1"/>
  <c r="U83" i="1" s="1"/>
  <c r="S83" i="1" s="1"/>
  <c r="X83" i="1"/>
  <c r="X65" i="1"/>
  <c r="T65" i="1"/>
  <c r="U65" i="1" s="1"/>
  <c r="S65" i="1" s="1"/>
  <c r="W86" i="1"/>
  <c r="T86" i="1"/>
  <c r="U86" i="1" s="1"/>
  <c r="S86" i="1" s="1"/>
  <c r="W84" i="1"/>
  <c r="T84" i="1"/>
  <c r="U84" i="1" s="1"/>
  <c r="S84" i="1" s="1"/>
  <c r="X76" i="1"/>
  <c r="X72" i="1"/>
  <c r="X68" i="1"/>
  <c r="X63" i="1"/>
  <c r="X64" i="1"/>
  <c r="W62" i="1"/>
  <c r="W54" i="1"/>
  <c r="W52" i="1"/>
  <c r="W46" i="1"/>
  <c r="W38" i="1"/>
  <c r="W85" i="1"/>
  <c r="W83" i="1"/>
  <c r="T82" i="1"/>
  <c r="U82" i="1" s="1"/>
  <c r="S82" i="1" s="1"/>
  <c r="T81" i="1"/>
  <c r="U81" i="1" s="1"/>
  <c r="S81" i="1" s="1"/>
  <c r="T80" i="1"/>
  <c r="U80" i="1" s="1"/>
  <c r="S80" i="1" s="1"/>
  <c r="T79" i="1"/>
  <c r="U79" i="1" s="1"/>
  <c r="S79" i="1" s="1"/>
  <c r="T78" i="1"/>
  <c r="U78" i="1" s="1"/>
  <c r="S78" i="1" s="1"/>
  <c r="T77" i="1"/>
  <c r="U77" i="1" s="1"/>
  <c r="S77" i="1" s="1"/>
  <c r="T76" i="1"/>
  <c r="U76" i="1" s="1"/>
  <c r="S76" i="1" s="1"/>
  <c r="X74" i="1"/>
  <c r="X70" i="1"/>
  <c r="X66" i="1"/>
  <c r="W59" i="1"/>
  <c r="W57" i="1"/>
  <c r="W51" i="1"/>
  <c r="W43" i="1"/>
  <c r="W41" i="1"/>
  <c r="W35" i="1"/>
  <c r="W64" i="1"/>
  <c r="W58" i="1"/>
  <c r="W56" i="1"/>
  <c r="W50" i="1"/>
  <c r="W48" i="1"/>
  <c r="W42" i="1"/>
  <c r="W40" i="1"/>
  <c r="AA82" i="1"/>
  <c r="W82" i="1" s="1"/>
  <c r="AA81" i="1"/>
  <c r="W81" i="1" s="1"/>
  <c r="AA80" i="1"/>
  <c r="W80" i="1" s="1"/>
  <c r="AA79" i="1"/>
  <c r="W79" i="1" s="1"/>
  <c r="AA78" i="1"/>
  <c r="W78" i="1" s="1"/>
  <c r="AA77" i="1"/>
  <c r="W77" i="1" s="1"/>
  <c r="AA76" i="1"/>
  <c r="W76" i="1" s="1"/>
  <c r="AA75" i="1"/>
  <c r="W75" i="1" s="1"/>
  <c r="AA74" i="1"/>
  <c r="W74" i="1" s="1"/>
  <c r="AA73" i="1"/>
  <c r="W73" i="1" s="1"/>
  <c r="AA72" i="1"/>
  <c r="W72" i="1" s="1"/>
  <c r="AA71" i="1"/>
  <c r="W71" i="1" s="1"/>
  <c r="AA70" i="1"/>
  <c r="W70" i="1" s="1"/>
  <c r="AA69" i="1"/>
  <c r="W69" i="1" s="1"/>
  <c r="AA68" i="1"/>
  <c r="W68" i="1" s="1"/>
  <c r="AA67" i="1"/>
  <c r="W67" i="1" s="1"/>
  <c r="AA66" i="1"/>
  <c r="W66" i="1" s="1"/>
  <c r="AA65" i="1"/>
  <c r="W65" i="1" s="1"/>
  <c r="X60" i="1"/>
  <c r="X52" i="1"/>
  <c r="X44" i="1"/>
  <c r="W37" i="1"/>
  <c r="T57" i="1"/>
  <c r="U57" i="1" s="1"/>
  <c r="S57" i="1" s="1"/>
  <c r="T49" i="1"/>
  <c r="U49" i="1" s="1"/>
  <c r="S49" i="1" s="1"/>
  <c r="T41" i="1"/>
  <c r="U41" i="1" s="1"/>
  <c r="S41" i="1" s="1"/>
  <c r="T55" i="1"/>
  <c r="U55" i="1" s="1"/>
  <c r="S55" i="1" s="1"/>
  <c r="T47" i="1"/>
  <c r="U47" i="1" s="1"/>
  <c r="S47" i="1" s="1"/>
  <c r="T39" i="1"/>
  <c r="U39" i="1" s="1"/>
  <c r="S39" i="1" s="1"/>
  <c r="T61" i="1"/>
  <c r="U61" i="1" s="1"/>
  <c r="S61" i="1" s="1"/>
  <c r="T53" i="1"/>
  <c r="U53" i="1" s="1"/>
  <c r="S53" i="1" s="1"/>
  <c r="T45" i="1"/>
  <c r="U45" i="1" s="1"/>
  <c r="S45" i="1" s="1"/>
  <c r="T37" i="1"/>
  <c r="U37" i="1" s="1"/>
  <c r="S37" i="1" s="1"/>
  <c r="W24" i="1"/>
  <c r="W23" i="1"/>
  <c r="W22" i="1"/>
  <c r="W21" i="1"/>
  <c r="W20" i="1"/>
  <c r="W19" i="1"/>
  <c r="W17" i="1"/>
  <c r="W15" i="1"/>
  <c r="W14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E20" i="3"/>
  <c r="AD13" i="3"/>
  <c r="AD17" i="3"/>
  <c r="AD12" i="3"/>
  <c r="AE11" i="3"/>
  <c r="AD9" i="3"/>
  <c r="AC10" i="3"/>
  <c r="AD20" i="3"/>
  <c r="T20" i="3"/>
  <c r="T11" i="3"/>
  <c r="AC18" i="3"/>
  <c r="Y12" i="3"/>
  <c r="Y7" i="3"/>
  <c r="Y14" i="3"/>
  <c r="Y10" i="3"/>
  <c r="Y20" i="3"/>
  <c r="Y21" i="3"/>
  <c r="Y19" i="3"/>
  <c r="Y17" i="3"/>
  <c r="Y9" i="3"/>
  <c r="Y13" i="3"/>
  <c r="Y16" i="3"/>
  <c r="Y11" i="3"/>
  <c r="Y18" i="3"/>
  <c r="Y8" i="3"/>
  <c r="T9" i="3"/>
  <c r="AE14" i="3"/>
  <c r="T13" i="3"/>
  <c r="AE10" i="3"/>
  <c r="T16" i="3"/>
  <c r="AE17" i="3"/>
  <c r="AD14" i="3"/>
  <c r="AE13" i="3"/>
  <c r="T18" i="3"/>
  <c r="AD10" i="3"/>
  <c r="AE9" i="3"/>
  <c r="T8" i="3"/>
  <c r="T17" i="3"/>
  <c r="AE21" i="3"/>
  <c r="AE19" i="3"/>
  <c r="AE16" i="3"/>
  <c r="AE12" i="3"/>
  <c r="AE8" i="3"/>
  <c r="S15" i="3"/>
  <c r="R15" i="3"/>
  <c r="M15" i="3"/>
  <c r="U15" i="3"/>
  <c r="AD15" i="3" s="1"/>
  <c r="V15" i="3"/>
  <c r="X15" i="3"/>
  <c r="W15" i="3"/>
  <c r="AC15" i="3" l="1"/>
  <c r="AE15" i="3"/>
  <c r="Y15" i="3"/>
  <c r="T15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N10" i="3" s="1"/>
  <c r="G231" i="4"/>
  <c r="N20" i="3" s="1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N15" i="3" s="1"/>
  <c r="G55" i="4"/>
  <c r="N14" i="3" s="1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N21" i="3" s="1"/>
  <c r="G75" i="4"/>
  <c r="G76" i="4"/>
  <c r="G77" i="4"/>
  <c r="N8" i="3" s="1"/>
  <c r="G78" i="4"/>
  <c r="G79" i="4"/>
  <c r="G80" i="4"/>
  <c r="G81" i="4"/>
  <c r="N16" i="3" s="1"/>
  <c r="G82" i="4"/>
  <c r="G83" i="4"/>
  <c r="G84" i="4"/>
  <c r="G85" i="4"/>
  <c r="G86" i="4"/>
  <c r="G87" i="4"/>
  <c r="G88" i="4"/>
  <c r="G89" i="4"/>
  <c r="G90" i="4"/>
  <c r="N7" i="3" s="1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N18" i="3" s="1"/>
  <c r="G108" i="4"/>
  <c r="N13" i="3" s="1"/>
  <c r="G109" i="4"/>
  <c r="N11" i="3" s="1"/>
  <c r="G110" i="4"/>
  <c r="G111" i="4"/>
  <c r="G112" i="4"/>
  <c r="G113" i="4"/>
  <c r="G114" i="4"/>
  <c r="G115" i="4"/>
  <c r="G116" i="4"/>
  <c r="N12" i="3" s="1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N9" i="3" s="1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N17" i="3" s="1"/>
  <c r="G216" i="4"/>
  <c r="G217" i="4"/>
  <c r="G218" i="4"/>
  <c r="G219" i="4"/>
  <c r="G220" i="4"/>
  <c r="G221" i="4"/>
  <c r="G222" i="4"/>
  <c r="G223" i="4"/>
  <c r="G2" i="4"/>
  <c r="N19" i="3" l="1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<sst xmlns="http://schemas.openxmlformats.org/spreadsheetml/2006/main" count="2708" uniqueCount="1131">
  <si>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</si>
  <si>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</si>
  <si>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</si>
  <si>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</si>
  <si>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</si>
  <si>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</si>
  <si>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</si>
  <si>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</si>
  <si>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</si>
  <si>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</si>
  <si>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</si>
  <si>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</si>
  <si>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</si>
  <si>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</si>
  <si>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</si>
  <si>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</si>
  <si>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</si>
  <si>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</si>
  <si>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</si>
  <si>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</si>
  <si>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</si>
  <si>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</si>
  <si>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</si>
  <si>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</si>
  <si>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</si>
  <si>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</si>
  <si>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</si>
  <si>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</si>
  <si>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</si>
  <si>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</si>
  <si>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</si>
  <si>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</si>
  <si>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</si>
  <si>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</si>
  <si>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</si>
  <si>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</si>
  <si>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</si>
  <si>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</si>
  <si>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</si>
  <si>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</si>
  <si>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</si>
  <si>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</si>
  <si>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</si>
  <si>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</si>
  <si>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</si>
  <si>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</si>
  <si>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</si>
  <si>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</si>
  <si>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</si>
  <si>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</si>
  <si>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</si>
  <si>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</si>
  <si>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</si>
  <si>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</si>
  <si>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</si>
  <si>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</si>
  <si>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</si>
  <si>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</si>
  <si>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</si>
  <si>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</si>
  <si>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</si>
  <si>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</si>
  <si>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</si>
  <si>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</si>
  <si>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</si>
  <si>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</si>
  <si>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</si>
  <si>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</si>
  <si>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</si>
  <si>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</si>
  <si>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</si>
  <si>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</si>
  <si>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</si>
  <si>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</si>
  <si>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</si>
  <si>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</si>
  <si>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</si>
  <si>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</si>
  <si>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</si>
  <si>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</si>
  <si>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</si>
  <si>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</si>
  <si>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</si>
  <si>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</si>
  <si>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</si>
  <si>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</si>
  <si>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</si>
  <si>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</si>
  <si>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</si>
  <si>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</si>
  <si>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</si>
  <si>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</si>
  <si>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</si>
  <si>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</si>
  <si>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</si>
  <si>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</si>
  <si>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</si>
  <si>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</si>
  <si>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</si>
  <si>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</si>
  <si>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</si>
  <si>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</si>
  <si>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</si>
  <si>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</si>
  <si>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</si>
  <si>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</si>
  <si>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</si>
  <si>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</si>
  <si>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</si>
  <si>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</si>
  <si>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</si>
  <si>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</si>
  <si>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</si>
  <si>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</si>
  <si>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</si>
  <si>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</si>
  <si>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</si>
  <si>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</si>
  <si>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</si>
  <si>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</si>
  <si>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</si>
  <si>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</si>
  <si>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</si>
  <si>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</si>
  <si>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</si>
  <si>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</si>
  <si>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</si>
  <si>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</si>
  <si>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</si>
  <si>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</si>
  <si>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</si>
  <si>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</si>
  <si>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</si>
  <si>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</si>
  <si>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</si>
  <si>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</si>
  <si>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</si>
  <si>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</si>
  <si>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</si>
  <si>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</si>
  <si>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</si>
  <si>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</si>
  <si>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</si>
  <si>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</si>
  <si>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</si>
  <si>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</si>
  <si>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</si>
  <si>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</si>
  <si>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</si>
  <si>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</si>
  <si>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</si>
  <si>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</si>
  <si>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</si>
  <si>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</si>
  <si>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</si>
  <si>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</si>
  <si>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</si>
  <si>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</si>
  <si>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</si>
  <si>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</si>
  <si>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</si>
  <si>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</si>
  <si>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</si>
  <si>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</si>
  <si>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</si>
  <si>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</si>
  <si>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</si>
  <si>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</si>
  <si>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</si>
  <si>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</si>
  <si>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</si>
  <si>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</si>
  <si>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</si>
  <si>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</si>
  <si>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</si>
  <si>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</si>
  <si>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</si>
  <si>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</si>
  <si>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</si>
  <si>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</si>
  <si>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</si>
  <si>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</si>
  <si>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</si>
  <si>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</si>
  <si>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</si>
  <si>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</si>
  <si>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</si>
  <si>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</si>
  <si>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</si>
  <si>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</si>
  <si>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</si>
  <si>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</si>
  <si>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</si>
  <si>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</si>
  <si>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</si>
  <si>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</si>
  <si>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</si>
  <si>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</si>
  <si>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</si>
  <si>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</si>
  <si>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</si>
  <si>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</si>
  <si>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</si>
  <si>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</si>
  <si>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</si>
  <si>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</si>
  <si>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</si>
  <si>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</si>
  <si>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</si>
  <si>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</si>
  <si>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</si>
  <si>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</si>
  <si>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</si>
  <si>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</si>
  <si>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</si>
  <si>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</si>
  <si>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</si>
  <si>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</si>
  <si>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</si>
  <si>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</si>
  <si>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</si>
  <si>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</si>
  <si>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</si>
  <si>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</si>
  <si>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</si>
  <si>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</si>
  <si>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</si>
  <si>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</si>
  <si>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</si>
  <si>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</si>
  <si>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</si>
  <si>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</si>
  <si>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</si>
  <si>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</si>
  <si>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</si>
  <si>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</si>
  <si>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</si>
  <si>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</si>
  <si>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</si>
  <si>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</si>
  <si>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</si>
  <si>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</si>
  <si>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</si>
  <si>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</si>
  <si>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</si>
  <si>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</si>
  <si>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</si>
  <si>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</si>
  <si>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</si>
  <si>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</si>
  <si>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</si>
  <si>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</si>
  <si>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</si>
  <si>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</si>
  <si>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</si>
  <si>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</si>
  <si>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</si>
  <si>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</si>
  <si>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</si>
  <si>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</si>
  <si>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</si>
  <si>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</si>
  <si>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</si>
  <si>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</si>
  <si>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</si>
  <si>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</si>
  <si>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</si>
  <si>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</si>
  <si>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</si>
  <si>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</si>
  <si>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</si>
  <si>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</si>
  <si>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</si>
  <si>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</si>
  <si>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</si>
  <si>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</si>
  <si>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</si>
  <si>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</si>
  <si>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</si>
  <si>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</si>
  <si>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</si>
  <si>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</si>
  <si>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</si>
  <si>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</si>
  <si>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</si>
  <si>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</si>
  <si>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</si>
  <si>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</si>
  <si>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</si>
  <si>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</si>
  <si>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</si>
  <si>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</si>
  <si>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</si>
  <si>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</si>
  <si>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</si>
  <si>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</si>
  <si>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</si>
  <si>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</si>
  <si>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</si>
  <si>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</si>
  <si>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</si>
  <si>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</si>
  <si>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</si>
  <si>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</si>
  <si>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</si>
  <si>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</si>
  <si>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</si>
  <si>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</si>
  <si>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</si>
  <si>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</si>
  <si>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</si>
  <si>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</si>
  <si>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</si>
  <si>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</si>
  <si>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</si>
  <si>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</si>
  <si>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</si>
  <si>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</si>
  <si>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</si>
  <si>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</si>
  <si>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</si>
  <si>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</si>
  <si>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</si>
  <si>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</si>
  <si>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</si>
  <si>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</si>
  <si>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</si>
  <si>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</si>
  <si>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</si>
  <si>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</si>
  <si>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</si>
  <si>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</si>
  <si>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</si>
  <si>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</si>
  <si>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</si>
  <si>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</si>
  <si>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</si>
  <si>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</si>
  <si>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</si>
  <si>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</si>
  <si>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</si>
  <si>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</si>
  <si>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</si>
  <si>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</si>
  <si>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</si>
  <si>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</si>
  <si>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</si>
  <si>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</si>
  <si>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</si>
  <si>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</si>
  <si>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</si>
  <si>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</si>
  <si>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</si>
  <si>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</si>
  <si>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</si>
  <si>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</si>
  <si>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</si>
  <si>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</si>
  <si>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</si>
  <si>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</si>
  <si>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</si>
  <si>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</si>
  <si>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</si>
  <si>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</si>
  <si>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</si>
  <si>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</si>
  <si>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</si>
  <si>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</si>
  <si>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</si>
  <si>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</si>
  <si>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</si>
  <si>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</si>
  <si>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</si>
  <si>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</si>
  <si>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</si>
  <si>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</si>
  <si>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</si>
  <si>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</si>
  <si>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</si>
  <si>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</si>
  <si>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</si>
  <si>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</si>
  <si>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</si>
  <si>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</si>
  <si>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</si>
  <si>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</si>
  <si>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</si>
  <si>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</si>
  <si>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</si>
  <si>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</si>
  <si>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</si>
  <si>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</si>
  <si>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</si>
  <si>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</si>
  <si>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</si>
  <si>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</si>
  <si>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</si>
  <si>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</si>
  <si>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</si>
  <si>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</si>
  <si>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</si>
  <si>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</si>
  <si>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</si>
  <si>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</si>
  <si>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</si>
  <si>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</si>
  <si>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</si>
  <si>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</si>
  <si>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</si>
  <si>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</si>
  <si>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</si>
  <si>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</si>
  <si>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</si>
  <si>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</si>
  <si>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</si>
  <si>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</si>
  <si>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</si>
  <si>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</si>
  <si>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</si>
  <si>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</si>
  <si>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</si>
  <si>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</si>
  <si>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</si>
  <si>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</si>
  <si>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</si>
  <si>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</si>
  <si>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</si>
  <si>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</si>
  <si>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</si>
  <si>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</si>
  <si>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</si>
  <si>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</si>
  <si>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</si>
  <si>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</si>
  <si>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</si>
  <si>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</si>
  <si>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</si>
  <si>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</si>
  <si>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</si>
  <si>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</si>
  <si>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</si>
  <si>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</si>
  <si>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</si>
  <si>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204:214</t>
  </si>
  <si>
    <t>rtdc.l.rtdc.4009:itc</t>
  </si>
  <si>
    <t>rtdc.l.rtdc.4010:itc</t>
  </si>
  <si>
    <t>204:519</t>
  </si>
  <si>
    <t>rtdc.l.rtdc.4049:itc</t>
  </si>
  <si>
    <t>rtdc.l.rtdc.4050:itc</t>
  </si>
  <si>
    <t>AUSTIN</t>
  </si>
  <si>
    <t>204:528</t>
  </si>
  <si>
    <t>rtdc.l.rtdc.4042:itc</t>
  </si>
  <si>
    <t>204:227</t>
  </si>
  <si>
    <t>204:533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</si>
  <si>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</si>
  <si>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</si>
  <si>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</si>
  <si>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</si>
  <si>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</si>
  <si>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</si>
  <si>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</si>
  <si>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</si>
  <si>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</si>
  <si>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</si>
  <si>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</si>
  <si>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</si>
  <si>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</si>
  <si>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</si>
  <si>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</si>
  <si>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</si>
  <si>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</si>
  <si>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</si>
  <si>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204:198</t>
  </si>
  <si>
    <t>204:233270</t>
  </si>
  <si>
    <t>204:232981</t>
  </si>
  <si>
    <t>204:524</t>
  </si>
  <si>
    <t>204:233266</t>
  </si>
  <si>
    <t>ELBAUM</t>
  </si>
  <si>
    <t>MIKE</t>
  </si>
  <si>
    <t>MACDONALD</t>
  </si>
  <si>
    <t>THOMAS</t>
  </si>
  <si>
    <t>DAVID</t>
  </si>
  <si>
    <t>204:233249</t>
  </si>
  <si>
    <t>204:502</t>
  </si>
  <si>
    <t>204:522</t>
  </si>
  <si>
    <t>204:232959</t>
  </si>
  <si>
    <t>204:497</t>
  </si>
  <si>
    <t>204:553</t>
  </si>
  <si>
    <t>DAVIDSON</t>
  </si>
  <si>
    <t>STRICKLAND</t>
  </si>
  <si>
    <t>EVAN</t>
  </si>
  <si>
    <t>204:158</t>
  </si>
  <si>
    <t>204:233291</t>
  </si>
  <si>
    <t>204:220</t>
  </si>
  <si>
    <t>204:232979</t>
  </si>
  <si>
    <t>204:520</t>
  </si>
  <si>
    <t>204:233295</t>
  </si>
  <si>
    <t>204:544</t>
  </si>
  <si>
    <t>204:269</t>
  </si>
  <si>
    <t>204:256</t>
  </si>
  <si>
    <t>300:58632</t>
  </si>
  <si>
    <t>300:58623</t>
  </si>
  <si>
    <t>300:58604</t>
  </si>
  <si>
    <t>300:58624</t>
  </si>
  <si>
    <t>Wi-MAX data drop</t>
  </si>
  <si>
    <t>FORTUNATO</t>
  </si>
  <si>
    <t>FRANK</t>
  </si>
  <si>
    <t>HAMMOND</t>
  </si>
  <si>
    <t>JUSTYNN</t>
  </si>
  <si>
    <t>309-17</t>
  </si>
  <si>
    <t>311-17</t>
  </si>
  <si>
    <t>313-17</t>
  </si>
  <si>
    <t>204:232974</t>
  </si>
  <si>
    <t>204:557</t>
  </si>
  <si>
    <t>204:471</t>
  </si>
  <si>
    <t>204:233219</t>
  </si>
  <si>
    <t>204:233000</t>
  </si>
  <si>
    <t>204:535</t>
  </si>
  <si>
    <t>204:566</t>
  </si>
  <si>
    <t>204:449</t>
  </si>
  <si>
    <t>300:23302</t>
  </si>
  <si>
    <t>300:58950</t>
  </si>
  <si>
    <t>300:58924</t>
  </si>
  <si>
    <t>rtdc.l.rtdc.4056:itc</t>
  </si>
  <si>
    <t>rtdc.l.rtdc.4054:itc</t>
  </si>
  <si>
    <t>rtdc.l.rtdc.4053:itc</t>
  </si>
  <si>
    <t>204:161</t>
  </si>
  <si>
    <t>204:233317</t>
  </si>
  <si>
    <t>204:233324</t>
  </si>
  <si>
    <t>204:209</t>
  </si>
  <si>
    <t>204:508</t>
  </si>
  <si>
    <t>204:233297</t>
  </si>
  <si>
    <t>204:232993</t>
  </si>
  <si>
    <t>204:486</t>
  </si>
  <si>
    <t>204:233176</t>
  </si>
  <si>
    <t>204:493</t>
  </si>
  <si>
    <t>204:834</t>
  </si>
  <si>
    <t>204:832</t>
  </si>
  <si>
    <t>204:1156</t>
  </si>
  <si>
    <t>204:232942</t>
  </si>
  <si>
    <t>204:232890</t>
  </si>
  <si>
    <t>204:233306</t>
  </si>
  <si>
    <t>204:252</t>
  </si>
  <si>
    <t>204:233222</t>
  </si>
  <si>
    <t>204:511</t>
  </si>
  <si>
    <t>204:183</t>
  </si>
  <si>
    <t>300:23304</t>
  </si>
  <si>
    <t>rtdc.l.rtdc.4040:itc</t>
  </si>
  <si>
    <t>rtdc.l.rtdc.4039:itc</t>
  </si>
  <si>
    <t>rtdc.l.rtdc.4014:itc</t>
  </si>
  <si>
    <t>237-21</t>
  </si>
  <si>
    <t>rtdc.l.rtdc.4013:itc</t>
  </si>
  <si>
    <t>236-21</t>
  </si>
  <si>
    <t>311-21</t>
  </si>
  <si>
    <t>rtdc.l.rtdc.4063:itc</t>
  </si>
  <si>
    <t>rtdc.l.rtdc.4064:itc</t>
  </si>
  <si>
    <t>SPECTOR</t>
  </si>
  <si>
    <t>STARKS</t>
  </si>
  <si>
    <t>ANGELINA</t>
  </si>
  <si>
    <t>BRUDER</t>
  </si>
  <si>
    <t>RICHARD</t>
  </si>
  <si>
    <t>ROBINSON</t>
  </si>
  <si>
    <t>KADDIBA</t>
  </si>
  <si>
    <t>NEWELL</t>
  </si>
  <si>
    <t>DE LA ROSA</t>
  </si>
  <si>
    <t>ALEX</t>
  </si>
  <si>
    <t>WEST</t>
  </si>
  <si>
    <t>BRYAN</t>
  </si>
  <si>
    <t>ZEWDU</t>
  </si>
  <si>
    <t>DEREJE</t>
  </si>
  <si>
    <t>234-21</t>
  </si>
  <si>
    <t>849-21</t>
  </si>
  <si>
    <t>239-21</t>
  </si>
  <si>
    <t>908-21</t>
  </si>
  <si>
    <t>241-21</t>
  </si>
  <si>
    <t>238-21</t>
  </si>
  <si>
    <t>243-21</t>
  </si>
  <si>
    <t>240-21</t>
  </si>
  <si>
    <t>313-21</t>
  </si>
  <si>
    <t>242-21</t>
  </si>
  <si>
    <t>307-21</t>
  </si>
  <si>
    <t>244-21</t>
  </si>
  <si>
    <t>309-21</t>
  </si>
  <si>
    <t>partly-cloudy-night</t>
  </si>
  <si>
    <t>Partly Cloudy</t>
  </si>
  <si>
    <t>partly-cloudy-day</t>
  </si>
  <si>
    <t>204:145</t>
  </si>
  <si>
    <t>204:232988</t>
  </si>
  <si>
    <t>204:233300</t>
  </si>
  <si>
    <t>204:232978</t>
  </si>
  <si>
    <t>204:469</t>
  </si>
  <si>
    <t>204:232983</t>
  </si>
  <si>
    <t>204:229</t>
  </si>
  <si>
    <t>204:233178</t>
  </si>
  <si>
    <t>204:232850</t>
  </si>
  <si>
    <t>204:233027</t>
  </si>
  <si>
    <t>204:136</t>
  </si>
  <si>
    <t>204:542</t>
  </si>
  <si>
    <t>204:233234</t>
  </si>
  <si>
    <t>204:232991</t>
  </si>
  <si>
    <t>204:488</t>
  </si>
  <si>
    <t>204:233289</t>
  </si>
  <si>
    <t>204:218</t>
  </si>
  <si>
    <t>204:551</t>
  </si>
  <si>
    <t>204:263</t>
  </si>
  <si>
    <t>204:152</t>
  </si>
  <si>
    <t>204:546</t>
  </si>
  <si>
    <t>204:464</t>
  </si>
  <si>
    <t>204:232915</t>
  </si>
  <si>
    <t>204:233328</t>
  </si>
  <si>
    <t>204:232896</t>
  </si>
  <si>
    <t>204:232879</t>
  </si>
  <si>
    <t>204:225</t>
  </si>
  <si>
    <t>204:233215</t>
  </si>
  <si>
    <t>204:232904</t>
  </si>
  <si>
    <t>204:221</t>
  </si>
  <si>
    <t>204:233203</t>
  </si>
  <si>
    <t>204:233261</t>
  </si>
  <si>
    <t>204:232932</t>
  </si>
  <si>
    <t>204:232</t>
  </si>
  <si>
    <t>204:531</t>
  </si>
  <si>
    <t>204:232925</t>
  </si>
  <si>
    <t>204:233223</t>
  </si>
  <si>
    <t>204:232947</t>
  </si>
  <si>
    <t>204:233280</t>
  </si>
  <si>
    <t>204:540</t>
  </si>
  <si>
    <t>204:233187</t>
  </si>
  <si>
    <t>204:232938</t>
  </si>
  <si>
    <t>204:149</t>
  </si>
  <si>
    <t>204:150</t>
  </si>
  <si>
    <t>204:236</t>
  </si>
  <si>
    <t>204:420</t>
  </si>
  <si>
    <t>204:138</t>
  </si>
  <si>
    <t>300:58653</t>
  </si>
  <si>
    <t>300:58664</t>
  </si>
  <si>
    <t>300:58958</t>
  </si>
  <si>
    <t>300:58973</t>
  </si>
  <si>
    <t>300:58960</t>
  </si>
  <si>
    <t>204:453</t>
  </si>
  <si>
    <t>204:738</t>
  </si>
  <si>
    <t>204:1121</t>
  </si>
  <si>
    <t>300:58641</t>
  </si>
  <si>
    <t>204:1119</t>
  </si>
  <si>
    <t>204:827</t>
  </si>
  <si>
    <t>204:1114</t>
  </si>
  <si>
    <t>300:58969</t>
  </si>
  <si>
    <t>300:58656</t>
  </si>
  <si>
    <t>300:58931</t>
  </si>
  <si>
    <t>204:1063</t>
  </si>
  <si>
    <t>300:58613</t>
  </si>
  <si>
    <t>204:992</t>
  </si>
  <si>
    <t>300:58628</t>
  </si>
  <si>
    <t>204:701</t>
  </si>
  <si>
    <t>204:817</t>
  </si>
  <si>
    <t>204:797</t>
  </si>
  <si>
    <t>300:58922</t>
  </si>
  <si>
    <t>300:58971</t>
  </si>
  <si>
    <t>Selected wrong track</t>
  </si>
  <si>
    <t>rtdc.l.rtdc.4015:itc</t>
  </si>
  <si>
    <t>112-24</t>
  </si>
  <si>
    <t>rtdc.l.rtdc.4034:itc</t>
  </si>
  <si>
    <t>131-24</t>
  </si>
  <si>
    <t>145-24</t>
  </si>
  <si>
    <t>147-24</t>
  </si>
  <si>
    <t>51-24</t>
  </si>
  <si>
    <t>148-24</t>
  </si>
  <si>
    <t>818-24</t>
  </si>
  <si>
    <t>rtdc.l.rtdc.4005:itc</t>
  </si>
  <si>
    <t>158-24</t>
  </si>
  <si>
    <t>160-24</t>
  </si>
  <si>
    <t>rtdc.l.rtdc.4006:itc</t>
  </si>
  <si>
    <t>171-24</t>
  </si>
  <si>
    <t>187-24</t>
  </si>
  <si>
    <t>198-24</t>
  </si>
  <si>
    <t>846-24</t>
  </si>
  <si>
    <t>235-24</t>
  </si>
  <si>
    <t>307-24</t>
  </si>
  <si>
    <t>244-24</t>
  </si>
  <si>
    <t>rtdc.l.rtdc.4031:itc</t>
  </si>
  <si>
    <t>242-23</t>
  </si>
  <si>
    <t>307-23</t>
  </si>
  <si>
    <t>rtdc.l.rtdc.4023:itc</t>
  </si>
  <si>
    <t>244-23</t>
  </si>
  <si>
    <t>rtdc.l.rtdc.4032:itc</t>
  </si>
  <si>
    <t>309-23</t>
  </si>
  <si>
    <t>rtdc.l.rtdc.4024:itc</t>
  </si>
  <si>
    <t>311-23</t>
  </si>
  <si>
    <t>300-24</t>
  </si>
  <si>
    <t>ROCHA</t>
  </si>
  <si>
    <t>YAOTL</t>
  </si>
  <si>
    <t>65-24</t>
  </si>
  <si>
    <t>rtdc.l.rtdc.4016:itc</t>
  </si>
  <si>
    <t>101-24</t>
  </si>
  <si>
    <t>66-24</t>
  </si>
  <si>
    <t>302-24</t>
  </si>
  <si>
    <t>MAELZER</t>
  </si>
  <si>
    <t>KURT</t>
  </si>
  <si>
    <t>103-24</t>
  </si>
  <si>
    <t>304-24</t>
  </si>
  <si>
    <t>306-24</t>
  </si>
  <si>
    <t>LONG</t>
  </si>
  <si>
    <t>FULLER</t>
  </si>
  <si>
    <t>102-24</t>
  </si>
  <si>
    <t>105-24</t>
  </si>
  <si>
    <t>107-24</t>
  </si>
  <si>
    <t>rtdc.l.rtdc.4001:itc</t>
  </si>
  <si>
    <t>308-24</t>
  </si>
  <si>
    <t>HUFFSMITH</t>
  </si>
  <si>
    <t>MONTY</t>
  </si>
  <si>
    <t>104-24</t>
  </si>
  <si>
    <t>rtdc.l.rtdc.4002:itc</t>
  </si>
  <si>
    <t>109-24</t>
  </si>
  <si>
    <t>901-24</t>
  </si>
  <si>
    <t>DONTE</t>
  </si>
  <si>
    <t>310-24</t>
  </si>
  <si>
    <t>111-24</t>
  </si>
  <si>
    <t>106-24</t>
  </si>
  <si>
    <t>800-24</t>
  </si>
  <si>
    <t>113-24</t>
  </si>
  <si>
    <t>rtdc.l.rtdc.4033:itc</t>
  </si>
  <si>
    <t>117-24</t>
  </si>
  <si>
    <t>NICHOLAS</t>
  </si>
  <si>
    <t>PLOYSA</t>
  </si>
  <si>
    <t>108-24</t>
  </si>
  <si>
    <t>312-24</t>
  </si>
  <si>
    <t>115-24</t>
  </si>
  <si>
    <t>801-24</t>
  </si>
  <si>
    <t>110-24</t>
  </si>
  <si>
    <t>902-24</t>
  </si>
  <si>
    <t>BEAM</t>
  </si>
  <si>
    <t>ROSS</t>
  </si>
  <si>
    <t>119-24</t>
  </si>
  <si>
    <t>802-24</t>
  </si>
  <si>
    <t>803-24</t>
  </si>
  <si>
    <t>114-24</t>
  </si>
  <si>
    <t>121-24</t>
  </si>
  <si>
    <t>116-24</t>
  </si>
  <si>
    <t>123-24</t>
  </si>
  <si>
    <t>118-24</t>
  </si>
  <si>
    <t>804-24</t>
  </si>
  <si>
    <t>805-24</t>
  </si>
  <si>
    <t>125-24</t>
  </si>
  <si>
    <t>120-24</t>
  </si>
  <si>
    <t>127-24</t>
  </si>
  <si>
    <t>807-24</t>
  </si>
  <si>
    <t>806-24</t>
  </si>
  <si>
    <t>122-24</t>
  </si>
  <si>
    <t>129-24</t>
  </si>
  <si>
    <t>124-24</t>
  </si>
  <si>
    <t>808-24</t>
  </si>
  <si>
    <t>809-24</t>
  </si>
  <si>
    <t>126-24</t>
  </si>
  <si>
    <t>133-24</t>
  </si>
  <si>
    <t>135-24</t>
  </si>
  <si>
    <t>128-24</t>
  </si>
  <si>
    <t>811-24</t>
  </si>
  <si>
    <t>130-24</t>
  </si>
  <si>
    <t>810-24</t>
  </si>
  <si>
    <t>132-24</t>
  </si>
  <si>
    <t>137-24</t>
  </si>
  <si>
    <t>139-24</t>
  </si>
  <si>
    <t>812-24</t>
  </si>
  <si>
    <t>903-24</t>
  </si>
  <si>
    <t>134-24</t>
  </si>
  <si>
    <t>141-24</t>
  </si>
  <si>
    <t>136-24</t>
  </si>
  <si>
    <t>143-24</t>
  </si>
  <si>
    <t>138-24</t>
  </si>
  <si>
    <t>813-24</t>
  </si>
  <si>
    <t>814-24</t>
  </si>
  <si>
    <t>140-24</t>
  </si>
  <si>
    <t>149-24</t>
  </si>
  <si>
    <t>142-24</t>
  </si>
  <si>
    <t>144-24</t>
  </si>
  <si>
    <t>50-24</t>
  </si>
  <si>
    <t>151-24</t>
  </si>
  <si>
    <t>146-24</t>
  </si>
  <si>
    <t>815-24</t>
  </si>
  <si>
    <t>153-24</t>
  </si>
  <si>
    <t>155-24</t>
  </si>
  <si>
    <t>55-24</t>
  </si>
  <si>
    <t>816-24</t>
  </si>
  <si>
    <t>SNYDER</t>
  </si>
  <si>
    <t>PETER</t>
  </si>
  <si>
    <t>150-24</t>
  </si>
  <si>
    <t>152-24</t>
  </si>
  <si>
    <t>157-24</t>
  </si>
  <si>
    <t>BADERTSCHER</t>
  </si>
  <si>
    <t>DIANE</t>
  </si>
  <si>
    <t>154-24</t>
  </si>
  <si>
    <t>159-24</t>
  </si>
  <si>
    <t>54-24</t>
  </si>
  <si>
    <t>817-24</t>
  </si>
  <si>
    <t>60-24</t>
  </si>
  <si>
    <t>61-24</t>
  </si>
  <si>
    <t>161-24</t>
  </si>
  <si>
    <t>156-24</t>
  </si>
  <si>
    <t>163-24</t>
  </si>
  <si>
    <t>165-24</t>
  </si>
  <si>
    <t>LORI</t>
  </si>
  <si>
    <t>SANTOS</t>
  </si>
  <si>
    <t>167-24</t>
  </si>
  <si>
    <t>162-24</t>
  </si>
  <si>
    <t>169-24</t>
  </si>
  <si>
    <t>820-24</t>
  </si>
  <si>
    <t>164-24</t>
  </si>
  <si>
    <t>166-24</t>
  </si>
  <si>
    <t>168-24</t>
  </si>
  <si>
    <t>173-24</t>
  </si>
  <si>
    <t>175-24</t>
  </si>
  <si>
    <t>821-24</t>
  </si>
  <si>
    <t>BERLING</t>
  </si>
  <si>
    <t>GARY</t>
  </si>
  <si>
    <t>170-24</t>
  </si>
  <si>
    <t>177-24</t>
  </si>
  <si>
    <t>172-24</t>
  </si>
  <si>
    <t>179-24</t>
  </si>
  <si>
    <t>822-24</t>
  </si>
  <si>
    <t>174-24</t>
  </si>
  <si>
    <t>176-24</t>
  </si>
  <si>
    <t>181-24</t>
  </si>
  <si>
    <t>183-24</t>
  </si>
  <si>
    <t>GONZALEZ</t>
  </si>
  <si>
    <t>ARMANDO</t>
  </si>
  <si>
    <t>823-24</t>
  </si>
  <si>
    <t>178-24</t>
  </si>
  <si>
    <t>185-24</t>
  </si>
  <si>
    <t>180-24</t>
  </si>
  <si>
    <t>182-24</t>
  </si>
  <si>
    <t>824-24</t>
  </si>
  <si>
    <t>189-24</t>
  </si>
  <si>
    <t>184-24</t>
  </si>
  <si>
    <t>191-24</t>
  </si>
  <si>
    <t>825-24</t>
  </si>
  <si>
    <t>186-24</t>
  </si>
  <si>
    <t>193-24</t>
  </si>
  <si>
    <t>904-24</t>
  </si>
  <si>
    <t>190-24</t>
  </si>
  <si>
    <t>195-24</t>
  </si>
  <si>
    <t>188-24</t>
  </si>
  <si>
    <t>826-24</t>
  </si>
  <si>
    <t>827-24</t>
  </si>
  <si>
    <t>197-24</t>
  </si>
  <si>
    <t>192-24</t>
  </si>
  <si>
    <t>199-24</t>
  </si>
  <si>
    <t>829-24</t>
  </si>
  <si>
    <t>828-24</t>
  </si>
  <si>
    <t>194-24</t>
  </si>
  <si>
    <t>201-24</t>
  </si>
  <si>
    <t>196-24</t>
  </si>
  <si>
    <t>203-24</t>
  </si>
  <si>
    <t>830-24</t>
  </si>
  <si>
    <t>831-24</t>
  </si>
  <si>
    <t>75-24</t>
  </si>
  <si>
    <t>205-24</t>
  </si>
  <si>
    <t>200-24</t>
  </si>
  <si>
    <t>207-24</t>
  </si>
  <si>
    <t>833-24</t>
  </si>
  <si>
    <t>832-24</t>
  </si>
  <si>
    <t>209-24</t>
  </si>
  <si>
    <t>204-24</t>
  </si>
  <si>
    <t>202-24</t>
  </si>
  <si>
    <t>211-24</t>
  </si>
  <si>
    <t>834-24</t>
  </si>
  <si>
    <t>835-24</t>
  </si>
  <si>
    <t>206-24</t>
  </si>
  <si>
    <t>213-24</t>
  </si>
  <si>
    <t>208-24</t>
  </si>
  <si>
    <t>215-24</t>
  </si>
  <si>
    <t>210-24</t>
  </si>
  <si>
    <t>836-24</t>
  </si>
  <si>
    <t>837-24</t>
  </si>
  <si>
    <t>217-24</t>
  </si>
  <si>
    <t>219-24</t>
  </si>
  <si>
    <t>212-24</t>
  </si>
  <si>
    <t>214-24</t>
  </si>
  <si>
    <t>838-24</t>
  </si>
  <si>
    <t>839-24</t>
  </si>
  <si>
    <t>301-24</t>
  </si>
  <si>
    <t>221-24</t>
  </si>
  <si>
    <t>216-24</t>
  </si>
  <si>
    <t>906-24</t>
  </si>
  <si>
    <t>841-24</t>
  </si>
  <si>
    <t>218-24</t>
  </si>
  <si>
    <t>220-24</t>
  </si>
  <si>
    <t>303-24</t>
  </si>
  <si>
    <t>223-24</t>
  </si>
  <si>
    <t>840-24</t>
  </si>
  <si>
    <t>305-24</t>
  </si>
  <si>
    <t>225-24</t>
  </si>
  <si>
    <t>222-24</t>
  </si>
  <si>
    <t>227-24</t>
  </si>
  <si>
    <t>842-24</t>
  </si>
  <si>
    <t>843-24</t>
  </si>
  <si>
    <t>224-24</t>
  </si>
  <si>
    <t>226-24</t>
  </si>
  <si>
    <t>229-24</t>
  </si>
  <si>
    <t>845-24</t>
  </si>
  <si>
    <t>228-24</t>
  </si>
  <si>
    <t>231-24</t>
  </si>
  <si>
    <t>844-24</t>
  </si>
  <si>
    <t>233-24</t>
  </si>
  <si>
    <t>230-24</t>
  </si>
  <si>
    <t>847-24</t>
  </si>
  <si>
    <t>232-24</t>
  </si>
  <si>
    <t>234-24</t>
  </si>
  <si>
    <t>237-24</t>
  </si>
  <si>
    <t>849-24</t>
  </si>
  <si>
    <t>239-24</t>
  </si>
  <si>
    <t>236-24</t>
  </si>
  <si>
    <t>908-24</t>
  </si>
  <si>
    <t>241-24</t>
  </si>
  <si>
    <t>238-24</t>
  </si>
  <si>
    <t>243-24</t>
  </si>
  <si>
    <t>240-24</t>
  </si>
  <si>
    <t>245-24</t>
  </si>
  <si>
    <t>242-24</t>
  </si>
  <si>
    <t>309-24</t>
  </si>
  <si>
    <t>246-24</t>
  </si>
  <si>
    <t>311-24</t>
  </si>
  <si>
    <t>313-24</t>
  </si>
  <si>
    <t>clear-day</t>
  </si>
  <si>
    <t>204:746</t>
  </si>
  <si>
    <t>204:191</t>
  </si>
  <si>
    <t>204:455</t>
  </si>
  <si>
    <t>204:232967</t>
  </si>
  <si>
    <t>204:447</t>
  </si>
  <si>
    <t>204:233310</t>
  </si>
  <si>
    <t>204:232992</t>
  </si>
  <si>
    <t>204:460</t>
  </si>
  <si>
    <t>204:169</t>
  </si>
  <si>
    <t>204:233232</t>
  </si>
  <si>
    <t>204:194</t>
  </si>
  <si>
    <t>204:233180</t>
  </si>
  <si>
    <t>204:232854</t>
  </si>
  <si>
    <t>204:477</t>
  </si>
  <si>
    <t>204:233304</t>
  </si>
  <si>
    <t>204:440</t>
  </si>
  <si>
    <t>204:233311</t>
  </si>
  <si>
    <t>204:435</t>
  </si>
  <si>
    <t>204:233368</t>
  </si>
  <si>
    <t>204:466</t>
  </si>
  <si>
    <t>204:233005</t>
  </si>
  <si>
    <t>204:233227</t>
  </si>
  <si>
    <t>204:232909</t>
  </si>
  <si>
    <t>204:251</t>
  </si>
  <si>
    <t>204:233305</t>
  </si>
  <si>
    <t>204:232971</t>
  </si>
  <si>
    <t>204:181</t>
  </si>
  <si>
    <t>204:426</t>
  </si>
  <si>
    <t>204:233183</t>
  </si>
  <si>
    <t>204:232870</t>
  </si>
  <si>
    <t>204:1184</t>
  </si>
  <si>
    <t>204:233284</t>
  </si>
  <si>
    <t>204:232982</t>
  </si>
  <si>
    <t>204:233293</t>
  </si>
  <si>
    <t>204:139</t>
  </si>
  <si>
    <t>204:233274</t>
  </si>
  <si>
    <t>204:444</t>
  </si>
  <si>
    <t>204:147</t>
  </si>
  <si>
    <t>204:233190</t>
  </si>
  <si>
    <t>204:232863</t>
  </si>
  <si>
    <t>204:189</t>
  </si>
  <si>
    <t>204:233188</t>
  </si>
  <si>
    <t>204:232857</t>
  </si>
  <si>
    <t>204:342</t>
  </si>
  <si>
    <t>204:233299</t>
  </si>
  <si>
    <t>204:232984</t>
  </si>
  <si>
    <t>204:344</t>
  </si>
  <si>
    <t>204:233213</t>
  </si>
  <si>
    <t>204:232902</t>
  </si>
  <si>
    <t>204:262</t>
  </si>
  <si>
    <t>204:233205</t>
  </si>
  <si>
    <t>204:232892</t>
  </si>
  <si>
    <t>204:364</t>
  </si>
  <si>
    <t>204:258</t>
  </si>
  <si>
    <t>204:233193</t>
  </si>
  <si>
    <t>204:232869</t>
  </si>
  <si>
    <t>204:662</t>
  </si>
  <si>
    <t>204:233162</t>
  </si>
  <si>
    <t>204:232841</t>
  </si>
  <si>
    <t>204:200</t>
  </si>
  <si>
    <t>204:233120</t>
  </si>
  <si>
    <t>204:232815</t>
  </si>
  <si>
    <t>204:653</t>
  </si>
  <si>
    <t>204:570</t>
  </si>
  <si>
    <t>204:668</t>
  </si>
  <si>
    <t>204:233206</t>
  </si>
  <si>
    <t>204:555</t>
  </si>
  <si>
    <t>204:642</t>
  </si>
  <si>
    <t>204:232900</t>
  </si>
  <si>
    <t>204:233220</t>
  </si>
  <si>
    <t>204:232894</t>
  </si>
  <si>
    <t>204:223</t>
  </si>
  <si>
    <t>204:232875</t>
  </si>
  <si>
    <t>204:280</t>
  </si>
  <si>
    <t>204:233209</t>
  </si>
  <si>
    <t>204:232881</t>
  </si>
  <si>
    <t>204:560</t>
  </si>
  <si>
    <t>204:233195</t>
  </si>
  <si>
    <t>204:231</t>
  </si>
  <si>
    <t>204:500</t>
  </si>
  <si>
    <t>204:478</t>
  </si>
  <si>
    <t>204:233253</t>
  </si>
  <si>
    <t>204:233204</t>
  </si>
  <si>
    <t>204:611</t>
  </si>
  <si>
    <t>204:267</t>
  </si>
  <si>
    <t>204:232898</t>
  </si>
  <si>
    <t>204:233224</t>
  </si>
  <si>
    <t>204:232891</t>
  </si>
  <si>
    <t>204:233199</t>
  </si>
  <si>
    <t>204:232882</t>
  </si>
  <si>
    <t>204:233259</t>
  </si>
  <si>
    <t>204:233228</t>
  </si>
  <si>
    <t>204:254</t>
  </si>
  <si>
    <t>204:590</t>
  </si>
  <si>
    <t>204:539</t>
  </si>
  <si>
    <t>204:517</t>
  </si>
  <si>
    <t>204:233186</t>
  </si>
  <si>
    <t>204:232865</t>
  </si>
  <si>
    <t>204:233211</t>
  </si>
  <si>
    <t>204:245</t>
  </si>
  <si>
    <t>204:233255</t>
  </si>
  <si>
    <t>204:247</t>
  </si>
  <si>
    <t>204:233163</t>
  </si>
  <si>
    <t>204:232945</t>
  </si>
  <si>
    <t>204:232944</t>
  </si>
  <si>
    <t>204:232885</t>
  </si>
  <si>
    <t>204:260</t>
  </si>
  <si>
    <t>204:232949</t>
  </si>
  <si>
    <t>204:233251</t>
  </si>
  <si>
    <t>204:233240</t>
  </si>
  <si>
    <t>204:232917</t>
  </si>
  <si>
    <t>204:601</t>
  </si>
  <si>
    <t>204:249</t>
  </si>
  <si>
    <t>204:232923</t>
  </si>
  <si>
    <t>204:575</t>
  </si>
  <si>
    <t>204:232911</t>
  </si>
  <si>
    <t>204:265</t>
  </si>
  <si>
    <t>204:573</t>
  </si>
  <si>
    <t>204:273</t>
  </si>
  <si>
    <t>300:23372</t>
  </si>
  <si>
    <t>204:123</t>
  </si>
  <si>
    <t>300:23346</t>
  </si>
  <si>
    <t>300:19098</t>
  </si>
  <si>
    <t>300:20116</t>
  </si>
  <si>
    <t>300:23266</t>
  </si>
  <si>
    <t>204:156</t>
  </si>
  <si>
    <t>300:22622</t>
  </si>
  <si>
    <t>300:23580</t>
  </si>
  <si>
    <t>204:559</t>
  </si>
  <si>
    <t>300:23512</t>
  </si>
  <si>
    <t>300:23310</t>
  </si>
  <si>
    <t>300:23677</t>
  </si>
  <si>
    <t>300:23355</t>
  </si>
  <si>
    <t>204:937</t>
  </si>
  <si>
    <t>204:1503</t>
  </si>
  <si>
    <t>204:3550</t>
  </si>
  <si>
    <t>204:1516</t>
  </si>
  <si>
    <t>300:5372</t>
  </si>
  <si>
    <t>300:5336</t>
  </si>
  <si>
    <t>204:1259</t>
  </si>
  <si>
    <t>300:5490</t>
  </si>
  <si>
    <t>204:3647</t>
  </si>
  <si>
    <t>204:322</t>
  </si>
  <si>
    <t>204:3670</t>
  </si>
  <si>
    <t>204:406</t>
  </si>
  <si>
    <t>204:3552</t>
  </si>
  <si>
    <t>204:1009</t>
  </si>
  <si>
    <t>300:58948</t>
  </si>
  <si>
    <t>204:736</t>
  </si>
  <si>
    <t>204:1011</t>
  </si>
  <si>
    <t>300:58961</t>
  </si>
  <si>
    <t>204:836</t>
  </si>
  <si>
    <t>204:974</t>
  </si>
  <si>
    <t>300:58943</t>
  </si>
  <si>
    <t>300:58636</t>
  </si>
  <si>
    <t>204:708</t>
  </si>
  <si>
    <t>204:1132</t>
  </si>
  <si>
    <t>204:869</t>
  </si>
  <si>
    <t>204:1469</t>
  </si>
  <si>
    <t>204:1168</t>
  </si>
  <si>
    <t>300:58946</t>
  </si>
  <si>
    <t>300:58630</t>
  </si>
  <si>
    <t>204:1097</t>
  </si>
  <si>
    <t>204:850</t>
  </si>
  <si>
    <t>300:58728</t>
  </si>
  <si>
    <t>204:4498</t>
  </si>
  <si>
    <t>300:58679</t>
  </si>
  <si>
    <t>204:1118</t>
  </si>
  <si>
    <t>204:818</t>
  </si>
  <si>
    <t>204:1109</t>
  </si>
  <si>
    <t>204:803</t>
  </si>
  <si>
    <t>204:799</t>
  </si>
  <si>
    <t>300:58992</t>
  </si>
  <si>
    <t>300:58600</t>
  </si>
  <si>
    <t>204:1100</t>
  </si>
  <si>
    <t>300:58651</t>
  </si>
  <si>
    <t>204:820</t>
  </si>
  <si>
    <t>300:58602</t>
  </si>
  <si>
    <t>204:712</t>
  </si>
  <si>
    <t>204:813</t>
  </si>
  <si>
    <t>204:986</t>
  </si>
  <si>
    <t>300:58999</t>
  </si>
  <si>
    <t>204:1112</t>
  </si>
  <si>
    <t>300:24043</t>
  </si>
  <si>
    <t>300:58918</t>
  </si>
  <si>
    <t>300:30224</t>
  </si>
  <si>
    <t>300:21663</t>
  </si>
  <si>
    <t>204:1417</t>
  </si>
  <si>
    <t>300:24220</t>
  </si>
  <si>
    <t>300:23328</t>
  </si>
  <si>
    <t>204:762</t>
  </si>
  <si>
    <t>300:28791</t>
  </si>
  <si>
    <t>start /low /b %USERPROFILE%\Documents\GitHub\eaglep3\Utilities\DownloadLogsFromS3.py --loco 4059 --day 2017-11-24</t>
  </si>
  <si>
    <t>start /low /b %USERPROFILE%\Documents\GitHub\eaglep3\Utilities\DownloadLogsFromS3.py --loco 4009 --day 2017-11-24</t>
  </si>
  <si>
    <t>start /low /b %USERPROFILE%\Documents\GitHub\eaglep3\Utilities\DownloadLogsFromS3.py --loco 4064 --day 2017-11-24</t>
  </si>
  <si>
    <t>start /low /b %USERPROFILE%\Documents\GitHub\eaglep3\Utilities\DownloadLogsFromS3.py --loco 4049 --day 2017-11-25</t>
  </si>
  <si>
    <t>start /low /b %USERPROFILE%\Documents\GitHub\eaglep3\Utilities\DownloadLogsFromS3.py --loco 4035 --day 2017-11-25</t>
  </si>
  <si>
    <t>start /low /b %USERPROFILE%\Documents\GitHub\eaglep3\Utilities\DownloadLogsFromS3.py --loco 4063 --day 2017-11-24</t>
  </si>
  <si>
    <t>start /low /b %USERPROFILE%\Documents\GitHub\eaglep3\Utilities\DownloadLogsFromS3.py --loco 4006 --day 2017-11-24</t>
  </si>
  <si>
    <t>start /low /b %USERPROFILE%\Documents\GitHub\eaglep3\Utilities\DownloadLogsFromS3.py --loco 4005 --day 2017-11-24</t>
  </si>
  <si>
    <t>start /low /b %USERPROFILE%\Documents\GitHub\eaglep3\Utilities\DownloadLogsFromS3.py --loco 4034 --day 2017-11-24</t>
  </si>
  <si>
    <t>start /low /b %USERPROFILE%\Documents\GitHub\eaglep3\Utilities\DownloadLogsFromS3.py --loco 4015 --day 2017-11-24</t>
  </si>
  <si>
    <t>start /low /b %USERPROFILE%\Documents\GitHub\eaglep3\Utilities\DownloadLogsFromS3.py --loco 4010 --day 2017-11-24</t>
  </si>
  <si>
    <t>start /low /b %USERPROFILE%\Documents\GitHub\eaglep3\Utilities\DownloadLogsFromS3.py --loco 4036 --day 2017-11-25</t>
  </si>
  <si>
    <t>start /low /b %USERPROFILE%\Documents\GitHub\eaglep3\Utilities\DownloadLogsFromS3.py --loco 4059 --day 2017-11-25</t>
  </si>
  <si>
    <t>819-24</t>
  </si>
  <si>
    <t>SNYDER PETER</t>
  </si>
  <si>
    <t>Extended onboard Wi-MAX outage</t>
  </si>
  <si>
    <t>Poor GPS @ Wewatta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</si>
</sst>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03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43063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43063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146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COUNTIFS($N$13:$N$9546,"&gt;0",$AG$13:$AG$9546,I1)</f>
        <v>145</v>
      </c>
      <c r="K5" s="39"/>
      <c r="L5" s="171"/>
      <c r="M5" s="40">
        <f>AVERAGEIFS($N$13:$N$9546,$AG$13:$AG$9546,I1)</f>
        <v>37.112643678054404</v>
      </c>
      <c r="N5" s="38">
        <f t="array" ref="N5">MIN(IF($AG$13:$AG$9546=I1,IF(ISNUMBER($N$13:$N$9546),IF($N$13:$N$9546&gt;0,$N$13:$N$9546))))</f>
        <v>33.966666664928198</v>
      </c>
      <c r="O5" s="3">
        <f t="array" ref="O5">MAX(IF($AG$13:$AG$9546=I1,IF(ISNUMBER($N$13:$N$9546),IF($N$13:$N$9546&gt;0,$N$13:$N$9546))))</f>
        <v>44.16666666045785</v>
      </c>
      <c r="P5" s="2"/>
      <c r="R5" s="162" t="s">
        <v>17</v>
      </c>
      <c r="S5" s="206">
        <f>COUNTIFS($N$13:$N$9546,"&gt;0",$AG$13:$AG$9546,R1)</f>
        <v>46</v>
      </c>
      <c r="T5" s="171"/>
      <c r="U5" s="194"/>
      <c r="V5" s="210">
        <f>AVERAGEIFS($N$13:$N$9546,$AG$13:$AG$9546,R1)</f>
        <v>14.388043478171786</v>
      </c>
      <c r="W5" s="211">
        <f t="array" ref="W5">MIN(IF($AG$13:$AG$9546=R1,IF(ISNUMBER($N$13:$N$9546),IF($N$13:$N$9546&gt;0,$N$13:$N$9546))))</f>
        <v>10.466666661668569</v>
      </c>
      <c r="X5" s="199">
        <f t="array" ref="X5">MAX(IF($AG$13:$AG$9546=R1,IF(ISNUMBER($N$13:$N$9546),IF($N$13:$N$9546&gt;0,$N$13:$N$9546))))</f>
        <v>24.033333335537463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COUNT($O$13:$O$304)</f>
        <v>0</v>
      </c>
      <c r="K6" s="39"/>
      <c r="L6" s="171"/>
      <c r="M6" s="40">
        <f>IFERROR(AVERAGE($O$13:$O$304),0)</f>
        <v>0</v>
      </c>
      <c r="N6" s="38">
        <f>MIN($O$13:$O$304)</f>
        <v>0</v>
      </c>
      <c r="O6" s="3">
        <f>MAX($O$13:$O$304)</f>
        <v>0</v>
      </c>
      <c r="P6" s="2"/>
      <c r="R6" s="163" t="s">
        <v>43</v>
      </c>
      <c r="S6" s="206">
        <f>COUNT($O$13:$O$304)</f>
        <v>0</v>
      </c>
      <c r="T6" s="171"/>
      <c r="U6" s="194"/>
      <c r="V6" s="210">
        <f>IFERROR(AVERAGE($O$13:$O$304),0)</f>
        <v>0</v>
      </c>
      <c r="W6" s="211">
        <f>MIN($O$13:$O$304)</f>
        <v>0</v>
      </c>
      <c r="X6" s="199">
        <f>MAX($O$13:$O$304)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COUNTIFS($P$13:$P$9546,"&gt;0",$AG$13:$AG$9546,I1)</f>
        <v>1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COUNTIFS($P$13:$P$9546,"&gt;0",$AG$13:$AG$9546,R1)</f>
        <v>3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145</v>
      </c>
      <c r="K8" s="39"/>
      <c r="L8" s="171"/>
      <c r="M8" s="40">
        <f>M5</f>
        <v>37.112643678054404</v>
      </c>
      <c r="N8" s="38">
        <f>N5</f>
        <v>33.966666664928198</v>
      </c>
      <c r="O8" s="3">
        <f>O5</f>
        <v>44.16666666045785</v>
      </c>
      <c r="P8" s="2"/>
      <c r="R8" s="162" t="s">
        <v>16</v>
      </c>
      <c r="S8" s="206">
        <f>S5</f>
        <v>46</v>
      </c>
      <c r="T8" s="171"/>
      <c r="U8" s="194"/>
      <c r="V8" s="210">
        <f>V5</f>
        <v>14.388043478171786</v>
      </c>
      <c r="W8" s="211">
        <f>W5</f>
        <v>10.466666661668569</v>
      </c>
      <c r="X8" s="199">
        <f>X5</f>
        <v>24.033333335537463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0.99315068493150682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0.93877551020408168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1" t="str">
        <f>"Eagle P3 System Performance - "&amp;TEXT(Variables!A2,"yyyy-mm-dd")</f>
        <v>Eagle P3 System Performance - 2017-11-24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S11" s="218">
        <f>AVERAGE(S13:S126)</f>
        <v>1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692</v>
      </c>
      <c r="B13" s="7">
        <v>4016</v>
      </c>
      <c r="C13" s="21" t="s">
        <v>192</v>
      </c>
      <c r="D13" s="21" t="s">
        <v>922</v>
      </c>
      <c r="E13" s="13">
        <v>43063.131932870368</v>
      </c>
      <c r="F13" s="13">
        <v>43063.13559027778</v>
      </c>
      <c r="G13" s="7">
        <v>70</v>
      </c>
      <c r="H13" s="21" t="s">
        <v>601</v>
      </c>
      <c r="I13" s="13">
        <v>43063.159629629627</v>
      </c>
      <c r="J13" s="7">
        <v>0</v>
      </c>
      <c r="K13" s="89" t="str">
        <f>IF(ISEVEN(B13),(B13-1)&amp;"/"&amp;B13,B13&amp;"/"&amp;(B13+1))</f>
        <v>4015/4016</v>
      </c>
      <c r="L13" s="184" t="str">
        <f>VLOOKUP(A13,'Trips&amp;Operators'!$C$1:$G$99911,5,FALSE)</f>
        <v>ROCHA YAOTL</v>
      </c>
      <c r="M13" s="6">
        <f>I13-F13</f>
        <v>2.4039351847022772E-2</v>
      </c>
      <c r="N13" s="7">
        <f>24*60*SUM($M13:$M13)</f>
        <v>34.616666659712791</v>
      </c>
      <c r="O13" s="7"/>
      <c r="P13" s="7"/>
      <c r="Q13" s="22"/>
      <c r="R13" s="166"/>
      <c r="S13" s="250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-24T02:09:59-0700',mode:absolute,to:'2017-11-24T04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7.46E-2</v>
      </c>
      <c r="Z13" s="203">
        <f>RIGHT(H13,LEN(H13)-4)/10000</f>
        <v>23.328900000000001</v>
      </c>
      <c r="AA13" s="203">
        <f>ABS(Z13-Y13)</f>
        <v>23.254300000000001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"%USERPROFILE%\AppData\Local\Temp\OnboardLogs"\RTDC4016\2017-11-24 --exclude "*" --recursive --include "*20171124*" &amp; "%USERPROFILE%\Documents\GitHub\mrs-test-scripts\Headless Mode &amp; Sideloading\WalkAndUnGZ.bat" "%USERPROFILE%\AppData\Local\Temp\OnboardLogs"\RTDC4016\2017-11-24 &amp; aws s3 cp s3://rtdc.mdm.uploadarchive.raw/RTDC4016/ "%USERPROFILE%\AppData\Local\Temp\OnboardLogs"\RTDC4016\2017-11-25 --exclude "*" --recursive --include "*20171125*" &amp; "%USERPROFILE%\Documents\GitHub\mrs-test-scripts\Headless Mode &amp; Sideloading\WalkAndUnGZ.bat" "%USERPROFILE%\AppData\Local\Temp\OnboardLogs"\RTDC4016\2017-11-25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/stypes="app*4016*20171124*"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4016 --swversion DE.1.0.9.0 --startMP 204:746 --initTime 2017-11-24T03:09:59 --startdatetime 2017-11-24T03:15:15 --delay 70 --endMP 204:233289 --enddatetime 2017-11-24T03:49:52 --enforcementcount 0 &gt;&gt;%USERPROFILE%\Documents\GitHub\eaglep3-reporting\EC\2017-11-24-refined-times.txt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{"issue":{"subject":"","project_id":79,"tracker_id":40,"status_id":1,"priority_id":2,"assigned_to_id":338,"start_date":"2017-11-24","description":"","custom_fields":[{"id":1,"name":"Subdivision","value":"EC"},{"id":4,"name":"Milepost","value":"23.3289"},{"id":17,"name":"Train ID","value":"101-24"},{"id":16,"name":"Locomotive ID","value":"4016"},{"id":130,"name":"Impact","value":""},{"id":150,"name":"Time of Event (Mountain Time)","value":"03:49:52"},{"id":151,"name":"Denver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4016 --day 2017-11-24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10:49:52"},{"id":29,"name":"Sharepoint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-24T02:09:59-0700',mode:absolute,to:'2017-11-24T04:49:52-0700'))&amp;_a=(columns:!('Message%20ID',Summary),filters:!(),index:'emp_*',interval:auto,query:(query_string:(analyze_wildcard:!t,query:'%22rtdc.l.rtdc.4016%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30" t="s">
        <v>702</v>
      </c>
      <c r="B14" s="226">
        <v>4015</v>
      </c>
      <c r="C14" s="228" t="s">
        <v>192</v>
      </c>
      <c r="D14" s="228" t="s">
        <v>589</v>
      </c>
      <c r="E14" s="227">
        <v>43063.173217592594</v>
      </c>
      <c r="F14" s="227">
        <v>43063.175162037034</v>
      </c>
      <c r="G14" s="226">
        <v>54</v>
      </c>
      <c r="H14" s="228" t="s">
        <v>628</v>
      </c>
      <c r="I14" s="227">
        <v>43063.200312499997</v>
      </c>
      <c r="J14" s="226">
        <v>0</v>
      </c>
      <c r="K14" s="238" t="str">
        <f>IF(ISEVEN(B14),(B14-1)&amp;"/"&amp;B14,B14&amp;"/"&amp;(B14+1))</f>
        <v>4015/4016</v>
      </c>
      <c r="L14" s="246" t="str">
        <f>VLOOKUP(A14,'Trips&amp;Operators'!$C$1:$G$99911,5,FALSE)</f>
        <v>ROCHA YAOTL</v>
      </c>
      <c r="M14" s="225">
        <f>I14-F14</f>
        <v>2.5150462963210884E-2</v>
      </c>
      <c r="N14" s="226">
        <f>24*60*SUM($M14:$M14)</f>
        <v>36.216666667023674</v>
      </c>
      <c r="O14" s="226"/>
      <c r="P14" s="226"/>
      <c r="Q14" s="229"/>
      <c r="R14" s="243"/>
      <c r="S14" s="250">
        <f>1/IF(AG14="EC",12,1)*SUM(U14:U14)</f>
        <v>1</v>
      </c>
      <c r="T14" s="243" t="str">
        <f>IF(ISEVEN(LEFT(AD14,4)),"Southbound","NorthBound")</f>
        <v>Southbound</v>
      </c>
      <c r="U14" s="24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9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-24T03:09:26-0700',mode:absolute,to:'2017-11-24T05:48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248" t="str">
        <f>IF(AA14&lt;VLOOKUP(AG14,Variables!$AC$3:$AD$8,2,FALSE),"Y","N")</f>
        <v>N</v>
      </c>
      <c r="X14" s="248">
        <f>VALUE(LEFT(AD14,4))-VALUE(LEFT(AD13,4))</f>
        <v>1</v>
      </c>
      <c r="Y14" s="248">
        <f>RIGHT(D14,LEN(D14)-4)/10000</f>
        <v>23.297799999999999</v>
      </c>
      <c r="Z14" s="248">
        <f>RIGHT(H14,LEN(H14)-4)/10000</f>
        <v>1.49E-2</v>
      </c>
      <c r="AA14" s="248">
        <f>ABS(Z14-Y14)</f>
        <v>23.282899999999998</v>
      </c>
      <c r="AB14" s="234" t="e">
        <f>VLOOKUP(A14,Enforcements!$C$7:$K$9,8,0)</f>
        <v>#N/A</v>
      </c>
      <c r="AC14" s="233" t="e">
        <f>VLOOKUP(A14,Enforcements!$C$7:$E$9,3,0)</f>
        <v>#N/A</v>
      </c>
      <c r="AD14" s="244">
        <f>VALUE(LEFT(A14,LEN(A14)-3))</f>
        <v>102</v>
      </c>
      <c r="AE14" s="236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s3://rtdc.mdm.uploadarchive.raw/RTDC4015/ "%USERPROFILE%\AppData\Local\Temp\OnboardLogs"\RTDC4015\2017-11-24 --exclude "*" --recursive --include "*20171124*" &amp; "%USERPROFILE%\Documents\GitHub\mrs-test-scripts\Headless Mode &amp; Sideloading\WalkAndUnGZ.bat" "%USERPROFILE%\AppData\Local\Temp\OnboardLogs"\RTDC4015\2017-11-24 &amp; aws s3 cp s3://rtdc.mdm.uploadarchive.raw/RTDC4015/ "%USERPROFILE%\AppData\Local\Temp\OnboardLogs"\RTDC4015\2017-11-25 --exclude "*" --recursive --include "*20171125*" &amp; "%USERPROFILE%\Documents\GitHub\mrs-test-scripts\Headless Mode &amp; Sideloading\WalkAndUnGZ.bat" "%USERPROFILE%\AppData\Local\Temp\OnboardLogs"\RTDC4015\2017-11-25</v>
      </c>
      <c r="AF14" s="235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/stypes="app*4015*20171124*" /stext=" 11:.+((SYSTEM_STATE.+slice.+state.+changed )|(ment ac)|(multiple cpu faults)|(system.+state.+changed )|(\[timeout)|(PRM\|1\|D)|(kpr)|(kdp)|(train st.+moving)|(\|lc)|(penalty))"</v>
      </c>
      <c r="AG14" s="245" t="str">
        <f>DetSubdiv(A14)</f>
        <v>EC</v>
      </c>
      <c r="AH14" s="237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4015 --swversion DE.1.0.9.0 --startMP 204:232978 --initTime 2017-11-24T04:09:26 --startdatetime 2017-11-24T04:12:14 --delay 54 --endMP 204:149 --enddatetime 2017-11-24T04:48:27 --enforcementcount 0 &gt;&gt;%USERPROFILE%\Documents\GitHub\eaglep3-reporting\EC\2017-11-24-refined-times.txt</v>
      </c>
      <c r="AI14" s="239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{"issue":{"subject":"","project_id":79,"tracker_id":40,"status_id":1,"priority_id":2,"assigned_to_id":338,"start_date":"2017-11-24","description":"","custom_fields":[{"id":1,"name":"Subdivision","value":"EC"},{"id":4,"name":"Milepost","value":"0.0149"},{"id":17,"name":"Train ID","value":"102-24"},{"id":16,"name":"Locomotive ID","value":"4015"},{"id":130,"name":"Impact","value":""},{"id":150,"name":"Time of Event (Mountain Time)","value":"04:48:27"},{"id":151,"name":"Denver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4"/>
      <c r="AK14" s="232"/>
      <c r="AL14" s="232"/>
      <c r="AM14" s="241" t="str">
        <f t="shared" ref="AM14:AM77" si="7">"start /low /b "&amp;dls3logs&amp;" --loco "&amp;B14&amp;" --day "&amp;TEXT(F14,"YYYY-MM-DD")</f>
        <v>start /low /b %USERPROFILE%\Documents\GitHub\eaglep3\Utilities\DownloadLogsFromS3.py --loco 4015 --day 2017-11-24</v>
      </c>
      <c r="AN14" s="242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11:48:27"},{"id":29,"name":"Sharepoint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1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-24T03:09:26-0700',mode:absolute,to:'2017-11-24T05:48:27-0700'))&amp;_a=(columns:!('Message%20ID',Summary),filters:!(),index:'emp_*',interval:auto,query:(query_string:(analyze_wildcard:!t,query:'%22rtdc.l.rtdc.4015%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30" t="s">
        <v>697</v>
      </c>
      <c r="B15" s="226">
        <v>4006</v>
      </c>
      <c r="C15" s="228" t="s">
        <v>192</v>
      </c>
      <c r="D15" s="228" t="s">
        <v>530</v>
      </c>
      <c r="E15" s="227">
        <v>43063.153321759259</v>
      </c>
      <c r="F15" s="227">
        <v>43063.156446759262</v>
      </c>
      <c r="G15" s="226">
        <v>61</v>
      </c>
      <c r="H15" s="228" t="s">
        <v>624</v>
      </c>
      <c r="I15" s="227">
        <v>43063.181192129632</v>
      </c>
      <c r="J15" s="226">
        <v>0</v>
      </c>
      <c r="K15" s="238" t="str">
        <f>IF(ISEVEN(B15),(B15-1)&amp;"/"&amp;B15,B15&amp;"/"&amp;(B15+1))</f>
        <v>4005/4006</v>
      </c>
      <c r="L15" s="246" t="str">
        <f>VLOOKUP(A15,'Trips&amp;Operators'!$C$1:$G$99911,5,FALSE)</f>
        <v>MAELZER KURT</v>
      </c>
      <c r="M15" s="225">
        <f>I15-F15</f>
        <v>2.47453703705105E-2</v>
      </c>
      <c r="N15" s="226">
        <f>24*60*SUM($M15:$M15)</f>
        <v>35.63333333353512</v>
      </c>
      <c r="O15" s="226"/>
      <c r="P15" s="226"/>
      <c r="Q15" s="229"/>
      <c r="R15" s="243"/>
      <c r="S15" s="250">
        <f>1/IF(AG15="EC",12,1)*SUM(U15:U15)</f>
        <v>1</v>
      </c>
      <c r="T15" s="243" t="str">
        <f>IF(ISEVEN(LEFT(AD15,4)),"Southbound","NorthBound")</f>
        <v>NorthBound</v>
      </c>
      <c r="U15" s="24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9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-11-24T02:40:47-0700',mode:absolute,to:'2017-11-24T05:20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" s="248" t="str">
        <f>IF(AA15&lt;VLOOKUP(AG15,Variables!$AC$3:$AD$8,2,FALSE),"Y","N")</f>
        <v>N</v>
      </c>
      <c r="X15" s="248">
        <f>VALUE(LEFT(AD15,4))-VALUE(LEFT(AD14,4))</f>
        <v>1</v>
      </c>
      <c r="Y15" s="248">
        <f>RIGHT(D15,LEN(D15)-4)/10000</f>
        <v>5.0799999999999998E-2</v>
      </c>
      <c r="Z15" s="248">
        <f>RIGHT(H15,LEN(H15)-4)/10000</f>
        <v>23.327999999999999</v>
      </c>
      <c r="AA15" s="248">
        <f>ABS(Z15-Y15)</f>
        <v>23.277200000000001</v>
      </c>
      <c r="AB15" s="234" t="e">
        <f>VLOOKUP(A15,Enforcements!$C$7:$K$9,8,0)</f>
        <v>#N/A</v>
      </c>
      <c r="AC15" s="233" t="e">
        <f>VLOOKUP(A15,Enforcements!$C$7:$E$9,3,0)</f>
        <v>#N/A</v>
      </c>
      <c r="AD15" s="244">
        <f>VALUE(LEFT(A15,LEN(A15)-3))</f>
        <v>103</v>
      </c>
      <c r="AE15" s="236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s3://rtdc.mdm.uploadarchive.raw/RTDC4006/ "%USERPROFILE%\AppData\Local\Temp\OnboardLogs"\RTDC4006\2017-11-24 --exclude "*" --recursive --include "*20171124*" &amp; "%USERPROFILE%\Documents\GitHub\mrs-test-scripts\Headless Mode &amp; Sideloading\WalkAndUnGZ.bat" "%USERPROFILE%\AppData\Local\Temp\OnboardLogs"\RTDC4006\2017-11-24 &amp; aws s3 cp s3://rtdc.mdm.uploadarchive.raw/RTDC4006/ "%USERPROFILE%\AppData\Local\Temp\OnboardLogs"\RTDC4006\2017-11-25 --exclude "*" --recursive --include "*20171125*" &amp; "%USERPROFILE%\Documents\GitHub\mrs-test-scripts\Headless Mode &amp; Sideloading\WalkAndUnGZ.bat" "%USERPROFILE%\AppData\Local\Temp\OnboardLogs"\RTDC4006\2017-11-25</v>
      </c>
      <c r="AF15" s="235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/stypes="app*4006*20171124*" /stext=" 11:.+((SYSTEM_STATE.+slice.+state.+changed )|(ment ac)|(multiple cpu faults)|(system.+state.+changed )|(\[timeout)|(PRM\|1\|D)|(kpr)|(kdp)|(train st.+moving)|(\|lc)|(penalty))"</v>
      </c>
      <c r="AG15" s="245" t="str">
        <f>DetSubdiv(A15)</f>
        <v>EC</v>
      </c>
      <c r="AH15" s="237" t="str">
        <f t="shared" si="5"/>
        <v>"%USERPROFILE%\Documents\GitHub\eaglep3\Utilities\RefineRTDCRunTimes.py" --tripid 103-24 --locoid 4006 --swversion DE.1.0.9.0 --startMP 204:508 --initTime 2017-11-24T03:40:47 --startdatetime 2017-11-24T03:45:17 --delay 61 --endMP 204:233280 --enddatetime 2017-11-24T04:20:55 --enforcementcount 0 &gt;&gt;%USERPROFILE%\Documents\GitHub\eaglep3-reporting\EC\2017-11-24-refined-times.txt</v>
      </c>
      <c r="AI15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{"issue":{"subject":"","project_id":79,"tracker_id":40,"status_id":1,"priority_id":2,"assigned_to_id":338,"start_date":"2017-11-24","description":"","custom_fields":[{"id":1,"name":"Subdivision","value":"EC"},{"id":4,"name":"Milepost","value":"23.328"},{"id":17,"name":"Train ID","value":"103-24"},{"id":16,"name":"Locomotive ID","value":"4006"},{"id":130,"name":"Impact","value":""},{"id":150,"name":"Time of Event (Mountain Time)","value":"04:20:55"},{"id":151,"name":"Denver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4"/>
      <c r="AK15" s="232"/>
      <c r="AL15" s="232"/>
      <c r="AM15" s="241" t="str">
        <f t="shared" si="7"/>
        <v>start /low /b %USERPROFILE%\Documents\GitHub\eaglep3\Utilities\DownloadLogsFromS3.py --loco 4006 --day 2017-11-24</v>
      </c>
      <c r="AN15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11:20:55"},{"id":29,"name":"Sharepoint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1" t="str">
        <f t="shared" si="9"/>
        <v>https://d0f6bd738d7f1b3e5a7ca70fe4ff75f0.us-east-1.aws.found.io/app/kibana#/discover/Steve-Slow-Train-Analysis-(2080s-and-2083s)?_g=(refreshInterval:(display:Off,pause:!f,section:0,value:0),time:(from:'2017-11-24T02:40:47-0700',mode:absolute,to:'2017-11-24T05:20:55-0700'))&amp;_a=(columns:!('Message%20ID',Summary),filters:!(),index:'emp_*',interval:auto,query:(query_string:(analyze_wildcard:!t,query:'%22rtdc.l.rtdc.4006%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30" t="s">
        <v>709</v>
      </c>
      <c r="B16" s="226">
        <v>4005</v>
      </c>
      <c r="C16" s="228" t="s">
        <v>192</v>
      </c>
      <c r="D16" s="228" t="s">
        <v>599</v>
      </c>
      <c r="E16" s="227">
        <v>43063.192928240744</v>
      </c>
      <c r="F16" s="227">
        <v>43063.196076388886</v>
      </c>
      <c r="G16" s="226">
        <v>55</v>
      </c>
      <c r="H16" s="228" t="s">
        <v>923</v>
      </c>
      <c r="I16" s="227">
        <v>43063.222245370373</v>
      </c>
      <c r="J16" s="226">
        <v>0</v>
      </c>
      <c r="K16" s="238" t="str">
        <f>IF(ISEVEN(B16),(B16-1)&amp;"/"&amp;B16,B16&amp;"/"&amp;(B16+1))</f>
        <v>4005/4006</v>
      </c>
      <c r="L16" s="246" t="str">
        <f>VLOOKUP(A16,'Trips&amp;Operators'!$C$1:$G$99911,5,FALSE)</f>
        <v>MAELZER KURT</v>
      </c>
      <c r="M16" s="225">
        <f>I16-F16</f>
        <v>2.6168981486989651E-2</v>
      </c>
      <c r="N16" s="226">
        <f>24*60*SUM($M16:$M16)</f>
        <v>37.683333341265097</v>
      </c>
      <c r="O16" s="226"/>
      <c r="P16" s="226"/>
      <c r="Q16" s="229"/>
      <c r="R16" s="243"/>
      <c r="S16" s="250">
        <f>1/IF(AG16="EC",12,1)*SUM(U16:U16)</f>
        <v>1</v>
      </c>
      <c r="T16" s="243" t="str">
        <f>IF(ISEVEN(LEFT(AD16,4)),"Southbound","NorthBound")</f>
        <v>Southbound</v>
      </c>
      <c r="U16" s="24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9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-11-24T03:37:49-0700',mode:absolute,to:'2017-11-24T06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" s="248" t="str">
        <f>IF(AA16&lt;VLOOKUP(AG16,Variables!$AC$3:$AD$8,2,FALSE),"Y","N")</f>
        <v>N</v>
      </c>
      <c r="X16" s="248">
        <f>VALUE(LEFT(AD16,4))-VALUE(LEFT(AD15,4))</f>
        <v>1</v>
      </c>
      <c r="Y16" s="248">
        <f>RIGHT(D16,LEN(D16)-4)/10000</f>
        <v>23.299099999999999</v>
      </c>
      <c r="Z16" s="248">
        <f>RIGHT(H16,LEN(H16)-4)/10000</f>
        <v>1.9099999999999999E-2</v>
      </c>
      <c r="AA16" s="248">
        <f>ABS(Z16-Y16)</f>
        <v>23.279999999999998</v>
      </c>
      <c r="AB16" s="234" t="e">
        <f>VLOOKUP(A16,Enforcements!$C$7:$K$9,8,0)</f>
        <v>#N/A</v>
      </c>
      <c r="AC16" s="233" t="e">
        <f>VLOOKUP(A16,Enforcements!$C$7:$E$9,3,0)</f>
        <v>#N/A</v>
      </c>
      <c r="AD16" s="244">
        <f>VALUE(LEFT(A16,LEN(A16)-3))</f>
        <v>104</v>
      </c>
      <c r="AE16" s="236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s3://rtdc.mdm.uploadarchive.raw/RTDC4005/ "%USERPROFILE%\AppData\Local\Temp\OnboardLogs"\RTDC4005\2017-11-24 --exclude "*" --recursive --include "*20171124*" &amp; "%USERPROFILE%\Documents\GitHub\mrs-test-scripts\Headless Mode &amp; Sideloading\WalkAndUnGZ.bat" "%USERPROFILE%\AppData\Local\Temp\OnboardLogs"\RTDC4005\2017-11-24 &amp; aws s3 cp s3://rtdc.mdm.uploadarchive.raw/RTDC4005/ "%USERPROFILE%\AppData\Local\Temp\OnboardLogs"\RTDC4005\2017-11-25 --exclude "*" --recursive --include "*20171125*" &amp; "%USERPROFILE%\Documents\GitHub\mrs-test-scripts\Headless Mode &amp; Sideloading\WalkAndUnGZ.bat" "%USERPROFILE%\AppData\Local\Temp\OnboardLogs"\RTDC4005\2017-11-25</v>
      </c>
      <c r="AF16" s="235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/stypes="app*4005*20171124*" /stext=" 12:.+((SYSTEM_STATE.+slice.+state.+changed )|(ment ac)|(multiple cpu faults)|(system.+state.+changed )|(\[timeout)|(PRM\|1\|D)|(kpr)|(kdp)|(train st.+moving)|(\|lc)|(penalty))"</v>
      </c>
      <c r="AG16" s="245" t="str">
        <f>DetSubdiv(A16)</f>
        <v>EC</v>
      </c>
      <c r="AH16" s="237" t="str">
        <f t="shared" si="5"/>
        <v>"%USERPROFILE%\Documents\GitHub\eaglep3\Utilities\RefineRTDCRunTimes.py" --tripid 104-24 --locoid 4005 --swversion DE.1.0.9.0 --startMP 204:232991 --initTime 2017-11-24T04:37:49 --startdatetime 2017-11-24T04:42:21 --delay 55 --endMP 204:191 --enddatetime 2017-11-24T05:20:02 --enforcementcount 0 &gt;&gt;%USERPROFILE%\Documents\GitHub\eaglep3-reporting\EC\2017-11-24-refined-times.txt</v>
      </c>
      <c r="AI16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{"issue":{"subject":"","project_id":79,"tracker_id":40,"status_id":1,"priority_id":2,"assigned_to_id":338,"start_date":"2017-11-24","description":"","custom_fields":[{"id":1,"name":"Subdivision","value":"EC"},{"id":4,"name":"Milepost","value":"0.0191"},{"id":17,"name":"Train ID","value":"104-24"},{"id":16,"name":"Locomotive ID","value":"4005"},{"id":130,"name":"Impact","value":""},{"id":150,"name":"Time of Event (Mountain Time)","value":"05:20:02"},{"id":151,"name":"Denver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4"/>
      <c r="AK16" s="232"/>
      <c r="AL16" s="232"/>
      <c r="AM16" s="241" t="str">
        <f t="shared" si="7"/>
        <v>start /low /b %USERPROFILE%\Documents\GitHub\eaglep3\Utilities\DownloadLogsFromS3.py --loco 4005 --day 2017-11-24</v>
      </c>
      <c r="AN16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12:20:02"},{"id":29,"name":"Sharepoint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1" t="str">
        <f t="shared" si="9"/>
        <v>https://d0f6bd738d7f1b3e5a7ca70fe4ff75f0.us-east-1.aws.found.io/app/kibana#/discover/Steve-Slow-Train-Analysis-(2080s-and-2083s)?_g=(refreshInterval:(display:Off,pause:!f,section:0,value:0),time:(from:'2017-11-24T03:37:49-0700',mode:absolute,to:'2017-11-24T06:20:02-0700'))&amp;_a=(columns:!('Message%20ID',Summary),filters:!(),index:'emp_*',interval:auto,query:(query_string:(analyze_wildcard:!t,query:'%22rtdc.l.rtdc.4005%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30" t="s">
        <v>703</v>
      </c>
      <c r="B17" s="226">
        <v>4010</v>
      </c>
      <c r="C17" s="228" t="s">
        <v>192</v>
      </c>
      <c r="D17" s="228" t="s">
        <v>924</v>
      </c>
      <c r="E17" s="227">
        <v>43063.173703703702</v>
      </c>
      <c r="F17" s="227">
        <v>43063.177465277775</v>
      </c>
      <c r="G17" s="226">
        <v>113</v>
      </c>
      <c r="H17" s="228" t="s">
        <v>492</v>
      </c>
      <c r="I17" s="227">
        <v>43063.202430555553</v>
      </c>
      <c r="J17" s="226">
        <v>0</v>
      </c>
      <c r="K17" s="238" t="str">
        <f>IF(ISEVEN(B17),(B17-1)&amp;"/"&amp;B17,B17&amp;"/"&amp;(B17+1))</f>
        <v>4009/4010</v>
      </c>
      <c r="L17" s="246" t="str">
        <f>VLOOKUP(A17,'Trips&amp;Operators'!$C$1:$G$99911,5,FALSE)</f>
        <v>STARKS ANGELINA</v>
      </c>
      <c r="M17" s="225">
        <f>I17-F17</f>
        <v>2.4965277778392192E-2</v>
      </c>
      <c r="N17" s="226">
        <f>24*60*SUM($M17:$M17)</f>
        <v>35.950000000884756</v>
      </c>
      <c r="O17" s="226"/>
      <c r="P17" s="226"/>
      <c r="Q17" s="229"/>
      <c r="R17" s="243"/>
      <c r="S17" s="250">
        <f>1/IF(AG17="EC",12,1)*SUM(U17:U17)</f>
        <v>1</v>
      </c>
      <c r="T17" s="243" t="str">
        <f>IF(ISEVEN(LEFT(AD17,4)),"Southbound","NorthBound")</f>
        <v>NorthBound</v>
      </c>
      <c r="U17" s="24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9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-11-24T03:10:08-0700',mode:absolute,to:'2017-11-24T05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" s="248" t="str">
        <f>IF(AA17&lt;VLOOKUP(AG17,Variables!$AC$3:$AD$8,2,FALSE),"Y","N")</f>
        <v>N</v>
      </c>
      <c r="X17" s="248">
        <f>VALUE(LEFT(AD17,4))-VALUE(LEFT(AD16,4))</f>
        <v>1</v>
      </c>
      <c r="Y17" s="248">
        <f>RIGHT(D17,LEN(D17)-4)/10000</f>
        <v>4.5499999999999999E-2</v>
      </c>
      <c r="Z17" s="248">
        <f>RIGHT(H17,LEN(H17)-4)/10000</f>
        <v>23.3291</v>
      </c>
      <c r="AA17" s="248">
        <f>ABS(Z17-Y17)</f>
        <v>23.2836</v>
      </c>
      <c r="AB17" s="234" t="e">
        <f>VLOOKUP(A17,Enforcements!$C$7:$K$9,8,0)</f>
        <v>#N/A</v>
      </c>
      <c r="AC17" s="233" t="e">
        <f>VLOOKUP(A17,Enforcements!$C$7:$E$9,3,0)</f>
        <v>#N/A</v>
      </c>
      <c r="AD17" s="244">
        <f>VALUE(LEFT(A17,LEN(A17)-3))</f>
        <v>105</v>
      </c>
      <c r="AE17" s="236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s3://rtdc.mdm.uploadarchive.raw/RTDC4010/ "%USERPROFILE%\AppData\Local\Temp\OnboardLogs"\RTDC4010\2017-11-24 --exclude "*" --recursive --include "*20171124*" &amp; "%USERPROFILE%\Documents\GitHub\mrs-test-scripts\Headless Mode &amp; Sideloading\WalkAndUnGZ.bat" "%USERPROFILE%\AppData\Local\Temp\OnboardLogs"\RTDC4010\2017-11-24 &amp; aws s3 cp s3://rtdc.mdm.uploadarchive.raw/RTDC4010/ "%USERPROFILE%\AppData\Local\Temp\OnboardLogs"\RTDC4010\2017-11-25 --exclude "*" --recursive --include "*20171125*" &amp; "%USERPROFILE%\Documents\GitHub\mrs-test-scripts\Headless Mode &amp; Sideloading\WalkAndUnGZ.bat" "%USERPROFILE%\AppData\Local\Temp\OnboardLogs"\RTDC4010\2017-11-25</v>
      </c>
      <c r="AF17" s="235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/stypes="app*4010*20171124*" /stext=" 11:.+((SYSTEM_STATE.+slice.+state.+changed )|(ment ac)|(multiple cpu faults)|(system.+state.+changed )|(\[timeout)|(PRM\|1\|D)|(kpr)|(kdp)|(train st.+moving)|(\|lc)|(penalty))"</v>
      </c>
      <c r="AG17" s="245" t="str">
        <f>DetSubdiv(A17)</f>
        <v>EC</v>
      </c>
      <c r="AH17" s="237" t="str">
        <f t="shared" si="5"/>
        <v>"%USERPROFILE%\Documents\GitHub\eaglep3\Utilities\RefineRTDCRunTimes.py" --tripid 105-24 --locoid 4010 --swversion DE.1.0.9.0 --startMP 204:455 --initTime 2017-11-24T04:10:08 --startdatetime 2017-11-24T04:15:33 --delay 113 --endMP 204:233291 --enddatetime 2017-11-24T04:51:30 --enforcementcount 0 &gt;&gt;%USERPROFILE%\Documents\GitHub\eaglep3-reporting\EC\2017-11-24-refined-times.txt</v>
      </c>
      <c r="AI17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{"issue":{"subject":"","project_id":79,"tracker_id":40,"status_id":1,"priority_id":2,"assigned_to_id":338,"start_date":"2017-11-24","description":"","custom_fields":[{"id":1,"name":"Subdivision","value":"EC"},{"id":4,"name":"Milepost","value":"23.3291"},{"id":17,"name":"Train ID","value":"105-24"},{"id":16,"name":"Locomotive ID","value":"4010"},{"id":130,"name":"Impact","value":""},{"id":150,"name":"Time of Event (Mountain Time)","value":"04:51:30"},{"id":151,"name":"Denver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4"/>
      <c r="AK17" s="232"/>
      <c r="AL17" s="232"/>
      <c r="AM17" s="241" t="str">
        <f t="shared" si="7"/>
        <v>start /low /b %USERPROFILE%\Documents\GitHub\eaglep3\Utilities\DownloadLogsFromS3.py --loco 4010 --day 2017-11-24</v>
      </c>
      <c r="AN17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11:51:30"},{"id":29,"name":"Sharepoint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1" t="str">
        <f t="shared" si="9"/>
        <v>https://d0f6bd738d7f1b3e5a7ca70fe4ff75f0.us-east-1.aws.found.io/app/kibana#/discover/Steve-Slow-Train-Analysis-(2080s-and-2083s)?_g=(refreshInterval:(display:Off,pause:!f,section:0,value:0),time:(from:'2017-11-24T03:10:08-0700',mode:absolute,to:'2017-11-24T05:51:30-0700'))&amp;_a=(columns:!('Message%20ID',Summary),filters:!(),index:'emp_*',interval:auto,query:(query_string:(analyze_wildcard:!t,query:'%22rtdc.l.rtdc.4010%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30" t="s">
        <v>716</v>
      </c>
      <c r="B18" s="226">
        <v>4009</v>
      </c>
      <c r="C18" s="228" t="s">
        <v>192</v>
      </c>
      <c r="D18" s="228" t="s">
        <v>925</v>
      </c>
      <c r="E18" s="227">
        <v>43063.20579861111</v>
      </c>
      <c r="F18" s="227">
        <v>43063.216828703706</v>
      </c>
      <c r="G18" s="226">
        <v>59</v>
      </c>
      <c r="H18" s="228" t="s">
        <v>629</v>
      </c>
      <c r="I18" s="227">
        <v>43063.24386574074</v>
      </c>
      <c r="J18" s="226">
        <v>0</v>
      </c>
      <c r="K18" s="238" t="str">
        <f>IF(ISEVEN(B18),(B18-1)&amp;"/"&amp;B18,B18&amp;"/"&amp;(B18+1))</f>
        <v>4009/4010</v>
      </c>
      <c r="L18" s="246" t="str">
        <f>VLOOKUP(A18,'Trips&amp;Operators'!$C$1:$G$99911,5,FALSE)</f>
        <v>STARKS ANGELINA</v>
      </c>
      <c r="M18" s="225">
        <f>I18-F18</f>
        <v>2.7037037034460809E-2</v>
      </c>
      <c r="N18" s="226">
        <f>24*60*SUM($M18:$M18)</f>
        <v>38.933333329623565</v>
      </c>
      <c r="O18" s="226"/>
      <c r="P18" s="226"/>
      <c r="Q18" s="229"/>
      <c r="R18" s="243"/>
      <c r="S18" s="250">
        <f>1/IF(AG18="EC",12,1)*SUM(U18:U18)</f>
        <v>1</v>
      </c>
      <c r="T18" s="243" t="str">
        <f>IF(ISEVEN(LEFT(AD18,4)),"Southbound","NorthBound")</f>
        <v>Southbound</v>
      </c>
      <c r="U18" s="24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9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-11-24T03:56:21-0700',mode:absolute,to:'2017-11-24T06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" s="248" t="str">
        <f>IF(AA18&lt;VLOOKUP(AG18,Variables!$AC$3:$AD$8,2,FALSE),"Y","N")</f>
        <v>N</v>
      </c>
      <c r="X18" s="248">
        <f>VALUE(LEFT(AD18,4))-VALUE(LEFT(AD17,4))</f>
        <v>1</v>
      </c>
      <c r="Y18" s="248">
        <f>RIGHT(D18,LEN(D18)-4)/10000</f>
        <v>23.296700000000001</v>
      </c>
      <c r="Z18" s="248">
        <f>RIGHT(H18,LEN(H18)-4)/10000</f>
        <v>1.4999999999999999E-2</v>
      </c>
      <c r="AA18" s="248">
        <f>ABS(Z18-Y18)</f>
        <v>23.281700000000001</v>
      </c>
      <c r="AB18" s="234" t="e">
        <f>VLOOKUP(A18,Enforcements!$C$7:$K$9,8,0)</f>
        <v>#N/A</v>
      </c>
      <c r="AC18" s="233" t="e">
        <f>VLOOKUP(A18,Enforcements!$C$7:$E$9,3,0)</f>
        <v>#N/A</v>
      </c>
      <c r="AD18" s="244">
        <f>VALUE(LEFT(A18,LEN(A18)-3))</f>
        <v>106</v>
      </c>
      <c r="AE18" s="236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s3://rtdc.mdm.uploadarchive.raw/RTDC4009/ "%USERPROFILE%\AppData\Local\Temp\OnboardLogs"\RTDC4009\2017-11-24 --exclude "*" --recursive --include "*20171124*" &amp; "%USERPROFILE%\Documents\GitHub\mrs-test-scripts\Headless Mode &amp; Sideloading\WalkAndUnGZ.bat" "%USERPROFILE%\AppData\Local\Temp\OnboardLogs"\RTDC4009\2017-11-24 &amp; aws s3 cp s3://rtdc.mdm.uploadarchive.raw/RTDC4009/ "%USERPROFILE%\AppData\Local\Temp\OnboardLogs"\RTDC4009\2017-11-25 --exclude "*" --recursive --include "*20171125*" &amp; "%USERPROFILE%\Documents\GitHub\mrs-test-scripts\Headless Mode &amp; Sideloading\WalkAndUnGZ.bat" "%USERPROFILE%\AppData\Local\Temp\OnboardLogs"\RTDC4009\2017-11-25</v>
      </c>
      <c r="AF18" s="235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/stypes="app*4009*20171124*" /stext=" 12:.+((SYSTEM_STATE.+slice.+state.+changed )|(ment ac)|(multiple cpu faults)|(system.+state.+changed )|(\[timeout)|(PRM\|1\|D)|(kpr)|(kdp)|(train st.+moving)|(\|lc)|(penalty))"</v>
      </c>
      <c r="AG18" s="245" t="str">
        <f>DetSubdiv(A18)</f>
        <v>EC</v>
      </c>
      <c r="AH18" s="237" t="str">
        <f t="shared" si="5"/>
        <v>"%USERPROFILE%\Documents\GitHub\eaglep3\Utilities\RefineRTDCRunTimes.py" --tripid 106-24 --locoid 4009 --swversion DE.1.0.9.0 --startMP 204:232967 --initTime 2017-11-24T04:56:21 --startdatetime 2017-11-24T05:12:14 --delay 59 --endMP 204:150 --enddatetime 2017-11-24T05:51:10 --enforcementcount 0 &gt;&gt;%USERPROFILE%\Documents\GitHub\eaglep3-reporting\EC\2017-11-24-refined-times.txt</v>
      </c>
      <c r="AI18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{"issue":{"subject":"","project_id":79,"tracker_id":40,"status_id":1,"priority_id":2,"assigned_to_id":338,"start_date":"2017-11-24","description":"","custom_fields":[{"id":1,"name":"Subdivision","value":"EC"},{"id":4,"name":"Milepost","value":"0.015"},{"id":17,"name":"Train ID","value":"106-24"},{"id":16,"name":"Locomotive ID","value":"4009"},{"id":130,"name":"Impact","value":""},{"id":150,"name":"Time of Event (Mountain Time)","value":"05:51:10"},{"id":151,"name":"Denver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4"/>
      <c r="AK18" s="232"/>
      <c r="AL18" s="232"/>
      <c r="AM18" s="241" t="str">
        <f t="shared" si="7"/>
        <v>start /low /b %USERPROFILE%\Documents\GitHub\eaglep3\Utilities\DownloadLogsFromS3.py --loco 4009 --day 2017-11-24</v>
      </c>
      <c r="AN18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12:51:10"},{"id":29,"name":"Sharepoint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1" t="str">
        <f t="shared" si="9"/>
        <v>https://d0f6bd738d7f1b3e5a7ca70fe4ff75f0.us-east-1.aws.found.io/app/kibana#/discover/Steve-Slow-Train-Analysis-(2080s-and-2083s)?_g=(refreshInterval:(display:Off,pause:!f,section:0,value:0),time:(from:'2017-11-24T03:56:21-0700',mode:absolute,to:'2017-11-24T06:51:10-0700'))&amp;_a=(columns:!('Message%20ID',Summary),filters:!(),index:'emp_*',interval:auto,query:(query_string:(analyze_wildcard:!t,query:'%22rtdc.l.rtdc.4009%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30" t="s">
        <v>704</v>
      </c>
      <c r="B19" s="226">
        <v>4036</v>
      </c>
      <c r="C19" s="228" t="s">
        <v>192</v>
      </c>
      <c r="D19" s="228" t="s">
        <v>926</v>
      </c>
      <c r="E19" s="227">
        <v>43063.18141203704</v>
      </c>
      <c r="F19" s="227">
        <v>43063.187685185185</v>
      </c>
      <c r="G19" s="226">
        <v>82</v>
      </c>
      <c r="H19" s="228" t="s">
        <v>927</v>
      </c>
      <c r="I19" s="227">
        <v>43063.213333333333</v>
      </c>
      <c r="J19" s="226">
        <v>0</v>
      </c>
      <c r="K19" s="238" t="str">
        <f>IF(ISEVEN(B19),(B19-1)&amp;"/"&amp;B19,B19&amp;"/"&amp;(B19+1))</f>
        <v>4035/4036</v>
      </c>
      <c r="L19" s="246" t="str">
        <f>VLOOKUP(A19,'Trips&amp;Operators'!$C$1:$G$99911,5,FALSE)</f>
        <v>LONG FULLER</v>
      </c>
      <c r="M19" s="225">
        <f>I19-F19</f>
        <v>2.5648148148320615E-2</v>
      </c>
      <c r="N19" s="226">
        <f>24*60*SUM($M19:$M19)</f>
        <v>36.933333333581686</v>
      </c>
      <c r="O19" s="226"/>
      <c r="P19" s="226"/>
      <c r="Q19" s="229"/>
      <c r="R19" s="243"/>
      <c r="S19" s="250">
        <f>1/IF(AG19="EC",12,1)*SUM(U19:U19)</f>
        <v>1</v>
      </c>
      <c r="T19" s="243" t="str">
        <f>IF(ISEVEN(LEFT(AD19,4)),"Southbound","NorthBound")</f>
        <v>NorthBound</v>
      </c>
      <c r="U19" s="24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9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-11-24T03:21:14-0700',mode:absolute,to:'2017-11-24T06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" s="248" t="str">
        <f>IF(AA19&lt;VLOOKUP(AG19,Variables!$AC$3:$AD$8,2,FALSE),"Y","N")</f>
        <v>N</v>
      </c>
      <c r="X19" s="248">
        <f>VALUE(LEFT(AD19,4))-VALUE(LEFT(AD18,4))</f>
        <v>1</v>
      </c>
      <c r="Y19" s="248">
        <f>RIGHT(D19,LEN(D19)-4)/10000</f>
        <v>4.4699999999999997E-2</v>
      </c>
      <c r="Z19" s="248">
        <f>RIGHT(H19,LEN(H19)-4)/10000</f>
        <v>23.331</v>
      </c>
      <c r="AA19" s="248">
        <f>ABS(Z19-Y19)</f>
        <v>23.286300000000001</v>
      </c>
      <c r="AB19" s="234" t="e">
        <f>VLOOKUP(A19,Enforcements!$C$7:$K$9,8,0)</f>
        <v>#N/A</v>
      </c>
      <c r="AC19" s="233" t="e">
        <f>VLOOKUP(A19,Enforcements!$C$7:$E$9,3,0)</f>
        <v>#N/A</v>
      </c>
      <c r="AD19" s="244">
        <f>VALUE(LEFT(A19,LEN(A19)-3))</f>
        <v>107</v>
      </c>
      <c r="AE19" s="236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 &amp; aws s3 cp s3://rtdc.mdm.uploadarchive.raw/RTDC4036/ "%USERPROFILE%\AppData\Local\Temp\OnboardLogs"\RTDC4036\2017-11-25 --exclude "*" --recursive --include "*20171125*" &amp; "%USERPROFILE%\Documents\GitHub\mrs-test-scripts\Headless Mode &amp; Sideloading\WalkAndUnGZ.bat" "%USERPROFILE%\AppData\Local\Temp\OnboardLogs"\RTDC4036\2017-11-25</v>
      </c>
      <c r="AF19" s="235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/stypes="app*4036*20171124*" /stext=" 12:.+((SYSTEM_STATE.+slice.+state.+changed )|(ment ac)|(multiple cpu faults)|(system.+state.+changed )|(\[timeout)|(PRM\|1\|D)|(kpr)|(kdp)|(train st.+moving)|(\|lc)|(penalty))"</v>
      </c>
      <c r="AG19" s="245" t="str">
        <f>DetSubdiv(A19)</f>
        <v>EC</v>
      </c>
      <c r="AH19" s="237" t="str">
        <f t="shared" si="5"/>
        <v>"%USERPROFILE%\Documents\GitHub\eaglep3\Utilities\RefineRTDCRunTimes.py" --tripid 107-24 --locoid 4036 --swversion DE.1.0.9.0 --startMP 204:447 --initTime 2017-11-24T04:21:14 --startdatetime 2017-11-24T04:30:16 --delay 82 --endMP 204:233310 --enddatetime 2017-11-24T05:07:12 --enforcementcount 0 &gt;&gt;%USERPROFILE%\Documents\GitHub\eaglep3-reporting\EC\2017-11-24-refined-times.txt</v>
      </c>
      <c r="AI19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{"issue":{"subject":"","project_id":79,"tracker_id":40,"status_id":1,"priority_id":2,"assigned_to_id":338,"start_date":"2017-11-24","description":"","custom_fields":[{"id":1,"name":"Subdivision","value":"EC"},{"id":4,"name":"Milepost","value":"23.331"},{"id":17,"name":"Train ID","value":"107-24"},{"id":16,"name":"Locomotive ID","value":"4036"},{"id":130,"name":"Impact","value":""},{"id":150,"name":"Time of Event (Mountain Time)","value":"05:07:12"},{"id":151,"name":"Denver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4"/>
      <c r="AK19" s="232"/>
      <c r="AL19" s="232"/>
      <c r="AM19" s="241" t="str">
        <f t="shared" si="7"/>
        <v>start /low /b %USERPROFILE%\Documents\GitHub\eaglep3\Utilities\DownloadLogsFromS3.py --loco 4036 --day 2017-11-24</v>
      </c>
      <c r="AN19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12:07:12"},{"id":29,"name":"Sharepoint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1" t="str">
        <f t="shared" si="9"/>
        <v>https://d0f6bd738d7f1b3e5a7ca70fe4ff75f0.us-east-1.aws.found.io/app/kibana#/discover/Steve-Slow-Train-Analysis-(2080s-and-2083s)?_g=(refreshInterval:(display:Off,pause:!f,section:0,value:0),time:(from:'2017-11-24T03:21:14-0700',mode:absolute,to:'2017-11-24T06:07:12-0700'))&amp;_a=(columns:!('Message%20ID',Summary),filters:!(),index:'emp_*',interval:auto,query:(query_string:(analyze_wildcard:!t,query:'%22rtdc.l.rtdc.4036%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30" t="s">
        <v>723</v>
      </c>
      <c r="B20" s="226">
        <v>4035</v>
      </c>
      <c r="C20" s="228" t="s">
        <v>192</v>
      </c>
      <c r="D20" s="228" t="s">
        <v>591</v>
      </c>
      <c r="E20" s="227">
        <v>43063.221134259256</v>
      </c>
      <c r="F20" s="227">
        <v>43063.227268518516</v>
      </c>
      <c r="G20" s="226">
        <v>97</v>
      </c>
      <c r="H20" s="228" t="s">
        <v>596</v>
      </c>
      <c r="I20" s="227">
        <v>43063.254224537035</v>
      </c>
      <c r="J20" s="226">
        <v>0</v>
      </c>
      <c r="K20" s="238" t="str">
        <f>IF(ISEVEN(B20),(B20-1)&amp;"/"&amp;B20,B20&amp;"/"&amp;(B20+1))</f>
        <v>4035/4036</v>
      </c>
      <c r="L20" s="246" t="str">
        <f>VLOOKUP(A20,'Trips&amp;Operators'!$C$1:$G$99911,5,FALSE)</f>
        <v>LONG FULLER</v>
      </c>
      <c r="M20" s="225">
        <f>I20-F20</f>
        <v>2.6956018518831115E-2</v>
      </c>
      <c r="N20" s="226">
        <f>24*60*SUM($M20:$M20)</f>
        <v>38.816666667116806</v>
      </c>
      <c r="O20" s="226"/>
      <c r="P20" s="226"/>
      <c r="Q20" s="229"/>
      <c r="R20" s="243"/>
      <c r="S20" s="250">
        <f>1/IF(AG20="EC",12,1)*SUM(U20:U20)</f>
        <v>1</v>
      </c>
      <c r="T20" s="243" t="str">
        <f>IF(ISEVEN(LEFT(AD20,4)),"Southbound","NorthBound")</f>
        <v>Southbound</v>
      </c>
      <c r="U20" s="24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9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-11-24T04:18:26-0700',mode:absolute,to:'2017-11-24T07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" s="248" t="str">
        <f>IF(AA20&lt;VLOOKUP(AG20,Variables!$AC$3:$AD$8,2,FALSE),"Y","N")</f>
        <v>N</v>
      </c>
      <c r="X20" s="248">
        <f>VALUE(LEFT(AD20,4))-VALUE(LEFT(AD19,4))</f>
        <v>1</v>
      </c>
      <c r="Y20" s="248">
        <f>RIGHT(D20,LEN(D20)-4)/10000</f>
        <v>23.298300000000001</v>
      </c>
      <c r="Z20" s="248">
        <f>RIGHT(H20,LEN(H20)-4)/10000</f>
        <v>1.3599999999999999E-2</v>
      </c>
      <c r="AA20" s="248">
        <f>ABS(Z20-Y20)</f>
        <v>23.284700000000001</v>
      </c>
      <c r="AB20" s="234" t="e">
        <f>VLOOKUP(A20,Enforcements!$C$7:$K$9,8,0)</f>
        <v>#N/A</v>
      </c>
      <c r="AC20" s="233" t="e">
        <f>VLOOKUP(A20,Enforcements!$C$7:$E$9,3,0)</f>
        <v>#N/A</v>
      </c>
      <c r="AD20" s="244">
        <f>VALUE(LEFT(A20,LEN(A20)-3))</f>
        <v>108</v>
      </c>
      <c r="AE20" s="236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 &amp; aws s3 cp s3://rtdc.mdm.uploadarchive.raw/RTDC4035/ "%USERPROFILE%\AppData\Local\Temp\OnboardLogs"\RTDC4035\2017-11-25 --exclude "*" --recursive --include "*20171125*" &amp; "%USERPROFILE%\Documents\GitHub\mrs-test-scripts\Headless Mode &amp; Sideloading\WalkAndUnGZ.bat" "%USERPROFILE%\AppData\Local\Temp\OnboardLogs"\RTDC4035\2017-11-25</v>
      </c>
      <c r="AF20" s="235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/stypes="app*4035*20171124*" /stext=" 13:.+((SYSTEM_STATE.+slice.+state.+changed )|(ment ac)|(multiple cpu faults)|(system.+state.+changed )|(\[timeout)|(PRM\|1\|D)|(kpr)|(kdp)|(train st.+moving)|(\|lc)|(penalty))"</v>
      </c>
      <c r="AG20" s="245" t="str">
        <f>DetSubdiv(A20)</f>
        <v>EC</v>
      </c>
      <c r="AH20" s="237" t="str">
        <f t="shared" si="5"/>
        <v>"%USERPROFILE%\Documents\GitHub\eaglep3\Utilities\RefineRTDCRunTimes.py" --tripid 108-24 --locoid 4035 --swversion DE.1.0.9.0 --startMP 204:232983 --initTime 2017-11-24T05:18:26 --startdatetime 2017-11-24T05:27:16 --delay 97 --endMP 204:136 --enddatetime 2017-11-24T06:06:05 --enforcementcount 0 &gt;&gt;%USERPROFILE%\Documents\GitHub\eaglep3-reporting\EC\2017-11-24-refined-times.txt</v>
      </c>
      <c r="AI20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{"issue":{"subject":"","project_id":79,"tracker_id":40,"status_id":1,"priority_id":2,"assigned_to_id":338,"start_date":"2017-11-24","description":"","custom_fields":[{"id":1,"name":"Subdivision","value":"EC"},{"id":4,"name":"Milepost","value":"0.0136"},{"id":17,"name":"Train ID","value":"108-24"},{"id":16,"name":"Locomotive ID","value":"4035"},{"id":130,"name":"Impact","value":""},{"id":150,"name":"Time of Event (Mountain Time)","value":"06:06:05"},{"id":151,"name":"Denver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4"/>
      <c r="AK20" s="232"/>
      <c r="AL20" s="232"/>
      <c r="AM20" s="241" t="str">
        <f t="shared" si="7"/>
        <v>start /low /b %USERPROFILE%\Documents\GitHub\eaglep3\Utilities\DownloadLogsFromS3.py --loco 4035 --day 2017-11-24</v>
      </c>
      <c r="AN20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13:06:05"},{"id":29,"name":"Sharepoint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1" t="str">
        <f t="shared" si="9"/>
        <v>https://d0f6bd738d7f1b3e5a7ca70fe4ff75f0.us-east-1.aws.found.io/app/kibana#/discover/Steve-Slow-Train-Analysis-(2080s-and-2083s)?_g=(refreshInterval:(display:Off,pause:!f,section:0,value:0),time:(from:'2017-11-24T04:18:26-0700',mode:absolute,to:'2017-11-24T07:06:05-0700'))&amp;_a=(columns:!('Message%20ID',Summary),filters:!(),index:'emp_*',interval:auto,query:(query_string:(analyze_wildcard:!t,query:'%22rtdc.l.rtdc.4035%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30" t="s">
        <v>711</v>
      </c>
      <c r="B21" s="226">
        <v>4002</v>
      </c>
      <c r="C21" s="228" t="s">
        <v>192</v>
      </c>
      <c r="D21" s="228" t="s">
        <v>631</v>
      </c>
      <c r="E21" s="227">
        <v>43063.192928240744</v>
      </c>
      <c r="F21" s="227">
        <v>43063.198113425926</v>
      </c>
      <c r="G21" s="226">
        <v>63</v>
      </c>
      <c r="H21" s="228" t="s">
        <v>609</v>
      </c>
      <c r="I21" s="227">
        <v>43063.224409722221</v>
      </c>
      <c r="J21" s="226">
        <v>0</v>
      </c>
      <c r="K21" s="238" t="str">
        <f>IF(ISEVEN(B21),(B21-1)&amp;"/"&amp;B21,B21&amp;"/"&amp;(B21+1))</f>
        <v>4001/4002</v>
      </c>
      <c r="L21" s="246" t="str">
        <f>VLOOKUP(A21,'Trips&amp;Operators'!$C$1:$G$99911,5,FALSE)</f>
        <v>HUFFSMITH MONTY</v>
      </c>
      <c r="M21" s="225">
        <f>I21-F21</f>
        <v>2.6296296295186039E-2</v>
      </c>
      <c r="N21" s="226">
        <f>24*60*SUM($M21:$M21)</f>
        <v>37.866666665067896</v>
      </c>
      <c r="O21" s="226"/>
      <c r="P21" s="226"/>
      <c r="Q21" s="229"/>
      <c r="R21" s="243"/>
      <c r="S21" s="250">
        <f>1/IF(AG21="EC",12,1)*SUM(U21:U21)</f>
        <v>1</v>
      </c>
      <c r="T21" s="243" t="str">
        <f>IF(ISEVEN(LEFT(AD21,4)),"Southbound","NorthBound")</f>
        <v>NorthBound</v>
      </c>
      <c r="U21" s="24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9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-11-24T03:37:49-0700',mode:absolute,to:'2017-11-24T06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248" t="str">
        <f>IF(AA21&lt;VLOOKUP(AG21,Variables!$AC$3:$AD$8,2,FALSE),"Y","N")</f>
        <v>N</v>
      </c>
      <c r="X21" s="248">
        <f>VALUE(LEFT(AD21,4))-VALUE(LEFT(AD20,4))</f>
        <v>1</v>
      </c>
      <c r="Y21" s="248">
        <f>RIGHT(D21,LEN(D21)-4)/10000</f>
        <v>4.2000000000000003E-2</v>
      </c>
      <c r="Z21" s="248">
        <f>RIGHT(H21,LEN(H21)-4)/10000</f>
        <v>23.332799999999999</v>
      </c>
      <c r="AA21" s="248">
        <f>ABS(Z21-Y21)</f>
        <v>23.290799999999997</v>
      </c>
      <c r="AB21" s="234" t="e">
        <f>VLOOKUP(A21,Enforcements!$C$7:$K$9,8,0)</f>
        <v>#N/A</v>
      </c>
      <c r="AC21" s="233" t="e">
        <f>VLOOKUP(A21,Enforcements!$C$7:$E$9,3,0)</f>
        <v>#N/A</v>
      </c>
      <c r="AD21" s="244">
        <f>VALUE(LEFT(A21,LEN(A21)-3))</f>
        <v>109</v>
      </c>
      <c r="AE21" s="236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s3://rtdc.mdm.uploadarchive.raw/RTDC4002/ "%USERPROFILE%\AppData\Local\Temp\OnboardLogs"\RTDC4002\2017-11-24 --exclude "*" --recursive --include "*20171124*" &amp; "%USERPROFILE%\Documents\GitHub\mrs-test-scripts\Headless Mode &amp; Sideloading\WalkAndUnGZ.bat" "%USERPROFILE%\AppData\Local\Temp\OnboardLogs"\RTDC4002\2017-11-24 &amp; aws s3 cp s3://rtdc.mdm.uploadarchive.raw/RTDC4002/ "%USERPROFILE%\AppData\Local\Temp\OnboardLogs"\RTDC4002\2017-11-25 --exclude "*" --recursive --include "*20171125*" &amp; "%USERPROFILE%\Documents\GitHub\mrs-test-scripts\Headless Mode &amp; Sideloading\WalkAndUnGZ.bat" "%USERPROFILE%\AppData\Local\Temp\OnboardLogs"\RTDC4002\2017-11-25</v>
      </c>
      <c r="AF21" s="235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/stypes="app*4002*20171124*" /stext=" 12:.+((SYSTEM_STATE.+slice.+state.+changed )|(ment ac)|(multiple cpu faults)|(system.+state.+changed )|(\[timeout)|(PRM\|1\|D)|(kpr)|(kdp)|(train st.+moving)|(\|lc)|(penalty))"</v>
      </c>
      <c r="AG21" s="245" t="str">
        <f>DetSubdiv(A21)</f>
        <v>EC</v>
      </c>
      <c r="AH21" s="237" t="str">
        <f t="shared" si="5"/>
        <v>"%USERPROFILE%\Documents\GitHub\eaglep3\Utilities\RefineRTDCRunTimes.py" --tripid 109-24 --locoid 4002 --swversion DE.1.0.9.0 --startMP 204:420 --initTime 2017-11-24T04:37:49 --startdatetime 2017-11-24T04:45:17 --delay 63 --endMP 204:233328 --enddatetime 2017-11-24T05:23:09 --enforcementcount 0 &gt;&gt;%USERPROFILE%\Documents\GitHub\eaglep3-reporting\EC\2017-11-24-refined-times.txt</v>
      </c>
      <c r="AI21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{"issue":{"subject":"","project_id":79,"tracker_id":40,"status_id":1,"priority_id":2,"assigned_to_id":338,"start_date":"2017-11-24","description":"","custom_fields":[{"id":1,"name":"Subdivision","value":"EC"},{"id":4,"name":"Milepost","value":"23.3328"},{"id":17,"name":"Train ID","value":"109-24"},{"id":16,"name":"Locomotive ID","value":"4002"},{"id":130,"name":"Impact","value":""},{"id":150,"name":"Time of Event (Mountain Time)","value":"05:23:09"},{"id":151,"name":"Denver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4"/>
      <c r="AK21" s="232"/>
      <c r="AL21" s="232"/>
      <c r="AM21" s="241" t="str">
        <f t="shared" si="7"/>
        <v>start /low /b %USERPROFILE%\Documents\GitHub\eaglep3\Utilities\DownloadLogsFromS3.py --loco 4002 --day 2017-11-24</v>
      </c>
      <c r="AN21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12:23:09"},{"id":29,"name":"Sharepoint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1" t="str">
        <f t="shared" si="9"/>
        <v>https://d0f6bd738d7f1b3e5a7ca70fe4ff75f0.us-east-1.aws.found.io/app/kibana#/discover/Steve-Slow-Train-Analysis-(2080s-and-2083s)?_g=(refreshInterval:(display:Off,pause:!f,section:0,value:0),time:(from:'2017-11-24T03:37:49-0700',mode:absolute,to:'2017-11-24T06:23:09-0700'))&amp;_a=(columns:!('Message%20ID',Summary),filters:!(),index:'emp_*',interval:auto,query:(query_string:(analyze_wildcard:!t,query:'%22rtdc.l.rtdc.4002%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30" t="s">
        <v>727</v>
      </c>
      <c r="B22" s="226">
        <v>4001</v>
      </c>
      <c r="C22" s="228" t="s">
        <v>192</v>
      </c>
      <c r="D22" s="228" t="s">
        <v>928</v>
      </c>
      <c r="E22" s="227">
        <v>43063.231793981482</v>
      </c>
      <c r="F22" s="227">
        <v>43063.237696759257</v>
      </c>
      <c r="G22" s="226">
        <v>70</v>
      </c>
      <c r="H22" s="228" t="s">
        <v>632</v>
      </c>
      <c r="I22" s="227">
        <v>43063.264374999999</v>
      </c>
      <c r="J22" s="226">
        <v>0</v>
      </c>
      <c r="K22" s="238" t="str">
        <f>IF(ISEVEN(B22),(B22-1)&amp;"/"&amp;B22,B22&amp;"/"&amp;(B22+1))</f>
        <v>4001/4002</v>
      </c>
      <c r="L22" s="246" t="str">
        <f>VLOOKUP(A22,'Trips&amp;Operators'!$C$1:$G$99911,5,FALSE)</f>
        <v>HUFFSMITH MONTY</v>
      </c>
      <c r="M22" s="225">
        <f>I22-F22</f>
        <v>2.6678240741603076E-2</v>
      </c>
      <c r="N22" s="226">
        <f>24*60*SUM($M22:$M22)</f>
        <v>38.41666666790843</v>
      </c>
      <c r="O22" s="226"/>
      <c r="P22" s="226"/>
      <c r="Q22" s="229"/>
      <c r="R22" s="243"/>
      <c r="S22" s="250">
        <f>1/IF(AG22="EC",12,1)*SUM(U22:U22)</f>
        <v>1</v>
      </c>
      <c r="T22" s="243" t="str">
        <f>IF(ISEVEN(LEFT(AD22,4)),"Southbound","NorthBound")</f>
        <v>Southbound</v>
      </c>
      <c r="U22" s="24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9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-11-24T04:33:47-0700',mode:absolute,to:'2017-11-24T07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248" t="str">
        <f>IF(AA22&lt;VLOOKUP(AG22,Variables!$AC$3:$AD$8,2,FALSE),"Y","N")</f>
        <v>N</v>
      </c>
      <c r="X22" s="248">
        <f>VALUE(LEFT(AD22,4))-VALUE(LEFT(AD21,4))</f>
        <v>1</v>
      </c>
      <c r="Y22" s="248">
        <f>RIGHT(D22,LEN(D22)-4)/10000</f>
        <v>23.299199999999999</v>
      </c>
      <c r="Z22" s="248">
        <f>RIGHT(H22,LEN(H22)-4)/10000</f>
        <v>1.38E-2</v>
      </c>
      <c r="AA22" s="248">
        <f>ABS(Z22-Y22)</f>
        <v>23.285399999999999</v>
      </c>
      <c r="AB22" s="234" t="e">
        <f>VLOOKUP(A22,Enforcements!$C$7:$K$9,8,0)</f>
        <v>#N/A</v>
      </c>
      <c r="AC22" s="233" t="e">
        <f>VLOOKUP(A22,Enforcements!$C$7:$E$9,3,0)</f>
        <v>#N/A</v>
      </c>
      <c r="AD22" s="244">
        <f>VALUE(LEFT(A22,LEN(A22)-3))</f>
        <v>110</v>
      </c>
      <c r="AE22" s="236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s3://rtdc.mdm.uploadarchive.raw/RTDC4001/ "%USERPROFILE%\AppData\Local\Temp\OnboardLogs"\RTDC4001\2017-11-24 --exclude "*" --recursive --include "*20171124*" &amp; "%USERPROFILE%\Documents\GitHub\mrs-test-scripts\Headless Mode &amp; Sideloading\WalkAndUnGZ.bat" "%USERPROFILE%\AppData\Local\Temp\OnboardLogs"\RTDC4001\2017-11-24 &amp; aws s3 cp s3://rtdc.mdm.uploadarchive.raw/RTDC4001/ "%USERPROFILE%\AppData\Local\Temp\OnboardLogs"\RTDC4001\2017-11-25 --exclude "*" --recursive --include "*20171125*" &amp; "%USERPROFILE%\Documents\GitHub\mrs-test-scripts\Headless Mode &amp; Sideloading\WalkAndUnGZ.bat" "%USERPROFILE%\AppData\Local\Temp\OnboardLogs"\RTDC4001\2017-11-25</v>
      </c>
      <c r="AF22" s="235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/stypes="app*4001*20171124*" /stext=" 13:.+((SYSTEM_STATE.+slice.+state.+changed )|(ment ac)|(multiple cpu faults)|(system.+state.+changed )|(\[timeout)|(PRM\|1\|D)|(kpr)|(kdp)|(train st.+moving)|(\|lc)|(penalty))"</v>
      </c>
      <c r="AG22" s="245" t="str">
        <f>DetSubdiv(A22)</f>
        <v>EC</v>
      </c>
      <c r="AH22" s="237" t="str">
        <f t="shared" si="5"/>
        <v>"%USERPROFILE%\Documents\GitHub\eaglep3\Utilities\RefineRTDCRunTimes.py" --tripid 110-24 --locoid 4001 --swversion DE.1.0.9.0 --startMP 204:232992 --initTime 2017-11-24T05:33:47 --startdatetime 2017-11-24T05:42:17 --delay 70 --endMP 204:138 --enddatetime 2017-11-24T06:20:42 --enforcementcount 0 &gt;&gt;%USERPROFILE%\Documents\GitHub\eaglep3-reporting\EC\2017-11-24-refined-times.txt</v>
      </c>
      <c r="AI22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{"issue":{"subject":"","project_id":79,"tracker_id":40,"status_id":1,"priority_id":2,"assigned_to_id":338,"start_date":"2017-11-24","description":"","custom_fields":[{"id":1,"name":"Subdivision","value":"EC"},{"id":4,"name":"Milepost","value":"0.0138"},{"id":17,"name":"Train ID","value":"110-24"},{"id":16,"name":"Locomotive ID","value":"4001"},{"id":130,"name":"Impact","value":""},{"id":150,"name":"Time of Event (Mountain Time)","value":"06:20:42"},{"id":151,"name":"Denver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4"/>
      <c r="AK22" s="232"/>
      <c r="AL22" s="232"/>
      <c r="AM22" s="241" t="str">
        <f t="shared" si="7"/>
        <v>start /low /b %USERPROFILE%\Documents\GitHub\eaglep3\Utilities\DownloadLogsFromS3.py --loco 4001 --day 2017-11-24</v>
      </c>
      <c r="AN22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13:20:42"},{"id":29,"name":"Sharepoint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1" t="str">
        <f t="shared" si="9"/>
        <v>https://d0f6bd738d7f1b3e5a7ca70fe4ff75f0.us-east-1.aws.found.io/app/kibana#/discover/Steve-Slow-Train-Analysis-(2080s-and-2083s)?_g=(refreshInterval:(display:Off,pause:!f,section:0,value:0),time:(from:'2017-11-24T04:33:47-0700',mode:absolute,to:'2017-11-24T07:20:42-0700'))&amp;_a=(columns:!('Message%20ID',Summary),filters:!(),index:'emp_*',interval:auto,query:(query_string:(analyze_wildcard:!t,query:'%22rtdc.l.rtdc.4001%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30" t="s">
        <v>715</v>
      </c>
      <c r="B23" s="226">
        <v>4016</v>
      </c>
      <c r="C23" s="228" t="s">
        <v>192</v>
      </c>
      <c r="D23" s="228" t="s">
        <v>929</v>
      </c>
      <c r="E23" s="227">
        <v>43063.202615740738</v>
      </c>
      <c r="F23" s="227">
        <v>43063.208506944444</v>
      </c>
      <c r="G23" s="226">
        <v>65</v>
      </c>
      <c r="H23" s="228" t="s">
        <v>541</v>
      </c>
      <c r="I23" s="227">
        <v>43063.232893518521</v>
      </c>
      <c r="J23" s="226">
        <v>0</v>
      </c>
      <c r="K23" s="238" t="str">
        <f>IF(ISEVEN(B23),(B23-1)&amp;"/"&amp;B23,B23&amp;"/"&amp;(B23+1))</f>
        <v>4015/4016</v>
      </c>
      <c r="L23" s="246" t="str">
        <f>VLOOKUP(A23,'Trips&amp;Operators'!$C$1:$G$99911,5,FALSE)</f>
        <v>ROCHA YAOTL</v>
      </c>
      <c r="M23" s="225">
        <f>I23-F23</f>
        <v>2.4386574077652767E-2</v>
      </c>
      <c r="N23" s="226">
        <f>24*60*SUM($M23:$M23)</f>
        <v>35.116666671819985</v>
      </c>
      <c r="O23" s="226"/>
      <c r="P23" s="226"/>
      <c r="Q23" s="229"/>
      <c r="R23" s="243"/>
      <c r="S23" s="250">
        <f>1/IF(AG23="EC",12,1)*SUM(U23:U23)</f>
        <v>1</v>
      </c>
      <c r="T23" s="243" t="str">
        <f>IF(ISEVEN(LEFT(AD23,4)),"Southbound","NorthBound")</f>
        <v>NorthBound</v>
      </c>
      <c r="U23" s="24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9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-11-24T03:51:46-0700',mode:absolute,to:'2017-11-24T06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" s="248" t="str">
        <f>IF(AA23&lt;VLOOKUP(AG23,Variables!$AC$3:$AD$8,2,FALSE),"Y","N")</f>
        <v>N</v>
      </c>
      <c r="X23" s="248">
        <f>VALUE(LEFT(AD23,4))-VALUE(LEFT(AD22,4))</f>
        <v>1</v>
      </c>
      <c r="Y23" s="248">
        <f>RIGHT(D23,LEN(D23)-4)/10000</f>
        <v>4.5999999999999999E-2</v>
      </c>
      <c r="Z23" s="248">
        <f>RIGHT(H23,LEN(H23)-4)/10000</f>
        <v>23.3306</v>
      </c>
      <c r="AA23" s="248">
        <f>ABS(Z23-Y23)</f>
        <v>23.284600000000001</v>
      </c>
      <c r="AB23" s="234" t="e">
        <f>VLOOKUP(A23,Enforcements!$C$7:$K$9,8,0)</f>
        <v>#N/A</v>
      </c>
      <c r="AC23" s="233" t="e">
        <f>VLOOKUP(A23,Enforcements!$C$7:$E$9,3,0)</f>
        <v>#N/A</v>
      </c>
      <c r="AD23" s="244">
        <f>VALUE(LEFT(A23,LEN(A23)-3))</f>
        <v>111</v>
      </c>
      <c r="AE23" s="236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s3://rtdc.mdm.uploadarchive.raw/RTDC4016/ "%USERPROFILE%\AppData\Local\Temp\OnboardLogs"\RTDC4016\2017-11-24 --exclude "*" --recursive --include "*20171124*" &amp; "%USERPROFILE%\Documents\GitHub\mrs-test-scripts\Headless Mode &amp; Sideloading\WalkAndUnGZ.bat" "%USERPROFILE%\AppData\Local\Temp\OnboardLogs"\RTDC4016\2017-11-24 &amp; aws s3 cp s3://rtdc.mdm.uploadarchive.raw/RTDC4016/ "%USERPROFILE%\AppData\Local\Temp\OnboardLogs"\RTDC4016\2017-11-25 --exclude "*" --recursive --include "*20171125*" &amp; "%USERPROFILE%\Documents\GitHub\mrs-test-scripts\Headless Mode &amp; Sideloading\WalkAndUnGZ.bat" "%USERPROFILE%\AppData\Local\Temp\OnboardLogs"\RTDC4016\2017-11-25</v>
      </c>
      <c r="AF23" s="235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/stypes="app*4016*20171124*" /stext=" 12:.+((SYSTEM_STATE.+slice.+state.+changed )|(ment ac)|(multiple cpu faults)|(system.+state.+changed )|(\[timeout)|(PRM\|1\|D)|(kpr)|(kdp)|(train st.+moving)|(\|lc)|(penalty))"</v>
      </c>
      <c r="AG23" s="245" t="str">
        <f>DetSubdiv(A23)</f>
        <v>EC</v>
      </c>
      <c r="AH23" s="237" t="str">
        <f t="shared" si="5"/>
        <v>"%USERPROFILE%\Documents\GitHub\eaglep3\Utilities\RefineRTDCRunTimes.py" --tripid 111-24 --locoid 4016 --swversion DE.1.0.9.0 --startMP 204:460 --initTime 2017-11-24T04:51:46 --startdatetime 2017-11-24T05:00:15 --delay 65 --endMP 204:233306 --enddatetime 2017-11-24T05:35:22 --enforcementcount 0 &gt;&gt;%USERPROFILE%\Documents\GitHub\eaglep3-reporting\EC\2017-11-24-refined-times.txt</v>
      </c>
      <c r="AI23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{"issue":{"subject":"","project_id":79,"tracker_id":40,"status_id":1,"priority_id":2,"assigned_to_id":338,"start_date":"2017-11-24","description":"","custom_fields":[{"id":1,"name":"Subdivision","value":"EC"},{"id":4,"name":"Milepost","value":"23.3306"},{"id":17,"name":"Train ID","value":"111-24"},{"id":16,"name":"Locomotive ID","value":"4016"},{"id":130,"name":"Impact","value":""},{"id":150,"name":"Time of Event (Mountain Time)","value":"05:35:22"},{"id":151,"name":"Denver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4"/>
      <c r="AK23" s="232"/>
      <c r="AL23" s="232"/>
      <c r="AM23" s="241" t="str">
        <f t="shared" si="7"/>
        <v>start /low /b %USERPROFILE%\Documents\GitHub\eaglep3\Utilities\DownloadLogsFromS3.py --loco 4016 --day 2017-11-24</v>
      </c>
      <c r="AN23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12:35:22"},{"id":29,"name":"Sharepoint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1" t="str">
        <f t="shared" si="9"/>
        <v>https://d0f6bd738d7f1b3e5a7ca70fe4ff75f0.us-east-1.aws.found.io/app/kibana#/discover/Steve-Slow-Train-Analysis-(2080s-and-2083s)?_g=(refreshInterval:(display:Off,pause:!f,section:0,value:0),time:(from:'2017-11-24T03:51:46-0700',mode:absolute,to:'2017-11-24T06:35:22-0700'))&amp;_a=(columns:!('Message%20ID',Summary),filters:!(),index:'emp_*',interval:auto,query:(query_string:(analyze_wildcard:!t,query:'%22rtdc.l.rtdc.4016%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30" t="s">
        <v>659</v>
      </c>
      <c r="B24" s="226">
        <v>4015</v>
      </c>
      <c r="C24" s="228" t="s">
        <v>192</v>
      </c>
      <c r="D24" s="228" t="s">
        <v>516</v>
      </c>
      <c r="E24" s="227">
        <v>43063.246921296297</v>
      </c>
      <c r="F24" s="227">
        <v>43063.248194444444</v>
      </c>
      <c r="G24" s="226">
        <v>52</v>
      </c>
      <c r="H24" s="228" t="s">
        <v>930</v>
      </c>
      <c r="I24" s="227">
        <v>43063.275289351855</v>
      </c>
      <c r="J24" s="226">
        <v>0</v>
      </c>
      <c r="K24" s="238" t="str">
        <f>IF(ISEVEN(B24),(B24-1)&amp;"/"&amp;B24,B24&amp;"/"&amp;(B24+1))</f>
        <v>4015/4016</v>
      </c>
      <c r="L24" s="246" t="str">
        <f>VLOOKUP(A24,'Trips&amp;Operators'!$C$1:$G$99911,5,FALSE)</f>
        <v>ROCHA YAOTL</v>
      </c>
      <c r="M24" s="225">
        <f>I24-F24</f>
        <v>2.7094907411083113E-2</v>
      </c>
      <c r="N24" s="226">
        <f>24*60*SUM($M24:$M24)</f>
        <v>39.016666671959683</v>
      </c>
      <c r="O24" s="226"/>
      <c r="P24" s="226"/>
      <c r="Q24" s="229"/>
      <c r="R24" s="243"/>
      <c r="S24" s="250">
        <f>1/IF(AG24="EC",12,1)*SUM(U24:U24)</f>
        <v>1</v>
      </c>
      <c r="T24" s="243" t="str">
        <f>IF(ISEVEN(LEFT(AD24,4)),"Southbound","NorthBound")</f>
        <v>Southbound</v>
      </c>
      <c r="U24" s="24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9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-11-24T04:55:34-0700',mode:absolute,to:'2017-11-24T07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" s="248" t="str">
        <f>IF(AA24&lt;VLOOKUP(AG24,Variables!$AC$3:$AD$8,2,FALSE),"Y","N")</f>
        <v>N</v>
      </c>
      <c r="X24" s="248">
        <f>VALUE(LEFT(AD24,4))-VALUE(LEFT(AD23,4))</f>
        <v>1</v>
      </c>
      <c r="Y24" s="248">
        <f>RIGHT(D24,LEN(D24)-4)/10000</f>
        <v>23.3</v>
      </c>
      <c r="Z24" s="248">
        <f>RIGHT(H24,LEN(H24)-4)/10000</f>
        <v>1.6899999999999998E-2</v>
      </c>
      <c r="AA24" s="248">
        <f>ABS(Z24-Y24)</f>
        <v>23.283100000000001</v>
      </c>
      <c r="AB24" s="234" t="e">
        <f>VLOOKUP(A24,Enforcements!$C$7:$K$9,8,0)</f>
        <v>#N/A</v>
      </c>
      <c r="AC24" s="233" t="e">
        <f>VLOOKUP(A24,Enforcements!$C$7:$E$9,3,0)</f>
        <v>#N/A</v>
      </c>
      <c r="AD24" s="244">
        <f>VALUE(LEFT(A24,LEN(A24)-3))</f>
        <v>112</v>
      </c>
      <c r="AE24" s="236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s3://rtdc.mdm.uploadarchive.raw/RTDC4015/ "%USERPROFILE%\AppData\Local\Temp\OnboardLogs"\RTDC4015\2017-11-24 --exclude "*" --recursive --include "*20171124*" &amp; "%USERPROFILE%\Documents\GitHub\mrs-test-scripts\Headless Mode &amp; Sideloading\WalkAndUnGZ.bat" "%USERPROFILE%\AppData\Local\Temp\OnboardLogs"\RTDC4015\2017-11-24 &amp; aws s3 cp s3://rtdc.mdm.uploadarchive.raw/RTDC4015/ "%USERPROFILE%\AppData\Local\Temp\OnboardLogs"\RTDC4015\2017-11-25 --exclude "*" --recursive --include "*20171125*" &amp; "%USERPROFILE%\Documents\GitHub\mrs-test-scripts\Headless Mode &amp; Sideloading\WalkAndUnGZ.bat" "%USERPROFILE%\AppData\Local\Temp\OnboardLogs"\RTDC4015\2017-11-25</v>
      </c>
      <c r="AF24" s="235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/stypes="app*4015*20171124*" /stext=" 13:.+((SYSTEM_STATE.+slice.+state.+changed )|(ment ac)|(multiple cpu faults)|(system.+state.+changed )|(\[timeout)|(PRM\|1\|D)|(kpr)|(kdp)|(train st.+moving)|(\|lc)|(penalty))"</v>
      </c>
      <c r="AG24" s="245" t="str">
        <f>DetSubdiv(A24)</f>
        <v>EC</v>
      </c>
      <c r="AH24" s="237" t="str">
        <f t="shared" si="5"/>
        <v>"%USERPROFILE%\Documents\GitHub\eaglep3\Utilities\RefineRTDCRunTimes.py" --tripid 112-24 --locoid 4015 --swversion DE.1.0.9.0 --startMP 204:233000 --initTime 2017-11-24T05:55:34 --startdatetime 2017-11-24T05:57:24 --delay 52 --endMP 204:169 --enddatetime 2017-11-24T06:36:25 --enforcementcount 0 &gt;&gt;%USERPROFILE%\Documents\GitHub\eaglep3-reporting\EC\2017-11-24-refined-times.txt</v>
      </c>
      <c r="AI24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{"issue":{"subject":"","project_id":79,"tracker_id":40,"status_id":1,"priority_id":2,"assigned_to_id":338,"start_date":"2017-11-24","description":"","custom_fields":[{"id":1,"name":"Subdivision","value":"EC"},{"id":4,"name":"Milepost","value":"0.0169"},{"id":17,"name":"Train ID","value":"112-24"},{"id":16,"name":"Locomotive ID","value":"4015"},{"id":130,"name":"Impact","value":""},{"id":150,"name":"Time of Event (Mountain Time)","value":"06:36:25"},{"id":151,"name":"Denver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4"/>
      <c r="AK24" s="232"/>
      <c r="AL24" s="232"/>
      <c r="AM24" s="241" t="str">
        <f t="shared" si="7"/>
        <v>start /low /b %USERPROFILE%\Documents\GitHub\eaglep3\Utilities\DownloadLogsFromS3.py --loco 4015 --day 2017-11-24</v>
      </c>
      <c r="AN24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13:36:25"},{"id":29,"name":"Sharepoint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1" t="str">
        <f t="shared" si="9"/>
        <v>https://d0f6bd738d7f1b3e5a7ca70fe4ff75f0.us-east-1.aws.found.io/app/kibana#/discover/Steve-Slow-Train-Analysis-(2080s-and-2083s)?_g=(refreshInterval:(display:Off,pause:!f,section:0,value:0),time:(from:'2017-11-24T04:55:34-0700',mode:absolute,to:'2017-11-24T07:36:25-0700'))&amp;_a=(columns:!('Message%20ID',Summary),filters:!(),index:'emp_*',interval:auto,query:(query_string:(analyze_wildcard:!t,query:'%22rtdc.l.rtdc.4015%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30" t="s">
        <v>718</v>
      </c>
      <c r="B25" s="226">
        <v>4050</v>
      </c>
      <c r="C25" s="228" t="s">
        <v>192</v>
      </c>
      <c r="D25" s="228" t="s">
        <v>475</v>
      </c>
      <c r="E25" s="227">
        <v>43063.213287037041</v>
      </c>
      <c r="F25" s="227">
        <v>43063.219293981485</v>
      </c>
      <c r="G25" s="226">
        <v>157</v>
      </c>
      <c r="H25" s="228" t="s">
        <v>931</v>
      </c>
      <c r="I25" s="227">
        <v>43063.244837962964</v>
      </c>
      <c r="J25" s="226">
        <v>0</v>
      </c>
      <c r="K25" s="238" t="str">
        <f>IF(ISEVEN(B25),(B25-1)&amp;"/"&amp;B25,B25&amp;"/"&amp;(B25+1))</f>
        <v>4049/4050</v>
      </c>
      <c r="L25" s="246" t="str">
        <f>VLOOKUP(A25,'Trips&amp;Operators'!$C$1:$G$99911,5,FALSE)</f>
        <v>MACDONALD THOMAS</v>
      </c>
      <c r="M25" s="225">
        <f>I25-F25</f>
        <v>2.5543981479131617E-2</v>
      </c>
      <c r="N25" s="226">
        <f>24*60*SUM($M25:$M25)</f>
        <v>36.783333329949528</v>
      </c>
      <c r="O25" s="226"/>
      <c r="P25" s="226"/>
      <c r="Q25" s="229"/>
      <c r="R25" s="243"/>
      <c r="S25" s="250">
        <f>1/IF(AG25="EC",12,1)*SUM(U25:U25)</f>
        <v>1</v>
      </c>
      <c r="T25" s="243" t="str">
        <f>IF(ISEVEN(LEFT(AD25,4)),"Southbound","NorthBound")</f>
        <v>NorthBound</v>
      </c>
      <c r="U25" s="24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9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-11-24T04:07:08-0700',mode:absolute,to:'2017-11-24T06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5" s="248" t="str">
        <f>IF(AA25&lt;VLOOKUP(AG25,Variables!$AC$3:$AD$8,2,FALSE),"Y","N")</f>
        <v>N</v>
      </c>
      <c r="X25" s="248">
        <f>VALUE(LEFT(AD25,4))-VALUE(LEFT(AD24,4))</f>
        <v>1</v>
      </c>
      <c r="Y25" s="248">
        <f>RIGHT(D25,LEN(D25)-4)/10000</f>
        <v>5.2400000000000002E-2</v>
      </c>
      <c r="Z25" s="248">
        <f>RIGHT(H25,LEN(H25)-4)/10000</f>
        <v>23.3232</v>
      </c>
      <c r="AA25" s="248">
        <f>ABS(Z25-Y25)</f>
        <v>23.270800000000001</v>
      </c>
      <c r="AB25" s="234" t="e">
        <f>VLOOKUP(A25,Enforcements!$C$7:$K$9,8,0)</f>
        <v>#N/A</v>
      </c>
      <c r="AC25" s="233" t="e">
        <f>VLOOKUP(A25,Enforcements!$C$7:$E$9,3,0)</f>
        <v>#N/A</v>
      </c>
      <c r="AD25" s="244">
        <f>VALUE(LEFT(A25,LEN(A25)-3))</f>
        <v>113</v>
      </c>
      <c r="AE25" s="236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s3://rtdc.mdm.uploadarchive.raw/RTDC4050/ "%USERPROFILE%\AppData\Local\Temp\OnboardLogs"\RTDC4050\2017-11-24 --exclude "*" --recursive --include "*20171124*" &amp; "%USERPROFILE%\Documents\GitHub\mrs-test-scripts\Headless Mode &amp; Sideloading\WalkAndUnGZ.bat" "%USERPROFILE%\AppData\Local\Temp\OnboardLogs"\RTDC4050\2017-11-24 &amp; aws s3 cp s3://rtdc.mdm.uploadarchive.raw/RTDC4050/ "%USERPROFILE%\AppData\Local\Temp\OnboardLogs"\RTDC4050\2017-11-25 --exclude "*" --recursive --include "*20171125*" &amp; "%USERPROFILE%\Documents\GitHub\mrs-test-scripts\Headless Mode &amp; Sideloading\WalkAndUnGZ.bat" "%USERPROFILE%\AppData\Local\Temp\OnboardLogs"\RTDC4050\2017-11-25</v>
      </c>
      <c r="AF25" s="235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/stypes="app*4050*20171124*" /stext=" 12:.+((SYSTEM_STATE.+slice.+state.+changed )|(ment ac)|(multiple cpu faults)|(system.+state.+changed )|(\[timeout)|(PRM\|1\|D)|(kpr)|(kdp)|(train st.+moving)|(\|lc)|(penalty))"</v>
      </c>
      <c r="AG25" s="245" t="str">
        <f>DetSubdiv(A25)</f>
        <v>EC</v>
      </c>
      <c r="AH25" s="237" t="str">
        <f t="shared" si="5"/>
        <v>"%USERPROFILE%\Documents\GitHub\eaglep3\Utilities\RefineRTDCRunTimes.py" --tripid 113-24 --locoid 4050 --swversion DE.1.0.9.0 --startMP 204:524 --initTime 2017-11-24T05:07:08 --startdatetime 2017-11-24T05:15:47 --delay 157 --endMP 204:233232 --enddatetime 2017-11-24T05:52:34 --enforcementcount 0 &gt;&gt;%USERPROFILE%\Documents\GitHub\eaglep3-reporting\EC\2017-11-24-refined-times.txt</v>
      </c>
      <c r="AI25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{"issue":{"subject":"","project_id":79,"tracker_id":40,"status_id":1,"priority_id":2,"assigned_to_id":338,"start_date":"2017-11-24","description":"","custom_fields":[{"id":1,"name":"Subdivision","value":"EC"},{"id":4,"name":"Milepost","value":"23.3232"},{"id":17,"name":"Train ID","value":"113-24"},{"id":16,"name":"Locomotive ID","value":"4050"},{"id":130,"name":"Impact","value":""},{"id":150,"name":"Time of Event (Mountain Time)","value":"05:52:34"},{"id":151,"name":"Denver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4"/>
      <c r="AK25" s="232"/>
      <c r="AL25" s="232"/>
      <c r="AM25" s="241" t="str">
        <f t="shared" si="7"/>
        <v>start /low /b %USERPROFILE%\Documents\GitHub\eaglep3\Utilities\DownloadLogsFromS3.py --loco 4050 --day 2017-11-24</v>
      </c>
      <c r="AN25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12:52:34"},{"id":29,"name":"Sharepoint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1" t="str">
        <f t="shared" si="9"/>
        <v>https://d0f6bd738d7f1b3e5a7ca70fe4ff75f0.us-east-1.aws.found.io/app/kibana#/discover/Steve-Slow-Train-Analysis-(2080s-and-2083s)?_g=(refreshInterval:(display:Off,pause:!f,section:0,value:0),time:(from:'2017-11-24T04:07:08-0700',mode:absolute,to:'2017-11-24T06:52:34-0700'))&amp;_a=(columns:!('Message%20ID',Summary),filters:!(),index:'emp_*',interval:auto,query:(query_string:(analyze_wildcard:!t,query:'%22rtdc.l.rtdc.4050%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30" t="s">
        <v>734</v>
      </c>
      <c r="B26" s="226">
        <v>4049</v>
      </c>
      <c r="C26" s="228" t="s">
        <v>192</v>
      </c>
      <c r="D26" s="228" t="s">
        <v>608</v>
      </c>
      <c r="E26" s="227">
        <v>43063.250775462962</v>
      </c>
      <c r="F26" s="227">
        <v>43063.258946759262</v>
      </c>
      <c r="G26" s="226">
        <v>169</v>
      </c>
      <c r="H26" s="228" t="s">
        <v>493</v>
      </c>
      <c r="I26" s="227">
        <v>43063.285000000003</v>
      </c>
      <c r="J26" s="226">
        <v>0</v>
      </c>
      <c r="K26" s="238" t="str">
        <f>IF(ISEVEN(B26),(B26-1)&amp;"/"&amp;B26,B26&amp;"/"&amp;(B26+1))</f>
        <v>4049/4050</v>
      </c>
      <c r="L26" s="246" t="str">
        <f>VLOOKUP(A26,'Trips&amp;Operators'!$C$1:$G$99911,5,FALSE)</f>
        <v>MACDONALD THOMAS</v>
      </c>
      <c r="M26" s="225">
        <f>I26-F26</f>
        <v>2.6053240741021E-2</v>
      </c>
      <c r="N26" s="226">
        <f>24*60*SUM($M26:$M26)</f>
        <v>37.51666666707024</v>
      </c>
      <c r="O26" s="226"/>
      <c r="P26" s="226"/>
      <c r="Q26" s="229"/>
      <c r="R26" s="243"/>
      <c r="S26" s="250">
        <f>1/IF(AG26="EC",12,1)*SUM(U26:U26)</f>
        <v>1</v>
      </c>
      <c r="T26" s="243" t="str">
        <f>IF(ISEVEN(LEFT(AD26,4)),"Southbound","NorthBound")</f>
        <v>Southbound</v>
      </c>
      <c r="U26" s="24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9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-11-24T05:01:07-0700',mode:absolute,to:'2017-11-24T07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" s="248" t="str">
        <f>IF(AA26&lt;VLOOKUP(AG26,Variables!$AC$3:$AD$8,2,FALSE),"Y","N")</f>
        <v>N</v>
      </c>
      <c r="X26" s="248">
        <f>VALUE(LEFT(AD26,4))-VALUE(LEFT(AD25,4))</f>
        <v>1</v>
      </c>
      <c r="Y26" s="248">
        <f>RIGHT(D26,LEN(D26)-4)/10000</f>
        <v>23.291499999999999</v>
      </c>
      <c r="Z26" s="248">
        <f>RIGHT(H26,LEN(H26)-4)/10000</f>
        <v>2.1999999999999999E-2</v>
      </c>
      <c r="AA26" s="248">
        <f>ABS(Z26-Y26)</f>
        <v>23.269500000000001</v>
      </c>
      <c r="AB26" s="234" t="e">
        <f>VLOOKUP(A26,Enforcements!$C$7:$K$9,8,0)</f>
        <v>#N/A</v>
      </c>
      <c r="AC26" s="233" t="e">
        <f>VLOOKUP(A26,Enforcements!$C$7:$E$9,3,0)</f>
        <v>#N/A</v>
      </c>
      <c r="AD26" s="244">
        <f>VALUE(LEFT(A26,LEN(A26)-3))</f>
        <v>114</v>
      </c>
      <c r="AE26" s="236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s3://rtdc.mdm.uploadarchive.raw/RTDC4049/ "%USERPROFILE%\AppData\Local\Temp\OnboardLogs"\RTDC4049\2017-11-24 --exclude "*" --recursive --include "*20171124*" &amp; "%USERPROFILE%\Documents\GitHub\mrs-test-scripts\Headless Mode &amp; Sideloading\WalkAndUnGZ.bat" "%USERPROFILE%\AppData\Local\Temp\OnboardLogs"\RTDC4049\2017-11-24 &amp; aws s3 cp s3://rtdc.mdm.uploadarchive.raw/RTDC4049/ "%USERPROFILE%\AppData\Local\Temp\OnboardLogs"\RTDC4049\2017-11-25 --exclude "*" --recursive --include "*20171125*" &amp; "%USERPROFILE%\Documents\GitHub\mrs-test-scripts\Headless Mode &amp; Sideloading\WalkAndUnGZ.bat" "%USERPROFILE%\AppData\Local\Temp\OnboardLogs"\RTDC4049\2017-11-25</v>
      </c>
      <c r="AF26" s="235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/stypes="app*4049*20171124*" /stext=" 13:.+((SYSTEM_STATE.+slice.+state.+changed )|(ment ac)|(multiple cpu faults)|(system.+state.+changed )|(\[timeout)|(PRM\|1\|D)|(kpr)|(kdp)|(train st.+moving)|(\|lc)|(penalty))"</v>
      </c>
      <c r="AG26" s="245" t="str">
        <f>DetSubdiv(A26)</f>
        <v>EC</v>
      </c>
      <c r="AH26" s="237" t="str">
        <f t="shared" si="5"/>
        <v>"%USERPROFILE%\Documents\GitHub\eaglep3\Utilities\RefineRTDCRunTimes.py" --tripid 114-24 --locoid 4049 --swversion DE.1.0.9.0 --startMP 204:232915 --initTime 2017-11-24T06:01:07 --startdatetime 2017-11-24T06:12:53 --delay 169 --endMP 204:220 --enddatetime 2017-11-24T06:50:24 --enforcementcount 0 &gt;&gt;%USERPROFILE%\Documents\GitHub\eaglep3-reporting\EC\2017-11-24-refined-times.txt</v>
      </c>
      <c r="AI26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{"issue":{"subject":"","project_id":79,"tracker_id":40,"status_id":1,"priority_id":2,"assigned_to_id":338,"start_date":"2017-11-24","description":"","custom_fields":[{"id":1,"name":"Subdivision","value":"EC"},{"id":4,"name":"Milepost","value":"0.022"},{"id":17,"name":"Train ID","value":"114-24"},{"id":16,"name":"Locomotive ID","value":"4049"},{"id":130,"name":"Impact","value":""},{"id":150,"name":"Time of Event (Mountain Time)","value":"06:50:24"},{"id":151,"name":"Denver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4"/>
      <c r="AK26" s="232"/>
      <c r="AL26" s="232"/>
      <c r="AM26" s="241" t="str">
        <f t="shared" si="7"/>
        <v>start /low /b %USERPROFILE%\Documents\GitHub\eaglep3\Utilities\DownloadLogsFromS3.py --loco 4049 --day 2017-11-24</v>
      </c>
      <c r="AN26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13:50:24"},{"id":29,"name":"Sharepoint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1" t="str">
        <f t="shared" si="9"/>
        <v>https://d0f6bd738d7f1b3e5a7ca70fe4ff75f0.us-east-1.aws.found.io/app/kibana#/discover/Steve-Slow-Train-Analysis-(2080s-and-2083s)?_g=(refreshInterval:(display:Off,pause:!f,section:0,value:0),time:(from:'2017-11-24T05:01:07-0700',mode:absolute,to:'2017-11-24T07:50:24-0700'))&amp;_a=(columns:!('Message%20ID',Summary),filters:!(),index:'emp_*',interval:auto,query:(query_string:(analyze_wildcard:!t,query:'%22rtdc.l.rtdc.4049%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30" t="s">
        <v>725</v>
      </c>
      <c r="B27" s="226">
        <v>4006</v>
      </c>
      <c r="C27" s="228" t="s">
        <v>192</v>
      </c>
      <c r="D27" s="228" t="s">
        <v>600</v>
      </c>
      <c r="E27" s="227">
        <v>43063.224305555559</v>
      </c>
      <c r="F27" s="227">
        <v>43063.22934027778</v>
      </c>
      <c r="G27" s="226">
        <v>56</v>
      </c>
      <c r="H27" s="228" t="s">
        <v>588</v>
      </c>
      <c r="I27" s="227">
        <v>43063.254004629627</v>
      </c>
      <c r="J27" s="226">
        <v>0</v>
      </c>
      <c r="K27" s="238" t="str">
        <f>IF(ISEVEN(B27),(B27-1)&amp;"/"&amp;B27,B27&amp;"/"&amp;(B27+1))</f>
        <v>4005/4006</v>
      </c>
      <c r="L27" s="246" t="str">
        <f>VLOOKUP(A27,'Trips&amp;Operators'!$C$1:$G$99911,5,FALSE)</f>
        <v>MAELZER KURT</v>
      </c>
      <c r="M27" s="225">
        <f>I27-F27</f>
        <v>2.4664351847604848E-2</v>
      </c>
      <c r="N27" s="226">
        <f>24*60*SUM($M27:$M27)</f>
        <v>35.516666660550982</v>
      </c>
      <c r="O27" s="226"/>
      <c r="P27" s="226"/>
      <c r="Q27" s="229"/>
      <c r="R27" s="243"/>
      <c r="S27" s="250">
        <f>1/IF(AG27="EC",12,1)*SUM(U27:U27)</f>
        <v>1</v>
      </c>
      <c r="T27" s="243" t="str">
        <f>IF(ISEVEN(LEFT(AD27,4)),"Southbound","NorthBound")</f>
        <v>NorthBound</v>
      </c>
      <c r="U27" s="24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9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-11-24T04:23:00-0700',mode:absolute,to:'2017-11-24T07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7" s="248" t="str">
        <f>IF(AA27&lt;VLOOKUP(AG27,Variables!$AC$3:$AD$8,2,FALSE),"Y","N")</f>
        <v>N</v>
      </c>
      <c r="X27" s="248">
        <f>VALUE(LEFT(AD27,4))-VALUE(LEFT(AD26,4))</f>
        <v>1</v>
      </c>
      <c r="Y27" s="248">
        <f>RIGHT(D27,LEN(D27)-4)/10000</f>
        <v>4.8800000000000003E-2</v>
      </c>
      <c r="Z27" s="248">
        <f>RIGHT(H27,LEN(H27)-4)/10000</f>
        <v>23.33</v>
      </c>
      <c r="AA27" s="248">
        <f>ABS(Z27-Y27)</f>
        <v>23.281199999999998</v>
      </c>
      <c r="AB27" s="234" t="e">
        <f>VLOOKUP(A27,Enforcements!$C$7:$K$9,8,0)</f>
        <v>#N/A</v>
      </c>
      <c r="AC27" s="233" t="e">
        <f>VLOOKUP(A27,Enforcements!$C$7:$E$9,3,0)</f>
        <v>#N/A</v>
      </c>
      <c r="AD27" s="244">
        <f>VALUE(LEFT(A27,LEN(A27)-3))</f>
        <v>115</v>
      </c>
      <c r="AE27" s="236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s3://rtdc.mdm.uploadarchive.raw/RTDC4006/ "%USERPROFILE%\AppData\Local\Temp\OnboardLogs"\RTDC4006\2017-11-24 --exclude "*" --recursive --include "*20171124*" &amp; "%USERPROFILE%\Documents\GitHub\mrs-test-scripts\Headless Mode &amp; Sideloading\WalkAndUnGZ.bat" "%USERPROFILE%\AppData\Local\Temp\OnboardLogs"\RTDC4006\2017-11-24 &amp; aws s3 cp s3://rtdc.mdm.uploadarchive.raw/RTDC4006/ "%USERPROFILE%\AppData\Local\Temp\OnboardLogs"\RTDC4006\2017-11-25 --exclude "*" --recursive --include "*20171125*" &amp; "%USERPROFILE%\Documents\GitHub\mrs-test-scripts\Headless Mode &amp; Sideloading\WalkAndUnGZ.bat" "%USERPROFILE%\AppData\Local\Temp\OnboardLogs"\RTDC4006\2017-11-25</v>
      </c>
      <c r="AF27" s="235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/stypes="app*4006*20171124*" /stext=" 13:.+((SYSTEM_STATE.+slice.+state.+changed )|(ment ac)|(multiple cpu faults)|(system.+state.+changed )|(\[timeout)|(PRM\|1\|D)|(kpr)|(kdp)|(train st.+moving)|(\|lc)|(penalty))"</v>
      </c>
      <c r="AG27" s="245" t="str">
        <f>DetSubdiv(A27)</f>
        <v>EC</v>
      </c>
      <c r="AH27" s="237" t="str">
        <f t="shared" si="5"/>
        <v>"%USERPROFILE%\Documents\GitHub\eaglep3\Utilities\RefineRTDCRunTimes.py" --tripid 115-24 --locoid 4006 --swversion DE.1.0.9.0 --startMP 204:488 --initTime 2017-11-24T05:23:00 --startdatetime 2017-11-24T05:30:15 --delay 56 --endMP 204:233300 --enddatetime 2017-11-24T06:05:46 --enforcementcount 0 &gt;&gt;%USERPROFILE%\Documents\GitHub\eaglep3-reporting\EC\2017-11-24-refined-times.txt</v>
      </c>
      <c r="AI27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{"issue":{"subject":"","project_id":79,"tracker_id":40,"status_id":1,"priority_id":2,"assigned_to_id":338,"start_date":"2017-11-24","description":"","custom_fields":[{"id":1,"name":"Subdivision","value":"EC"},{"id":4,"name":"Milepost","value":"23.33"},{"id":17,"name":"Train ID","value":"115-24"},{"id":16,"name":"Locomotive ID","value":"4006"},{"id":130,"name":"Impact","value":""},{"id":150,"name":"Time of Event (Mountain Time)","value":"06:05:46"},{"id":151,"name":"Denver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4"/>
      <c r="AK27" s="232"/>
      <c r="AL27" s="232"/>
      <c r="AM27" s="241" t="str">
        <f t="shared" si="7"/>
        <v>start /low /b %USERPROFILE%\Documents\GitHub\eaglep3\Utilities\DownloadLogsFromS3.py --loco 4006 --day 2017-11-24</v>
      </c>
      <c r="AN27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13:05:46"},{"id":29,"name":"Sharepoint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1" t="str">
        <f t="shared" si="9"/>
        <v>https://d0f6bd738d7f1b3e5a7ca70fe4ff75f0.us-east-1.aws.found.io/app/kibana#/discover/Steve-Slow-Train-Analysis-(2080s-and-2083s)?_g=(refreshInterval:(display:Off,pause:!f,section:0,value:0),time:(from:'2017-11-24T04:23:00-0700',mode:absolute,to:'2017-11-24T07:05:46-0700'))&amp;_a=(columns:!('Message%20ID',Summary),filters:!(),index:'emp_*',interval:auto,query:(query_string:(analyze_wildcard:!t,query:'%22rtdc.l.rtdc.4006%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30" t="s">
        <v>736</v>
      </c>
      <c r="B28" s="226">
        <v>4005</v>
      </c>
      <c r="C28" s="228" t="s">
        <v>192</v>
      </c>
      <c r="D28" s="228" t="s">
        <v>532</v>
      </c>
      <c r="E28" s="227">
        <v>43063.262939814813</v>
      </c>
      <c r="F28" s="227">
        <v>43063.269016203703</v>
      </c>
      <c r="G28" s="226">
        <v>54</v>
      </c>
      <c r="H28" s="228" t="s">
        <v>932</v>
      </c>
      <c r="I28" s="227">
        <v>43063.294861111113</v>
      </c>
      <c r="J28" s="226">
        <v>0</v>
      </c>
      <c r="K28" s="238" t="str">
        <f>IF(ISEVEN(B28),(B28-1)&amp;"/"&amp;B28,B28&amp;"/"&amp;(B28+1))</f>
        <v>4005/4006</v>
      </c>
      <c r="L28" s="246" t="str">
        <f>VLOOKUP(A28,'Trips&amp;Operators'!$C$1:$G$99911,5,FALSE)</f>
        <v>MAELZER KURT</v>
      </c>
      <c r="M28" s="225">
        <f>I28-F28</f>
        <v>2.584490740991896E-2</v>
      </c>
      <c r="N28" s="226">
        <f>24*60*SUM($M28:$M28)</f>
        <v>37.216666670283303</v>
      </c>
      <c r="O28" s="226"/>
      <c r="P28" s="226"/>
      <c r="Q28" s="229"/>
      <c r="R28" s="243"/>
      <c r="S28" s="250">
        <f>1/IF(AG28="EC",12,1)*SUM(U28:U28)</f>
        <v>1</v>
      </c>
      <c r="T28" s="243" t="str">
        <f>IF(ISEVEN(LEFT(AD28,4)),"Southbound","NorthBound")</f>
        <v>Southbound</v>
      </c>
      <c r="U28" s="24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9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-11-24T05:18:38-0700',mode:absolute,to:'2017-11-24T08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8" s="248" t="str">
        <f>IF(AA28&lt;VLOOKUP(AG28,Variables!$AC$3:$AD$8,2,FALSE),"Y","N")</f>
        <v>N</v>
      </c>
      <c r="X28" s="248">
        <f>VALUE(LEFT(AD28,4))-VALUE(LEFT(AD27,4))</f>
        <v>1</v>
      </c>
      <c r="Y28" s="248">
        <f>RIGHT(D28,LEN(D28)-4)/10000</f>
        <v>23.299299999999999</v>
      </c>
      <c r="Z28" s="248">
        <f>RIGHT(H28,LEN(H28)-4)/10000</f>
        <v>1.9400000000000001E-2</v>
      </c>
      <c r="AA28" s="248">
        <f>ABS(Z28-Y28)</f>
        <v>23.279899999999998</v>
      </c>
      <c r="AB28" s="234" t="e">
        <f>VLOOKUP(A28,Enforcements!$C$7:$K$9,8,0)</f>
        <v>#N/A</v>
      </c>
      <c r="AC28" s="233" t="e">
        <f>VLOOKUP(A28,Enforcements!$C$7:$E$9,3,0)</f>
        <v>#N/A</v>
      </c>
      <c r="AD28" s="244">
        <f>VALUE(LEFT(A28,LEN(A28)-3))</f>
        <v>116</v>
      </c>
      <c r="AE28" s="236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s3://rtdc.mdm.uploadarchive.raw/RTDC4005/ "%USERPROFILE%\AppData\Local\Temp\OnboardLogs"\RTDC4005\2017-11-24 --exclude "*" --recursive --include "*20171124*" &amp; "%USERPROFILE%\Documents\GitHub\mrs-test-scripts\Headless Mode &amp; Sideloading\WalkAndUnGZ.bat" "%USERPROFILE%\AppData\Local\Temp\OnboardLogs"\RTDC4005\2017-11-24 &amp; aws s3 cp s3://rtdc.mdm.uploadarchive.raw/RTDC4005/ "%USERPROFILE%\AppData\Local\Temp\OnboardLogs"\RTDC4005\2017-11-25 --exclude "*" --recursive --include "*20171125*" &amp; "%USERPROFILE%\Documents\GitHub\mrs-test-scripts\Headless Mode &amp; Sideloading\WalkAndUnGZ.bat" "%USERPROFILE%\AppData\Local\Temp\OnboardLogs"\RTDC4005\2017-11-25</v>
      </c>
      <c r="AF28" s="235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/stypes="app*4005*20171124*" /stext=" 14:.+((SYSTEM_STATE.+slice.+state.+changed )|(ment ac)|(multiple cpu faults)|(system.+state.+changed )|(\[timeout)|(PRM\|1\|D)|(kpr)|(kdp)|(train st.+moving)|(\|lc)|(penalty))"</v>
      </c>
      <c r="AG28" s="245" t="str">
        <f>DetSubdiv(A28)</f>
        <v>EC</v>
      </c>
      <c r="AH28" s="237" t="str">
        <f t="shared" si="5"/>
        <v>"%USERPROFILE%\Documents\GitHub\eaglep3\Utilities\RefineRTDCRunTimes.py" --tripid 116-24 --locoid 4005 --swversion DE.1.0.9.0 --startMP 204:232993 --initTime 2017-11-24T06:18:38 --startdatetime 2017-11-24T06:27:23 --delay 54 --endMP 204:194 --enddatetime 2017-11-24T07:04:36 --enforcementcount 0 &gt;&gt;%USERPROFILE%\Documents\GitHub\eaglep3-reporting\EC\2017-11-24-refined-times.txt</v>
      </c>
      <c r="AI28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{"issue":{"subject":"","project_id":79,"tracker_id":40,"status_id":1,"priority_id":2,"assigned_to_id":338,"start_date":"2017-11-24","description":"","custom_fields":[{"id":1,"name":"Subdivision","value":"EC"},{"id":4,"name":"Milepost","value":"0.0194"},{"id":17,"name":"Train ID","value":"116-24"},{"id":16,"name":"Locomotive ID","value":"4005"},{"id":130,"name":"Impact","value":""},{"id":150,"name":"Time of Event (Mountain Time)","value":"07:04:36"},{"id":151,"name":"Denver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4"/>
      <c r="AK28" s="232"/>
      <c r="AL28" s="232"/>
      <c r="AM28" s="241" t="str">
        <f t="shared" si="7"/>
        <v>start /low /b %USERPROFILE%\Documents\GitHub\eaglep3\Utilities\DownloadLogsFromS3.py --loco 4005 --day 2017-11-24</v>
      </c>
      <c r="AN28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14:04:36"},{"id":29,"name":"Sharepoint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1" t="str">
        <f t="shared" si="9"/>
        <v>https://d0f6bd738d7f1b3e5a7ca70fe4ff75f0.us-east-1.aws.found.io/app/kibana#/discover/Steve-Slow-Train-Analysis-(2080s-and-2083s)?_g=(refreshInterval:(display:Off,pause:!f,section:0,value:0),time:(from:'2017-11-24T05:18:38-0700',mode:absolute,to:'2017-11-24T08:04:36-0700'))&amp;_a=(columns:!('Message%20ID',Summary),filters:!(),index:'emp_*',interval:auto,query:(query_string:(analyze_wildcard:!t,query:'%22rtdc.l.rtdc.4005%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30" t="s">
        <v>720</v>
      </c>
      <c r="B29" s="226">
        <v>4034</v>
      </c>
      <c r="C29" s="228" t="s">
        <v>192</v>
      </c>
      <c r="D29" s="228" t="s">
        <v>484</v>
      </c>
      <c r="E29" s="227">
        <v>43063.235092592593</v>
      </c>
      <c r="F29" s="227">
        <v>43063.23982638889</v>
      </c>
      <c r="G29" s="226">
        <v>88</v>
      </c>
      <c r="H29" s="228" t="s">
        <v>933</v>
      </c>
      <c r="I29" s="227">
        <v>43063.264976851853</v>
      </c>
      <c r="J29" s="226">
        <v>0</v>
      </c>
      <c r="K29" s="238" t="str">
        <f>IF(ISEVEN(B29),(B29-1)&amp;"/"&amp;B29,B29&amp;"/"&amp;(B29+1))</f>
        <v>4033/4034</v>
      </c>
      <c r="L29" s="246" t="str">
        <f>VLOOKUP(A29,'Trips&amp;Operators'!$C$1:$G$99911,5,FALSE)</f>
        <v>NICHOLAS PLOYSA</v>
      </c>
      <c r="M29" s="225">
        <f>I29-F29</f>
        <v>2.5150462963210884E-2</v>
      </c>
      <c r="N29" s="226">
        <f>24*60*SUM($M29:$M29)</f>
        <v>36.216666667023674</v>
      </c>
      <c r="O29" s="226"/>
      <c r="P29" s="226"/>
      <c r="Q29" s="229"/>
      <c r="R29" s="243"/>
      <c r="S29" s="250">
        <f>1/IF(AG29="EC",12,1)*SUM(U29:U29)</f>
        <v>1</v>
      </c>
      <c r="T29" s="243" t="str">
        <f>IF(ISEVEN(LEFT(AD29,4)),"Southbound","NorthBound")</f>
        <v>NorthBound</v>
      </c>
      <c r="U29" s="24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9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-11-24T04:38:32-0700',mode:absolute,to:'2017-11-24T07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9" s="248" t="str">
        <f>IF(AA29&lt;VLOOKUP(AG29,Variables!$AC$3:$AD$8,2,FALSE),"Y","N")</f>
        <v>N</v>
      </c>
      <c r="X29" s="248">
        <f>VALUE(LEFT(AD29,4))-VALUE(LEFT(AD28,4))</f>
        <v>1</v>
      </c>
      <c r="Y29" s="248">
        <f>RIGHT(D29,LEN(D29)-4)/10000</f>
        <v>5.2200000000000003E-2</v>
      </c>
      <c r="Z29" s="248">
        <f>RIGHT(H29,LEN(H29)-4)/10000</f>
        <v>23.318000000000001</v>
      </c>
      <c r="AA29" s="248">
        <f>ABS(Z29-Y29)</f>
        <v>23.265800000000002</v>
      </c>
      <c r="AB29" s="234" t="e">
        <f>VLOOKUP(A29,Enforcements!$C$7:$K$9,8,0)</f>
        <v>#N/A</v>
      </c>
      <c r="AC29" s="233" t="e">
        <f>VLOOKUP(A29,Enforcements!$C$7:$E$9,3,0)</f>
        <v>#N/A</v>
      </c>
      <c r="AD29" s="244">
        <f>VALUE(LEFT(A29,LEN(A29)-3))</f>
        <v>117</v>
      </c>
      <c r="AE29" s="236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s3://rtdc.mdm.uploadarchive.raw/RTDC4034/ "%USERPROFILE%\AppData\Local\Temp\OnboardLogs"\RTDC4034\2017-11-24 --exclude "*" --recursive --include "*20171124*" &amp; "%USERPROFILE%\Documents\GitHub\mrs-test-scripts\Headless Mode &amp; Sideloading\WalkAndUnGZ.bat" "%USERPROFILE%\AppData\Local\Temp\OnboardLogs"\RTDC4034\2017-11-24 &amp; aws s3 cp s3://rtdc.mdm.uploadarchive.raw/RTDC4034/ "%USERPROFILE%\AppData\Local\Temp\OnboardLogs"\RTDC4034\2017-11-25 --exclude "*" --recursive --include "*20171125*" &amp; "%USERPROFILE%\Documents\GitHub\mrs-test-scripts\Headless Mode &amp; Sideloading\WalkAndUnGZ.bat" "%USERPROFILE%\AppData\Local\Temp\OnboardLogs"\RTDC4034\2017-11-25</v>
      </c>
      <c r="AF29" s="235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/stypes="app*4034*20171124*" /stext=" 13:.+((SYSTEM_STATE.+slice.+state.+changed )|(ment ac)|(multiple cpu faults)|(system.+state.+changed )|(\[timeout)|(PRM\|1\|D)|(kpr)|(kdp)|(train st.+moving)|(\|lc)|(penalty))"</v>
      </c>
      <c r="AG29" s="245" t="str">
        <f>DetSubdiv(A29)</f>
        <v>EC</v>
      </c>
      <c r="AH29" s="237" t="str">
        <f t="shared" si="5"/>
        <v>"%USERPROFILE%\Documents\GitHub\eaglep3\Utilities\RefineRTDCRunTimes.py" --tripid 117-24 --locoid 4034 --swversion DE.1.0.9.0 --startMP 204:522 --initTime 2017-11-24T05:38:32 --startdatetime 2017-11-24T05:45:21 --delay 88 --endMP 204:233180 --enddatetime 2017-11-24T06:21:34 --enforcementcount 0 &gt;&gt;%USERPROFILE%\Documents\GitHub\eaglep3-reporting\EC\2017-11-24-refined-times.txt</v>
      </c>
      <c r="AI29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{"issue":{"subject":"","project_id":79,"tracker_id":40,"status_id":1,"priority_id":2,"assigned_to_id":338,"start_date":"2017-11-24","description":"","custom_fields":[{"id":1,"name":"Subdivision","value":"EC"},{"id":4,"name":"Milepost","value":"23.318"},{"id":17,"name":"Train ID","value":"117-24"},{"id":16,"name":"Locomotive ID","value":"4034"},{"id":130,"name":"Impact","value":""},{"id":150,"name":"Time of Event (Mountain Time)","value":"06:21:34"},{"id":151,"name":"Denver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4"/>
      <c r="AK29" s="232"/>
      <c r="AL29" s="232"/>
      <c r="AM29" s="241" t="str">
        <f t="shared" si="7"/>
        <v>start /low /b %USERPROFILE%\Documents\GitHub\eaglep3\Utilities\DownloadLogsFromS3.py --loco 4034 --day 2017-11-24</v>
      </c>
      <c r="AN29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13:21:34"},{"id":29,"name":"Sharepoint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1" t="str">
        <f t="shared" si="9"/>
        <v>https://d0f6bd738d7f1b3e5a7ca70fe4ff75f0.us-east-1.aws.found.io/app/kibana#/discover/Steve-Slow-Train-Analysis-(2080s-and-2083s)?_g=(refreshInterval:(display:Off,pause:!f,section:0,value:0),time:(from:'2017-11-24T04:38:32-0700',mode:absolute,to:'2017-11-24T07:21:34-0700'))&amp;_a=(columns:!('Message%20ID',Summary),filters:!(),index:'emp_*',interval:auto,query:(query_string:(analyze_wildcard:!t,query:'%22rtdc.l.rtdc.4034%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30" t="s">
        <v>738</v>
      </c>
      <c r="B30" s="226">
        <v>4033</v>
      </c>
      <c r="C30" s="228" t="s">
        <v>192</v>
      </c>
      <c r="D30" s="228" t="s">
        <v>934</v>
      </c>
      <c r="E30" s="227">
        <v>43063.266053240739</v>
      </c>
      <c r="F30" s="227">
        <v>43063.279317129629</v>
      </c>
      <c r="G30" s="226">
        <v>63</v>
      </c>
      <c r="H30" s="228" t="s">
        <v>493</v>
      </c>
      <c r="I30" s="227">
        <v>43063.305243055554</v>
      </c>
      <c r="J30" s="226">
        <v>0</v>
      </c>
      <c r="K30" s="238" t="str">
        <f>IF(ISEVEN(B30),(B30-1)&amp;"/"&amp;B30,B30&amp;"/"&amp;(B30+1))</f>
        <v>4033/4034</v>
      </c>
      <c r="L30" s="246" t="str">
        <f>VLOOKUP(A30,'Trips&amp;Operators'!$C$1:$G$99911,5,FALSE)</f>
        <v>NICHOLAS PLOYSA</v>
      </c>
      <c r="M30" s="225">
        <f>I30-F30</f>
        <v>2.5925925925548654E-2</v>
      </c>
      <c r="N30" s="226">
        <f>24*60*SUM($M30:$M30)</f>
        <v>37.333333332790062</v>
      </c>
      <c r="O30" s="226"/>
      <c r="P30" s="226"/>
      <c r="Q30" s="229"/>
      <c r="R30" s="243"/>
      <c r="S30" s="250">
        <f>1/IF(AG30="EC",12,1)*SUM(U30:U30)</f>
        <v>1</v>
      </c>
      <c r="T30" s="243" t="str">
        <f>IF(ISEVEN(LEFT(AD30,4)),"Southbound","NorthBound")</f>
        <v>Southbound</v>
      </c>
      <c r="U30" s="24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9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-11-24T05:23:07-0700',mode:absolute,to:'2017-11-24T08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0" s="248" t="str">
        <f>IF(AA30&lt;VLOOKUP(AG30,Variables!$AC$3:$AD$8,2,FALSE),"Y","N")</f>
        <v>N</v>
      </c>
      <c r="X30" s="248">
        <f>VALUE(LEFT(AD30,4))-VALUE(LEFT(AD29,4))</f>
        <v>1</v>
      </c>
      <c r="Y30" s="248">
        <f>RIGHT(D30,LEN(D30)-4)/10000</f>
        <v>23.285399999999999</v>
      </c>
      <c r="Z30" s="248">
        <f>RIGHT(H30,LEN(H30)-4)/10000</f>
        <v>2.1999999999999999E-2</v>
      </c>
      <c r="AA30" s="248">
        <f>ABS(Z30-Y30)</f>
        <v>23.263400000000001</v>
      </c>
      <c r="AB30" s="234" t="e">
        <f>VLOOKUP(A30,Enforcements!$C$7:$K$9,8,0)</f>
        <v>#N/A</v>
      </c>
      <c r="AC30" s="233" t="e">
        <f>VLOOKUP(A30,Enforcements!$C$7:$E$9,3,0)</f>
        <v>#N/A</v>
      </c>
      <c r="AD30" s="244">
        <f>VALUE(LEFT(A30,LEN(A30)-3))</f>
        <v>118</v>
      </c>
      <c r="AE30" s="236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s3://rtdc.mdm.uploadarchive.raw/RTDC4033/ "%USERPROFILE%\AppData\Local\Temp\OnboardLogs"\RTDC4033\2017-11-24 --exclude "*" --recursive --include "*20171124*" &amp; "%USERPROFILE%\Documents\GitHub\mrs-test-scripts\Headless Mode &amp; Sideloading\WalkAndUnGZ.bat" "%USERPROFILE%\AppData\Local\Temp\OnboardLogs"\RTDC4033\2017-11-24 &amp; aws s3 cp s3://rtdc.mdm.uploadarchive.raw/RTDC4033/ "%USERPROFILE%\AppData\Local\Temp\OnboardLogs"\RTDC4033\2017-11-25 --exclude "*" --recursive --include "*20171125*" &amp; "%USERPROFILE%\Documents\GitHub\mrs-test-scripts\Headless Mode &amp; Sideloading\WalkAndUnGZ.bat" "%USERPROFILE%\AppData\Local\Temp\OnboardLogs"\RTDC4033\2017-11-25</v>
      </c>
      <c r="AF30" s="235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/stypes="app*4033*20171124*" /stext=" 14:.+((SYSTEM_STATE.+slice.+state.+changed )|(ment ac)|(multiple cpu faults)|(system.+state.+changed )|(\[timeout)|(PRM\|1\|D)|(kpr)|(kdp)|(train st.+moving)|(\|lc)|(penalty))"</v>
      </c>
      <c r="AG30" s="245" t="str">
        <f>DetSubdiv(A30)</f>
        <v>EC</v>
      </c>
      <c r="AH30" s="237" t="str">
        <f t="shared" si="5"/>
        <v>"%USERPROFILE%\Documents\GitHub\eaglep3\Utilities\RefineRTDCRunTimes.py" --tripid 118-24 --locoid 4033 --swversion DE.1.0.9.0 --startMP 204:232854 --initTime 2017-11-24T06:23:07 --startdatetime 2017-11-24T06:42:13 --delay 63 --endMP 204:220 --enddatetime 2017-11-24T07:19:33 --enforcementcount 0 &gt;&gt;%USERPROFILE%\Documents\GitHub\eaglep3-reporting\EC\2017-11-24-refined-times.txt</v>
      </c>
      <c r="AI30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{"issue":{"subject":"","project_id":79,"tracker_id":40,"status_id":1,"priority_id":2,"assigned_to_id":338,"start_date":"2017-11-24","description":"","custom_fields":[{"id":1,"name":"Subdivision","value":"EC"},{"id":4,"name":"Milepost","value":"0.022"},{"id":17,"name":"Train ID","value":"118-24"},{"id":16,"name":"Locomotive ID","value":"4033"},{"id":130,"name":"Impact","value":""},{"id":150,"name":"Time of Event (Mountain Time)","value":"07:19:33"},{"id":151,"name":"Denver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4"/>
      <c r="AK30" s="232"/>
      <c r="AL30" s="232"/>
      <c r="AM30" s="241" t="str">
        <f t="shared" si="7"/>
        <v>start /low /b %USERPROFILE%\Documents\GitHub\eaglep3\Utilities\DownloadLogsFromS3.py --loco 4033 --day 2017-11-24</v>
      </c>
      <c r="AN30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14:19:33"},{"id":29,"name":"Sharepoint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1" t="str">
        <f t="shared" si="9"/>
        <v>https://d0f6bd738d7f1b3e5a7ca70fe4ff75f0.us-east-1.aws.found.io/app/kibana#/discover/Steve-Slow-Train-Analysis-(2080s-and-2083s)?_g=(refreshInterval:(display:Off,pause:!f,section:0,value:0),time:(from:'2017-11-24T05:23:07-0700',mode:absolute,to:'2017-11-24T08:19:33-0700'))&amp;_a=(columns:!('Message%20ID',Summary),filters:!(),index:'emp_*',interval:auto,query:(query_string:(analyze_wildcard:!t,query:'%22rtdc.l.rtdc.4033%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30" t="s">
        <v>731</v>
      </c>
      <c r="B31" s="226">
        <v>4010</v>
      </c>
      <c r="C31" s="228" t="s">
        <v>192</v>
      </c>
      <c r="D31" s="228" t="s">
        <v>935</v>
      </c>
      <c r="E31" s="227">
        <v>43063.245671296296</v>
      </c>
      <c r="F31" s="227">
        <v>43063.250185185185</v>
      </c>
      <c r="G31" s="226">
        <v>51</v>
      </c>
      <c r="H31" s="228" t="s">
        <v>936</v>
      </c>
      <c r="I31" s="227">
        <v>43063.27579861111</v>
      </c>
      <c r="J31" s="226">
        <v>0</v>
      </c>
      <c r="K31" s="238" t="str">
        <f>IF(ISEVEN(B31),(B31-1)&amp;"/"&amp;B31,B31&amp;"/"&amp;(B31+1))</f>
        <v>4009/4010</v>
      </c>
      <c r="L31" s="246" t="str">
        <f>VLOOKUP(A31,'Trips&amp;Operators'!$C$1:$G$99911,5,FALSE)</f>
        <v>STARKS ANGELINA</v>
      </c>
      <c r="M31" s="225">
        <f>I31-F31</f>
        <v>2.5613425925257616E-2</v>
      </c>
      <c r="N31" s="226">
        <f>24*60*SUM($M31:$M31)</f>
        <v>36.883333332370967</v>
      </c>
      <c r="O31" s="226"/>
      <c r="P31" s="226"/>
      <c r="Q31" s="229"/>
      <c r="R31" s="243"/>
      <c r="S31" s="250">
        <f>1/IF(AG31="EC",12,1)*SUM(U31:U31)</f>
        <v>1</v>
      </c>
      <c r="T31" s="243" t="str">
        <f>IF(ISEVEN(LEFT(AD31,4)),"Southbound","NorthBound")</f>
        <v>NorthBound</v>
      </c>
      <c r="U31" s="24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9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-11-24T04:53:46-0700',mode:absolute,to:'2017-11-24T07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1" s="248" t="str">
        <f>IF(AA31&lt;VLOOKUP(AG31,Variables!$AC$3:$AD$8,2,FALSE),"Y","N")</f>
        <v>N</v>
      </c>
      <c r="X31" s="248">
        <f>VALUE(LEFT(AD31,4))-VALUE(LEFT(AD30,4))</f>
        <v>1</v>
      </c>
      <c r="Y31" s="248">
        <f>RIGHT(D31,LEN(D31)-4)/10000</f>
        <v>4.7699999999999999E-2</v>
      </c>
      <c r="Z31" s="248">
        <f>RIGHT(H31,LEN(H31)-4)/10000</f>
        <v>23.330400000000001</v>
      </c>
      <c r="AA31" s="248">
        <f>ABS(Z31-Y31)</f>
        <v>23.282700000000002</v>
      </c>
      <c r="AB31" s="234" t="e">
        <f>VLOOKUP(A31,Enforcements!$C$7:$K$9,8,0)</f>
        <v>#N/A</v>
      </c>
      <c r="AC31" s="233" t="e">
        <f>VLOOKUP(A31,Enforcements!$C$7:$E$9,3,0)</f>
        <v>#N/A</v>
      </c>
      <c r="AD31" s="244">
        <f>VALUE(LEFT(A31,LEN(A31)-3))</f>
        <v>119</v>
      </c>
      <c r="AE31" s="236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s3://rtdc.mdm.uploadarchive.raw/RTDC4010/ "%USERPROFILE%\AppData\Local\Temp\OnboardLogs"\RTDC4010\2017-11-24 --exclude "*" --recursive --include "*20171124*" &amp; "%USERPROFILE%\Documents\GitHub\mrs-test-scripts\Headless Mode &amp; Sideloading\WalkAndUnGZ.bat" "%USERPROFILE%\AppData\Local\Temp\OnboardLogs"\RTDC4010\2017-11-24 &amp; aws s3 cp s3://rtdc.mdm.uploadarchive.raw/RTDC4010/ "%USERPROFILE%\AppData\Local\Temp\OnboardLogs"\RTDC4010\2017-11-25 --exclude "*" --recursive --include "*20171125*" &amp; "%USERPROFILE%\Documents\GitHub\mrs-test-scripts\Headless Mode &amp; Sideloading\WalkAndUnGZ.bat" "%USERPROFILE%\AppData\Local\Temp\OnboardLogs"\RTDC4010\2017-11-25</v>
      </c>
      <c r="AF31" s="235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/stypes="app*4010*20171124*" /stext=" 13:.+((SYSTEM_STATE.+slice.+state.+changed )|(ment ac)|(multiple cpu faults)|(system.+state.+changed )|(\[timeout)|(PRM\|1\|D)|(kpr)|(kdp)|(train st.+moving)|(\|lc)|(penalty))"</v>
      </c>
      <c r="AG31" s="245" t="str">
        <f>DetSubdiv(A31)</f>
        <v>EC</v>
      </c>
      <c r="AH31" s="237" t="str">
        <f t="shared" si="5"/>
        <v>"%USERPROFILE%\Documents\GitHub\eaglep3\Utilities\RefineRTDCRunTimes.py" --tripid 119-24 --locoid 4010 --swversion DE.1.0.9.0 --startMP 204:477 --initTime 2017-11-24T05:53:46 --startdatetime 2017-11-24T06:00:16 --delay 51 --endMP 204:233304 --enddatetime 2017-11-24T06:37:09 --enforcementcount 0 &gt;&gt;%USERPROFILE%\Documents\GitHub\eaglep3-reporting\EC\2017-11-24-refined-times.txt</v>
      </c>
      <c r="AI31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{"issue":{"subject":"","project_id":79,"tracker_id":40,"status_id":1,"priority_id":2,"assigned_to_id":338,"start_date":"2017-11-24","description":"","custom_fields":[{"id":1,"name":"Subdivision","value":"EC"},{"id":4,"name":"Milepost","value":"23.3304"},{"id":17,"name":"Train ID","value":"119-24"},{"id":16,"name":"Locomotive ID","value":"4010"},{"id":130,"name":"Impact","value":""},{"id":150,"name":"Time of Event (Mountain Time)","value":"06:37:09"},{"id":151,"name":"Denver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4"/>
      <c r="AK31" s="232"/>
      <c r="AL31" s="232"/>
      <c r="AM31" s="241" t="str">
        <f t="shared" si="7"/>
        <v>start /low /b %USERPROFILE%\Documents\GitHub\eaglep3\Utilities\DownloadLogsFromS3.py --loco 4010 --day 2017-11-24</v>
      </c>
      <c r="AN31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13:37:09"},{"id":29,"name":"Sharepoint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1" t="str">
        <f t="shared" si="9"/>
        <v>https://d0f6bd738d7f1b3e5a7ca70fe4ff75f0.us-east-1.aws.found.io/app/kibana#/discover/Steve-Slow-Train-Analysis-(2080s-and-2083s)?_g=(refreshInterval:(display:Off,pause:!f,section:0,value:0),time:(from:'2017-11-24T04:53:46-0700',mode:absolute,to:'2017-11-24T07:37:09-0700'))&amp;_a=(columns:!('Message%20ID',Summary),filters:!(),index:'emp_*',interval:auto,query:(query_string:(analyze_wildcard:!t,query:'%22rtdc.l.rtdc.4010%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30" t="s">
        <v>742</v>
      </c>
      <c r="B32" s="226">
        <v>4009</v>
      </c>
      <c r="C32" s="228" t="s">
        <v>192</v>
      </c>
      <c r="D32" s="228" t="s">
        <v>494</v>
      </c>
      <c r="E32" s="227">
        <v>43063.286030092589</v>
      </c>
      <c r="F32" s="227">
        <v>43063.28974537037</v>
      </c>
      <c r="G32" s="226">
        <v>79</v>
      </c>
      <c r="H32" s="228" t="s">
        <v>491</v>
      </c>
      <c r="I32" s="227">
        <v>43063.317835648151</v>
      </c>
      <c r="J32" s="226">
        <v>0</v>
      </c>
      <c r="K32" s="238" t="str">
        <f>IF(ISEVEN(B32),(B32-1)&amp;"/"&amp;B32,B32&amp;"/"&amp;(B32+1))</f>
        <v>4009/4010</v>
      </c>
      <c r="L32" s="246" t="str">
        <f>VLOOKUP(A32,'Trips&amp;Operators'!$C$1:$G$99911,5,FALSE)</f>
        <v>STARKS ANGELINA</v>
      </c>
      <c r="M32" s="225">
        <f>I32-F32</f>
        <v>2.8090277781302575E-2</v>
      </c>
      <c r="N32" s="226">
        <f>24*60*SUM($M32:$M32)</f>
        <v>40.450000005075708</v>
      </c>
      <c r="O32" s="226"/>
      <c r="P32" s="226"/>
      <c r="Q32" s="229"/>
      <c r="R32" s="243"/>
      <c r="S32" s="250">
        <f>1/IF(AG32="EC",12,1)*SUM(U32:U32)</f>
        <v>1</v>
      </c>
      <c r="T32" s="243" t="str">
        <f>IF(ISEVEN(LEFT(AD32,4)),"Southbound","NorthBound")</f>
        <v>Southbound</v>
      </c>
      <c r="U32" s="24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9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-11-24T05:51:53-0700',mode:absolute,to:'2017-11-24T08:37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2" s="248" t="str">
        <f>IF(AA32&lt;VLOOKUP(AG32,Variables!$AC$3:$AD$8,2,FALSE),"Y","N")</f>
        <v>N</v>
      </c>
      <c r="X32" s="248">
        <f>VALUE(LEFT(AD32,4))-VALUE(LEFT(AD31,4))</f>
        <v>1</v>
      </c>
      <c r="Y32" s="248">
        <f>RIGHT(D32,LEN(D32)-4)/10000</f>
        <v>23.297899999999998</v>
      </c>
      <c r="Z32" s="248">
        <f>RIGHT(H32,LEN(H32)-4)/10000</f>
        <v>1.5800000000000002E-2</v>
      </c>
      <c r="AA32" s="248">
        <f>ABS(Z32-Y32)</f>
        <v>23.2821</v>
      </c>
      <c r="AB32" s="234" t="e">
        <f>VLOOKUP(A32,Enforcements!$C$7:$K$9,8,0)</f>
        <v>#N/A</v>
      </c>
      <c r="AC32" s="233" t="e">
        <f>VLOOKUP(A32,Enforcements!$C$7:$E$9,3,0)</f>
        <v>#N/A</v>
      </c>
      <c r="AD32" s="244">
        <f>VALUE(LEFT(A32,LEN(A32)-3))</f>
        <v>120</v>
      </c>
      <c r="AE32" s="236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s3://rtdc.mdm.uploadarchive.raw/RTDC4009/ "%USERPROFILE%\AppData\Local\Temp\OnboardLogs"\RTDC4009\2017-11-24 --exclude "*" --recursive --include "*20171124*" &amp; "%USERPROFILE%\Documents\GitHub\mrs-test-scripts\Headless Mode &amp; Sideloading\WalkAndUnGZ.bat" "%USERPROFILE%\AppData\Local\Temp\OnboardLogs"\RTDC4009\2017-11-24 &amp; aws s3 cp s3://rtdc.mdm.uploadarchive.raw/RTDC4009/ "%USERPROFILE%\AppData\Local\Temp\OnboardLogs"\RTDC4009\2017-11-25 --exclude "*" --recursive --include "*20171125*" &amp; "%USERPROFILE%\Documents\GitHub\mrs-test-scripts\Headless Mode &amp; Sideloading\WalkAndUnGZ.bat" "%USERPROFILE%\AppData\Local\Temp\OnboardLogs"\RTDC4009\2017-11-25</v>
      </c>
      <c r="AF32" s="235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/stypes="app*4009*20171124*" /stext=" 14:.+((SYSTEM_STATE.+slice.+state.+changed )|(ment ac)|(multiple cpu faults)|(system.+state.+changed )|(\[timeout)|(PRM\|1\|D)|(kpr)|(kdp)|(train st.+moving)|(\|lc)|(penalty))"</v>
      </c>
      <c r="AG32" s="245" t="str">
        <f>DetSubdiv(A32)</f>
        <v>EC</v>
      </c>
      <c r="AH32" s="237" t="str">
        <f t="shared" si="5"/>
        <v>"%USERPROFILE%\Documents\GitHub\eaglep3\Utilities\RefineRTDCRunTimes.py" --tripid 120-24 --locoid 4009 --swversion DE.1.0.9.0 --startMP 204:232979 --initTime 2017-11-24T06:51:53 --startdatetime 2017-11-24T06:57:14 --delay 79 --endMP 204:158 --enddatetime 2017-11-24T07:37:41 --enforcementcount 0 &gt;&gt;%USERPROFILE%\Documents\GitHub\eaglep3-reporting\EC\2017-11-24-refined-times.txt</v>
      </c>
      <c r="AI32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{"issue":{"subject":"","project_id":79,"tracker_id":40,"status_id":1,"priority_id":2,"assigned_to_id":338,"start_date":"2017-11-24","description":"","custom_fields":[{"id":1,"name":"Subdivision","value":"EC"},{"id":4,"name":"Milepost","value":"0.0158"},{"id":17,"name":"Train ID","value":"120-24"},{"id":16,"name":"Locomotive ID","value":"4009"},{"id":130,"name":"Impact","value":""},{"id":150,"name":"Time of Event (Mountain Time)","value":"07:37:41"},{"id":151,"name":"Denver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4"/>
      <c r="AK32" s="232"/>
      <c r="AL32" s="232"/>
      <c r="AM32" s="241" t="str">
        <f t="shared" si="7"/>
        <v>start /low /b %USERPROFILE%\Documents\GitHub\eaglep3\Utilities\DownloadLogsFromS3.py --loco 4009 --day 2017-11-24</v>
      </c>
      <c r="AN32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14:37:41"},{"id":29,"name":"Sharepoint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1" t="str">
        <f t="shared" si="9"/>
        <v>https://d0f6bd738d7f1b3e5a7ca70fe4ff75f0.us-east-1.aws.found.io/app/kibana#/discover/Steve-Slow-Train-Analysis-(2080s-and-2083s)?_g=(refreshInterval:(display:Off,pause:!f,section:0,value:0),time:(from:'2017-11-24T05:51:53-0700',mode:absolute,to:'2017-11-24T08:37:41-0700'))&amp;_a=(columns:!('Message%20ID',Summary),filters:!(),index:'emp_*',interval:auto,query:(query_string:(analyze_wildcard:!t,query:'%22rtdc.l.rtdc.4009%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30" t="s">
        <v>735</v>
      </c>
      <c r="B33" s="226">
        <v>4036</v>
      </c>
      <c r="C33" s="228" t="s">
        <v>192</v>
      </c>
      <c r="D33" s="228" t="s">
        <v>937</v>
      </c>
      <c r="E33" s="227">
        <v>43063.255856481483</v>
      </c>
      <c r="F33" s="227">
        <v>43063.26059027778</v>
      </c>
      <c r="G33" s="226">
        <v>87</v>
      </c>
      <c r="H33" s="228" t="s">
        <v>938</v>
      </c>
      <c r="I33" s="227">
        <v>43063.286273148151</v>
      </c>
      <c r="J33" s="226">
        <v>0</v>
      </c>
      <c r="K33" s="238" t="str">
        <f>IF(ISEVEN(B33),(B33-1)&amp;"/"&amp;B33,B33&amp;"/"&amp;(B33+1))</f>
        <v>4035/4036</v>
      </c>
      <c r="L33" s="246" t="str">
        <f>VLOOKUP(A33,'Trips&amp;Operators'!$C$1:$G$99911,5,FALSE)</f>
        <v>LONG FULLER</v>
      </c>
      <c r="M33" s="225">
        <f>I33-F33</f>
        <v>2.5682870371383615E-2</v>
      </c>
      <c r="N33" s="226">
        <f>24*60*SUM($M33:$M33)</f>
        <v>36.983333334792405</v>
      </c>
      <c r="O33" s="226"/>
      <c r="P33" s="226"/>
      <c r="Q33" s="229"/>
      <c r="R33" s="243"/>
      <c r="S33" s="250">
        <f>1/IF(AG33="EC",12,1)*SUM(U33:U33)</f>
        <v>1</v>
      </c>
      <c r="T33" s="243" t="str">
        <f>IF(ISEVEN(LEFT(AD33,4)),"Southbound","NorthBound")</f>
        <v>NorthBound</v>
      </c>
      <c r="U33" s="24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9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-11-24T05:08:26-0700',mode:absolute,to:'2017-11-24T07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3" s="248" t="str">
        <f>IF(AA33&lt;VLOOKUP(AG33,Variables!$AC$3:$AD$8,2,FALSE),"Y","N")</f>
        <v>N</v>
      </c>
      <c r="X33" s="248">
        <f>VALUE(LEFT(AD33,4))-VALUE(LEFT(AD32,4))</f>
        <v>1</v>
      </c>
      <c r="Y33" s="248">
        <f>RIGHT(D33,LEN(D33)-4)/10000</f>
        <v>4.3999999999999997E-2</v>
      </c>
      <c r="Z33" s="248">
        <f>RIGHT(H33,LEN(H33)-4)/10000</f>
        <v>23.331099999999999</v>
      </c>
      <c r="AA33" s="248">
        <f>ABS(Z33-Y33)</f>
        <v>23.287099999999999</v>
      </c>
      <c r="AB33" s="234" t="e">
        <f>VLOOKUP(A33,Enforcements!$C$7:$K$9,8,0)</f>
        <v>#N/A</v>
      </c>
      <c r="AC33" s="233" t="e">
        <f>VLOOKUP(A33,Enforcements!$C$7:$E$9,3,0)</f>
        <v>#N/A</v>
      </c>
      <c r="AD33" s="244">
        <f>VALUE(LEFT(A33,LEN(A33)-3))</f>
        <v>121</v>
      </c>
      <c r="AE33" s="236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 &amp; aws s3 cp s3://rtdc.mdm.uploadarchive.raw/RTDC4036/ "%USERPROFILE%\AppData\Local\Temp\OnboardLogs"\RTDC4036\2017-11-25 --exclude "*" --recursive --include "*20171125*" &amp; "%USERPROFILE%\Documents\GitHub\mrs-test-scripts\Headless Mode &amp; Sideloading\WalkAndUnGZ.bat" "%USERPROFILE%\AppData\Local\Temp\OnboardLogs"\RTDC4036\2017-11-25</v>
      </c>
      <c r="AF33" s="235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/stypes="app*4036*20171124*" /stext=" 13:.+((SYSTEM_STATE.+slice.+state.+changed )|(ment ac)|(multiple cpu faults)|(system.+state.+changed )|(\[timeout)|(PRM\|1\|D)|(kpr)|(kdp)|(train st.+moving)|(\|lc)|(penalty))"</v>
      </c>
      <c r="AG33" s="245" t="str">
        <f>DetSubdiv(A33)</f>
        <v>EC</v>
      </c>
      <c r="AH33" s="237" t="str">
        <f t="shared" si="5"/>
        <v>"%USERPROFILE%\Documents\GitHub\eaglep3\Utilities\RefineRTDCRunTimes.py" --tripid 121-24 --locoid 4036 --swversion DE.1.0.9.0 --startMP 204:440 --initTime 2017-11-24T06:08:26 --startdatetime 2017-11-24T06:15:15 --delay 87 --endMP 204:233311 --enddatetime 2017-11-24T06:52:14 --enforcementcount 0 &gt;&gt;%USERPROFILE%\Documents\GitHub\eaglep3-reporting\EC\2017-11-24-refined-times.txt</v>
      </c>
      <c r="AI33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{"issue":{"subject":"","project_id":79,"tracker_id":40,"status_id":1,"priority_id":2,"assigned_to_id":338,"start_date":"2017-11-24","description":"","custom_fields":[{"id":1,"name":"Subdivision","value":"EC"},{"id":4,"name":"Milepost","value":"23.3311"},{"id":17,"name":"Train ID","value":"121-24"},{"id":16,"name":"Locomotive ID","value":"4036"},{"id":130,"name":"Impact","value":""},{"id":150,"name":"Time of Event (Mountain Time)","value":"06:52:14"},{"id":151,"name":"Denver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4"/>
      <c r="AK33" s="232"/>
      <c r="AL33" s="232"/>
      <c r="AM33" s="241" t="str">
        <f t="shared" si="7"/>
        <v>start /low /b %USERPROFILE%\Documents\GitHub\eaglep3\Utilities\DownloadLogsFromS3.py --loco 4036 --day 2017-11-24</v>
      </c>
      <c r="AN33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13:52:14"},{"id":29,"name":"Sharepoint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1" t="str">
        <f t="shared" si="9"/>
        <v>https://d0f6bd738d7f1b3e5a7ca70fe4ff75f0.us-east-1.aws.found.io/app/kibana#/discover/Steve-Slow-Train-Analysis-(2080s-and-2083s)?_g=(refreshInterval:(display:Off,pause:!f,section:0,value:0),time:(from:'2017-11-24T05:08:26-0700',mode:absolute,to:'2017-11-24T07:52:14-0700'))&amp;_a=(columns:!('Message%20ID',Summary),filters:!(),index:'emp_*',interval:auto,query:(query_string:(analyze_wildcard:!t,query:'%22rtdc.l.rtdc.4036%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30" t="s">
        <v>746</v>
      </c>
      <c r="B34" s="226">
        <v>4035</v>
      </c>
      <c r="C34" s="228" t="s">
        <v>192</v>
      </c>
      <c r="D34" s="228" t="s">
        <v>587</v>
      </c>
      <c r="E34" s="227">
        <v>43063.293958333335</v>
      </c>
      <c r="F34" s="227">
        <v>43063.300173611111</v>
      </c>
      <c r="G34" s="226">
        <v>90</v>
      </c>
      <c r="H34" s="228" t="s">
        <v>605</v>
      </c>
      <c r="I34" s="227">
        <v>43063.327175925922</v>
      </c>
      <c r="J34" s="226">
        <v>0</v>
      </c>
      <c r="K34" s="238" t="str">
        <f>IF(ISEVEN(B34),(B34-1)&amp;"/"&amp;B34,B34&amp;"/"&amp;(B34+1))</f>
        <v>4035/4036</v>
      </c>
      <c r="L34" s="246" t="str">
        <f>VLOOKUP(A34,'Trips&amp;Operators'!$C$1:$G$99911,5,FALSE)</f>
        <v>LONG FULLER</v>
      </c>
      <c r="M34" s="225">
        <f>I34-F34</f>
        <v>2.700231481139781E-2</v>
      </c>
      <c r="N34" s="226">
        <f>24*60*SUM($M34:$M34)</f>
        <v>38.883333328412846</v>
      </c>
      <c r="O34" s="226"/>
      <c r="P34" s="226"/>
      <c r="Q34" s="229"/>
      <c r="R34" s="243"/>
      <c r="S34" s="250">
        <f>1/IF(AG34="EC",12,1)*SUM(U34:U34)</f>
        <v>1</v>
      </c>
      <c r="T34" s="243" t="str">
        <f>IF(ISEVEN(LEFT(AD34,4)),"Southbound","NorthBound")</f>
        <v>Southbound</v>
      </c>
      <c r="U34" s="24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9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-11-24T06:03:18-0700',mode:absolute,to:'2017-11-24T08:51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4" s="248" t="str">
        <f>IF(AA34&lt;VLOOKUP(AG34,Variables!$AC$3:$AD$8,2,FALSE),"Y","N")</f>
        <v>N</v>
      </c>
      <c r="X34" s="248">
        <f>VALUE(LEFT(AD34,4))-VALUE(LEFT(AD33,4))</f>
        <v>1</v>
      </c>
      <c r="Y34" s="248">
        <f>RIGHT(D34,LEN(D34)-4)/10000</f>
        <v>23.2988</v>
      </c>
      <c r="Z34" s="248">
        <f>RIGHT(H34,LEN(H34)-4)/10000</f>
        <v>1.52E-2</v>
      </c>
      <c r="AA34" s="248">
        <f>ABS(Z34-Y34)</f>
        <v>23.2836</v>
      </c>
      <c r="AB34" s="234" t="e">
        <f>VLOOKUP(A34,Enforcements!$C$7:$K$9,8,0)</f>
        <v>#N/A</v>
      </c>
      <c r="AC34" s="233" t="e">
        <f>VLOOKUP(A34,Enforcements!$C$7:$E$9,3,0)</f>
        <v>#N/A</v>
      </c>
      <c r="AD34" s="244">
        <f>VALUE(LEFT(A34,LEN(A34)-3))</f>
        <v>122</v>
      </c>
      <c r="AE34" s="236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 &amp; aws s3 cp s3://rtdc.mdm.uploadarchive.raw/RTDC4035/ "%USERPROFILE%\AppData\Local\Temp\OnboardLogs"\RTDC4035\2017-11-25 --exclude "*" --recursive --include "*20171125*" &amp; "%USERPROFILE%\Documents\GitHub\mrs-test-scripts\Headless Mode &amp; Sideloading\WalkAndUnGZ.bat" "%USERPROFILE%\AppData\Local\Temp\OnboardLogs"\RTDC4035\2017-11-25</v>
      </c>
      <c r="AF34" s="235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/stypes="app*4035*20171124*" /stext=" 14:.+((SYSTEM_STATE.+slice.+state.+changed )|(ment ac)|(multiple cpu faults)|(system.+state.+changed )|(\[timeout)|(PRM\|1\|D)|(kpr)|(kdp)|(train st.+moving)|(\|lc)|(penalty))"</v>
      </c>
      <c r="AG34" s="245" t="str">
        <f>DetSubdiv(A34)</f>
        <v>EC</v>
      </c>
      <c r="AH34" s="237" t="str">
        <f t="shared" si="5"/>
        <v>"%USERPROFILE%\Documents\GitHub\eaglep3\Utilities\RefineRTDCRunTimes.py" --tripid 122-24 --locoid 4035 --swversion DE.1.0.9.0 --startMP 204:232988 --initTime 2017-11-24T07:03:18 --startdatetime 2017-11-24T07:12:15 --delay 90 --endMP 204:152 --enddatetime 2017-11-24T07:51:08 --enforcementcount 0 &gt;&gt;%USERPROFILE%\Documents\GitHub\eaglep3-reporting\EC\2017-11-24-refined-times.txt</v>
      </c>
      <c r="AI34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{"issue":{"subject":"","project_id":79,"tracker_id":40,"status_id":1,"priority_id":2,"assigned_to_id":338,"start_date":"2017-11-24","description":"","custom_fields":[{"id":1,"name":"Subdivision","value":"EC"},{"id":4,"name":"Milepost","value":"0.0152"},{"id":17,"name":"Train ID","value":"122-24"},{"id":16,"name":"Locomotive ID","value":"4035"},{"id":130,"name":"Impact","value":""},{"id":150,"name":"Time of Event (Mountain Time)","value":"07:51:08"},{"id":151,"name":"Denver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4"/>
      <c r="AK34" s="232"/>
      <c r="AL34" s="232"/>
      <c r="AM34" s="241" t="str">
        <f t="shared" si="7"/>
        <v>start /low /b %USERPROFILE%\Documents\GitHub\eaglep3\Utilities\DownloadLogsFromS3.py --loco 4035 --day 2017-11-24</v>
      </c>
      <c r="AN34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14:51:08"},{"id":29,"name":"Sharepoint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1" t="str">
        <f t="shared" si="9"/>
        <v>https://d0f6bd738d7f1b3e5a7ca70fe4ff75f0.us-east-1.aws.found.io/app/kibana#/discover/Steve-Slow-Train-Analysis-(2080s-and-2083s)?_g=(refreshInterval:(display:Off,pause:!f,section:0,value:0),time:(from:'2017-11-24T06:03:18-0700',mode:absolute,to:'2017-11-24T08:51:08-0700'))&amp;_a=(columns:!('Message%20ID',Summary),filters:!(),index:'emp_*',interval:auto,query:(query_string:(analyze_wildcard:!t,query:'%22rtdc.l.rtdc.4035%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30" t="s">
        <v>737</v>
      </c>
      <c r="B35" s="226">
        <v>4002</v>
      </c>
      <c r="C35" s="228" t="s">
        <v>192</v>
      </c>
      <c r="D35" s="228" t="s">
        <v>939</v>
      </c>
      <c r="E35" s="227">
        <v>43063.266134259262</v>
      </c>
      <c r="F35" s="227">
        <v>43063.271087962959</v>
      </c>
      <c r="G35" s="226">
        <v>55</v>
      </c>
      <c r="H35" s="228" t="s">
        <v>940</v>
      </c>
      <c r="I35" s="227">
        <v>43063.295995370368</v>
      </c>
      <c r="J35" s="226">
        <v>0</v>
      </c>
      <c r="K35" s="238" t="str">
        <f>IF(ISEVEN(B35),(B35-1)&amp;"/"&amp;B35,B35&amp;"/"&amp;(B35+1))</f>
        <v>4001/4002</v>
      </c>
      <c r="L35" s="246" t="str">
        <f>VLOOKUP(A35,'Trips&amp;Operators'!$C$1:$G$99911,5,FALSE)</f>
        <v>HUFFSMITH MONTY</v>
      </c>
      <c r="M35" s="225">
        <f>I35-F35</f>
        <v>2.4907407409045845E-2</v>
      </c>
      <c r="N35" s="226">
        <f>24*60*SUM($M35:$M35)</f>
        <v>35.866666669026017</v>
      </c>
      <c r="O35" s="226"/>
      <c r="P35" s="226"/>
      <c r="Q35" s="229"/>
      <c r="R35" s="243"/>
      <c r="S35" s="250">
        <f>1/IF(AG35="EC",12,1)*SUM(U35:U35)</f>
        <v>1</v>
      </c>
      <c r="T35" s="243" t="str">
        <f>IF(ISEVEN(LEFT(AD35,4)),"Southbound","NorthBound")</f>
        <v>NorthBound</v>
      </c>
      <c r="U35" s="24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9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-11-24T05:23:14-0700',mode:absolute,to:'2017-11-24T08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248" t="str">
        <f>IF(AA35&lt;VLOOKUP(AG35,Variables!$AC$3:$AD$8,2,FALSE),"Y","N")</f>
        <v>N</v>
      </c>
      <c r="X35" s="248">
        <f>VALUE(LEFT(AD35,4))-VALUE(LEFT(AD34,4))</f>
        <v>1</v>
      </c>
      <c r="Y35" s="248">
        <f>RIGHT(D35,LEN(D35)-4)/10000</f>
        <v>4.3499999999999997E-2</v>
      </c>
      <c r="Z35" s="248">
        <f>RIGHT(H35,LEN(H35)-4)/10000</f>
        <v>23.3368</v>
      </c>
      <c r="AA35" s="248">
        <f>ABS(Z35-Y35)</f>
        <v>23.293299999999999</v>
      </c>
      <c r="AB35" s="234" t="e">
        <f>VLOOKUP(A35,Enforcements!$C$7:$K$9,8,0)</f>
        <v>#N/A</v>
      </c>
      <c r="AC35" s="233" t="e">
        <f>VLOOKUP(A35,Enforcements!$C$7:$E$9,3,0)</f>
        <v>#N/A</v>
      </c>
      <c r="AD35" s="244">
        <f>VALUE(LEFT(A35,LEN(A35)-3))</f>
        <v>123</v>
      </c>
      <c r="AE35" s="236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s3://rtdc.mdm.uploadarchive.raw/RTDC4002/ "%USERPROFILE%\AppData\Local\Temp\OnboardLogs"\RTDC4002\2017-11-24 --exclude "*" --recursive --include "*20171124*" &amp; "%USERPROFILE%\Documents\GitHub\mrs-test-scripts\Headless Mode &amp; Sideloading\WalkAndUnGZ.bat" "%USERPROFILE%\AppData\Local\Temp\OnboardLogs"\RTDC4002\2017-11-24 &amp; aws s3 cp s3://rtdc.mdm.uploadarchive.raw/RTDC4002/ "%USERPROFILE%\AppData\Local\Temp\OnboardLogs"\RTDC4002\2017-11-25 --exclude "*" --recursive --include "*20171125*" &amp; "%USERPROFILE%\Documents\GitHub\mrs-test-scripts\Headless Mode &amp; Sideloading\WalkAndUnGZ.bat" "%USERPROFILE%\AppData\Local\Temp\OnboardLogs"\RTDC4002\2017-11-25</v>
      </c>
      <c r="AF35" s="235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/stypes="app*4002*20171124*" /stext=" 14:.+((SYSTEM_STATE.+slice.+state.+changed )|(ment ac)|(multiple cpu faults)|(system.+state.+changed )|(\[timeout)|(PRM\|1\|D)|(kpr)|(kdp)|(train st.+moving)|(\|lc)|(penalty))"</v>
      </c>
      <c r="AG35" s="245" t="str">
        <f>DetSubdiv(A35)</f>
        <v>EC</v>
      </c>
      <c r="AH35" s="237" t="str">
        <f t="shared" si="5"/>
        <v>"%USERPROFILE%\Documents\GitHub\eaglep3\Utilities\RefineRTDCRunTimes.py" --tripid 123-24 --locoid 4002 --swversion DE.1.0.9.0 --startMP 204:435 --initTime 2017-11-24T06:23:14 --startdatetime 2017-11-24T06:30:22 --delay 55 --endMP 204:233368 --enddatetime 2017-11-24T07:06:14 --enforcementcount 0 &gt;&gt;%USERPROFILE%\Documents\GitHub\eaglep3-reporting\EC\2017-11-24-refined-times.txt</v>
      </c>
      <c r="AI35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{"issue":{"subject":"","project_id":79,"tracker_id":40,"status_id":1,"priority_id":2,"assigned_to_id":338,"start_date":"2017-11-24","description":"","custom_fields":[{"id":1,"name":"Subdivision","value":"EC"},{"id":4,"name":"Milepost","value":"23.3368"},{"id":17,"name":"Train ID","value":"123-24"},{"id":16,"name":"Locomotive ID","value":"4002"},{"id":130,"name":"Impact","value":""},{"id":150,"name":"Time of Event (Mountain Time)","value":"07:06:14"},{"id":151,"name":"Denver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4"/>
      <c r="AK35" s="232"/>
      <c r="AL35" s="232"/>
      <c r="AM35" s="241" t="str">
        <f t="shared" si="7"/>
        <v>start /low /b %USERPROFILE%\Documents\GitHub\eaglep3\Utilities\DownloadLogsFromS3.py --loco 4002 --day 2017-11-24</v>
      </c>
      <c r="AN35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14:06:14"},{"id":29,"name":"Sharepoint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1" t="str">
        <f t="shared" si="9"/>
        <v>https://d0f6bd738d7f1b3e5a7ca70fe4ff75f0.us-east-1.aws.found.io/app/kibana#/discover/Steve-Slow-Train-Analysis-(2080s-and-2083s)?_g=(refreshInterval:(display:Off,pause:!f,section:0,value:0),time:(from:'2017-11-24T05:23:14-0700',mode:absolute,to:'2017-11-24T08:06:14-0700'))&amp;_a=(columns:!('Message%20ID',Summary),filters:!(),index:'emp_*',interval:auto,query:(query_string:(analyze_wildcard:!t,query:'%22rtdc.l.rtdc.4002%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30" t="s">
        <v>748</v>
      </c>
      <c r="B36" s="226">
        <v>4001</v>
      </c>
      <c r="C36" s="228" t="s">
        <v>192</v>
      </c>
      <c r="D36" s="228" t="s">
        <v>595</v>
      </c>
      <c r="E36" s="227">
        <v>43063.298136574071</v>
      </c>
      <c r="F36" s="227">
        <v>43063.310671296298</v>
      </c>
      <c r="G36" s="226">
        <v>52</v>
      </c>
      <c r="H36" s="228" t="s">
        <v>586</v>
      </c>
      <c r="I36" s="227">
        <v>43063.336909722224</v>
      </c>
      <c r="J36" s="226">
        <v>0</v>
      </c>
      <c r="K36" s="238" t="str">
        <f>IF(ISEVEN(B36),(B36-1)&amp;"/"&amp;B36,B36&amp;"/"&amp;(B36+1))</f>
        <v>4001/4002</v>
      </c>
      <c r="L36" s="246" t="str">
        <f>VLOOKUP(A36,'Trips&amp;Operators'!$C$1:$G$99911,5,FALSE)</f>
        <v>HUFFSMITH MONTY</v>
      </c>
      <c r="M36" s="225">
        <f>I36-F36</f>
        <v>2.6238425925839692E-2</v>
      </c>
      <c r="N36" s="226">
        <f>24*60*SUM($M36:$M36)</f>
        <v>37.783333333209157</v>
      </c>
      <c r="O36" s="226"/>
      <c r="P36" s="226"/>
      <c r="Q36" s="229"/>
      <c r="R36" s="243"/>
      <c r="S36" s="250">
        <f>1/IF(AG36="EC",12,1)*SUM(U36:U36)</f>
        <v>1</v>
      </c>
      <c r="T36" s="243" t="str">
        <f>IF(ISEVEN(LEFT(AD36,4)),"Southbound","NorthBound")</f>
        <v>Southbound</v>
      </c>
      <c r="U36" s="24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9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-11-24T06:09:19-0700',mode:absolute,to:'2017-11-24T09:05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248" t="str">
        <f>IF(AA36&lt;VLOOKUP(AG36,Variables!$AC$3:$AD$8,2,FALSE),"Y","N")</f>
        <v>N</v>
      </c>
      <c r="X36" s="248">
        <f>VALUE(LEFT(AD36,4))-VALUE(LEFT(AD35,4))</f>
        <v>1</v>
      </c>
      <c r="Y36" s="248">
        <f>RIGHT(D36,LEN(D36)-4)/10000</f>
        <v>23.302700000000002</v>
      </c>
      <c r="Z36" s="248">
        <f>RIGHT(H36,LEN(H36)-4)/10000</f>
        <v>1.4500000000000001E-2</v>
      </c>
      <c r="AA36" s="248">
        <f>ABS(Z36-Y36)</f>
        <v>23.2882</v>
      </c>
      <c r="AB36" s="234" t="e">
        <f>VLOOKUP(A36,Enforcements!$C$7:$K$9,8,0)</f>
        <v>#N/A</v>
      </c>
      <c r="AC36" s="233" t="e">
        <f>VLOOKUP(A36,Enforcements!$C$7:$E$9,3,0)</f>
        <v>#N/A</v>
      </c>
      <c r="AD36" s="244">
        <f>VALUE(LEFT(A36,LEN(A36)-3))</f>
        <v>124</v>
      </c>
      <c r="AE36" s="236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s3://rtdc.mdm.uploadarchive.raw/RTDC4001/ "%USERPROFILE%\AppData\Local\Temp\OnboardLogs"\RTDC4001\2017-11-24 --exclude "*" --recursive --include "*20171124*" &amp; "%USERPROFILE%\Documents\GitHub\mrs-test-scripts\Headless Mode &amp; Sideloading\WalkAndUnGZ.bat" "%USERPROFILE%\AppData\Local\Temp\OnboardLogs"\RTDC4001\2017-11-24 &amp; aws s3 cp s3://rtdc.mdm.uploadarchive.raw/RTDC4001/ "%USERPROFILE%\AppData\Local\Temp\OnboardLogs"\RTDC4001\2017-11-25 --exclude "*" --recursive --include "*20171125*" &amp; "%USERPROFILE%\Documents\GitHub\mrs-test-scripts\Headless Mode &amp; Sideloading\WalkAndUnGZ.bat" "%USERPROFILE%\AppData\Local\Temp\OnboardLogs"\RTDC4001\2017-11-25</v>
      </c>
      <c r="AF36" s="235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/stypes="app*4001*20171124*" /stext=" 15:.+((SYSTEM_STATE.+slice.+state.+changed )|(ment ac)|(multiple cpu faults)|(system.+state.+changed )|(\[timeout)|(PRM\|1\|D)|(kpr)|(kdp)|(train st.+moving)|(\|lc)|(penalty))"</v>
      </c>
      <c r="AG36" s="245" t="str">
        <f>DetSubdiv(A36)</f>
        <v>EC</v>
      </c>
      <c r="AH36" s="237" t="str">
        <f t="shared" si="5"/>
        <v>"%USERPROFILE%\Documents\GitHub\eaglep3\Utilities\RefineRTDCRunTimes.py" --tripid 124-24 --locoid 4001 --swversion DE.1.0.9.0 --startMP 204:233027 --initTime 2017-11-24T07:09:19 --startdatetime 2017-11-24T07:27:22 --delay 52 --endMP 204:145 --enddatetime 2017-11-24T08:05:09 --enforcementcount 0 &gt;&gt;%USERPROFILE%\Documents\GitHub\eaglep3-reporting\EC\2017-11-24-refined-times.txt</v>
      </c>
      <c r="AI36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{"issue":{"subject":"","project_id":79,"tracker_id":40,"status_id":1,"priority_id":2,"assigned_to_id":338,"start_date":"2017-11-24","description":"","custom_fields":[{"id":1,"name":"Subdivision","value":"EC"},{"id":4,"name":"Milepost","value":"0.0145"},{"id":17,"name":"Train ID","value":"124-24"},{"id":16,"name":"Locomotive ID","value":"4001"},{"id":130,"name":"Impact","value":""},{"id":150,"name":"Time of Event (Mountain Time)","value":"08:05:09"},{"id":151,"name":"Denver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4"/>
      <c r="AK36" s="232"/>
      <c r="AL36" s="232"/>
      <c r="AM36" s="241" t="str">
        <f t="shared" si="7"/>
        <v>start /low /b %USERPROFILE%\Documents\GitHub\eaglep3\Utilities\DownloadLogsFromS3.py --loco 4001 --day 2017-11-24</v>
      </c>
      <c r="AN36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15:05:09"},{"id":29,"name":"Sharepoint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1" t="str">
        <f t="shared" si="9"/>
        <v>https://d0f6bd738d7f1b3e5a7ca70fe4ff75f0.us-east-1.aws.found.io/app/kibana#/discover/Steve-Slow-Train-Analysis-(2080s-and-2083s)?_g=(refreshInterval:(display:Off,pause:!f,section:0,value:0),time:(from:'2017-11-24T06:09:19-0700',mode:absolute,to:'2017-11-24T09:05:09-0700'))&amp;_a=(columns:!('Message%20ID',Summary),filters:!(),index:'emp_*',interval:auto,query:(query_string:(analyze_wildcard:!t,query:'%22rtdc.l.rtdc.4001%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30" t="s">
        <v>741</v>
      </c>
      <c r="B37" s="226">
        <v>4016</v>
      </c>
      <c r="C37" s="228" t="s">
        <v>192</v>
      </c>
      <c r="D37" s="228" t="s">
        <v>941</v>
      </c>
      <c r="E37" s="227">
        <v>43063.279733796298</v>
      </c>
      <c r="F37" s="227">
        <v>43063.281435185185</v>
      </c>
      <c r="G37" s="226">
        <v>58</v>
      </c>
      <c r="H37" s="228" t="s">
        <v>528</v>
      </c>
      <c r="I37" s="227">
        <v>43063.30541666667</v>
      </c>
      <c r="J37" s="226">
        <v>0</v>
      </c>
      <c r="K37" s="238" t="str">
        <f>IF(ISEVEN(B37),(B37-1)&amp;"/"&amp;B37,B37&amp;"/"&amp;(B37+1))</f>
        <v>4015/4016</v>
      </c>
      <c r="L37" s="246" t="str">
        <f>VLOOKUP(A37,'Trips&amp;Operators'!$C$1:$G$99911,5,FALSE)</f>
        <v>ROCHA YAOTL</v>
      </c>
      <c r="M37" s="225">
        <f>I37-F37</f>
        <v>2.3981481484952383E-2</v>
      </c>
      <c r="N37" s="226">
        <f>24*60*SUM($M37:$M37)</f>
        <v>34.533333338331431</v>
      </c>
      <c r="O37" s="226"/>
      <c r="P37" s="226"/>
      <c r="Q37" s="229"/>
      <c r="R37" s="243"/>
      <c r="S37" s="250">
        <f>1/IF(AG37="EC",12,1)*SUM(U37:U37)</f>
        <v>1</v>
      </c>
      <c r="T37" s="243" t="str">
        <f>IF(ISEVEN(LEFT(AD37,4)),"Southbound","NorthBound")</f>
        <v>NorthBound</v>
      </c>
      <c r="U37" s="24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9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-11-24T05:42:49-0700',mode:absolute,to:'2017-11-24T08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7" s="248" t="str">
        <f>IF(AA37&lt;VLOOKUP(AG37,Variables!$AC$3:$AD$8,2,FALSE),"Y","N")</f>
        <v>N</v>
      </c>
      <c r="X37" s="248">
        <f>VALUE(LEFT(AD37,4))-VALUE(LEFT(AD36,4))</f>
        <v>1</v>
      </c>
      <c r="Y37" s="248">
        <f>RIGHT(D37,LEN(D37)-4)/10000</f>
        <v>4.6600000000000003E-2</v>
      </c>
      <c r="Z37" s="248">
        <f>RIGHT(H37,LEN(H37)-4)/10000</f>
        <v>23.3324</v>
      </c>
      <c r="AA37" s="248">
        <f>ABS(Z37-Y37)</f>
        <v>23.285799999999998</v>
      </c>
      <c r="AB37" s="234" t="e">
        <f>VLOOKUP(A37,Enforcements!$C$7:$K$9,8,0)</f>
        <v>#N/A</v>
      </c>
      <c r="AC37" s="233" t="e">
        <f>VLOOKUP(A37,Enforcements!$C$7:$E$9,3,0)</f>
        <v>#N/A</v>
      </c>
      <c r="AD37" s="244">
        <f>VALUE(LEFT(A37,LEN(A37)-3))</f>
        <v>125</v>
      </c>
      <c r="AE37" s="236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s3://rtdc.mdm.uploadarchive.raw/RTDC4016/ "%USERPROFILE%\AppData\Local\Temp\OnboardLogs"\RTDC4016\2017-11-24 --exclude "*" --recursive --include "*20171124*" &amp; "%USERPROFILE%\Documents\GitHub\mrs-test-scripts\Headless Mode &amp; Sideloading\WalkAndUnGZ.bat" "%USERPROFILE%\AppData\Local\Temp\OnboardLogs"\RTDC4016\2017-11-24 &amp; aws s3 cp s3://rtdc.mdm.uploadarchive.raw/RTDC4016/ "%USERPROFILE%\AppData\Local\Temp\OnboardLogs"\RTDC4016\2017-11-25 --exclude "*" --recursive --include "*20171125*" &amp; "%USERPROFILE%\Documents\GitHub\mrs-test-scripts\Headless Mode &amp; Sideloading\WalkAndUnGZ.bat" "%USERPROFILE%\AppData\Local\Temp\OnboardLogs"\RTDC4016\2017-11-25</v>
      </c>
      <c r="AF37" s="235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/stypes="app*4016*20171124*" /stext=" 14:.+((SYSTEM_STATE.+slice.+state.+changed )|(ment ac)|(multiple cpu faults)|(system.+state.+changed )|(\[timeout)|(PRM\|1\|D)|(kpr)|(kdp)|(train st.+moving)|(\|lc)|(penalty))"</v>
      </c>
      <c r="AG37" s="245" t="str">
        <f>DetSubdiv(A37)</f>
        <v>EC</v>
      </c>
      <c r="AH37" s="237" t="str">
        <f t="shared" si="5"/>
        <v>"%USERPROFILE%\Documents\GitHub\eaglep3\Utilities\RefineRTDCRunTimes.py" --tripid 125-24 --locoid 4016 --swversion DE.1.0.9.0 --startMP 204:466 --initTime 2017-11-24T06:42:49 --startdatetime 2017-11-24T06:45:16 --delay 58 --endMP 204:233324 --enddatetime 2017-11-24T07:19:48 --enforcementcount 0 &gt;&gt;%USERPROFILE%\Documents\GitHub\eaglep3-reporting\EC\2017-11-24-refined-times.txt</v>
      </c>
      <c r="AI37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{"issue":{"subject":"","project_id":79,"tracker_id":40,"status_id":1,"priority_id":2,"assigned_to_id":338,"start_date":"2017-11-24","description":"","custom_fields":[{"id":1,"name":"Subdivision","value":"EC"},{"id":4,"name":"Milepost","value":"23.3324"},{"id":17,"name":"Train ID","value":"125-24"},{"id":16,"name":"Locomotive ID","value":"4016"},{"id":130,"name":"Impact","value":""},{"id":150,"name":"Time of Event (Mountain Time)","value":"07:19:48"},{"id":151,"name":"Denver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4"/>
      <c r="AK37" s="232"/>
      <c r="AL37" s="232"/>
      <c r="AM37" s="241" t="str">
        <f t="shared" si="7"/>
        <v>start /low /b %USERPROFILE%\Documents\GitHub\eaglep3\Utilities\DownloadLogsFromS3.py --loco 4016 --day 2017-11-24</v>
      </c>
      <c r="AN37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14:19:48"},{"id":29,"name":"Sharepoint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1" t="str">
        <f t="shared" si="9"/>
        <v>https://d0f6bd738d7f1b3e5a7ca70fe4ff75f0.us-east-1.aws.found.io/app/kibana#/discover/Steve-Slow-Train-Analysis-(2080s-and-2083s)?_g=(refreshInterval:(display:Off,pause:!f,section:0,value:0),time:(from:'2017-11-24T05:42:49-0700',mode:absolute,to:'2017-11-24T08:19:48-0700'))&amp;_a=(columns:!('Message%20ID',Summary),filters:!(),index:'emp_*',interval:auto,query:(query_string:(analyze_wildcard:!t,query:'%22rtdc.l.rtdc.4016%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30" t="s">
        <v>751</v>
      </c>
      <c r="B38" s="226">
        <v>4015</v>
      </c>
      <c r="C38" s="228" t="s">
        <v>192</v>
      </c>
      <c r="D38" s="228" t="s">
        <v>942</v>
      </c>
      <c r="E38" s="227">
        <v>43063.319050925929</v>
      </c>
      <c r="F38" s="227">
        <v>43063.321006944447</v>
      </c>
      <c r="G38" s="226">
        <v>58</v>
      </c>
      <c r="H38" s="228" t="s">
        <v>605</v>
      </c>
      <c r="I38" s="227">
        <v>43063.346701388888</v>
      </c>
      <c r="J38" s="226">
        <v>0</v>
      </c>
      <c r="K38" s="238" t="str">
        <f>IF(ISEVEN(B38),(B38-1)&amp;"/"&amp;B38,B38&amp;"/"&amp;(B38+1))</f>
        <v>4015/4016</v>
      </c>
      <c r="L38" s="246" t="str">
        <f>VLOOKUP(A38,'Trips&amp;Operators'!$C$1:$G$99911,5,FALSE)</f>
        <v>ROCHA YAOTL</v>
      </c>
      <c r="M38" s="225">
        <f>I38-F38</f>
        <v>2.569444444088731E-2</v>
      </c>
      <c r="N38" s="226">
        <f>24*60*SUM($M38:$M38)</f>
        <v>36.999999994877726</v>
      </c>
      <c r="O38" s="226"/>
      <c r="P38" s="226"/>
      <c r="Q38" s="229"/>
      <c r="R38" s="243"/>
      <c r="S38" s="250">
        <f>1/IF(AG38="EC",12,1)*SUM(U38:U38)</f>
        <v>1</v>
      </c>
      <c r="T38" s="243" t="str">
        <f>IF(ISEVEN(LEFT(AD38,4)),"Southbound","NorthBound")</f>
        <v>Southbound</v>
      </c>
      <c r="U38" s="24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9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-11-24T06:39:26-0700',mode:absolute,to:'2017-11-24T09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8" s="248" t="str">
        <f>IF(AA38&lt;VLOOKUP(AG38,Variables!$AC$3:$AD$8,2,FALSE),"Y","N")</f>
        <v>N</v>
      </c>
      <c r="X38" s="248">
        <f>VALUE(LEFT(AD38,4))-VALUE(LEFT(AD37,4))</f>
        <v>1</v>
      </c>
      <c r="Y38" s="248">
        <f>RIGHT(D38,LEN(D38)-4)/10000</f>
        <v>23.3005</v>
      </c>
      <c r="Z38" s="248">
        <f>RIGHT(H38,LEN(H38)-4)/10000</f>
        <v>1.52E-2</v>
      </c>
      <c r="AA38" s="248">
        <f>ABS(Z38-Y38)</f>
        <v>23.285299999999999</v>
      </c>
      <c r="AB38" s="234" t="e">
        <f>VLOOKUP(A38,Enforcements!$C$7:$K$9,8,0)</f>
        <v>#N/A</v>
      </c>
      <c r="AC38" s="233" t="e">
        <f>VLOOKUP(A38,Enforcements!$C$7:$E$9,3,0)</f>
        <v>#N/A</v>
      </c>
      <c r="AD38" s="244">
        <f>VALUE(LEFT(A38,LEN(A38)-3))</f>
        <v>126</v>
      </c>
      <c r="AE38" s="236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s3://rtdc.mdm.uploadarchive.raw/RTDC4015/ "%USERPROFILE%\AppData\Local\Temp\OnboardLogs"\RTDC4015\2017-11-24 --exclude "*" --recursive --include "*20171124*" &amp; "%USERPROFILE%\Documents\GitHub\mrs-test-scripts\Headless Mode &amp; Sideloading\WalkAndUnGZ.bat" "%USERPROFILE%\AppData\Local\Temp\OnboardLogs"\RTDC4015\2017-11-24 &amp; aws s3 cp s3://rtdc.mdm.uploadarchive.raw/RTDC4015/ "%USERPROFILE%\AppData\Local\Temp\OnboardLogs"\RTDC4015\2017-11-25 --exclude "*" --recursive --include "*20171125*" &amp; "%USERPROFILE%\Documents\GitHub\mrs-test-scripts\Headless Mode &amp; Sideloading\WalkAndUnGZ.bat" "%USERPROFILE%\AppData\Local\Temp\OnboardLogs"\RTDC4015\2017-11-25</v>
      </c>
      <c r="AF38" s="235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/stypes="app*4015*20171124*" /stext=" 15:.+((SYSTEM_STATE.+slice.+state.+changed )|(ment ac)|(multiple cpu faults)|(system.+state.+changed )|(\[timeout)|(PRM\|1\|D)|(kpr)|(kdp)|(train st.+moving)|(\|lc)|(penalty))"</v>
      </c>
      <c r="AG38" s="245" t="str">
        <f>DetSubdiv(A38)</f>
        <v>EC</v>
      </c>
      <c r="AH38" s="237" t="str">
        <f t="shared" si="5"/>
        <v>"%USERPROFILE%\Documents\GitHub\eaglep3\Utilities\RefineRTDCRunTimes.py" --tripid 126-24 --locoid 4015 --swversion DE.1.0.9.0 --startMP 204:233005 --initTime 2017-11-24T07:39:26 --startdatetime 2017-11-24T07:42:15 --delay 58 --endMP 204:152 --enddatetime 2017-11-24T08:19:15 --enforcementcount 0 &gt;&gt;%USERPROFILE%\Documents\GitHub\eaglep3-reporting\EC\2017-11-24-refined-times.txt</v>
      </c>
      <c r="AI38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{"issue":{"subject":"","project_id":79,"tracker_id":40,"status_id":1,"priority_id":2,"assigned_to_id":338,"start_date":"2017-11-24","description":"","custom_fields":[{"id":1,"name":"Subdivision","value":"EC"},{"id":4,"name":"Milepost","value":"0.0152"},{"id":17,"name":"Train ID","value":"126-24"},{"id":16,"name":"Locomotive ID","value":"4015"},{"id":130,"name":"Impact","value":""},{"id":150,"name":"Time of Event (Mountain Time)","value":"08:19:15"},{"id":151,"name":"Denver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4"/>
      <c r="AK38" s="232"/>
      <c r="AL38" s="232"/>
      <c r="AM38" s="241" t="str">
        <f t="shared" si="7"/>
        <v>start /low /b %USERPROFILE%\Documents\GitHub\eaglep3\Utilities\DownloadLogsFromS3.py --loco 4015 --day 2017-11-24</v>
      </c>
      <c r="AN38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15:19:15"},{"id":29,"name":"Sharepoint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1" t="str">
        <f t="shared" si="9"/>
        <v>https://d0f6bd738d7f1b3e5a7ca70fe4ff75f0.us-east-1.aws.found.io/app/kibana#/discover/Steve-Slow-Train-Analysis-(2080s-and-2083s)?_g=(refreshInterval:(display:Off,pause:!f,section:0,value:0),time:(from:'2017-11-24T06:39:26-0700',mode:absolute,to:'2017-11-24T09:19:15-0700'))&amp;_a=(columns:!('Message%20ID',Summary),filters:!(),index:'emp_*',interval:auto,query:(query_string:(analyze_wildcard:!t,query:'%22rtdc.l.rtdc.4015%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30" t="s">
        <v>743</v>
      </c>
      <c r="B39" s="226">
        <v>4050</v>
      </c>
      <c r="C39" s="228" t="s">
        <v>192</v>
      </c>
      <c r="D39" s="228" t="s">
        <v>450</v>
      </c>
      <c r="E39" s="227">
        <v>43063.286261574074</v>
      </c>
      <c r="F39" s="227">
        <v>43063.291875000003</v>
      </c>
      <c r="G39" s="226">
        <v>60</v>
      </c>
      <c r="H39" s="228" t="s">
        <v>943</v>
      </c>
      <c r="I39" s="227">
        <v>43063.315983796296</v>
      </c>
      <c r="J39" s="226">
        <v>0</v>
      </c>
      <c r="K39" s="238" t="str">
        <f>IF(ISEVEN(B39),(B39-1)&amp;"/"&amp;B39,B39&amp;"/"&amp;(B39+1))</f>
        <v>4049/4050</v>
      </c>
      <c r="L39" s="246" t="str">
        <f>VLOOKUP(A39,'Trips&amp;Operators'!$C$1:$G$99911,5,FALSE)</f>
        <v>MACDONALD THOMAS</v>
      </c>
      <c r="M39" s="225">
        <f>I39-F39</f>
        <v>2.4108796293148771E-2</v>
      </c>
      <c r="N39" s="226">
        <f>24*60*SUM($M39:$M39)</f>
        <v>34.71666666213423</v>
      </c>
      <c r="O39" s="226"/>
      <c r="P39" s="226"/>
      <c r="Q39" s="229"/>
      <c r="R39" s="243"/>
      <c r="S39" s="250">
        <f>1/IF(AG39="EC",12,1)*SUM(U39:U39)</f>
        <v>1</v>
      </c>
      <c r="T39" s="243" t="str">
        <f>IF(ISEVEN(LEFT(AD39,4)),"Southbound","NorthBound")</f>
        <v>NorthBound</v>
      </c>
      <c r="U39" s="24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9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-11-24T05:52:13-0700',mode:absolute,to:'2017-11-24T08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9" s="248" t="str">
        <f>IF(AA39&lt;VLOOKUP(AG39,Variables!$AC$3:$AD$8,2,FALSE),"Y","N")</f>
        <v>N</v>
      </c>
      <c r="X39" s="248">
        <f>VALUE(LEFT(AD39,4))-VALUE(LEFT(AD38,4))</f>
        <v>1</v>
      </c>
      <c r="Y39" s="248">
        <f>RIGHT(D39,LEN(D39)-4)/10000</f>
        <v>5.28E-2</v>
      </c>
      <c r="Z39" s="248">
        <f>RIGHT(H39,LEN(H39)-4)/10000</f>
        <v>23.322700000000001</v>
      </c>
      <c r="AA39" s="248">
        <f>ABS(Z39-Y39)</f>
        <v>23.2699</v>
      </c>
      <c r="AB39" s="234" t="e">
        <f>VLOOKUP(A39,Enforcements!$C$7:$K$9,8,0)</f>
        <v>#N/A</v>
      </c>
      <c r="AC39" s="233" t="e">
        <f>VLOOKUP(A39,Enforcements!$C$7:$E$9,3,0)</f>
        <v>#N/A</v>
      </c>
      <c r="AD39" s="244">
        <f>VALUE(LEFT(A39,LEN(A39)-3))</f>
        <v>127</v>
      </c>
      <c r="AE39" s="236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s3://rtdc.mdm.uploadarchive.raw/RTDC4050/ "%USERPROFILE%\AppData\Local\Temp\OnboardLogs"\RTDC4050\2017-11-24 --exclude "*" --recursive --include "*20171124*" &amp; "%USERPROFILE%\Documents\GitHub\mrs-test-scripts\Headless Mode &amp; Sideloading\WalkAndUnGZ.bat" "%USERPROFILE%\AppData\Local\Temp\OnboardLogs"\RTDC4050\2017-11-24 &amp; aws s3 cp s3://rtdc.mdm.uploadarchive.raw/RTDC4050/ "%USERPROFILE%\AppData\Local\Temp\OnboardLogs"\RTDC4050\2017-11-25 --exclude "*" --recursive --include "*20171125*" &amp; "%USERPROFILE%\Documents\GitHub\mrs-test-scripts\Headless Mode &amp; Sideloading\WalkAndUnGZ.bat" "%USERPROFILE%\AppData\Local\Temp\OnboardLogs"\RTDC4050\2017-11-25</v>
      </c>
      <c r="AF39" s="235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/stypes="app*4050*20171124*" /stext=" 14:.+((SYSTEM_STATE.+slice.+state.+changed )|(ment ac)|(multiple cpu faults)|(system.+state.+changed )|(\[timeout)|(PRM\|1\|D)|(kpr)|(kdp)|(train st.+moving)|(\|lc)|(penalty))"</v>
      </c>
      <c r="AG39" s="245" t="str">
        <f>DetSubdiv(A39)</f>
        <v>EC</v>
      </c>
      <c r="AH39" s="237" t="str">
        <f t="shared" si="5"/>
        <v>"%USERPROFILE%\Documents\GitHub\eaglep3\Utilities\RefineRTDCRunTimes.py" --tripid 127-24 --locoid 4050 --swversion DE.1.0.9.0 --startMP 204:528 --initTime 2017-11-24T06:52:13 --startdatetime 2017-11-24T07:00:18 --delay 60 --endMP 204:233227 --enddatetime 2017-11-24T07:35:01 --enforcementcount 0 &gt;&gt;%USERPROFILE%\Documents\GitHub\eaglep3-reporting\EC\2017-11-24-refined-times.txt</v>
      </c>
      <c r="AI39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{"issue":{"subject":"","project_id":79,"tracker_id":40,"status_id":1,"priority_id":2,"assigned_to_id":338,"start_date":"2017-11-24","description":"","custom_fields":[{"id":1,"name":"Subdivision","value":"EC"},{"id":4,"name":"Milepost","value":"23.3227"},{"id":17,"name":"Train ID","value":"127-24"},{"id":16,"name":"Locomotive ID","value":"4050"},{"id":130,"name":"Impact","value":""},{"id":150,"name":"Time of Event (Mountain Time)","value":"07:35:01"},{"id":151,"name":"Denver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4"/>
      <c r="AK39" s="232"/>
      <c r="AL39" s="232"/>
      <c r="AM39" s="241" t="str">
        <f t="shared" si="7"/>
        <v>start /low /b %USERPROFILE%\Documents\GitHub\eaglep3\Utilities\DownloadLogsFromS3.py --loco 4050 --day 2017-11-24</v>
      </c>
      <c r="AN39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14:35:01"},{"id":29,"name":"Sharepoint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1" t="str">
        <f t="shared" si="9"/>
        <v>https://d0f6bd738d7f1b3e5a7ca70fe4ff75f0.us-east-1.aws.found.io/app/kibana#/discover/Steve-Slow-Train-Analysis-(2080s-and-2083s)?_g=(refreshInterval:(display:Off,pause:!f,section:0,value:0),time:(from:'2017-11-24T05:52:13-0700',mode:absolute,to:'2017-11-24T08:35:01-0700'))&amp;_a=(columns:!('Message%20ID',Summary),filters:!(),index:'emp_*',interval:auto,query:(query_string:(analyze_wildcard:!t,query:'%22rtdc.l.rtdc.4050%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30" t="s">
        <v>754</v>
      </c>
      <c r="B40" s="226">
        <v>4049</v>
      </c>
      <c r="C40" s="228" t="s">
        <v>192</v>
      </c>
      <c r="D40" s="228" t="s">
        <v>944</v>
      </c>
      <c r="E40" s="227">
        <v>43063.329201388886</v>
      </c>
      <c r="F40" s="227">
        <v>43063.331932870373</v>
      </c>
      <c r="G40" s="226">
        <v>55</v>
      </c>
      <c r="H40" s="228" t="s">
        <v>945</v>
      </c>
      <c r="I40" s="227">
        <v>43063.358541666668</v>
      </c>
      <c r="J40" s="226">
        <v>0</v>
      </c>
      <c r="K40" s="238" t="str">
        <f>IF(ISEVEN(B40),(B40-1)&amp;"/"&amp;B40,B40&amp;"/"&amp;(B40+1))</f>
        <v>4049/4050</v>
      </c>
      <c r="L40" s="246" t="str">
        <f>VLOOKUP(A40,'Trips&amp;Operators'!$C$1:$G$99911,5,FALSE)</f>
        <v>MACDONALD THOMAS</v>
      </c>
      <c r="M40" s="225">
        <f>I40-F40</f>
        <v>2.6608796295477077E-2</v>
      </c>
      <c r="N40" s="226">
        <f>24*60*SUM($M40:$M40)</f>
        <v>38.316666665486991</v>
      </c>
      <c r="O40" s="226"/>
      <c r="P40" s="226"/>
      <c r="Q40" s="229"/>
      <c r="R40" s="243"/>
      <c r="S40" s="250">
        <f>1/IF(AG40="EC",12,1)*SUM(U40:U40)</f>
        <v>1</v>
      </c>
      <c r="T40" s="243" t="str">
        <f>IF(ISEVEN(LEFT(AD40,4)),"Southbound","NorthBound")</f>
        <v>Southbound</v>
      </c>
      <c r="U40" s="24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9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-11-24T06:54:03-0700',mode:absolute,to:'2017-11-24T09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0" s="248" t="str">
        <f>IF(AA40&lt;VLOOKUP(AG40,Variables!$AC$3:$AD$8,2,FALSE),"Y","N")</f>
        <v>N</v>
      </c>
      <c r="X40" s="248">
        <f>VALUE(LEFT(AD40,4))-VALUE(LEFT(AD39,4))</f>
        <v>1</v>
      </c>
      <c r="Y40" s="248">
        <f>RIGHT(D40,LEN(D40)-4)/10000</f>
        <v>23.290900000000001</v>
      </c>
      <c r="Z40" s="248">
        <f>RIGHT(H40,LEN(H40)-4)/10000</f>
        <v>2.5100000000000001E-2</v>
      </c>
      <c r="AA40" s="248">
        <f>ABS(Z40-Y40)</f>
        <v>23.265800000000002</v>
      </c>
      <c r="AB40" s="234" t="e">
        <f>VLOOKUP(A40,Enforcements!$C$7:$K$9,8,0)</f>
        <v>#N/A</v>
      </c>
      <c r="AC40" s="233" t="e">
        <f>VLOOKUP(A40,Enforcements!$C$7:$E$9,3,0)</f>
        <v>#N/A</v>
      </c>
      <c r="AD40" s="244">
        <f>VALUE(LEFT(A40,LEN(A40)-3))</f>
        <v>128</v>
      </c>
      <c r="AE40" s="236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s3://rtdc.mdm.uploadarchive.raw/RTDC4049/ "%USERPROFILE%\AppData\Local\Temp\OnboardLogs"\RTDC4049\2017-11-24 --exclude "*" --recursive --include "*20171124*" &amp; "%USERPROFILE%\Documents\GitHub\mrs-test-scripts\Headless Mode &amp; Sideloading\WalkAndUnGZ.bat" "%USERPROFILE%\AppData\Local\Temp\OnboardLogs"\RTDC4049\2017-11-24 &amp; aws s3 cp s3://rtdc.mdm.uploadarchive.raw/RTDC4049/ "%USERPROFILE%\AppData\Local\Temp\OnboardLogs"\RTDC4049\2017-11-25 --exclude "*" --recursive --include "*20171125*" &amp; "%USERPROFILE%\Documents\GitHub\mrs-test-scripts\Headless Mode &amp; Sideloading\WalkAndUnGZ.bat" "%USERPROFILE%\AppData\Local\Temp\OnboardLogs"\RTDC4049\2017-11-25</v>
      </c>
      <c r="AF40" s="235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/stypes="app*4049*20171124*" /stext=" 15:.+((SYSTEM_STATE.+slice.+state.+changed )|(ment ac)|(multiple cpu faults)|(system.+state.+changed )|(\[timeout)|(PRM\|1\|D)|(kpr)|(kdp)|(train st.+moving)|(\|lc)|(penalty))"</v>
      </c>
      <c r="AG40" s="245" t="str">
        <f>DetSubdiv(A40)</f>
        <v>EC</v>
      </c>
      <c r="AH40" s="237" t="str">
        <f t="shared" si="5"/>
        <v>"%USERPROFILE%\Documents\GitHub\eaglep3\Utilities\RefineRTDCRunTimes.py" --tripid 128-24 --locoid 4049 --swversion DE.1.0.9.0 --startMP 204:232909 --initTime 2017-11-24T07:54:03 --startdatetime 2017-11-24T07:57:59 --delay 55 --endMP 204:251 --enddatetime 2017-11-24T08:36:18 --enforcementcount 0 &gt;&gt;%USERPROFILE%\Documents\GitHub\eaglep3-reporting\EC\2017-11-24-refined-times.txt</v>
      </c>
      <c r="AI40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{"issue":{"subject":"","project_id":79,"tracker_id":40,"status_id":1,"priority_id":2,"assigned_to_id":338,"start_date":"2017-11-24","description":"","custom_fields":[{"id":1,"name":"Subdivision","value":"EC"},{"id":4,"name":"Milepost","value":"0.0251"},{"id":17,"name":"Train ID","value":"128-24"},{"id":16,"name":"Locomotive ID","value":"4049"},{"id":130,"name":"Impact","value":""},{"id":150,"name":"Time of Event (Mountain Time)","value":"08:36:18"},{"id":151,"name":"Denver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4"/>
      <c r="AK40" s="232"/>
      <c r="AL40" s="232"/>
      <c r="AM40" s="241" t="str">
        <f t="shared" si="7"/>
        <v>start /low /b %USERPROFILE%\Documents\GitHub\eaglep3\Utilities\DownloadLogsFromS3.py --loco 4049 --day 2017-11-24</v>
      </c>
      <c r="AN40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15:36:18"},{"id":29,"name":"Sharepoint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1" t="str">
        <f t="shared" si="9"/>
        <v>https://d0f6bd738d7f1b3e5a7ca70fe4ff75f0.us-east-1.aws.found.io/app/kibana#/discover/Steve-Slow-Train-Analysis-(2080s-and-2083s)?_g=(refreshInterval:(display:Off,pause:!f,section:0,value:0),time:(from:'2017-11-24T06:54:03-0700',mode:absolute,to:'2017-11-24T09:36:18-0700'))&amp;_a=(columns:!('Message%20ID',Summary),filters:!(),index:'emp_*',interval:auto,query:(query_string:(analyze_wildcard:!t,query:'%22rtdc.l.rtdc.4049%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30" t="s">
        <v>747</v>
      </c>
      <c r="B41" s="226">
        <v>4006</v>
      </c>
      <c r="C41" s="228" t="s">
        <v>192</v>
      </c>
      <c r="D41" s="228" t="s">
        <v>486</v>
      </c>
      <c r="E41" s="227">
        <v>43063.297627314816</v>
      </c>
      <c r="F41" s="227">
        <v>43063.302395833336</v>
      </c>
      <c r="G41" s="226">
        <v>50</v>
      </c>
      <c r="H41" s="228" t="s">
        <v>946</v>
      </c>
      <c r="I41" s="227">
        <v>43063.327835648146</v>
      </c>
      <c r="J41" s="226">
        <v>0</v>
      </c>
      <c r="K41" s="238" t="str">
        <f>IF(ISEVEN(B41),(B41-1)&amp;"/"&amp;B41,B41&amp;"/"&amp;(B41+1))</f>
        <v>4005/4006</v>
      </c>
      <c r="L41" s="246" t="str">
        <f>VLOOKUP(A41,'Trips&amp;Operators'!$C$1:$G$99911,5,FALSE)</f>
        <v>MAELZER KURT</v>
      </c>
      <c r="M41" s="225">
        <f>I41-F41</f>
        <v>2.5439814809942618E-2</v>
      </c>
      <c r="N41" s="226">
        <f>24*60*SUM($M41:$M41)</f>
        <v>36.63333332631737</v>
      </c>
      <c r="O41" s="226"/>
      <c r="P41" s="226"/>
      <c r="Q41" s="229"/>
      <c r="R41" s="243"/>
      <c r="S41" s="250">
        <f>1/IF(AG41="EC",12,1)*SUM(U41:U41)</f>
        <v>1</v>
      </c>
      <c r="T41" s="243" t="str">
        <f>IF(ISEVEN(LEFT(AD41,4)),"Southbound","NorthBound")</f>
        <v>NorthBound</v>
      </c>
      <c r="U41" s="24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9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-11-24T06:08:35-0700',mode:absolute,to:'2017-11-24T08:52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1" s="248" t="str">
        <f>IF(AA41&lt;VLOOKUP(AG41,Variables!$AC$3:$AD$8,2,FALSE),"Y","N")</f>
        <v>N</v>
      </c>
      <c r="X41" s="248">
        <f>VALUE(LEFT(AD41,4))-VALUE(LEFT(AD40,4))</f>
        <v>1</v>
      </c>
      <c r="Y41" s="248">
        <f>RIGHT(D41,LEN(D41)-4)/10000</f>
        <v>4.9700000000000001E-2</v>
      </c>
      <c r="Z41" s="248">
        <f>RIGHT(H41,LEN(H41)-4)/10000</f>
        <v>23.330500000000001</v>
      </c>
      <c r="AA41" s="248">
        <f>ABS(Z41-Y41)</f>
        <v>23.280799999999999</v>
      </c>
      <c r="AB41" s="234" t="e">
        <f>VLOOKUP(A41,Enforcements!$C$7:$K$9,8,0)</f>
        <v>#N/A</v>
      </c>
      <c r="AC41" s="233" t="e">
        <f>VLOOKUP(A41,Enforcements!$C$7:$E$9,3,0)</f>
        <v>#N/A</v>
      </c>
      <c r="AD41" s="244">
        <f>VALUE(LEFT(A41,LEN(A41)-3))</f>
        <v>129</v>
      </c>
      <c r="AE41" s="236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s3://rtdc.mdm.uploadarchive.raw/RTDC4006/ "%USERPROFILE%\AppData\Local\Temp\OnboardLogs"\RTDC4006\2017-11-24 --exclude "*" --recursive --include "*20171124*" &amp; "%USERPROFILE%\Documents\GitHub\mrs-test-scripts\Headless Mode &amp; Sideloading\WalkAndUnGZ.bat" "%USERPROFILE%\AppData\Local\Temp\OnboardLogs"\RTDC4006\2017-11-24 &amp; aws s3 cp s3://rtdc.mdm.uploadarchive.raw/RTDC4006/ "%USERPROFILE%\AppData\Local\Temp\OnboardLogs"\RTDC4006\2017-11-25 --exclude "*" --recursive --include "*20171125*" &amp; "%USERPROFILE%\Documents\GitHub\mrs-test-scripts\Headless Mode &amp; Sideloading\WalkAndUnGZ.bat" "%USERPROFILE%\AppData\Local\Temp\OnboardLogs"\RTDC4006\2017-11-25</v>
      </c>
      <c r="AF41" s="235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/stypes="app*4006*20171124*" /stext=" 14:.+((SYSTEM_STATE.+slice.+state.+changed )|(ment ac)|(multiple cpu faults)|(system.+state.+changed )|(\[timeout)|(PRM\|1\|D)|(kpr)|(kdp)|(train st.+moving)|(\|lc)|(penalty))"</v>
      </c>
      <c r="AG41" s="245" t="str">
        <f>DetSubdiv(A41)</f>
        <v>EC</v>
      </c>
      <c r="AH41" s="237" t="str">
        <f t="shared" si="5"/>
        <v>"%USERPROFILE%\Documents\GitHub\eaglep3\Utilities\RefineRTDCRunTimes.py" --tripid 129-24 --locoid 4006 --swversion DE.1.0.9.0 --startMP 204:497 --initTime 2017-11-24T07:08:35 --startdatetime 2017-11-24T07:15:27 --delay 50 --endMP 204:233305 --enddatetime 2017-11-24T07:52:05 --enforcementcount 0 &gt;&gt;%USERPROFILE%\Documents\GitHub\eaglep3-reporting\EC\2017-11-24-refined-times.txt</v>
      </c>
      <c r="AI41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{"issue":{"subject":"","project_id":79,"tracker_id":40,"status_id":1,"priority_id":2,"assigned_to_id":338,"start_date":"2017-11-24","description":"","custom_fields":[{"id":1,"name":"Subdivision","value":"EC"},{"id":4,"name":"Milepost","value":"23.3305"},{"id":17,"name":"Train ID","value":"129-24"},{"id":16,"name":"Locomotive ID","value":"4006"},{"id":130,"name":"Impact","value":""},{"id":150,"name":"Time of Event (Mountain Time)","value":"07:52:05"},{"id":151,"name":"Denver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4"/>
      <c r="AK41" s="232"/>
      <c r="AL41" s="232"/>
      <c r="AM41" s="241" t="str">
        <f t="shared" si="7"/>
        <v>start /low /b %USERPROFILE%\Documents\GitHub\eaglep3\Utilities\DownloadLogsFromS3.py --loco 4006 --day 2017-11-24</v>
      </c>
      <c r="AN41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14:52:05"},{"id":29,"name":"Sharepoint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1" t="str">
        <f t="shared" si="9"/>
        <v>https://d0f6bd738d7f1b3e5a7ca70fe4ff75f0.us-east-1.aws.found.io/app/kibana#/discover/Steve-Slow-Train-Analysis-(2080s-and-2083s)?_g=(refreshInterval:(display:Off,pause:!f,section:0,value:0),time:(from:'2017-11-24T06:08:35-0700',mode:absolute,to:'2017-11-24T08:52:05-0700'))&amp;_a=(columns:!('Message%20ID',Summary),filters:!(),index:'emp_*',interval:auto,query:(query_string:(analyze_wildcard:!t,query:'%22rtdc.l.rtdc.4006%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30" t="s">
        <v>756</v>
      </c>
      <c r="B42" s="226">
        <v>4005</v>
      </c>
      <c r="C42" s="228" t="s">
        <v>192</v>
      </c>
      <c r="D42" s="228" t="s">
        <v>947</v>
      </c>
      <c r="E42" s="227">
        <v>43063.332997685182</v>
      </c>
      <c r="F42" s="227">
        <v>43063.341863425929</v>
      </c>
      <c r="G42" s="226">
        <v>53</v>
      </c>
      <c r="H42" s="228" t="s">
        <v>948</v>
      </c>
      <c r="I42" s="227">
        <v>43063.367592592593</v>
      </c>
      <c r="J42" s="226">
        <v>0</v>
      </c>
      <c r="K42" s="238" t="str">
        <f>IF(ISEVEN(B42),(B42-1)&amp;"/"&amp;B42,B42&amp;"/"&amp;(B42+1))</f>
        <v>4005/4006</v>
      </c>
      <c r="L42" s="246" t="str">
        <f>VLOOKUP(A42,'Trips&amp;Operators'!$C$1:$G$99911,5,FALSE)</f>
        <v>MAELZER KURT</v>
      </c>
      <c r="M42" s="225">
        <f>I42-F42</f>
        <v>2.5729166663950309E-2</v>
      </c>
      <c r="N42" s="226">
        <f>24*60*SUM($M42:$M42)</f>
        <v>37.049999996088445</v>
      </c>
      <c r="O42" s="226"/>
      <c r="P42" s="226"/>
      <c r="Q42" s="229"/>
      <c r="R42" s="243"/>
      <c r="S42" s="250">
        <f>1/IF(AG42="EC",12,1)*SUM(U42:U42)</f>
        <v>1</v>
      </c>
      <c r="T42" s="243" t="str">
        <f>IF(ISEVEN(LEFT(AD42,4)),"Southbound","NorthBound")</f>
        <v>Southbound</v>
      </c>
      <c r="U42" s="24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9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-11-24T06:59:31-0700',mode:absolute,to:'2017-11-24T09:49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2" s="248" t="str">
        <f>IF(AA42&lt;VLOOKUP(AG42,Variables!$AC$3:$AD$8,2,FALSE),"Y","N")</f>
        <v>N</v>
      </c>
      <c r="X42" s="248">
        <f>VALUE(LEFT(AD42,4))-VALUE(LEFT(AD41,4))</f>
        <v>1</v>
      </c>
      <c r="Y42" s="248">
        <f>RIGHT(D42,LEN(D42)-4)/10000</f>
        <v>23.2971</v>
      </c>
      <c r="Z42" s="248">
        <f>RIGHT(H42,LEN(H42)-4)/10000</f>
        <v>1.8100000000000002E-2</v>
      </c>
      <c r="AA42" s="248">
        <f>ABS(Z42-Y42)</f>
        <v>23.279</v>
      </c>
      <c r="AB42" s="234" t="e">
        <f>VLOOKUP(A42,Enforcements!$C$7:$K$9,8,0)</f>
        <v>#N/A</v>
      </c>
      <c r="AC42" s="233" t="e">
        <f>VLOOKUP(A42,Enforcements!$C$7:$E$9,3,0)</f>
        <v>#N/A</v>
      </c>
      <c r="AD42" s="244">
        <f>VALUE(LEFT(A42,LEN(A42)-3))</f>
        <v>130</v>
      </c>
      <c r="AE42" s="236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s3://rtdc.mdm.uploadarchive.raw/RTDC4005/ "%USERPROFILE%\AppData\Local\Temp\OnboardLogs"\RTDC4005\2017-11-24 --exclude "*" --recursive --include "*20171124*" &amp; "%USERPROFILE%\Documents\GitHub\mrs-test-scripts\Headless Mode &amp; Sideloading\WalkAndUnGZ.bat" "%USERPROFILE%\AppData\Local\Temp\OnboardLogs"\RTDC4005\2017-11-24 &amp; aws s3 cp s3://rtdc.mdm.uploadarchive.raw/RTDC4005/ "%USERPROFILE%\AppData\Local\Temp\OnboardLogs"\RTDC4005\2017-11-25 --exclude "*" --recursive --include "*20171125*" &amp; "%USERPROFILE%\Documents\GitHub\mrs-test-scripts\Headless Mode &amp; Sideloading\WalkAndUnGZ.bat" "%USERPROFILE%\AppData\Local\Temp\OnboardLogs"\RTDC4005\2017-11-25</v>
      </c>
      <c r="AF42" s="235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/stypes="app*4005*20171124*" /stext=" 15:.+((SYSTEM_STATE.+slice.+state.+changed )|(ment ac)|(multiple cpu faults)|(system.+state.+changed )|(\[timeout)|(PRM\|1\|D)|(kpr)|(kdp)|(train st.+moving)|(\|lc)|(penalty))"</v>
      </c>
      <c r="AG42" s="245" t="str">
        <f>DetSubdiv(A42)</f>
        <v>EC</v>
      </c>
      <c r="AH42" s="237" t="str">
        <f t="shared" si="5"/>
        <v>"%USERPROFILE%\Documents\GitHub\eaglep3\Utilities\RefineRTDCRunTimes.py" --tripid 130-24 --locoid 4005 --swversion DE.1.0.9.0 --startMP 204:232971 --initTime 2017-11-24T07:59:31 --startdatetime 2017-11-24T08:12:17 --delay 53 --endMP 204:181 --enddatetime 2017-11-24T08:49:20 --enforcementcount 0 &gt;&gt;%USERPROFILE%\Documents\GitHub\eaglep3-reporting\EC\2017-11-24-refined-times.txt</v>
      </c>
      <c r="AI42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{"issue":{"subject":"","project_id":79,"tracker_id":40,"status_id":1,"priority_id":2,"assigned_to_id":338,"start_date":"2017-11-24","description":"","custom_fields":[{"id":1,"name":"Subdivision","value":"EC"},{"id":4,"name":"Milepost","value":"0.0181"},{"id":17,"name":"Train ID","value":"130-24"},{"id":16,"name":"Locomotive ID","value":"4005"},{"id":130,"name":"Impact","value":""},{"id":150,"name":"Time of Event (Mountain Time)","value":"08:49:20"},{"id":151,"name":"Denver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4"/>
      <c r="AK42" s="232"/>
      <c r="AL42" s="232"/>
      <c r="AM42" s="241" t="str">
        <f t="shared" si="7"/>
        <v>start /low /b %USERPROFILE%\Documents\GitHub\eaglep3\Utilities\DownloadLogsFromS3.py --loco 4005 --day 2017-11-24</v>
      </c>
      <c r="AN42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15:49:20"},{"id":29,"name":"Sharepoint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1" t="str">
        <f t="shared" si="9"/>
        <v>https://d0f6bd738d7f1b3e5a7ca70fe4ff75f0.us-east-1.aws.found.io/app/kibana#/discover/Steve-Slow-Train-Analysis-(2080s-and-2083s)?_g=(refreshInterval:(display:Off,pause:!f,section:0,value:0),time:(from:'2017-11-24T06:59:31-0700',mode:absolute,to:'2017-11-24T09:49:20-0700'))&amp;_a=(columns:!('Message%20ID',Summary),filters:!(),index:'emp_*',interval:auto,query:(query_string:(analyze_wildcard:!t,query:'%22rtdc.l.rtdc.4005%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30" t="s">
        <v>661</v>
      </c>
      <c r="B43" s="226">
        <v>4034</v>
      </c>
      <c r="C43" s="228" t="s">
        <v>192</v>
      </c>
      <c r="D43" s="228" t="s">
        <v>949</v>
      </c>
      <c r="E43" s="227">
        <v>43063.306122685186</v>
      </c>
      <c r="F43" s="227">
        <v>43063.313715277778</v>
      </c>
      <c r="G43" s="226">
        <v>153</v>
      </c>
      <c r="H43" s="228" t="s">
        <v>950</v>
      </c>
      <c r="I43" s="227">
        <v>43063.338321759256</v>
      </c>
      <c r="J43" s="226">
        <v>0</v>
      </c>
      <c r="K43" s="238" t="str">
        <f>IF(ISEVEN(B43),(B43-1)&amp;"/"&amp;B43,B43&amp;"/"&amp;(B43+1))</f>
        <v>4033/4034</v>
      </c>
      <c r="L43" s="246" t="str">
        <f>VLOOKUP(A43,'Trips&amp;Operators'!$C$1:$G$99911,5,FALSE)</f>
        <v>NICHOLAS PLOYSA</v>
      </c>
      <c r="M43" s="225">
        <f>I43-F43</f>
        <v>2.4606481478258502E-2</v>
      </c>
      <c r="N43" s="226">
        <f>24*60*SUM($M43:$M43)</f>
        <v>35.433333328692243</v>
      </c>
      <c r="O43" s="226"/>
      <c r="P43" s="226"/>
      <c r="Q43" s="229"/>
      <c r="R43" s="243"/>
      <c r="S43" s="250">
        <f>1/IF(AG43="EC",12,1)*SUM(U43:U43)</f>
        <v>1</v>
      </c>
      <c r="T43" s="243" t="str">
        <f>IF(ISEVEN(LEFT(AD43,4)),"Southbound","NorthBound")</f>
        <v>NorthBound</v>
      </c>
      <c r="U43" s="24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9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-11-24T06:20:49-0700',mode:absolute,to:'2017-11-24T09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3" s="248" t="str">
        <f>IF(AA43&lt;VLOOKUP(AG43,Variables!$AC$3:$AD$8,2,FALSE),"Y","N")</f>
        <v>N</v>
      </c>
      <c r="X43" s="248">
        <f>VALUE(LEFT(AD43,4))-VALUE(LEFT(AD42,4))</f>
        <v>1</v>
      </c>
      <c r="Y43" s="248">
        <f>RIGHT(D43,LEN(D43)-4)/10000</f>
        <v>4.2599999999999999E-2</v>
      </c>
      <c r="Z43" s="248">
        <f>RIGHT(H43,LEN(H43)-4)/10000</f>
        <v>23.318300000000001</v>
      </c>
      <c r="AA43" s="248">
        <f>ABS(Z43-Y43)</f>
        <v>23.275700000000001</v>
      </c>
      <c r="AB43" s="234" t="e">
        <f>VLOOKUP(A43,Enforcements!$C$7:$K$9,8,0)</f>
        <v>#N/A</v>
      </c>
      <c r="AC43" s="233" t="e">
        <f>VLOOKUP(A43,Enforcements!$C$7:$E$9,3,0)</f>
        <v>#N/A</v>
      </c>
      <c r="AD43" s="244">
        <f>VALUE(LEFT(A43,LEN(A43)-3))</f>
        <v>131</v>
      </c>
      <c r="AE43" s="236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s3://rtdc.mdm.uploadarchive.raw/RTDC4034/ "%USERPROFILE%\AppData\Local\Temp\OnboardLogs"\RTDC4034\2017-11-24 --exclude "*" --recursive --include "*20171124*" &amp; "%USERPROFILE%\Documents\GitHub\mrs-test-scripts\Headless Mode &amp; Sideloading\WalkAndUnGZ.bat" "%USERPROFILE%\AppData\Local\Temp\OnboardLogs"\RTDC4034\2017-11-24 &amp; aws s3 cp s3://rtdc.mdm.uploadarchive.raw/RTDC4034/ "%USERPROFILE%\AppData\Local\Temp\OnboardLogs"\RTDC4034\2017-11-25 --exclude "*" --recursive --include "*20171125*" &amp; "%USERPROFILE%\Documents\GitHub\mrs-test-scripts\Headless Mode &amp; Sideloading\WalkAndUnGZ.bat" "%USERPROFILE%\AppData\Local\Temp\OnboardLogs"\RTDC4034\2017-11-25</v>
      </c>
      <c r="AF43" s="235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/stypes="app*4034*20171124*" /stext=" 15:.+((SYSTEM_STATE.+slice.+state.+changed )|(ment ac)|(multiple cpu faults)|(system.+state.+changed )|(\[timeout)|(PRM\|1\|D)|(kpr)|(kdp)|(train st.+moving)|(\|lc)|(penalty))"</v>
      </c>
      <c r="AG43" s="245" t="str">
        <f>DetSubdiv(A43)</f>
        <v>EC</v>
      </c>
      <c r="AH43" s="237" t="str">
        <f t="shared" si="5"/>
        <v>"%USERPROFILE%\Documents\GitHub\eaglep3\Utilities\RefineRTDCRunTimes.py" --tripid 131-24 --locoid 4034 --swversion DE.1.0.9.0 --startMP 204:426 --initTime 2017-11-24T07:20:49 --startdatetime 2017-11-24T07:31:45 --delay 153 --endMP 204:233183 --enddatetime 2017-11-24T08:07:11 --enforcementcount 0 &gt;&gt;%USERPROFILE%\Documents\GitHub\eaglep3-reporting\EC\2017-11-24-refined-times.txt</v>
      </c>
      <c r="AI43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{"issue":{"subject":"","project_id":79,"tracker_id":40,"status_id":1,"priority_id":2,"assigned_to_id":338,"start_date":"2017-11-24","description":"","custom_fields":[{"id":1,"name":"Subdivision","value":"EC"},{"id":4,"name":"Milepost","value":"23.3183"},{"id":17,"name":"Train ID","value":"131-24"},{"id":16,"name":"Locomotive ID","value":"4034"},{"id":130,"name":"Impact","value":""},{"id":150,"name":"Time of Event (Mountain Time)","value":"08:07:11"},{"id":151,"name":"Denver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4"/>
      <c r="AK43" s="232"/>
      <c r="AL43" s="232"/>
      <c r="AM43" s="241" t="str">
        <f t="shared" si="7"/>
        <v>start /low /b %USERPROFILE%\Documents\GitHub\eaglep3\Utilities\DownloadLogsFromS3.py --loco 4034 --day 2017-11-24</v>
      </c>
      <c r="AN43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15:07:11"},{"id":29,"name":"Sharepoint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1" t="str">
        <f t="shared" si="9"/>
        <v>https://d0f6bd738d7f1b3e5a7ca70fe4ff75f0.us-east-1.aws.found.io/app/kibana#/discover/Steve-Slow-Train-Analysis-(2080s-and-2083s)?_g=(refreshInterval:(display:Off,pause:!f,section:0,value:0),time:(from:'2017-11-24T06:20:49-0700',mode:absolute,to:'2017-11-24T09:07:11-0700'))&amp;_a=(columns:!('Message%20ID',Summary),filters:!(),index:'emp_*',interval:auto,query:(query_string:(analyze_wildcard:!t,query:'%22rtdc.l.rtdc.4034%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30" t="s">
        <v>758</v>
      </c>
      <c r="B44" s="226">
        <v>4033</v>
      </c>
      <c r="C44" s="228" t="s">
        <v>192</v>
      </c>
      <c r="D44" s="228" t="s">
        <v>951</v>
      </c>
      <c r="E44" s="227">
        <v>43063.339525462965</v>
      </c>
      <c r="F44" s="227">
        <v>43063.352268518516</v>
      </c>
      <c r="G44" s="226">
        <v>123</v>
      </c>
      <c r="H44" s="228" t="s">
        <v>952</v>
      </c>
      <c r="I44" s="227">
        <v>43063.380474537036</v>
      </c>
      <c r="J44" s="226">
        <v>0</v>
      </c>
      <c r="K44" s="238" t="str">
        <f>IF(ISEVEN(B44),(B44-1)&amp;"/"&amp;B44,B44&amp;"/"&amp;(B44+1))</f>
        <v>4033/4034</v>
      </c>
      <c r="L44" s="246" t="str">
        <f>VLOOKUP(A44,'Trips&amp;Operators'!$C$1:$G$99911,5,FALSE)</f>
        <v>NICHOLAS PLOYSA</v>
      </c>
      <c r="M44" s="225">
        <f>I44-F44</f>
        <v>2.8206018519995268E-2</v>
      </c>
      <c r="N44" s="226">
        <f>24*60*SUM($M44:$M44)</f>
        <v>40.616666668793187</v>
      </c>
      <c r="O44" s="226"/>
      <c r="P44" s="226"/>
      <c r="Q44" s="229"/>
      <c r="R44" s="243"/>
      <c r="S44" s="250">
        <f>1/IF(AG44="EC",12,1)*SUM(U44:U44)</f>
        <v>1</v>
      </c>
      <c r="T44" s="243" t="str">
        <f>IF(ISEVEN(LEFT(AD44,4)),"Southbound","NorthBound")</f>
        <v>Southbound</v>
      </c>
      <c r="U44" s="24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9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-11-24T07:08:55-0700',mode:absolute,to:'2017-11-24T10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4" s="248" t="str">
        <f>IF(AA44&lt;VLOOKUP(AG44,Variables!$AC$3:$AD$8,2,FALSE),"Y","N")</f>
        <v>N</v>
      </c>
      <c r="X44" s="248">
        <f>VALUE(LEFT(AD44,4))-VALUE(LEFT(AD43,4))</f>
        <v>1</v>
      </c>
      <c r="Y44" s="248">
        <f>RIGHT(D44,LEN(D44)-4)/10000</f>
        <v>23.286999999999999</v>
      </c>
      <c r="Z44" s="248">
        <f>RIGHT(H44,LEN(H44)-4)/10000</f>
        <v>0.11840000000000001</v>
      </c>
      <c r="AA44" s="248">
        <f>ABS(Z44-Y44)</f>
        <v>23.168599999999998</v>
      </c>
      <c r="AB44" s="234" t="e">
        <f>VLOOKUP(A44,Enforcements!$C$7:$K$9,8,0)</f>
        <v>#N/A</v>
      </c>
      <c r="AC44" s="233" t="e">
        <f>VLOOKUP(A44,Enforcements!$C$7:$E$9,3,0)</f>
        <v>#N/A</v>
      </c>
      <c r="AD44" s="244">
        <f>VALUE(LEFT(A44,LEN(A44)-3))</f>
        <v>132</v>
      </c>
      <c r="AE44" s="236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s3://rtdc.mdm.uploadarchive.raw/RTDC4033/ "%USERPROFILE%\AppData\Local\Temp\OnboardLogs"\RTDC4033\2017-11-24 --exclude "*" --recursive --include "*20171124*" &amp; "%USERPROFILE%\Documents\GitHub\mrs-test-scripts\Headless Mode &amp; Sideloading\WalkAndUnGZ.bat" "%USERPROFILE%\AppData\Local\Temp\OnboardLogs"\RTDC4033\2017-11-24 &amp; aws s3 cp s3://rtdc.mdm.uploadarchive.raw/RTDC4033/ "%USERPROFILE%\AppData\Local\Temp\OnboardLogs"\RTDC4033\2017-11-25 --exclude "*" --recursive --include "*20171125*" &amp; "%USERPROFILE%\Documents\GitHub\mrs-test-scripts\Headless Mode &amp; Sideloading\WalkAndUnGZ.bat" "%USERPROFILE%\AppData\Local\Temp\OnboardLogs"\RTDC4033\2017-11-25</v>
      </c>
      <c r="AF44" s="235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/stypes="app*4033*20171124*" /stext=" 16:.+((SYSTEM_STATE.+slice.+state.+changed )|(ment ac)|(multiple cpu faults)|(system.+state.+changed )|(\[timeout)|(PRM\|1\|D)|(kpr)|(kdp)|(train st.+moving)|(\|lc)|(penalty))"</v>
      </c>
      <c r="AG44" s="245" t="str">
        <f>DetSubdiv(A44)</f>
        <v>EC</v>
      </c>
      <c r="AH44" s="237" t="str">
        <f t="shared" si="5"/>
        <v>"%USERPROFILE%\Documents\GitHub\eaglep3\Utilities\RefineRTDCRunTimes.py" --tripid 132-24 --locoid 4033 --swversion DE.1.0.9.0 --startMP 204:232870 --initTime 2017-11-24T08:08:55 --startdatetime 2017-11-24T08:27:16 --delay 123 --endMP 204:1184 --enddatetime 2017-11-24T09:07:53 --enforcementcount 0 &gt;&gt;%USERPROFILE%\Documents\GitHub\eaglep3-reporting\EC\2017-11-24-refined-times.txt</v>
      </c>
      <c r="AI44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{"issue":{"subject":"","project_id":79,"tracker_id":40,"status_id":1,"priority_id":2,"assigned_to_id":338,"start_date":"2017-11-24","description":"","custom_fields":[{"id":1,"name":"Subdivision","value":"EC"},{"id":4,"name":"Milepost","value":"0.1184"},{"id":17,"name":"Train ID","value":"132-24"},{"id":16,"name":"Locomotive ID","value":"4033"},{"id":130,"name":"Impact","value":""},{"id":150,"name":"Time of Event (Mountain Time)","value":"09:07:53"},{"id":151,"name":"Denver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4"/>
      <c r="AK44" s="232"/>
      <c r="AL44" s="232"/>
      <c r="AM44" s="241" t="str">
        <f t="shared" si="7"/>
        <v>start /low /b %USERPROFILE%\Documents\GitHub\eaglep3\Utilities\DownloadLogsFromS3.py --loco 4033 --day 2017-11-24</v>
      </c>
      <c r="AN44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16:07:53"},{"id":29,"name":"Sharepoint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1" t="str">
        <f t="shared" si="9"/>
        <v>https://d0f6bd738d7f1b3e5a7ca70fe4ff75f0.us-east-1.aws.found.io/app/kibana#/discover/Steve-Slow-Train-Analysis-(2080s-and-2083s)?_g=(refreshInterval:(display:Off,pause:!f,section:0,value:0),time:(from:'2017-11-24T07:08:55-0700',mode:absolute,to:'2017-11-24T10:07:53-0700'))&amp;_a=(columns:!('Message%20ID',Summary),filters:!(),index:'emp_*',interval:auto,query:(query_string:(analyze_wildcard:!t,query:'%22rtdc.l.rtdc.4033%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30" t="s">
        <v>752</v>
      </c>
      <c r="B45" s="226">
        <v>4010</v>
      </c>
      <c r="C45" s="228" t="s">
        <v>192</v>
      </c>
      <c r="D45" s="228" t="s">
        <v>926</v>
      </c>
      <c r="E45" s="227">
        <v>43063.319293981483</v>
      </c>
      <c r="F45" s="227">
        <v>43063.323240740741</v>
      </c>
      <c r="G45" s="226">
        <v>68</v>
      </c>
      <c r="H45" s="228" t="s">
        <v>953</v>
      </c>
      <c r="I45" s="227">
        <v>43063.349351851852</v>
      </c>
      <c r="J45" s="226">
        <v>0</v>
      </c>
      <c r="K45" s="238" t="str">
        <f>IF(ISEVEN(B45),(B45-1)&amp;"/"&amp;B45,B45&amp;"/"&amp;(B45+1))</f>
        <v>4009/4010</v>
      </c>
      <c r="L45" s="246" t="str">
        <f>VLOOKUP(A45,'Trips&amp;Operators'!$C$1:$G$99911,5,FALSE)</f>
        <v>STARKS ANGELINA</v>
      </c>
      <c r="M45" s="225">
        <f>I45-F45</f>
        <v>2.6111111110367347E-2</v>
      </c>
      <c r="N45" s="226">
        <f>24*60*SUM($M45:$M45)</f>
        <v>37.599999998928979</v>
      </c>
      <c r="O45" s="226"/>
      <c r="P45" s="226"/>
      <c r="Q45" s="229"/>
      <c r="R45" s="243"/>
      <c r="S45" s="250">
        <f>1/IF(AG45="EC",12,1)*SUM(U45:U45)</f>
        <v>1</v>
      </c>
      <c r="T45" s="243" t="str">
        <f>IF(ISEVEN(LEFT(AD45,4)),"Southbound","NorthBound")</f>
        <v>NorthBound</v>
      </c>
      <c r="U45" s="24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9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-11-24T06:39:47-0700',mode:absolute,to:'2017-11-24T09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5" s="248" t="str">
        <f>IF(AA45&lt;VLOOKUP(AG45,Variables!$AC$3:$AD$8,2,FALSE),"Y","N")</f>
        <v>N</v>
      </c>
      <c r="X45" s="248">
        <f>VALUE(LEFT(AD45,4))-VALUE(LEFT(AD44,4))</f>
        <v>1</v>
      </c>
      <c r="Y45" s="248">
        <f>RIGHT(D45,LEN(D45)-4)/10000</f>
        <v>4.4699999999999997E-2</v>
      </c>
      <c r="Z45" s="248">
        <f>RIGHT(H45,LEN(H45)-4)/10000</f>
        <v>23.328399999999998</v>
      </c>
      <c r="AA45" s="248">
        <f>ABS(Z45-Y45)</f>
        <v>23.2837</v>
      </c>
      <c r="AB45" s="234" t="e">
        <f>VLOOKUP(A45,Enforcements!$C$7:$K$9,8,0)</f>
        <v>#N/A</v>
      </c>
      <c r="AC45" s="233" t="e">
        <f>VLOOKUP(A45,Enforcements!$C$7:$E$9,3,0)</f>
        <v>#N/A</v>
      </c>
      <c r="AD45" s="244">
        <f>VALUE(LEFT(A45,LEN(A45)-3))</f>
        <v>133</v>
      </c>
      <c r="AE45" s="236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s3://rtdc.mdm.uploadarchive.raw/RTDC4010/ "%USERPROFILE%\AppData\Local\Temp\OnboardLogs"\RTDC4010\2017-11-24 --exclude "*" --recursive --include "*20171124*" &amp; "%USERPROFILE%\Documents\GitHub\mrs-test-scripts\Headless Mode &amp; Sideloading\WalkAndUnGZ.bat" "%USERPROFILE%\AppData\Local\Temp\OnboardLogs"\RTDC4010\2017-11-24 &amp; aws s3 cp s3://rtdc.mdm.uploadarchive.raw/RTDC4010/ "%USERPROFILE%\AppData\Local\Temp\OnboardLogs"\RTDC4010\2017-11-25 --exclude "*" --recursive --include "*20171125*" &amp; "%USERPROFILE%\Documents\GitHub\mrs-test-scripts\Headless Mode &amp; Sideloading\WalkAndUnGZ.bat" "%USERPROFILE%\AppData\Local\Temp\OnboardLogs"\RTDC4010\2017-11-25</v>
      </c>
      <c r="AF45" s="235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/stypes="app*4010*20171124*" /stext=" 15:.+((SYSTEM_STATE.+slice.+state.+changed )|(ment ac)|(multiple cpu faults)|(system.+state.+changed )|(\[timeout)|(PRM\|1\|D)|(kpr)|(kdp)|(train st.+moving)|(\|lc)|(penalty))"</v>
      </c>
      <c r="AG45" s="245" t="str">
        <f>DetSubdiv(A45)</f>
        <v>EC</v>
      </c>
      <c r="AH45" s="237" t="str">
        <f t="shared" si="5"/>
        <v>"%USERPROFILE%\Documents\GitHub\eaglep3\Utilities\RefineRTDCRunTimes.py" --tripid 133-24 --locoid 4010 --swversion DE.1.0.9.0 --startMP 204:447 --initTime 2017-11-24T07:39:47 --startdatetime 2017-11-24T07:45:28 --delay 68 --endMP 204:233284 --enddatetime 2017-11-24T08:23:04 --enforcementcount 0 &gt;&gt;%USERPROFILE%\Documents\GitHub\eaglep3-reporting\EC\2017-11-24-refined-times.txt</v>
      </c>
      <c r="AI45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{"issue":{"subject":"","project_id":79,"tracker_id":40,"status_id":1,"priority_id":2,"assigned_to_id":338,"start_date":"2017-11-24","description":"","custom_fields":[{"id":1,"name":"Subdivision","value":"EC"},{"id":4,"name":"Milepost","value":"23.3284"},{"id":17,"name":"Train ID","value":"133-24"},{"id":16,"name":"Locomotive ID","value":"4010"},{"id":130,"name":"Impact","value":""},{"id":150,"name":"Time of Event (Mountain Time)","value":"08:23:04"},{"id":151,"name":"Denver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4"/>
      <c r="AK45" s="232"/>
      <c r="AL45" s="232"/>
      <c r="AM45" s="241" t="str">
        <f t="shared" si="7"/>
        <v>start /low /b %USERPROFILE%\Documents\GitHub\eaglep3\Utilities\DownloadLogsFromS3.py --loco 4010 --day 2017-11-24</v>
      </c>
      <c r="AN45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15:23:04"},{"id":29,"name":"Sharepoint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1" t="str">
        <f t="shared" si="9"/>
        <v>https://d0f6bd738d7f1b3e5a7ca70fe4ff75f0.us-east-1.aws.found.io/app/kibana#/discover/Steve-Slow-Train-Analysis-(2080s-and-2083s)?_g=(refreshInterval:(display:Off,pause:!f,section:0,value:0),time:(from:'2017-11-24T06:39:47-0700',mode:absolute,to:'2017-11-24T09:23:04-0700'))&amp;_a=(columns:!('Message%20ID',Summary),filters:!(),index:'emp_*',interval:auto,query:(query_string:(analyze_wildcard:!t,query:'%22rtdc.l.rtdc.4010%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30" t="s">
        <v>763</v>
      </c>
      <c r="B46" s="226">
        <v>4009</v>
      </c>
      <c r="C46" s="228" t="s">
        <v>192</v>
      </c>
      <c r="D46" s="228" t="s">
        <v>954</v>
      </c>
      <c r="E46" s="227">
        <v>43063.358634259261</v>
      </c>
      <c r="F46" s="227">
        <v>43063.362650462965</v>
      </c>
      <c r="G46" s="226">
        <v>60</v>
      </c>
      <c r="H46" s="228" t="s">
        <v>491</v>
      </c>
      <c r="I46" s="227">
        <v>43063.389745370368</v>
      </c>
      <c r="J46" s="226">
        <v>0</v>
      </c>
      <c r="K46" s="238" t="str">
        <f>IF(ISEVEN(B46),(B46-1)&amp;"/"&amp;B46,B46&amp;"/"&amp;(B46+1))</f>
        <v>4009/4010</v>
      </c>
      <c r="L46" s="246" t="str">
        <f>VLOOKUP(A46,'Trips&amp;Operators'!$C$1:$G$99911,5,FALSE)</f>
        <v>STARKS ANGELINA</v>
      </c>
      <c r="M46" s="225">
        <f>I46-F46</f>
        <v>2.7094907403807156E-2</v>
      </c>
      <c r="N46" s="226">
        <f>24*60*SUM($M46:$M46)</f>
        <v>39.016666661482304</v>
      </c>
      <c r="O46" s="226"/>
      <c r="P46" s="226"/>
      <c r="Q46" s="229"/>
      <c r="R46" s="243"/>
      <c r="S46" s="250">
        <f>1/IF(AG46="EC",12,1)*SUM(U46:U46)</f>
        <v>1</v>
      </c>
      <c r="T46" s="243" t="str">
        <f>IF(ISEVEN(LEFT(AD46,4)),"Southbound","NorthBound")</f>
        <v>Southbound</v>
      </c>
      <c r="U46" s="24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9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-11-24T07:36:26-0700',mode:absolute,to:'2017-11-24T10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6" s="248" t="str">
        <f>IF(AA46&lt;VLOOKUP(AG46,Variables!$AC$3:$AD$8,2,FALSE),"Y","N")</f>
        <v>N</v>
      </c>
      <c r="X46" s="248">
        <f>VALUE(LEFT(AD46,4))-VALUE(LEFT(AD45,4))</f>
        <v>1</v>
      </c>
      <c r="Y46" s="248">
        <f>RIGHT(D46,LEN(D46)-4)/10000</f>
        <v>23.298200000000001</v>
      </c>
      <c r="Z46" s="248">
        <f>RIGHT(H46,LEN(H46)-4)/10000</f>
        <v>1.5800000000000002E-2</v>
      </c>
      <c r="AA46" s="248">
        <f>ABS(Z46-Y46)</f>
        <v>23.282400000000003</v>
      </c>
      <c r="AB46" s="234" t="e">
        <f>VLOOKUP(A46,Enforcements!$C$7:$K$9,8,0)</f>
        <v>#N/A</v>
      </c>
      <c r="AC46" s="233" t="e">
        <f>VLOOKUP(A46,Enforcements!$C$7:$E$9,3,0)</f>
        <v>#N/A</v>
      </c>
      <c r="AD46" s="244">
        <f>VALUE(LEFT(A46,LEN(A46)-3))</f>
        <v>134</v>
      </c>
      <c r="AE46" s="236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s3://rtdc.mdm.uploadarchive.raw/RTDC4009/ "%USERPROFILE%\AppData\Local\Temp\OnboardLogs"\RTDC4009\2017-11-24 --exclude "*" --recursive --include "*20171124*" &amp; "%USERPROFILE%\Documents\GitHub\mrs-test-scripts\Headless Mode &amp; Sideloading\WalkAndUnGZ.bat" "%USERPROFILE%\AppData\Local\Temp\OnboardLogs"\RTDC4009\2017-11-24 &amp; aws s3 cp s3://rtdc.mdm.uploadarchive.raw/RTDC4009/ "%USERPROFILE%\AppData\Local\Temp\OnboardLogs"\RTDC4009\2017-11-25 --exclude "*" --recursive --include "*20171125*" &amp; "%USERPROFILE%\Documents\GitHub\mrs-test-scripts\Headless Mode &amp; Sideloading\WalkAndUnGZ.bat" "%USERPROFILE%\AppData\Local\Temp\OnboardLogs"\RTDC4009\2017-11-25</v>
      </c>
      <c r="AF46" s="235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/stypes="app*4009*20171124*" /stext=" 16:.+((SYSTEM_STATE.+slice.+state.+changed )|(ment ac)|(multiple cpu faults)|(system.+state.+changed )|(\[timeout)|(PRM\|1\|D)|(kpr)|(kdp)|(train st.+moving)|(\|lc)|(penalty))"</v>
      </c>
      <c r="AG46" s="245" t="str">
        <f>DetSubdiv(A46)</f>
        <v>EC</v>
      </c>
      <c r="AH46" s="237" t="str">
        <f t="shared" si="5"/>
        <v>"%USERPROFILE%\Documents\GitHub\eaglep3\Utilities\RefineRTDCRunTimes.py" --tripid 134-24 --locoid 4009 --swversion DE.1.0.9.0 --startMP 204:232982 --initTime 2017-11-24T08:36:26 --startdatetime 2017-11-24T08:42:13 --delay 60 --endMP 204:158 --enddatetime 2017-11-24T09:21:14 --enforcementcount 0 &gt;&gt;%USERPROFILE%\Documents\GitHub\eaglep3-reporting\EC\2017-11-24-refined-times.txt</v>
      </c>
      <c r="AI46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{"issue":{"subject":"","project_id":79,"tracker_id":40,"status_id":1,"priority_id":2,"assigned_to_id":338,"start_date":"2017-11-24","description":"","custom_fields":[{"id":1,"name":"Subdivision","value":"EC"},{"id":4,"name":"Milepost","value":"0.0158"},{"id":17,"name":"Train ID","value":"134-24"},{"id":16,"name":"Locomotive ID","value":"4009"},{"id":130,"name":"Impact","value":""},{"id":150,"name":"Time of Event (Mountain Time)","value":"09:21:14"},{"id":151,"name":"Denver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4"/>
      <c r="AK46" s="232"/>
      <c r="AL46" s="232"/>
      <c r="AM46" s="241" t="str">
        <f t="shared" si="7"/>
        <v>start /low /b %USERPROFILE%\Documents\GitHub\eaglep3\Utilities\DownloadLogsFromS3.py --loco 4009 --day 2017-11-24</v>
      </c>
      <c r="AN46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16:21:14"},{"id":29,"name":"Sharepoint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1" t="str">
        <f t="shared" si="9"/>
        <v>https://d0f6bd738d7f1b3e5a7ca70fe4ff75f0.us-east-1.aws.found.io/app/kibana#/discover/Steve-Slow-Train-Analysis-(2080s-and-2083s)?_g=(refreshInterval:(display:Off,pause:!f,section:0,value:0),time:(from:'2017-11-24T07:36:26-0700',mode:absolute,to:'2017-11-24T10:21:14-0700'))&amp;_a=(columns:!('Message%20ID',Summary),filters:!(),index:'emp_*',interval:auto,query:(query_string:(analyze_wildcard:!t,query:'%22rtdc.l.rtdc.4009%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30" t="s">
        <v>753</v>
      </c>
      <c r="B47" s="226">
        <v>4036</v>
      </c>
      <c r="C47" s="228" t="s">
        <v>192</v>
      </c>
      <c r="D47" s="228" t="s">
        <v>638</v>
      </c>
      <c r="E47" s="227">
        <v>43063.328564814816</v>
      </c>
      <c r="F47" s="227">
        <v>43063.333518518521</v>
      </c>
      <c r="G47" s="226">
        <v>87</v>
      </c>
      <c r="H47" s="228" t="s">
        <v>955</v>
      </c>
      <c r="I47" s="227">
        <v>43063.35864583333</v>
      </c>
      <c r="J47" s="226">
        <v>0</v>
      </c>
      <c r="K47" s="238" t="str">
        <f>IF(ISEVEN(B47),(B47-1)&amp;"/"&amp;B47,B47&amp;"/"&amp;(B47+1))</f>
        <v>4035/4036</v>
      </c>
      <c r="L47" s="246" t="str">
        <f>VLOOKUP(A47,'Trips&amp;Operators'!$C$1:$G$99911,5,FALSE)</f>
        <v>LONG FULLER</v>
      </c>
      <c r="M47" s="225">
        <f>I47-F47</f>
        <v>2.512731480965158E-2</v>
      </c>
      <c r="N47" s="226">
        <f>24*60*SUM($M47:$M47)</f>
        <v>36.183333325898275</v>
      </c>
      <c r="O47" s="226"/>
      <c r="P47" s="226"/>
      <c r="Q47" s="229"/>
      <c r="R47" s="243"/>
      <c r="S47" s="250">
        <f>1/IF(AG47="EC",12,1)*SUM(U47:U47)</f>
        <v>1</v>
      </c>
      <c r="T47" s="243" t="str">
        <f>IF(ISEVEN(LEFT(AD47,4)),"Southbound","NorthBound")</f>
        <v>NorthBound</v>
      </c>
      <c r="U47" s="24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9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-11-24T06:53:08-0700',mode:absolute,to:'2017-11-24T09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7" s="248" t="str">
        <f>IF(AA47&lt;VLOOKUP(AG47,Variables!$AC$3:$AD$8,2,FALSE),"Y","N")</f>
        <v>N</v>
      </c>
      <c r="X47" s="248">
        <f>VALUE(LEFT(AD47,4))-VALUE(LEFT(AD46,4))</f>
        <v>1</v>
      </c>
      <c r="Y47" s="248">
        <f>RIGHT(D47,LEN(D47)-4)/10000</f>
        <v>4.53E-2</v>
      </c>
      <c r="Z47" s="248">
        <f>RIGHT(H47,LEN(H47)-4)/10000</f>
        <v>23.3293</v>
      </c>
      <c r="AA47" s="248">
        <f>ABS(Z47-Y47)</f>
        <v>23.283999999999999</v>
      </c>
      <c r="AB47" s="234" t="e">
        <f>VLOOKUP(A47,Enforcements!$C$7:$K$9,8,0)</f>
        <v>#N/A</v>
      </c>
      <c r="AC47" s="233" t="e">
        <f>VLOOKUP(A47,Enforcements!$C$7:$E$9,3,0)</f>
        <v>#N/A</v>
      </c>
      <c r="AD47" s="244">
        <f>VALUE(LEFT(A47,LEN(A47)-3))</f>
        <v>135</v>
      </c>
      <c r="AE47" s="236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 &amp; aws s3 cp s3://rtdc.mdm.uploadarchive.raw/RTDC4036/ "%USERPROFILE%\AppData\Local\Temp\OnboardLogs"\RTDC4036\2017-11-25 --exclude "*" --recursive --include "*20171125*" &amp; "%USERPROFILE%\Documents\GitHub\mrs-test-scripts\Headless Mode &amp; Sideloading\WalkAndUnGZ.bat" "%USERPROFILE%\AppData\Local\Temp\OnboardLogs"\RTDC4036\2017-11-25</v>
      </c>
      <c r="AF47" s="235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/stypes="app*4036*20171124*" /stext=" 15:.+((SYSTEM_STATE.+slice.+state.+changed )|(ment ac)|(multiple cpu faults)|(system.+state.+changed )|(\[timeout)|(PRM\|1\|D)|(kpr)|(kdp)|(train st.+moving)|(\|lc)|(penalty))"</v>
      </c>
      <c r="AG47" s="245" t="str">
        <f>DetSubdiv(A47)</f>
        <v>EC</v>
      </c>
      <c r="AH47" s="237" t="str">
        <f t="shared" si="5"/>
        <v>"%USERPROFILE%\Documents\GitHub\eaglep3\Utilities\RefineRTDCRunTimes.py" --tripid 135-24 --locoid 4036 --swversion DE.1.0.9.0 --startMP 204:453 --initTime 2017-11-24T07:53:08 --startdatetime 2017-11-24T08:00:16 --delay 87 --endMP 204:233293 --enddatetime 2017-11-24T08:36:27 --enforcementcount 0 &gt;&gt;%USERPROFILE%\Documents\GitHub\eaglep3-reporting\EC\2017-11-24-refined-times.txt</v>
      </c>
      <c r="AI47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{"issue":{"subject":"","project_id":79,"tracker_id":40,"status_id":1,"priority_id":2,"assigned_to_id":338,"start_date":"2017-11-24","description":"","custom_fields":[{"id":1,"name":"Subdivision","value":"EC"},{"id":4,"name":"Milepost","value":"23.3293"},{"id":17,"name":"Train ID","value":"135-24"},{"id":16,"name":"Locomotive ID","value":"4036"},{"id":130,"name":"Impact","value":""},{"id":150,"name":"Time of Event (Mountain Time)","value":"08:36:27"},{"id":151,"name":"Denver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4"/>
      <c r="AK47" s="232"/>
      <c r="AL47" s="232"/>
      <c r="AM47" s="241" t="str">
        <f t="shared" si="7"/>
        <v>start /low /b %USERPROFILE%\Documents\GitHub\eaglep3\Utilities\DownloadLogsFromS3.py --loco 4036 --day 2017-11-24</v>
      </c>
      <c r="AN47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15:36:27"},{"id":29,"name":"Sharepoint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1" t="str">
        <f t="shared" si="9"/>
        <v>https://d0f6bd738d7f1b3e5a7ca70fe4ff75f0.us-east-1.aws.found.io/app/kibana#/discover/Steve-Slow-Train-Analysis-(2080s-and-2083s)?_g=(refreshInterval:(display:Off,pause:!f,section:0,value:0),time:(from:'2017-11-24T06:53:08-0700',mode:absolute,to:'2017-11-24T09:36:27-0700'))&amp;_a=(columns:!('Message%20ID',Summary),filters:!(),index:'emp_*',interval:auto,query:(query_string:(analyze_wildcard:!t,query:'%22rtdc.l.rtdc.4036%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30" t="s">
        <v>765</v>
      </c>
      <c r="B48" s="226">
        <v>4035</v>
      </c>
      <c r="C48" s="228" t="s">
        <v>192</v>
      </c>
      <c r="D48" s="228" t="s">
        <v>591</v>
      </c>
      <c r="E48" s="227">
        <v>43063.36550925926</v>
      </c>
      <c r="F48" s="227">
        <v>43063.373124999998</v>
      </c>
      <c r="G48" s="226">
        <v>103</v>
      </c>
      <c r="H48" s="228" t="s">
        <v>956</v>
      </c>
      <c r="I48" s="227">
        <v>43063.40011574074</v>
      </c>
      <c r="J48" s="226">
        <v>0</v>
      </c>
      <c r="K48" s="238" t="str">
        <f>IF(ISEVEN(B48),(B48-1)&amp;"/"&amp;B48,B48&amp;"/"&amp;(B48+1))</f>
        <v>4035/4036</v>
      </c>
      <c r="L48" s="246" t="str">
        <f>VLOOKUP(A48,'Trips&amp;Operators'!$C$1:$G$99911,5,FALSE)</f>
        <v>LONG FULLER</v>
      </c>
      <c r="M48" s="225">
        <f>I48-F48</f>
        <v>2.6990740741894115E-2</v>
      </c>
      <c r="N48" s="226">
        <f>24*60*SUM($M48:$M48)</f>
        <v>38.866666668327525</v>
      </c>
      <c r="O48" s="226"/>
      <c r="P48" s="226"/>
      <c r="Q48" s="229"/>
      <c r="R48" s="243"/>
      <c r="S48" s="250">
        <f>1/IF(AG48="EC",12,1)*SUM(U48:U48)</f>
        <v>1</v>
      </c>
      <c r="T48" s="243" t="str">
        <f>IF(ISEVEN(LEFT(AD48,4)),"Southbound","NorthBound")</f>
        <v>Southbound</v>
      </c>
      <c r="U48" s="24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9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-11-24T07:46:20-0700',mode:absolute,to:'2017-11-24T10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8" s="248" t="str">
        <f>IF(AA48&lt;VLOOKUP(AG48,Variables!$AC$3:$AD$8,2,FALSE),"Y","N")</f>
        <v>N</v>
      </c>
      <c r="X48" s="248">
        <f>VALUE(LEFT(AD48,4))-VALUE(LEFT(AD47,4))</f>
        <v>1</v>
      </c>
      <c r="Y48" s="248">
        <f>RIGHT(D48,LEN(D48)-4)/10000</f>
        <v>23.298300000000001</v>
      </c>
      <c r="Z48" s="248">
        <f>RIGHT(H48,LEN(H48)-4)/10000</f>
        <v>1.3899999999999999E-2</v>
      </c>
      <c r="AA48" s="248">
        <f>ABS(Z48-Y48)</f>
        <v>23.284400000000002</v>
      </c>
      <c r="AB48" s="234" t="e">
        <f>VLOOKUP(A48,Enforcements!$C$7:$K$9,8,0)</f>
        <v>#N/A</v>
      </c>
      <c r="AC48" s="233" t="e">
        <f>VLOOKUP(A48,Enforcements!$C$7:$E$9,3,0)</f>
        <v>#N/A</v>
      </c>
      <c r="AD48" s="244">
        <f>VALUE(LEFT(A48,LEN(A48)-3))</f>
        <v>136</v>
      </c>
      <c r="AE48" s="236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 &amp; aws s3 cp s3://rtdc.mdm.uploadarchive.raw/RTDC4035/ "%USERPROFILE%\AppData\Local\Temp\OnboardLogs"\RTDC4035\2017-11-25 --exclude "*" --recursive --include "*20171125*" &amp; "%USERPROFILE%\Documents\GitHub\mrs-test-scripts\Headless Mode &amp; Sideloading\WalkAndUnGZ.bat" "%USERPROFILE%\AppData\Local\Temp\OnboardLogs"\RTDC4035\2017-11-25</v>
      </c>
      <c r="AF48" s="235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/stypes="app*4035*20171124*" /stext=" 16:.+((SYSTEM_STATE.+slice.+state.+changed )|(ment ac)|(multiple cpu faults)|(system.+state.+changed )|(\[timeout)|(PRM\|1\|D)|(kpr)|(kdp)|(train st.+moving)|(\|lc)|(penalty))"</v>
      </c>
      <c r="AG48" s="245" t="str">
        <f>DetSubdiv(A48)</f>
        <v>EC</v>
      </c>
      <c r="AH48" s="237" t="str">
        <f t="shared" si="5"/>
        <v>"%USERPROFILE%\Documents\GitHub\eaglep3\Utilities\RefineRTDCRunTimes.py" --tripid 136-24 --locoid 4035 --swversion DE.1.0.9.0 --startMP 204:232983 --initTime 2017-11-24T08:46:20 --startdatetime 2017-11-24T08:57:18 --delay 103 --endMP 204:139 --enddatetime 2017-11-24T09:36:10 --enforcementcount 0 &gt;&gt;%USERPROFILE%\Documents\GitHub\eaglep3-reporting\EC\2017-11-24-refined-times.txt</v>
      </c>
      <c r="AI48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{"issue":{"subject":"","project_id":79,"tracker_id":40,"status_id":1,"priority_id":2,"assigned_to_id":338,"start_date":"2017-11-24","description":"","custom_fields":[{"id":1,"name":"Subdivision","value":"EC"},{"id":4,"name":"Milepost","value":"0.0139"},{"id":17,"name":"Train ID","value":"136-24"},{"id":16,"name":"Locomotive ID","value":"4035"},{"id":130,"name":"Impact","value":""},{"id":150,"name":"Time of Event (Mountain Time)","value":"09:36:10"},{"id":151,"name":"Denver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4"/>
      <c r="AK48" s="232"/>
      <c r="AL48" s="232"/>
      <c r="AM48" s="241" t="str">
        <f t="shared" si="7"/>
        <v>start /low /b %USERPROFILE%\Documents\GitHub\eaglep3\Utilities\DownloadLogsFromS3.py --loco 4035 --day 2017-11-24</v>
      </c>
      <c r="AN48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16:36:10"},{"id":29,"name":"Sharepoint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1" t="str">
        <f t="shared" si="9"/>
        <v>https://d0f6bd738d7f1b3e5a7ca70fe4ff75f0.us-east-1.aws.found.io/app/kibana#/discover/Steve-Slow-Train-Analysis-(2080s-and-2083s)?_g=(refreshInterval:(display:Off,pause:!f,section:0,value:0),time:(from:'2017-11-24T07:46:20-0700',mode:absolute,to:'2017-11-24T10:36:10-0700'))&amp;_a=(columns:!('Message%20ID',Summary),filters:!(),index:'emp_*',interval:auto,query:(query_string:(analyze_wildcard:!t,query:'%22rtdc.l.rtdc.4035%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30" t="s">
        <v>759</v>
      </c>
      <c r="B49" s="226">
        <v>4002</v>
      </c>
      <c r="C49" s="228" t="s">
        <v>192</v>
      </c>
      <c r="D49" s="228" t="s">
        <v>929</v>
      </c>
      <c r="E49" s="227">
        <v>43063.339884259258</v>
      </c>
      <c r="F49" s="227">
        <v>43063.343981481485</v>
      </c>
      <c r="G49" s="226">
        <v>217</v>
      </c>
      <c r="H49" s="228" t="s">
        <v>957</v>
      </c>
      <c r="I49" s="227">
        <v>43063.369675925926</v>
      </c>
      <c r="J49" s="226">
        <v>0</v>
      </c>
      <c r="K49" s="238" t="str">
        <f>IF(ISEVEN(B49),(B49-1)&amp;"/"&amp;B49,B49&amp;"/"&amp;(B49+1))</f>
        <v>4001/4002</v>
      </c>
      <c r="L49" s="246" t="str">
        <f>VLOOKUP(A49,'Trips&amp;Operators'!$C$1:$G$99911,5,FALSE)</f>
        <v>ANDREA WILLIAMS</v>
      </c>
      <c r="M49" s="225">
        <f>I49-F49</f>
        <v>2.569444444088731E-2</v>
      </c>
      <c r="N49" s="226">
        <f>24*60*SUM($M49:$M49)</f>
        <v>36.999999994877726</v>
      </c>
      <c r="O49" s="226"/>
      <c r="P49" s="226"/>
      <c r="Q49" s="229"/>
      <c r="R49" s="243"/>
      <c r="S49" s="250">
        <f>1/IF(AG49="EC",12,1)*SUM(U49:U49)</f>
        <v>1</v>
      </c>
      <c r="T49" s="243" t="str">
        <f>IF(ISEVEN(LEFT(AD49,4)),"Southbound","NorthBound")</f>
        <v>NorthBound</v>
      </c>
      <c r="U49" s="24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9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-11-24T07:09:26-0700',mode:absolute,to:'2017-11-24T09:52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9" s="248" t="str">
        <f>IF(AA49&lt;VLOOKUP(AG49,Variables!$AC$3:$AD$8,2,FALSE),"Y","N")</f>
        <v>N</v>
      </c>
      <c r="X49" s="248">
        <f>VALUE(LEFT(AD49,4))-VALUE(LEFT(AD48,4))</f>
        <v>1</v>
      </c>
      <c r="Y49" s="248">
        <f>RIGHT(D49,LEN(D49)-4)/10000</f>
        <v>4.5999999999999999E-2</v>
      </c>
      <c r="Z49" s="248">
        <f>RIGHT(H49,LEN(H49)-4)/10000</f>
        <v>23.327400000000001</v>
      </c>
      <c r="AA49" s="248">
        <f>ABS(Z49-Y49)</f>
        <v>23.281400000000001</v>
      </c>
      <c r="AB49" s="234" t="e">
        <f>VLOOKUP(A49,Enforcements!$C$7:$K$9,8,0)</f>
        <v>#N/A</v>
      </c>
      <c r="AC49" s="233" t="e">
        <f>VLOOKUP(A49,Enforcements!$C$7:$E$9,3,0)</f>
        <v>#N/A</v>
      </c>
      <c r="AD49" s="244">
        <f>VALUE(LEFT(A49,LEN(A49)-3))</f>
        <v>137</v>
      </c>
      <c r="AE49" s="236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s3://rtdc.mdm.uploadarchive.raw/RTDC4002/ "%USERPROFILE%\AppData\Local\Temp\OnboardLogs"\RTDC4002\2017-11-24 --exclude "*" --recursive --include "*20171124*" &amp; "%USERPROFILE%\Documents\GitHub\mrs-test-scripts\Headless Mode &amp; Sideloading\WalkAndUnGZ.bat" "%USERPROFILE%\AppData\Local\Temp\OnboardLogs"\RTDC4002\2017-11-24 &amp; aws s3 cp s3://rtdc.mdm.uploadarchive.raw/RTDC4002/ "%USERPROFILE%\AppData\Local\Temp\OnboardLogs"\RTDC4002\2017-11-25 --exclude "*" --recursive --include "*20171125*" &amp; "%USERPROFILE%\Documents\GitHub\mrs-test-scripts\Headless Mode &amp; Sideloading\WalkAndUnGZ.bat" "%USERPROFILE%\AppData\Local\Temp\OnboardLogs"\RTDC4002\2017-11-25</v>
      </c>
      <c r="AF49" s="235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/stypes="app*4002*20171124*" /stext=" 15:.+((SYSTEM_STATE.+slice.+state.+changed )|(ment ac)|(multiple cpu faults)|(system.+state.+changed )|(\[timeout)|(PRM\|1\|D)|(kpr)|(kdp)|(train st.+moving)|(\|lc)|(penalty))"</v>
      </c>
      <c r="AG49" s="245" t="str">
        <f>DetSubdiv(A49)</f>
        <v>EC</v>
      </c>
      <c r="AH49" s="237" t="str">
        <f t="shared" si="5"/>
        <v>"%USERPROFILE%\Documents\GitHub\eaglep3\Utilities\RefineRTDCRunTimes.py" --tripid 137-24 --locoid 4002 --swversion DE.1.0.9.0 --startMP 204:460 --initTime 2017-11-24T08:09:26 --startdatetime 2017-11-24T08:15:20 --delay 217 --endMP 204:233274 --enddatetime 2017-11-24T08:52:20 --enforcementcount 0 &gt;&gt;%USERPROFILE%\Documents\GitHub\eaglep3-reporting\EC\2017-11-24-refined-times.txt</v>
      </c>
      <c r="AI49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{"issue":{"subject":"","project_id":79,"tracker_id":40,"status_id":1,"priority_id":2,"assigned_to_id":338,"start_date":"2017-11-24","description":"","custom_fields":[{"id":1,"name":"Subdivision","value":"EC"},{"id":4,"name":"Milepost","value":"23.3274"},{"id":17,"name":"Train ID","value":"137-24"},{"id":16,"name":"Locomotive ID","value":"4002"},{"id":130,"name":"Impact","value":""},{"id":150,"name":"Time of Event (Mountain Time)","value":"08:52:20"},{"id":151,"name":"Denver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4"/>
      <c r="AK49" s="232"/>
      <c r="AL49" s="232"/>
      <c r="AM49" s="241" t="str">
        <f t="shared" si="7"/>
        <v>start /low /b %USERPROFILE%\Documents\GitHub\eaglep3\Utilities\DownloadLogsFromS3.py --loco 4002 --day 2017-11-24</v>
      </c>
      <c r="AN49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15:52:20"},{"id":29,"name":"Sharepoint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1" t="str">
        <f t="shared" si="9"/>
        <v>https://d0f6bd738d7f1b3e5a7ca70fe4ff75f0.us-east-1.aws.found.io/app/kibana#/discover/Steve-Slow-Train-Analysis-(2080s-and-2083s)?_g=(refreshInterval:(display:Off,pause:!f,section:0,value:0),time:(from:'2017-11-24T07:09:26-0700',mode:absolute,to:'2017-11-24T09:52:20-0700'))&amp;_a=(columns:!('Message%20ID',Summary),filters:!(),index:'emp_*',interval:auto,query:(query_string:(analyze_wildcard:!t,query:'%22rtdc.l.rtdc.4002%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30" t="s">
        <v>767</v>
      </c>
      <c r="B50" s="226">
        <v>4001</v>
      </c>
      <c r="C50" s="228" t="s">
        <v>192</v>
      </c>
      <c r="D50" s="228" t="s">
        <v>485</v>
      </c>
      <c r="E50" s="227">
        <v>43063.37164351852</v>
      </c>
      <c r="F50" s="227">
        <v>43063.383634259262</v>
      </c>
      <c r="G50" s="226">
        <v>116</v>
      </c>
      <c r="H50" s="228" t="s">
        <v>452</v>
      </c>
      <c r="I50" s="227">
        <v>43063.410185185188</v>
      </c>
      <c r="J50" s="226">
        <v>0</v>
      </c>
      <c r="K50" s="238" t="str">
        <f>IF(ISEVEN(B50),(B50-1)&amp;"/"&amp;B50,B50&amp;"/"&amp;(B50+1))</f>
        <v>4001/4002</v>
      </c>
      <c r="L50" s="246" t="str">
        <f>VLOOKUP(A50,'Trips&amp;Operators'!$C$1:$G$99911,5,FALSE)</f>
        <v>ANDREA WILLIAMS</v>
      </c>
      <c r="M50" s="225">
        <f>I50-F50</f>
        <v>2.6550925926130731E-2</v>
      </c>
      <c r="N50" s="226">
        <f>24*60*SUM($M50:$M50)</f>
        <v>38.233333333628252</v>
      </c>
      <c r="O50" s="226"/>
      <c r="P50" s="226"/>
      <c r="Q50" s="229"/>
      <c r="R50" s="243"/>
      <c r="S50" s="250">
        <f>1/IF(AG50="EC",12,1)*SUM(U50:U50)</f>
        <v>1</v>
      </c>
      <c r="T50" s="243" t="str">
        <f>IF(ISEVEN(LEFT(AD50,4)),"Southbound","NorthBound")</f>
        <v>Southbound</v>
      </c>
      <c r="U50" s="24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9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-11-24T07:55:10-0700',mode:absolute,to:'2017-11-24T10:50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0" s="248" t="str">
        <f>IF(AA50&lt;VLOOKUP(AG50,Variables!$AC$3:$AD$8,2,FALSE),"Y","N")</f>
        <v>N</v>
      </c>
      <c r="X50" s="248">
        <f>VALUE(LEFT(AD50,4))-VALUE(LEFT(AD49,4))</f>
        <v>1</v>
      </c>
      <c r="Y50" s="248">
        <f>RIGHT(D50,LEN(D50)-4)/10000</f>
        <v>23.2959</v>
      </c>
      <c r="Z50" s="248">
        <f>RIGHT(H50,LEN(H50)-4)/10000</f>
        <v>2.2700000000000001E-2</v>
      </c>
      <c r="AA50" s="248">
        <f>ABS(Z50-Y50)</f>
        <v>23.273199999999999</v>
      </c>
      <c r="AB50" s="234" t="e">
        <f>VLOOKUP(A50,Enforcements!$C$7:$K$9,8,0)</f>
        <v>#N/A</v>
      </c>
      <c r="AC50" s="233" t="e">
        <f>VLOOKUP(A50,Enforcements!$C$7:$E$9,3,0)</f>
        <v>#N/A</v>
      </c>
      <c r="AD50" s="244">
        <f>VALUE(LEFT(A50,LEN(A50)-3))</f>
        <v>138</v>
      </c>
      <c r="AE50" s="236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s3://rtdc.mdm.uploadarchive.raw/RTDC4001/ "%USERPROFILE%\AppData\Local\Temp\OnboardLogs"\RTDC4001\2017-11-24 --exclude "*" --recursive --include "*20171124*" &amp; "%USERPROFILE%\Documents\GitHub\mrs-test-scripts\Headless Mode &amp; Sideloading\WalkAndUnGZ.bat" "%USERPROFILE%\AppData\Local\Temp\OnboardLogs"\RTDC4001\2017-11-24 &amp; aws s3 cp s3://rtdc.mdm.uploadarchive.raw/RTDC4001/ "%USERPROFILE%\AppData\Local\Temp\OnboardLogs"\RTDC4001\2017-11-25 --exclude "*" --recursive --include "*20171125*" &amp; "%USERPROFILE%\Documents\GitHub\mrs-test-scripts\Headless Mode &amp; Sideloading\WalkAndUnGZ.bat" "%USERPROFILE%\AppData\Local\Temp\OnboardLogs"\RTDC4001\2017-11-25</v>
      </c>
      <c r="AF50" s="235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/stypes="app*4001*20171124*" /stext=" 16:.+((SYSTEM_STATE.+slice.+state.+changed )|(ment ac)|(multiple cpu faults)|(system.+state.+changed )|(\[timeout)|(PRM\|1\|D)|(kpr)|(kdp)|(train st.+moving)|(\|lc)|(penalty))"</v>
      </c>
      <c r="AG50" s="245" t="str">
        <f>DetSubdiv(A50)</f>
        <v>EC</v>
      </c>
      <c r="AH50" s="237" t="str">
        <f t="shared" si="5"/>
        <v>"%USERPROFILE%\Documents\GitHub\eaglep3\Utilities\RefineRTDCRunTimes.py" --tripid 138-24 --locoid 4001 --swversion DE.1.0.9.0 --startMP 204:232959 --initTime 2017-11-24T08:55:10 --startdatetime 2017-11-24T09:12:26 --delay 116 --endMP 204:227 --enddatetime 2017-11-24T09:50:40 --enforcementcount 0 &gt;&gt;%USERPROFILE%\Documents\GitHub\eaglep3-reporting\EC\2017-11-24-refined-times.txt</v>
      </c>
      <c r="AI50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{"issue":{"subject":"","project_id":79,"tracker_id":40,"status_id":1,"priority_id":2,"assigned_to_id":338,"start_date":"2017-11-24","description":"","custom_fields":[{"id":1,"name":"Subdivision","value":"EC"},{"id":4,"name":"Milepost","value":"0.0227"},{"id":17,"name":"Train ID","value":"138-24"},{"id":16,"name":"Locomotive ID","value":"4001"},{"id":130,"name":"Impact","value":""},{"id":150,"name":"Time of Event (Mountain Time)","value":"09:50:40"},{"id":151,"name":"Denver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4"/>
      <c r="AK50" s="232"/>
      <c r="AL50" s="232"/>
      <c r="AM50" s="241" t="str">
        <f t="shared" si="7"/>
        <v>start /low /b %USERPROFILE%\Documents\GitHub\eaglep3\Utilities\DownloadLogsFromS3.py --loco 4001 --day 2017-11-24</v>
      </c>
      <c r="AN50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16:50:40"},{"id":29,"name":"Sharepoint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1" t="str">
        <f t="shared" si="9"/>
        <v>https://d0f6bd738d7f1b3e5a7ca70fe4ff75f0.us-east-1.aws.found.io/app/kibana#/discover/Steve-Slow-Train-Analysis-(2080s-and-2083s)?_g=(refreshInterval:(display:Off,pause:!f,section:0,value:0),time:(from:'2017-11-24T07:55:10-0700',mode:absolute,to:'2017-11-24T10:50:40-0700'))&amp;_a=(columns:!('Message%20ID',Summary),filters:!(),index:'emp_*',interval:auto,query:(query_string:(analyze_wildcard:!t,query:'%22rtdc.l.rtdc.4001%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30" t="s">
        <v>760</v>
      </c>
      <c r="B51" s="226">
        <v>4016</v>
      </c>
      <c r="C51" s="228" t="s">
        <v>192</v>
      </c>
      <c r="D51" s="228" t="s">
        <v>958</v>
      </c>
      <c r="E51" s="227">
        <v>43063.349293981482</v>
      </c>
      <c r="F51" s="227">
        <v>43063.35434027778</v>
      </c>
      <c r="G51" s="226">
        <v>62</v>
      </c>
      <c r="H51" s="228" t="s">
        <v>531</v>
      </c>
      <c r="I51" s="227">
        <v>43063.378391203703</v>
      </c>
      <c r="J51" s="226">
        <v>0</v>
      </c>
      <c r="K51" s="238" t="str">
        <f>IF(ISEVEN(B51),(B51-1)&amp;"/"&amp;B51,B51&amp;"/"&amp;(B51+1))</f>
        <v>4015/4016</v>
      </c>
      <c r="L51" s="246" t="str">
        <f>VLOOKUP(A51,'Trips&amp;Operators'!$C$1:$G$99911,5,FALSE)</f>
        <v>ROCHA YAOTL</v>
      </c>
      <c r="M51" s="225">
        <f>I51-F51</f>
        <v>2.4050925923802424E-2</v>
      </c>
      <c r="N51" s="226">
        <f>24*60*SUM($M51:$M51)</f>
        <v>34.633333330275491</v>
      </c>
      <c r="O51" s="226"/>
      <c r="P51" s="226"/>
      <c r="Q51" s="229"/>
      <c r="R51" s="243"/>
      <c r="S51" s="250">
        <f>1/IF(AG51="EC",12,1)*SUM(U51:U51)</f>
        <v>1</v>
      </c>
      <c r="T51" s="243" t="str">
        <f>IF(ISEVEN(LEFT(AD51,4)),"Southbound","NorthBound")</f>
        <v>NorthBound</v>
      </c>
      <c r="U51" s="24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9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-11-24T07:22:59-0700',mode:absolute,to:'2017-11-24T10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1" s="248" t="str">
        <f>IF(AA51&lt;VLOOKUP(AG51,Variables!$AC$3:$AD$8,2,FALSE),"Y","N")</f>
        <v>N</v>
      </c>
      <c r="X51" s="248">
        <f>VALUE(LEFT(AD51,4))-VALUE(LEFT(AD50,4))</f>
        <v>1</v>
      </c>
      <c r="Y51" s="248">
        <f>RIGHT(D51,LEN(D51)-4)/10000</f>
        <v>4.4400000000000002E-2</v>
      </c>
      <c r="Z51" s="248">
        <f>RIGHT(H51,LEN(H51)-4)/10000</f>
        <v>23.329699999999999</v>
      </c>
      <c r="AA51" s="248">
        <f>ABS(Z51-Y51)</f>
        <v>23.285299999999999</v>
      </c>
      <c r="AB51" s="234" t="e">
        <f>VLOOKUP(A51,Enforcements!$C$7:$K$9,8,0)</f>
        <v>#N/A</v>
      </c>
      <c r="AC51" s="233" t="e">
        <f>VLOOKUP(A51,Enforcements!$C$7:$E$9,3,0)</f>
        <v>#N/A</v>
      </c>
      <c r="AD51" s="244">
        <f>VALUE(LEFT(A51,LEN(A51)-3))</f>
        <v>139</v>
      </c>
      <c r="AE51" s="236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s3://rtdc.mdm.uploadarchive.raw/RTDC4016/ "%USERPROFILE%\AppData\Local\Temp\OnboardLogs"\RTDC4016\2017-11-24 --exclude "*" --recursive --include "*20171124*" &amp; "%USERPROFILE%\Documents\GitHub\mrs-test-scripts\Headless Mode &amp; Sideloading\WalkAndUnGZ.bat" "%USERPROFILE%\AppData\Local\Temp\OnboardLogs"\RTDC4016\2017-11-24 &amp; aws s3 cp s3://rtdc.mdm.uploadarchive.raw/RTDC4016/ "%USERPROFILE%\AppData\Local\Temp\OnboardLogs"\RTDC4016\2017-11-25 --exclude "*" --recursive --include "*20171125*" &amp; "%USERPROFILE%\Documents\GitHub\mrs-test-scripts\Headless Mode &amp; Sideloading\WalkAndUnGZ.bat" "%USERPROFILE%\AppData\Local\Temp\OnboardLogs"\RTDC4016\2017-11-25</v>
      </c>
      <c r="AF51" s="235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/stypes="app*4016*20171124*" /stext=" 16:.+((SYSTEM_STATE.+slice.+state.+changed )|(ment ac)|(multiple cpu faults)|(system.+state.+changed )|(\[timeout)|(PRM\|1\|D)|(kpr)|(kdp)|(train st.+moving)|(\|lc)|(penalty))"</v>
      </c>
      <c r="AG51" s="245" t="str">
        <f>DetSubdiv(A51)</f>
        <v>EC</v>
      </c>
      <c r="AH51" s="237" t="str">
        <f t="shared" si="5"/>
        <v>"%USERPROFILE%\Documents\GitHub\eaglep3\Utilities\RefineRTDCRunTimes.py" --tripid 139-24 --locoid 4016 --swversion DE.1.0.9.0 --startMP 204:444 --initTime 2017-11-24T08:22:59 --startdatetime 2017-11-24T08:30:15 --delay 62 --endMP 204:233297 --enddatetime 2017-11-24T09:04:53 --enforcementcount 0 &gt;&gt;%USERPROFILE%\Documents\GitHub\eaglep3-reporting\EC\2017-11-24-refined-times.txt</v>
      </c>
      <c r="AI51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{"issue":{"subject":"","project_id":79,"tracker_id":40,"status_id":1,"priority_id":2,"assigned_to_id":338,"start_date":"2017-11-24","description":"","custom_fields":[{"id":1,"name":"Subdivision","value":"EC"},{"id":4,"name":"Milepost","value":"23.3297"},{"id":17,"name":"Train ID","value":"139-24"},{"id":16,"name":"Locomotive ID","value":"4016"},{"id":130,"name":"Impact","value":""},{"id":150,"name":"Time of Event (Mountain Time)","value":"09:04:53"},{"id":151,"name":"Denver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4"/>
      <c r="AK51" s="232"/>
      <c r="AL51" s="232"/>
      <c r="AM51" s="241" t="str">
        <f t="shared" si="7"/>
        <v>start /low /b %USERPROFILE%\Documents\GitHub\eaglep3\Utilities\DownloadLogsFromS3.py --loco 4016 --day 2017-11-24</v>
      </c>
      <c r="AN51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16:04:53"},{"id":29,"name":"Sharepoint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1" t="str">
        <f t="shared" si="9"/>
        <v>https://d0f6bd738d7f1b3e5a7ca70fe4ff75f0.us-east-1.aws.found.io/app/kibana#/discover/Steve-Slow-Train-Analysis-(2080s-and-2083s)?_g=(refreshInterval:(display:Off,pause:!f,section:0,value:0),time:(from:'2017-11-24T07:22:59-0700',mode:absolute,to:'2017-11-24T10:04:53-0700'))&amp;_a=(columns:!('Message%20ID',Summary),filters:!(),index:'emp_*',interval:auto,query:(query_string:(analyze_wildcard:!t,query:'%22rtdc.l.rtdc.4016%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30" t="s">
        <v>770</v>
      </c>
      <c r="B52" s="226">
        <v>4015</v>
      </c>
      <c r="C52" s="228" t="s">
        <v>192</v>
      </c>
      <c r="D52" s="228" t="s">
        <v>512</v>
      </c>
      <c r="E52" s="227">
        <v>43063.393391203703</v>
      </c>
      <c r="F52" s="227">
        <v>43063.39466435185</v>
      </c>
      <c r="G52" s="226">
        <v>50</v>
      </c>
      <c r="H52" s="228" t="s">
        <v>959</v>
      </c>
      <c r="I52" s="227">
        <v>43063.420428240737</v>
      </c>
      <c r="J52" s="226">
        <v>0</v>
      </c>
      <c r="K52" s="238" t="str">
        <f>IF(ISEVEN(B52),(B52-1)&amp;"/"&amp;B52,B52&amp;"/"&amp;(B52+1))</f>
        <v>4015/4016</v>
      </c>
      <c r="L52" s="246" t="str">
        <f>VLOOKUP(A52,'Trips&amp;Operators'!$C$1:$G$99911,5,FALSE)</f>
        <v>ROCHA YAOTL</v>
      </c>
      <c r="M52" s="225">
        <f>I52-F52</f>
        <v>2.5763888887013309E-2</v>
      </c>
      <c r="N52" s="226">
        <f>24*60*SUM($M52:$M52)</f>
        <v>37.099999997299165</v>
      </c>
      <c r="O52" s="226"/>
      <c r="P52" s="226"/>
      <c r="Q52" s="229"/>
      <c r="R52" s="243"/>
      <c r="S52" s="250">
        <f>1/IF(AG52="EC",12,1)*SUM(U52:U52)</f>
        <v>1</v>
      </c>
      <c r="T52" s="243" t="str">
        <f>IF(ISEVEN(LEFT(AD52,4)),"Southbound","NorthBound")</f>
        <v>Southbound</v>
      </c>
      <c r="U52" s="24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9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-11-24T08:26:29-0700',mode:absolute,to:'2017-11-24T11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2" s="248" t="str">
        <f>IF(AA52&lt;VLOOKUP(AG52,Variables!$AC$3:$AD$8,2,FALSE),"Y","N")</f>
        <v>N</v>
      </c>
      <c r="X52" s="248">
        <f>VALUE(LEFT(AD52,4))-VALUE(LEFT(AD51,4))</f>
        <v>1</v>
      </c>
      <c r="Y52" s="248">
        <f>RIGHT(D52,LEN(D52)-4)/10000</f>
        <v>23.2974</v>
      </c>
      <c r="Z52" s="248">
        <f>RIGHT(H52,LEN(H52)-4)/10000</f>
        <v>1.47E-2</v>
      </c>
      <c r="AA52" s="248">
        <f>ABS(Z52-Y52)</f>
        <v>23.282699999999998</v>
      </c>
      <c r="AB52" s="234" t="e">
        <f>VLOOKUP(A52,Enforcements!$C$7:$K$9,8,0)</f>
        <v>#N/A</v>
      </c>
      <c r="AC52" s="233" t="e">
        <f>VLOOKUP(A52,Enforcements!$C$7:$E$9,3,0)</f>
        <v>#N/A</v>
      </c>
      <c r="AD52" s="244">
        <f>VALUE(LEFT(A52,LEN(A52)-3))</f>
        <v>140</v>
      </c>
      <c r="AE52" s="236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s3://rtdc.mdm.uploadarchive.raw/RTDC4015/ "%USERPROFILE%\AppData\Local\Temp\OnboardLogs"\RTDC4015\2017-11-24 --exclude "*" --recursive --include "*20171124*" &amp; "%USERPROFILE%\Documents\GitHub\mrs-test-scripts\Headless Mode &amp; Sideloading\WalkAndUnGZ.bat" "%USERPROFILE%\AppData\Local\Temp\OnboardLogs"\RTDC4015\2017-11-24 &amp; aws s3 cp s3://rtdc.mdm.uploadarchive.raw/RTDC4015/ "%USERPROFILE%\AppData\Local\Temp\OnboardLogs"\RTDC4015\2017-11-25 --exclude "*" --recursive --include "*20171125*" &amp; "%USERPROFILE%\Documents\GitHub\mrs-test-scripts\Headless Mode &amp; Sideloading\WalkAndUnGZ.bat" "%USERPROFILE%\AppData\Local\Temp\OnboardLogs"\RTDC4015\2017-11-25</v>
      </c>
      <c r="AF52" s="235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/stypes="app*4015*20171124*" /stext=" 17:.+((SYSTEM_STATE.+slice.+state.+changed )|(ment ac)|(multiple cpu faults)|(system.+state.+changed )|(\[timeout)|(PRM\|1\|D)|(kpr)|(kdp)|(train st.+moving)|(\|lc)|(penalty))"</v>
      </c>
      <c r="AG52" s="245" t="str">
        <f>DetSubdiv(A52)</f>
        <v>EC</v>
      </c>
      <c r="AH52" s="237" t="str">
        <f t="shared" si="5"/>
        <v>"%USERPROFILE%\Documents\GitHub\eaglep3\Utilities\RefineRTDCRunTimes.py" --tripid 140-24 --locoid 4015 --swversion DE.1.0.9.0 --startMP 204:232974 --initTime 2017-11-24T09:26:29 --startdatetime 2017-11-24T09:28:19 --delay 50 --endMP 204:147 --enddatetime 2017-11-24T10:05:25 --enforcementcount 0 &gt;&gt;%USERPROFILE%\Documents\GitHub\eaglep3-reporting\EC\2017-11-24-refined-times.txt</v>
      </c>
      <c r="AI52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{"issue":{"subject":"","project_id":79,"tracker_id":40,"status_id":1,"priority_id":2,"assigned_to_id":338,"start_date":"2017-11-24","description":"","custom_fields":[{"id":1,"name":"Subdivision","value":"EC"},{"id":4,"name":"Milepost","value":"0.0147"},{"id":17,"name":"Train ID","value":"140-24"},{"id":16,"name":"Locomotive ID","value":"4015"},{"id":130,"name":"Impact","value":""},{"id":150,"name":"Time of Event (Mountain Time)","value":"10:05:25"},{"id":151,"name":"Denver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4"/>
      <c r="AK52" s="232"/>
      <c r="AL52" s="232"/>
      <c r="AM52" s="241" t="str">
        <f t="shared" si="7"/>
        <v>start /low /b %USERPROFILE%\Documents\GitHub\eaglep3\Utilities\DownloadLogsFromS3.py --loco 4015 --day 2017-11-24</v>
      </c>
      <c r="AN52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17:05:25"},{"id":29,"name":"Sharepoint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1" t="str">
        <f t="shared" si="9"/>
        <v>https://d0f6bd738d7f1b3e5a7ca70fe4ff75f0.us-east-1.aws.found.io/app/kibana#/discover/Steve-Slow-Train-Analysis-(2080s-and-2083s)?_g=(refreshInterval:(display:Off,pause:!f,section:0,value:0),time:(from:'2017-11-24T08:26:29-0700',mode:absolute,to:'2017-11-24T11:05:25-0700'))&amp;_a=(columns:!('Message%20ID',Summary),filters:!(),index:'emp_*',interval:auto,query:(query_string:(analyze_wildcard:!t,query:'%22rtdc.l.rtdc.4015%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30" t="s">
        <v>764</v>
      </c>
      <c r="B53" s="226">
        <v>4050</v>
      </c>
      <c r="C53" s="228" t="s">
        <v>192</v>
      </c>
      <c r="D53" s="228" t="s">
        <v>603</v>
      </c>
      <c r="E53" s="227">
        <v>43063.362210648149</v>
      </c>
      <c r="F53" s="227">
        <v>43063.365254629629</v>
      </c>
      <c r="G53" s="226">
        <v>51</v>
      </c>
      <c r="H53" s="228" t="s">
        <v>960</v>
      </c>
      <c r="I53" s="227">
        <v>43063.390104166669</v>
      </c>
      <c r="J53" s="226">
        <v>0</v>
      </c>
      <c r="K53" s="238" t="str">
        <f>IF(ISEVEN(B53),(B53-1)&amp;"/"&amp;B53,B53&amp;"/"&amp;(B53+1))</f>
        <v>4049/4050</v>
      </c>
      <c r="L53" s="246" t="str">
        <f>VLOOKUP(A53,'Trips&amp;Operators'!$C$1:$G$99911,5,FALSE)</f>
        <v>MACDONALD THOMAS</v>
      </c>
      <c r="M53" s="225">
        <f>I53-F53</f>
        <v>2.4849537039699499E-2</v>
      </c>
      <c r="N53" s="226">
        <f>24*60*SUM($M53:$M53)</f>
        <v>35.783333337167278</v>
      </c>
      <c r="O53" s="226"/>
      <c r="P53" s="226"/>
      <c r="Q53" s="229"/>
      <c r="R53" s="243"/>
      <c r="S53" s="250">
        <f>1/IF(AG53="EC",12,1)*SUM(U53:U53)</f>
        <v>1</v>
      </c>
      <c r="T53" s="243" t="str">
        <f>IF(ISEVEN(LEFT(AD53,4)),"Southbound","NorthBound")</f>
        <v>NorthBound</v>
      </c>
      <c r="U53" s="24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9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-11-24T07:41:35-0700',mode:absolute,to:'2017-11-24T10:21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3" s="248" t="str">
        <f>IF(AA53&lt;VLOOKUP(AG53,Variables!$AC$3:$AD$8,2,FALSE),"Y","N")</f>
        <v>N</v>
      </c>
      <c r="X53" s="248">
        <f>VALUE(LEFT(AD53,4))-VALUE(LEFT(AD52,4))</f>
        <v>1</v>
      </c>
      <c r="Y53" s="248">
        <f>RIGHT(D53,LEN(D53)-4)/10000</f>
        <v>5.5100000000000003E-2</v>
      </c>
      <c r="Z53" s="248">
        <f>RIGHT(H53,LEN(H53)-4)/10000</f>
        <v>23.318999999999999</v>
      </c>
      <c r="AA53" s="248">
        <f>ABS(Z53-Y53)</f>
        <v>23.2639</v>
      </c>
      <c r="AB53" s="234" t="e">
        <f>VLOOKUP(A53,Enforcements!$C$7:$K$9,8,0)</f>
        <v>#N/A</v>
      </c>
      <c r="AC53" s="233" t="e">
        <f>VLOOKUP(A53,Enforcements!$C$7:$E$9,3,0)</f>
        <v>#N/A</v>
      </c>
      <c r="AD53" s="244">
        <f>VALUE(LEFT(A53,LEN(A53)-3))</f>
        <v>141</v>
      </c>
      <c r="AE53" s="236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s3://rtdc.mdm.uploadarchive.raw/RTDC4050/ "%USERPROFILE%\AppData\Local\Temp\OnboardLogs"\RTDC4050\2017-11-24 --exclude "*" --recursive --include "*20171124*" &amp; "%USERPROFILE%\Documents\GitHub\mrs-test-scripts\Headless Mode &amp; Sideloading\WalkAndUnGZ.bat" "%USERPROFILE%\AppData\Local\Temp\OnboardLogs"\RTDC4050\2017-11-24 &amp; aws s3 cp s3://rtdc.mdm.uploadarchive.raw/RTDC4050/ "%USERPROFILE%\AppData\Local\Temp\OnboardLogs"\RTDC4050\2017-11-25 --exclude "*" --recursive --include "*20171125*" &amp; "%USERPROFILE%\Documents\GitHub\mrs-test-scripts\Headless Mode &amp; Sideloading\WalkAndUnGZ.bat" "%USERPROFILE%\AppData\Local\Temp\OnboardLogs"\RTDC4050\2017-11-25</v>
      </c>
      <c r="AF53" s="235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/stypes="app*4050*20171124*" /stext=" 16:.+((SYSTEM_STATE.+slice.+state.+changed )|(ment ac)|(multiple cpu faults)|(system.+state.+changed )|(\[timeout)|(PRM\|1\|D)|(kpr)|(kdp)|(train st.+moving)|(\|lc)|(penalty))"</v>
      </c>
      <c r="AG53" s="245" t="str">
        <f>DetSubdiv(A53)</f>
        <v>EC</v>
      </c>
      <c r="AH53" s="237" t="str">
        <f t="shared" si="5"/>
        <v>"%USERPROFILE%\Documents\GitHub\eaglep3\Utilities\RefineRTDCRunTimes.py" --tripid 141-24 --locoid 4050 --swversion DE.1.0.9.0 --startMP 204:551 --initTime 2017-11-24T08:41:35 --startdatetime 2017-11-24T08:45:58 --delay 51 --endMP 204:233190 --enddatetime 2017-11-24T09:21:45 --enforcementcount 0 &gt;&gt;%USERPROFILE%\Documents\GitHub\eaglep3-reporting\EC\2017-11-24-refined-times.txt</v>
      </c>
      <c r="AI53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{"issue":{"subject":"","project_id":79,"tracker_id":40,"status_id":1,"priority_id":2,"assigned_to_id":338,"start_date":"2017-11-24","description":"","custom_fields":[{"id":1,"name":"Subdivision","value":"EC"},{"id":4,"name":"Milepost","value":"23.319"},{"id":17,"name":"Train ID","value":"141-24"},{"id":16,"name":"Locomotive ID","value":"4050"},{"id":130,"name":"Impact","value":""},{"id":150,"name":"Time of Event (Mountain Time)","value":"09:21:45"},{"id":151,"name":"Denver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4"/>
      <c r="AK53" s="232"/>
      <c r="AL53" s="232"/>
      <c r="AM53" s="241" t="str">
        <f t="shared" si="7"/>
        <v>start /low /b %USERPROFILE%\Documents\GitHub\eaglep3\Utilities\DownloadLogsFromS3.py --loco 4050 --day 2017-11-24</v>
      </c>
      <c r="AN53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16:21:45"},{"id":29,"name":"Sharepoint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1" t="str">
        <f t="shared" si="9"/>
        <v>https://d0f6bd738d7f1b3e5a7ca70fe4ff75f0.us-east-1.aws.found.io/app/kibana#/discover/Steve-Slow-Train-Analysis-(2080s-and-2083s)?_g=(refreshInterval:(display:Off,pause:!f,section:0,value:0),time:(from:'2017-11-24T07:41:35-0700',mode:absolute,to:'2017-11-24T10:21:45-0700'))&amp;_a=(columns:!('Message%20ID',Summary),filters:!(),index:'emp_*',interval:auto,query:(query_string:(analyze_wildcard:!t,query:'%22rtdc.l.rtdc.4050%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30" t="s">
        <v>772</v>
      </c>
      <c r="B54" s="226">
        <v>4049</v>
      </c>
      <c r="C54" s="228" t="s">
        <v>192</v>
      </c>
      <c r="D54" s="228" t="s">
        <v>961</v>
      </c>
      <c r="E54" s="227">
        <v>43063.402986111112</v>
      </c>
      <c r="F54" s="227">
        <v>43063.404733796298</v>
      </c>
      <c r="G54" s="226">
        <v>46</v>
      </c>
      <c r="H54" s="228" t="s">
        <v>493</v>
      </c>
      <c r="I54" s="227">
        <v>43063.430578703701</v>
      </c>
      <c r="J54" s="226">
        <v>0</v>
      </c>
      <c r="K54" s="238" t="str">
        <f>IF(ISEVEN(B54),(B54-1)&amp;"/"&amp;B54,B54&amp;"/"&amp;(B54+1))</f>
        <v>4049/4050</v>
      </c>
      <c r="L54" s="246" t="str">
        <f>VLOOKUP(A54,'Trips&amp;Operators'!$C$1:$G$99911,5,FALSE)</f>
        <v>MACDONALD THOMAS</v>
      </c>
      <c r="M54" s="225">
        <f>I54-F54</f>
        <v>2.5844907402643003E-2</v>
      </c>
      <c r="N54" s="226">
        <f>24*60*SUM($M54:$M54)</f>
        <v>37.216666659805924</v>
      </c>
      <c r="O54" s="226"/>
      <c r="P54" s="226"/>
      <c r="Q54" s="229"/>
      <c r="R54" s="243"/>
      <c r="S54" s="250">
        <f>1/IF(AG54="EC",12,1)*SUM(U54:U54)</f>
        <v>1</v>
      </c>
      <c r="T54" s="243" t="str">
        <f>IF(ISEVEN(LEFT(AD54,4)),"Southbound","NorthBound")</f>
        <v>Southbound</v>
      </c>
      <c r="U54" s="24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9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-11-24T08:40:18-0700',mode:absolute,to:'2017-11-24T11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4" s="248" t="str">
        <f>IF(AA54&lt;VLOOKUP(AG54,Variables!$AC$3:$AD$8,2,FALSE),"Y","N")</f>
        <v>N</v>
      </c>
      <c r="X54" s="248">
        <f>VALUE(LEFT(AD54,4))-VALUE(LEFT(AD53,4))</f>
        <v>1</v>
      </c>
      <c r="Y54" s="248">
        <f>RIGHT(D54,LEN(D54)-4)/10000</f>
        <v>23.286300000000001</v>
      </c>
      <c r="Z54" s="248">
        <f>RIGHT(H54,LEN(H54)-4)/10000</f>
        <v>2.1999999999999999E-2</v>
      </c>
      <c r="AA54" s="248">
        <f>ABS(Z54-Y54)</f>
        <v>23.264300000000002</v>
      </c>
      <c r="AB54" s="234" t="e">
        <f>VLOOKUP(A54,Enforcements!$C$7:$K$9,8,0)</f>
        <v>#N/A</v>
      </c>
      <c r="AC54" s="233" t="e">
        <f>VLOOKUP(A54,Enforcements!$C$7:$E$9,3,0)</f>
        <v>#N/A</v>
      </c>
      <c r="AD54" s="244">
        <f>VALUE(LEFT(A54,LEN(A54)-3))</f>
        <v>142</v>
      </c>
      <c r="AE54" s="236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s3://rtdc.mdm.uploadarchive.raw/RTDC4049/ "%USERPROFILE%\AppData\Local\Temp\OnboardLogs"\RTDC4049\2017-11-24 --exclude "*" --recursive --include "*20171124*" &amp; "%USERPROFILE%\Documents\GitHub\mrs-test-scripts\Headless Mode &amp; Sideloading\WalkAndUnGZ.bat" "%USERPROFILE%\AppData\Local\Temp\OnboardLogs"\RTDC4049\2017-11-24 &amp; aws s3 cp s3://rtdc.mdm.uploadarchive.raw/RTDC4049/ "%USERPROFILE%\AppData\Local\Temp\OnboardLogs"\RTDC4049\2017-11-25 --exclude "*" --recursive --include "*20171125*" &amp; "%USERPROFILE%\Documents\GitHub\mrs-test-scripts\Headless Mode &amp; Sideloading\WalkAndUnGZ.bat" "%USERPROFILE%\AppData\Local\Temp\OnboardLogs"\RTDC4049\2017-11-25</v>
      </c>
      <c r="AF54" s="235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/stypes="app*4049*20171124*" /stext=" 17:.+((SYSTEM_STATE.+slice.+state.+changed )|(ment ac)|(multiple cpu faults)|(system.+state.+changed )|(\[timeout)|(PRM\|1\|D)|(kpr)|(kdp)|(train st.+moving)|(\|lc)|(penalty))"</v>
      </c>
      <c r="AG54" s="245" t="str">
        <f>DetSubdiv(A54)</f>
        <v>EC</v>
      </c>
      <c r="AH54" s="237" t="str">
        <f t="shared" si="5"/>
        <v>"%USERPROFILE%\Documents\GitHub\eaglep3\Utilities\RefineRTDCRunTimes.py" --tripid 142-24 --locoid 4049 --swversion DE.1.0.9.0 --startMP 204:232863 --initTime 2017-11-24T09:40:18 --startdatetime 2017-11-24T09:42:49 --delay 46 --endMP 204:220 --enddatetime 2017-11-24T10:20:02 --enforcementcount 0 &gt;&gt;%USERPROFILE%\Documents\GitHub\eaglep3-reporting\EC\2017-11-24-refined-times.txt</v>
      </c>
      <c r="AI54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{"issue":{"subject":"","project_id":79,"tracker_id":40,"status_id":1,"priority_id":2,"assigned_to_id":338,"start_date":"2017-11-24","description":"","custom_fields":[{"id":1,"name":"Subdivision","value":"EC"},{"id":4,"name":"Milepost","value":"0.022"},{"id":17,"name":"Train ID","value":"142-24"},{"id":16,"name":"Locomotive ID","value":"4049"},{"id":130,"name":"Impact","value":""},{"id":150,"name":"Time of Event (Mountain Time)","value":"10:20:02"},{"id":151,"name":"Denver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4"/>
      <c r="AK54" s="232"/>
      <c r="AL54" s="232"/>
      <c r="AM54" s="241" t="str">
        <f t="shared" si="7"/>
        <v>start /low /b %USERPROFILE%\Documents\GitHub\eaglep3\Utilities\DownloadLogsFromS3.py --loco 4049 --day 2017-11-24</v>
      </c>
      <c r="AN54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17:20:02"},{"id":29,"name":"Sharepoint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1" t="str">
        <f t="shared" si="9"/>
        <v>https://d0f6bd738d7f1b3e5a7ca70fe4ff75f0.us-east-1.aws.found.io/app/kibana#/discover/Steve-Slow-Train-Analysis-(2080s-and-2083s)?_g=(refreshInterval:(display:Off,pause:!f,section:0,value:0),time:(from:'2017-11-24T08:40:18-0700',mode:absolute,to:'2017-11-24T11:20:02-0700'))&amp;_a=(columns:!('Message%20ID',Summary),filters:!(),index:'emp_*',interval:auto,query:(query_string:(analyze_wildcard:!t,query:'%22rtdc.l.rtdc.4049%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30" t="s">
        <v>766</v>
      </c>
      <c r="B55" s="226">
        <v>4006</v>
      </c>
      <c r="C55" s="228" t="s">
        <v>192</v>
      </c>
      <c r="D55" s="228" t="s">
        <v>533</v>
      </c>
      <c r="E55" s="227">
        <v>43063.369710648149</v>
      </c>
      <c r="F55" s="227">
        <v>43063.377604166664</v>
      </c>
      <c r="G55" s="226">
        <v>56</v>
      </c>
      <c r="H55" s="228" t="s">
        <v>527</v>
      </c>
      <c r="I55" s="227">
        <v>43063.402083333334</v>
      </c>
      <c r="J55" s="226">
        <v>0</v>
      </c>
      <c r="K55" s="238" t="str">
        <f>IF(ISEVEN(B55),(B55-1)&amp;"/"&amp;B55,B55&amp;"/"&amp;(B55+1))</f>
        <v>4005/4006</v>
      </c>
      <c r="L55" s="246" t="str">
        <f>VLOOKUP(A55,'Trips&amp;Operators'!$C$1:$G$99911,5,FALSE)</f>
        <v>MAELZER KURT</v>
      </c>
      <c r="M55" s="225">
        <f>I55-F55</f>
        <v>2.4479166670062114E-2</v>
      </c>
      <c r="N55" s="226">
        <f>24*60*SUM($M55:$M55)</f>
        <v>35.250000004889444</v>
      </c>
      <c r="O55" s="226"/>
      <c r="P55" s="226"/>
      <c r="Q55" s="229"/>
      <c r="R55" s="243"/>
      <c r="S55" s="250">
        <f>1/IF(AG55="EC",12,1)*SUM(U55:U55)</f>
        <v>1</v>
      </c>
      <c r="T55" s="243" t="str">
        <f>IF(ISEVEN(LEFT(AD55,4)),"Southbound","NorthBound")</f>
        <v>NorthBound</v>
      </c>
      <c r="U55" s="24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9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-11-24T07:52:23-0700',mode:absolute,to:'2017-11-24T10:39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5" s="248" t="str">
        <f>IF(AA55&lt;VLOOKUP(AG55,Variables!$AC$3:$AD$8,2,FALSE),"Y","N")</f>
        <v>N</v>
      </c>
      <c r="X55" s="248">
        <f>VALUE(LEFT(AD55,4))-VALUE(LEFT(AD54,4))</f>
        <v>1</v>
      </c>
      <c r="Y55" s="248">
        <f>RIGHT(D55,LEN(D55)-4)/10000</f>
        <v>4.8599999999999997E-2</v>
      </c>
      <c r="Z55" s="248">
        <f>RIGHT(H55,LEN(H55)-4)/10000</f>
        <v>23.331700000000001</v>
      </c>
      <c r="AA55" s="248">
        <f>ABS(Z55-Y55)</f>
        <v>23.283100000000001</v>
      </c>
      <c r="AB55" s="234" t="e">
        <f>VLOOKUP(A55,Enforcements!$C$7:$K$9,8,0)</f>
        <v>#N/A</v>
      </c>
      <c r="AC55" s="233" t="e">
        <f>VLOOKUP(A55,Enforcements!$C$7:$E$9,3,0)</f>
        <v>#N/A</v>
      </c>
      <c r="AD55" s="244">
        <f>VALUE(LEFT(A55,LEN(A55)-3))</f>
        <v>143</v>
      </c>
      <c r="AE55" s="236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s3://rtdc.mdm.uploadarchive.raw/RTDC4006/ "%USERPROFILE%\AppData\Local\Temp\OnboardLogs"\RTDC4006\2017-11-24 --exclude "*" --recursive --include "*20171124*" &amp; "%USERPROFILE%\Documents\GitHub\mrs-test-scripts\Headless Mode &amp; Sideloading\WalkAndUnGZ.bat" "%USERPROFILE%\AppData\Local\Temp\OnboardLogs"\RTDC4006\2017-11-24 &amp; aws s3 cp s3://rtdc.mdm.uploadarchive.raw/RTDC4006/ "%USERPROFILE%\AppData\Local\Temp\OnboardLogs"\RTDC4006\2017-11-25 --exclude "*" --recursive --include "*20171125*" &amp; "%USERPROFILE%\Documents\GitHub\mrs-test-scripts\Headless Mode &amp; Sideloading\WalkAndUnGZ.bat" "%USERPROFILE%\AppData\Local\Temp\OnboardLogs"\RTDC4006\2017-11-25</v>
      </c>
      <c r="AF55" s="235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/stypes="app*4006*20171124*" /stext=" 16:.+((SYSTEM_STATE.+slice.+state.+changed )|(ment ac)|(multiple cpu faults)|(system.+state.+changed )|(\[timeout)|(PRM\|1\|D)|(kpr)|(kdp)|(train st.+moving)|(\|lc)|(penalty))"</v>
      </c>
      <c r="AG55" s="245" t="str">
        <f>DetSubdiv(A55)</f>
        <v>EC</v>
      </c>
      <c r="AH55" s="237" t="str">
        <f t="shared" si="5"/>
        <v>"%USERPROFILE%\Documents\GitHub\eaglep3\Utilities\RefineRTDCRunTimes.py" --tripid 143-24 --locoid 4006 --swversion DE.1.0.9.0 --startMP 204:486 --initTime 2017-11-24T08:52:23 --startdatetime 2017-11-24T09:03:45 --delay 56 --endMP 204:233317 --enddatetime 2017-11-24T09:39:00 --enforcementcount 0 &gt;&gt;%USERPROFILE%\Documents\GitHub\eaglep3-reporting\EC\2017-11-24-refined-times.txt</v>
      </c>
      <c r="AI55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{"issue":{"subject":"","project_id":79,"tracker_id":40,"status_id":1,"priority_id":2,"assigned_to_id":338,"start_date":"2017-11-24","description":"","custom_fields":[{"id":1,"name":"Subdivision","value":"EC"},{"id":4,"name":"Milepost","value":"23.3317"},{"id":17,"name":"Train ID","value":"143-24"},{"id":16,"name":"Locomotive ID","value":"4006"},{"id":130,"name":"Impact","value":""},{"id":150,"name":"Time of Event (Mountain Time)","value":"09:39:00"},{"id":151,"name":"Denver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4"/>
      <c r="AK55" s="232"/>
      <c r="AL55" s="232"/>
      <c r="AM55" s="241" t="str">
        <f t="shared" si="7"/>
        <v>start /low /b %USERPROFILE%\Documents\GitHub\eaglep3\Utilities\DownloadLogsFromS3.py --loco 4006 --day 2017-11-24</v>
      </c>
      <c r="AN55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16:39:00"},{"id":29,"name":"Sharepoint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1" t="str">
        <f t="shared" si="9"/>
        <v>https://d0f6bd738d7f1b3e5a7ca70fe4ff75f0.us-east-1.aws.found.io/app/kibana#/discover/Steve-Slow-Train-Analysis-(2080s-and-2083s)?_g=(refreshInterval:(display:Off,pause:!f,section:0,value:0),time:(from:'2017-11-24T07:52:23-0700',mode:absolute,to:'2017-11-24T10:39:00-0700'))&amp;_a=(columns:!('Message%20ID',Summary),filters:!(),index:'emp_*',interval:auto,query:(query_string:(analyze_wildcard:!t,query:'%22rtdc.l.rtdc.4006%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30" t="s">
        <v>773</v>
      </c>
      <c r="B56" s="226">
        <v>4005</v>
      </c>
      <c r="C56" s="228" t="s">
        <v>192</v>
      </c>
      <c r="D56" s="228" t="s">
        <v>591</v>
      </c>
      <c r="E56" s="227">
        <v>43063.406377314815</v>
      </c>
      <c r="F56" s="227">
        <v>43063.414803240739</v>
      </c>
      <c r="G56" s="226">
        <v>48</v>
      </c>
      <c r="H56" s="228" t="s">
        <v>962</v>
      </c>
      <c r="I56" s="227">
        <v>43063.442118055558</v>
      </c>
      <c r="J56" s="226">
        <v>0</v>
      </c>
      <c r="K56" s="238" t="str">
        <f>IF(ISEVEN(B56),(B56-1)&amp;"/"&amp;B56,B56&amp;"/"&amp;(B56+1))</f>
        <v>4005/4006</v>
      </c>
      <c r="L56" s="246" t="str">
        <f>VLOOKUP(A56,'Trips&amp;Operators'!$C$1:$G$99911,5,FALSE)</f>
        <v>MAELZER KURT</v>
      </c>
      <c r="M56" s="225">
        <f>I56-F56</f>
        <v>2.7314814818964805E-2</v>
      </c>
      <c r="N56" s="226">
        <f>24*60*SUM($M56:$M56)</f>
        <v>39.33333333930932</v>
      </c>
      <c r="O56" s="226"/>
      <c r="P56" s="226"/>
      <c r="Q56" s="229"/>
      <c r="R56" s="243"/>
      <c r="S56" s="250">
        <f>1/IF(AG56="EC",12,1)*SUM(U56:U56)</f>
        <v>1</v>
      </c>
      <c r="T56" s="243" t="str">
        <f>IF(ISEVEN(LEFT(AD56,4)),"Southbound","NorthBound")</f>
        <v>Southbound</v>
      </c>
      <c r="U56" s="24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9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-11-24T08:45:11-0700',mode:absolute,to:'2017-11-24T11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6" s="248" t="str">
        <f>IF(AA56&lt;VLOOKUP(AG56,Variables!$AC$3:$AD$8,2,FALSE),"Y","N")</f>
        <v>N</v>
      </c>
      <c r="X56" s="248">
        <f>VALUE(LEFT(AD56,4))-VALUE(LEFT(AD55,4))</f>
        <v>1</v>
      </c>
      <c r="Y56" s="248">
        <f>RIGHT(D56,LEN(D56)-4)/10000</f>
        <v>23.298300000000001</v>
      </c>
      <c r="Z56" s="248">
        <f>RIGHT(H56,LEN(H56)-4)/10000</f>
        <v>1.89E-2</v>
      </c>
      <c r="AA56" s="248">
        <f>ABS(Z56-Y56)</f>
        <v>23.279400000000003</v>
      </c>
      <c r="AB56" s="234" t="e">
        <f>VLOOKUP(A56,Enforcements!$C$7:$K$9,8,0)</f>
        <v>#N/A</v>
      </c>
      <c r="AC56" s="233" t="e">
        <f>VLOOKUP(A56,Enforcements!$C$7:$E$9,3,0)</f>
        <v>#N/A</v>
      </c>
      <c r="AD56" s="244">
        <f>VALUE(LEFT(A56,LEN(A56)-3))</f>
        <v>144</v>
      </c>
      <c r="AE56" s="236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s3://rtdc.mdm.uploadarchive.raw/RTDC4005/ "%USERPROFILE%\AppData\Local\Temp\OnboardLogs"\RTDC4005\2017-11-24 --exclude "*" --recursive --include "*20171124*" &amp; "%USERPROFILE%\Documents\GitHub\mrs-test-scripts\Headless Mode &amp; Sideloading\WalkAndUnGZ.bat" "%USERPROFILE%\AppData\Local\Temp\OnboardLogs"\RTDC4005\2017-11-24 &amp; aws s3 cp s3://rtdc.mdm.uploadarchive.raw/RTDC4005/ "%USERPROFILE%\AppData\Local\Temp\OnboardLogs"\RTDC4005\2017-11-25 --exclude "*" --recursive --include "*20171125*" &amp; "%USERPROFILE%\Documents\GitHub\mrs-test-scripts\Headless Mode &amp; Sideloading\WalkAndUnGZ.bat" "%USERPROFILE%\AppData\Local\Temp\OnboardLogs"\RTDC4005\2017-11-25</v>
      </c>
      <c r="AF56" s="235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/stypes="app*4005*20171124*" /stext=" 17:.+((SYSTEM_STATE.+slice.+state.+changed )|(ment ac)|(multiple cpu faults)|(system.+state.+changed )|(\[timeout)|(PRM\|1\|D)|(kpr)|(kdp)|(train st.+moving)|(\|lc)|(penalty))"</v>
      </c>
      <c r="AG56" s="245" t="str">
        <f>DetSubdiv(A56)</f>
        <v>EC</v>
      </c>
      <c r="AH56" s="237" t="str">
        <f t="shared" si="5"/>
        <v>"%USERPROFILE%\Documents\GitHub\eaglep3\Utilities\RefineRTDCRunTimes.py" --tripid 144-24 --locoid 4005 --swversion DE.1.0.9.0 --startMP 204:232983 --initTime 2017-11-24T09:45:11 --startdatetime 2017-11-24T09:57:19 --delay 48 --endMP 204:189 --enddatetime 2017-11-24T10:36:39 --enforcementcount 0 &gt;&gt;%USERPROFILE%\Documents\GitHub\eaglep3-reporting\EC\2017-11-24-refined-times.txt</v>
      </c>
      <c r="AI56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{"issue":{"subject":"","project_id":79,"tracker_id":40,"status_id":1,"priority_id":2,"assigned_to_id":338,"start_date":"2017-11-24","description":"","custom_fields":[{"id":1,"name":"Subdivision","value":"EC"},{"id":4,"name":"Milepost","value":"0.0189"},{"id":17,"name":"Train ID","value":"144-24"},{"id":16,"name":"Locomotive ID","value":"4005"},{"id":130,"name":"Impact","value":""},{"id":150,"name":"Time of Event (Mountain Time)","value":"10:36:39"},{"id":151,"name":"Denver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4"/>
      <c r="AK56" s="232"/>
      <c r="AL56" s="232"/>
      <c r="AM56" s="241" t="str">
        <f t="shared" si="7"/>
        <v>start /low /b %USERPROFILE%\Documents\GitHub\eaglep3\Utilities\DownloadLogsFromS3.py --loco 4005 --day 2017-11-24</v>
      </c>
      <c r="AN56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17:36:39"},{"id":29,"name":"Sharepoint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1" t="str">
        <f t="shared" si="9"/>
        <v>https://d0f6bd738d7f1b3e5a7ca70fe4ff75f0.us-east-1.aws.found.io/app/kibana#/discover/Steve-Slow-Train-Analysis-(2080s-and-2083s)?_g=(refreshInterval:(display:Off,pause:!f,section:0,value:0),time:(from:'2017-11-24T08:45:11-0700',mode:absolute,to:'2017-11-24T11:36:39-0700'))&amp;_a=(columns:!('Message%20ID',Summary),filters:!(),index:'emp_*',interval:auto,query:(query_string:(analyze_wildcard:!t,query:'%22rtdc.l.rtdc.4005%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30" t="s">
        <v>662</v>
      </c>
      <c r="B57" s="226">
        <v>4064</v>
      </c>
      <c r="C57" s="228" t="s">
        <v>192</v>
      </c>
      <c r="D57" s="228" t="s">
        <v>535</v>
      </c>
      <c r="E57" s="227">
        <v>43063.384629629632</v>
      </c>
      <c r="F57" s="227">
        <v>43063.386157407411</v>
      </c>
      <c r="G57" s="226">
        <v>76</v>
      </c>
      <c r="H57" s="228" t="s">
        <v>963</v>
      </c>
      <c r="I57" s="227">
        <v>43063.411493055559</v>
      </c>
      <c r="J57" s="226">
        <v>0</v>
      </c>
      <c r="K57" s="238" t="str">
        <f>IF(ISEVEN(B57),(B57-1)&amp;"/"&amp;B57,B57&amp;"/"&amp;(B57+1))</f>
        <v>4063/4064</v>
      </c>
      <c r="L57" s="246" t="str">
        <f>VLOOKUP(A57,'Trips&amp;Operators'!$C$1:$G$99911,5,FALSE)</f>
        <v>NICHOLAS PLOYSA</v>
      </c>
      <c r="M57" s="225">
        <f>I57-F57</f>
        <v>2.5335648148029577E-2</v>
      </c>
      <c r="N57" s="226">
        <f>24*60*SUM($M57:$M57)</f>
        <v>36.483333333162591</v>
      </c>
      <c r="O57" s="226"/>
      <c r="P57" s="226"/>
      <c r="Q57" s="229"/>
      <c r="R57" s="243"/>
      <c r="S57" s="250">
        <f>1/IF(AG57="EC",12,1)*SUM(U57:U57)</f>
        <v>1</v>
      </c>
      <c r="T57" s="243" t="str">
        <f>IF(ISEVEN(LEFT(AD57,4)),"Southbound","NorthBound")</f>
        <v>NorthBound</v>
      </c>
      <c r="U57" s="24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9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-11-24T08:13:52-0700',mode:absolute,to:'2017-11-24T10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7" s="248" t="str">
        <f>IF(AA57&lt;VLOOKUP(AG57,Variables!$AC$3:$AD$8,2,FALSE),"Y","N")</f>
        <v>N</v>
      </c>
      <c r="X57" s="248">
        <f>VALUE(LEFT(AD57,4))-VALUE(LEFT(AD56,4))</f>
        <v>1</v>
      </c>
      <c r="Y57" s="248">
        <f>RIGHT(D57,LEN(D57)-4)/10000</f>
        <v>4.9299999999999997E-2</v>
      </c>
      <c r="Z57" s="248">
        <f>RIGHT(H57,LEN(H57)-4)/10000</f>
        <v>23.3188</v>
      </c>
      <c r="AA57" s="248">
        <f>ABS(Z57-Y57)</f>
        <v>23.269500000000001</v>
      </c>
      <c r="AB57" s="234" t="str">
        <f>VLOOKUP(A57,Enforcements!$C$7:$K$9,8,0)</f>
        <v>Bulletin (2)</v>
      </c>
      <c r="AC57" s="233" t="str">
        <f>VLOOKUP(A57,Enforcements!$C$7:$E$9,3,0)</f>
        <v>GRADE CROSSING</v>
      </c>
      <c r="AD57" s="244">
        <f>VALUE(LEFT(A57,LEN(A57)-3))</f>
        <v>145</v>
      </c>
      <c r="AE57" s="236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s3://rtdc.mdm.uploadarchive.raw/RTDC4064/ "%USERPROFILE%\AppData\Local\Temp\OnboardLogs"\RTDC4064\2017-11-24 --exclude "*" --recursive --include "*20171124*" &amp; "%USERPROFILE%\Documents\GitHub\mrs-test-scripts\Headless Mode &amp; Sideloading\WalkAndUnGZ.bat" "%USERPROFILE%\AppData\Local\Temp\OnboardLogs"\RTDC4064\2017-11-24 &amp; aws s3 cp s3://rtdc.mdm.uploadarchive.raw/RTDC4064/ "%USERPROFILE%\AppData\Local\Temp\OnboardLogs"\RTDC4064\2017-11-25 --exclude "*" --recursive --include "*20171125*" &amp; "%USERPROFILE%\Documents\GitHub\mrs-test-scripts\Headless Mode &amp; Sideloading\WalkAndUnGZ.bat" "%USERPROFILE%\AppData\Local\Temp\OnboardLogs"\RTDC4064\2017-11-25</v>
      </c>
      <c r="AF57" s="235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/stypes="app*4064*20171124*" /stext=" 16:.+((SYSTEM_STATE.+slice.+state.+changed )|(ment ac)|(multiple cpu faults)|(system.+state.+changed )|(\[timeout)|(PRM\|1\|D)|(kpr)|(kdp)|(train st.+moving)|(\|lc)|(penalty))"</v>
      </c>
      <c r="AG57" s="245" t="str">
        <f>DetSubdiv(A57)</f>
        <v>EC</v>
      </c>
      <c r="AH57" s="237" t="str">
        <f t="shared" si="5"/>
        <v>"%USERPROFILE%\Documents\GitHub\eaglep3\Utilities\RefineRTDCRunTimes.py" --tripid 145-24 --locoid 4064 --swversion DE.1.0.9.0 --startMP 204:493 --initTime 2017-11-24T09:13:52 --startdatetime 2017-11-24T09:16:04 --delay 76 --endMP 204:233188 --enddatetime 2017-11-24T09:52:33 --enforcementcount 0 &gt;&gt;%USERPROFILE%\Documents\GitHub\eaglep3-reporting\EC\2017-11-24-refined-times.txt</v>
      </c>
      <c r="AI57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{"issue":{"subject":"","project_id":79,"tracker_id":40,"status_id":1,"priority_id":2,"assigned_to_id":338,"start_date":"2017-11-24","description":"","custom_fields":[{"id":1,"name":"Subdivision","value":"EC"},{"id":4,"name":"Milepost","value":"23.3188"},{"id":17,"name":"Train ID","value":"145-24"},{"id":16,"name":"Locomotive ID","value":"4064"},{"id":130,"name":"Impact","value":""},{"id":150,"name":"Time of Event (Mountain Time)","value":"09:52:33"},{"id":151,"name":"Denver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4"/>
      <c r="AK57" s="232"/>
      <c r="AL57" s="232"/>
      <c r="AM57" s="241" t="str">
        <f t="shared" si="7"/>
        <v>start /low /b %USERPROFILE%\Documents\GitHub\eaglep3\Utilities\DownloadLogsFromS3.py --loco 4064 --day 2017-11-24</v>
      </c>
      <c r="AN57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16:52:33"},{"id":29,"name":"Sharepoint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1" t="str">
        <f t="shared" si="9"/>
        <v>https://d0f6bd738d7f1b3e5a7ca70fe4ff75f0.us-east-1.aws.found.io/app/kibana#/discover/Steve-Slow-Train-Analysis-(2080s-and-2083s)?_g=(refreshInterval:(display:Off,pause:!f,section:0,value:0),time:(from:'2017-11-24T08:13:52-0700',mode:absolute,to:'2017-11-24T10:52:33-0700'))&amp;_a=(columns:!('Message%20ID',Summary),filters:!(),index:'emp_*',interval:auto,query:(query_string:(analyze_wildcard:!t,query:'%22rtdc.l.rtdc.4064%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30" t="s">
        <v>776</v>
      </c>
      <c r="B58" s="226">
        <v>4063</v>
      </c>
      <c r="C58" s="228" t="s">
        <v>192</v>
      </c>
      <c r="D58" s="228" t="s">
        <v>964</v>
      </c>
      <c r="E58" s="227">
        <v>43063.41269675926</v>
      </c>
      <c r="F58" s="227">
        <v>43063.425162037034</v>
      </c>
      <c r="G58" s="226">
        <v>74</v>
      </c>
      <c r="H58" s="228" t="s">
        <v>965</v>
      </c>
      <c r="I58" s="227">
        <v>43063.451724537037</v>
      </c>
      <c r="J58" s="226">
        <v>0</v>
      </c>
      <c r="K58" s="238" t="str">
        <f>IF(ISEVEN(B58),(B58-1)&amp;"/"&amp;B58,B58&amp;"/"&amp;(B58+1))</f>
        <v>4063/4064</v>
      </c>
      <c r="L58" s="246" t="str">
        <f>VLOOKUP(A58,'Trips&amp;Operators'!$C$1:$G$99911,5,FALSE)</f>
        <v>NICHOLAS PLOYSA</v>
      </c>
      <c r="M58" s="225">
        <f>I58-F58</f>
        <v>2.6562500002910383E-2</v>
      </c>
      <c r="N58" s="226">
        <f>24*60*SUM($M58:$M58)</f>
        <v>38.250000004190952</v>
      </c>
      <c r="O58" s="226"/>
      <c r="P58" s="226"/>
      <c r="Q58" s="229"/>
      <c r="R58" s="243"/>
      <c r="S58" s="250">
        <f>1/IF(AG58="EC",12,1)*SUM(U58:U58)</f>
        <v>1</v>
      </c>
      <c r="T58" s="243" t="str">
        <f>IF(ISEVEN(LEFT(AD58,4)),"Southbound","NorthBound")</f>
        <v>Southbound</v>
      </c>
      <c r="U58" s="24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9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-11-24T08:54:17-0700',mode:absolute,to:'2017-11-24T11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8" s="248" t="str">
        <f>IF(AA58&lt;VLOOKUP(AG58,Variables!$AC$3:$AD$8,2,FALSE),"Y","N")</f>
        <v>N</v>
      </c>
      <c r="X58" s="248">
        <f>VALUE(LEFT(AD58,4))-VALUE(LEFT(AD57,4))</f>
        <v>1</v>
      </c>
      <c r="Y58" s="248">
        <f>RIGHT(D58,LEN(D58)-4)/10000</f>
        <v>23.285699999999999</v>
      </c>
      <c r="Z58" s="248">
        <f>RIGHT(H58,LEN(H58)-4)/10000</f>
        <v>3.4200000000000001E-2</v>
      </c>
      <c r="AA58" s="248">
        <f>ABS(Z58-Y58)</f>
        <v>23.2515</v>
      </c>
      <c r="AB58" s="234" t="e">
        <f>VLOOKUP(A58,Enforcements!$C$7:$K$9,8,0)</f>
        <v>#N/A</v>
      </c>
      <c r="AC58" s="233" t="e">
        <f>VLOOKUP(A58,Enforcements!$C$7:$E$9,3,0)</f>
        <v>#N/A</v>
      </c>
      <c r="AD58" s="244">
        <f>VALUE(LEFT(A58,LEN(A58)-3))</f>
        <v>146</v>
      </c>
      <c r="AE58" s="236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s3://rtdc.mdm.uploadarchive.raw/RTDC4063/ "%USERPROFILE%\AppData\Local\Temp\OnboardLogs"\RTDC4063\2017-11-24 --exclude "*" --recursive --include "*20171124*" &amp; "%USERPROFILE%\Documents\GitHub\mrs-test-scripts\Headless Mode &amp; Sideloading\WalkAndUnGZ.bat" "%USERPROFILE%\AppData\Local\Temp\OnboardLogs"\RTDC4063\2017-11-24 &amp; aws s3 cp s3://rtdc.mdm.uploadarchive.raw/RTDC4063/ "%USERPROFILE%\AppData\Local\Temp\OnboardLogs"\RTDC4063\2017-11-25 --exclude "*" --recursive --include "*20171125*" &amp; "%USERPROFILE%\Documents\GitHub\mrs-test-scripts\Headless Mode &amp; Sideloading\WalkAndUnGZ.bat" "%USERPROFILE%\AppData\Local\Temp\OnboardLogs"\RTDC4063\2017-11-25</v>
      </c>
      <c r="AF58" s="235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/stypes="app*4063*20171124*" /stext=" 17:.+((SYSTEM_STATE.+slice.+state.+changed )|(ment ac)|(multiple cpu faults)|(system.+state.+changed )|(\[timeout)|(PRM\|1\|D)|(kpr)|(kdp)|(train st.+moving)|(\|lc)|(penalty))"</v>
      </c>
      <c r="AG58" s="245" t="str">
        <f>DetSubdiv(A58)</f>
        <v>EC</v>
      </c>
      <c r="AH58" s="237" t="str">
        <f t="shared" si="5"/>
        <v>"%USERPROFILE%\Documents\GitHub\eaglep3\Utilities\RefineRTDCRunTimes.py" --tripid 146-24 --locoid 4063 --swversion DE.1.0.9.0 --startMP 204:232857 --initTime 2017-11-24T09:54:17 --startdatetime 2017-11-24T10:12:14 --delay 74 --endMP 204:342 --enddatetime 2017-11-24T10:50:29 --enforcementcount 0 &gt;&gt;%USERPROFILE%\Documents\GitHub\eaglep3-reporting\EC\2017-11-24-refined-times.txt</v>
      </c>
      <c r="AI58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{"issue":{"subject":"","project_id":79,"tracker_id":40,"status_id":1,"priority_id":2,"assigned_to_id":338,"start_date":"2017-11-24","description":"","custom_fields":[{"id":1,"name":"Subdivision","value":"EC"},{"id":4,"name":"Milepost","value":"0.0342"},{"id":17,"name":"Train ID","value":"146-24"},{"id":16,"name":"Locomotive ID","value":"4063"},{"id":130,"name":"Impact","value":""},{"id":150,"name":"Time of Event (Mountain Time)","value":"10:50:29"},{"id":151,"name":"Denver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4"/>
      <c r="AK58" s="232"/>
      <c r="AL58" s="232"/>
      <c r="AM58" s="241" t="str">
        <f t="shared" si="7"/>
        <v>start /low /b %USERPROFILE%\Documents\GitHub\eaglep3\Utilities\DownloadLogsFromS3.py --loco 4063 --day 2017-11-24</v>
      </c>
      <c r="AN58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17:50:29"},{"id":29,"name":"Sharepoint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1" t="str">
        <f t="shared" si="9"/>
        <v>https://d0f6bd738d7f1b3e5a7ca70fe4ff75f0.us-east-1.aws.found.io/app/kibana#/discover/Steve-Slow-Train-Analysis-(2080s-and-2083s)?_g=(refreshInterval:(display:Off,pause:!f,section:0,value:0),time:(from:'2017-11-24T08:54:17-0700',mode:absolute,to:'2017-11-24T11:50:29-0700'))&amp;_a=(columns:!('Message%20ID',Summary),filters:!(),index:'emp_*',interval:auto,query:(query_string:(analyze_wildcard:!t,query:'%22rtdc.l.rtdc.4063%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30" t="s">
        <v>663</v>
      </c>
      <c r="B59" s="226">
        <v>4010</v>
      </c>
      <c r="C59" s="228" t="s">
        <v>192</v>
      </c>
      <c r="D59" s="228" t="s">
        <v>958</v>
      </c>
      <c r="E59" s="227">
        <v>43063.394004629627</v>
      </c>
      <c r="F59" s="227">
        <v>43063.396018518521</v>
      </c>
      <c r="G59" s="226">
        <v>68</v>
      </c>
      <c r="H59" s="228" t="s">
        <v>955</v>
      </c>
      <c r="I59" s="227">
        <v>43063.421956018516</v>
      </c>
      <c r="J59" s="226">
        <v>0</v>
      </c>
      <c r="K59" s="238" t="str">
        <f>IF(ISEVEN(B59),(B59-1)&amp;"/"&amp;B59,B59&amp;"/"&amp;(B59+1))</f>
        <v>4009/4010</v>
      </c>
      <c r="L59" s="246" t="str">
        <f>VLOOKUP(A59,'Trips&amp;Operators'!$C$1:$G$99911,5,FALSE)</f>
        <v>STARKS ANGELINA</v>
      </c>
      <c r="M59" s="225">
        <f>I59-F59</f>
        <v>2.5937499995052349E-2</v>
      </c>
      <c r="N59" s="226">
        <f>24*60*SUM($M59:$M59)</f>
        <v>37.349999992875382</v>
      </c>
      <c r="O59" s="226"/>
      <c r="P59" s="226"/>
      <c r="Q59" s="229"/>
      <c r="R59" s="243"/>
      <c r="S59" s="250">
        <f>1/IF(AG59="EC",12,1)*SUM(U59:U59)</f>
        <v>1</v>
      </c>
      <c r="T59" s="243" t="str">
        <f>IF(ISEVEN(LEFT(AD59,4)),"Southbound","NorthBound")</f>
        <v>NorthBound</v>
      </c>
      <c r="U59" s="24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9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-11-24T08:27:22-0700',mode:absolute,to:'2017-11-24T11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9" s="248" t="str">
        <f>IF(AA59&lt;VLOOKUP(AG59,Variables!$AC$3:$AD$8,2,FALSE),"Y","N")</f>
        <v>N</v>
      </c>
      <c r="X59" s="248">
        <f>VALUE(LEFT(AD59,4))-VALUE(LEFT(AD58,4))</f>
        <v>1</v>
      </c>
      <c r="Y59" s="248">
        <f>RIGHT(D59,LEN(D59)-4)/10000</f>
        <v>4.4400000000000002E-2</v>
      </c>
      <c r="Z59" s="248">
        <f>RIGHT(H59,LEN(H59)-4)/10000</f>
        <v>23.3293</v>
      </c>
      <c r="AA59" s="248">
        <f>ABS(Z59-Y59)</f>
        <v>23.2849</v>
      </c>
      <c r="AB59" s="234" t="e">
        <f>VLOOKUP(A59,Enforcements!$C$7:$K$9,8,0)</f>
        <v>#N/A</v>
      </c>
      <c r="AC59" s="233" t="e">
        <f>VLOOKUP(A59,Enforcements!$C$7:$E$9,3,0)</f>
        <v>#N/A</v>
      </c>
      <c r="AD59" s="244">
        <f>VALUE(LEFT(A59,LEN(A59)-3))</f>
        <v>147</v>
      </c>
      <c r="AE59" s="236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s3://rtdc.mdm.uploadarchive.raw/RTDC4010/ "%USERPROFILE%\AppData\Local\Temp\OnboardLogs"\RTDC4010\2017-11-24 --exclude "*" --recursive --include "*20171124*" &amp; "%USERPROFILE%\Documents\GitHub\mrs-test-scripts\Headless Mode &amp; Sideloading\WalkAndUnGZ.bat" "%USERPROFILE%\AppData\Local\Temp\OnboardLogs"\RTDC4010\2017-11-24 &amp; aws s3 cp s3://rtdc.mdm.uploadarchive.raw/RTDC4010/ "%USERPROFILE%\AppData\Local\Temp\OnboardLogs"\RTDC4010\2017-11-25 --exclude "*" --recursive --include "*20171125*" &amp; "%USERPROFILE%\Documents\GitHub\mrs-test-scripts\Headless Mode &amp; Sideloading\WalkAndUnGZ.bat" "%USERPROFILE%\AppData\Local\Temp\OnboardLogs"\RTDC4010\2017-11-25</v>
      </c>
      <c r="AF59" s="235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/stypes="app*4010*20171124*" /stext=" 17:.+((SYSTEM_STATE.+slice.+state.+changed )|(ment ac)|(multiple cpu faults)|(system.+state.+changed )|(\[timeout)|(PRM\|1\|D)|(kpr)|(kdp)|(train st.+moving)|(\|lc)|(penalty))"</v>
      </c>
      <c r="AG59" s="245" t="str">
        <f>DetSubdiv(A59)</f>
        <v>EC</v>
      </c>
      <c r="AH59" s="237" t="str">
        <f t="shared" si="5"/>
        <v>"%USERPROFILE%\Documents\GitHub\eaglep3\Utilities\RefineRTDCRunTimes.py" --tripid 147-24 --locoid 4010 --swversion DE.1.0.9.0 --startMP 204:444 --initTime 2017-11-24T09:27:22 --startdatetime 2017-11-24T09:30:16 --delay 68 --endMP 204:233293 --enddatetime 2017-11-24T10:07:37 --enforcementcount 0 &gt;&gt;%USERPROFILE%\Documents\GitHub\eaglep3-reporting\EC\2017-11-24-refined-times.txt</v>
      </c>
      <c r="AI59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{"issue":{"subject":"","project_id":79,"tracker_id":40,"status_id":1,"priority_id":2,"assigned_to_id":338,"start_date":"2017-11-24","description":"","custom_fields":[{"id":1,"name":"Subdivision","value":"EC"},{"id":4,"name":"Milepost","value":"23.3293"},{"id":17,"name":"Train ID","value":"147-24"},{"id":16,"name":"Locomotive ID","value":"4010"},{"id":130,"name":"Impact","value":""},{"id":150,"name":"Time of Event (Mountain Time)","value":"10:07:37"},{"id":151,"name":"Denver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4"/>
      <c r="AK59" s="232"/>
      <c r="AL59" s="232"/>
      <c r="AM59" s="241" t="str">
        <f t="shared" si="7"/>
        <v>start /low /b %USERPROFILE%\Documents\GitHub\eaglep3\Utilities\DownloadLogsFromS3.py --loco 4010 --day 2017-11-24</v>
      </c>
      <c r="AN59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17:07:37"},{"id":29,"name":"Sharepoint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1" t="str">
        <f t="shared" si="9"/>
        <v>https://d0f6bd738d7f1b3e5a7ca70fe4ff75f0.us-east-1.aws.found.io/app/kibana#/discover/Steve-Slow-Train-Analysis-(2080s-and-2083s)?_g=(refreshInterval:(display:Off,pause:!f,section:0,value:0),time:(from:'2017-11-24T08:27:22-0700',mode:absolute,to:'2017-11-24T11:07:37-0700'))&amp;_a=(columns:!('Message%20ID',Summary),filters:!(),index:'emp_*',interval:auto,query:(query_string:(analyze_wildcard:!t,query:'%22rtdc.l.rtdc.4010%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30" t="s">
        <v>665</v>
      </c>
      <c r="B60" s="226">
        <v>4009</v>
      </c>
      <c r="C60" s="228" t="s">
        <v>192</v>
      </c>
      <c r="D60" s="228" t="s">
        <v>474</v>
      </c>
      <c r="E60" s="227">
        <v>43063.434050925927</v>
      </c>
      <c r="F60" s="227">
        <v>43063.435798611114</v>
      </c>
      <c r="G60" s="226">
        <v>58</v>
      </c>
      <c r="H60" s="228" t="s">
        <v>959</v>
      </c>
      <c r="I60" s="227">
        <v>43063.466469907406</v>
      </c>
      <c r="J60" s="226">
        <v>0</v>
      </c>
      <c r="K60" s="238" t="str">
        <f>IF(ISEVEN(B60),(B60-1)&amp;"/"&amp;B60,B60&amp;"/"&amp;(B60+1))</f>
        <v>4009/4010</v>
      </c>
      <c r="L60" s="246" t="str">
        <f>VLOOKUP(A60,'Trips&amp;Operators'!$C$1:$G$99911,5,FALSE)</f>
        <v>STARKS ANGELINA</v>
      </c>
      <c r="M60" s="225">
        <f>I60-F60</f>
        <v>3.0671296291984618E-2</v>
      </c>
      <c r="N60" s="226">
        <f>24*60*SUM($M60:$M60)</f>
        <v>44.16666666045785</v>
      </c>
      <c r="O60" s="226"/>
      <c r="P60" s="226"/>
      <c r="Q60" s="229"/>
      <c r="R60" s="243"/>
      <c r="S60" s="250">
        <f>1/IF(AG60="EC",12,1)*SUM(U60:U60)</f>
        <v>1</v>
      </c>
      <c r="T60" s="243" t="str">
        <f>IF(ISEVEN(LEFT(AD60,4)),"Southbound","NorthBound")</f>
        <v>Southbound</v>
      </c>
      <c r="U60" s="24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9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-11-24T09:25:02-0700',mode:absolute,to:'2017-11-24T12:11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0" s="248" t="str">
        <f>IF(AA60&lt;VLOOKUP(AG60,Variables!$AC$3:$AD$8,2,FALSE),"Y","N")</f>
        <v>N</v>
      </c>
      <c r="X60" s="248">
        <f>VALUE(LEFT(AD60,4))-VALUE(LEFT(AD59,4))</f>
        <v>1</v>
      </c>
      <c r="Y60" s="248">
        <f>RIGHT(D60,LEN(D60)-4)/10000</f>
        <v>23.298100000000002</v>
      </c>
      <c r="Z60" s="248">
        <f>RIGHT(H60,LEN(H60)-4)/10000</f>
        <v>1.47E-2</v>
      </c>
      <c r="AA60" s="248">
        <f>ABS(Z60-Y60)</f>
        <v>23.2834</v>
      </c>
      <c r="AB60" s="234" t="str">
        <f>VLOOKUP(A60,Enforcements!$C$7:$K$9,8,0)</f>
        <v>Bulletin (2)</v>
      </c>
      <c r="AC60" s="233" t="str">
        <f>VLOOKUP(A60,Enforcements!$C$7:$E$9,3,0)</f>
        <v>GRADE CROSSING</v>
      </c>
      <c r="AD60" s="244">
        <f>VALUE(LEFT(A60,LEN(A60)-3))</f>
        <v>148</v>
      </c>
      <c r="AE60" s="236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s3://rtdc.mdm.uploadarchive.raw/RTDC4009/ "%USERPROFILE%\AppData\Local\Temp\OnboardLogs"\RTDC4009\2017-11-24 --exclude "*" --recursive --include "*20171124*" &amp; "%USERPROFILE%\Documents\GitHub\mrs-test-scripts\Headless Mode &amp; Sideloading\WalkAndUnGZ.bat" "%USERPROFILE%\AppData\Local\Temp\OnboardLogs"\RTDC4009\2017-11-24 &amp; aws s3 cp s3://rtdc.mdm.uploadarchive.raw/RTDC4009/ "%USERPROFILE%\AppData\Local\Temp\OnboardLogs"\RTDC4009\2017-11-25 --exclude "*" --recursive --include "*20171125*" &amp; "%USERPROFILE%\Documents\GitHub\mrs-test-scripts\Headless Mode &amp; Sideloading\WalkAndUnGZ.bat" "%USERPROFILE%\AppData\Local\Temp\OnboardLogs"\RTDC4009\2017-11-25</v>
      </c>
      <c r="AF60" s="235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/stypes="app*4009*20171124*" /stext=" 18:.+((SYSTEM_STATE.+slice.+state.+changed )|(ment ac)|(multiple cpu faults)|(system.+state.+changed )|(\[timeout)|(PRM\|1\|D)|(kpr)|(kdp)|(train st.+moving)|(\|lc)|(penalty))"</v>
      </c>
      <c r="AG60" s="245" t="str">
        <f>DetSubdiv(A60)</f>
        <v>EC</v>
      </c>
      <c r="AH60" s="237" t="str">
        <f t="shared" si="5"/>
        <v>"%USERPROFILE%\Documents\GitHub\eaglep3\Utilities\RefineRTDCRunTimes.py" --tripid 148-24 --locoid 4009 --swversion DE.1.0.9.0 --startMP 204:232981 --initTime 2017-11-24T10:25:02 --startdatetime 2017-11-24T10:27:33 --delay 58 --endMP 204:147 --enddatetime 2017-11-24T11:11:43 --enforcementcount 0 &gt;&gt;%USERPROFILE%\Documents\GitHub\eaglep3-reporting\EC\2017-11-24-refined-times.txt</v>
      </c>
      <c r="AI60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{"issue":{"subject":"","project_id":79,"tracker_id":40,"status_id":1,"priority_id":2,"assigned_to_id":338,"start_date":"2017-11-24","description":"","custom_fields":[{"id":1,"name":"Subdivision","value":"EC"},{"id":4,"name":"Milepost","value":"0.0147"},{"id":17,"name":"Train ID","value":"148-24"},{"id":16,"name":"Locomotive ID","value":"4009"},{"id":130,"name":"Impact","value":""},{"id":150,"name":"Time of Event (Mountain Time)","value":"11:11:43"},{"id":151,"name":"Denver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4"/>
      <c r="AK60" s="232"/>
      <c r="AL60" s="232"/>
      <c r="AM60" s="241" t="str">
        <f t="shared" si="7"/>
        <v>start /low /b %USERPROFILE%\Documents\GitHub\eaglep3\Utilities\DownloadLogsFromS3.py --loco 4009 --day 2017-11-24</v>
      </c>
      <c r="AN60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18:11:43"},{"id":29,"name":"Sharepoint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1" t="str">
        <f t="shared" si="9"/>
        <v>https://d0f6bd738d7f1b3e5a7ca70fe4ff75f0.us-east-1.aws.found.io/app/kibana#/discover/Steve-Slow-Train-Analysis-(2080s-and-2083s)?_g=(refreshInterval:(display:Off,pause:!f,section:0,value:0),time:(from:'2017-11-24T09:25:02-0700',mode:absolute,to:'2017-11-24T12:11:43-0700'))&amp;_a=(columns:!('Message%20ID',Summary),filters:!(),index:'emp_*',interval:auto,query:(query_string:(analyze_wildcard:!t,query:'%22rtdc.l.rtdc.4009%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30" t="s">
        <v>771</v>
      </c>
      <c r="B61" s="226">
        <v>4036</v>
      </c>
      <c r="C61" s="228" t="s">
        <v>192</v>
      </c>
      <c r="D61" s="228" t="s">
        <v>939</v>
      </c>
      <c r="E61" s="227">
        <v>43063.401747685188</v>
      </c>
      <c r="F61" s="227">
        <v>43063.406400462962</v>
      </c>
      <c r="G61" s="226">
        <v>80</v>
      </c>
      <c r="H61" s="228" t="s">
        <v>966</v>
      </c>
      <c r="I61" s="227">
        <v>43063.431956018518</v>
      </c>
      <c r="J61" s="226">
        <v>0</v>
      </c>
      <c r="K61" s="238" t="str">
        <f>IF(ISEVEN(B61),(B61-1)&amp;"/"&amp;B61,B61&amp;"/"&amp;(B61+1))</f>
        <v>4035/4036</v>
      </c>
      <c r="L61" s="246" t="str">
        <f>VLOOKUP(A61,'Trips&amp;Operators'!$C$1:$G$99911,5,FALSE)</f>
        <v>LONG FULLER</v>
      </c>
      <c r="M61" s="225">
        <f>I61-F61</f>
        <v>2.5555555555911269E-2</v>
      </c>
      <c r="N61" s="226">
        <f>24*60*SUM($M61:$M61)</f>
        <v>36.800000000512227</v>
      </c>
      <c r="O61" s="226"/>
      <c r="P61" s="226"/>
      <c r="Q61" s="229"/>
      <c r="R61" s="243"/>
      <c r="S61" s="250">
        <f>1/IF(AG61="EC",12,1)*SUM(U61:U61)</f>
        <v>1</v>
      </c>
      <c r="T61" s="243" t="str">
        <f>IF(ISEVEN(LEFT(AD61,4)),"Southbound","NorthBound")</f>
        <v>NorthBound</v>
      </c>
      <c r="U61" s="24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9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-11-24T08:38:31-0700',mode:absolute,to:'2017-11-24T11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1" s="248" t="str">
        <f>IF(AA61&lt;VLOOKUP(AG61,Variables!$AC$3:$AD$8,2,FALSE),"Y","N")</f>
        <v>N</v>
      </c>
      <c r="X61" s="248">
        <f>VALUE(LEFT(AD61,4))-VALUE(LEFT(AD60,4))</f>
        <v>1</v>
      </c>
      <c r="Y61" s="248">
        <f>RIGHT(D61,LEN(D61)-4)/10000</f>
        <v>4.3499999999999997E-2</v>
      </c>
      <c r="Z61" s="248">
        <f>RIGHT(H61,LEN(H61)-4)/10000</f>
        <v>23.329899999999999</v>
      </c>
      <c r="AA61" s="248">
        <f>ABS(Z61-Y61)</f>
        <v>23.286399999999997</v>
      </c>
      <c r="AB61" s="234" t="e">
        <f>VLOOKUP(A61,Enforcements!$C$7:$K$9,8,0)</f>
        <v>#N/A</v>
      </c>
      <c r="AC61" s="233" t="e">
        <f>VLOOKUP(A61,Enforcements!$C$7:$E$9,3,0)</f>
        <v>#N/A</v>
      </c>
      <c r="AD61" s="244">
        <f>VALUE(LEFT(A61,LEN(A61)-3))</f>
        <v>149</v>
      </c>
      <c r="AE61" s="236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 &amp; aws s3 cp s3://rtdc.mdm.uploadarchive.raw/RTDC4036/ "%USERPROFILE%\AppData\Local\Temp\OnboardLogs"\RTDC4036\2017-11-25 --exclude "*" --recursive --include "*20171125*" &amp; "%USERPROFILE%\Documents\GitHub\mrs-test-scripts\Headless Mode &amp; Sideloading\WalkAndUnGZ.bat" "%USERPROFILE%\AppData\Local\Temp\OnboardLogs"\RTDC4036\2017-11-25</v>
      </c>
      <c r="AF61" s="235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/stypes="app*4036*20171124*" /stext=" 17:.+((SYSTEM_STATE.+slice.+state.+changed )|(ment ac)|(multiple cpu faults)|(system.+state.+changed )|(\[timeout)|(PRM\|1\|D)|(kpr)|(kdp)|(train st.+moving)|(\|lc)|(penalty))"</v>
      </c>
      <c r="AG61" s="245" t="str">
        <f>DetSubdiv(A61)</f>
        <v>EC</v>
      </c>
      <c r="AH61" s="237" t="str">
        <f t="shared" si="5"/>
        <v>"%USERPROFILE%\Documents\GitHub\eaglep3\Utilities\RefineRTDCRunTimes.py" --tripid 149-24 --locoid 4036 --swversion DE.1.0.9.0 --startMP 204:435 --initTime 2017-11-24T09:38:31 --startdatetime 2017-11-24T09:45:13 --delay 80 --endMP 204:233299 --enddatetime 2017-11-24T10:22:01 --enforcementcount 0 &gt;&gt;%USERPROFILE%\Documents\GitHub\eaglep3-reporting\EC\2017-11-24-refined-times.txt</v>
      </c>
      <c r="AI61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{"issue":{"subject":"","project_id":79,"tracker_id":40,"status_id":1,"priority_id":2,"assigned_to_id":338,"start_date":"2017-11-24","description":"","custom_fields":[{"id":1,"name":"Subdivision","value":"EC"},{"id":4,"name":"Milepost","value":"23.3299"},{"id":17,"name":"Train ID","value":"149-24"},{"id":16,"name":"Locomotive ID","value":"4036"},{"id":130,"name":"Impact","value":""},{"id":150,"name":"Time of Event (Mountain Time)","value":"10:22:01"},{"id":151,"name":"Denver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4"/>
      <c r="AK61" s="232"/>
      <c r="AL61" s="232"/>
      <c r="AM61" s="241" t="str">
        <f t="shared" si="7"/>
        <v>start /low /b %USERPROFILE%\Documents\GitHub\eaglep3\Utilities\DownloadLogsFromS3.py --loco 4036 --day 2017-11-24</v>
      </c>
      <c r="AN61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17:22:01"},{"id":29,"name":"Sharepoint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1" t="str">
        <f t="shared" si="9"/>
        <v>https://d0f6bd738d7f1b3e5a7ca70fe4ff75f0.us-east-1.aws.found.io/app/kibana#/discover/Steve-Slow-Train-Analysis-(2080s-and-2083s)?_g=(refreshInterval:(display:Off,pause:!f,section:0,value:0),time:(from:'2017-11-24T08:38:31-0700',mode:absolute,to:'2017-11-24T11:22:01-0700'))&amp;_a=(columns:!('Message%20ID',Summary),filters:!(),index:'emp_*',interval:auto,query:(query_string:(analyze_wildcard:!t,query:'%22rtdc.l.rtdc.4036%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30" t="s">
        <v>784</v>
      </c>
      <c r="B62" s="226">
        <v>4035</v>
      </c>
      <c r="C62" s="228" t="s">
        <v>192</v>
      </c>
      <c r="D62" s="228" t="s">
        <v>967</v>
      </c>
      <c r="E62" s="227">
        <v>43063.43891203704</v>
      </c>
      <c r="F62" s="227">
        <v>43063.446006944447</v>
      </c>
      <c r="G62" s="226">
        <v>94</v>
      </c>
      <c r="H62" s="228" t="s">
        <v>968</v>
      </c>
      <c r="I62" s="227">
        <v>43063.473703703705</v>
      </c>
      <c r="J62" s="226">
        <v>0</v>
      </c>
      <c r="K62" s="238" t="str">
        <f>IF(ISEVEN(B62),(B62-1)&amp;"/"&amp;B62,B62&amp;"/"&amp;(B62+1))</f>
        <v>4035/4036</v>
      </c>
      <c r="L62" s="246" t="str">
        <f>VLOOKUP(A62,'Trips&amp;Operators'!$C$1:$G$99911,5,FALSE)</f>
        <v>LONG FULLER</v>
      </c>
      <c r="M62" s="225">
        <f>I62-F62</f>
        <v>2.7696759258105885E-2</v>
      </c>
      <c r="N62" s="226">
        <f>24*60*SUM($M62:$M62)</f>
        <v>39.883333331672475</v>
      </c>
      <c r="O62" s="226"/>
      <c r="P62" s="226"/>
      <c r="Q62" s="229"/>
      <c r="R62" s="243"/>
      <c r="S62" s="250">
        <f>1/IF(AG62="EC",12,1)*SUM(U62:U62)</f>
        <v>1</v>
      </c>
      <c r="T62" s="243" t="str">
        <f>IF(ISEVEN(LEFT(AD62,4)),"Southbound","NorthBound")</f>
        <v>Southbound</v>
      </c>
      <c r="U62" s="24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9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-11-24T09:32:02-0700',mode:absolute,to:'2017-11-24T12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2" s="248" t="str">
        <f>IF(AA62&lt;VLOOKUP(AG62,Variables!$AC$3:$AD$8,2,FALSE),"Y","N")</f>
        <v>N</v>
      </c>
      <c r="X62" s="248">
        <f>VALUE(LEFT(AD62,4))-VALUE(LEFT(AD61,4))</f>
        <v>1</v>
      </c>
      <c r="Y62" s="248">
        <f>RIGHT(D62,LEN(D62)-4)/10000</f>
        <v>23.298400000000001</v>
      </c>
      <c r="Z62" s="248">
        <f>RIGHT(H62,LEN(H62)-4)/10000</f>
        <v>3.44E-2</v>
      </c>
      <c r="AA62" s="248">
        <f>ABS(Z62-Y62)</f>
        <v>23.263999999999999</v>
      </c>
      <c r="AB62" s="234" t="e">
        <f>VLOOKUP(A62,Enforcements!$C$7:$K$9,8,0)</f>
        <v>#N/A</v>
      </c>
      <c r="AC62" s="233" t="e">
        <f>VLOOKUP(A62,Enforcements!$C$7:$E$9,3,0)</f>
        <v>#N/A</v>
      </c>
      <c r="AD62" s="244">
        <f>VALUE(LEFT(A62,LEN(A62)-3))</f>
        <v>150</v>
      </c>
      <c r="AE62" s="236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 &amp; aws s3 cp s3://rtdc.mdm.uploadarchive.raw/RTDC4035/ "%USERPROFILE%\AppData\Local\Temp\OnboardLogs"\RTDC4035\2017-11-25 --exclude "*" --recursive --include "*20171125*" &amp; "%USERPROFILE%\Documents\GitHub\mrs-test-scripts\Headless Mode &amp; Sideloading\WalkAndUnGZ.bat" "%USERPROFILE%\AppData\Local\Temp\OnboardLogs"\RTDC4035\2017-11-25</v>
      </c>
      <c r="AF62" s="235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/stypes="app*4035*20171124*" /stext=" 18:.+((SYSTEM_STATE.+slice.+state.+changed )|(ment ac)|(multiple cpu faults)|(system.+state.+changed )|(\[timeout)|(PRM\|1\|D)|(kpr)|(kdp)|(train st.+moving)|(\|lc)|(penalty))"</v>
      </c>
      <c r="AG62" s="245" t="str">
        <f>DetSubdiv(A62)</f>
        <v>EC</v>
      </c>
      <c r="AH62" s="237" t="str">
        <f t="shared" si="5"/>
        <v>"%USERPROFILE%\Documents\GitHub\eaglep3\Utilities\RefineRTDCRunTimes.py" --tripid 150-24 --locoid 4035 --swversion DE.1.0.9.0 --startMP 204:232984 --initTime 2017-11-24T10:32:02 --startdatetime 2017-11-24T10:42:15 --delay 94 --endMP 204:344 --enddatetime 2017-11-24T11:22:08 --enforcementcount 0 &gt;&gt;%USERPROFILE%\Documents\GitHub\eaglep3-reporting\EC\2017-11-24-refined-times.txt</v>
      </c>
      <c r="AI62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{"issue":{"subject":"","project_id":79,"tracker_id":40,"status_id":1,"priority_id":2,"assigned_to_id":338,"start_date":"2017-11-24","description":"","custom_fields":[{"id":1,"name":"Subdivision","value":"EC"},{"id":4,"name":"Milepost","value":"0.0344"},{"id":17,"name":"Train ID","value":"150-24"},{"id":16,"name":"Locomotive ID","value":"4035"},{"id":130,"name":"Impact","value":""},{"id":150,"name":"Time of Event (Mountain Time)","value":"11:22:08"},{"id":151,"name":"Denver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4"/>
      <c r="AK62" s="232"/>
      <c r="AL62" s="232"/>
      <c r="AM62" s="241" t="str">
        <f t="shared" si="7"/>
        <v>start /low /b %USERPROFILE%\Documents\GitHub\eaglep3\Utilities\DownloadLogsFromS3.py --loco 4035 --day 2017-11-24</v>
      </c>
      <c r="AN62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18:22:08"},{"id":29,"name":"Sharepoint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1" t="str">
        <f t="shared" si="9"/>
        <v>https://d0f6bd738d7f1b3e5a7ca70fe4ff75f0.us-east-1.aws.found.io/app/kibana#/discover/Steve-Slow-Train-Analysis-(2080s-and-2083s)?_g=(refreshInterval:(display:Off,pause:!f,section:0,value:0),time:(from:'2017-11-24T09:32:02-0700',mode:absolute,to:'2017-11-24T12:22:08-0700'))&amp;_a=(columns:!('Message%20ID',Summary),filters:!(),index:'emp_*',interval:auto,query:(query_string:(analyze_wildcard:!t,query:'%22rtdc.l.rtdc.4035%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30" t="s">
        <v>775</v>
      </c>
      <c r="B63" s="226">
        <v>4002</v>
      </c>
      <c r="C63" s="228" t="s">
        <v>192</v>
      </c>
      <c r="D63" s="228" t="s">
        <v>597</v>
      </c>
      <c r="E63" s="227">
        <v>43063.412546296298</v>
      </c>
      <c r="F63" s="227">
        <v>43063.416875000003</v>
      </c>
      <c r="G63" s="226">
        <v>81</v>
      </c>
      <c r="H63" s="228" t="s">
        <v>969</v>
      </c>
      <c r="I63" s="227">
        <v>43063.442326388889</v>
      </c>
      <c r="J63" s="226">
        <v>0</v>
      </c>
      <c r="K63" s="238" t="str">
        <f>IF(ISEVEN(B63),(B63-1)&amp;"/"&amp;B63,B63&amp;"/"&amp;(B63+1))</f>
        <v>4001/4002</v>
      </c>
      <c r="L63" s="246" t="str">
        <f>VLOOKUP(A63,'Trips&amp;Operators'!$C$1:$G$99911,5,FALSE)</f>
        <v>ANDREA WILLIAMS</v>
      </c>
      <c r="M63" s="225">
        <f>I63-F63</f>
        <v>2.545138888672227E-2</v>
      </c>
      <c r="N63" s="226">
        <f>24*60*SUM($M63:$M63)</f>
        <v>36.649999996880069</v>
      </c>
      <c r="O63" s="226"/>
      <c r="P63" s="226"/>
      <c r="Q63" s="229"/>
      <c r="R63" s="243"/>
      <c r="S63" s="250">
        <f>1/IF(AG63="EC",12,1)*SUM(U63:U63)</f>
        <v>1</v>
      </c>
      <c r="T63" s="243" t="str">
        <f>IF(ISEVEN(LEFT(AD63,4)),"Southbound","NorthBound")</f>
        <v>NorthBound</v>
      </c>
      <c r="U63" s="24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9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-11-24T08:54:04-0700',mode:absolute,to:'2017-11-24T11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3" s="248" t="str">
        <f>IF(AA63&lt;VLOOKUP(AG63,Variables!$AC$3:$AD$8,2,FALSE),"Y","N")</f>
        <v>N</v>
      </c>
      <c r="X63" s="248">
        <f>VALUE(LEFT(AD63,4))-VALUE(LEFT(AD62,4))</f>
        <v>1</v>
      </c>
      <c r="Y63" s="248">
        <f>RIGHT(D63,LEN(D63)-4)/10000</f>
        <v>5.4199999999999998E-2</v>
      </c>
      <c r="Z63" s="248">
        <f>RIGHT(H63,LEN(H63)-4)/10000</f>
        <v>23.321300000000001</v>
      </c>
      <c r="AA63" s="248">
        <f>ABS(Z63-Y63)</f>
        <v>23.267099999999999</v>
      </c>
      <c r="AB63" s="234" t="e">
        <f>VLOOKUP(A63,Enforcements!$C$7:$K$9,8,0)</f>
        <v>#N/A</v>
      </c>
      <c r="AC63" s="233" t="e">
        <f>VLOOKUP(A63,Enforcements!$C$7:$E$9,3,0)</f>
        <v>#N/A</v>
      </c>
      <c r="AD63" s="244">
        <f>VALUE(LEFT(A63,LEN(A63)-3))</f>
        <v>151</v>
      </c>
      <c r="AE63" s="236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s3://rtdc.mdm.uploadarchive.raw/RTDC4002/ "%USERPROFILE%\AppData\Local\Temp\OnboardLogs"\RTDC4002\2017-11-24 --exclude "*" --recursive --include "*20171124*" &amp; "%USERPROFILE%\Documents\GitHub\mrs-test-scripts\Headless Mode &amp; Sideloading\WalkAndUnGZ.bat" "%USERPROFILE%\AppData\Local\Temp\OnboardLogs"\RTDC4002\2017-11-24 &amp; aws s3 cp s3://rtdc.mdm.uploadarchive.raw/RTDC4002/ "%USERPROFILE%\AppData\Local\Temp\OnboardLogs"\RTDC4002\2017-11-25 --exclude "*" --recursive --include "*20171125*" &amp; "%USERPROFILE%\Documents\GitHub\mrs-test-scripts\Headless Mode &amp; Sideloading\WalkAndUnGZ.bat" "%USERPROFILE%\AppData\Local\Temp\OnboardLogs"\RTDC4002\2017-11-25</v>
      </c>
      <c r="AF63" s="235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/stypes="app*4002*20171124*" /stext=" 17:.+((SYSTEM_STATE.+slice.+state.+changed )|(ment ac)|(multiple cpu faults)|(system.+state.+changed )|(\[timeout)|(PRM\|1\|D)|(kpr)|(kdp)|(train st.+moving)|(\|lc)|(penalty))"</v>
      </c>
      <c r="AG63" s="245" t="str">
        <f>DetSubdiv(A63)</f>
        <v>EC</v>
      </c>
      <c r="AH63" s="237" t="str">
        <f t="shared" si="5"/>
        <v>"%USERPROFILE%\Documents\GitHub\eaglep3\Utilities\RefineRTDCRunTimes.py" --tripid 151-24 --locoid 4002 --swversion DE.1.0.9.0 --startMP 204:542 --initTime 2017-11-24T09:54:04 --startdatetime 2017-11-24T10:00:18 --delay 81 --endMP 204:233213 --enddatetime 2017-11-24T10:36:57 --enforcementcount 0 &gt;&gt;%USERPROFILE%\Documents\GitHub\eaglep3-reporting\EC\2017-11-24-refined-times.txt</v>
      </c>
      <c r="AI63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{"issue":{"subject":"","project_id":79,"tracker_id":40,"status_id":1,"priority_id":2,"assigned_to_id":338,"start_date":"2017-11-24","description":"","custom_fields":[{"id":1,"name":"Subdivision","value":"EC"},{"id":4,"name":"Milepost","value":"23.3213"},{"id":17,"name":"Train ID","value":"151-24"},{"id":16,"name":"Locomotive ID","value":"4002"},{"id":130,"name":"Impact","value":""},{"id":150,"name":"Time of Event (Mountain Time)","value":"10:36:57"},{"id":151,"name":"Denver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4"/>
      <c r="AK63" s="232"/>
      <c r="AL63" s="232"/>
      <c r="AM63" s="241" t="str">
        <f t="shared" si="7"/>
        <v>start /low /b %USERPROFILE%\Documents\GitHub\eaglep3\Utilities\DownloadLogsFromS3.py --loco 4002 --day 2017-11-24</v>
      </c>
      <c r="AN63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17:36:57"},{"id":29,"name":"Sharepoint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1" t="str">
        <f t="shared" si="9"/>
        <v>https://d0f6bd738d7f1b3e5a7ca70fe4ff75f0.us-east-1.aws.found.io/app/kibana#/discover/Steve-Slow-Train-Analysis-(2080s-and-2083s)?_g=(refreshInterval:(display:Off,pause:!f,section:0,value:0),time:(from:'2017-11-24T08:54:04-0700',mode:absolute,to:'2017-11-24T11:36:57-0700'))&amp;_a=(columns:!('Message%20ID',Summary),filters:!(),index:'emp_*',interval:auto,query:(query_string:(analyze_wildcard:!t,query:'%22rtdc.l.rtdc.4002%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30" t="s">
        <v>785</v>
      </c>
      <c r="B64" s="226">
        <v>4001</v>
      </c>
      <c r="C64" s="228" t="s">
        <v>192</v>
      </c>
      <c r="D64" s="228" t="s">
        <v>970</v>
      </c>
      <c r="E64" s="227">
        <v>43063.444351851853</v>
      </c>
      <c r="F64" s="227">
        <v>43063.456469907411</v>
      </c>
      <c r="G64" s="226">
        <v>58</v>
      </c>
      <c r="H64" s="228" t="s">
        <v>971</v>
      </c>
      <c r="I64" s="227">
        <v>43063.483564814815</v>
      </c>
      <c r="J64" s="226">
        <v>0</v>
      </c>
      <c r="K64" s="238" t="str">
        <f>IF(ISEVEN(B64),(B64-1)&amp;"/"&amp;B64,B64&amp;"/"&amp;(B64+1))</f>
        <v>4001/4002</v>
      </c>
      <c r="L64" s="246" t="str">
        <f>VLOOKUP(A64,'Trips&amp;Operators'!$C$1:$G$99911,5,FALSE)</f>
        <v>ANDREA WILLIAMS</v>
      </c>
      <c r="M64" s="225">
        <f>I64-F64</f>
        <v>2.7094907403807156E-2</v>
      </c>
      <c r="N64" s="226">
        <f>24*60*SUM($M64:$M64)</f>
        <v>39.016666661482304</v>
      </c>
      <c r="O64" s="226"/>
      <c r="P64" s="226"/>
      <c r="Q64" s="229"/>
      <c r="R64" s="243"/>
      <c r="S64" s="250">
        <f>1/IF(AG64="EC",12,1)*SUM(U64:U64)</f>
        <v>1</v>
      </c>
      <c r="T64" s="243" t="str">
        <f>IF(ISEVEN(LEFT(AD64,4)),"Southbound","NorthBound")</f>
        <v>Southbound</v>
      </c>
      <c r="U64" s="24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9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-11-24T09:39:52-0700',mode:absolute,to:'2017-11-24T12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4" s="248" t="str">
        <f>IF(AA64&lt;VLOOKUP(AG64,Variables!$AC$3:$AD$8,2,FALSE),"Y","N")</f>
        <v>N</v>
      </c>
      <c r="X64" s="248">
        <f>VALUE(LEFT(AD64,4))-VALUE(LEFT(AD63,4))</f>
        <v>1</v>
      </c>
      <c r="Y64" s="248">
        <f>RIGHT(D64,LEN(D64)-4)/10000</f>
        <v>23.290199999999999</v>
      </c>
      <c r="Z64" s="248">
        <f>RIGHT(H64,LEN(H64)-4)/10000</f>
        <v>2.6200000000000001E-2</v>
      </c>
      <c r="AA64" s="248">
        <f>ABS(Z64-Y64)</f>
        <v>23.263999999999999</v>
      </c>
      <c r="AB64" s="234" t="e">
        <f>VLOOKUP(A64,Enforcements!$C$7:$K$9,8,0)</f>
        <v>#N/A</v>
      </c>
      <c r="AC64" s="233" t="e">
        <f>VLOOKUP(A64,Enforcements!$C$7:$E$9,3,0)</f>
        <v>#N/A</v>
      </c>
      <c r="AD64" s="244">
        <f>VALUE(LEFT(A64,LEN(A64)-3))</f>
        <v>152</v>
      </c>
      <c r="AE64" s="236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s3://rtdc.mdm.uploadarchive.raw/RTDC4001/ "%USERPROFILE%\AppData\Local\Temp\OnboardLogs"\RTDC4001\2017-11-24 --exclude "*" --recursive --include "*20171124*" &amp; "%USERPROFILE%\Documents\GitHub\mrs-test-scripts\Headless Mode &amp; Sideloading\WalkAndUnGZ.bat" "%USERPROFILE%\AppData\Local\Temp\OnboardLogs"\RTDC4001\2017-11-24 &amp; aws s3 cp s3://rtdc.mdm.uploadarchive.raw/RTDC4001/ "%USERPROFILE%\AppData\Local\Temp\OnboardLogs"\RTDC4001\2017-11-25 --exclude "*" --recursive --include "*20171125*" &amp; "%USERPROFILE%\Documents\GitHub\mrs-test-scripts\Headless Mode &amp; Sideloading\WalkAndUnGZ.bat" "%USERPROFILE%\AppData\Local\Temp\OnboardLogs"\RTDC4001\2017-11-25</v>
      </c>
      <c r="AF64" s="235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/stypes="app*4001*20171124*" /stext=" 18:.+((SYSTEM_STATE.+slice.+state.+changed )|(ment ac)|(multiple cpu faults)|(system.+state.+changed )|(\[timeout)|(PRM\|1\|D)|(kpr)|(kdp)|(train st.+moving)|(\|lc)|(penalty))"</v>
      </c>
      <c r="AG64" s="245" t="str">
        <f>DetSubdiv(A64)</f>
        <v>EC</v>
      </c>
      <c r="AH64" s="237" t="str">
        <f t="shared" si="5"/>
        <v>"%USERPROFILE%\Documents\GitHub\eaglep3\Utilities\RefineRTDCRunTimes.py" --tripid 152-24 --locoid 4001 --swversion DE.1.0.9.0 --startMP 204:232902 --initTime 2017-11-24T10:39:52 --startdatetime 2017-11-24T10:57:19 --delay 58 --endMP 204:262 --enddatetime 2017-11-24T11:36:20 --enforcementcount 0 &gt;&gt;%USERPROFILE%\Documents\GitHub\eaglep3-reporting\EC\2017-11-24-refined-times.txt</v>
      </c>
      <c r="AI64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{"issue":{"subject":"","project_id":79,"tracker_id":40,"status_id":1,"priority_id":2,"assigned_to_id":338,"start_date":"2017-11-24","description":"","custom_fields":[{"id":1,"name":"Subdivision","value":"EC"},{"id":4,"name":"Milepost","value":"0.0262"},{"id":17,"name":"Train ID","value":"152-24"},{"id":16,"name":"Locomotive ID","value":"4001"},{"id":130,"name":"Impact","value":""},{"id":150,"name":"Time of Event (Mountain Time)","value":"11:36:20"},{"id":151,"name":"Denver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4"/>
      <c r="AK64" s="232"/>
      <c r="AL64" s="232"/>
      <c r="AM64" s="241" t="str">
        <f t="shared" si="7"/>
        <v>start /low /b %USERPROFILE%\Documents\GitHub\eaglep3\Utilities\DownloadLogsFromS3.py --loco 4001 --day 2017-11-24</v>
      </c>
      <c r="AN64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18:36:20"},{"id":29,"name":"Sharepoint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1" t="str">
        <f t="shared" si="9"/>
        <v>https://d0f6bd738d7f1b3e5a7ca70fe4ff75f0.us-east-1.aws.found.io/app/kibana#/discover/Steve-Slow-Train-Analysis-(2080s-and-2083s)?_g=(refreshInterval:(display:Off,pause:!f,section:0,value:0),time:(from:'2017-11-24T09:39:52-0700',mode:absolute,to:'2017-11-24T12:36:20-0700'))&amp;_a=(columns:!('Message%20ID',Summary),filters:!(),index:'emp_*',interval:auto,query:(query_string:(analyze_wildcard:!t,query:'%22rtdc.l.rtdc.4001%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30" t="s">
        <v>778</v>
      </c>
      <c r="B65" s="226">
        <v>4016</v>
      </c>
      <c r="C65" s="228" t="s">
        <v>192</v>
      </c>
      <c r="D65" s="228" t="s">
        <v>533</v>
      </c>
      <c r="E65" s="227">
        <v>43063.421967592592</v>
      </c>
      <c r="F65" s="227">
        <v>43063.427314814813</v>
      </c>
      <c r="G65" s="226">
        <v>126</v>
      </c>
      <c r="H65" s="228" t="s">
        <v>972</v>
      </c>
      <c r="I65" s="227">
        <v>43063.452939814815</v>
      </c>
      <c r="J65" s="226">
        <v>0</v>
      </c>
      <c r="K65" s="238" t="str">
        <f>IF(ISEVEN(B65),(B65-1)&amp;"/"&amp;B65,B65&amp;"/"&amp;(B65+1))</f>
        <v>4015/4016</v>
      </c>
      <c r="L65" s="246" t="str">
        <f>VLOOKUP(A65,'Trips&amp;Operators'!$C$1:$G$99911,5,FALSE)</f>
        <v>STRICKLAND EVAN</v>
      </c>
      <c r="M65" s="225">
        <f>I65-F65</f>
        <v>2.5625000002037268E-2</v>
      </c>
      <c r="N65" s="226">
        <f>24*60*SUM($M65:$M65)</f>
        <v>36.900000002933666</v>
      </c>
      <c r="O65" s="226"/>
      <c r="P65" s="226"/>
      <c r="Q65" s="229"/>
      <c r="R65" s="243"/>
      <c r="S65" s="250">
        <f>1/IF(AG65="EC",12,1)*SUM(U65:U65)</f>
        <v>1</v>
      </c>
      <c r="T65" s="243" t="str">
        <f>IF(ISEVEN(LEFT(AD65,4)),"Southbound","NorthBound")</f>
        <v>NorthBound</v>
      </c>
      <c r="U65" s="24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9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-11-24T09:07:38-0700',mode:absolute,to:'2017-11-24T11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5" s="248" t="str">
        <f>IF(AA65&lt;VLOOKUP(AG65,Variables!$AC$3:$AD$8,2,FALSE),"Y","N")</f>
        <v>N</v>
      </c>
      <c r="X65" s="248">
        <f>VALUE(LEFT(AD65,4))-VALUE(LEFT(AD64,4))</f>
        <v>1</v>
      </c>
      <c r="Y65" s="248">
        <f>RIGHT(D65,LEN(D65)-4)/10000</f>
        <v>4.8599999999999997E-2</v>
      </c>
      <c r="Z65" s="248">
        <f>RIGHT(H65,LEN(H65)-4)/10000</f>
        <v>23.320499999999999</v>
      </c>
      <c r="AA65" s="248">
        <f>ABS(Z65-Y65)</f>
        <v>23.271899999999999</v>
      </c>
      <c r="AB65" s="234" t="e">
        <f>VLOOKUP(A65,Enforcements!$C$7:$K$9,8,0)</f>
        <v>#N/A</v>
      </c>
      <c r="AC65" s="233" t="e">
        <f>VLOOKUP(A65,Enforcements!$C$7:$E$9,3,0)</f>
        <v>#N/A</v>
      </c>
      <c r="AD65" s="244">
        <f>VALUE(LEFT(A65,LEN(A65)-3))</f>
        <v>153</v>
      </c>
      <c r="AE65" s="236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s3://rtdc.mdm.uploadarchive.raw/RTDC4016/ "%USERPROFILE%\AppData\Local\Temp\OnboardLogs"\RTDC4016\2017-11-24 --exclude "*" --recursive --include "*20171124*" &amp; "%USERPROFILE%\Documents\GitHub\mrs-test-scripts\Headless Mode &amp; Sideloading\WalkAndUnGZ.bat" "%USERPROFILE%\AppData\Local\Temp\OnboardLogs"\RTDC4016\2017-11-24 &amp; aws s3 cp s3://rtdc.mdm.uploadarchive.raw/RTDC4016/ "%USERPROFILE%\AppData\Local\Temp\OnboardLogs"\RTDC4016\2017-11-25 --exclude "*" --recursive --include "*20171125*" &amp; "%USERPROFILE%\Documents\GitHub\mrs-test-scripts\Headless Mode &amp; Sideloading\WalkAndUnGZ.bat" "%USERPROFILE%\AppData\Local\Temp\OnboardLogs"\RTDC4016\2017-11-25</v>
      </c>
      <c r="AF65" s="235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/stypes="app*4016*20171124*" /stext=" 17:.+((SYSTEM_STATE.+slice.+state.+changed )|(ment ac)|(multiple cpu faults)|(system.+state.+changed )|(\[timeout)|(PRM\|1\|D)|(kpr)|(kdp)|(train st.+moving)|(\|lc)|(penalty))"</v>
      </c>
      <c r="AG65" s="245" t="str">
        <f>DetSubdiv(A65)</f>
        <v>EC</v>
      </c>
      <c r="AH65" s="237" t="str">
        <f t="shared" si="5"/>
        <v>"%USERPROFILE%\Documents\GitHub\eaglep3\Utilities\RefineRTDCRunTimes.py" --tripid 153-24 --locoid 4016 --swversion DE.1.0.9.0 --startMP 204:486 --initTime 2017-11-24T10:07:38 --startdatetime 2017-11-24T10:15:20 --delay 126 --endMP 204:233205 --enddatetime 2017-11-24T10:52:14 --enforcementcount 0 &gt;&gt;%USERPROFILE%\Documents\GitHub\eaglep3-reporting\EC\2017-11-24-refined-times.txt</v>
      </c>
      <c r="AI65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{"issue":{"subject":"","project_id":79,"tracker_id":40,"status_id":1,"priority_id":2,"assigned_to_id":338,"start_date":"2017-11-24","description":"","custom_fields":[{"id":1,"name":"Subdivision","value":"EC"},{"id":4,"name":"Milepost","value":"23.3205"},{"id":17,"name":"Train ID","value":"153-24"},{"id":16,"name":"Locomotive ID","value":"4016"},{"id":130,"name":"Impact","value":""},{"id":150,"name":"Time of Event (Mountain Time)","value":"10:52:14"},{"id":151,"name":"Denver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4"/>
      <c r="AK65" s="232"/>
      <c r="AL65" s="232"/>
      <c r="AM65" s="241" t="str">
        <f t="shared" si="7"/>
        <v>start /low /b %USERPROFILE%\Documents\GitHub\eaglep3\Utilities\DownloadLogsFromS3.py --loco 4016 --day 2017-11-24</v>
      </c>
      <c r="AN65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17:52:14"},{"id":29,"name":"Sharepoint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1" t="str">
        <f t="shared" si="9"/>
        <v>https://d0f6bd738d7f1b3e5a7ca70fe4ff75f0.us-east-1.aws.found.io/app/kibana#/discover/Steve-Slow-Train-Analysis-(2080s-and-2083s)?_g=(refreshInterval:(display:Off,pause:!f,section:0,value:0),time:(from:'2017-11-24T09:07:38-0700',mode:absolute,to:'2017-11-24T11:52:14-0700'))&amp;_a=(columns:!('Message%20ID',Summary),filters:!(),index:'emp_*',interval:auto,query:(query_string:(analyze_wildcard:!t,query:'%22rtdc.l.rtdc.4016%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30" t="s">
        <v>789</v>
      </c>
      <c r="B66" s="226">
        <v>4015</v>
      </c>
      <c r="C66" s="228" t="s">
        <v>192</v>
      </c>
      <c r="D66" s="228" t="s">
        <v>973</v>
      </c>
      <c r="E66" s="227">
        <v>43063.454768518517</v>
      </c>
      <c r="F66" s="227">
        <v>43063.466898148145</v>
      </c>
      <c r="G66" s="226">
        <v>69</v>
      </c>
      <c r="H66" s="228" t="s">
        <v>974</v>
      </c>
      <c r="I66" s="227">
        <v>43063.494618055556</v>
      </c>
      <c r="J66" s="226">
        <v>0</v>
      </c>
      <c r="K66" s="238" t="str">
        <f>IF(ISEVEN(B66),(B66-1)&amp;"/"&amp;B66,B66&amp;"/"&amp;(B66+1))</f>
        <v>4015/4016</v>
      </c>
      <c r="L66" s="246" t="str">
        <f>VLOOKUP(A66,'Trips&amp;Operators'!$C$1:$G$99911,5,FALSE)</f>
        <v>STRICKLAND EVAN</v>
      </c>
      <c r="M66" s="225">
        <f>I66-F66</f>
        <v>2.771990741166519E-2</v>
      </c>
      <c r="N66" s="226">
        <f>24*60*SUM($M66:$M66)</f>
        <v>39.916666672797874</v>
      </c>
      <c r="O66" s="226"/>
      <c r="P66" s="226"/>
      <c r="Q66" s="229"/>
      <c r="R66" s="243"/>
      <c r="S66" s="250">
        <f>1/IF(AG66="EC",12,1)*SUM(U66:U66)</f>
        <v>1</v>
      </c>
      <c r="T66" s="243" t="str">
        <f>IF(ISEVEN(LEFT(AD66,4)),"Southbound","NorthBound")</f>
        <v>Southbound</v>
      </c>
      <c r="U66" s="24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9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-11-24T09:54:52-0700',mode:absolute,to:'2017-11-24T12:52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6" s="248" t="str">
        <f>IF(AA66&lt;VLOOKUP(AG66,Variables!$AC$3:$AD$8,2,FALSE),"Y","N")</f>
        <v>N</v>
      </c>
      <c r="X66" s="248">
        <f>VALUE(LEFT(AD66,4))-VALUE(LEFT(AD65,4))</f>
        <v>1</v>
      </c>
      <c r="Y66" s="248">
        <f>RIGHT(D66,LEN(D66)-4)/10000</f>
        <v>23.289200000000001</v>
      </c>
      <c r="Z66" s="248">
        <f>RIGHT(H66,LEN(H66)-4)/10000</f>
        <v>3.6400000000000002E-2</v>
      </c>
      <c r="AA66" s="248">
        <f>ABS(Z66-Y66)</f>
        <v>23.252800000000001</v>
      </c>
      <c r="AB66" s="234" t="e">
        <f>VLOOKUP(A66,Enforcements!$C$7:$K$9,8,0)</f>
        <v>#N/A</v>
      </c>
      <c r="AC66" s="233" t="e">
        <f>VLOOKUP(A66,Enforcements!$C$7:$E$9,3,0)</f>
        <v>#N/A</v>
      </c>
      <c r="AD66" s="244">
        <f>VALUE(LEFT(A66,LEN(A66)-3))</f>
        <v>154</v>
      </c>
      <c r="AE66" s="236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s3://rtdc.mdm.uploadarchive.raw/RTDC4015/ "%USERPROFILE%\AppData\Local\Temp\OnboardLogs"\RTDC4015\2017-11-24 --exclude "*" --recursive --include "*20171124*" &amp; "%USERPROFILE%\Documents\GitHub\mrs-test-scripts\Headless Mode &amp; Sideloading\WalkAndUnGZ.bat" "%USERPROFILE%\AppData\Local\Temp\OnboardLogs"\RTDC4015\2017-11-24 &amp; aws s3 cp s3://rtdc.mdm.uploadarchive.raw/RTDC4015/ "%USERPROFILE%\AppData\Local\Temp\OnboardLogs"\RTDC4015\2017-11-25 --exclude "*" --recursive --include "*20171125*" &amp; "%USERPROFILE%\Documents\GitHub\mrs-test-scripts\Headless Mode &amp; Sideloading\WalkAndUnGZ.bat" "%USERPROFILE%\AppData\Local\Temp\OnboardLogs"\RTDC4015\2017-11-25</v>
      </c>
      <c r="AF66" s="235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/stypes="app*4015*20171124*" /stext=" 18:.+((SYSTEM_STATE.+slice.+state.+changed )|(ment ac)|(multiple cpu faults)|(system.+state.+changed )|(\[timeout)|(PRM\|1\|D)|(kpr)|(kdp)|(train st.+moving)|(\|lc)|(penalty))"</v>
      </c>
      <c r="AG66" s="245" t="str">
        <f>DetSubdiv(A66)</f>
        <v>EC</v>
      </c>
      <c r="AH66" s="237" t="str">
        <f t="shared" si="5"/>
        <v>"%USERPROFILE%\Documents\GitHub\eaglep3\Utilities\RefineRTDCRunTimes.py" --tripid 154-24 --locoid 4015 --swversion DE.1.0.9.0 --startMP 204:232892 --initTime 2017-11-24T10:54:52 --startdatetime 2017-11-24T11:12:20 --delay 69 --endMP 204:364 --enddatetime 2017-11-24T11:52:15 --enforcementcount 0 &gt;&gt;%USERPROFILE%\Documents\GitHub\eaglep3-reporting\EC\2017-11-24-refined-times.txt</v>
      </c>
      <c r="AI66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{"issue":{"subject":"","project_id":79,"tracker_id":40,"status_id":1,"priority_id":2,"assigned_to_id":338,"start_date":"2017-11-24","description":"","custom_fields":[{"id":1,"name":"Subdivision","value":"EC"},{"id":4,"name":"Milepost","value":"0.0364"},{"id":17,"name":"Train ID","value":"154-24"},{"id":16,"name":"Locomotive ID","value":"4015"},{"id":130,"name":"Impact","value":""},{"id":150,"name":"Time of Event (Mountain Time)","value":"11:52:15"},{"id":151,"name":"Denver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4"/>
      <c r="AK66" s="232"/>
      <c r="AL66" s="232"/>
      <c r="AM66" s="241" t="str">
        <f t="shared" si="7"/>
        <v>start /low /b %USERPROFILE%\Documents\GitHub\eaglep3\Utilities\DownloadLogsFromS3.py --loco 4015 --day 2017-11-24</v>
      </c>
      <c r="AN66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18:52:15"},{"id":29,"name":"Sharepoint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1" t="str">
        <f t="shared" si="9"/>
        <v>https://d0f6bd738d7f1b3e5a7ca70fe4ff75f0.us-east-1.aws.found.io/app/kibana#/discover/Steve-Slow-Train-Analysis-(2080s-and-2083s)?_g=(refreshInterval:(display:Off,pause:!f,section:0,value:0),time:(from:'2017-11-24T09:54:52-0700',mode:absolute,to:'2017-11-24T12:52:15-0700'))&amp;_a=(columns:!('Message%20ID',Summary),filters:!(),index:'emp_*',interval:auto,query:(query_string:(analyze_wildcard:!t,query:'%22rtdc.l.rtdc.4015%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30" t="s">
        <v>779</v>
      </c>
      <c r="B67" s="226">
        <v>4050</v>
      </c>
      <c r="C67" s="228" t="s">
        <v>192</v>
      </c>
      <c r="D67" s="228" t="s">
        <v>606</v>
      </c>
      <c r="E67" s="227">
        <v>43063.434467592589</v>
      </c>
      <c r="F67" s="227">
        <v>43063.438113425924</v>
      </c>
      <c r="G67" s="226">
        <v>45</v>
      </c>
      <c r="H67" s="228" t="s">
        <v>534</v>
      </c>
      <c r="I67" s="227">
        <v>43063.462905092594</v>
      </c>
      <c r="J67" s="226">
        <v>0</v>
      </c>
      <c r="K67" s="238" t="str">
        <f>IF(ISEVEN(B67),(B67-1)&amp;"/"&amp;B67,B67&amp;"/"&amp;(B67+1))</f>
        <v>4049/4050</v>
      </c>
      <c r="L67" s="246" t="str">
        <f>VLOOKUP(A67,'Trips&amp;Operators'!$C$1:$G$99911,5,FALSE)</f>
        <v>MACDONALD THOMAS</v>
      </c>
      <c r="M67" s="225">
        <f>I67-F67</f>
        <v>2.4791666670353152E-2</v>
      </c>
      <c r="N67" s="226">
        <f>24*60*SUM($M67:$M67)</f>
        <v>35.700000005308539</v>
      </c>
      <c r="O67" s="226"/>
      <c r="P67" s="226"/>
      <c r="Q67" s="229"/>
      <c r="R67" s="243"/>
      <c r="S67" s="250">
        <f>1/IF(AG67="EC",12,1)*SUM(U67:U67)</f>
        <v>1</v>
      </c>
      <c r="T67" s="243" t="str">
        <f>IF(ISEVEN(LEFT(AD67,4)),"Southbound","NorthBound")</f>
        <v>NorthBound</v>
      </c>
      <c r="U67" s="24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9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-11-24T09:25:38-0700',mode:absolute,to:'2017-11-24T12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7" s="248" t="str">
        <f>IF(AA67&lt;VLOOKUP(AG67,Variables!$AC$3:$AD$8,2,FALSE),"Y","N")</f>
        <v>N</v>
      </c>
      <c r="X67" s="248">
        <f>VALUE(LEFT(AD67,4))-VALUE(LEFT(AD66,4))</f>
        <v>1</v>
      </c>
      <c r="Y67" s="248">
        <f>RIGHT(D67,LEN(D67)-4)/10000</f>
        <v>5.4600000000000003E-2</v>
      </c>
      <c r="Z67" s="248">
        <f>RIGHT(H67,LEN(H67)-4)/10000</f>
        <v>23.317599999999999</v>
      </c>
      <c r="AA67" s="248">
        <f>ABS(Z67-Y67)</f>
        <v>23.262999999999998</v>
      </c>
      <c r="AB67" s="234" t="e">
        <f>VLOOKUP(A67,Enforcements!$C$7:$K$9,8,0)</f>
        <v>#N/A</v>
      </c>
      <c r="AC67" s="233" t="e">
        <f>VLOOKUP(A67,Enforcements!$C$7:$E$9,3,0)</f>
        <v>#N/A</v>
      </c>
      <c r="AD67" s="244">
        <f>VALUE(LEFT(A67,LEN(A67)-3))</f>
        <v>155</v>
      </c>
      <c r="AE67" s="236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s3://rtdc.mdm.uploadarchive.raw/RTDC4050/ "%USERPROFILE%\AppData\Local\Temp\OnboardLogs"\RTDC4050\2017-11-24 --exclude "*" --recursive --include "*20171124*" &amp; "%USERPROFILE%\Documents\GitHub\mrs-test-scripts\Headless Mode &amp; Sideloading\WalkAndUnGZ.bat" "%USERPROFILE%\AppData\Local\Temp\OnboardLogs"\RTDC4050\2017-11-24 &amp; aws s3 cp s3://rtdc.mdm.uploadarchive.raw/RTDC4050/ "%USERPROFILE%\AppData\Local\Temp\OnboardLogs"\RTDC4050\2017-11-25 --exclude "*" --recursive --include "*20171125*" &amp; "%USERPROFILE%\Documents\GitHub\mrs-test-scripts\Headless Mode &amp; Sideloading\WalkAndUnGZ.bat" "%USERPROFILE%\AppData\Local\Temp\OnboardLogs"\RTDC4050\2017-11-25</v>
      </c>
      <c r="AF67" s="235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/stypes="app*4050*20171124*" /stext=" 18:.+((SYSTEM_STATE.+slice.+state.+changed )|(ment ac)|(multiple cpu faults)|(system.+state.+changed )|(\[timeout)|(PRM\|1\|D)|(kpr)|(kdp)|(train st.+moving)|(\|lc)|(penalty))"</v>
      </c>
      <c r="AG67" s="245" t="str">
        <f>DetSubdiv(A67)</f>
        <v>EC</v>
      </c>
      <c r="AH67" s="237" t="str">
        <f t="shared" si="5"/>
        <v>"%USERPROFILE%\Documents\GitHub\eaglep3\Utilities\RefineRTDCRunTimes.py" --tripid 155-24 --locoid 4050 --swversion DE.1.0.9.0 --startMP 204:546 --initTime 2017-11-24T10:25:38 --startdatetime 2017-11-24T10:30:53 --delay 45 --endMP 204:233176 --enddatetime 2017-11-24T11:06:35 --enforcementcount 0 &gt;&gt;%USERPROFILE%\Documents\GitHub\eaglep3-reporting\EC\2017-11-24-refined-times.txt</v>
      </c>
      <c r="AI67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{"issue":{"subject":"","project_id":79,"tracker_id":40,"status_id":1,"priority_id":2,"assigned_to_id":338,"start_date":"2017-11-24","description":"","custom_fields":[{"id":1,"name":"Subdivision","value":"EC"},{"id":4,"name":"Milepost","value":"23.3176"},{"id":17,"name":"Train ID","value":"155-24"},{"id":16,"name":"Locomotive ID","value":"4050"},{"id":130,"name":"Impact","value":""},{"id":150,"name":"Time of Event (Mountain Time)","value":"11:06:35"},{"id":151,"name":"Denver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4"/>
      <c r="AK67" s="232"/>
      <c r="AL67" s="232"/>
      <c r="AM67" s="241" t="str">
        <f t="shared" si="7"/>
        <v>start /low /b %USERPROFILE%\Documents\GitHub\eaglep3\Utilities\DownloadLogsFromS3.py --loco 4050 --day 2017-11-24</v>
      </c>
      <c r="AN67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18:06:35"},{"id":29,"name":"Sharepoint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1" t="str">
        <f t="shared" si="9"/>
        <v>https://d0f6bd738d7f1b3e5a7ca70fe4ff75f0.us-east-1.aws.found.io/app/kibana#/discover/Steve-Slow-Train-Analysis-(2080s-and-2083s)?_g=(refreshInterval:(display:Off,pause:!f,section:0,value:0),time:(from:'2017-11-24T09:25:38-0700',mode:absolute,to:'2017-11-24T12:06:35-0700'))&amp;_a=(columns:!('Message%20ID',Summary),filters:!(),index:'emp_*',interval:auto,query:(query_string:(analyze_wildcard:!t,query:'%22rtdc.l.rtdc.4050%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30" t="s">
        <v>796</v>
      </c>
      <c r="B68" s="226">
        <v>4049</v>
      </c>
      <c r="C68" s="228" t="s">
        <v>192</v>
      </c>
      <c r="D68" s="228" t="s">
        <v>964</v>
      </c>
      <c r="E68" s="227">
        <v>43063.474629629629</v>
      </c>
      <c r="F68" s="227">
        <v>43063.477314814816</v>
      </c>
      <c r="G68" s="226">
        <v>89</v>
      </c>
      <c r="H68" s="228" t="s">
        <v>975</v>
      </c>
      <c r="I68" s="227">
        <v>43063.50439814815</v>
      </c>
      <c r="J68" s="226">
        <v>0</v>
      </c>
      <c r="K68" s="238" t="str">
        <f>IF(ISEVEN(B68),(B68-1)&amp;"/"&amp;B68,B68&amp;"/"&amp;(B68+1))</f>
        <v>4049/4050</v>
      </c>
      <c r="L68" s="246" t="str">
        <f>VLOOKUP(A68,'Trips&amp;Operators'!$C$1:$G$99911,5,FALSE)</f>
        <v>MACDONALD THOMAS</v>
      </c>
      <c r="M68" s="225">
        <f>I68-F68</f>
        <v>2.7083333334303461E-2</v>
      </c>
      <c r="N68" s="226">
        <f>24*60*SUM($M68:$M68)</f>
        <v>39.000000001396984</v>
      </c>
      <c r="O68" s="226"/>
      <c r="P68" s="226"/>
      <c r="Q68" s="229"/>
      <c r="R68" s="243"/>
      <c r="S68" s="250">
        <f>1/IF(AG68="EC",12,1)*SUM(U68:U68)</f>
        <v>1</v>
      </c>
      <c r="T68" s="243" t="str">
        <f>IF(ISEVEN(LEFT(AD68,4)),"Southbound","NorthBound")</f>
        <v>Southbound</v>
      </c>
      <c r="U68" s="24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9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-11-24T10:23:28-0700',mode:absolute,to:'2017-11-24T13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8" s="248" t="str">
        <f>IF(AA68&lt;VLOOKUP(AG68,Variables!$AC$3:$AD$8,2,FALSE),"Y","N")</f>
        <v>N</v>
      </c>
      <c r="X68" s="248">
        <f>VALUE(LEFT(AD68,4))-VALUE(LEFT(AD67,4))</f>
        <v>1</v>
      </c>
      <c r="Y68" s="248">
        <f>RIGHT(D68,LEN(D68)-4)/10000</f>
        <v>23.285699999999999</v>
      </c>
      <c r="Z68" s="248">
        <f>RIGHT(H68,LEN(H68)-4)/10000</f>
        <v>2.58E-2</v>
      </c>
      <c r="AA68" s="248">
        <f>ABS(Z68-Y68)</f>
        <v>23.259899999999998</v>
      </c>
      <c r="AB68" s="234" t="e">
        <f>VLOOKUP(A68,Enforcements!$C$7:$K$9,8,0)</f>
        <v>#N/A</v>
      </c>
      <c r="AC68" s="233" t="e">
        <f>VLOOKUP(A68,Enforcements!$C$7:$E$9,3,0)</f>
        <v>#N/A</v>
      </c>
      <c r="AD68" s="244">
        <f>VALUE(LEFT(A68,LEN(A68)-3))</f>
        <v>156</v>
      </c>
      <c r="AE68" s="236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s3://rtdc.mdm.uploadarchive.raw/RTDC4049/ "%USERPROFILE%\AppData\Local\Temp\OnboardLogs"\RTDC4049\2017-11-24 --exclude "*" --recursive --include "*20171124*" &amp; "%USERPROFILE%\Documents\GitHub\mrs-test-scripts\Headless Mode &amp; Sideloading\WalkAndUnGZ.bat" "%USERPROFILE%\AppData\Local\Temp\OnboardLogs"\RTDC4049\2017-11-24 &amp; aws s3 cp s3://rtdc.mdm.uploadarchive.raw/RTDC4049/ "%USERPROFILE%\AppData\Local\Temp\OnboardLogs"\RTDC4049\2017-11-25 --exclude "*" --recursive --include "*20171125*" &amp; "%USERPROFILE%\Documents\GitHub\mrs-test-scripts\Headless Mode &amp; Sideloading\WalkAndUnGZ.bat" "%USERPROFILE%\AppData\Local\Temp\OnboardLogs"\RTDC4049\2017-11-25</v>
      </c>
      <c r="AF68" s="235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/stypes="app*4049*20171124*" /stext=" 19:.+((SYSTEM_STATE.+slice.+state.+changed )|(ment ac)|(multiple cpu faults)|(system.+state.+changed )|(\[timeout)|(PRM\|1\|D)|(kpr)|(kdp)|(train st.+moving)|(\|lc)|(penalty))"</v>
      </c>
      <c r="AG68" s="245" t="str">
        <f>DetSubdiv(A68)</f>
        <v>EC</v>
      </c>
      <c r="AH68" s="237" t="str">
        <f t="shared" si="5"/>
        <v>"%USERPROFILE%\Documents\GitHub\eaglep3\Utilities\RefineRTDCRunTimes.py" --tripid 156-24 --locoid 4049 --swversion DE.1.0.9.0 --startMP 204:232857 --initTime 2017-11-24T11:23:28 --startdatetime 2017-11-24T11:27:20 --delay 89 --endMP 204:258 --enddatetime 2017-11-24T12:06:20 --enforcementcount 0 &gt;&gt;%USERPROFILE%\Documents\GitHub\eaglep3-reporting\EC\2017-11-24-refined-times.txt</v>
      </c>
      <c r="AI68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{"issue":{"subject":"","project_id":79,"tracker_id":40,"status_id":1,"priority_id":2,"assigned_to_id":338,"start_date":"2017-11-24","description":"","custom_fields":[{"id":1,"name":"Subdivision","value":"EC"},{"id":4,"name":"Milepost","value":"0.0258"},{"id":17,"name":"Train ID","value":"156-24"},{"id":16,"name":"Locomotive ID","value":"4049"},{"id":130,"name":"Impact","value":""},{"id":150,"name":"Time of Event (Mountain Time)","value":"12:06:20"},{"id":151,"name":"Denver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4"/>
      <c r="AK68" s="232"/>
      <c r="AL68" s="232"/>
      <c r="AM68" s="241" t="str">
        <f t="shared" si="7"/>
        <v>start /low /b %USERPROFILE%\Documents\GitHub\eaglep3\Utilities\DownloadLogsFromS3.py --loco 4049 --day 2017-11-24</v>
      </c>
      <c r="AN68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19:06:20"},{"id":29,"name":"Sharepoint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1" t="str">
        <f t="shared" si="9"/>
        <v>https://d0f6bd738d7f1b3e5a7ca70fe4ff75f0.us-east-1.aws.found.io/app/kibana#/discover/Steve-Slow-Train-Analysis-(2080s-and-2083s)?_g=(refreshInterval:(display:Off,pause:!f,section:0,value:0),time:(from:'2017-11-24T10:23:28-0700',mode:absolute,to:'2017-11-24T13:06:20-0700'))&amp;_a=(columns:!('Message%20ID',Summary),filters:!(),index:'emp_*',interval:auto,query:(query_string:(analyze_wildcard:!t,query:'%22rtdc.l.rtdc.4049%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30" t="s">
        <v>786</v>
      </c>
      <c r="B69" s="226">
        <v>4006</v>
      </c>
      <c r="C69" s="228" t="s">
        <v>192</v>
      </c>
      <c r="D69" s="228" t="s">
        <v>533</v>
      </c>
      <c r="E69" s="227">
        <v>43063.444664351853</v>
      </c>
      <c r="F69" s="227">
        <v>43063.448078703703</v>
      </c>
      <c r="G69" s="226">
        <v>112</v>
      </c>
      <c r="H69" s="228" t="s">
        <v>976</v>
      </c>
      <c r="I69" s="227">
        <v>43063.473553240743</v>
      </c>
      <c r="J69" s="226">
        <v>0</v>
      </c>
      <c r="K69" s="238" t="str">
        <f>IF(ISEVEN(B69),(B69-1)&amp;"/"&amp;B69,B69&amp;"/"&amp;(B69+1))</f>
        <v>4005/4006</v>
      </c>
      <c r="L69" s="246" t="str">
        <f>VLOOKUP(A69,'Trips&amp;Operators'!$C$1:$G$99911,5,FALSE)</f>
        <v>BADERTSCHER DIANE</v>
      </c>
      <c r="M69" s="225">
        <f>I69-F69</f>
        <v>2.5474537040281575E-2</v>
      </c>
      <c r="N69" s="226">
        <f>24*60*SUM($M69:$M69)</f>
        <v>36.683333338005468</v>
      </c>
      <c r="O69" s="226"/>
      <c r="P69" s="226"/>
      <c r="Q69" s="229"/>
      <c r="R69" s="243"/>
      <c r="S69" s="250">
        <f>1/IF(AG69="EC",12,1)*SUM(U69:U69)</f>
        <v>1</v>
      </c>
      <c r="T69" s="243" t="str">
        <f>IF(ISEVEN(LEFT(AD69,4)),"Southbound","NorthBound")</f>
        <v>NorthBound</v>
      </c>
      <c r="U69" s="24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9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-11-24T09:40:19-0700',mode:absolute,to:'2017-11-24T12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9" s="248" t="str">
        <f>IF(AA69&lt;VLOOKUP(AG69,Variables!$AC$3:$AD$8,2,FALSE),"Y","N")</f>
        <v>N</v>
      </c>
      <c r="X69" s="248">
        <f>VALUE(LEFT(AD69,4))-VALUE(LEFT(AD68,4))</f>
        <v>1</v>
      </c>
      <c r="Y69" s="248">
        <f>RIGHT(D69,LEN(D69)-4)/10000</f>
        <v>4.8599999999999997E-2</v>
      </c>
      <c r="Z69" s="248">
        <f>RIGHT(H69,LEN(H69)-4)/10000</f>
        <v>23.319299999999998</v>
      </c>
      <c r="AA69" s="248">
        <f>ABS(Z69-Y69)</f>
        <v>23.270699999999998</v>
      </c>
      <c r="AB69" s="234" t="e">
        <f>VLOOKUP(A69,Enforcements!$C$7:$K$9,8,0)</f>
        <v>#N/A</v>
      </c>
      <c r="AC69" s="233" t="e">
        <f>VLOOKUP(A69,Enforcements!$C$7:$E$9,3,0)</f>
        <v>#N/A</v>
      </c>
      <c r="AD69" s="244">
        <f>VALUE(LEFT(A69,LEN(A69)-3))</f>
        <v>157</v>
      </c>
      <c r="AE69" s="236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s3://rtdc.mdm.uploadarchive.raw/RTDC4006/ "%USERPROFILE%\AppData\Local\Temp\OnboardLogs"\RTDC4006\2017-11-24 --exclude "*" --recursive --include "*20171124*" &amp; "%USERPROFILE%\Documents\GitHub\mrs-test-scripts\Headless Mode &amp; Sideloading\WalkAndUnGZ.bat" "%USERPROFILE%\AppData\Local\Temp\OnboardLogs"\RTDC4006\2017-11-24 &amp; aws s3 cp s3://rtdc.mdm.uploadarchive.raw/RTDC4006/ "%USERPROFILE%\AppData\Local\Temp\OnboardLogs"\RTDC4006\2017-11-25 --exclude "*" --recursive --include "*20171125*" &amp; "%USERPROFILE%\Documents\GitHub\mrs-test-scripts\Headless Mode &amp; Sideloading\WalkAndUnGZ.bat" "%USERPROFILE%\AppData\Local\Temp\OnboardLogs"\RTDC4006\2017-11-25</v>
      </c>
      <c r="AF69" s="235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/stypes="app*4006*20171124*" /stext=" 18:.+((SYSTEM_STATE.+slice.+state.+changed )|(ment ac)|(multiple cpu faults)|(system.+state.+changed )|(\[timeout)|(PRM\|1\|D)|(kpr)|(kdp)|(train st.+moving)|(\|lc)|(penalty))"</v>
      </c>
      <c r="AG69" s="245" t="str">
        <f>DetSubdiv(A69)</f>
        <v>EC</v>
      </c>
      <c r="AH69" s="237" t="str">
        <f t="shared" si="5"/>
        <v>"%USERPROFILE%\Documents\GitHub\eaglep3\Utilities\RefineRTDCRunTimes.py" --tripid 157-24 --locoid 4006 --swversion DE.1.0.9.0 --startMP 204:486 --initTime 2017-11-24T10:40:19 --startdatetime 2017-11-24T10:45:14 --delay 112 --endMP 204:233193 --enddatetime 2017-11-24T11:21:55 --enforcementcount 0 &gt;&gt;%USERPROFILE%\Documents\GitHub\eaglep3-reporting\EC\2017-11-24-refined-times.txt</v>
      </c>
      <c r="AI69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{"issue":{"subject":"","project_id":79,"tracker_id":40,"status_id":1,"priority_id":2,"assigned_to_id":338,"start_date":"2017-11-24","description":"","custom_fields":[{"id":1,"name":"Subdivision","value":"EC"},{"id":4,"name":"Milepost","value":"23.3193"},{"id":17,"name":"Train ID","value":"157-24"},{"id":16,"name":"Locomotive ID","value":"4006"},{"id":130,"name":"Impact","value":""},{"id":150,"name":"Time of Event (Mountain Time)","value":"11:21:55"},{"id":151,"name":"Denver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4"/>
      <c r="AK69" s="232"/>
      <c r="AL69" s="232"/>
      <c r="AM69" s="241" t="str">
        <f t="shared" si="7"/>
        <v>start /low /b %USERPROFILE%\Documents\GitHub\eaglep3\Utilities\DownloadLogsFromS3.py --loco 4006 --day 2017-11-24</v>
      </c>
      <c r="AN69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18:21:55"},{"id":29,"name":"Sharepoint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1" t="str">
        <f t="shared" si="9"/>
        <v>https://d0f6bd738d7f1b3e5a7ca70fe4ff75f0.us-east-1.aws.found.io/app/kibana#/discover/Steve-Slow-Train-Analysis-(2080s-and-2083s)?_g=(refreshInterval:(display:Off,pause:!f,section:0,value:0),time:(from:'2017-11-24T09:40:19-0700',mode:absolute,to:'2017-11-24T12:21:55-0700'))&amp;_a=(columns:!('Message%20ID',Summary),filters:!(),index:'emp_*',interval:auto,query:(query_string:(analyze_wildcard:!t,query:'%22rtdc.l.rtdc.4006%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30" t="s">
        <v>668</v>
      </c>
      <c r="B70" s="226">
        <v>4005</v>
      </c>
      <c r="C70" s="228" t="s">
        <v>192</v>
      </c>
      <c r="D70" s="228" t="s">
        <v>977</v>
      </c>
      <c r="E70" s="227">
        <v>43063.482071759259</v>
      </c>
      <c r="F70" s="227">
        <v>43063.487662037034</v>
      </c>
      <c r="G70" s="226">
        <v>117</v>
      </c>
      <c r="H70" s="228" t="s">
        <v>965</v>
      </c>
      <c r="I70" s="227">
        <v>43063.517199074071</v>
      </c>
      <c r="J70" s="226">
        <v>0</v>
      </c>
      <c r="K70" s="238" t="str">
        <f>IF(ISEVEN(B70),(B70-1)&amp;"/"&amp;B70,B70&amp;"/"&amp;(B70+1))</f>
        <v>4005/4006</v>
      </c>
      <c r="L70" s="246" t="str">
        <f>VLOOKUP(A70,'Trips&amp;Operators'!$C$1:$G$99911,5,FALSE)</f>
        <v>BADERTSCHER DIANE</v>
      </c>
      <c r="M70" s="225">
        <f>I70-F70</f>
        <v>2.9537037036789116E-2</v>
      </c>
      <c r="N70" s="226">
        <f>24*60*SUM($M70:$M70)</f>
        <v>42.533333332976326</v>
      </c>
      <c r="O70" s="226"/>
      <c r="P70" s="226"/>
      <c r="Q70" s="229"/>
      <c r="R70" s="243"/>
      <c r="S70" s="250">
        <f>1/IF(AG70="EC",12,1)*SUM(U70:U70)</f>
        <v>1</v>
      </c>
      <c r="T70" s="243" t="str">
        <f>IF(ISEVEN(LEFT(AD70,4)),"Southbound","NorthBound")</f>
        <v>Southbound</v>
      </c>
      <c r="U70" s="24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9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-11-24T10:34:11-0700',mode:absolute,to:'2017-11-24T13:24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0" s="248" t="str">
        <f>IF(AA70&lt;VLOOKUP(AG70,Variables!$AC$3:$AD$8,2,FALSE),"Y","N")</f>
        <v>N</v>
      </c>
      <c r="X70" s="248">
        <f>VALUE(LEFT(AD70,4))-VALUE(LEFT(AD69,4))</f>
        <v>1</v>
      </c>
      <c r="Y70" s="248">
        <f>RIGHT(D70,LEN(D70)-4)/10000</f>
        <v>23.286899999999999</v>
      </c>
      <c r="Z70" s="248">
        <f>RIGHT(H70,LEN(H70)-4)/10000</f>
        <v>3.4200000000000001E-2</v>
      </c>
      <c r="AA70" s="248">
        <f>ABS(Z70-Y70)</f>
        <v>23.252700000000001</v>
      </c>
      <c r="AB70" s="234" t="e">
        <f>VLOOKUP(A70,Enforcements!$C$7:$K$9,8,0)</f>
        <v>#N/A</v>
      </c>
      <c r="AC70" s="233" t="e">
        <f>VLOOKUP(A70,Enforcements!$C$7:$E$9,3,0)</f>
        <v>#N/A</v>
      </c>
      <c r="AD70" s="244">
        <f>VALUE(LEFT(A70,LEN(A70)-3))</f>
        <v>158</v>
      </c>
      <c r="AE70" s="236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s3://rtdc.mdm.uploadarchive.raw/RTDC4005/ "%USERPROFILE%\AppData\Local\Temp\OnboardLogs"\RTDC4005\2017-11-24 --exclude "*" --recursive --include "*20171124*" &amp; "%USERPROFILE%\Documents\GitHub\mrs-test-scripts\Headless Mode &amp; Sideloading\WalkAndUnGZ.bat" "%USERPROFILE%\AppData\Local\Temp\OnboardLogs"\RTDC4005\2017-11-24 &amp; aws s3 cp s3://rtdc.mdm.uploadarchive.raw/RTDC4005/ "%USERPROFILE%\AppData\Local\Temp\OnboardLogs"\RTDC4005\2017-11-25 --exclude "*" --recursive --include "*20171125*" &amp; "%USERPROFILE%\Documents\GitHub\mrs-test-scripts\Headless Mode &amp; Sideloading\WalkAndUnGZ.bat" "%USERPROFILE%\AppData\Local\Temp\OnboardLogs"\RTDC4005\2017-11-25</v>
      </c>
      <c r="AF70" s="235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/stypes="app*4005*20171124*" /stext=" 19:.+((SYSTEM_STATE.+slice.+state.+changed )|(ment ac)|(multiple cpu faults)|(system.+state.+changed )|(\[timeout)|(PRM\|1\|D)|(kpr)|(kdp)|(train st.+moving)|(\|lc)|(penalty))"</v>
      </c>
      <c r="AG70" s="245" t="str">
        <f>DetSubdiv(A70)</f>
        <v>EC</v>
      </c>
      <c r="AH70" s="237" t="str">
        <f t="shared" si="5"/>
        <v>"%USERPROFILE%\Documents\GitHub\eaglep3\Utilities\RefineRTDCRunTimes.py" --tripid 158-24 --locoid 4005 --swversion DE.1.0.9.0 --startMP 204:232869 --initTime 2017-11-24T11:34:11 --startdatetime 2017-11-24T11:42:14 --delay 117 --endMP 204:342 --enddatetime 2017-11-24T12:24:46 --enforcementcount 0 &gt;&gt;%USERPROFILE%\Documents\GitHub\eaglep3-reporting\EC\2017-11-24-refined-times.txt</v>
      </c>
      <c r="AI70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{"issue":{"subject":"","project_id":79,"tracker_id":40,"status_id":1,"priority_id":2,"assigned_to_id":338,"start_date":"2017-11-24","description":"","custom_fields":[{"id":1,"name":"Subdivision","value":"EC"},{"id":4,"name":"Milepost","value":"0.0342"},{"id":17,"name":"Train ID","value":"158-24"},{"id":16,"name":"Locomotive ID","value":"4005"},{"id":130,"name":"Impact","value":""},{"id":150,"name":"Time of Event (Mountain Time)","value":"12:24:46"},{"id":151,"name":"Denver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4"/>
      <c r="AK70" s="232"/>
      <c r="AL70" s="232"/>
      <c r="AM70" s="241" t="str">
        <f t="shared" si="7"/>
        <v>start /low /b %USERPROFILE%\Documents\GitHub\eaglep3\Utilities\DownloadLogsFromS3.py --loco 4005 --day 2017-11-24</v>
      </c>
      <c r="AN70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19:24:46"},{"id":29,"name":"Sharepoint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1" t="str">
        <f t="shared" si="9"/>
        <v>https://d0f6bd738d7f1b3e5a7ca70fe4ff75f0.us-east-1.aws.found.io/app/kibana#/discover/Steve-Slow-Train-Analysis-(2080s-and-2083s)?_g=(refreshInterval:(display:Off,pause:!f,section:0,value:0),time:(from:'2017-11-24T10:34:11-0700',mode:absolute,to:'2017-11-24T13:24:46-0700'))&amp;_a=(columns:!('Message%20ID',Summary),filters:!(),index:'emp_*',interval:auto,query:(query_string:(analyze_wildcard:!t,query:'%22rtdc.l.rtdc.4005%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30" t="s">
        <v>790</v>
      </c>
      <c r="B71" s="226">
        <v>4064</v>
      </c>
      <c r="C71" s="228" t="s">
        <v>192</v>
      </c>
      <c r="D71" s="228" t="s">
        <v>978</v>
      </c>
      <c r="E71" s="227">
        <v>43063.452974537038</v>
      </c>
      <c r="F71" s="227">
        <v>43063.458506944444</v>
      </c>
      <c r="G71" s="226">
        <v>389</v>
      </c>
      <c r="H71" s="228" t="s">
        <v>979</v>
      </c>
      <c r="I71" s="227">
        <v>43063.483437499999</v>
      </c>
      <c r="J71" s="226">
        <v>0</v>
      </c>
      <c r="K71" s="238" t="str">
        <f>IF(ISEVEN(B71),(B71-1)&amp;"/"&amp;B71,B71&amp;"/"&amp;(B71+1))</f>
        <v>4063/4064</v>
      </c>
      <c r="L71" s="246" t="str">
        <f>VLOOKUP(A71,'Trips&amp;Operators'!$C$1:$G$99911,5,FALSE)</f>
        <v>NICHOLAS PLOYSA</v>
      </c>
      <c r="M71" s="225">
        <f>I71-F71</f>
        <v>2.4930555555329192E-2</v>
      </c>
      <c r="N71" s="226">
        <f>24*60*SUM($M71:$M71)</f>
        <v>35.899999999674037</v>
      </c>
      <c r="O71" s="226"/>
      <c r="P71" s="226"/>
      <c r="Q71" s="229"/>
      <c r="R71" s="243"/>
      <c r="S71" s="250">
        <f>1/IF(AG71="EC",12,1)*SUM(U71:U71)</f>
        <v>1</v>
      </c>
      <c r="T71" s="243" t="str">
        <f>IF(ISEVEN(LEFT(AD71,4)),"Southbound","NorthBound")</f>
        <v>NorthBound</v>
      </c>
      <c r="U71" s="24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9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-11-24T09:52:17-0700',mode:absolute,to:'2017-11-24T12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1" s="248" t="str">
        <f>IF(AA71&lt;VLOOKUP(AG71,Variables!$AC$3:$AD$8,2,FALSE),"Y","N")</f>
        <v>N</v>
      </c>
      <c r="X71" s="248">
        <f>VALUE(LEFT(AD71,4))-VALUE(LEFT(AD70,4))</f>
        <v>1</v>
      </c>
      <c r="Y71" s="248">
        <f>RIGHT(D71,LEN(D71)-4)/10000</f>
        <v>6.6199999999999995E-2</v>
      </c>
      <c r="Z71" s="248">
        <f>RIGHT(H71,LEN(H71)-4)/10000</f>
        <v>23.316199999999998</v>
      </c>
      <c r="AA71" s="248">
        <f>ABS(Z71-Y71)</f>
        <v>23.25</v>
      </c>
      <c r="AB71" s="234" t="e">
        <f>VLOOKUP(A71,Enforcements!$C$7:$K$9,8,0)</f>
        <v>#N/A</v>
      </c>
      <c r="AC71" s="233" t="e">
        <f>VLOOKUP(A71,Enforcements!$C$7:$E$9,3,0)</f>
        <v>#N/A</v>
      </c>
      <c r="AD71" s="244">
        <f>VALUE(LEFT(A71,LEN(A71)-3))</f>
        <v>159</v>
      </c>
      <c r="AE71" s="236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s3://rtdc.mdm.uploadarchive.raw/RTDC4064/ "%USERPROFILE%\AppData\Local\Temp\OnboardLogs"\RTDC4064\2017-11-24 --exclude "*" --recursive --include "*20171124*" &amp; "%USERPROFILE%\Documents\GitHub\mrs-test-scripts\Headless Mode &amp; Sideloading\WalkAndUnGZ.bat" "%USERPROFILE%\AppData\Local\Temp\OnboardLogs"\RTDC4064\2017-11-24 &amp; aws s3 cp s3://rtdc.mdm.uploadarchive.raw/RTDC4064/ "%USERPROFILE%\AppData\Local\Temp\OnboardLogs"\RTDC4064\2017-11-25 --exclude "*" --recursive --include "*20171125*" &amp; "%USERPROFILE%\Documents\GitHub\mrs-test-scripts\Headless Mode &amp; Sideloading\WalkAndUnGZ.bat" "%USERPROFILE%\AppData\Local\Temp\OnboardLogs"\RTDC4064\2017-11-25</v>
      </c>
      <c r="AF71" s="235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/stypes="app*4064*20171124*" /stext=" 18:.+((SYSTEM_STATE.+slice.+state.+changed )|(ment ac)|(multiple cpu faults)|(system.+state.+changed )|(\[timeout)|(PRM\|1\|D)|(kpr)|(kdp)|(train st.+moving)|(\|lc)|(penalty))"</v>
      </c>
      <c r="AG71" s="245" t="str">
        <f>DetSubdiv(A71)</f>
        <v>EC</v>
      </c>
      <c r="AH71" s="237" t="str">
        <f t="shared" si="5"/>
        <v>"%USERPROFILE%\Documents\GitHub\eaglep3\Utilities\RefineRTDCRunTimes.py" --tripid 159-24 --locoid 4064 --swversion DE.1.0.9.0 --startMP 204:662 --initTime 2017-11-24T10:52:17 --startdatetime 2017-11-24T11:00:15 --delay 389 --endMP 204:233162 --enddatetime 2017-11-24T11:36:09 --enforcementcount 0 &gt;&gt;%USERPROFILE%\Documents\GitHub\eaglep3-reporting\EC\2017-11-24-refined-times.txt</v>
      </c>
      <c r="AI71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{"issue":{"subject":"","project_id":79,"tracker_id":40,"status_id":1,"priority_id":2,"assigned_to_id":338,"start_date":"2017-11-24","description":"","custom_fields":[{"id":1,"name":"Subdivision","value":"EC"},{"id":4,"name":"Milepost","value":"23.3162"},{"id":17,"name":"Train ID","value":"159-24"},{"id":16,"name":"Locomotive ID","value":"4064"},{"id":130,"name":"Impact","value":""},{"id":150,"name":"Time of Event (Mountain Time)","value":"11:36:09"},{"id":151,"name":"Denver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4"/>
      <c r="AK71" s="232"/>
      <c r="AL71" s="232"/>
      <c r="AM71" s="241" t="str">
        <f t="shared" si="7"/>
        <v>start /low /b %USERPROFILE%\Documents\GitHub\eaglep3\Utilities\DownloadLogsFromS3.py --loco 4064 --day 2017-11-24</v>
      </c>
      <c r="AN71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18:36:09"},{"id":29,"name":"Sharepoint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1" t="str">
        <f t="shared" si="9"/>
        <v>https://d0f6bd738d7f1b3e5a7ca70fe4ff75f0.us-east-1.aws.found.io/app/kibana#/discover/Steve-Slow-Train-Analysis-(2080s-and-2083s)?_g=(refreshInterval:(display:Off,pause:!f,section:0,value:0),time:(from:'2017-11-24T09:52:17-0700',mode:absolute,to:'2017-11-24T12:36:09-0700'))&amp;_a=(columns:!('Message%20ID',Summary),filters:!(),index:'emp_*',interval:auto,query:(query_string:(analyze_wildcard:!t,query:'%22rtdc.l.rtdc.4064%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30" t="s">
        <v>669</v>
      </c>
      <c r="B72" s="226">
        <v>4063</v>
      </c>
      <c r="C72" s="228" t="s">
        <v>192</v>
      </c>
      <c r="D72" s="228" t="s">
        <v>980</v>
      </c>
      <c r="E72" s="227">
        <v>43063.484525462962</v>
      </c>
      <c r="F72" s="227">
        <v>43063.498124999998</v>
      </c>
      <c r="G72" s="226">
        <v>104</v>
      </c>
      <c r="H72" s="228" t="s">
        <v>981</v>
      </c>
      <c r="I72" s="227">
        <v>43063.526296296295</v>
      </c>
      <c r="J72" s="226">
        <v>0</v>
      </c>
      <c r="K72" s="238" t="str">
        <f>IF(ISEVEN(B72),(B72-1)&amp;"/"&amp;B72,B72&amp;"/"&amp;(B72+1))</f>
        <v>4063/4064</v>
      </c>
      <c r="L72" s="246" t="str">
        <f>VLOOKUP(A72,'Trips&amp;Operators'!$C$1:$G$99911,5,FALSE)</f>
        <v>NICHOLAS PLOYSA</v>
      </c>
      <c r="M72" s="225">
        <f>I72-F72</f>
        <v>2.8171296296932269E-2</v>
      </c>
      <c r="N72" s="226">
        <f>24*60*SUM($M72:$M72)</f>
        <v>40.566666667582467</v>
      </c>
      <c r="O72" s="226"/>
      <c r="P72" s="226"/>
      <c r="Q72" s="229"/>
      <c r="R72" s="243"/>
      <c r="S72" s="250">
        <f>1/IF(AG72="EC",12,1)*SUM(U72:U72)</f>
        <v>1</v>
      </c>
      <c r="T72" s="243" t="str">
        <f>IF(ISEVEN(LEFT(AD72,4)),"Southbound","NorthBound")</f>
        <v>Southbound</v>
      </c>
      <c r="U72" s="24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9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-11-24T10:37:43-0700',mode:absolute,to:'2017-11-24T13:37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2" s="248" t="str">
        <f>IF(AA72&lt;VLOOKUP(AG72,Variables!$AC$3:$AD$8,2,FALSE),"Y","N")</f>
        <v>N</v>
      </c>
      <c r="X72" s="248">
        <f>VALUE(LEFT(AD72,4))-VALUE(LEFT(AD71,4))</f>
        <v>1</v>
      </c>
      <c r="Y72" s="248">
        <f>RIGHT(D72,LEN(D72)-4)/10000</f>
        <v>23.284099999999999</v>
      </c>
      <c r="Z72" s="248">
        <f>RIGHT(H72,LEN(H72)-4)/10000</f>
        <v>0.02</v>
      </c>
      <c r="AA72" s="248">
        <f>ABS(Z72-Y72)</f>
        <v>23.264099999999999</v>
      </c>
      <c r="AB72" s="234" t="e">
        <f>VLOOKUP(A72,Enforcements!$C$7:$K$9,8,0)</f>
        <v>#N/A</v>
      </c>
      <c r="AC72" s="233" t="e">
        <f>VLOOKUP(A72,Enforcements!$C$7:$E$9,3,0)</f>
        <v>#N/A</v>
      </c>
      <c r="AD72" s="244">
        <f>VALUE(LEFT(A72,LEN(A72)-3))</f>
        <v>160</v>
      </c>
      <c r="AE72" s="236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s3://rtdc.mdm.uploadarchive.raw/RTDC4063/ "%USERPROFILE%\AppData\Local\Temp\OnboardLogs"\RTDC4063\2017-11-24 --exclude "*" --recursive --include "*20171124*" &amp; "%USERPROFILE%\Documents\GitHub\mrs-test-scripts\Headless Mode &amp; Sideloading\WalkAndUnGZ.bat" "%USERPROFILE%\AppData\Local\Temp\OnboardLogs"\RTDC4063\2017-11-24 &amp; aws s3 cp s3://rtdc.mdm.uploadarchive.raw/RTDC4063/ "%USERPROFILE%\AppData\Local\Temp\OnboardLogs"\RTDC4063\2017-11-25 --exclude "*" --recursive --include "*20171125*" &amp; "%USERPROFILE%\Documents\GitHub\mrs-test-scripts\Headless Mode &amp; Sideloading\WalkAndUnGZ.bat" "%USERPROFILE%\AppData\Local\Temp\OnboardLogs"\RTDC4063\2017-11-25</v>
      </c>
      <c r="AF72" s="235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/stypes="app*4063*20171124*" /stext=" 19:.+((SYSTEM_STATE.+slice.+state.+changed )|(ment ac)|(multiple cpu faults)|(system.+state.+changed )|(\[timeout)|(PRM\|1\|D)|(kpr)|(kdp)|(train st.+moving)|(\|lc)|(penalty))"</v>
      </c>
      <c r="AG72" s="245" t="str">
        <f>DetSubdiv(A72)</f>
        <v>EC</v>
      </c>
      <c r="AH72" s="237" t="str">
        <f t="shared" si="5"/>
        <v>"%USERPROFILE%\Documents\GitHub\eaglep3\Utilities\RefineRTDCRunTimes.py" --tripid 160-24 --locoid 4063 --swversion DE.1.0.9.0 --startMP 204:232841 --initTime 2017-11-24T11:37:43 --startdatetime 2017-11-24T11:57:18 --delay 104 --endMP 204:200 --enddatetime 2017-11-24T12:37:52 --enforcementcount 0 &gt;&gt;%USERPROFILE%\Documents\GitHub\eaglep3-reporting\EC\2017-11-24-refined-times.txt</v>
      </c>
      <c r="AI72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{"issue":{"subject":"","project_id":79,"tracker_id":40,"status_id":1,"priority_id":2,"assigned_to_id":338,"start_date":"2017-11-24","description":"","custom_fields":[{"id":1,"name":"Subdivision","value":"EC"},{"id":4,"name":"Milepost","value":"0.02"},{"id":17,"name":"Train ID","value":"160-24"},{"id":16,"name":"Locomotive ID","value":"4063"},{"id":130,"name":"Impact","value":""},{"id":150,"name":"Time of Event (Mountain Time)","value":"12:37:52"},{"id":151,"name":"Denver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4"/>
      <c r="AK72" s="232"/>
      <c r="AL72" s="232"/>
      <c r="AM72" s="241" t="str">
        <f t="shared" si="7"/>
        <v>start /low /b %USERPROFILE%\Documents\GitHub\eaglep3\Utilities\DownloadLogsFromS3.py --loco 4063 --day 2017-11-24</v>
      </c>
      <c r="AN72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19:37:52"},{"id":29,"name":"Sharepoint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1" t="str">
        <f t="shared" si="9"/>
        <v>https://d0f6bd738d7f1b3e5a7ca70fe4ff75f0.us-east-1.aws.found.io/app/kibana#/discover/Steve-Slow-Train-Analysis-(2080s-and-2083s)?_g=(refreshInterval:(display:Off,pause:!f,section:0,value:0),time:(from:'2017-11-24T10:37:43-0700',mode:absolute,to:'2017-11-24T13:37:52-0700'))&amp;_a=(columns:!('Message%20ID',Summary),filters:!(),index:'emp_*',interval:auto,query:(query_string:(analyze_wildcard:!t,query:'%22rtdc.l.rtdc.4063%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30" t="s">
        <v>795</v>
      </c>
      <c r="B73" s="226">
        <v>4010</v>
      </c>
      <c r="C73" s="228" t="s">
        <v>192</v>
      </c>
      <c r="D73" s="228" t="s">
        <v>638</v>
      </c>
      <c r="E73" s="227">
        <v>43063.469166666669</v>
      </c>
      <c r="F73" s="227">
        <v>43063.471261574072</v>
      </c>
      <c r="G73" s="226">
        <v>77</v>
      </c>
      <c r="H73" s="228" t="s">
        <v>982</v>
      </c>
      <c r="I73" s="227">
        <v>43063.494849537034</v>
      </c>
      <c r="J73" s="226">
        <v>0</v>
      </c>
      <c r="K73" s="238" t="str">
        <f>IF(ISEVEN(B73),(B73-1)&amp;"/"&amp;B73,B73&amp;"/"&amp;(B73+1))</f>
        <v>4009/4010</v>
      </c>
      <c r="L73" s="246" t="str">
        <f>VLOOKUP(A73,'Trips&amp;Operators'!$C$1:$G$99911,5,FALSE)</f>
        <v>NEWELL JAMES</v>
      </c>
      <c r="M73" s="225">
        <f>I73-F73</f>
        <v>2.3587962961755693E-2</v>
      </c>
      <c r="N73" s="226">
        <f>24*60*SUM($M73:$M73)</f>
        <v>33.966666664928198</v>
      </c>
      <c r="O73" s="226"/>
      <c r="P73" s="226"/>
      <c r="Q73" s="229"/>
      <c r="R73" s="243"/>
      <c r="S73" s="250">
        <f>1/IF(AG73="EC",12,1)*SUM(U73:U73)</f>
        <v>1</v>
      </c>
      <c r="T73" s="243" t="str">
        <f>IF(ISEVEN(LEFT(AD73,4)),"Southbound","NorthBound")</f>
        <v>NorthBound</v>
      </c>
      <c r="U73" s="24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9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-11-24T10:15:36-0700',mode:absolute,to:'2017-11-24T12:52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3" s="248" t="str">
        <f>IF(AA73&lt;VLOOKUP(AG73,Variables!$AC$3:$AD$8,2,FALSE),"Y","N")</f>
        <v>N</v>
      </c>
      <c r="X73" s="248">
        <f>VALUE(LEFT(AD73,4))-VALUE(LEFT(AD72,4))</f>
        <v>1</v>
      </c>
      <c r="Y73" s="248">
        <f>RIGHT(D73,LEN(D73)-4)/10000</f>
        <v>4.53E-2</v>
      </c>
      <c r="Z73" s="248">
        <f>RIGHT(H73,LEN(H73)-4)/10000</f>
        <v>23.312000000000001</v>
      </c>
      <c r="AA73" s="248">
        <f>ABS(Z73-Y73)</f>
        <v>23.2667</v>
      </c>
      <c r="AB73" s="234" t="e">
        <f>VLOOKUP(A73,Enforcements!$C$7:$K$9,8,0)</f>
        <v>#N/A</v>
      </c>
      <c r="AC73" s="233" t="e">
        <f>VLOOKUP(A73,Enforcements!$C$7:$E$9,3,0)</f>
        <v>#N/A</v>
      </c>
      <c r="AD73" s="244">
        <f>VALUE(LEFT(A73,LEN(A73)-3))</f>
        <v>161</v>
      </c>
      <c r="AE73" s="236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s3://rtdc.mdm.uploadarchive.raw/RTDC4010/ "%USERPROFILE%\AppData\Local\Temp\OnboardLogs"\RTDC4010\2017-11-24 --exclude "*" --recursive --include "*20171124*" &amp; "%USERPROFILE%\Documents\GitHub\mrs-test-scripts\Headless Mode &amp; Sideloading\WalkAndUnGZ.bat" "%USERPROFILE%\AppData\Local\Temp\OnboardLogs"\RTDC4010\2017-11-24 &amp; aws s3 cp s3://rtdc.mdm.uploadarchive.raw/RTDC4010/ "%USERPROFILE%\AppData\Local\Temp\OnboardLogs"\RTDC4010\2017-11-25 --exclude "*" --recursive --include "*20171125*" &amp; "%USERPROFILE%\Documents\GitHub\mrs-test-scripts\Headless Mode &amp; Sideloading\WalkAndUnGZ.bat" "%USERPROFILE%\AppData\Local\Temp\OnboardLogs"\RTDC4010\2017-11-25</v>
      </c>
      <c r="AF73" s="235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/stypes="app*4010*20171124*" /stext=" 18:.+((SYSTEM_STATE.+slice.+state.+changed )|(ment ac)|(multiple cpu faults)|(system.+state.+changed )|(\[timeout)|(PRM\|1\|D)|(kpr)|(kdp)|(train st.+moving)|(\|lc)|(penalty))"</v>
      </c>
      <c r="AG73" s="245" t="str">
        <f>DetSubdiv(A73)</f>
        <v>EC</v>
      </c>
      <c r="AH73" s="237" t="str">
        <f t="shared" si="5"/>
        <v>"%USERPROFILE%\Documents\GitHub\eaglep3\Utilities\RefineRTDCRunTimes.py" --tripid 161-24 --locoid 4010 --swversion DE.1.0.9.0 --startMP 204:453 --initTime 2017-11-24T11:15:36 --startdatetime 2017-11-24T11:18:37 --delay 77 --endMP 204:233120 --enddatetime 2017-11-24T11:52:35 --enforcementcount 0 &gt;&gt;%USERPROFILE%\Documents\GitHub\eaglep3-reporting\EC\2017-11-24-refined-times.txt</v>
      </c>
      <c r="AI73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{"issue":{"subject":"","project_id":79,"tracker_id":40,"status_id":1,"priority_id":2,"assigned_to_id":338,"start_date":"2017-11-24","description":"","custom_fields":[{"id":1,"name":"Subdivision","value":"EC"},{"id":4,"name":"Milepost","value":"23.312"},{"id":17,"name":"Train ID","value":"161-24"},{"id":16,"name":"Locomotive ID","value":"4010"},{"id":130,"name":"Impact","value":""},{"id":150,"name":"Time of Event (Mountain Time)","value":"11:52:35"},{"id":151,"name":"Denver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4"/>
      <c r="AK73" s="232"/>
      <c r="AL73" s="232"/>
      <c r="AM73" s="241" t="str">
        <f t="shared" si="7"/>
        <v>start /low /b %USERPROFILE%\Documents\GitHub\eaglep3\Utilities\DownloadLogsFromS3.py --loco 4010 --day 2017-11-24</v>
      </c>
      <c r="AN73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18:52:35"},{"id":29,"name":"Sharepoint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1" t="str">
        <f t="shared" si="9"/>
        <v>https://d0f6bd738d7f1b3e5a7ca70fe4ff75f0.us-east-1.aws.found.io/app/kibana#/discover/Steve-Slow-Train-Analysis-(2080s-and-2083s)?_g=(refreshInterval:(display:Off,pause:!f,section:0,value:0),time:(from:'2017-11-24T10:15:36-0700',mode:absolute,to:'2017-11-24T12:52:35-0700'))&amp;_a=(columns:!('Message%20ID',Summary),filters:!(),index:'emp_*',interval:auto,query:(query_string:(analyze_wildcard:!t,query:'%22rtdc.l.rtdc.4010%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30" t="s">
        <v>802</v>
      </c>
      <c r="B74" s="226">
        <v>4009</v>
      </c>
      <c r="C74" s="228" t="s">
        <v>192</v>
      </c>
      <c r="D74" s="228" t="s">
        <v>983</v>
      </c>
      <c r="E74" s="227">
        <v>43063.497002314813</v>
      </c>
      <c r="F74" s="227">
        <v>43063.50849537037</v>
      </c>
      <c r="G74" s="226">
        <v>251</v>
      </c>
      <c r="H74" s="228" t="s">
        <v>619</v>
      </c>
      <c r="I74" s="227">
        <v>43063.536608796298</v>
      </c>
      <c r="J74" s="226">
        <v>0</v>
      </c>
      <c r="K74" s="238" t="str">
        <f>IF(ISEVEN(B74),(B74-1)&amp;"/"&amp;B74,B74&amp;"/"&amp;(B74+1))</f>
        <v>4009/4010</v>
      </c>
      <c r="L74" s="246" t="str">
        <f>VLOOKUP(A74,'Trips&amp;Operators'!$C$1:$G$99911,5,FALSE)</f>
        <v>NEWELL JAMES</v>
      </c>
      <c r="M74" s="225">
        <f>I74-F74</f>
        <v>2.8113425927585922E-2</v>
      </c>
      <c r="N74" s="226">
        <f>24*60*SUM($M74:$M74)</f>
        <v>40.483333335723728</v>
      </c>
      <c r="O74" s="226"/>
      <c r="P74" s="226"/>
      <c r="Q74" s="229"/>
      <c r="R74" s="243"/>
      <c r="S74" s="250">
        <f>1/IF(AG74="EC",12,1)*SUM(U74:U74)</f>
        <v>1</v>
      </c>
      <c r="T74" s="243" t="str">
        <f>IF(ISEVEN(LEFT(AD74,4)),"Southbound","NorthBound")</f>
        <v>Southbound</v>
      </c>
      <c r="U74" s="24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9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-11-24T10:55:41-0700',mode:absolute,to:'2017-11-24T13:52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4" s="248" t="str">
        <f>IF(AA74&lt;VLOOKUP(AG74,Variables!$AC$3:$AD$8,2,FALSE),"Y","N")</f>
        <v>N</v>
      </c>
      <c r="X74" s="248">
        <f>VALUE(LEFT(AD74,4))-VALUE(LEFT(AD73,4))</f>
        <v>1</v>
      </c>
      <c r="Y74" s="248">
        <f>RIGHT(D74,LEN(D74)-4)/10000</f>
        <v>23.281500000000001</v>
      </c>
      <c r="Z74" s="248">
        <f>RIGHT(H74,LEN(H74)-4)/10000</f>
        <v>2.3199999999999998E-2</v>
      </c>
      <c r="AA74" s="248">
        <f>ABS(Z74-Y74)</f>
        <v>23.258300000000002</v>
      </c>
      <c r="AB74" s="234" t="e">
        <f>VLOOKUP(A74,Enforcements!$C$7:$K$9,8,0)</f>
        <v>#N/A</v>
      </c>
      <c r="AC74" s="233" t="e">
        <f>VLOOKUP(A74,Enforcements!$C$7:$E$9,3,0)</f>
        <v>#N/A</v>
      </c>
      <c r="AD74" s="244">
        <f>VALUE(LEFT(A74,LEN(A74)-3))</f>
        <v>162</v>
      </c>
      <c r="AE74" s="236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s3://rtdc.mdm.uploadarchive.raw/RTDC4009/ "%USERPROFILE%\AppData\Local\Temp\OnboardLogs"\RTDC4009\2017-11-24 --exclude "*" --recursive --include "*20171124*" &amp; "%USERPROFILE%\Documents\GitHub\mrs-test-scripts\Headless Mode &amp; Sideloading\WalkAndUnGZ.bat" "%USERPROFILE%\AppData\Local\Temp\OnboardLogs"\RTDC4009\2017-11-24 &amp; aws s3 cp s3://rtdc.mdm.uploadarchive.raw/RTDC4009/ "%USERPROFILE%\AppData\Local\Temp\OnboardLogs"\RTDC4009\2017-11-25 --exclude "*" --recursive --include "*20171125*" &amp; "%USERPROFILE%\Documents\GitHub\mrs-test-scripts\Headless Mode &amp; Sideloading\WalkAndUnGZ.bat" "%USERPROFILE%\AppData\Local\Temp\OnboardLogs"\RTDC4009\2017-11-25</v>
      </c>
      <c r="AF74" s="235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/stypes="app*4009*20171124*" /stext=" 19:.+((SYSTEM_STATE.+slice.+state.+changed )|(ment ac)|(multiple cpu faults)|(system.+state.+changed )|(\[timeout)|(PRM\|1\|D)|(kpr)|(kdp)|(train st.+moving)|(\|lc)|(penalty))"</v>
      </c>
      <c r="AG74" s="245" t="str">
        <f>DetSubdiv(A74)</f>
        <v>EC</v>
      </c>
      <c r="AH74" s="237" t="str">
        <f t="shared" si="5"/>
        <v>"%USERPROFILE%\Documents\GitHub\eaglep3\Utilities\RefineRTDCRunTimes.py" --tripid 162-24 --locoid 4009 --swversion DE.1.0.9.0 --startMP 204:232815 --initTime 2017-11-24T11:55:41 --startdatetime 2017-11-24T12:12:14 --delay 251 --endMP 204:232 --enddatetime 2017-11-24T12:52:43 --enforcementcount 0 &gt;&gt;%USERPROFILE%\Documents\GitHub\eaglep3-reporting\EC\2017-11-24-refined-times.txt</v>
      </c>
      <c r="AI74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{"issue":{"subject":"","project_id":79,"tracker_id":40,"status_id":1,"priority_id":2,"assigned_to_id":338,"start_date":"2017-11-24","description":"","custom_fields":[{"id":1,"name":"Subdivision","value":"EC"},{"id":4,"name":"Milepost","value":"0.0232"},{"id":17,"name":"Train ID","value":"162-24"},{"id":16,"name":"Locomotive ID","value":"4009"},{"id":130,"name":"Impact","value":""},{"id":150,"name":"Time of Event (Mountain Time)","value":"12:52:43"},{"id":151,"name":"Denver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4"/>
      <c r="AK74" s="232"/>
      <c r="AL74" s="232"/>
      <c r="AM74" s="241" t="str">
        <f t="shared" si="7"/>
        <v>start /low /b %USERPROFILE%\Documents\GitHub\eaglep3\Utilities\DownloadLogsFromS3.py --loco 4009 --day 2017-11-24</v>
      </c>
      <c r="AN74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19:52:43"},{"id":29,"name":"Sharepoint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1" t="str">
        <f t="shared" si="9"/>
        <v>https://d0f6bd738d7f1b3e5a7ca70fe4ff75f0.us-east-1.aws.found.io/app/kibana#/discover/Steve-Slow-Train-Analysis-(2080s-and-2083s)?_g=(refreshInterval:(display:Off,pause:!f,section:0,value:0),time:(from:'2017-11-24T10:55:41-0700',mode:absolute,to:'2017-11-24T13:52:43-0700'))&amp;_a=(columns:!('Message%20ID',Summary),filters:!(),index:'emp_*',interval:auto,query:(query_string:(analyze_wildcard:!t,query:'%22rtdc.l.rtdc.4009%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30" t="s">
        <v>797</v>
      </c>
      <c r="B75" s="226">
        <v>4036</v>
      </c>
      <c r="C75" s="228" t="s">
        <v>192</v>
      </c>
      <c r="D75" s="228" t="s">
        <v>984</v>
      </c>
      <c r="E75" s="227">
        <v>43063.475925925923</v>
      </c>
      <c r="F75" s="227">
        <v>43063.479328703703</v>
      </c>
      <c r="G75" s="226">
        <v>105</v>
      </c>
      <c r="H75" s="228" t="s">
        <v>515</v>
      </c>
      <c r="I75" s="227">
        <v>43063.504143518519</v>
      </c>
      <c r="J75" s="226">
        <v>0</v>
      </c>
      <c r="K75" s="238" t="str">
        <f>IF(ISEVEN(B75),(B75-1)&amp;"/"&amp;B75,B75&amp;"/"&amp;(B75+1))</f>
        <v>4035/4036</v>
      </c>
      <c r="L75" s="246" t="str">
        <f>VLOOKUP(A75,'Trips&amp;Operators'!$C$1:$G$99911,5,FALSE)</f>
        <v>BRUDER RICHARD</v>
      </c>
      <c r="M75" s="225">
        <f>I75-F75</f>
        <v>2.4814814816636499E-2</v>
      </c>
      <c r="N75" s="226">
        <f>24*60*SUM($M75:$M75)</f>
        <v>35.733333335956559</v>
      </c>
      <c r="O75" s="226"/>
      <c r="P75" s="226"/>
      <c r="Q75" s="229"/>
      <c r="R75" s="243"/>
      <c r="S75" s="250">
        <f>1/IF(AG75="EC",12,1)*SUM(U75:U75)</f>
        <v>1</v>
      </c>
      <c r="T75" s="243" t="str">
        <f>IF(ISEVEN(LEFT(AD75,4)),"Southbound","NorthBound")</f>
        <v>NorthBound</v>
      </c>
      <c r="U75" s="24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9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-11-24T10:25:20-0700',mode:absolute,to:'2017-11-24T13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5" s="248" t="str">
        <f>IF(AA75&lt;VLOOKUP(AG75,Variables!$AC$3:$AD$8,2,FALSE),"Y","N")</f>
        <v>N</v>
      </c>
      <c r="X75" s="248">
        <f>VALUE(LEFT(AD75,4))-VALUE(LEFT(AD74,4))</f>
        <v>1</v>
      </c>
      <c r="Y75" s="248">
        <f>RIGHT(D75,LEN(D75)-4)/10000</f>
        <v>6.5299999999999997E-2</v>
      </c>
      <c r="Z75" s="248">
        <f>RIGHT(H75,LEN(H75)-4)/10000</f>
        <v>23.321899999999999</v>
      </c>
      <c r="AA75" s="248">
        <f>ABS(Z75-Y75)</f>
        <v>23.256599999999999</v>
      </c>
      <c r="AB75" s="234" t="e">
        <f>VLOOKUP(A75,Enforcements!$C$7:$K$9,8,0)</f>
        <v>#N/A</v>
      </c>
      <c r="AC75" s="233" t="e">
        <f>VLOOKUP(A75,Enforcements!$C$7:$E$9,3,0)</f>
        <v>#N/A</v>
      </c>
      <c r="AD75" s="244">
        <f>VALUE(LEFT(A75,LEN(A75)-3))</f>
        <v>163</v>
      </c>
      <c r="AE75" s="236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 &amp; aws s3 cp s3://rtdc.mdm.uploadarchive.raw/RTDC4036/ "%USERPROFILE%\AppData\Local\Temp\OnboardLogs"\RTDC4036\2017-11-25 --exclude "*" --recursive --include "*20171125*" &amp; "%USERPROFILE%\Documents\GitHub\mrs-test-scripts\Headless Mode &amp; Sideloading\WalkAndUnGZ.bat" "%USERPROFILE%\AppData\Local\Temp\OnboardLogs"\RTDC4036\2017-11-25</v>
      </c>
      <c r="AF75" s="235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/stypes="app*4036*20171124*" /stext=" 19:.+((SYSTEM_STATE.+slice.+state.+changed )|(ment ac)|(multiple cpu faults)|(system.+state.+changed )|(\[timeout)|(PRM\|1\|D)|(kpr)|(kdp)|(train st.+moving)|(\|lc)|(penalty))"</v>
      </c>
      <c r="AG75" s="245" t="str">
        <f>DetSubdiv(A75)</f>
        <v>EC</v>
      </c>
      <c r="AH75" s="237" t="str">
        <f t="shared" si="5"/>
        <v>"%USERPROFILE%\Documents\GitHub\eaglep3\Utilities\RefineRTDCRunTimes.py" --tripid 163-24 --locoid 4036 --swversion DE.1.0.9.0 --startMP 204:653 --initTime 2017-11-24T11:25:20 --startdatetime 2017-11-24T11:30:14 --delay 105 --endMP 204:233219 --enddatetime 2017-11-24T12:05:58 --enforcementcount 0 &gt;&gt;%USERPROFILE%\Documents\GitHub\eaglep3-reporting\EC\2017-11-24-refined-times.txt</v>
      </c>
      <c r="AI75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{"issue":{"subject":"","project_id":79,"tracker_id":40,"status_id":1,"priority_id":2,"assigned_to_id":338,"start_date":"2017-11-24","description":"","custom_fields":[{"id":1,"name":"Subdivision","value":"EC"},{"id":4,"name":"Milepost","value":"23.3219"},{"id":17,"name":"Train ID","value":"163-24"},{"id":16,"name":"Locomotive ID","value":"4036"},{"id":130,"name":"Impact","value":""},{"id":150,"name":"Time of Event (Mountain Time)","value":"12:05:58"},{"id":151,"name":"Denver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4"/>
      <c r="AK75" s="232"/>
      <c r="AL75" s="232"/>
      <c r="AM75" s="241" t="str">
        <f t="shared" si="7"/>
        <v>start /low /b %USERPROFILE%\Documents\GitHub\eaglep3\Utilities\DownloadLogsFromS3.py --loco 4036 --day 2017-11-24</v>
      </c>
      <c r="AN75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19:05:58"},{"id":29,"name":"Sharepoint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1" t="str">
        <f t="shared" si="9"/>
        <v>https://d0f6bd738d7f1b3e5a7ca70fe4ff75f0.us-east-1.aws.found.io/app/kibana#/discover/Steve-Slow-Train-Analysis-(2080s-and-2083s)?_g=(refreshInterval:(display:Off,pause:!f,section:0,value:0),time:(from:'2017-11-24T10:25:20-0700',mode:absolute,to:'2017-11-24T13:05:58-0700'))&amp;_a=(columns:!('Message%20ID',Summary),filters:!(),index:'emp_*',interval:auto,query:(query_string:(analyze_wildcard:!t,query:'%22rtdc.l.rtdc.4036%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30" t="s">
        <v>805</v>
      </c>
      <c r="B76" s="226">
        <v>4035</v>
      </c>
      <c r="C76" s="228" t="s">
        <v>192</v>
      </c>
      <c r="D76" s="228" t="s">
        <v>614</v>
      </c>
      <c r="E76" s="227">
        <v>43063.515694444446</v>
      </c>
      <c r="F76" s="227">
        <v>43063.518946759257</v>
      </c>
      <c r="G76" s="226">
        <v>130</v>
      </c>
      <c r="H76" s="228" t="s">
        <v>615</v>
      </c>
      <c r="I76" s="227">
        <v>43063.544594907406</v>
      </c>
      <c r="J76" s="226">
        <v>0</v>
      </c>
      <c r="K76" s="238" t="str">
        <f>IF(ISEVEN(B76),(B76-1)&amp;"/"&amp;B76,B76&amp;"/"&amp;(B76+1))</f>
        <v>4035/4036</v>
      </c>
      <c r="L76" s="246" t="str">
        <f>VLOOKUP(A76,'Trips&amp;Operators'!$C$1:$G$99911,5,FALSE)</f>
        <v>BRUDER RICHARD</v>
      </c>
      <c r="M76" s="225">
        <f>I76-F76</f>
        <v>2.5648148148320615E-2</v>
      </c>
      <c r="N76" s="226">
        <f>24*60*SUM($M76:$M76)</f>
        <v>36.933333333581686</v>
      </c>
      <c r="O76" s="226"/>
      <c r="P76" s="226"/>
      <c r="Q76" s="229"/>
      <c r="R76" s="243"/>
      <c r="S76" s="250">
        <f>1/IF(AG76="EC",12,1)*SUM(U76:U76)</f>
        <v>1</v>
      </c>
      <c r="T76" s="243" t="str">
        <f>IF(ISEVEN(LEFT(AD76,4)),"Southbound","NorthBound")</f>
        <v>Southbound</v>
      </c>
      <c r="U76" s="24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9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-11-24T11:22:36-0700',mode:absolute,to:'2017-11-24T14:04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6" s="248" t="str">
        <f>IF(AA76&lt;VLOOKUP(AG76,Variables!$AC$3:$AD$8,2,FALSE),"Y","N")</f>
        <v>N</v>
      </c>
      <c r="X76" s="248">
        <f>VALUE(LEFT(AD76,4))-VALUE(LEFT(AD75,4))</f>
        <v>1</v>
      </c>
      <c r="Y76" s="248">
        <f>RIGHT(D76,LEN(D76)-4)/10000</f>
        <v>23.290400000000002</v>
      </c>
      <c r="Z76" s="248">
        <f>RIGHT(H76,LEN(H76)-4)/10000</f>
        <v>2.2100000000000002E-2</v>
      </c>
      <c r="AA76" s="248">
        <f>ABS(Z76-Y76)</f>
        <v>23.268300000000004</v>
      </c>
      <c r="AB76" s="234" t="e">
        <f>VLOOKUP(A76,Enforcements!$C$7:$K$9,8,0)</f>
        <v>#N/A</v>
      </c>
      <c r="AC76" s="233" t="e">
        <f>VLOOKUP(A76,Enforcements!$C$7:$E$9,3,0)</f>
        <v>#N/A</v>
      </c>
      <c r="AD76" s="244">
        <f>VALUE(LEFT(A76,LEN(A76)-3))</f>
        <v>164</v>
      </c>
      <c r="AE76" s="236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 &amp; aws s3 cp s3://rtdc.mdm.uploadarchive.raw/RTDC4035/ "%USERPROFILE%\AppData\Local\Temp\OnboardLogs"\RTDC4035\2017-11-25 --exclude "*" --recursive --include "*20171125*" &amp; "%USERPROFILE%\Documents\GitHub\mrs-test-scripts\Headless Mode &amp; Sideloading\WalkAndUnGZ.bat" "%USERPROFILE%\AppData\Local\Temp\OnboardLogs"\RTDC4035\2017-11-25</v>
      </c>
      <c r="AF76" s="235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/stypes="app*4035*20171124*" /stext=" 20:.+((SYSTEM_STATE.+slice.+state.+changed )|(ment ac)|(multiple cpu faults)|(system.+state.+changed )|(\[timeout)|(PRM\|1\|D)|(kpr)|(kdp)|(train st.+moving)|(\|lc)|(penalty))"</v>
      </c>
      <c r="AG76" s="245" t="str">
        <f>DetSubdiv(A76)</f>
        <v>EC</v>
      </c>
      <c r="AH76" s="237" t="str">
        <f t="shared" si="5"/>
        <v>"%USERPROFILE%\Documents\GitHub\eaglep3\Utilities\RefineRTDCRunTimes.py" --tripid 164-24 --locoid 4035 --swversion DE.1.0.9.0 --startMP 204:232904 --initTime 2017-11-24T12:22:36 --startdatetime 2017-11-24T12:27:17 --delay 130 --endMP 204:221 --enddatetime 2017-11-24T13:04:13 --enforcementcount 0 &gt;&gt;%USERPROFILE%\Documents\GitHub\eaglep3-reporting\EC\2017-11-24-refined-times.txt</v>
      </c>
      <c r="AI76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{"issue":{"subject":"","project_id":79,"tracker_id":40,"status_id":1,"priority_id":2,"assigned_to_id":338,"start_date":"2017-11-24","description":"","custom_fields":[{"id":1,"name":"Subdivision","value":"EC"},{"id":4,"name":"Milepost","value":"0.0221"},{"id":17,"name":"Train ID","value":"164-24"},{"id":16,"name":"Locomotive ID","value":"4035"},{"id":130,"name":"Impact","value":""},{"id":150,"name":"Time of Event (Mountain Time)","value":"13:04:13"},{"id":151,"name":"Denver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4"/>
      <c r="AK76" s="232"/>
      <c r="AL76" s="232"/>
      <c r="AM76" s="241" t="str">
        <f t="shared" si="7"/>
        <v>start /low /b %USERPROFILE%\Documents\GitHub\eaglep3\Utilities\DownloadLogsFromS3.py --loco 4035 --day 2017-11-24</v>
      </c>
      <c r="AN76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20:04:13"},{"id":29,"name":"Sharepoint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1" t="str">
        <f t="shared" si="9"/>
        <v>https://d0f6bd738d7f1b3e5a7ca70fe4ff75f0.us-east-1.aws.found.io/app/kibana#/discover/Steve-Slow-Train-Analysis-(2080s-and-2083s)?_g=(refreshInterval:(display:Off,pause:!f,section:0,value:0),time:(from:'2017-11-24T11:22:36-0700',mode:absolute,to:'2017-11-24T14:04:13-0700'))&amp;_a=(columns:!('Message%20ID',Summary),filters:!(),index:'emp_*',interval:auto,query:(query_string:(analyze_wildcard:!t,query:'%22rtdc.l.rtdc.4035%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30" t="s">
        <v>798</v>
      </c>
      <c r="B77" s="226">
        <v>4002</v>
      </c>
      <c r="C77" s="228" t="s">
        <v>192</v>
      </c>
      <c r="D77" s="228" t="s">
        <v>985</v>
      </c>
      <c r="E77" s="227">
        <v>43063.486145833333</v>
      </c>
      <c r="F77" s="227">
        <v>43063.489837962959</v>
      </c>
      <c r="G77" s="226">
        <v>81</v>
      </c>
      <c r="H77" s="228" t="s">
        <v>613</v>
      </c>
      <c r="I77" s="227">
        <v>43063.515983796293</v>
      </c>
      <c r="J77" s="226">
        <v>0</v>
      </c>
      <c r="K77" s="238" t="str">
        <f>IF(ISEVEN(B77),(B77-1)&amp;"/"&amp;B77,B77&amp;"/"&amp;(B77+1))</f>
        <v>4001/4002</v>
      </c>
      <c r="L77" s="246" t="str">
        <f>VLOOKUP(A77,'Trips&amp;Operators'!$C$1:$G$99911,5,FALSE)</f>
        <v>LORI SANTOS</v>
      </c>
      <c r="M77" s="225">
        <f>I77-F77</f>
        <v>2.6145833333430346E-2</v>
      </c>
      <c r="N77" s="226">
        <f>24*60*SUM($M77:$M77)</f>
        <v>37.650000000139698</v>
      </c>
      <c r="O77" s="226"/>
      <c r="P77" s="226"/>
      <c r="Q77" s="229"/>
      <c r="R77" s="243"/>
      <c r="S77" s="250">
        <f>1/IF(AG77="EC",12,1)*SUM(U77:U77)</f>
        <v>1</v>
      </c>
      <c r="T77" s="243" t="str">
        <f>IF(ISEVEN(LEFT(AD77,4)),"Southbound","NorthBound")</f>
        <v>NorthBound</v>
      </c>
      <c r="U77" s="24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9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-24T10:40:03-0700',mode:absolute,to:'2017-11-24T13:23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7" s="248" t="str">
        <f>IF(AA77&lt;VLOOKUP(AG77,Variables!$AC$3:$AD$8,2,FALSE),"Y","N")</f>
        <v>N</v>
      </c>
      <c r="X77" s="248">
        <f>VALUE(LEFT(AD77,4))-VALUE(LEFT(AD76,4))</f>
        <v>1</v>
      </c>
      <c r="Y77" s="248">
        <f>RIGHT(D77,LEN(D77)-4)/10000</f>
        <v>5.7000000000000002E-2</v>
      </c>
      <c r="Z77" s="248">
        <f>RIGHT(H77,LEN(H77)-4)/10000</f>
        <v>23.3215</v>
      </c>
      <c r="AA77" s="248">
        <f>ABS(Z77-Y77)</f>
        <v>23.264500000000002</v>
      </c>
      <c r="AB77" s="234" t="e">
        <f>VLOOKUP(A77,Enforcements!$C$7:$K$9,8,0)</f>
        <v>#N/A</v>
      </c>
      <c r="AC77" s="233" t="e">
        <f>VLOOKUP(A77,Enforcements!$C$7:$E$9,3,0)</f>
        <v>#N/A</v>
      </c>
      <c r="AD77" s="244">
        <f>VALUE(LEFT(A77,LEN(A77)-3))</f>
        <v>165</v>
      </c>
      <c r="AE77" s="236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s3://rtdc.mdm.uploadarchive.raw/RTDC4002/ "%USERPROFILE%\AppData\Local\Temp\OnboardLogs"\RTDC4002\2017-11-24 --exclude "*" --recursive --include "*20171124*" &amp; "%USERPROFILE%\Documents\GitHub\mrs-test-scripts\Headless Mode &amp; Sideloading\WalkAndUnGZ.bat" "%USERPROFILE%\AppData\Local\Temp\OnboardLogs"\RTDC4002\2017-11-24 &amp; aws s3 cp s3://rtdc.mdm.uploadarchive.raw/RTDC4002/ "%USERPROFILE%\AppData\Local\Temp\OnboardLogs"\RTDC4002\2017-11-25 --exclude "*" --recursive --include "*20171125*" &amp; "%USERPROFILE%\Documents\GitHub\mrs-test-scripts\Headless Mode &amp; Sideloading\WalkAndUnGZ.bat" "%USERPROFILE%\AppData\Local\Temp\OnboardLogs"\RTDC4002\2017-11-25</v>
      </c>
      <c r="AF77" s="235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/stypes="app*4002*20171124*" /stext=" 19:.+((SYSTEM_STATE.+slice.+state.+changed )|(ment ac)|(multiple cpu faults)|(system.+state.+changed )|(\[timeout)|(PRM\|1\|D)|(kpr)|(kdp)|(train st.+moving)|(\|lc)|(penalty))"</v>
      </c>
      <c r="AG77" s="245" t="str">
        <f>DetSubdiv(A77)</f>
        <v>EC</v>
      </c>
      <c r="AH77" s="237" t="str">
        <f t="shared" si="5"/>
        <v>"%USERPROFILE%\Documents\GitHub\eaglep3\Utilities\RefineRTDCRunTimes.py" --tripid 165-24 --locoid 4002 --swversion DE.1.0.9.0 --startMP 204:570 --initTime 2017-11-24T11:40:03 --startdatetime 2017-11-24T11:45:22 --delay 81 --endMP 204:233215 --enddatetime 2017-11-24T12:23:01 --enforcementcount 0 &gt;&gt;%USERPROFILE%\Documents\GitHub\eaglep3-reporting\EC\2017-11-24-refined-times.txt</v>
      </c>
      <c r="AI77" s="239" t="str">
        <f t="shared" si="6"/>
        <v>echo {"issue":{"subject":"","project_id":79,"tracker_id":40,"status_id":1,"priority_id":2,"assigned_to_id":338,"start_date":"2017-11-24","description":"","custom_fields":[{"id":1,"name":"Subdivision","value":"EC"},{"id":4,"name":"Milepost","value":"23.3215"},{"id":17,"name":"Train ID","value":"165-24"},{"id":16,"name":"Locomotive ID","value":"4002"},{"id":130,"name":"Impact","value":""},{"id":150,"name":"Time of Event (Mountain Time)","value":"12:23:01"},{"id":151,"name":"Denver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4"/>
      <c r="AK77" s="232"/>
      <c r="AL77" s="232"/>
      <c r="AM77" s="241" t="str">
        <f t="shared" si="7"/>
        <v>start /low /b %USERPROFILE%\Documents\GitHub\eaglep3\Utilities\DownloadLogsFromS3.py --loco 4002 --day 2017-11-24</v>
      </c>
      <c r="AN77" s="242" t="str">
        <f t="shared" si="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19:23:01"},{"id":29,"name":"Sharepoint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1" t="str">
        <f t="shared" si="9"/>
        <v>https://d0f6bd738d7f1b3e5a7ca70fe4ff75f0.us-east-1.aws.found.io/app/kibana#/discover/Steve-Slow-Train-Analysis-(2080s-and-2083s)?_g=(refreshInterval:(display:Off,pause:!f,section:0,value:0),time:(from:'2017-11-24T10:40:03-0700',mode:absolute,to:'2017-11-24T13:23:01-0700'))&amp;_a=(columns:!('Message%20ID',Summary),filters:!(),index:'emp_*',interval:auto,query:(query_string:(analyze_wildcard:!t,query:'%22rtdc.l.rtdc.4002%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30" t="s">
        <v>806</v>
      </c>
      <c r="B78" s="226">
        <v>4001</v>
      </c>
      <c r="C78" s="228" t="s">
        <v>192</v>
      </c>
      <c r="D78" s="228" t="s">
        <v>540</v>
      </c>
      <c r="E78" s="227">
        <v>43063.524259259262</v>
      </c>
      <c r="F78" s="227">
        <v>43063.529351851852</v>
      </c>
      <c r="G78" s="226">
        <v>92</v>
      </c>
      <c r="H78" s="228" t="s">
        <v>945</v>
      </c>
      <c r="I78" s="227">
        <v>43063.556898148148</v>
      </c>
      <c r="J78" s="226">
        <v>0</v>
      </c>
      <c r="K78" s="238" t="str">
        <f>IF(ISEVEN(B78),(B78-1)&amp;"/"&amp;B78,B78&amp;"/"&amp;(B78+1))</f>
        <v>4001/4002</v>
      </c>
      <c r="L78" s="246" t="str">
        <f>VLOOKUP(A78,'Trips&amp;Operators'!$C$1:$G$99911,5,FALSE)</f>
        <v>LORI SANTOS</v>
      </c>
      <c r="M78" s="225">
        <f>I78-F78</f>
        <v>2.7546296296350192E-2</v>
      </c>
      <c r="N78" s="226">
        <f>24*60*SUM($M78:$M78)</f>
        <v>39.666666666744277</v>
      </c>
      <c r="O78" s="226"/>
      <c r="P78" s="226"/>
      <c r="Q78" s="229"/>
      <c r="R78" s="243"/>
      <c r="S78" s="250">
        <f>1/IF(AG78="EC",12,1)*SUM(U78:U78)</f>
        <v>1</v>
      </c>
      <c r="T78" s="243" t="str">
        <f>IF(ISEVEN(LEFT(AD78,4)),"Southbound","NorthBound")</f>
        <v>Southbound</v>
      </c>
      <c r="U78" s="24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9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-24T11:34:56-0700',mode:absolute,to:'2017-11-24T14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8" s="248" t="str">
        <f>IF(AA78&lt;VLOOKUP(AG78,Variables!$AC$3:$AD$8,2,FALSE),"Y","N")</f>
        <v>N</v>
      </c>
      <c r="X78" s="248">
        <f>VALUE(LEFT(AD78,4))-VALUE(LEFT(AD77,4))</f>
        <v>1</v>
      </c>
      <c r="Y78" s="248">
        <f>RIGHT(D78,LEN(D78)-4)/10000</f>
        <v>23.289000000000001</v>
      </c>
      <c r="Z78" s="248">
        <f>RIGHT(H78,LEN(H78)-4)/10000</f>
        <v>2.5100000000000001E-2</v>
      </c>
      <c r="AA78" s="248">
        <f>ABS(Z78-Y78)</f>
        <v>23.263900000000003</v>
      </c>
      <c r="AB78" s="234" t="e">
        <f>VLOOKUP(A78,Enforcements!$C$7:$K$9,8,0)</f>
        <v>#N/A</v>
      </c>
      <c r="AC78" s="233" t="e">
        <f>VLOOKUP(A78,Enforcements!$C$7:$E$9,3,0)</f>
        <v>#N/A</v>
      </c>
      <c r="AD78" s="244">
        <f>VALUE(LEFT(A78,LEN(A78)-3))</f>
        <v>166</v>
      </c>
      <c r="AE78" s="236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s3://rtdc.mdm.uploadarchive.raw/RTDC4001/ "%USERPROFILE%\AppData\Local\Temp\OnboardLogs"\RTDC4001\2017-11-24 --exclude "*" --recursive --include "*20171124*" &amp; "%USERPROFILE%\Documents\GitHub\mrs-test-scripts\Headless Mode &amp; Sideloading\WalkAndUnGZ.bat" "%USERPROFILE%\AppData\Local\Temp\OnboardLogs"\RTDC4001\2017-11-24 &amp; aws s3 cp s3://rtdc.mdm.uploadarchive.raw/RTDC4001/ "%USERPROFILE%\AppData\Local\Temp\OnboardLogs"\RTDC4001\2017-11-25 --exclude "*" --recursive --include "*20171125*" &amp; "%USERPROFILE%\Documents\GitHub\mrs-test-scripts\Headless Mode &amp; Sideloading\WalkAndUnGZ.bat" "%USERPROFILE%\AppData\Local\Temp\OnboardLogs"\RTDC4001\2017-11-25</v>
      </c>
      <c r="AF78" s="235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/stypes="app*4001*20171124*" /stext=" 20:.+((SYSTEM_STATE.+slice.+state.+changed )|(ment ac)|(multiple cpu faults)|(system.+state.+changed )|(\[timeout)|(PRM\|1\|D)|(kpr)|(kdp)|(train st.+moving)|(\|lc)|(penalty))"</v>
      </c>
      <c r="AG78" s="245" t="str">
        <f>DetSubdiv(A78)</f>
        <v>EC</v>
      </c>
      <c r="AH78" s="237" t="str">
        <f t="shared" ref="AH78:AH141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166-24 --locoid 4001 --swversion DE.1.0.9.0 --startMP 204:232890 --initTime 2017-11-24T12:34:56 --startdatetime 2017-11-24T12:42:16 --delay 92 --endMP 204:251 --enddatetime 2017-11-24T13:21:56 --enforcementcount 0 &gt;&gt;%USERPROFILE%\Documents\GitHub\eaglep3-reporting\EC\2017-11-24-refined-times.txt</v>
      </c>
      <c r="AI78" s="239" t="str">
        <f t="shared" ref="AI78:AI141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{"issue":{"subject":"","project_id":79,"tracker_id":40,"status_id":1,"priority_id":2,"assigned_to_id":338,"start_date":"2017-11-24","description":"","custom_fields":[{"id":1,"name":"Subdivision","value":"EC"},{"id":4,"name":"Milepost","value":"0.0251"},{"id":17,"name":"Train ID","value":"166-24"},{"id":16,"name":"Locomotive ID","value":"4001"},{"id":130,"name":"Impact","value":""},{"id":150,"name":"Time of Event (Mountain Time)","value":"13:21:56"},{"id":151,"name":"Denver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4"/>
      <c r="AK78" s="232"/>
      <c r="AL78" s="232"/>
      <c r="AM78" s="241" t="str">
        <f t="shared" ref="AM78:AM141" si="12">"start /low /b "&amp;dls3logs&amp;" --loco "&amp;B78&amp;" --day "&amp;TEXT(F78,"YYYY-MM-DD")</f>
        <v>start /low /b %USERPROFILE%\Documents\GitHub\eaglep3\Utilities\DownloadLogsFromS3.py --loco 4001 --day 2017-11-24</v>
      </c>
      <c r="AN78" s="242" t="str">
        <f t="shared" ref="AN78:AN141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20:21:56"},{"id":29,"name":"Sharepoint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1" t="str">
        <f t="shared" ref="AO78:AO141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-24T11:34:56-0700',mode:absolute,to:'2017-11-24T14:21:56-0700'))&amp;_a=(columns:!('Message%20ID',Summary),filters:!(),index:'emp_*',interval:auto,query:(query_string:(analyze_wildcard:!t,query:'%22rtdc.l.rtdc.4001%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30" t="s">
        <v>801</v>
      </c>
      <c r="B79" s="226">
        <v>4016</v>
      </c>
      <c r="C79" s="228" t="s">
        <v>192</v>
      </c>
      <c r="D79" s="228" t="s">
        <v>986</v>
      </c>
      <c r="E79" s="227">
        <v>43063.497129629628</v>
      </c>
      <c r="F79" s="227">
        <v>43063.500219907408</v>
      </c>
      <c r="G79" s="226">
        <v>70</v>
      </c>
      <c r="H79" s="228" t="s">
        <v>987</v>
      </c>
      <c r="I79" s="227">
        <v>43063.525081018517</v>
      </c>
      <c r="J79" s="226">
        <v>0</v>
      </c>
      <c r="K79" s="238" t="str">
        <f>IF(ISEVEN(B79),(B79-1)&amp;"/"&amp;B79,B79&amp;"/"&amp;(B79+1))</f>
        <v>4015/4016</v>
      </c>
      <c r="L79" s="246" t="str">
        <f>VLOOKUP(A79,'Trips&amp;Operators'!$C$1:$G$99911,5,FALSE)</f>
        <v>FORTUNATO FRANK</v>
      </c>
      <c r="M79" s="225">
        <f>I79-F79</f>
        <v>2.4861111109203193E-2</v>
      </c>
      <c r="N79" s="226">
        <f>24*60*SUM($M79:$M79)</f>
        <v>35.799999997252598</v>
      </c>
      <c r="O79" s="226"/>
      <c r="P79" s="226"/>
      <c r="Q79" s="229"/>
      <c r="R79" s="243"/>
      <c r="S79" s="250">
        <f>1/IF(AG79="EC",12,1)*SUM(U79:U79)</f>
        <v>1</v>
      </c>
      <c r="T79" s="243" t="str">
        <f>IF(ISEVEN(LEFT(AD79,4)),"Southbound","NorthBound")</f>
        <v>NorthBound</v>
      </c>
      <c r="U79" s="24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9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-11-24T10:55:52-0700',mode:absolute,to:'2017-11-24T13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9" s="248" t="str">
        <f>IF(AA79&lt;VLOOKUP(AG79,Variables!$AC$3:$AD$8,2,FALSE),"Y","N")</f>
        <v>N</v>
      </c>
      <c r="X79" s="248">
        <f>VALUE(LEFT(AD79,4))-VALUE(LEFT(AD78,4))</f>
        <v>1</v>
      </c>
      <c r="Y79" s="248">
        <f>RIGHT(D79,LEN(D79)-4)/10000</f>
        <v>6.6799999999999998E-2</v>
      </c>
      <c r="Z79" s="248">
        <f>RIGHT(H79,LEN(H79)-4)/10000</f>
        <v>23.320599999999999</v>
      </c>
      <c r="AA79" s="248">
        <f>ABS(Z79-Y79)</f>
        <v>23.253799999999998</v>
      </c>
      <c r="AB79" s="234" t="e">
        <f>VLOOKUP(A79,Enforcements!$C$7:$K$9,8,0)</f>
        <v>#N/A</v>
      </c>
      <c r="AC79" s="233" t="e">
        <f>VLOOKUP(A79,Enforcements!$C$7:$E$9,3,0)</f>
        <v>#N/A</v>
      </c>
      <c r="AD79" s="244">
        <f>VALUE(LEFT(A79,LEN(A79)-3))</f>
        <v>167</v>
      </c>
      <c r="AE79" s="236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s3://rtdc.mdm.uploadarchive.raw/RTDC4016/ "%USERPROFILE%\AppData\Local\Temp\OnboardLogs"\RTDC4016\2017-11-24 --exclude "*" --recursive --include "*20171124*" &amp; "%USERPROFILE%\Documents\GitHub\mrs-test-scripts\Headless Mode &amp; Sideloading\WalkAndUnGZ.bat" "%USERPROFILE%\AppData\Local\Temp\OnboardLogs"\RTDC4016\2017-11-24 &amp; aws s3 cp s3://rtdc.mdm.uploadarchive.raw/RTDC4016/ "%USERPROFILE%\AppData\Local\Temp\OnboardLogs"\RTDC4016\2017-11-25 --exclude "*" --recursive --include "*20171125*" &amp; "%USERPROFILE%\Documents\GitHub\mrs-test-scripts\Headless Mode &amp; Sideloading\WalkAndUnGZ.bat" "%USERPROFILE%\AppData\Local\Temp\OnboardLogs"\RTDC4016\2017-11-25</v>
      </c>
      <c r="AF79" s="235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/stypes="app*4016*20171124*" /stext=" 19:.+((SYSTEM_STATE.+slice.+state.+changed )|(ment ac)|(multiple cpu faults)|(system.+state.+changed )|(\[timeout)|(PRM\|1\|D)|(kpr)|(kdp)|(train st.+moving)|(\|lc)|(penalty))"</v>
      </c>
      <c r="AG79" s="245" t="str">
        <f>DetSubdiv(A79)</f>
        <v>EC</v>
      </c>
      <c r="AH79" s="237" t="str">
        <f t="shared" si="10"/>
        <v>"%USERPROFILE%\Documents\GitHub\eaglep3\Utilities\RefineRTDCRunTimes.py" --tripid 167-24 --locoid 4016 --swversion DE.1.0.9.0 --startMP 204:668 --initTime 2017-11-24T11:55:52 --startdatetime 2017-11-24T12:00:19 --delay 70 --endMP 204:233206 --enddatetime 2017-11-24T12:36:07 --enforcementcount 0 &gt;&gt;%USERPROFILE%\Documents\GitHub\eaglep3-reporting\EC\2017-11-24-refined-times.txt</v>
      </c>
      <c r="AI79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{"issue":{"subject":"","project_id":79,"tracker_id":40,"status_id":1,"priority_id":2,"assigned_to_id":338,"start_date":"2017-11-24","description":"","custom_fields":[{"id":1,"name":"Subdivision","value":"EC"},{"id":4,"name":"Milepost","value":"23.3206"},{"id":17,"name":"Train ID","value":"167-24"},{"id":16,"name":"Locomotive ID","value":"4016"},{"id":130,"name":"Impact","value":""},{"id":150,"name":"Time of Event (Mountain Time)","value":"12:36:07"},{"id":151,"name":"Denver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4"/>
      <c r="AK79" s="232"/>
      <c r="AL79" s="232"/>
      <c r="AM79" s="241" t="str">
        <f t="shared" si="12"/>
        <v>start /low /b %USERPROFILE%\Documents\GitHub\eaglep3\Utilities\DownloadLogsFromS3.py --loco 4016 --day 2017-11-24</v>
      </c>
      <c r="AN79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19:36:07"},{"id":29,"name":"Sharepoint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1" t="str">
        <f t="shared" si="14"/>
        <v>https://d0f6bd738d7f1b3e5a7ca70fe4ff75f0.us-east-1.aws.found.io/app/kibana#/discover/Steve-Slow-Train-Analysis-(2080s-and-2083s)?_g=(refreshInterval:(display:Off,pause:!f,section:0,value:0),time:(from:'2017-11-24T10:55:52-0700',mode:absolute,to:'2017-11-24T13:36:07-0700'))&amp;_a=(columns:!('Message%20ID',Summary),filters:!(),index:'emp_*',interval:auto,query:(query_string:(analyze_wildcard:!t,query:'%22rtdc.l.rtdc.4016%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30" t="s">
        <v>807</v>
      </c>
      <c r="B80" s="226">
        <v>4015</v>
      </c>
      <c r="C80" s="228" t="s">
        <v>192</v>
      </c>
      <c r="D80" s="228" t="s">
        <v>611</v>
      </c>
      <c r="E80" s="227">
        <v>43063.526319444441</v>
      </c>
      <c r="F80" s="227">
        <v>43063.539988425924</v>
      </c>
      <c r="G80" s="226">
        <v>86</v>
      </c>
      <c r="H80" s="228" t="s">
        <v>615</v>
      </c>
      <c r="I80" s="227">
        <v>43063.568333333336</v>
      </c>
      <c r="J80" s="226">
        <v>0</v>
      </c>
      <c r="K80" s="238" t="str">
        <f>IF(ISEVEN(B80),(B80-1)&amp;"/"&amp;B80,B80&amp;"/"&amp;(B80+1))</f>
        <v>4015/4016</v>
      </c>
      <c r="L80" s="246" t="str">
        <f>VLOOKUP(A80,'Trips&amp;Operators'!$C$1:$G$99911,5,FALSE)</f>
        <v>FORTUNATO FRANK</v>
      </c>
      <c r="M80" s="225">
        <f>I80-F80</f>
        <v>2.8344907412247267E-2</v>
      </c>
      <c r="N80" s="226">
        <f>24*60*SUM($M80:$M80)</f>
        <v>40.816666673636064</v>
      </c>
      <c r="O80" s="226"/>
      <c r="P80" s="226"/>
      <c r="Q80" s="229"/>
      <c r="R80" s="243"/>
      <c r="S80" s="250">
        <f>1/IF(AG80="EC",12,1)*SUM(U80:U80)</f>
        <v>1</v>
      </c>
      <c r="T80" s="243" t="str">
        <f>IF(ISEVEN(LEFT(AD80,4)),"Southbound","NorthBound")</f>
        <v>Southbound</v>
      </c>
      <c r="U80" s="24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9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-24T11:37:54-0700',mode:absolute,to:'2017-11-24T14:38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0" s="248" t="str">
        <f>IF(AA80&lt;VLOOKUP(AG80,Variables!$AC$3:$AD$8,2,FALSE),"Y","N")</f>
        <v>N</v>
      </c>
      <c r="X80" s="248">
        <f>VALUE(LEFT(AD80,4))-VALUE(LEFT(AD79,4))</f>
        <v>1</v>
      </c>
      <c r="Y80" s="248">
        <f>RIGHT(D80,LEN(D80)-4)/10000</f>
        <v>23.2879</v>
      </c>
      <c r="Z80" s="248">
        <f>RIGHT(H80,LEN(H80)-4)/10000</f>
        <v>2.2100000000000002E-2</v>
      </c>
      <c r="AA80" s="248">
        <f>ABS(Z80-Y80)</f>
        <v>23.265800000000002</v>
      </c>
      <c r="AB80" s="234" t="e">
        <f>VLOOKUP(A80,Enforcements!$C$7:$K$9,8,0)</f>
        <v>#N/A</v>
      </c>
      <c r="AC80" s="233" t="e">
        <f>VLOOKUP(A80,Enforcements!$C$7:$E$9,3,0)</f>
        <v>#N/A</v>
      </c>
      <c r="AD80" s="244">
        <f>VALUE(LEFT(A80,LEN(A80)-3))</f>
        <v>168</v>
      </c>
      <c r="AE80" s="236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s3://rtdc.mdm.uploadarchive.raw/RTDC4015/ "%USERPROFILE%\AppData\Local\Temp\OnboardLogs"\RTDC4015\2017-11-24 --exclude "*" --recursive --include "*20171124*" &amp; "%USERPROFILE%\Documents\GitHub\mrs-test-scripts\Headless Mode &amp; Sideloading\WalkAndUnGZ.bat" "%USERPROFILE%\AppData\Local\Temp\OnboardLogs"\RTDC4015\2017-11-24 &amp; aws s3 cp s3://rtdc.mdm.uploadarchive.raw/RTDC4015/ "%USERPROFILE%\AppData\Local\Temp\OnboardLogs"\RTDC4015\2017-11-25 --exclude "*" --recursive --include "*20171125*" &amp; "%USERPROFILE%\Documents\GitHub\mrs-test-scripts\Headless Mode &amp; Sideloading\WalkAndUnGZ.bat" "%USERPROFILE%\AppData\Local\Temp\OnboardLogs"\RTDC4015\2017-11-25</v>
      </c>
      <c r="AF80" s="235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/stypes="app*4015*20171124*" /stext=" 20:.+((SYSTEM_STATE.+slice.+state.+changed )|(ment ac)|(multiple cpu faults)|(system.+state.+changed )|(\[timeout)|(PRM\|1\|D)|(kpr)|(kdp)|(train st.+moving)|(\|lc)|(penalty))"</v>
      </c>
      <c r="AG80" s="245" t="str">
        <f>DetSubdiv(A80)</f>
        <v>EC</v>
      </c>
      <c r="AH80" s="237" t="str">
        <f t="shared" si="10"/>
        <v>"%USERPROFILE%\Documents\GitHub\eaglep3\Utilities\RefineRTDCRunTimes.py" --tripid 168-24 --locoid 4015 --swversion DE.1.0.9.0 --startMP 204:232879 --initTime 2017-11-24T12:37:54 --startdatetime 2017-11-24T12:57:35 --delay 86 --endMP 204:221 --enddatetime 2017-11-24T13:38:24 --enforcementcount 0 &gt;&gt;%USERPROFILE%\Documents\GitHub\eaglep3-reporting\EC\2017-11-24-refined-times.txt</v>
      </c>
      <c r="AI80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{"issue":{"subject":"","project_id":79,"tracker_id":40,"status_id":1,"priority_id":2,"assigned_to_id":338,"start_date":"2017-11-24","description":"","custom_fields":[{"id":1,"name":"Subdivision","value":"EC"},{"id":4,"name":"Milepost","value":"0.0221"},{"id":17,"name":"Train ID","value":"168-24"},{"id":16,"name":"Locomotive ID","value":"4015"},{"id":130,"name":"Impact","value":""},{"id":150,"name":"Time of Event (Mountain Time)","value":"13:38:24"},{"id":151,"name":"Denver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4"/>
      <c r="AK80" s="232"/>
      <c r="AL80" s="232"/>
      <c r="AM80" s="241" t="str">
        <f t="shared" si="12"/>
        <v>start /low /b %USERPROFILE%\Documents\GitHub\eaglep3\Utilities\DownloadLogsFromS3.py --loco 4015 --day 2017-11-24</v>
      </c>
      <c r="AN80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20:38:24"},{"id":29,"name":"Sharepoint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1" t="str">
        <f t="shared" si="14"/>
        <v>https://d0f6bd738d7f1b3e5a7ca70fe4ff75f0.us-east-1.aws.found.io/app/kibana#/discover/Steve-Slow-Train-Analysis-(2080s-and-2083s)?_g=(refreshInterval:(display:Off,pause:!f,section:0,value:0),time:(from:'2017-11-24T11:37:54-0700',mode:absolute,to:'2017-11-24T14:38:24-0700'))&amp;_a=(columns:!('Message%20ID',Summary),filters:!(),index:'emp_*',interval:auto,query:(query_string:(analyze_wildcard:!t,query:'%22rtdc.l.rtdc.4015%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30" t="s">
        <v>803</v>
      </c>
      <c r="B81" s="226">
        <v>4050</v>
      </c>
      <c r="C81" s="228" t="s">
        <v>192</v>
      </c>
      <c r="D81" s="228" t="s">
        <v>988</v>
      </c>
      <c r="E81" s="227">
        <v>43063.506516203706</v>
      </c>
      <c r="F81" s="227">
        <v>43063.510578703703</v>
      </c>
      <c r="G81" s="226">
        <v>116</v>
      </c>
      <c r="H81" s="228" t="s">
        <v>931</v>
      </c>
      <c r="I81" s="227">
        <v>43063.53534722222</v>
      </c>
      <c r="J81" s="226">
        <v>0</v>
      </c>
      <c r="K81" s="238" t="str">
        <f>IF(ISEVEN(B81),(B81-1)&amp;"/"&amp;B81,B81&amp;"/"&amp;(B81+1))</f>
        <v>4049/4050</v>
      </c>
      <c r="L81" s="246" t="str">
        <f>VLOOKUP(A81,'Trips&amp;Operators'!$C$1:$G$99911,5,FALSE)</f>
        <v>ROBINSON KADDIBA</v>
      </c>
      <c r="M81" s="225">
        <f>I81-F81</f>
        <v>2.4768518516793847E-2</v>
      </c>
      <c r="N81" s="226">
        <f>24*60*SUM($M81:$M81)</f>
        <v>35.66666666418314</v>
      </c>
      <c r="O81" s="226"/>
      <c r="P81" s="226"/>
      <c r="Q81" s="229"/>
      <c r="R81" s="243"/>
      <c r="S81" s="250">
        <f>1/IF(AG81="EC",12,1)*SUM(U81:U81)</f>
        <v>1</v>
      </c>
      <c r="T81" s="243" t="str">
        <f>IF(ISEVEN(LEFT(AD81,4)),"Southbound","NorthBound")</f>
        <v>NorthBound</v>
      </c>
      <c r="U81" s="24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9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-11-24T11:09:23-0700',mode:absolute,to:'2017-11-24T13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1" s="248" t="str">
        <f>IF(AA81&lt;VLOOKUP(AG81,Variables!$AC$3:$AD$8,2,FALSE),"Y","N")</f>
        <v>N</v>
      </c>
      <c r="X81" s="248">
        <f>VALUE(LEFT(AD81,4))-VALUE(LEFT(AD80,4))</f>
        <v>1</v>
      </c>
      <c r="Y81" s="248">
        <f>RIGHT(D81,LEN(D81)-4)/10000</f>
        <v>5.5500000000000001E-2</v>
      </c>
      <c r="Z81" s="248">
        <f>RIGHT(H81,LEN(H81)-4)/10000</f>
        <v>23.3232</v>
      </c>
      <c r="AA81" s="248">
        <f>ABS(Z81-Y81)</f>
        <v>23.267700000000001</v>
      </c>
      <c r="AB81" s="234" t="e">
        <f>VLOOKUP(A81,Enforcements!$C$7:$K$9,8,0)</f>
        <v>#N/A</v>
      </c>
      <c r="AC81" s="233" t="e">
        <f>VLOOKUP(A81,Enforcements!$C$7:$E$9,3,0)</f>
        <v>#N/A</v>
      </c>
      <c r="AD81" s="244">
        <f>VALUE(LEFT(A81,LEN(A81)-3))</f>
        <v>169</v>
      </c>
      <c r="AE81" s="236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s3://rtdc.mdm.uploadarchive.raw/RTDC4050/ "%USERPROFILE%\AppData\Local\Temp\OnboardLogs"\RTDC4050\2017-11-24 --exclude "*" --recursive --include "*20171124*" &amp; "%USERPROFILE%\Documents\GitHub\mrs-test-scripts\Headless Mode &amp; Sideloading\WalkAndUnGZ.bat" "%USERPROFILE%\AppData\Local\Temp\OnboardLogs"\RTDC4050\2017-11-24 &amp; aws s3 cp s3://rtdc.mdm.uploadarchive.raw/RTDC4050/ "%USERPROFILE%\AppData\Local\Temp\OnboardLogs"\RTDC4050\2017-11-25 --exclude "*" --recursive --include "*20171125*" &amp; "%USERPROFILE%\Documents\GitHub\mrs-test-scripts\Headless Mode &amp; Sideloading\WalkAndUnGZ.bat" "%USERPROFILE%\AppData\Local\Temp\OnboardLogs"\RTDC4050\2017-11-25</v>
      </c>
      <c r="AF81" s="235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/stypes="app*4050*20171124*" /stext=" 19:.+((SYSTEM_STATE.+slice.+state.+changed )|(ment ac)|(multiple cpu faults)|(system.+state.+changed )|(\[timeout)|(PRM\|1\|D)|(kpr)|(kdp)|(train st.+moving)|(\|lc)|(penalty))"</v>
      </c>
      <c r="AG81" s="245" t="str">
        <f>DetSubdiv(A81)</f>
        <v>EC</v>
      </c>
      <c r="AH81" s="237" t="str">
        <f t="shared" si="10"/>
        <v>"%USERPROFILE%\Documents\GitHub\eaglep3\Utilities\RefineRTDCRunTimes.py" --tripid 169-24 --locoid 4050 --swversion DE.1.0.9.0 --startMP 204:555 --initTime 2017-11-24T12:09:23 --startdatetime 2017-11-24T12:15:14 --delay 116 --endMP 204:233232 --enddatetime 2017-11-24T12:50:54 --enforcementcount 0 &gt;&gt;%USERPROFILE%\Documents\GitHub\eaglep3-reporting\EC\2017-11-24-refined-times.txt</v>
      </c>
      <c r="AI81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{"issue":{"subject":"","project_id":79,"tracker_id":40,"status_id":1,"priority_id":2,"assigned_to_id":338,"start_date":"2017-11-24","description":"","custom_fields":[{"id":1,"name":"Subdivision","value":"EC"},{"id":4,"name":"Milepost","value":"23.3232"},{"id":17,"name":"Train ID","value":"169-24"},{"id":16,"name":"Locomotive ID","value":"4050"},{"id":130,"name":"Impact","value":""},{"id":150,"name":"Time of Event (Mountain Time)","value":"12:50:54"},{"id":151,"name":"Denver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4"/>
      <c r="AK81" s="232"/>
      <c r="AL81" s="232"/>
      <c r="AM81" s="241" t="str">
        <f t="shared" si="12"/>
        <v>start /low /b %USERPROFILE%\Documents\GitHub\eaglep3\Utilities\DownloadLogsFromS3.py --loco 4050 --day 2017-11-24</v>
      </c>
      <c r="AN81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19:50:54"},{"id":29,"name":"Sharepoint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1" t="str">
        <f t="shared" si="14"/>
        <v>https://d0f6bd738d7f1b3e5a7ca70fe4ff75f0.us-east-1.aws.found.io/app/kibana#/discover/Steve-Slow-Train-Analysis-(2080s-and-2083s)?_g=(refreshInterval:(display:Off,pause:!f,section:0,value:0),time:(from:'2017-11-24T11:09:23-0700',mode:absolute,to:'2017-11-24T13:50:54-0700'))&amp;_a=(columns:!('Message%20ID',Summary),filters:!(),index:'emp_*',interval:auto,query:(query_string:(analyze_wildcard:!t,query:'%22rtdc.l.rtdc.4050%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30" t="s">
        <v>813</v>
      </c>
      <c r="B82" s="226">
        <v>4049</v>
      </c>
      <c r="C82" s="228" t="s">
        <v>192</v>
      </c>
      <c r="D82" s="228" t="s">
        <v>970</v>
      </c>
      <c r="E82" s="227">
        <v>43063.546516203707</v>
      </c>
      <c r="F82" s="227">
        <v>43063.550173611111</v>
      </c>
      <c r="G82" s="226">
        <v>59</v>
      </c>
      <c r="H82" s="228" t="s">
        <v>619</v>
      </c>
      <c r="I82" s="227">
        <v>43063.576145833336</v>
      </c>
      <c r="J82" s="226">
        <v>0</v>
      </c>
      <c r="K82" s="238" t="str">
        <f>IF(ISEVEN(B82),(B82-1)&amp;"/"&amp;B82,B82&amp;"/"&amp;(B82+1))</f>
        <v>4049/4050</v>
      </c>
      <c r="L82" s="246" t="str">
        <f>VLOOKUP(A82,'Trips&amp;Operators'!$C$1:$G$99911,5,FALSE)</f>
        <v>ROBINSON KADDIBA</v>
      </c>
      <c r="M82" s="225">
        <f>I82-F82</f>
        <v>2.5972222225391306E-2</v>
      </c>
      <c r="N82" s="226">
        <f>24*60*SUM($M82:$M82)</f>
        <v>37.400000004563481</v>
      </c>
      <c r="O82" s="226"/>
      <c r="P82" s="226"/>
      <c r="Q82" s="229"/>
      <c r="R82" s="243"/>
      <c r="S82" s="250">
        <f>1/IF(AG82="EC",12,1)*SUM(U82:U82)</f>
        <v>1</v>
      </c>
      <c r="T82" s="243" t="str">
        <f>IF(ISEVEN(LEFT(AD82,4)),"Southbound","NorthBound")</f>
        <v>Southbound</v>
      </c>
      <c r="U82" s="24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9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-11-24T12:06:59-0700',mode:absolute,to:'2017-11-24T14:49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2" s="248" t="str">
        <f>IF(AA82&lt;VLOOKUP(AG82,Variables!$AC$3:$AD$8,2,FALSE),"Y","N")</f>
        <v>N</v>
      </c>
      <c r="X82" s="248">
        <f>VALUE(LEFT(AD82,4))-VALUE(LEFT(AD81,4))</f>
        <v>1</v>
      </c>
      <c r="Y82" s="248">
        <f>RIGHT(D82,LEN(D82)-4)/10000</f>
        <v>23.290199999999999</v>
      </c>
      <c r="Z82" s="248">
        <f>RIGHT(H82,LEN(H82)-4)/10000</f>
        <v>2.3199999999999998E-2</v>
      </c>
      <c r="AA82" s="248">
        <f>ABS(Z82-Y82)</f>
        <v>23.266999999999999</v>
      </c>
      <c r="AB82" s="234" t="e">
        <f>VLOOKUP(A82,Enforcements!$C$7:$K$9,8,0)</f>
        <v>#N/A</v>
      </c>
      <c r="AC82" s="233" t="e">
        <f>VLOOKUP(A82,Enforcements!$C$7:$E$9,3,0)</f>
        <v>#N/A</v>
      </c>
      <c r="AD82" s="244">
        <f>VALUE(LEFT(A82,LEN(A82)-3))</f>
        <v>170</v>
      </c>
      <c r="AE82" s="236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s3://rtdc.mdm.uploadarchive.raw/RTDC4049/ "%USERPROFILE%\AppData\Local\Temp\OnboardLogs"\RTDC4049\2017-11-24 --exclude "*" --recursive --include "*20171124*" &amp; "%USERPROFILE%\Documents\GitHub\mrs-test-scripts\Headless Mode &amp; Sideloading\WalkAndUnGZ.bat" "%USERPROFILE%\AppData\Local\Temp\OnboardLogs"\RTDC4049\2017-11-24 &amp; aws s3 cp s3://rtdc.mdm.uploadarchive.raw/RTDC4049/ "%USERPROFILE%\AppData\Local\Temp\OnboardLogs"\RTDC4049\2017-11-25 --exclude "*" --recursive --include "*20171125*" &amp; "%USERPROFILE%\Documents\GitHub\mrs-test-scripts\Headless Mode &amp; Sideloading\WalkAndUnGZ.bat" "%USERPROFILE%\AppData\Local\Temp\OnboardLogs"\RTDC4049\2017-11-25</v>
      </c>
      <c r="AF82" s="235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/stypes="app*4049*20171124*" /stext=" 20:.+((SYSTEM_STATE.+slice.+state.+changed )|(ment ac)|(multiple cpu faults)|(system.+state.+changed )|(\[timeout)|(PRM\|1\|D)|(kpr)|(kdp)|(train st.+moving)|(\|lc)|(penalty))"</v>
      </c>
      <c r="AG82" s="245" t="str">
        <f>DetSubdiv(A82)</f>
        <v>EC</v>
      </c>
      <c r="AH82" s="237" t="str">
        <f t="shared" si="10"/>
        <v>"%USERPROFILE%\Documents\GitHub\eaglep3\Utilities\RefineRTDCRunTimes.py" --tripid 170-24 --locoid 4049 --swversion DE.1.0.9.0 --startMP 204:232902 --initTime 2017-11-24T13:06:59 --startdatetime 2017-11-24T13:12:15 --delay 59 --endMP 204:232 --enddatetime 2017-11-24T13:49:39 --enforcementcount 0 &gt;&gt;%USERPROFILE%\Documents\GitHub\eaglep3-reporting\EC\2017-11-24-refined-times.txt</v>
      </c>
      <c r="AI82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{"issue":{"subject":"","project_id":79,"tracker_id":40,"status_id":1,"priority_id":2,"assigned_to_id":338,"start_date":"2017-11-24","description":"","custom_fields":[{"id":1,"name":"Subdivision","value":"EC"},{"id":4,"name":"Milepost","value":"0.0232"},{"id":17,"name":"Train ID","value":"170-24"},{"id":16,"name":"Locomotive ID","value":"4049"},{"id":130,"name":"Impact","value":""},{"id":150,"name":"Time of Event (Mountain Time)","value":"13:49:39"},{"id":151,"name":"Denver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4"/>
      <c r="AK82" s="232"/>
      <c r="AL82" s="232"/>
      <c r="AM82" s="241" t="str">
        <f t="shared" si="12"/>
        <v>start /low /b %USERPROFILE%\Documents\GitHub\eaglep3\Utilities\DownloadLogsFromS3.py --loco 4049 --day 2017-11-24</v>
      </c>
      <c r="AN82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20:49:39"},{"id":29,"name":"Sharepoint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1" t="str">
        <f t="shared" si="14"/>
        <v>https://d0f6bd738d7f1b3e5a7ca70fe4ff75f0.us-east-1.aws.found.io/app/kibana#/discover/Steve-Slow-Train-Analysis-(2080s-and-2083s)?_g=(refreshInterval:(display:Off,pause:!f,section:0,value:0),time:(from:'2017-11-24T12:06:59-0700',mode:absolute,to:'2017-11-24T14:49:39-0700'))&amp;_a=(columns:!('Message%20ID',Summary),filters:!(),index:'emp_*',interval:auto,query:(query_string:(analyze_wildcard:!t,query:'%22rtdc.l.rtdc.4049%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30" t="s">
        <v>671</v>
      </c>
      <c r="B83" s="226">
        <v>4006</v>
      </c>
      <c r="C83" s="228" t="s">
        <v>192</v>
      </c>
      <c r="D83" s="228" t="s">
        <v>989</v>
      </c>
      <c r="E83" s="227">
        <v>43063.518761574072</v>
      </c>
      <c r="F83" s="227">
        <v>43063.521192129629</v>
      </c>
      <c r="G83" s="226">
        <v>76</v>
      </c>
      <c r="H83" s="228" t="s">
        <v>613</v>
      </c>
      <c r="I83" s="227">
        <v>43063.549131944441</v>
      </c>
      <c r="J83" s="226">
        <v>0</v>
      </c>
      <c r="K83" s="238" t="str">
        <f>IF(ISEVEN(B83),(B83-1)&amp;"/"&amp;B83,B83&amp;"/"&amp;(B83+1))</f>
        <v>4005/4006</v>
      </c>
      <c r="L83" s="246" t="str">
        <f>VLOOKUP(A83,'Trips&amp;Operators'!$C$1:$G$99911,5,FALSE)</f>
        <v>BADERTSCHER DIANE</v>
      </c>
      <c r="M83" s="225">
        <f>I83-F83</f>
        <v>2.7939814812270924E-2</v>
      </c>
      <c r="N83" s="226">
        <f>24*60*SUM($M83:$M83)</f>
        <v>40.233333329670131</v>
      </c>
      <c r="O83" s="226"/>
      <c r="P83" s="226"/>
      <c r="Q83" s="229"/>
      <c r="R83" s="243"/>
      <c r="S83" s="250">
        <f>1/IF(AG83="EC",12,1)*SUM(U83:U83)</f>
        <v>1</v>
      </c>
      <c r="T83" s="243" t="str">
        <f>IF(ISEVEN(LEFT(AD83,4)),"Southbound","NorthBound")</f>
        <v>NorthBound</v>
      </c>
      <c r="U83" s="24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9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-11-24T11:27:01-0700',mode:absolute,to:'2017-11-24T14:10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3" s="248" t="str">
        <f>IF(AA83&lt;VLOOKUP(AG83,Variables!$AC$3:$AD$8,2,FALSE),"Y","N")</f>
        <v>N</v>
      </c>
      <c r="X83" s="248">
        <f>VALUE(LEFT(AD83,4))-VALUE(LEFT(AD82,4))</f>
        <v>1</v>
      </c>
      <c r="Y83" s="248">
        <f>RIGHT(D83,LEN(D83)-4)/10000</f>
        <v>6.4199999999999993E-2</v>
      </c>
      <c r="Z83" s="248">
        <f>RIGHT(H83,LEN(H83)-4)/10000</f>
        <v>23.3215</v>
      </c>
      <c r="AA83" s="248">
        <f>ABS(Z83-Y83)</f>
        <v>23.257300000000001</v>
      </c>
      <c r="AB83" s="234" t="e">
        <f>VLOOKUP(A83,Enforcements!$C$7:$K$9,8,0)</f>
        <v>#N/A</v>
      </c>
      <c r="AC83" s="233" t="e">
        <f>VLOOKUP(A83,Enforcements!$C$7:$E$9,3,0)</f>
        <v>#N/A</v>
      </c>
      <c r="AD83" s="244">
        <f>VALUE(LEFT(A83,LEN(A83)-3))</f>
        <v>171</v>
      </c>
      <c r="AE83" s="236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s3://rtdc.mdm.uploadarchive.raw/RTDC4006/ "%USERPROFILE%\AppData\Local\Temp\OnboardLogs"\RTDC4006\2017-11-24 --exclude "*" --recursive --include "*20171124*" &amp; "%USERPROFILE%\Documents\GitHub\mrs-test-scripts\Headless Mode &amp; Sideloading\WalkAndUnGZ.bat" "%USERPROFILE%\AppData\Local\Temp\OnboardLogs"\RTDC4006\2017-11-24 &amp; aws s3 cp s3://rtdc.mdm.uploadarchive.raw/RTDC4006/ "%USERPROFILE%\AppData\Local\Temp\OnboardLogs"\RTDC4006\2017-11-25 --exclude "*" --recursive --include "*20171125*" &amp; "%USERPROFILE%\Documents\GitHub\mrs-test-scripts\Headless Mode &amp; Sideloading\WalkAndUnGZ.bat" "%USERPROFILE%\AppData\Local\Temp\OnboardLogs"\RTDC4006\2017-11-25</v>
      </c>
      <c r="AF83" s="235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/stypes="app*4006*20171124*" /stext=" 20:.+((SYSTEM_STATE.+slice.+state.+changed )|(ment ac)|(multiple cpu faults)|(system.+state.+changed )|(\[timeout)|(PRM\|1\|D)|(kpr)|(kdp)|(train st.+moving)|(\|lc)|(penalty))"</v>
      </c>
      <c r="AG83" s="245" t="str">
        <f>DetSubdiv(A83)</f>
        <v>EC</v>
      </c>
      <c r="AH83" s="237" t="str">
        <f t="shared" si="10"/>
        <v>"%USERPROFILE%\Documents\GitHub\eaglep3\Utilities\RefineRTDCRunTimes.py" --tripid 171-24 --locoid 4006 --swversion DE.1.0.9.0 --startMP 204:642 --initTime 2017-11-24T12:27:01 --startdatetime 2017-11-24T12:30:31 --delay 76 --endMP 204:233215 --enddatetime 2017-11-24T13:10:45 --enforcementcount 0 &gt;&gt;%USERPROFILE%\Documents\GitHub\eaglep3-reporting\EC\2017-11-24-refined-times.txt</v>
      </c>
      <c r="AI83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{"issue":{"subject":"","project_id":79,"tracker_id":40,"status_id":1,"priority_id":2,"assigned_to_id":338,"start_date":"2017-11-24","description":"","custom_fields":[{"id":1,"name":"Subdivision","value":"EC"},{"id":4,"name":"Milepost","value":"23.3215"},{"id":17,"name":"Train ID","value":"171-24"},{"id":16,"name":"Locomotive ID","value":"4006"},{"id":130,"name":"Impact","value":""},{"id":150,"name":"Time of Event (Mountain Time)","value":"13:10:45"},{"id":151,"name":"Denver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4"/>
      <c r="AK83" s="232"/>
      <c r="AL83" s="232"/>
      <c r="AM83" s="241" t="str">
        <f t="shared" si="12"/>
        <v>start /low /b %USERPROFILE%\Documents\GitHub\eaglep3\Utilities\DownloadLogsFromS3.py --loco 4006 --day 2017-11-24</v>
      </c>
      <c r="AN83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20:10:45"},{"id":29,"name":"Sharepoint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1" t="str">
        <f t="shared" si="14"/>
        <v>https://d0f6bd738d7f1b3e5a7ca70fe4ff75f0.us-east-1.aws.found.io/app/kibana#/discover/Steve-Slow-Train-Analysis-(2080s-and-2083s)?_g=(refreshInterval:(display:Off,pause:!f,section:0,value:0),time:(from:'2017-11-24T11:27:01-0700',mode:absolute,to:'2017-11-24T14:10:45-0700'))&amp;_a=(columns:!('Message%20ID',Summary),filters:!(),index:'emp_*',interval:auto,query:(query_string:(analyze_wildcard:!t,query:'%22rtdc.l.rtdc.4006%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30" t="s">
        <v>815</v>
      </c>
      <c r="B84" s="226">
        <v>4005</v>
      </c>
      <c r="C84" s="228" t="s">
        <v>192</v>
      </c>
      <c r="D84" s="228" t="s">
        <v>990</v>
      </c>
      <c r="E84" s="227">
        <v>43063.556342592594</v>
      </c>
      <c r="F84" s="227">
        <v>43063.560578703706</v>
      </c>
      <c r="G84" s="226">
        <v>68</v>
      </c>
      <c r="H84" s="228" t="s">
        <v>472</v>
      </c>
      <c r="I84" s="227">
        <v>43063.588333333333</v>
      </c>
      <c r="J84" s="226">
        <v>0</v>
      </c>
      <c r="K84" s="238" t="str">
        <f>IF(ISEVEN(B84),(B84-1)&amp;"/"&amp;B84,B84&amp;"/"&amp;(B84+1))</f>
        <v>4005/4006</v>
      </c>
      <c r="L84" s="246" t="str">
        <f>VLOOKUP(A84,'Trips&amp;Operators'!$C$1:$G$99911,5,FALSE)</f>
        <v>BADERTSCHER DIANE</v>
      </c>
      <c r="M84" s="225">
        <f>I84-F84</f>
        <v>2.7754629627452232E-2</v>
      </c>
      <c r="N84" s="226">
        <f>24*60*SUM($M84:$M84)</f>
        <v>39.966666663531214</v>
      </c>
      <c r="O84" s="226"/>
      <c r="P84" s="226"/>
      <c r="Q84" s="229"/>
      <c r="R84" s="243"/>
      <c r="S84" s="250">
        <f>1/IF(AG84="EC",12,1)*SUM(U84:U84)</f>
        <v>1</v>
      </c>
      <c r="T84" s="243" t="str">
        <f>IF(ISEVEN(LEFT(AD84,4)),"Southbound","NorthBound")</f>
        <v>Southbound</v>
      </c>
      <c r="U84" s="24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9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-11-24T12:21:08-0700',mode:absolute,to:'2017-11-24T15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4" s="248" t="str">
        <f>IF(AA84&lt;VLOOKUP(AG84,Variables!$AC$3:$AD$8,2,FALSE),"Y","N")</f>
        <v>N</v>
      </c>
      <c r="X84" s="248">
        <f>VALUE(LEFT(AD84,4))-VALUE(LEFT(AD83,4))</f>
        <v>1</v>
      </c>
      <c r="Y84" s="248">
        <f>RIGHT(D84,LEN(D84)-4)/10000</f>
        <v>23.29</v>
      </c>
      <c r="Z84" s="248">
        <f>RIGHT(H84,LEN(H84)-4)/10000</f>
        <v>1.9800000000000002E-2</v>
      </c>
      <c r="AA84" s="248">
        <f>ABS(Z84-Y84)</f>
        <v>23.270199999999999</v>
      </c>
      <c r="AB84" s="234" t="e">
        <f>VLOOKUP(A84,Enforcements!$C$7:$K$9,8,0)</f>
        <v>#N/A</v>
      </c>
      <c r="AC84" s="233" t="e">
        <f>VLOOKUP(A84,Enforcements!$C$7:$E$9,3,0)</f>
        <v>#N/A</v>
      </c>
      <c r="AD84" s="244">
        <f>VALUE(LEFT(A84,LEN(A84)-3))</f>
        <v>172</v>
      </c>
      <c r="AE84" s="236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s3://rtdc.mdm.uploadarchive.raw/RTDC4005/ "%USERPROFILE%\AppData\Local\Temp\OnboardLogs"\RTDC4005\2017-11-24 --exclude "*" --recursive --include "*20171124*" &amp; "%USERPROFILE%\Documents\GitHub\mrs-test-scripts\Headless Mode &amp; Sideloading\WalkAndUnGZ.bat" "%USERPROFILE%\AppData\Local\Temp\OnboardLogs"\RTDC4005\2017-11-24 &amp; aws s3 cp s3://rtdc.mdm.uploadarchive.raw/RTDC4005/ "%USERPROFILE%\AppData\Local\Temp\OnboardLogs"\RTDC4005\2017-11-25 --exclude "*" --recursive --include "*20171125*" &amp; "%USERPROFILE%\Documents\GitHub\mrs-test-scripts\Headless Mode &amp; Sideloading\WalkAndUnGZ.bat" "%USERPROFILE%\AppData\Local\Temp\OnboardLogs"\RTDC4005\2017-11-25</v>
      </c>
      <c r="AF84" s="235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/stypes="app*4005*20171124*" /stext=" 21:.+((SYSTEM_STATE.+slice.+state.+changed )|(ment ac)|(multiple cpu faults)|(system.+state.+changed )|(\[timeout)|(PRM\|1\|D)|(kpr)|(kdp)|(train st.+moving)|(\|lc)|(penalty))"</v>
      </c>
      <c r="AG84" s="245" t="str">
        <f>DetSubdiv(A84)</f>
        <v>EC</v>
      </c>
      <c r="AH84" s="237" t="str">
        <f t="shared" si="10"/>
        <v>"%USERPROFILE%\Documents\GitHub\eaglep3\Utilities\RefineRTDCRunTimes.py" --tripid 172-24 --locoid 4005 --swversion DE.1.0.9.0 --startMP 204:232900 --initTime 2017-11-24T13:21:08 --startdatetime 2017-11-24T13:27:14 --delay 68 --endMP 204:198 --enddatetime 2017-11-24T14:07:12 --enforcementcount 0 &gt;&gt;%USERPROFILE%\Documents\GitHub\eaglep3-reporting\EC\2017-11-24-refined-times.txt</v>
      </c>
      <c r="AI84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{"issue":{"subject":"","project_id":79,"tracker_id":40,"status_id":1,"priority_id":2,"assigned_to_id":338,"start_date":"2017-11-24","description":"","custom_fields":[{"id":1,"name":"Subdivision","value":"EC"},{"id":4,"name":"Milepost","value":"0.0198"},{"id":17,"name":"Train ID","value":"172-24"},{"id":16,"name":"Locomotive ID","value":"4005"},{"id":130,"name":"Impact","value":""},{"id":150,"name":"Time of Event (Mountain Time)","value":"14:07:12"},{"id":151,"name":"Denver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4"/>
      <c r="AK84" s="232"/>
      <c r="AL84" s="232"/>
      <c r="AM84" s="241" t="str">
        <f t="shared" si="12"/>
        <v>start /low /b %USERPROFILE%\Documents\GitHub\eaglep3\Utilities\DownloadLogsFromS3.py --loco 4005 --day 2017-11-24</v>
      </c>
      <c r="AN84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21:07:12"},{"id":29,"name":"Sharepoint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1" t="str">
        <f t="shared" si="14"/>
        <v>https://d0f6bd738d7f1b3e5a7ca70fe4ff75f0.us-east-1.aws.found.io/app/kibana#/discover/Steve-Slow-Train-Analysis-(2080s-and-2083s)?_g=(refreshInterval:(display:Off,pause:!f,section:0,value:0),time:(from:'2017-11-24T12:21:08-0700',mode:absolute,to:'2017-11-24T15:07:12-0700'))&amp;_a=(columns:!('Message%20ID',Summary),filters:!(),index:'emp_*',interval:auto,query:(query_string:(analyze_wildcard:!t,query:'%22rtdc.l.rtdc.4005%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30" t="s">
        <v>808</v>
      </c>
      <c r="B85" s="226">
        <v>4064</v>
      </c>
      <c r="C85" s="228" t="s">
        <v>192</v>
      </c>
      <c r="D85" s="228" t="s">
        <v>620</v>
      </c>
      <c r="E85" s="227">
        <v>43063.528298611112</v>
      </c>
      <c r="F85" s="227">
        <v>43063.531504629631</v>
      </c>
      <c r="G85" s="226">
        <v>64</v>
      </c>
      <c r="H85" s="228" t="s">
        <v>991</v>
      </c>
      <c r="I85" s="227">
        <v>43063.556493055556</v>
      </c>
      <c r="J85" s="226">
        <v>0</v>
      </c>
      <c r="K85" s="238" t="str">
        <f>IF(ISEVEN(B85),(B85-1)&amp;"/"&amp;B85,B85&amp;"/"&amp;(B85+1))</f>
        <v>4063/4064</v>
      </c>
      <c r="L85" s="246" t="str">
        <f>VLOOKUP(A85,'Trips&amp;Operators'!$C$1:$G$99911,5,FALSE)</f>
        <v>AUSTIN THOMPSON</v>
      </c>
      <c r="M85" s="225">
        <f>I85-F85</f>
        <v>2.4988425924675539E-2</v>
      </c>
      <c r="N85" s="226">
        <f>24*60*SUM($M85:$M85)</f>
        <v>35.983333331532776</v>
      </c>
      <c r="O85" s="226"/>
      <c r="P85" s="226"/>
      <c r="Q85" s="229"/>
      <c r="R85" s="243"/>
      <c r="S85" s="250">
        <f>1/IF(AG85="EC",12,1)*SUM(U85:U85)</f>
        <v>1</v>
      </c>
      <c r="T85" s="243" t="str">
        <f>IF(ISEVEN(LEFT(AD85,4)),"Southbound","NorthBound")</f>
        <v>NorthBound</v>
      </c>
      <c r="U85" s="24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9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-11-24T11:40:45-0700',mode:absolute,to:'2017-11-24T14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5" s="248" t="str">
        <f>IF(AA85&lt;VLOOKUP(AG85,Variables!$AC$3:$AD$8,2,FALSE),"Y","N")</f>
        <v>N</v>
      </c>
      <c r="X85" s="248">
        <f>VALUE(LEFT(AD85,4))-VALUE(LEFT(AD84,4))</f>
        <v>1</v>
      </c>
      <c r="Y85" s="248">
        <f>RIGHT(D85,LEN(D85)-4)/10000</f>
        <v>5.3100000000000001E-2</v>
      </c>
      <c r="Z85" s="248">
        <f>RIGHT(H85,LEN(H85)-4)/10000</f>
        <v>23.321999999999999</v>
      </c>
      <c r="AA85" s="248">
        <f>ABS(Z85-Y85)</f>
        <v>23.268899999999999</v>
      </c>
      <c r="AB85" s="234" t="e">
        <f>VLOOKUP(A85,Enforcements!$C$7:$K$9,8,0)</f>
        <v>#N/A</v>
      </c>
      <c r="AC85" s="233" t="e">
        <f>VLOOKUP(A85,Enforcements!$C$7:$E$9,3,0)</f>
        <v>#N/A</v>
      </c>
      <c r="AD85" s="244">
        <f>VALUE(LEFT(A85,LEN(A85)-3))</f>
        <v>173</v>
      </c>
      <c r="AE85" s="236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s3://rtdc.mdm.uploadarchive.raw/RTDC4064/ "%USERPROFILE%\AppData\Local\Temp\OnboardLogs"\RTDC4064\2017-11-24 --exclude "*" --recursive --include "*20171124*" &amp; "%USERPROFILE%\Documents\GitHub\mrs-test-scripts\Headless Mode &amp; Sideloading\WalkAndUnGZ.bat" "%USERPROFILE%\AppData\Local\Temp\OnboardLogs"\RTDC4064\2017-11-24 &amp; aws s3 cp s3://rtdc.mdm.uploadarchive.raw/RTDC4064/ "%USERPROFILE%\AppData\Local\Temp\OnboardLogs"\RTDC4064\2017-11-25 --exclude "*" --recursive --include "*20171125*" &amp; "%USERPROFILE%\Documents\GitHub\mrs-test-scripts\Headless Mode &amp; Sideloading\WalkAndUnGZ.bat" "%USERPROFILE%\AppData\Local\Temp\OnboardLogs"\RTDC4064\2017-11-25</v>
      </c>
      <c r="AF85" s="235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/stypes="app*4064*20171124*" /stext=" 20:.+((SYSTEM_STATE.+slice.+state.+changed )|(ment ac)|(multiple cpu faults)|(system.+state.+changed )|(\[timeout)|(PRM\|1\|D)|(kpr)|(kdp)|(train st.+moving)|(\|lc)|(penalty))"</v>
      </c>
      <c r="AG85" s="245" t="str">
        <f>DetSubdiv(A85)</f>
        <v>EC</v>
      </c>
      <c r="AH85" s="237" t="str">
        <f t="shared" si="10"/>
        <v>"%USERPROFILE%\Documents\GitHub\eaglep3\Utilities\RefineRTDCRunTimes.py" --tripid 173-24 --locoid 4064 --swversion DE.1.0.9.0 --startMP 204:531 --initTime 2017-11-24T12:40:45 --startdatetime 2017-11-24T12:45:22 --delay 64 --endMP 204:233220 --enddatetime 2017-11-24T13:21:21 --enforcementcount 0 &gt;&gt;%USERPROFILE%\Documents\GitHub\eaglep3-reporting\EC\2017-11-24-refined-times.txt</v>
      </c>
      <c r="AI85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{"issue":{"subject":"","project_id":79,"tracker_id":40,"status_id":1,"priority_id":2,"assigned_to_id":338,"start_date":"2017-11-24","description":"","custom_fields":[{"id":1,"name":"Subdivision","value":"EC"},{"id":4,"name":"Milepost","value":"23.322"},{"id":17,"name":"Train ID","value":"173-24"},{"id":16,"name":"Locomotive ID","value":"4064"},{"id":130,"name":"Impact","value":""},{"id":150,"name":"Time of Event (Mountain Time)","value":"13:21:21"},{"id":151,"name":"Denver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4"/>
      <c r="AK85" s="232"/>
      <c r="AL85" s="232"/>
      <c r="AM85" s="241" t="str">
        <f t="shared" si="12"/>
        <v>start /low /b %USERPROFILE%\Documents\GitHub\eaglep3\Utilities\DownloadLogsFromS3.py --loco 4064 --day 2017-11-24</v>
      </c>
      <c r="AN85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20:21:21"},{"id":29,"name":"Sharepoint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1" t="str">
        <f t="shared" si="14"/>
        <v>https://d0f6bd738d7f1b3e5a7ca70fe4ff75f0.us-east-1.aws.found.io/app/kibana#/discover/Steve-Slow-Train-Analysis-(2080s-and-2083s)?_g=(refreshInterval:(display:Off,pause:!f,section:0,value:0),time:(from:'2017-11-24T11:40:45-0700',mode:absolute,to:'2017-11-24T14:21:21-0700'))&amp;_a=(columns:!('Message%20ID',Summary),filters:!(),index:'emp_*',interval:auto,query:(query_string:(analyze_wildcard:!t,query:'%22rtdc.l.rtdc.4064%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30" t="s">
        <v>818</v>
      </c>
      <c r="B86" s="226">
        <v>4063</v>
      </c>
      <c r="C86" s="228" t="s">
        <v>192</v>
      </c>
      <c r="D86" s="228" t="s">
        <v>992</v>
      </c>
      <c r="E86" s="227">
        <v>43063.566145833334</v>
      </c>
      <c r="F86" s="227">
        <v>43063.571018518516</v>
      </c>
      <c r="G86" s="226">
        <v>75</v>
      </c>
      <c r="H86" s="228" t="s">
        <v>993</v>
      </c>
      <c r="I86" s="227">
        <v>43063.596435185187</v>
      </c>
      <c r="J86" s="226">
        <v>0</v>
      </c>
      <c r="K86" s="238" t="str">
        <f>IF(ISEVEN(B86),(B86-1)&amp;"/"&amp;B86,B86&amp;"/"&amp;(B86+1))</f>
        <v>4063/4064</v>
      </c>
      <c r="L86" s="246" t="str">
        <f>VLOOKUP(A86,'Trips&amp;Operators'!$C$1:$G$99911,5,FALSE)</f>
        <v>AUSTIN THOMPSON</v>
      </c>
      <c r="M86" s="225">
        <f>I86-F86</f>
        <v>2.5416666670935228E-2</v>
      </c>
      <c r="N86" s="226">
        <f>24*60*SUM($M86:$M86)</f>
        <v>36.600000006146729</v>
      </c>
      <c r="O86" s="226"/>
      <c r="P86" s="226"/>
      <c r="Q86" s="229"/>
      <c r="R86" s="243"/>
      <c r="S86" s="250">
        <f>1/IF(AG86="EC",12,1)*SUM(U86:U86)</f>
        <v>1</v>
      </c>
      <c r="T86" s="243" t="str">
        <f>IF(ISEVEN(LEFT(AD86,4)),"Southbound","NorthBound")</f>
        <v>Southbound</v>
      </c>
      <c r="U86" s="24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9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-11-24T12:35:15-0700',mode:absolute,to:'2017-11-24T15:18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6" s="248" t="str">
        <f>IF(AA86&lt;VLOOKUP(AG86,Variables!$AC$3:$AD$8,2,FALSE),"Y","N")</f>
        <v>N</v>
      </c>
      <c r="X86" s="248">
        <f>VALUE(LEFT(AD86,4))-VALUE(LEFT(AD85,4))</f>
        <v>1</v>
      </c>
      <c r="Y86" s="248">
        <f>RIGHT(D86,LEN(D86)-4)/10000</f>
        <v>23.289400000000001</v>
      </c>
      <c r="Z86" s="248">
        <f>RIGHT(H86,LEN(H86)-4)/10000</f>
        <v>2.23E-2</v>
      </c>
      <c r="AA86" s="248">
        <f>ABS(Z86-Y86)</f>
        <v>23.267099999999999</v>
      </c>
      <c r="AB86" s="234" t="e">
        <f>VLOOKUP(A86,Enforcements!$C$7:$K$9,8,0)</f>
        <v>#N/A</v>
      </c>
      <c r="AC86" s="233" t="e">
        <f>VLOOKUP(A86,Enforcements!$C$7:$E$9,3,0)</f>
        <v>#N/A</v>
      </c>
      <c r="AD86" s="244">
        <f>VALUE(LEFT(A86,LEN(A86)-3))</f>
        <v>174</v>
      </c>
      <c r="AE86" s="236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s3://rtdc.mdm.uploadarchive.raw/RTDC4063/ "%USERPROFILE%\AppData\Local\Temp\OnboardLogs"\RTDC4063\2017-11-24 --exclude "*" --recursive --include "*20171124*" &amp; "%USERPROFILE%\Documents\GitHub\mrs-test-scripts\Headless Mode &amp; Sideloading\WalkAndUnGZ.bat" "%USERPROFILE%\AppData\Local\Temp\OnboardLogs"\RTDC4063\2017-11-24 &amp; aws s3 cp s3://rtdc.mdm.uploadarchive.raw/RTDC4063/ "%USERPROFILE%\AppData\Local\Temp\OnboardLogs"\RTDC4063\2017-11-25 --exclude "*" --recursive --include "*20171125*" &amp; "%USERPROFILE%\Documents\GitHub\mrs-test-scripts\Headless Mode &amp; Sideloading\WalkAndUnGZ.bat" "%USERPROFILE%\AppData\Local\Temp\OnboardLogs"\RTDC4063\2017-11-25</v>
      </c>
      <c r="AF86" s="235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/stypes="app*4063*20171124*" /stext=" 21:.+((SYSTEM_STATE.+slice.+state.+changed )|(ment ac)|(multiple cpu faults)|(system.+state.+changed )|(\[timeout)|(PRM\|1\|D)|(kpr)|(kdp)|(train st.+moving)|(\|lc)|(penalty))"</v>
      </c>
      <c r="AG86" s="245" t="str">
        <f>DetSubdiv(A86)</f>
        <v>EC</v>
      </c>
      <c r="AH86" s="237" t="str">
        <f t="shared" si="10"/>
        <v>"%USERPROFILE%\Documents\GitHub\eaglep3\Utilities\RefineRTDCRunTimes.py" --tripid 174-24 --locoid 4063 --swversion DE.1.0.9.0 --startMP 204:232894 --initTime 2017-11-24T13:35:15 --startdatetime 2017-11-24T13:42:16 --delay 75 --endMP 204:223 --enddatetime 2017-11-24T14:18:52 --enforcementcount 0 &gt;&gt;%USERPROFILE%\Documents\GitHub\eaglep3-reporting\EC\2017-11-24-refined-times.txt</v>
      </c>
      <c r="AI86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{"issue":{"subject":"","project_id":79,"tracker_id":40,"status_id":1,"priority_id":2,"assigned_to_id":338,"start_date":"2017-11-24","description":"","custom_fields":[{"id":1,"name":"Subdivision","value":"EC"},{"id":4,"name":"Milepost","value":"0.0223"},{"id":17,"name":"Train ID","value":"174-24"},{"id":16,"name":"Locomotive ID","value":"4063"},{"id":130,"name":"Impact","value":""},{"id":150,"name":"Time of Event (Mountain Time)","value":"14:18:52"},{"id":151,"name":"Denver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4"/>
      <c r="AK86" s="232"/>
      <c r="AL86" s="232"/>
      <c r="AM86" s="241" t="str">
        <f t="shared" si="12"/>
        <v>start /low /b %USERPROFILE%\Documents\GitHub\eaglep3\Utilities\DownloadLogsFromS3.py --loco 4063 --day 2017-11-24</v>
      </c>
      <c r="AN86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21:18:52"},{"id":29,"name":"Sharepoint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1" t="str">
        <f t="shared" si="14"/>
        <v>https://d0f6bd738d7f1b3e5a7ca70fe4ff75f0.us-east-1.aws.found.io/app/kibana#/discover/Steve-Slow-Train-Analysis-(2080s-and-2083s)?_g=(refreshInterval:(display:Off,pause:!f,section:0,value:0),time:(from:'2017-11-24T12:35:15-0700',mode:absolute,to:'2017-11-24T15:18:52-0700'))&amp;_a=(columns:!('Message%20ID',Summary),filters:!(),index:'emp_*',interval:auto,query:(query_string:(analyze_wildcard:!t,query:'%22rtdc.l.rtdc.4063%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30" t="s">
        <v>809</v>
      </c>
      <c r="B87" s="226">
        <v>4010</v>
      </c>
      <c r="C87" s="228" t="s">
        <v>192</v>
      </c>
      <c r="D87" s="228" t="s">
        <v>497</v>
      </c>
      <c r="E87" s="227">
        <v>43063.540092592593</v>
      </c>
      <c r="F87" s="227">
        <v>43063.541817129626</v>
      </c>
      <c r="G87" s="226">
        <v>46</v>
      </c>
      <c r="H87" s="228" t="s">
        <v>626</v>
      </c>
      <c r="I87" s="227">
        <v>43063.566203703704</v>
      </c>
      <c r="J87" s="226">
        <v>0</v>
      </c>
      <c r="K87" s="238" t="str">
        <f>IF(ISEVEN(B87),(B87-1)&amp;"/"&amp;B87,B87&amp;"/"&amp;(B87+1))</f>
        <v>4009/4010</v>
      </c>
      <c r="L87" s="246" t="str">
        <f>VLOOKUP(A87,'Trips&amp;Operators'!$C$1:$G$99911,5,FALSE)</f>
        <v>NEWELL JAMES</v>
      </c>
      <c r="M87" s="225">
        <f>I87-F87</f>
        <v>2.4386574077652767E-2</v>
      </c>
      <c r="N87" s="226">
        <f>24*60*SUM($M87:$M87)</f>
        <v>35.116666671819985</v>
      </c>
      <c r="O87" s="226"/>
      <c r="P87" s="226"/>
      <c r="Q87" s="229"/>
      <c r="R87" s="243"/>
      <c r="S87" s="250">
        <f>1/IF(AG87="EC",12,1)*SUM(U87:U87)</f>
        <v>1</v>
      </c>
      <c r="T87" s="243" t="str">
        <f>IF(ISEVEN(LEFT(AD87,4)),"Southbound","NorthBound")</f>
        <v>NorthBound</v>
      </c>
      <c r="U87" s="24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9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-11-24T11:57:44-0700',mode:absolute,to:'2017-11-24T14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7" s="248" t="str">
        <f>IF(AA87&lt;VLOOKUP(AG87,Variables!$AC$3:$AD$8,2,FALSE),"Y","N")</f>
        <v>N</v>
      </c>
      <c r="X87" s="248">
        <f>VALUE(LEFT(AD87,4))-VALUE(LEFT(AD86,4))</f>
        <v>1</v>
      </c>
      <c r="Y87" s="248">
        <f>RIGHT(D87,LEN(D87)-4)/10000</f>
        <v>5.4399999999999997E-2</v>
      </c>
      <c r="Z87" s="248">
        <f>RIGHT(H87,LEN(H87)-4)/10000</f>
        <v>23.3187</v>
      </c>
      <c r="AA87" s="248">
        <f>ABS(Z87-Y87)</f>
        <v>23.264299999999999</v>
      </c>
      <c r="AB87" s="234" t="e">
        <f>VLOOKUP(A87,Enforcements!$C$7:$K$9,8,0)</f>
        <v>#N/A</v>
      </c>
      <c r="AC87" s="233" t="e">
        <f>VLOOKUP(A87,Enforcements!$C$7:$E$9,3,0)</f>
        <v>#N/A</v>
      </c>
      <c r="AD87" s="244">
        <f>VALUE(LEFT(A87,LEN(A87)-3))</f>
        <v>175</v>
      </c>
      <c r="AE87" s="236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s3://rtdc.mdm.uploadarchive.raw/RTDC4010/ "%USERPROFILE%\AppData\Local\Temp\OnboardLogs"\RTDC4010\2017-11-24 --exclude "*" --recursive --include "*20171124*" &amp; "%USERPROFILE%\Documents\GitHub\mrs-test-scripts\Headless Mode &amp; Sideloading\WalkAndUnGZ.bat" "%USERPROFILE%\AppData\Local\Temp\OnboardLogs"\RTDC4010\2017-11-24 &amp; aws s3 cp s3://rtdc.mdm.uploadarchive.raw/RTDC4010/ "%USERPROFILE%\AppData\Local\Temp\OnboardLogs"\RTDC4010\2017-11-25 --exclude "*" --recursive --include "*20171125*" &amp; "%USERPROFILE%\Documents\GitHub\mrs-test-scripts\Headless Mode &amp; Sideloading\WalkAndUnGZ.bat" "%USERPROFILE%\AppData\Local\Temp\OnboardLogs"\RTDC4010\2017-11-25</v>
      </c>
      <c r="AF87" s="235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/stypes="app*4010*20171124*" /stext=" 20:.+((SYSTEM_STATE.+slice.+state.+changed )|(ment ac)|(multiple cpu faults)|(system.+state.+changed )|(\[timeout)|(PRM\|1\|D)|(kpr)|(kdp)|(train st.+moving)|(\|lc)|(penalty))"</v>
      </c>
      <c r="AG87" s="245" t="str">
        <f>DetSubdiv(A87)</f>
        <v>EC</v>
      </c>
      <c r="AH87" s="237" t="str">
        <f t="shared" si="10"/>
        <v>"%USERPROFILE%\Documents\GitHub\eaglep3\Utilities\RefineRTDCRunTimes.py" --tripid 175-24 --locoid 4010 --swversion DE.1.0.9.0 --startMP 204:544 --initTime 2017-11-24T12:57:44 --startdatetime 2017-11-24T13:00:13 --delay 46 --endMP 204:233187 --enddatetime 2017-11-24T13:35:20 --enforcementcount 0 &gt;&gt;%USERPROFILE%\Documents\GitHub\eaglep3-reporting\EC\2017-11-24-refined-times.txt</v>
      </c>
      <c r="AI87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{"issue":{"subject":"","project_id":79,"tracker_id":40,"status_id":1,"priority_id":2,"assigned_to_id":338,"start_date":"2017-11-24","description":"","custom_fields":[{"id":1,"name":"Subdivision","value":"EC"},{"id":4,"name":"Milepost","value":"23.3187"},{"id":17,"name":"Train ID","value":"175-24"},{"id":16,"name":"Locomotive ID","value":"4010"},{"id":130,"name":"Impact","value":""},{"id":150,"name":"Time of Event (Mountain Time)","value":"13:35:20"},{"id":151,"name":"Denver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4"/>
      <c r="AK87" s="232"/>
      <c r="AL87" s="232"/>
      <c r="AM87" s="241" t="str">
        <f t="shared" si="12"/>
        <v>start /low /b %USERPROFILE%\Documents\GitHub\eaglep3\Utilities\DownloadLogsFromS3.py --loco 4010 --day 2017-11-24</v>
      </c>
      <c r="AN87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20:35:20"},{"id":29,"name":"Sharepoint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1" t="str">
        <f t="shared" si="14"/>
        <v>https://d0f6bd738d7f1b3e5a7ca70fe4ff75f0.us-east-1.aws.found.io/app/kibana#/discover/Steve-Slow-Train-Analysis-(2080s-and-2083s)?_g=(refreshInterval:(display:Off,pause:!f,section:0,value:0),time:(from:'2017-11-24T11:57:44-0700',mode:absolute,to:'2017-11-24T14:35:20-0700'))&amp;_a=(columns:!('Message%20ID',Summary),filters:!(),index:'emp_*',interval:auto,query:(query_string:(analyze_wildcard:!t,query:'%22rtdc.l.rtdc.4010%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30" t="s">
        <v>819</v>
      </c>
      <c r="B88" s="226">
        <v>4009</v>
      </c>
      <c r="C88" s="228" t="s">
        <v>192</v>
      </c>
      <c r="D88" s="228" t="s">
        <v>994</v>
      </c>
      <c r="E88" s="227">
        <v>43063.567696759259</v>
      </c>
      <c r="F88" s="227">
        <v>43063.581446759257</v>
      </c>
      <c r="G88" s="226">
        <v>54</v>
      </c>
      <c r="H88" s="228" t="s">
        <v>995</v>
      </c>
      <c r="I88" s="227">
        <v>43063.607268518521</v>
      </c>
      <c r="J88" s="226">
        <v>0</v>
      </c>
      <c r="K88" s="238" t="str">
        <f>IF(ISEVEN(B88),(B88-1)&amp;"/"&amp;B88,B88&amp;"/"&amp;(B88+1))</f>
        <v>4009/4010</v>
      </c>
      <c r="L88" s="246" t="str">
        <f>VLOOKUP(A88,'Trips&amp;Operators'!$C$1:$G$99911,5,FALSE)</f>
        <v>NEWELL JAMES</v>
      </c>
      <c r="M88" s="225">
        <f>I88-F88</f>
        <v>2.5821759263635613E-2</v>
      </c>
      <c r="N88" s="226">
        <f>24*60*SUM($M88:$M88)</f>
        <v>37.183333339635283</v>
      </c>
      <c r="O88" s="226"/>
      <c r="P88" s="226"/>
      <c r="Q88" s="229"/>
      <c r="R88" s="243"/>
      <c r="S88" s="250">
        <f>1/IF(AG88="EC",12,1)*SUM(U88:U88)</f>
        <v>1</v>
      </c>
      <c r="T88" s="243" t="str">
        <f>IF(ISEVEN(LEFT(AD88,4)),"Southbound","NorthBound")</f>
        <v>Southbound</v>
      </c>
      <c r="U88" s="24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9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-11-24T12:37:29-0700',mode:absolute,to:'2017-11-24T15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8" s="248" t="str">
        <f>IF(AA88&lt;VLOOKUP(AG88,Variables!$AC$3:$AD$8,2,FALSE),"Y","N")</f>
        <v>N</v>
      </c>
      <c r="X88" s="248">
        <f>VALUE(LEFT(AD88,4))-VALUE(LEFT(AD87,4))</f>
        <v>1</v>
      </c>
      <c r="Y88" s="248">
        <f>RIGHT(D88,LEN(D88)-4)/10000</f>
        <v>23.287500000000001</v>
      </c>
      <c r="Z88" s="248">
        <f>RIGHT(H88,LEN(H88)-4)/10000</f>
        <v>2.8000000000000001E-2</v>
      </c>
      <c r="AA88" s="248">
        <f>ABS(Z88-Y88)</f>
        <v>23.259500000000003</v>
      </c>
      <c r="AB88" s="234" t="e">
        <f>VLOOKUP(A88,Enforcements!$C$7:$K$9,8,0)</f>
        <v>#N/A</v>
      </c>
      <c r="AC88" s="233" t="e">
        <f>VLOOKUP(A88,Enforcements!$C$7:$E$9,3,0)</f>
        <v>#N/A</v>
      </c>
      <c r="AD88" s="244">
        <f>VALUE(LEFT(A88,LEN(A88)-3))</f>
        <v>176</v>
      </c>
      <c r="AE88" s="236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s3://rtdc.mdm.uploadarchive.raw/RTDC4009/ "%USERPROFILE%\AppData\Local\Temp\OnboardLogs"\RTDC4009\2017-11-24 --exclude "*" --recursive --include "*20171124*" &amp; "%USERPROFILE%\Documents\GitHub\mrs-test-scripts\Headless Mode &amp; Sideloading\WalkAndUnGZ.bat" "%USERPROFILE%\AppData\Local\Temp\OnboardLogs"\RTDC4009\2017-11-24 &amp; aws s3 cp s3://rtdc.mdm.uploadarchive.raw/RTDC4009/ "%USERPROFILE%\AppData\Local\Temp\OnboardLogs"\RTDC4009\2017-11-25 --exclude "*" --recursive --include "*20171125*" &amp; "%USERPROFILE%\Documents\GitHub\mrs-test-scripts\Headless Mode &amp; Sideloading\WalkAndUnGZ.bat" "%USERPROFILE%\AppData\Local\Temp\OnboardLogs"\RTDC4009\2017-11-25</v>
      </c>
      <c r="AF88" s="235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/stypes="app*4009*20171124*" /stext=" 21:.+((SYSTEM_STATE.+slice.+state.+changed )|(ment ac)|(multiple cpu faults)|(system.+state.+changed )|(\[timeout)|(PRM\|1\|D)|(kpr)|(kdp)|(train st.+moving)|(\|lc)|(penalty))"</v>
      </c>
      <c r="AG88" s="245" t="str">
        <f>DetSubdiv(A88)</f>
        <v>EC</v>
      </c>
      <c r="AH88" s="237" t="str">
        <f t="shared" si="10"/>
        <v>"%USERPROFILE%\Documents\GitHub\eaglep3\Utilities\RefineRTDCRunTimes.py" --tripid 176-24 --locoid 4009 --swversion DE.1.0.9.0 --startMP 204:232875 --initTime 2017-11-24T13:37:29 --startdatetime 2017-11-24T13:57:17 --delay 54 --endMP 204:280 --enddatetime 2017-11-24T14:34:28 --enforcementcount 0 &gt;&gt;%USERPROFILE%\Documents\GitHub\eaglep3-reporting\EC\2017-11-24-refined-times.txt</v>
      </c>
      <c r="AI88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{"issue":{"subject":"","project_id":79,"tracker_id":40,"status_id":1,"priority_id":2,"assigned_to_id":338,"start_date":"2017-11-24","description":"","custom_fields":[{"id":1,"name":"Subdivision","value":"EC"},{"id":4,"name":"Milepost","value":"0.028"},{"id":17,"name":"Train ID","value":"176-24"},{"id":16,"name":"Locomotive ID","value":"4009"},{"id":130,"name":"Impact","value":""},{"id":150,"name":"Time of Event (Mountain Time)","value":"14:34:28"},{"id":151,"name":"Denver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4"/>
      <c r="AK88" s="232"/>
      <c r="AL88" s="232"/>
      <c r="AM88" s="241" t="str">
        <f t="shared" si="12"/>
        <v>start /low /b %USERPROFILE%\Documents\GitHub\eaglep3\Utilities\DownloadLogsFromS3.py --loco 4009 --day 2017-11-24</v>
      </c>
      <c r="AN88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21:34:28"},{"id":29,"name":"Sharepoint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1" t="str">
        <f t="shared" si="14"/>
        <v>https://d0f6bd738d7f1b3e5a7ca70fe4ff75f0.us-east-1.aws.found.io/app/kibana#/discover/Steve-Slow-Train-Analysis-(2080s-and-2083s)?_g=(refreshInterval:(display:Off,pause:!f,section:0,value:0),time:(from:'2017-11-24T12:37:29-0700',mode:absolute,to:'2017-11-24T15:34:28-0700'))&amp;_a=(columns:!('Message%20ID',Summary),filters:!(),index:'emp_*',interval:auto,query:(query_string:(analyze_wildcard:!t,query:'%22rtdc.l.rtdc.4009%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30" t="s">
        <v>814</v>
      </c>
      <c r="B89" s="226">
        <v>4036</v>
      </c>
      <c r="C89" s="228" t="s">
        <v>192</v>
      </c>
      <c r="D89" s="228" t="s">
        <v>495</v>
      </c>
      <c r="E89" s="227">
        <v>43063.548726851855</v>
      </c>
      <c r="F89" s="227">
        <v>43063.552256944444</v>
      </c>
      <c r="G89" s="226">
        <v>82</v>
      </c>
      <c r="H89" s="228" t="s">
        <v>996</v>
      </c>
      <c r="I89" s="227">
        <v>43063.576932870368</v>
      </c>
      <c r="J89" s="226">
        <v>0</v>
      </c>
      <c r="K89" s="238" t="str">
        <f>IF(ISEVEN(B89),(B89-1)&amp;"/"&amp;B89,B89&amp;"/"&amp;(B89+1))</f>
        <v>4035/4036</v>
      </c>
      <c r="L89" s="246" t="str">
        <f>VLOOKUP(A89,'Trips&amp;Operators'!$C$1:$G$99911,5,FALSE)</f>
        <v>BRUDER RICHARD</v>
      </c>
      <c r="M89" s="225">
        <f>I89-F89</f>
        <v>2.4675925924384501E-2</v>
      </c>
      <c r="N89" s="226">
        <f>24*60*SUM($M89:$M89)</f>
        <v>35.533333331113681</v>
      </c>
      <c r="O89" s="226"/>
      <c r="P89" s="226"/>
      <c r="Q89" s="229"/>
      <c r="R89" s="243"/>
      <c r="S89" s="250">
        <f>1/IF(AG89="EC",12,1)*SUM(U89:U89)</f>
        <v>1</v>
      </c>
      <c r="T89" s="243" t="str">
        <f>IF(ISEVEN(LEFT(AD89,4)),"Southbound","NorthBound")</f>
        <v>NorthBound</v>
      </c>
      <c r="U89" s="24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9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-11-24T12:10:10-0700',mode:absolute,to:'2017-11-24T14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9" s="248" t="str">
        <f>IF(AA89&lt;VLOOKUP(AG89,Variables!$AC$3:$AD$8,2,FALSE),"Y","N")</f>
        <v>N</v>
      </c>
      <c r="X89" s="248">
        <f>VALUE(LEFT(AD89,4))-VALUE(LEFT(AD88,4))</f>
        <v>1</v>
      </c>
      <c r="Y89" s="248">
        <f>RIGHT(D89,LEN(D89)-4)/10000</f>
        <v>5.1999999999999998E-2</v>
      </c>
      <c r="Z89" s="248">
        <f>RIGHT(H89,LEN(H89)-4)/10000</f>
        <v>23.320900000000002</v>
      </c>
      <c r="AA89" s="248">
        <f>ABS(Z89-Y89)</f>
        <v>23.268900000000002</v>
      </c>
      <c r="AB89" s="234" t="e">
        <f>VLOOKUP(A89,Enforcements!$C$7:$K$9,8,0)</f>
        <v>#N/A</v>
      </c>
      <c r="AC89" s="233" t="e">
        <f>VLOOKUP(A89,Enforcements!$C$7:$E$9,3,0)</f>
        <v>#N/A</v>
      </c>
      <c r="AD89" s="244">
        <f>VALUE(LEFT(A89,LEN(A89)-3))</f>
        <v>177</v>
      </c>
      <c r="AE89" s="236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 &amp; aws s3 cp s3://rtdc.mdm.uploadarchive.raw/RTDC4036/ "%USERPROFILE%\AppData\Local\Temp\OnboardLogs"\RTDC4036\2017-11-25 --exclude "*" --recursive --include "*20171125*" &amp; "%USERPROFILE%\Documents\GitHub\mrs-test-scripts\Headless Mode &amp; Sideloading\WalkAndUnGZ.bat" "%USERPROFILE%\AppData\Local\Temp\OnboardLogs"\RTDC4036\2017-11-25</v>
      </c>
      <c r="AF89" s="235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/stypes="app*4036*20171124*" /stext=" 20:.+((SYSTEM_STATE.+slice.+state.+changed )|(ment ac)|(multiple cpu faults)|(system.+state.+changed )|(\[timeout)|(PRM\|1\|D)|(kpr)|(kdp)|(train st.+moving)|(\|lc)|(penalty))"</v>
      </c>
      <c r="AG89" s="245" t="str">
        <f>DetSubdiv(A89)</f>
        <v>EC</v>
      </c>
      <c r="AH89" s="237" t="str">
        <f t="shared" si="10"/>
        <v>"%USERPROFILE%\Documents\GitHub\eaglep3\Utilities\RefineRTDCRunTimes.py" --tripid 177-24 --locoid 4036 --swversion DE.1.0.9.0 --startMP 204:520 --initTime 2017-11-24T13:10:10 --startdatetime 2017-11-24T13:15:15 --delay 82 --endMP 204:233209 --enddatetime 2017-11-24T13:50:47 --enforcementcount 0 &gt;&gt;%USERPROFILE%\Documents\GitHub\eaglep3-reporting\EC\2017-11-24-refined-times.txt</v>
      </c>
      <c r="AI89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{"issue":{"subject":"","project_id":79,"tracker_id":40,"status_id":1,"priority_id":2,"assigned_to_id":338,"start_date":"2017-11-24","description":"","custom_fields":[{"id":1,"name":"Subdivision","value":"EC"},{"id":4,"name":"Milepost","value":"23.3209"},{"id":17,"name":"Train ID","value":"177-24"},{"id":16,"name":"Locomotive ID","value":"4036"},{"id":130,"name":"Impact","value":""},{"id":150,"name":"Time of Event (Mountain Time)","value":"13:50:47"},{"id":151,"name":"Denver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4"/>
      <c r="AK89" s="232"/>
      <c r="AL89" s="232"/>
      <c r="AM89" s="241" t="str">
        <f t="shared" si="12"/>
        <v>start /low /b %USERPROFILE%\Documents\GitHub\eaglep3\Utilities\DownloadLogsFromS3.py --loco 4036 --day 2017-11-24</v>
      </c>
      <c r="AN89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20:50:47"},{"id":29,"name":"Sharepoint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1" t="str">
        <f t="shared" si="14"/>
        <v>https://d0f6bd738d7f1b3e5a7ca70fe4ff75f0.us-east-1.aws.found.io/app/kibana#/discover/Steve-Slow-Train-Analysis-(2080s-and-2083s)?_g=(refreshInterval:(display:Off,pause:!f,section:0,value:0),time:(from:'2017-11-24T12:10:10-0700',mode:absolute,to:'2017-11-24T14:50:47-0700'))&amp;_a=(columns:!('Message%20ID',Summary),filters:!(),index:'emp_*',interval:auto,query:(query_string:(analyze_wildcard:!t,query:'%22rtdc.l.rtdc.4036%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30" t="s">
        <v>825</v>
      </c>
      <c r="B90" s="226">
        <v>4035</v>
      </c>
      <c r="C90" s="228" t="s">
        <v>192</v>
      </c>
      <c r="D90" s="228" t="s">
        <v>997</v>
      </c>
      <c r="E90" s="227">
        <v>43063.588379629633</v>
      </c>
      <c r="F90" s="227">
        <v>43063.591840277775</v>
      </c>
      <c r="G90" s="226">
        <v>63</v>
      </c>
      <c r="H90" s="228" t="s">
        <v>993</v>
      </c>
      <c r="I90" s="227">
        <v>43063.616990740738</v>
      </c>
      <c r="J90" s="226">
        <v>0</v>
      </c>
      <c r="K90" s="238" t="str">
        <f>IF(ISEVEN(B90),(B90-1)&amp;"/"&amp;B90,B90&amp;"/"&amp;(B90+1))</f>
        <v>4035/4036</v>
      </c>
      <c r="L90" s="246" t="str">
        <f>VLOOKUP(A90,'Trips&amp;Operators'!$C$1:$G$99911,5,FALSE)</f>
        <v>BRUDER RICHARD</v>
      </c>
      <c r="M90" s="225">
        <f>I90-F90</f>
        <v>2.5150462963210884E-2</v>
      </c>
      <c r="N90" s="226">
        <f>24*60*SUM($M90:$M90)</f>
        <v>36.216666667023674</v>
      </c>
      <c r="O90" s="226"/>
      <c r="P90" s="226"/>
      <c r="Q90" s="229"/>
      <c r="R90" s="243"/>
      <c r="S90" s="250">
        <f>1/IF(AG90="EC",12,1)*SUM(U90:U90)</f>
        <v>1</v>
      </c>
      <c r="T90" s="243" t="str">
        <f>IF(ISEVEN(LEFT(AD90,4)),"Southbound","NorthBound")</f>
        <v>Southbound</v>
      </c>
      <c r="U90" s="24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9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-11-24T13:07:16-0700',mode:absolute,to:'2017-11-24T15:48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0" s="248" t="str">
        <f>IF(AA90&lt;VLOOKUP(AG90,Variables!$AC$3:$AD$8,2,FALSE),"Y","N")</f>
        <v>N</v>
      </c>
      <c r="X90" s="248">
        <f>VALUE(LEFT(AD90,4))-VALUE(LEFT(AD89,4))</f>
        <v>1</v>
      </c>
      <c r="Y90" s="248">
        <f>RIGHT(D90,LEN(D90)-4)/10000</f>
        <v>23.2881</v>
      </c>
      <c r="Z90" s="248">
        <f>RIGHT(H90,LEN(H90)-4)/10000</f>
        <v>2.23E-2</v>
      </c>
      <c r="AA90" s="248">
        <f>ABS(Z90-Y90)</f>
        <v>23.265799999999999</v>
      </c>
      <c r="AB90" s="234" t="e">
        <f>VLOOKUP(A90,Enforcements!$C$7:$K$9,8,0)</f>
        <v>#N/A</v>
      </c>
      <c r="AC90" s="233" t="e">
        <f>VLOOKUP(A90,Enforcements!$C$7:$E$9,3,0)</f>
        <v>#N/A</v>
      </c>
      <c r="AD90" s="244">
        <f>VALUE(LEFT(A90,LEN(A90)-3))</f>
        <v>178</v>
      </c>
      <c r="AE90" s="236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 &amp; aws s3 cp s3://rtdc.mdm.uploadarchive.raw/RTDC4035/ "%USERPROFILE%\AppData\Local\Temp\OnboardLogs"\RTDC4035\2017-11-25 --exclude "*" --recursive --include "*20171125*" &amp; "%USERPROFILE%\Documents\GitHub\mrs-test-scripts\Headless Mode &amp; Sideloading\WalkAndUnGZ.bat" "%USERPROFILE%\AppData\Local\Temp\OnboardLogs"\RTDC4035\2017-11-25</v>
      </c>
      <c r="AF90" s="235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/stypes="app*4035*20171124*" /stext=" 21:.+((SYSTEM_STATE.+slice.+state.+changed )|(ment ac)|(multiple cpu faults)|(system.+state.+changed )|(\[timeout)|(PRM\|1\|D)|(kpr)|(kdp)|(train st.+moving)|(\|lc)|(penalty))"</v>
      </c>
      <c r="AG90" s="245" t="str">
        <f>DetSubdiv(A90)</f>
        <v>EC</v>
      </c>
      <c r="AH90" s="237" t="str">
        <f t="shared" si="10"/>
        <v>"%USERPROFILE%\Documents\GitHub\eaglep3\Utilities\RefineRTDCRunTimes.py" --tripid 178-24 --locoid 4035 --swversion DE.1.0.9.0 --startMP 204:232881 --initTime 2017-11-24T14:07:16 --startdatetime 2017-11-24T14:12:15 --delay 63 --endMP 204:223 --enddatetime 2017-11-24T14:48:28 --enforcementcount 0 &gt;&gt;%USERPROFILE%\Documents\GitHub\eaglep3-reporting\EC\2017-11-24-refined-times.txt</v>
      </c>
      <c r="AI90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{"issue":{"subject":"","project_id":79,"tracker_id":40,"status_id":1,"priority_id":2,"assigned_to_id":338,"start_date":"2017-11-24","description":"","custom_fields":[{"id":1,"name":"Subdivision","value":"EC"},{"id":4,"name":"Milepost","value":"0.0223"},{"id":17,"name":"Train ID","value":"178-24"},{"id":16,"name":"Locomotive ID","value":"4035"},{"id":130,"name":"Impact","value":""},{"id":150,"name":"Time of Event (Mountain Time)","value":"14:48:28"},{"id":151,"name":"Denver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4"/>
      <c r="AK90" s="232"/>
      <c r="AL90" s="232"/>
      <c r="AM90" s="241" t="str">
        <f t="shared" si="12"/>
        <v>start /low /b %USERPROFILE%\Documents\GitHub\eaglep3\Utilities\DownloadLogsFromS3.py --loco 4035 --day 2017-11-24</v>
      </c>
      <c r="AN90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21:48:28"},{"id":29,"name":"Sharepoint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1" t="str">
        <f t="shared" si="14"/>
        <v>https://d0f6bd738d7f1b3e5a7ca70fe4ff75f0.us-east-1.aws.found.io/app/kibana#/discover/Steve-Slow-Train-Analysis-(2080s-and-2083s)?_g=(refreshInterval:(display:Off,pause:!f,section:0,value:0),time:(from:'2017-11-24T13:07:16-0700',mode:absolute,to:'2017-11-24T15:48:28-0700'))&amp;_a=(columns:!('Message%20ID',Summary),filters:!(),index:'emp_*',interval:auto,query:(query_string:(analyze_wildcard:!t,query:'%22rtdc.l.rtdc.4035%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30" t="s">
        <v>816</v>
      </c>
      <c r="B91" s="226">
        <v>4002</v>
      </c>
      <c r="C91" s="228" t="s">
        <v>192</v>
      </c>
      <c r="D91" s="228" t="s">
        <v>998</v>
      </c>
      <c r="E91" s="227">
        <v>43063.558495370373</v>
      </c>
      <c r="F91" s="227">
        <v>43063.562708333331</v>
      </c>
      <c r="G91" s="226">
        <v>74</v>
      </c>
      <c r="H91" s="228" t="s">
        <v>999</v>
      </c>
      <c r="I91" s="227">
        <v>43063.588726851849</v>
      </c>
      <c r="J91" s="226">
        <v>0</v>
      </c>
      <c r="K91" s="238" t="str">
        <f>IF(ISEVEN(B91),(B91-1)&amp;"/"&amp;B91,B91&amp;"/"&amp;(B91+1))</f>
        <v>4001/4002</v>
      </c>
      <c r="L91" s="246" t="str">
        <f>VLOOKUP(A91,'Trips&amp;Operators'!$C$1:$G$99911,5,FALSE)</f>
        <v>LORI SANTOS</v>
      </c>
      <c r="M91" s="225">
        <f>I91-F91</f>
        <v>2.6018518517958E-2</v>
      </c>
      <c r="N91" s="226">
        <f>24*60*SUM($M91:$M91)</f>
        <v>37.46666666585952</v>
      </c>
      <c r="O91" s="226"/>
      <c r="P91" s="226"/>
      <c r="Q91" s="229"/>
      <c r="R91" s="243"/>
      <c r="S91" s="250">
        <f>1/IF(AG91="EC",12,1)*SUM(U91:U91)</f>
        <v>1</v>
      </c>
      <c r="T91" s="243" t="str">
        <f>IF(ISEVEN(LEFT(AD91,4)),"Southbound","NorthBound")</f>
        <v>NorthBound</v>
      </c>
      <c r="U91" s="24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9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-11-24T12:24:14-0700',mode:absolute,to:'2017-11-24T15:07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1" s="248" t="str">
        <f>IF(AA91&lt;VLOOKUP(AG91,Variables!$AC$3:$AD$8,2,FALSE),"Y","N")</f>
        <v>N</v>
      </c>
      <c r="X91" s="248">
        <f>VALUE(LEFT(AD91,4))-VALUE(LEFT(AD90,4))</f>
        <v>1</v>
      </c>
      <c r="Y91" s="248">
        <f>RIGHT(D91,LEN(D91)-4)/10000</f>
        <v>5.6000000000000001E-2</v>
      </c>
      <c r="Z91" s="248">
        <f>RIGHT(H91,LEN(H91)-4)/10000</f>
        <v>23.319500000000001</v>
      </c>
      <c r="AA91" s="248">
        <f>ABS(Z91-Y91)</f>
        <v>23.263500000000001</v>
      </c>
      <c r="AB91" s="234" t="e">
        <f>VLOOKUP(A91,Enforcements!$C$7:$K$9,8,0)</f>
        <v>#N/A</v>
      </c>
      <c r="AC91" s="233" t="e">
        <f>VLOOKUP(A91,Enforcements!$C$7:$E$9,3,0)</f>
        <v>#N/A</v>
      </c>
      <c r="AD91" s="244">
        <f>VALUE(LEFT(A91,LEN(A91)-3))</f>
        <v>179</v>
      </c>
      <c r="AE91" s="236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s3://rtdc.mdm.uploadarchive.raw/RTDC4002/ "%USERPROFILE%\AppData\Local\Temp\OnboardLogs"\RTDC4002\2017-11-24 --exclude "*" --recursive --include "*20171124*" &amp; "%USERPROFILE%\Documents\GitHub\mrs-test-scripts\Headless Mode &amp; Sideloading\WalkAndUnGZ.bat" "%USERPROFILE%\AppData\Local\Temp\OnboardLogs"\RTDC4002\2017-11-24 &amp; aws s3 cp s3://rtdc.mdm.uploadarchive.raw/RTDC4002/ "%USERPROFILE%\AppData\Local\Temp\OnboardLogs"\RTDC4002\2017-11-25 --exclude "*" --recursive --include "*20171125*" &amp; "%USERPROFILE%\Documents\GitHub\mrs-test-scripts\Headless Mode &amp; Sideloading\WalkAndUnGZ.bat" "%USERPROFILE%\AppData\Local\Temp\OnboardLogs"\RTDC4002\2017-11-25</v>
      </c>
      <c r="AF91" s="235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/stypes="app*4002*20171124*" /stext=" 21:.+((SYSTEM_STATE.+slice.+state.+changed )|(ment ac)|(multiple cpu faults)|(system.+state.+changed )|(\[timeout)|(PRM\|1\|D)|(kpr)|(kdp)|(train st.+moving)|(\|lc)|(penalty))"</v>
      </c>
      <c r="AG91" s="245" t="str">
        <f>DetSubdiv(A91)</f>
        <v>EC</v>
      </c>
      <c r="AH91" s="237" t="str">
        <f t="shared" si="10"/>
        <v>"%USERPROFILE%\Documents\GitHub\eaglep3\Utilities\RefineRTDCRunTimes.py" --tripid 179-24 --locoid 4002 --swversion DE.1.0.9.0 --startMP 204:560 --initTime 2017-11-24T13:24:14 --startdatetime 2017-11-24T13:30:18 --delay 74 --endMP 204:233195 --enddatetime 2017-11-24T14:07:46 --enforcementcount 0 &gt;&gt;%USERPROFILE%\Documents\GitHub\eaglep3-reporting\EC\2017-11-24-refined-times.txt</v>
      </c>
      <c r="AI91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{"issue":{"subject":"","project_id":79,"tracker_id":40,"status_id":1,"priority_id":2,"assigned_to_id":338,"start_date":"2017-11-24","description":"","custom_fields":[{"id":1,"name":"Subdivision","value":"EC"},{"id":4,"name":"Milepost","value":"23.3195"},{"id":17,"name":"Train ID","value":"179-24"},{"id":16,"name":"Locomotive ID","value":"4002"},{"id":130,"name":"Impact","value":""},{"id":150,"name":"Time of Event (Mountain Time)","value":"14:07:46"},{"id":151,"name":"Denver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4"/>
      <c r="AK91" s="232"/>
      <c r="AL91" s="232"/>
      <c r="AM91" s="241" t="str">
        <f t="shared" si="12"/>
        <v>start /low /b %USERPROFILE%\Documents\GitHub\eaglep3\Utilities\DownloadLogsFromS3.py --loco 4002 --day 2017-11-24</v>
      </c>
      <c r="AN91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21:07:46"},{"id":29,"name":"Sharepoint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1" t="str">
        <f t="shared" si="14"/>
        <v>https://d0f6bd738d7f1b3e5a7ca70fe4ff75f0.us-east-1.aws.found.io/app/kibana#/discover/Steve-Slow-Train-Analysis-(2080s-and-2083s)?_g=(refreshInterval:(display:Off,pause:!f,section:0,value:0),time:(from:'2017-11-24T12:24:14-0700',mode:absolute,to:'2017-11-24T15:07:46-0700'))&amp;_a=(columns:!('Message%20ID',Summary),filters:!(),index:'emp_*',interval:auto,query:(query_string:(analyze_wildcard:!t,query:'%22rtdc.l.rtdc.4002%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30" t="s">
        <v>827</v>
      </c>
      <c r="B92" s="226">
        <v>4001</v>
      </c>
      <c r="C92" s="228" t="s">
        <v>192</v>
      </c>
      <c r="D92" s="228" t="s">
        <v>951</v>
      </c>
      <c r="E92" s="227">
        <v>43063.597083333334</v>
      </c>
      <c r="F92" s="227">
        <v>43063.602407407408</v>
      </c>
      <c r="G92" s="226">
        <v>70</v>
      </c>
      <c r="H92" s="228" t="s">
        <v>1000</v>
      </c>
      <c r="I92" s="227">
        <v>43063.629374999997</v>
      </c>
      <c r="J92" s="226">
        <v>0</v>
      </c>
      <c r="K92" s="238" t="str">
        <f>IF(ISEVEN(B92),(B92-1)&amp;"/"&amp;B92,B92&amp;"/"&amp;(B92+1))</f>
        <v>4001/4002</v>
      </c>
      <c r="L92" s="246" t="str">
        <f>VLOOKUP(A92,'Trips&amp;Operators'!$C$1:$G$99911,5,FALSE)</f>
        <v>LORI SANTOS</v>
      </c>
      <c r="M92" s="225">
        <f>I92-F92</f>
        <v>2.696759258833481E-2</v>
      </c>
      <c r="N92" s="226">
        <f>24*60*SUM($M92:$M92)</f>
        <v>38.833333327202126</v>
      </c>
      <c r="O92" s="226"/>
      <c r="P92" s="226"/>
      <c r="Q92" s="229"/>
      <c r="R92" s="243"/>
      <c r="S92" s="250">
        <f>1/IF(AG92="EC",12,1)*SUM(U92:U92)</f>
        <v>1</v>
      </c>
      <c r="T92" s="243" t="str">
        <f>IF(ISEVEN(LEFT(AD92,4)),"Southbound","NorthBound")</f>
        <v>Southbound</v>
      </c>
      <c r="U92" s="24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9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-11-24T13:19:48-0700',mode:absolute,to:'2017-11-24T16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2" s="248" t="str">
        <f>IF(AA92&lt;VLOOKUP(AG92,Variables!$AC$3:$AD$8,2,FALSE),"Y","N")</f>
        <v>N</v>
      </c>
      <c r="X92" s="248">
        <f>VALUE(LEFT(AD92,4))-VALUE(LEFT(AD91,4))</f>
        <v>1</v>
      </c>
      <c r="Y92" s="248">
        <f>RIGHT(D92,LEN(D92)-4)/10000</f>
        <v>23.286999999999999</v>
      </c>
      <c r="Z92" s="248">
        <f>RIGHT(H92,LEN(H92)-4)/10000</f>
        <v>2.3099999999999999E-2</v>
      </c>
      <c r="AA92" s="248">
        <f>ABS(Z92-Y92)</f>
        <v>23.2639</v>
      </c>
      <c r="AB92" s="234" t="e">
        <f>VLOOKUP(A92,Enforcements!$C$7:$K$9,8,0)</f>
        <v>#N/A</v>
      </c>
      <c r="AC92" s="233" t="e">
        <f>VLOOKUP(A92,Enforcements!$C$7:$E$9,3,0)</f>
        <v>#N/A</v>
      </c>
      <c r="AD92" s="244">
        <f>VALUE(LEFT(A92,LEN(A92)-3))</f>
        <v>180</v>
      </c>
      <c r="AE92" s="236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s3://rtdc.mdm.uploadarchive.raw/RTDC4001/ "%USERPROFILE%\AppData\Local\Temp\OnboardLogs"\RTDC4001\2017-11-24 --exclude "*" --recursive --include "*20171124*" &amp; "%USERPROFILE%\Documents\GitHub\mrs-test-scripts\Headless Mode &amp; Sideloading\WalkAndUnGZ.bat" "%USERPROFILE%\AppData\Local\Temp\OnboardLogs"\RTDC4001\2017-11-24 &amp; aws s3 cp s3://rtdc.mdm.uploadarchive.raw/RTDC4001/ "%USERPROFILE%\AppData\Local\Temp\OnboardLogs"\RTDC4001\2017-11-25 --exclude "*" --recursive --include "*20171125*" &amp; "%USERPROFILE%\Documents\GitHub\mrs-test-scripts\Headless Mode &amp; Sideloading\WalkAndUnGZ.bat" "%USERPROFILE%\AppData\Local\Temp\OnboardLogs"\RTDC4001\2017-11-25</v>
      </c>
      <c r="AF92" s="235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/stypes="app*4001*20171124*" /stext=" 22:.+((SYSTEM_STATE.+slice.+state.+changed )|(ment ac)|(multiple cpu faults)|(system.+state.+changed )|(\[timeout)|(PRM\|1\|D)|(kpr)|(kdp)|(train st.+moving)|(\|lc)|(penalty))"</v>
      </c>
      <c r="AG92" s="245" t="str">
        <f>DetSubdiv(A92)</f>
        <v>EC</v>
      </c>
      <c r="AH92" s="237" t="str">
        <f t="shared" si="10"/>
        <v>"%USERPROFILE%\Documents\GitHub\eaglep3\Utilities\RefineRTDCRunTimes.py" --tripid 180-24 --locoid 4001 --swversion DE.1.0.9.0 --startMP 204:232870 --initTime 2017-11-24T14:19:48 --startdatetime 2017-11-24T14:27:28 --delay 70 --endMP 204:231 --enddatetime 2017-11-24T15:06:18 --enforcementcount 0 &gt;&gt;%USERPROFILE%\Documents\GitHub\eaglep3-reporting\EC\2017-11-24-refined-times.txt</v>
      </c>
      <c r="AI92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{"issue":{"subject":"","project_id":79,"tracker_id":40,"status_id":1,"priority_id":2,"assigned_to_id":338,"start_date":"2017-11-24","description":"","custom_fields":[{"id":1,"name":"Subdivision","value":"EC"},{"id":4,"name":"Milepost","value":"0.0231"},{"id":17,"name":"Train ID","value":"180-24"},{"id":16,"name":"Locomotive ID","value":"4001"},{"id":130,"name":"Impact","value":""},{"id":150,"name":"Time of Event (Mountain Time)","value":"15:06:18"},{"id":151,"name":"Denver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4"/>
      <c r="AK92" s="232"/>
      <c r="AL92" s="232"/>
      <c r="AM92" s="241" t="str">
        <f t="shared" si="12"/>
        <v>start /low /b %USERPROFILE%\Documents\GitHub\eaglep3\Utilities\DownloadLogsFromS3.py --loco 4001 --day 2017-11-24</v>
      </c>
      <c r="AN92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22:06:18"},{"id":29,"name":"Sharepoint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1" t="str">
        <f t="shared" si="14"/>
        <v>https://d0f6bd738d7f1b3e5a7ca70fe4ff75f0.us-east-1.aws.found.io/app/kibana#/discover/Steve-Slow-Train-Analysis-(2080s-and-2083s)?_g=(refreshInterval:(display:Off,pause:!f,section:0,value:0),time:(from:'2017-11-24T13:19:48-0700',mode:absolute,to:'2017-11-24T16:06:18-0700'))&amp;_a=(columns:!('Message%20ID',Summary),filters:!(),index:'emp_*',interval:auto,query:(query_string:(analyze_wildcard:!t,query:'%22rtdc.l.rtdc.4001%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30" t="s">
        <v>820</v>
      </c>
      <c r="B93" s="226">
        <v>4016</v>
      </c>
      <c r="C93" s="228" t="s">
        <v>192</v>
      </c>
      <c r="D93" s="228" t="s">
        <v>1001</v>
      </c>
      <c r="E93" s="227">
        <v>43063.56962962963</v>
      </c>
      <c r="F93" s="227">
        <v>43063.573078703703</v>
      </c>
      <c r="G93" s="226">
        <v>48</v>
      </c>
      <c r="H93" s="228" t="s">
        <v>976</v>
      </c>
      <c r="I93" s="227">
        <v>43063.598055555558</v>
      </c>
      <c r="J93" s="226">
        <v>0</v>
      </c>
      <c r="K93" s="238" t="str">
        <f>IF(ISEVEN(B93),(B93-1)&amp;"/"&amp;B93,B93&amp;"/"&amp;(B93+1))</f>
        <v>4015/4016</v>
      </c>
      <c r="L93" s="246" t="str">
        <f>VLOOKUP(A93,'Trips&amp;Operators'!$C$1:$G$99911,5,FALSE)</f>
        <v>FORTUNATO FRANK</v>
      </c>
      <c r="M93" s="225">
        <f>I93-F93</f>
        <v>2.4976851855171844E-2</v>
      </c>
      <c r="N93" s="226">
        <f>24*60*SUM($M93:$M93)</f>
        <v>35.966666671447456</v>
      </c>
      <c r="O93" s="226"/>
      <c r="P93" s="226"/>
      <c r="Q93" s="229"/>
      <c r="R93" s="243"/>
      <c r="S93" s="250">
        <f>1/IF(AG93="EC",12,1)*SUM(U93:U93)</f>
        <v>1</v>
      </c>
      <c r="T93" s="243" t="str">
        <f>IF(ISEVEN(LEFT(AD93,4)),"Southbound","NorthBound")</f>
        <v>NorthBound</v>
      </c>
      <c r="U93" s="24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9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-11-24T12:40:16-0700',mode:absolute,to:'2017-11-24T15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3" s="248" t="str">
        <f>IF(AA93&lt;VLOOKUP(AG93,Variables!$AC$3:$AD$8,2,FALSE),"Y","N")</f>
        <v>N</v>
      </c>
      <c r="X93" s="248">
        <f>VALUE(LEFT(AD93,4))-VALUE(LEFT(AD92,4))</f>
        <v>1</v>
      </c>
      <c r="Y93" s="248">
        <f>RIGHT(D93,LEN(D93)-4)/10000</f>
        <v>0.05</v>
      </c>
      <c r="Z93" s="248">
        <f>RIGHT(H93,LEN(H93)-4)/10000</f>
        <v>23.319299999999998</v>
      </c>
      <c r="AA93" s="248">
        <f>ABS(Z93-Y93)</f>
        <v>23.269299999999998</v>
      </c>
      <c r="AB93" s="234" t="e">
        <f>VLOOKUP(A93,Enforcements!$C$7:$K$9,8,0)</f>
        <v>#N/A</v>
      </c>
      <c r="AC93" s="233" t="e">
        <f>VLOOKUP(A93,Enforcements!$C$7:$E$9,3,0)</f>
        <v>#N/A</v>
      </c>
      <c r="AD93" s="244">
        <f>VALUE(LEFT(A93,LEN(A93)-3))</f>
        <v>181</v>
      </c>
      <c r="AE93" s="236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s3://rtdc.mdm.uploadarchive.raw/RTDC4016/ "%USERPROFILE%\AppData\Local\Temp\OnboardLogs"\RTDC4016\2017-11-24 --exclude "*" --recursive --include "*20171124*" &amp; "%USERPROFILE%\Documents\GitHub\mrs-test-scripts\Headless Mode &amp; Sideloading\WalkAndUnGZ.bat" "%USERPROFILE%\AppData\Local\Temp\OnboardLogs"\RTDC4016\2017-11-24 &amp; aws s3 cp s3://rtdc.mdm.uploadarchive.raw/RTDC4016/ "%USERPROFILE%\AppData\Local\Temp\OnboardLogs"\RTDC4016\2017-11-25 --exclude "*" --recursive --include "*20171125*" &amp; "%USERPROFILE%\Documents\GitHub\mrs-test-scripts\Headless Mode &amp; Sideloading\WalkAndUnGZ.bat" "%USERPROFILE%\AppData\Local\Temp\OnboardLogs"\RTDC4016\2017-11-25</v>
      </c>
      <c r="AF93" s="235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/stypes="app*4016*20171124*" /stext=" 21:.+((SYSTEM_STATE.+slice.+state.+changed )|(ment ac)|(multiple cpu faults)|(system.+state.+changed )|(\[timeout)|(PRM\|1\|D)|(kpr)|(kdp)|(train st.+moving)|(\|lc)|(penalty))"</v>
      </c>
      <c r="AG93" s="245" t="str">
        <f>DetSubdiv(A93)</f>
        <v>EC</v>
      </c>
      <c r="AH93" s="237" t="str">
        <f t="shared" si="10"/>
        <v>"%USERPROFILE%\Documents\GitHub\eaglep3\Utilities\RefineRTDCRunTimes.py" --tripid 181-24 --locoid 4016 --swversion DE.1.0.9.0 --startMP 204:500 --initTime 2017-11-24T13:40:16 --startdatetime 2017-11-24T13:45:14 --delay 48 --endMP 204:233193 --enddatetime 2017-11-24T14:21:12 --enforcementcount 0 &gt;&gt;%USERPROFILE%\Documents\GitHub\eaglep3-reporting\EC\2017-11-24-refined-times.txt</v>
      </c>
      <c r="AI93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{"issue":{"subject":"","project_id":79,"tracker_id":40,"status_id":1,"priority_id":2,"assigned_to_id":338,"start_date":"2017-11-24","description":"","custom_fields":[{"id":1,"name":"Subdivision","value":"EC"},{"id":4,"name":"Milepost","value":"23.3193"},{"id":17,"name":"Train ID","value":"181-24"},{"id":16,"name":"Locomotive ID","value":"4016"},{"id":130,"name":"Impact","value":""},{"id":150,"name":"Time of Event (Mountain Time)","value":"14:21:12"},{"id":151,"name":"Denver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4"/>
      <c r="AK93" s="232"/>
      <c r="AL93" s="232"/>
      <c r="AM93" s="241" t="str">
        <f t="shared" si="12"/>
        <v>start /low /b %USERPROFILE%\Documents\GitHub\eaglep3\Utilities\DownloadLogsFromS3.py --loco 4016 --day 2017-11-24</v>
      </c>
      <c r="AN93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21:21:12"},{"id":29,"name":"Sharepoint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1" t="str">
        <f t="shared" si="14"/>
        <v>https://d0f6bd738d7f1b3e5a7ca70fe4ff75f0.us-east-1.aws.found.io/app/kibana#/discover/Steve-Slow-Train-Analysis-(2080s-and-2083s)?_g=(refreshInterval:(display:Off,pause:!f,section:0,value:0),time:(from:'2017-11-24T12:40:16-0700',mode:absolute,to:'2017-11-24T15:21:12-0700'))&amp;_a=(columns:!('Message%20ID',Summary),filters:!(),index:'emp_*',interval:auto,query:(query_string:(analyze_wildcard:!t,query:'%22rtdc.l.rtdc.4016%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30" t="s">
        <v>828</v>
      </c>
      <c r="B94" s="226">
        <v>4015</v>
      </c>
      <c r="C94" s="228" t="s">
        <v>192</v>
      </c>
      <c r="D94" s="228" t="s">
        <v>961</v>
      </c>
      <c r="E94" s="227">
        <v>43063.599050925928</v>
      </c>
      <c r="F94" s="227">
        <v>43063.612673611111</v>
      </c>
      <c r="G94" s="226">
        <v>54</v>
      </c>
      <c r="H94" s="228" t="s">
        <v>529</v>
      </c>
      <c r="I94" s="227">
        <v>43063.638969907406</v>
      </c>
      <c r="J94" s="226">
        <v>0</v>
      </c>
      <c r="K94" s="238" t="str">
        <f>IF(ISEVEN(B94),(B94-1)&amp;"/"&amp;B94,B94&amp;"/"&amp;(B94+1))</f>
        <v>4015/4016</v>
      </c>
      <c r="L94" s="246" t="str">
        <f>VLOOKUP(A94,'Trips&amp;Operators'!$C$1:$G$99911,5,FALSE)</f>
        <v>FORTUNATO FRANK</v>
      </c>
      <c r="M94" s="225">
        <f>I94-F94</f>
        <v>2.6296296295186039E-2</v>
      </c>
      <c r="N94" s="226">
        <f>24*60*SUM($M94:$M94)</f>
        <v>37.866666665067896</v>
      </c>
      <c r="O94" s="226"/>
      <c r="P94" s="226"/>
      <c r="Q94" s="229"/>
      <c r="R94" s="243"/>
      <c r="S94" s="250">
        <f>1/IF(AG94="EC",12,1)*SUM(U94:U94)</f>
        <v>1</v>
      </c>
      <c r="T94" s="243" t="str">
        <f>IF(ISEVEN(LEFT(AD94,4)),"Southbound","NorthBound")</f>
        <v>Southbound</v>
      </c>
      <c r="U94" s="24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9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-11-24T13:22:38-0700',mode:absolute,to:'2017-11-24T16:20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4" s="248" t="str">
        <f>IF(AA94&lt;VLOOKUP(AG94,Variables!$AC$3:$AD$8,2,FALSE),"Y","N")</f>
        <v>N</v>
      </c>
      <c r="X94" s="248">
        <f>VALUE(LEFT(AD94,4))-VALUE(LEFT(AD93,4))</f>
        <v>1</v>
      </c>
      <c r="Y94" s="248">
        <f>RIGHT(D94,LEN(D94)-4)/10000</f>
        <v>23.286300000000001</v>
      </c>
      <c r="Z94" s="248">
        <f>RIGHT(H94,LEN(H94)-4)/10000</f>
        <v>2.0899999999999998E-2</v>
      </c>
      <c r="AA94" s="248">
        <f>ABS(Z94-Y94)</f>
        <v>23.2654</v>
      </c>
      <c r="AB94" s="234" t="e">
        <f>VLOOKUP(A94,Enforcements!$C$7:$K$9,8,0)</f>
        <v>#N/A</v>
      </c>
      <c r="AC94" s="233" t="e">
        <f>VLOOKUP(A94,Enforcements!$C$7:$E$9,3,0)</f>
        <v>#N/A</v>
      </c>
      <c r="AD94" s="244">
        <f>VALUE(LEFT(A94,LEN(A94)-3))</f>
        <v>182</v>
      </c>
      <c r="AE94" s="236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s3://rtdc.mdm.uploadarchive.raw/RTDC4015/ "%USERPROFILE%\AppData\Local\Temp\OnboardLogs"\RTDC4015\2017-11-24 --exclude "*" --recursive --include "*20171124*" &amp; "%USERPROFILE%\Documents\GitHub\mrs-test-scripts\Headless Mode &amp; Sideloading\WalkAndUnGZ.bat" "%USERPROFILE%\AppData\Local\Temp\OnboardLogs"\RTDC4015\2017-11-24 &amp; aws s3 cp s3://rtdc.mdm.uploadarchive.raw/RTDC4015/ "%USERPROFILE%\AppData\Local\Temp\OnboardLogs"\RTDC4015\2017-11-25 --exclude "*" --recursive --include "*20171125*" &amp; "%USERPROFILE%\Documents\GitHub\mrs-test-scripts\Headless Mode &amp; Sideloading\WalkAndUnGZ.bat" "%USERPROFILE%\AppData\Local\Temp\OnboardLogs"\RTDC4015\2017-11-25</v>
      </c>
      <c r="AF94" s="235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/stypes="app*4015*20171124*" /stext=" 22:.+((SYSTEM_STATE.+slice.+state.+changed )|(ment ac)|(multiple cpu faults)|(system.+state.+changed )|(\[timeout)|(PRM\|1\|D)|(kpr)|(kdp)|(train st.+moving)|(\|lc)|(penalty))"</v>
      </c>
      <c r="AG94" s="245" t="str">
        <f>DetSubdiv(A94)</f>
        <v>EC</v>
      </c>
      <c r="AH94" s="237" t="str">
        <f t="shared" si="10"/>
        <v>"%USERPROFILE%\Documents\GitHub\eaglep3\Utilities\RefineRTDCRunTimes.py" --tripid 182-24 --locoid 4015 --swversion DE.1.0.9.0 --startMP 204:232863 --initTime 2017-11-24T14:22:38 --startdatetime 2017-11-24T14:42:15 --delay 54 --endMP 204:209 --enddatetime 2017-11-24T15:20:07 --enforcementcount 0 &gt;&gt;%USERPROFILE%\Documents\GitHub\eaglep3-reporting\EC\2017-11-24-refined-times.txt</v>
      </c>
      <c r="AI94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{"issue":{"subject":"","project_id":79,"tracker_id":40,"status_id":1,"priority_id":2,"assigned_to_id":338,"start_date":"2017-11-24","description":"","custom_fields":[{"id":1,"name":"Subdivision","value":"EC"},{"id":4,"name":"Milepost","value":"0.0209"},{"id":17,"name":"Train ID","value":"182-24"},{"id":16,"name":"Locomotive ID","value":"4015"},{"id":130,"name":"Impact","value":""},{"id":150,"name":"Time of Event (Mountain Time)","value":"15:20:07"},{"id":151,"name":"Denver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4"/>
      <c r="AK94" s="232"/>
      <c r="AL94" s="232"/>
      <c r="AM94" s="241" t="str">
        <f t="shared" si="12"/>
        <v>start /low /b %USERPROFILE%\Documents\GitHub\eaglep3\Utilities\DownloadLogsFromS3.py --loco 4015 --day 2017-11-24</v>
      </c>
      <c r="AN94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22:20:07"},{"id":29,"name":"Sharepoint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1" t="str">
        <f t="shared" si="14"/>
        <v>https://d0f6bd738d7f1b3e5a7ca70fe4ff75f0.us-east-1.aws.found.io/app/kibana#/discover/Steve-Slow-Train-Analysis-(2080s-and-2083s)?_g=(refreshInterval:(display:Off,pause:!f,section:0,value:0),time:(from:'2017-11-24T13:22:38-0700',mode:absolute,to:'2017-11-24T16:20:07-0700'))&amp;_a=(columns:!('Message%20ID',Summary),filters:!(),index:'emp_*',interval:auto,query:(query_string:(analyze_wildcard:!t,query:'%22rtdc.l.rtdc.4015%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30" t="s">
        <v>821</v>
      </c>
      <c r="B95" s="226">
        <v>4050</v>
      </c>
      <c r="C95" s="228" t="s">
        <v>192</v>
      </c>
      <c r="D95" s="228" t="s">
        <v>620</v>
      </c>
      <c r="E95" s="227">
        <v>43063.577280092592</v>
      </c>
      <c r="F95" s="227">
        <v>43063.583506944444</v>
      </c>
      <c r="G95" s="226">
        <v>59</v>
      </c>
      <c r="H95" s="228" t="s">
        <v>541</v>
      </c>
      <c r="I95" s="227">
        <v>43063.607569444444</v>
      </c>
      <c r="J95" s="226">
        <v>0</v>
      </c>
      <c r="K95" s="238" t="str">
        <f>IF(ISEVEN(B95),(B95-1)&amp;"/"&amp;B95,B95&amp;"/"&amp;(B95+1))</f>
        <v>4049/4050</v>
      </c>
      <c r="L95" s="246" t="str">
        <f>VLOOKUP(A95,'Trips&amp;Operators'!$C$1:$G$99911,5,FALSE)</f>
        <v>GONZALEZ ARMANDO</v>
      </c>
      <c r="M95" s="225">
        <f>I95-F95</f>
        <v>2.4062500000582077E-2</v>
      </c>
      <c r="N95" s="226">
        <f>24*60*SUM($M95:$M95)</f>
        <v>34.65000000083819</v>
      </c>
      <c r="O95" s="226"/>
      <c r="P95" s="226"/>
      <c r="Q95" s="229"/>
      <c r="R95" s="243"/>
      <c r="S95" s="250">
        <f>1/IF(AG95="EC",12,1)*SUM(U95:U95)</f>
        <v>1</v>
      </c>
      <c r="T95" s="243" t="str">
        <f>IF(ISEVEN(LEFT(AD95,4)),"Southbound","NorthBound")</f>
        <v>NorthBound</v>
      </c>
      <c r="U95" s="24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9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-11-24T12:51:17-0700',mode:absolute,to:'2017-11-24T15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5" s="248" t="str">
        <f>IF(AA95&lt;VLOOKUP(AG95,Variables!$AC$3:$AD$8,2,FALSE),"Y","N")</f>
        <v>N</v>
      </c>
      <c r="X95" s="248">
        <f>VALUE(LEFT(AD95,4))-VALUE(LEFT(AD94,4))</f>
        <v>1</v>
      </c>
      <c r="Y95" s="248">
        <f>RIGHT(D95,LEN(D95)-4)/10000</f>
        <v>5.3100000000000001E-2</v>
      </c>
      <c r="Z95" s="248">
        <f>RIGHT(H95,LEN(H95)-4)/10000</f>
        <v>23.3306</v>
      </c>
      <c r="AA95" s="248">
        <f>ABS(Z95-Y95)</f>
        <v>23.2775</v>
      </c>
      <c r="AB95" s="234" t="e">
        <f>VLOOKUP(A95,Enforcements!$C$7:$K$9,8,0)</f>
        <v>#N/A</v>
      </c>
      <c r="AC95" s="233" t="e">
        <f>VLOOKUP(A95,Enforcements!$C$7:$E$9,3,0)</f>
        <v>#N/A</v>
      </c>
      <c r="AD95" s="244">
        <f>VALUE(LEFT(A95,LEN(A95)-3))</f>
        <v>183</v>
      </c>
      <c r="AE95" s="236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s3://rtdc.mdm.uploadarchive.raw/RTDC4050/ "%USERPROFILE%\AppData\Local\Temp\OnboardLogs"\RTDC4050\2017-11-24 --exclude "*" --recursive --include "*20171124*" &amp; "%USERPROFILE%\Documents\GitHub\mrs-test-scripts\Headless Mode &amp; Sideloading\WalkAndUnGZ.bat" "%USERPROFILE%\AppData\Local\Temp\OnboardLogs"\RTDC4050\2017-11-24 &amp; aws s3 cp s3://rtdc.mdm.uploadarchive.raw/RTDC4050/ "%USERPROFILE%\AppData\Local\Temp\OnboardLogs"\RTDC4050\2017-11-25 --exclude "*" --recursive --include "*20171125*" &amp; "%USERPROFILE%\Documents\GitHub\mrs-test-scripts\Headless Mode &amp; Sideloading\WalkAndUnGZ.bat" "%USERPROFILE%\AppData\Local\Temp\OnboardLogs"\RTDC4050\2017-11-25</v>
      </c>
      <c r="AF95" s="235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/stypes="app*4050*20171124*" /stext=" 21:.+((SYSTEM_STATE.+slice.+state.+changed )|(ment ac)|(multiple cpu faults)|(system.+state.+changed )|(\[timeout)|(PRM\|1\|D)|(kpr)|(kdp)|(train st.+moving)|(\|lc)|(penalty))"</v>
      </c>
      <c r="AG95" s="245" t="str">
        <f>DetSubdiv(A95)</f>
        <v>EC</v>
      </c>
      <c r="AH95" s="237" t="str">
        <f t="shared" si="10"/>
        <v>"%USERPROFILE%\Documents\GitHub\eaglep3\Utilities\RefineRTDCRunTimes.py" --tripid 183-24 --locoid 4050 --swversion DE.1.0.9.0 --startMP 204:531 --initTime 2017-11-24T13:51:17 --startdatetime 2017-11-24T14:00:15 --delay 59 --endMP 204:233306 --enddatetime 2017-11-24T14:34:54 --enforcementcount 0 &gt;&gt;%USERPROFILE%\Documents\GitHub\eaglep3-reporting\EC\2017-11-24-refined-times.txt</v>
      </c>
      <c r="AI95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{"issue":{"subject":"","project_id":79,"tracker_id":40,"status_id":1,"priority_id":2,"assigned_to_id":338,"start_date":"2017-11-24","description":"","custom_fields":[{"id":1,"name":"Subdivision","value":"EC"},{"id":4,"name":"Milepost","value":"23.3306"},{"id":17,"name":"Train ID","value":"183-24"},{"id":16,"name":"Locomotive ID","value":"4050"},{"id":130,"name":"Impact","value":""},{"id":150,"name":"Time of Event (Mountain Time)","value":"14:34:54"},{"id":151,"name":"Denver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4"/>
      <c r="AK95" s="232"/>
      <c r="AL95" s="232"/>
      <c r="AM95" s="241" t="str">
        <f t="shared" si="12"/>
        <v>start /low /b %USERPROFILE%\Documents\GitHub\eaglep3\Utilities\DownloadLogsFromS3.py --loco 4050 --day 2017-11-24</v>
      </c>
      <c r="AN95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21:34:54"},{"id":29,"name":"Sharepoint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1" t="str">
        <f t="shared" si="14"/>
        <v>https://d0f6bd738d7f1b3e5a7ca70fe4ff75f0.us-east-1.aws.found.io/app/kibana#/discover/Steve-Slow-Train-Analysis-(2080s-and-2083s)?_g=(refreshInterval:(display:Off,pause:!f,section:0,value:0),time:(from:'2017-11-24T12:51:17-0700',mode:absolute,to:'2017-11-24T15:34:54-0700'))&amp;_a=(columns:!('Message%20ID',Summary),filters:!(),index:'emp_*',interval:auto,query:(query_string:(analyze_wildcard:!t,query:'%22rtdc.l.rtdc.4050%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30" t="s">
        <v>831</v>
      </c>
      <c r="B96" s="226">
        <v>4049</v>
      </c>
      <c r="C96" s="228" t="s">
        <v>192</v>
      </c>
      <c r="D96" s="228" t="s">
        <v>494</v>
      </c>
      <c r="E96" s="227">
        <v>43063.617326388892</v>
      </c>
      <c r="F96" s="227">
        <v>43063.623113425929</v>
      </c>
      <c r="G96" s="226">
        <v>61</v>
      </c>
      <c r="H96" s="228" t="s">
        <v>526</v>
      </c>
      <c r="I96" s="227">
        <v>43063.649155092593</v>
      </c>
      <c r="J96" s="226">
        <v>0</v>
      </c>
      <c r="K96" s="238" t="str">
        <f>IF(ISEVEN(B96),(B96-1)&amp;"/"&amp;B96,B96&amp;"/"&amp;(B96+1))</f>
        <v>4049/4050</v>
      </c>
      <c r="L96" s="246" t="str">
        <f>VLOOKUP(A96,'Trips&amp;Operators'!$C$1:$G$99911,5,FALSE)</f>
        <v>GONZALEZ ARMANDO</v>
      </c>
      <c r="M96" s="225">
        <f>I96-F96</f>
        <v>2.6041666664241347E-2</v>
      </c>
      <c r="N96" s="226">
        <f>24*60*SUM($M96:$M96)</f>
        <v>37.49999999650754</v>
      </c>
      <c r="O96" s="226"/>
      <c r="P96" s="226"/>
      <c r="Q96" s="229"/>
      <c r="R96" s="243"/>
      <c r="S96" s="250">
        <f>1/IF(AG96="EC",12,1)*SUM(U96:U96)</f>
        <v>1</v>
      </c>
      <c r="T96" s="243" t="str">
        <f>IF(ISEVEN(LEFT(AD96,4)),"Southbound","NorthBound")</f>
        <v>Southbound</v>
      </c>
      <c r="U96" s="24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9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-11-24T13:48:57-0700',mode:absolute,to:'2017-11-24T16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6" s="248" t="str">
        <f>IF(AA96&lt;VLOOKUP(AG96,Variables!$AC$3:$AD$8,2,FALSE),"Y","N")</f>
        <v>N</v>
      </c>
      <c r="X96" s="248">
        <f>VALUE(LEFT(AD96,4))-VALUE(LEFT(AD95,4))</f>
        <v>1</v>
      </c>
      <c r="Y96" s="248">
        <f>RIGHT(D96,LEN(D96)-4)/10000</f>
        <v>23.297899999999998</v>
      </c>
      <c r="Z96" s="248">
        <f>RIGHT(H96,LEN(H96)-4)/10000</f>
        <v>1.61E-2</v>
      </c>
      <c r="AA96" s="248">
        <f>ABS(Z96-Y96)</f>
        <v>23.281799999999997</v>
      </c>
      <c r="AB96" s="234" t="e">
        <f>VLOOKUP(A96,Enforcements!$C$7:$K$9,8,0)</f>
        <v>#N/A</v>
      </c>
      <c r="AC96" s="233" t="e">
        <f>VLOOKUP(A96,Enforcements!$C$7:$E$9,3,0)</f>
        <v>#N/A</v>
      </c>
      <c r="AD96" s="244">
        <f>VALUE(LEFT(A96,LEN(A96)-3))</f>
        <v>184</v>
      </c>
      <c r="AE96" s="236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s3://rtdc.mdm.uploadarchive.raw/RTDC4049/ "%USERPROFILE%\AppData\Local\Temp\OnboardLogs"\RTDC4049\2017-11-24 --exclude "*" --recursive --include "*20171124*" &amp; "%USERPROFILE%\Documents\GitHub\mrs-test-scripts\Headless Mode &amp; Sideloading\WalkAndUnGZ.bat" "%USERPROFILE%\AppData\Local\Temp\OnboardLogs"\RTDC4049\2017-11-24 &amp; aws s3 cp s3://rtdc.mdm.uploadarchive.raw/RTDC4049/ "%USERPROFILE%\AppData\Local\Temp\OnboardLogs"\RTDC4049\2017-11-25 --exclude "*" --recursive --include "*20171125*" &amp; "%USERPROFILE%\Documents\GitHub\mrs-test-scripts\Headless Mode &amp; Sideloading\WalkAndUnGZ.bat" "%USERPROFILE%\AppData\Local\Temp\OnboardLogs"\RTDC4049\2017-11-25</v>
      </c>
      <c r="AF96" s="235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/stypes="app*4049*20171124*" /stext=" 22:.+((SYSTEM_STATE.+slice.+state.+changed )|(ment ac)|(multiple cpu faults)|(system.+state.+changed )|(\[timeout)|(PRM\|1\|D)|(kpr)|(kdp)|(train st.+moving)|(\|lc)|(penalty))"</v>
      </c>
      <c r="AG96" s="245" t="str">
        <f>DetSubdiv(A96)</f>
        <v>EC</v>
      </c>
      <c r="AH96" s="237" t="str">
        <f t="shared" si="10"/>
        <v>"%USERPROFILE%\Documents\GitHub\eaglep3\Utilities\RefineRTDCRunTimes.py" --tripid 184-24 --locoid 4049 --swversion DE.1.0.9.0 --startMP 204:232979 --initTime 2017-11-24T14:48:57 --startdatetime 2017-11-24T14:57:17 --delay 61 --endMP 204:161 --enddatetime 2017-11-24T15:34:47 --enforcementcount 0 &gt;&gt;%USERPROFILE%\Documents\GitHub\eaglep3-reporting\EC\2017-11-24-refined-times.txt</v>
      </c>
      <c r="AI96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{"issue":{"subject":"","project_id":79,"tracker_id":40,"status_id":1,"priority_id":2,"assigned_to_id":338,"start_date":"2017-11-24","description":"","custom_fields":[{"id":1,"name":"Subdivision","value":"EC"},{"id":4,"name":"Milepost","value":"0.0161"},{"id":17,"name":"Train ID","value":"184-24"},{"id":16,"name":"Locomotive ID","value":"4049"},{"id":130,"name":"Impact","value":""},{"id":150,"name":"Time of Event (Mountain Time)","value":"15:34:47"},{"id":151,"name":"Denver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4"/>
      <c r="AK96" s="232"/>
      <c r="AL96" s="232"/>
      <c r="AM96" s="241" t="str">
        <f t="shared" si="12"/>
        <v>start /low /b %USERPROFILE%\Documents\GitHub\eaglep3\Utilities\DownloadLogsFromS3.py --loco 4049 --day 2017-11-24</v>
      </c>
      <c r="AN96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22:34:47"},{"id":29,"name":"Sharepoint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1" t="str">
        <f t="shared" si="14"/>
        <v>https://d0f6bd738d7f1b3e5a7ca70fe4ff75f0.us-east-1.aws.found.io/app/kibana#/discover/Steve-Slow-Train-Analysis-(2080s-and-2083s)?_g=(refreshInterval:(display:Off,pause:!f,section:0,value:0),time:(from:'2017-11-24T13:48:57-0700',mode:absolute,to:'2017-11-24T16:34:47-0700'))&amp;_a=(columns:!('Message%20ID',Summary),filters:!(),index:'emp_*',interval:auto,query:(query_string:(analyze_wildcard:!t,query:'%22rtdc.l.rtdc.4049%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30" t="s">
        <v>826</v>
      </c>
      <c r="B97" s="226">
        <v>4006</v>
      </c>
      <c r="C97" s="228" t="s">
        <v>192</v>
      </c>
      <c r="D97" s="228" t="s">
        <v>1002</v>
      </c>
      <c r="E97" s="227">
        <v>43063.590312499997</v>
      </c>
      <c r="F97" s="227">
        <v>43063.593912037039</v>
      </c>
      <c r="G97" s="226">
        <v>54</v>
      </c>
      <c r="H97" s="228" t="s">
        <v>1003</v>
      </c>
      <c r="I97" s="227">
        <v>43063.619456018518</v>
      </c>
      <c r="J97" s="226">
        <v>0</v>
      </c>
      <c r="K97" s="238" t="str">
        <f>IF(ISEVEN(B97),(B97-1)&amp;"/"&amp;B97,B97&amp;"/"&amp;(B97+1))</f>
        <v>4005/4006</v>
      </c>
      <c r="L97" s="246" t="str">
        <f>VLOOKUP(A97,'Trips&amp;Operators'!$C$1:$G$99911,5,FALSE)</f>
        <v>BADERTSCHER DIANE</v>
      </c>
      <c r="M97" s="225">
        <f>I97-F97</f>
        <v>2.5543981479131617E-2</v>
      </c>
      <c r="N97" s="226">
        <f>24*60*SUM($M97:$M97)</f>
        <v>36.783333329949528</v>
      </c>
      <c r="O97" s="226"/>
      <c r="P97" s="226"/>
      <c r="Q97" s="229"/>
      <c r="R97" s="243"/>
      <c r="S97" s="250">
        <f>1/IF(AG97="EC",12,1)*SUM(U97:U97)</f>
        <v>1</v>
      </c>
      <c r="T97" s="243" t="str">
        <f>IF(ISEVEN(LEFT(AD97,4)),"Southbound","NorthBound")</f>
        <v>NorthBound</v>
      </c>
      <c r="U97" s="24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9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-11-24T13:10:03-0700',mode:absolute,to:'2017-11-24T15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7" s="248" t="str">
        <f>IF(AA97&lt;VLOOKUP(AG97,Variables!$AC$3:$AD$8,2,FALSE),"Y","N")</f>
        <v>N</v>
      </c>
      <c r="X97" s="248">
        <f>VALUE(LEFT(AD97,4))-VALUE(LEFT(AD96,4))</f>
        <v>1</v>
      </c>
      <c r="Y97" s="248">
        <f>RIGHT(D97,LEN(D97)-4)/10000</f>
        <v>4.7800000000000002E-2</v>
      </c>
      <c r="Z97" s="248">
        <f>RIGHT(H97,LEN(H97)-4)/10000</f>
        <v>23.325299999999999</v>
      </c>
      <c r="AA97" s="248">
        <f>ABS(Z97-Y97)</f>
        <v>23.2775</v>
      </c>
      <c r="AB97" s="234" t="e">
        <f>VLOOKUP(A97,Enforcements!$C$7:$K$9,8,0)</f>
        <v>#N/A</v>
      </c>
      <c r="AC97" s="233" t="e">
        <f>VLOOKUP(A97,Enforcements!$C$7:$E$9,3,0)</f>
        <v>#N/A</v>
      </c>
      <c r="AD97" s="244">
        <f>VALUE(LEFT(A97,LEN(A97)-3))</f>
        <v>185</v>
      </c>
      <c r="AE97" s="236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s3://rtdc.mdm.uploadarchive.raw/RTDC4006/ "%USERPROFILE%\AppData\Local\Temp\OnboardLogs"\RTDC4006\2017-11-24 --exclude "*" --recursive --include "*20171124*" &amp; "%USERPROFILE%\Documents\GitHub\mrs-test-scripts\Headless Mode &amp; Sideloading\WalkAndUnGZ.bat" "%USERPROFILE%\AppData\Local\Temp\OnboardLogs"\RTDC4006\2017-11-24 &amp; aws s3 cp s3://rtdc.mdm.uploadarchive.raw/RTDC4006/ "%USERPROFILE%\AppData\Local\Temp\OnboardLogs"\RTDC4006\2017-11-25 --exclude "*" --recursive --include "*20171125*" &amp; "%USERPROFILE%\Documents\GitHub\mrs-test-scripts\Headless Mode &amp; Sideloading\WalkAndUnGZ.bat" "%USERPROFILE%\AppData\Local\Temp\OnboardLogs"\RTDC4006\2017-11-25</v>
      </c>
      <c r="AF97" s="235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/stypes="app*4006*20171124*" /stext=" 21:.+((SYSTEM_STATE.+slice.+state.+changed )|(ment ac)|(multiple cpu faults)|(system.+state.+changed )|(\[timeout)|(PRM\|1\|D)|(kpr)|(kdp)|(train st.+moving)|(\|lc)|(penalty))"</v>
      </c>
      <c r="AG97" s="245" t="str">
        <f>DetSubdiv(A97)</f>
        <v>EC</v>
      </c>
      <c r="AH97" s="237" t="str">
        <f t="shared" si="10"/>
        <v>"%USERPROFILE%\Documents\GitHub\eaglep3\Utilities\RefineRTDCRunTimes.py" --tripid 185-24 --locoid 4006 --swversion DE.1.0.9.0 --startMP 204:478 --initTime 2017-11-24T14:10:03 --startdatetime 2017-11-24T14:15:14 --delay 54 --endMP 204:233253 --enddatetime 2017-11-24T14:52:01 --enforcementcount 0 &gt;&gt;%USERPROFILE%\Documents\GitHub\eaglep3-reporting\EC\2017-11-24-refined-times.txt</v>
      </c>
      <c r="AI97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{"issue":{"subject":"","project_id":79,"tracker_id":40,"status_id":1,"priority_id":2,"assigned_to_id":338,"start_date":"2017-11-24","description":"","custom_fields":[{"id":1,"name":"Subdivision","value":"EC"},{"id":4,"name":"Milepost","value":"23.3253"},{"id":17,"name":"Train ID","value":"185-24"},{"id":16,"name":"Locomotive ID","value":"4006"},{"id":130,"name":"Impact","value":""},{"id":150,"name":"Time of Event (Mountain Time)","value":"14:52:01"},{"id":151,"name":"Denver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4"/>
      <c r="AK97" s="232"/>
      <c r="AL97" s="232"/>
      <c r="AM97" s="241" t="str">
        <f t="shared" si="12"/>
        <v>start /low /b %USERPROFILE%\Documents\GitHub\eaglep3\Utilities\DownloadLogsFromS3.py --loco 4006 --day 2017-11-24</v>
      </c>
      <c r="AN97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21:52:01"},{"id":29,"name":"Sharepoint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1" t="str">
        <f t="shared" si="14"/>
        <v>https://d0f6bd738d7f1b3e5a7ca70fe4ff75f0.us-east-1.aws.found.io/app/kibana#/discover/Steve-Slow-Train-Analysis-(2080s-and-2083s)?_g=(refreshInterval:(display:Off,pause:!f,section:0,value:0),time:(from:'2017-11-24T13:10:03-0700',mode:absolute,to:'2017-11-24T15:52:01-0700'))&amp;_a=(columns:!('Message%20ID',Summary),filters:!(),index:'emp_*',interval:auto,query:(query_string:(analyze_wildcard:!t,query:'%22rtdc.l.rtdc.4006%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30" t="s">
        <v>834</v>
      </c>
      <c r="B98" s="226">
        <v>4005</v>
      </c>
      <c r="C98" s="228" t="s">
        <v>192</v>
      </c>
      <c r="D98" s="228" t="s">
        <v>618</v>
      </c>
      <c r="E98" s="227">
        <v>43063.627430555556</v>
      </c>
      <c r="F98" s="227">
        <v>43063.633506944447</v>
      </c>
      <c r="G98" s="226">
        <v>77</v>
      </c>
      <c r="H98" s="228" t="s">
        <v>499</v>
      </c>
      <c r="I98" s="227">
        <v>43063.660798611112</v>
      </c>
      <c r="J98" s="226">
        <v>0</v>
      </c>
      <c r="K98" s="238" t="str">
        <f>IF(ISEVEN(B98),(B98-1)&amp;"/"&amp;B98,B98&amp;"/"&amp;(B98+1))</f>
        <v>4005/4006</v>
      </c>
      <c r="L98" s="246" t="str">
        <f>VLOOKUP(A98,'Trips&amp;Operators'!$C$1:$G$99911,5,FALSE)</f>
        <v>BADERTSCHER DIANE</v>
      </c>
      <c r="M98" s="225">
        <f>I98-F98</f>
        <v>2.7291666665405501E-2</v>
      </c>
      <c r="N98" s="226">
        <f>24*60*SUM($M98:$M98)</f>
        <v>39.299999998183921</v>
      </c>
      <c r="O98" s="226"/>
      <c r="P98" s="226"/>
      <c r="Q98" s="229"/>
      <c r="R98" s="243"/>
      <c r="S98" s="250">
        <f>1/IF(AG98="EC",12,1)*SUM(U98:U98)</f>
        <v>1</v>
      </c>
      <c r="T98" s="243" t="str">
        <f>IF(ISEVEN(LEFT(AD98,4)),"Southbound","NorthBound")</f>
        <v>Southbound</v>
      </c>
      <c r="U98" s="24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9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-11-24T14:03:30-0700',mode:absolute,to:'2017-11-24T16:51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8" s="248" t="str">
        <f>IF(AA98&lt;VLOOKUP(AG98,Variables!$AC$3:$AD$8,2,FALSE),"Y","N")</f>
        <v>N</v>
      </c>
      <c r="X98" s="248">
        <f>VALUE(LEFT(AD98,4))-VALUE(LEFT(AD97,4))</f>
        <v>1</v>
      </c>
      <c r="Y98" s="248">
        <f>RIGHT(D98,LEN(D98)-4)/10000</f>
        <v>23.293199999999999</v>
      </c>
      <c r="Z98" s="248">
        <f>RIGHT(H98,LEN(H98)-4)/10000</f>
        <v>2.5600000000000001E-2</v>
      </c>
      <c r="AA98" s="248">
        <f>ABS(Z98-Y98)</f>
        <v>23.267599999999998</v>
      </c>
      <c r="AB98" s="234" t="e">
        <f>VLOOKUP(A98,Enforcements!$C$7:$K$9,8,0)</f>
        <v>#N/A</v>
      </c>
      <c r="AC98" s="233" t="e">
        <f>VLOOKUP(A98,Enforcements!$C$7:$E$9,3,0)</f>
        <v>#N/A</v>
      </c>
      <c r="AD98" s="244">
        <f>VALUE(LEFT(A98,LEN(A98)-3))</f>
        <v>186</v>
      </c>
      <c r="AE98" s="236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s3://rtdc.mdm.uploadarchive.raw/RTDC4005/ "%USERPROFILE%\AppData\Local\Temp\OnboardLogs"\RTDC4005\2017-11-24 --exclude "*" --recursive --include "*20171124*" &amp; "%USERPROFILE%\Documents\GitHub\mrs-test-scripts\Headless Mode &amp; Sideloading\WalkAndUnGZ.bat" "%USERPROFILE%\AppData\Local\Temp\OnboardLogs"\RTDC4005\2017-11-24 &amp; aws s3 cp s3://rtdc.mdm.uploadarchive.raw/RTDC4005/ "%USERPROFILE%\AppData\Local\Temp\OnboardLogs"\RTDC4005\2017-11-25 --exclude "*" --recursive --include "*20171125*" &amp; "%USERPROFILE%\Documents\GitHub\mrs-test-scripts\Headless Mode &amp; Sideloading\WalkAndUnGZ.bat" "%USERPROFILE%\AppData\Local\Temp\OnboardLogs"\RTDC4005\2017-11-25</v>
      </c>
      <c r="AF98" s="235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/stypes="app*4005*20171124*" /stext=" 22:.+((SYSTEM_STATE.+slice.+state.+changed )|(ment ac)|(multiple cpu faults)|(system.+state.+changed )|(\[timeout)|(PRM\|1\|D)|(kpr)|(kdp)|(train st.+moving)|(\|lc)|(penalty))"</v>
      </c>
      <c r="AG98" s="245" t="str">
        <f>DetSubdiv(A98)</f>
        <v>EC</v>
      </c>
      <c r="AH98" s="237" t="str">
        <f t="shared" si="10"/>
        <v>"%USERPROFILE%\Documents\GitHub\eaglep3\Utilities\RefineRTDCRunTimes.py" --tripid 186-24 --locoid 4005 --swversion DE.1.0.9.0 --startMP 204:232932 --initTime 2017-11-24T15:03:30 --startdatetime 2017-11-24T15:12:15 --delay 77 --endMP 204:256 --enddatetime 2017-11-24T15:51:33 --enforcementcount 0 &gt;&gt;%USERPROFILE%\Documents\GitHub\eaglep3-reporting\EC\2017-11-24-refined-times.txt</v>
      </c>
      <c r="AI98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{"issue":{"subject":"","project_id":79,"tracker_id":40,"status_id":1,"priority_id":2,"assigned_to_id":338,"start_date":"2017-11-24","description":"","custom_fields":[{"id":1,"name":"Subdivision","value":"EC"},{"id":4,"name":"Milepost","value":"0.0256"},{"id":17,"name":"Train ID","value":"186-24"},{"id":16,"name":"Locomotive ID","value":"4005"},{"id":130,"name":"Impact","value":""},{"id":150,"name":"Time of Event (Mountain Time)","value":"15:51:33"},{"id":151,"name":"Denver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4"/>
      <c r="AK98" s="232"/>
      <c r="AL98" s="232"/>
      <c r="AM98" s="241" t="str">
        <f t="shared" si="12"/>
        <v>start /low /b %USERPROFILE%\Documents\GitHub\eaglep3\Utilities\DownloadLogsFromS3.py --loco 4005 --day 2017-11-24</v>
      </c>
      <c r="AN98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22:51:33"},{"id":29,"name":"Sharepoint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1" t="str">
        <f t="shared" si="14"/>
        <v>https://d0f6bd738d7f1b3e5a7ca70fe4ff75f0.us-east-1.aws.found.io/app/kibana#/discover/Steve-Slow-Train-Analysis-(2080s-and-2083s)?_g=(refreshInterval:(display:Off,pause:!f,section:0,value:0),time:(from:'2017-11-24T14:03:30-0700',mode:absolute,to:'2017-11-24T16:51:33-0700'))&amp;_a=(columns:!('Message%20ID',Summary),filters:!(),index:'emp_*',interval:auto,query:(query_string:(analyze_wildcard:!t,query:'%22rtdc.l.rtdc.4005%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30" t="s">
        <v>672</v>
      </c>
      <c r="B99" s="226">
        <v>4064</v>
      </c>
      <c r="C99" s="228" t="s">
        <v>192</v>
      </c>
      <c r="D99" s="228" t="s">
        <v>453</v>
      </c>
      <c r="E99" s="227">
        <v>43063.6015625</v>
      </c>
      <c r="F99" s="227">
        <v>43063.604363425926</v>
      </c>
      <c r="G99" s="226">
        <v>56</v>
      </c>
      <c r="H99" s="228" t="s">
        <v>1004</v>
      </c>
      <c r="I99" s="227">
        <v>43063.628819444442</v>
      </c>
      <c r="J99" s="226">
        <v>0</v>
      </c>
      <c r="K99" s="238" t="str">
        <f>IF(ISEVEN(B99),(B99-1)&amp;"/"&amp;B99,B99&amp;"/"&amp;(B99+1))</f>
        <v>4063/4064</v>
      </c>
      <c r="L99" s="246" t="str">
        <f>VLOOKUP(A99,'Trips&amp;Operators'!$C$1:$G$99911,5,FALSE)</f>
        <v>AUSTIN THOMPSON</v>
      </c>
      <c r="M99" s="225">
        <f>I99-F99</f>
        <v>2.4456018516502809E-2</v>
      </c>
      <c r="N99" s="226">
        <f>24*60*SUM($M99:$M99)</f>
        <v>35.216666663764045</v>
      </c>
      <c r="O99" s="226"/>
      <c r="P99" s="226"/>
      <c r="Q99" s="229"/>
      <c r="R99" s="243"/>
      <c r="S99" s="250">
        <f>1/IF(AG99="EC",12,1)*SUM(U99:U99)</f>
        <v>1</v>
      </c>
      <c r="T99" s="243" t="str">
        <f>IF(ISEVEN(LEFT(AD99,4)),"Southbound","NorthBound")</f>
        <v>NorthBound</v>
      </c>
      <c r="U99" s="24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9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-11-24T13:26:15-0700',mode:absolute,to:'2017-11-24T16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9" s="248" t="str">
        <f>IF(AA99&lt;VLOOKUP(AG99,Variables!$AC$3:$AD$8,2,FALSE),"Y","N")</f>
        <v>N</v>
      </c>
      <c r="X99" s="248">
        <f>VALUE(LEFT(AD99,4))-VALUE(LEFT(AD98,4))</f>
        <v>1</v>
      </c>
      <c r="Y99" s="248">
        <f>RIGHT(D99,LEN(D99)-4)/10000</f>
        <v>5.33E-2</v>
      </c>
      <c r="Z99" s="248">
        <f>RIGHT(H99,LEN(H99)-4)/10000</f>
        <v>23.320399999999999</v>
      </c>
      <c r="AA99" s="248">
        <f>ABS(Z99-Y99)</f>
        <v>23.267099999999999</v>
      </c>
      <c r="AB99" s="234" t="e">
        <f>VLOOKUP(A99,Enforcements!$C$7:$K$9,8,0)</f>
        <v>#N/A</v>
      </c>
      <c r="AC99" s="233" t="e">
        <f>VLOOKUP(A99,Enforcements!$C$7:$E$9,3,0)</f>
        <v>#N/A</v>
      </c>
      <c r="AD99" s="244">
        <f>VALUE(LEFT(A99,LEN(A99)-3))</f>
        <v>187</v>
      </c>
      <c r="AE99" s="236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s3://rtdc.mdm.uploadarchive.raw/RTDC4064/ "%USERPROFILE%\AppData\Local\Temp\OnboardLogs"\RTDC4064\2017-11-24 --exclude "*" --recursive --include "*20171124*" &amp; "%USERPROFILE%\Documents\GitHub\mrs-test-scripts\Headless Mode &amp; Sideloading\WalkAndUnGZ.bat" "%USERPROFILE%\AppData\Local\Temp\OnboardLogs"\RTDC4064\2017-11-24 &amp; aws s3 cp s3://rtdc.mdm.uploadarchive.raw/RTDC4064/ "%USERPROFILE%\AppData\Local\Temp\OnboardLogs"\RTDC4064\2017-11-25 --exclude "*" --recursive --include "*20171125*" &amp; "%USERPROFILE%\Documents\GitHub\mrs-test-scripts\Headless Mode &amp; Sideloading\WalkAndUnGZ.bat" "%USERPROFILE%\AppData\Local\Temp\OnboardLogs"\RTDC4064\2017-11-25</v>
      </c>
      <c r="AF99" s="235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/stypes="app*4064*20171124*" /stext=" 22:.+((SYSTEM_STATE.+slice.+state.+changed )|(ment ac)|(multiple cpu faults)|(system.+state.+changed )|(\[timeout)|(PRM\|1\|D)|(kpr)|(kdp)|(train st.+moving)|(\|lc)|(penalty))"</v>
      </c>
      <c r="AG99" s="245" t="str">
        <f>DetSubdiv(A99)</f>
        <v>EC</v>
      </c>
      <c r="AH99" s="237" t="str">
        <f t="shared" si="10"/>
        <v>"%USERPROFILE%\Documents\GitHub\eaglep3\Utilities\RefineRTDCRunTimes.py" --tripid 187-24 --locoid 4064 --swversion DE.1.0.9.0 --startMP 204:533 --initTime 2017-11-24T14:26:15 --startdatetime 2017-11-24T14:30:17 --delay 56 --endMP 204:233204 --enddatetime 2017-11-24T15:05:30 --enforcementcount 0 &gt;&gt;%USERPROFILE%\Documents\GitHub\eaglep3-reporting\EC\2017-11-24-refined-times.txt</v>
      </c>
      <c r="AI99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{"issue":{"subject":"","project_id":79,"tracker_id":40,"status_id":1,"priority_id":2,"assigned_to_id":338,"start_date":"2017-11-24","description":"","custom_fields":[{"id":1,"name":"Subdivision","value":"EC"},{"id":4,"name":"Milepost","value":"23.3204"},{"id":17,"name":"Train ID","value":"187-24"},{"id":16,"name":"Locomotive ID","value":"4064"},{"id":130,"name":"Impact","value":""},{"id":150,"name":"Time of Event (Mountain Time)","value":"15:05:30"},{"id":151,"name":"Denver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4"/>
      <c r="AK99" s="232"/>
      <c r="AL99" s="232"/>
      <c r="AM99" s="241" t="str">
        <f t="shared" si="12"/>
        <v>start /low /b %USERPROFILE%\Documents\GitHub\eaglep3\Utilities\DownloadLogsFromS3.py --loco 4064 --day 2017-11-24</v>
      </c>
      <c r="AN99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22:05:30"},{"id":29,"name":"Sharepoint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1" t="str">
        <f t="shared" si="14"/>
        <v>https://d0f6bd738d7f1b3e5a7ca70fe4ff75f0.us-east-1.aws.found.io/app/kibana#/discover/Steve-Slow-Train-Analysis-(2080s-and-2083s)?_g=(refreshInterval:(display:Off,pause:!f,section:0,value:0),time:(from:'2017-11-24T13:26:15-0700',mode:absolute,to:'2017-11-24T16:05:30-0700'))&amp;_a=(columns:!('Message%20ID',Summary),filters:!(),index:'emp_*',interval:auto,query:(query_string:(analyze_wildcard:!t,query:'%22rtdc.l.rtdc.4064%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30" t="s">
        <v>839</v>
      </c>
      <c r="B100" s="226">
        <v>4063</v>
      </c>
      <c r="C100" s="228" t="s">
        <v>192</v>
      </c>
      <c r="D100" s="228" t="s">
        <v>610</v>
      </c>
      <c r="E100" s="227">
        <v>43063.641435185185</v>
      </c>
      <c r="F100" s="227">
        <v>43063.643888888888</v>
      </c>
      <c r="G100" s="226">
        <v>64</v>
      </c>
      <c r="H100" s="228" t="s">
        <v>945</v>
      </c>
      <c r="I100" s="227">
        <v>43063.66983796296</v>
      </c>
      <c r="J100" s="226">
        <v>0</v>
      </c>
      <c r="K100" s="238" t="str">
        <f>IF(ISEVEN(B100),(B100-1)&amp;"/"&amp;B100,B100&amp;"/"&amp;(B100+1))</f>
        <v>4063/4064</v>
      </c>
      <c r="L100" s="246" t="str">
        <f>VLOOKUP(A100,'Trips&amp;Operators'!$C$1:$G$99911,5,FALSE)</f>
        <v>AUSTIN THOMPSON</v>
      </c>
      <c r="M100" s="225">
        <f>I100-F100</f>
        <v>2.5949074071832001E-2</v>
      </c>
      <c r="N100" s="226">
        <f>24*60*SUM($M100:$M100)</f>
        <v>37.366666663438082</v>
      </c>
      <c r="O100" s="226"/>
      <c r="P100" s="226"/>
      <c r="Q100" s="229"/>
      <c r="R100" s="243"/>
      <c r="S100" s="250">
        <f>1/IF(AG100="EC",12,1)*SUM(U100:U100)</f>
        <v>1</v>
      </c>
      <c r="T100" s="243" t="str">
        <f>IF(ISEVEN(LEFT(AD100,4)),"Southbound","NorthBound")</f>
        <v>Southbound</v>
      </c>
      <c r="U100" s="24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9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-11-24T14:23:40-0700',mode:absolute,to:'2017-11-24T17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0" s="248" t="str">
        <f>IF(AA100&lt;VLOOKUP(AG100,Variables!$AC$3:$AD$8,2,FALSE),"Y","N")</f>
        <v>N</v>
      </c>
      <c r="X100" s="248">
        <f>VALUE(LEFT(AD100,4))-VALUE(LEFT(AD99,4))</f>
        <v>1</v>
      </c>
      <c r="Y100" s="248">
        <f>RIGHT(D100,LEN(D100)-4)/10000</f>
        <v>23.2896</v>
      </c>
      <c r="Z100" s="248">
        <f>RIGHT(H100,LEN(H100)-4)/10000</f>
        <v>2.5100000000000001E-2</v>
      </c>
      <c r="AA100" s="248">
        <f>ABS(Z100-Y100)</f>
        <v>23.264500000000002</v>
      </c>
      <c r="AB100" s="234" t="e">
        <f>VLOOKUP(A100,Enforcements!$C$7:$K$9,8,0)</f>
        <v>#N/A</v>
      </c>
      <c r="AC100" s="233" t="e">
        <f>VLOOKUP(A100,Enforcements!$C$7:$E$9,3,0)</f>
        <v>#N/A</v>
      </c>
      <c r="AD100" s="244">
        <f>VALUE(LEFT(A100,LEN(A100)-3))</f>
        <v>188</v>
      </c>
      <c r="AE100" s="236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s3://rtdc.mdm.uploadarchive.raw/RTDC4063/ "%USERPROFILE%\AppData\Local\Temp\OnboardLogs"\RTDC4063\2017-11-24 --exclude "*" --recursive --include "*20171124*" &amp; "%USERPROFILE%\Documents\GitHub\mrs-test-scripts\Headless Mode &amp; Sideloading\WalkAndUnGZ.bat" "%USERPROFILE%\AppData\Local\Temp\OnboardLogs"\RTDC4063\2017-11-24 &amp; aws s3 cp s3://rtdc.mdm.uploadarchive.raw/RTDC4063/ "%USERPROFILE%\AppData\Local\Temp\OnboardLogs"\RTDC4063\2017-11-25 --exclude "*" --recursive --include "*20171125*" &amp; "%USERPROFILE%\Documents\GitHub\mrs-test-scripts\Headless Mode &amp; Sideloading\WalkAndUnGZ.bat" "%USERPROFILE%\AppData\Local\Temp\OnboardLogs"\RTDC4063\2017-11-25</v>
      </c>
      <c r="AF100" s="235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/stypes="app*4063*20171124*" /stext=" 23:.+((SYSTEM_STATE.+slice.+state.+changed )|(ment ac)|(multiple cpu faults)|(system.+state.+changed )|(\[timeout)|(PRM\|1\|D)|(kpr)|(kdp)|(train st.+moving)|(\|lc)|(penalty))"</v>
      </c>
      <c r="AG100" s="245" t="str">
        <f>DetSubdiv(A100)</f>
        <v>EC</v>
      </c>
      <c r="AH100" s="237" t="str">
        <f t="shared" si="10"/>
        <v>"%USERPROFILE%\Documents\GitHub\eaglep3\Utilities\RefineRTDCRunTimes.py" --tripid 188-24 --locoid 4063 --swversion DE.1.0.9.0 --startMP 204:232896 --initTime 2017-11-24T15:23:40 --startdatetime 2017-11-24T15:27:12 --delay 64 --endMP 204:251 --enddatetime 2017-11-24T16:04:34 --enforcementcount 0 &gt;&gt;%USERPROFILE%\Documents\GitHub\eaglep3-reporting\EC\2017-11-24-refined-times.txt</v>
      </c>
      <c r="AI100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{"issue":{"subject":"","project_id":79,"tracker_id":40,"status_id":1,"priority_id":2,"assigned_to_id":338,"start_date":"2017-11-24","description":"","custom_fields":[{"id":1,"name":"Subdivision","value":"EC"},{"id":4,"name":"Milepost","value":"0.0251"},{"id":17,"name":"Train ID","value":"188-24"},{"id":16,"name":"Locomotive ID","value":"4063"},{"id":130,"name":"Impact","value":""},{"id":150,"name":"Time of Event (Mountain Time)","value":"16:04:34"},{"id":151,"name":"Denver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4"/>
      <c r="AK100" s="232"/>
      <c r="AL100" s="232"/>
      <c r="AM100" s="241" t="str">
        <f t="shared" si="12"/>
        <v>start /low /b %USERPROFILE%\Documents\GitHub\eaglep3\Utilities\DownloadLogsFromS3.py --loco 4063 --day 2017-11-24</v>
      </c>
      <c r="AN100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23:04:34"},{"id":29,"name":"Sharepoint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1" t="str">
        <f t="shared" si="14"/>
        <v>https://d0f6bd738d7f1b3e5a7ca70fe4ff75f0.us-east-1.aws.found.io/app/kibana#/discover/Steve-Slow-Train-Analysis-(2080s-and-2083s)?_g=(refreshInterval:(display:Off,pause:!f,section:0,value:0),time:(from:'2017-11-24T14:23:40-0700',mode:absolute,to:'2017-11-24T17:04:34-0700'))&amp;_a=(columns:!('Message%20ID',Summary),filters:!(),index:'emp_*',interval:auto,query:(query_string:(analyze_wildcard:!t,query:'%22rtdc.l.rtdc.4063%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30" t="s">
        <v>830</v>
      </c>
      <c r="B101" s="226">
        <v>4010</v>
      </c>
      <c r="C101" s="228" t="s">
        <v>192</v>
      </c>
      <c r="D101" s="228" t="s">
        <v>1005</v>
      </c>
      <c r="E101" s="227">
        <v>43063.609050925923</v>
      </c>
      <c r="F101" s="227">
        <v>43063.614722222221</v>
      </c>
      <c r="G101" s="226">
        <v>55</v>
      </c>
      <c r="H101" s="228" t="s">
        <v>999</v>
      </c>
      <c r="I101" s="227">
        <v>43063.639444444445</v>
      </c>
      <c r="J101" s="226">
        <v>0</v>
      </c>
      <c r="K101" s="238" t="str">
        <f>IF(ISEVEN(B101),(B101-1)&amp;"/"&amp;B101,B101&amp;"/"&amp;(B101+1))</f>
        <v>4009/4010</v>
      </c>
      <c r="L101" s="246" t="str">
        <f>VLOOKUP(A101,'Trips&amp;Operators'!$C$1:$G$99911,5,FALSE)</f>
        <v>NEWELL JAMES</v>
      </c>
      <c r="M101" s="225">
        <f>I101-F101</f>
        <v>2.4722222224227153E-2</v>
      </c>
      <c r="N101" s="226">
        <f>24*60*SUM($M101:$M101)</f>
        <v>35.6000000028871</v>
      </c>
      <c r="O101" s="226"/>
      <c r="P101" s="226"/>
      <c r="Q101" s="229"/>
      <c r="R101" s="243"/>
      <c r="S101" s="250">
        <f>1/IF(AG101="EC",12,1)*SUM(U101:U101)</f>
        <v>1</v>
      </c>
      <c r="T101" s="243" t="str">
        <f>IF(ISEVEN(LEFT(AD101,4)),"Southbound","NorthBound")</f>
        <v>NorthBound</v>
      </c>
      <c r="U101" s="24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9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-11-24T13:37:02-0700',mode:absolute,to:'2017-11-24T16:20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248" t="str">
        <f>IF(AA101&lt;VLOOKUP(AG101,Variables!$AC$3:$AD$8,2,FALSE),"Y","N")</f>
        <v>N</v>
      </c>
      <c r="X101" s="248">
        <f>VALUE(LEFT(AD101,4))-VALUE(LEFT(AD100,4))</f>
        <v>1</v>
      </c>
      <c r="Y101" s="248">
        <f>RIGHT(D101,LEN(D101)-4)/10000</f>
        <v>6.1100000000000002E-2</v>
      </c>
      <c r="Z101" s="248">
        <f>RIGHT(H101,LEN(H101)-4)/10000</f>
        <v>23.319500000000001</v>
      </c>
      <c r="AA101" s="248">
        <f>ABS(Z101-Y101)</f>
        <v>23.258400000000002</v>
      </c>
      <c r="AB101" s="234" t="e">
        <f>VLOOKUP(A101,Enforcements!$C$7:$K$9,8,0)</f>
        <v>#N/A</v>
      </c>
      <c r="AC101" s="233" t="e">
        <f>VLOOKUP(A101,Enforcements!$C$7:$E$9,3,0)</f>
        <v>#N/A</v>
      </c>
      <c r="AD101" s="244">
        <f>VALUE(LEFT(A101,LEN(A101)-3))</f>
        <v>189</v>
      </c>
      <c r="AE101" s="236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s3://rtdc.mdm.uploadarchive.raw/RTDC4010/ "%USERPROFILE%\AppData\Local\Temp\OnboardLogs"\RTDC4010\2017-11-24 --exclude "*" --recursive --include "*20171124*" &amp; "%USERPROFILE%\Documents\GitHub\mrs-test-scripts\Headless Mode &amp; Sideloading\WalkAndUnGZ.bat" "%USERPROFILE%\AppData\Local\Temp\OnboardLogs"\RTDC4010\2017-11-24 &amp; aws s3 cp s3://rtdc.mdm.uploadarchive.raw/RTDC4010/ "%USERPROFILE%\AppData\Local\Temp\OnboardLogs"\RTDC4010\2017-11-25 --exclude "*" --recursive --include "*20171125*" &amp; "%USERPROFILE%\Documents\GitHub\mrs-test-scripts\Headless Mode &amp; Sideloading\WalkAndUnGZ.bat" "%USERPROFILE%\AppData\Local\Temp\OnboardLogs"\RTDC4010\2017-11-25</v>
      </c>
      <c r="AF101" s="235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/stypes="app*4010*20171124*" /stext=" 22:.+((SYSTEM_STATE.+slice.+state.+changed )|(ment ac)|(multiple cpu faults)|(system.+state.+changed )|(\[timeout)|(PRM\|1\|D)|(kpr)|(kdp)|(train st.+moving)|(\|lc)|(penalty))"</v>
      </c>
      <c r="AG101" s="245" t="str">
        <f>DetSubdiv(A101)</f>
        <v>EC</v>
      </c>
      <c r="AH101" s="237" t="str">
        <f t="shared" si="10"/>
        <v>"%USERPROFILE%\Documents\GitHub\eaglep3\Utilities\RefineRTDCRunTimes.py" --tripid 189-24 --locoid 4010 --swversion DE.1.0.9.0 --startMP 204:611 --initTime 2017-11-24T14:37:02 --startdatetime 2017-11-24T14:45:12 --delay 55 --endMP 204:233195 --enddatetime 2017-11-24T15:20:48 --enforcementcount 0 &gt;&gt;%USERPROFILE%\Documents\GitHub\eaglep3-reporting\EC\2017-11-24-refined-times.txt</v>
      </c>
      <c r="AI101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{"issue":{"subject":"","project_id":79,"tracker_id":40,"status_id":1,"priority_id":2,"assigned_to_id":338,"start_date":"2017-11-24","description":"","custom_fields":[{"id":1,"name":"Subdivision","value":"EC"},{"id":4,"name":"Milepost","value":"23.3195"},{"id":17,"name":"Train ID","value":"189-24"},{"id":16,"name":"Locomotive ID","value":"4010"},{"id":130,"name":"Impact","value":""},{"id":150,"name":"Time of Event (Mountain Time)","value":"15:20:48"},{"id":151,"name":"Denver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4"/>
      <c r="AK101" s="232"/>
      <c r="AL101" s="232"/>
      <c r="AM101" s="241" t="str">
        <f t="shared" si="12"/>
        <v>start /low /b %USERPROFILE%\Documents\GitHub\eaglep3\Utilities\DownloadLogsFromS3.py --loco 4010 --day 2017-11-24</v>
      </c>
      <c r="AN101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22:20:48"},{"id":29,"name":"Sharepoint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1" t="str">
        <f t="shared" si="14"/>
        <v>https://d0f6bd738d7f1b3e5a7ca70fe4ff75f0.us-east-1.aws.found.io/app/kibana#/discover/Steve-Slow-Train-Analysis-(2080s-and-2083s)?_g=(refreshInterval:(display:Off,pause:!f,section:0,value:0),time:(from:'2017-11-24T13:37:02-0700',mode:absolute,to:'2017-11-24T16:20:48-0700'))&amp;_a=(columns:!('Message%20ID',Summary),filters:!(),index:'emp_*',interval:auto,query:(query_string:(analyze_wildcard:!t,query:'%22rtdc.l.rtdc.4010%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30" t="s">
        <v>837</v>
      </c>
      <c r="B102" s="226">
        <v>4009</v>
      </c>
      <c r="C102" s="228" t="s">
        <v>192</v>
      </c>
      <c r="D102" s="228" t="s">
        <v>994</v>
      </c>
      <c r="E102" s="227">
        <v>43063.640520833331</v>
      </c>
      <c r="F102" s="227">
        <v>43063.654328703706</v>
      </c>
      <c r="G102" s="226">
        <v>49</v>
      </c>
      <c r="H102" s="228" t="s">
        <v>1006</v>
      </c>
      <c r="I102" s="227">
        <v>43063.679907407408</v>
      </c>
      <c r="J102" s="226">
        <v>0</v>
      </c>
      <c r="K102" s="238" t="str">
        <f>IF(ISEVEN(B102),(B102-1)&amp;"/"&amp;B102,B102&amp;"/"&amp;(B102+1))</f>
        <v>4009/4010</v>
      </c>
      <c r="L102" s="246" t="str">
        <f>VLOOKUP(A102,'Trips&amp;Operators'!$C$1:$G$99911,5,FALSE)</f>
        <v>NEWELL JAMES</v>
      </c>
      <c r="M102" s="225">
        <f>I102-F102</f>
        <v>2.5578703702194616E-2</v>
      </c>
      <c r="N102" s="226">
        <f>24*60*SUM($M102:$M102)</f>
        <v>36.833333331160247</v>
      </c>
      <c r="O102" s="226"/>
      <c r="P102" s="226"/>
      <c r="Q102" s="229"/>
      <c r="R102" s="243"/>
      <c r="S102" s="250">
        <f>1/IF(AG102="EC",12,1)*SUM(U102:U102)</f>
        <v>1</v>
      </c>
      <c r="T102" s="243" t="str">
        <f>IF(ISEVEN(LEFT(AD102,4)),"Southbound","NorthBound")</f>
        <v>Southbound</v>
      </c>
      <c r="U102" s="24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9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-11-24T14:22:21-0700',mode:absolute,to:'2017-11-24T17:19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248" t="str">
        <f>IF(AA102&lt;VLOOKUP(AG102,Variables!$AC$3:$AD$8,2,FALSE),"Y","N")</f>
        <v>N</v>
      </c>
      <c r="X102" s="248">
        <f>VALUE(LEFT(AD102,4))-VALUE(LEFT(AD101,4))</f>
        <v>1</v>
      </c>
      <c r="Y102" s="248">
        <f>RIGHT(D102,LEN(D102)-4)/10000</f>
        <v>23.287500000000001</v>
      </c>
      <c r="Z102" s="248">
        <f>RIGHT(H102,LEN(H102)-4)/10000</f>
        <v>2.6700000000000002E-2</v>
      </c>
      <c r="AA102" s="248">
        <f>ABS(Z102-Y102)</f>
        <v>23.2608</v>
      </c>
      <c r="AB102" s="234" t="e">
        <f>VLOOKUP(A102,Enforcements!$C$7:$K$9,8,0)</f>
        <v>#N/A</v>
      </c>
      <c r="AC102" s="233" t="e">
        <f>VLOOKUP(A102,Enforcements!$C$7:$E$9,3,0)</f>
        <v>#N/A</v>
      </c>
      <c r="AD102" s="244">
        <f>VALUE(LEFT(A102,LEN(A102)-3))</f>
        <v>190</v>
      </c>
      <c r="AE102" s="236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s3://rtdc.mdm.uploadarchive.raw/RTDC4009/ "%USERPROFILE%\AppData\Local\Temp\OnboardLogs"\RTDC4009\2017-11-24 --exclude "*" --recursive --include "*20171124*" &amp; "%USERPROFILE%\Documents\GitHub\mrs-test-scripts\Headless Mode &amp; Sideloading\WalkAndUnGZ.bat" "%USERPROFILE%\AppData\Local\Temp\OnboardLogs"\RTDC4009\2017-11-24 &amp; aws s3 cp s3://rtdc.mdm.uploadarchive.raw/RTDC4009/ "%USERPROFILE%\AppData\Local\Temp\OnboardLogs"\RTDC4009\2017-11-25 --exclude "*" --recursive --include "*20171125*" &amp; "%USERPROFILE%\Documents\GitHub\mrs-test-scripts\Headless Mode &amp; Sideloading\WalkAndUnGZ.bat" "%USERPROFILE%\AppData\Local\Temp\OnboardLogs"\RTDC4009\2017-11-25</v>
      </c>
      <c r="AF102" s="235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/stypes="app*4009*20171124*" /stext=" 23:.+((SYSTEM_STATE.+slice.+state.+changed )|(ment ac)|(multiple cpu faults)|(system.+state.+changed )|(\[timeout)|(PRM\|1\|D)|(kpr)|(kdp)|(train st.+moving)|(\|lc)|(penalty))"</v>
      </c>
      <c r="AG102" s="245" t="str">
        <f>DetSubdiv(A102)</f>
        <v>EC</v>
      </c>
      <c r="AH102" s="237" t="str">
        <f t="shared" si="10"/>
        <v>"%USERPROFILE%\Documents\GitHub\eaglep3\Utilities\RefineRTDCRunTimes.py" --tripid 190-24 --locoid 4009 --swversion DE.1.0.9.0 --startMP 204:232875 --initTime 2017-11-24T15:22:21 --startdatetime 2017-11-24T15:42:14 --delay 49 --endMP 204:267 --enddatetime 2017-11-24T16:19:04 --enforcementcount 0 &gt;&gt;%USERPROFILE%\Documents\GitHub\eaglep3-reporting\EC\2017-11-24-refined-times.txt</v>
      </c>
      <c r="AI102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{"issue":{"subject":"","project_id":79,"tracker_id":40,"status_id":1,"priority_id":2,"assigned_to_id":338,"start_date":"2017-11-24","description":"","custom_fields":[{"id":1,"name":"Subdivision","value":"EC"},{"id":4,"name":"Milepost","value":"0.0267"},{"id":17,"name":"Train ID","value":"190-24"},{"id":16,"name":"Locomotive ID","value":"4009"},{"id":130,"name":"Impact","value":""},{"id":150,"name":"Time of Event (Mountain Time)","value":"16:19:04"},{"id":151,"name":"Denver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4"/>
      <c r="AK102" s="232"/>
      <c r="AL102" s="232"/>
      <c r="AM102" s="241" t="str">
        <f t="shared" si="12"/>
        <v>start /low /b %USERPROFILE%\Documents\GitHub\eaglep3\Utilities\DownloadLogsFromS3.py --loco 4009 --day 2017-11-24</v>
      </c>
      <c r="AN102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23:19:04"},{"id":29,"name":"Sharepoint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1" t="str">
        <f t="shared" si="14"/>
        <v>https://d0f6bd738d7f1b3e5a7ca70fe4ff75f0.us-east-1.aws.found.io/app/kibana#/discover/Steve-Slow-Train-Analysis-(2080s-and-2083s)?_g=(refreshInterval:(display:Off,pause:!f,section:0,value:0),time:(from:'2017-11-24T14:22:21-0700',mode:absolute,to:'2017-11-24T17:19:04-0700'))&amp;_a=(columns:!('Message%20ID',Summary),filters:!(),index:'emp_*',interval:auto,query:(query_string:(analyze_wildcard:!t,query:'%22rtdc.l.rtdc.4009%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30" t="s">
        <v>832</v>
      </c>
      <c r="B103" s="226">
        <v>4036</v>
      </c>
      <c r="C103" s="228" t="s">
        <v>192</v>
      </c>
      <c r="D103" s="228" t="s">
        <v>620</v>
      </c>
      <c r="E103" s="227">
        <v>43063.621736111112</v>
      </c>
      <c r="F103" s="227">
        <v>43063.625335648147</v>
      </c>
      <c r="G103" s="226">
        <v>65</v>
      </c>
      <c r="H103" s="228" t="s">
        <v>515</v>
      </c>
      <c r="I103" s="227">
        <v>43063.649733796294</v>
      </c>
      <c r="J103" s="226">
        <v>0</v>
      </c>
      <c r="K103" s="238" t="str">
        <f>IF(ISEVEN(B103),(B103-1)&amp;"/"&amp;B103,B103&amp;"/"&amp;(B103+1))</f>
        <v>4035/4036</v>
      </c>
      <c r="L103" s="246" t="str">
        <f>VLOOKUP(A103,'Trips&amp;Operators'!$C$1:$G$99911,5,FALSE)</f>
        <v>BRUDER RICHARD</v>
      </c>
      <c r="M103" s="225">
        <f>I103-F103</f>
        <v>2.4398148147156462E-2</v>
      </c>
      <c r="N103" s="226">
        <f>24*60*SUM($M103:$M103)</f>
        <v>35.133333331905305</v>
      </c>
      <c r="O103" s="226"/>
      <c r="P103" s="226"/>
      <c r="Q103" s="229"/>
      <c r="R103" s="243"/>
      <c r="S103" s="250">
        <f>1/IF(AG103="EC",12,1)*SUM(U103:U103)</f>
        <v>1</v>
      </c>
      <c r="T103" s="243" t="str">
        <f>IF(ISEVEN(LEFT(AD103,4)),"Southbound","NorthBound")</f>
        <v>NorthBound</v>
      </c>
      <c r="U103" s="24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9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-11-24T13:55:18-0700',mode:absolute,to:'2017-11-24T16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3" s="248" t="str">
        <f>IF(AA103&lt;VLOOKUP(AG103,Variables!$AC$3:$AD$8,2,FALSE),"Y","N")</f>
        <v>N</v>
      </c>
      <c r="X103" s="248">
        <f>VALUE(LEFT(AD103,4))-VALUE(LEFT(AD102,4))</f>
        <v>1</v>
      </c>
      <c r="Y103" s="248">
        <f>RIGHT(D103,LEN(D103)-4)/10000</f>
        <v>5.3100000000000001E-2</v>
      </c>
      <c r="Z103" s="248">
        <f>RIGHT(H103,LEN(H103)-4)/10000</f>
        <v>23.321899999999999</v>
      </c>
      <c r="AA103" s="248">
        <f>ABS(Z103-Y103)</f>
        <v>23.268799999999999</v>
      </c>
      <c r="AB103" s="234" t="e">
        <f>VLOOKUP(A103,Enforcements!$C$7:$K$9,8,0)</f>
        <v>#N/A</v>
      </c>
      <c r="AC103" s="233" t="e">
        <f>VLOOKUP(A103,Enforcements!$C$7:$E$9,3,0)</f>
        <v>#N/A</v>
      </c>
      <c r="AD103" s="244">
        <f>VALUE(LEFT(A103,LEN(A103)-3))</f>
        <v>191</v>
      </c>
      <c r="AE103" s="236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 &amp; aws s3 cp s3://rtdc.mdm.uploadarchive.raw/RTDC4036/ "%USERPROFILE%\AppData\Local\Temp\OnboardLogs"\RTDC4036\2017-11-25 --exclude "*" --recursive --include "*20171125*" &amp; "%USERPROFILE%\Documents\GitHub\mrs-test-scripts\Headless Mode &amp; Sideloading\WalkAndUnGZ.bat" "%USERPROFILE%\AppData\Local\Temp\OnboardLogs"\RTDC4036\2017-11-25</v>
      </c>
      <c r="AF103" s="235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/stypes="app*4036*20171124*" /stext=" 22:.+((SYSTEM_STATE.+slice.+state.+changed )|(ment ac)|(multiple cpu faults)|(system.+state.+changed )|(\[timeout)|(PRM\|1\|D)|(kpr)|(kdp)|(train st.+moving)|(\|lc)|(penalty))"</v>
      </c>
      <c r="AG103" s="245" t="str">
        <f>DetSubdiv(A103)</f>
        <v>EC</v>
      </c>
      <c r="AH103" s="237" t="str">
        <f t="shared" si="10"/>
        <v>"%USERPROFILE%\Documents\GitHub\eaglep3\Utilities\RefineRTDCRunTimes.py" --tripid 191-24 --locoid 4036 --swversion DE.1.0.9.0 --startMP 204:531 --initTime 2017-11-24T14:55:18 --startdatetime 2017-11-24T15:00:29 --delay 65 --endMP 204:233219 --enddatetime 2017-11-24T15:35:37 --enforcementcount 0 &gt;&gt;%USERPROFILE%\Documents\GitHub\eaglep3-reporting\EC\2017-11-24-refined-times.txt</v>
      </c>
      <c r="AI103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{"issue":{"subject":"","project_id":79,"tracker_id":40,"status_id":1,"priority_id":2,"assigned_to_id":338,"start_date":"2017-11-24","description":"","custom_fields":[{"id":1,"name":"Subdivision","value":"EC"},{"id":4,"name":"Milepost","value":"23.3219"},{"id":17,"name":"Train ID","value":"191-24"},{"id":16,"name":"Locomotive ID","value":"4036"},{"id":130,"name":"Impact","value":""},{"id":150,"name":"Time of Event (Mountain Time)","value":"15:35:37"},{"id":151,"name":"Denver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4"/>
      <c r="AK103" s="232"/>
      <c r="AL103" s="232"/>
      <c r="AM103" s="241" t="str">
        <f t="shared" si="12"/>
        <v>start /low /b %USERPROFILE%\Documents\GitHub\eaglep3\Utilities\DownloadLogsFromS3.py --loco 4036 --day 2017-11-24</v>
      </c>
      <c r="AN103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22:35:37"},{"id":29,"name":"Sharepoint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1" t="str">
        <f t="shared" si="14"/>
        <v>https://d0f6bd738d7f1b3e5a7ca70fe4ff75f0.us-east-1.aws.found.io/app/kibana#/discover/Steve-Slow-Train-Analysis-(2080s-and-2083s)?_g=(refreshInterval:(display:Off,pause:!f,section:0,value:0),time:(from:'2017-11-24T13:55:18-0700',mode:absolute,to:'2017-11-24T16:35:37-0700'))&amp;_a=(columns:!('Message%20ID',Summary),filters:!(),index:'emp_*',interval:auto,query:(query_string:(analyze_wildcard:!t,query:'%22rtdc.l.rtdc.4036%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30" t="s">
        <v>843</v>
      </c>
      <c r="B104" s="226">
        <v>4035</v>
      </c>
      <c r="C104" s="228" t="s">
        <v>192</v>
      </c>
      <c r="D104" s="228" t="s">
        <v>1007</v>
      </c>
      <c r="E104" s="227">
        <v>43063.661712962959</v>
      </c>
      <c r="F104" s="227">
        <v>43063.664756944447</v>
      </c>
      <c r="G104" s="226">
        <v>58</v>
      </c>
      <c r="H104" s="228" t="s">
        <v>619</v>
      </c>
      <c r="I104" s="227">
        <v>43063.690150462964</v>
      </c>
      <c r="J104" s="226">
        <v>0</v>
      </c>
      <c r="K104" s="238" t="str">
        <f>IF(ISEVEN(B104),(B104-1)&amp;"/"&amp;B104,B104&amp;"/"&amp;(B104+1))</f>
        <v>4035/4036</v>
      </c>
      <c r="L104" s="246" t="str">
        <f>VLOOKUP(A104,'Trips&amp;Operators'!$C$1:$G$99911,5,FALSE)</f>
        <v>BRUDER RICHARD</v>
      </c>
      <c r="M104" s="225">
        <f>I104-F104</f>
        <v>2.5393518517375924E-2</v>
      </c>
      <c r="N104" s="226">
        <f>24*60*SUM($M104:$M104)</f>
        <v>36.56666666502133</v>
      </c>
      <c r="O104" s="226"/>
      <c r="P104" s="226"/>
      <c r="Q104" s="229"/>
      <c r="R104" s="243"/>
      <c r="S104" s="250">
        <f>1/IF(AG104="EC",12,1)*SUM(U104:U104)</f>
        <v>1</v>
      </c>
      <c r="T104" s="243" t="str">
        <f>IF(ISEVEN(LEFT(AD104,4)),"Southbound","NorthBound")</f>
        <v>Southbound</v>
      </c>
      <c r="U104" s="24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9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-11-24T14:52:52-0700',mode:absolute,to:'2017-11-24T17:33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4" s="248" t="str">
        <f>IF(AA104&lt;VLOOKUP(AG104,Variables!$AC$3:$AD$8,2,FALSE),"Y","N")</f>
        <v>N</v>
      </c>
      <c r="X104" s="248">
        <f>VALUE(LEFT(AD104,4))-VALUE(LEFT(AD103,4))</f>
        <v>1</v>
      </c>
      <c r="Y104" s="248">
        <f>RIGHT(D104,LEN(D104)-4)/10000</f>
        <v>23.2898</v>
      </c>
      <c r="Z104" s="248">
        <f>RIGHT(H104,LEN(H104)-4)/10000</f>
        <v>2.3199999999999998E-2</v>
      </c>
      <c r="AA104" s="248">
        <f>ABS(Z104-Y104)</f>
        <v>23.2666</v>
      </c>
      <c r="AB104" s="234" t="e">
        <f>VLOOKUP(A104,Enforcements!$C$7:$K$9,8,0)</f>
        <v>#N/A</v>
      </c>
      <c r="AC104" s="233" t="e">
        <f>VLOOKUP(A104,Enforcements!$C$7:$E$9,3,0)</f>
        <v>#N/A</v>
      </c>
      <c r="AD104" s="244">
        <f>VALUE(LEFT(A104,LEN(A104)-3))</f>
        <v>192</v>
      </c>
      <c r="AE104" s="236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 &amp; aws s3 cp s3://rtdc.mdm.uploadarchive.raw/RTDC4035/ "%USERPROFILE%\AppData\Local\Temp\OnboardLogs"\RTDC4035\2017-11-25 --exclude "*" --recursive --include "*20171125*" &amp; "%USERPROFILE%\Documents\GitHub\mrs-test-scripts\Headless Mode &amp; Sideloading\WalkAndUnGZ.bat" "%USERPROFILE%\AppData\Local\Temp\OnboardLogs"\RTDC4035\2017-11-25</v>
      </c>
      <c r="AF104" s="235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/stypes="app*4035*20171124*" /stext=" 23:.+((SYSTEM_STATE.+slice.+state.+changed )|(ment ac)|(multiple cpu faults)|(system.+state.+changed )|(\[timeout)|(PRM\|1\|D)|(kpr)|(kdp)|(train st.+moving)|(\|lc)|(penalty))"</v>
      </c>
      <c r="AG104" s="245" t="str">
        <f>DetSubdiv(A104)</f>
        <v>EC</v>
      </c>
      <c r="AH104" s="237" t="str">
        <f t="shared" si="10"/>
        <v>"%USERPROFILE%\Documents\GitHub\eaglep3\Utilities\RefineRTDCRunTimes.py" --tripid 192-24 --locoid 4035 --swversion DE.1.0.9.0 --startMP 204:232898 --initTime 2017-11-24T15:52:52 --startdatetime 2017-11-24T15:57:15 --delay 58 --endMP 204:232 --enddatetime 2017-11-24T16:33:49 --enforcementcount 0 &gt;&gt;%USERPROFILE%\Documents\GitHub\eaglep3-reporting\EC\2017-11-24-refined-times.txt</v>
      </c>
      <c r="AI104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{"issue":{"subject":"","project_id":79,"tracker_id":40,"status_id":1,"priority_id":2,"assigned_to_id":338,"start_date":"2017-11-24","description":"","custom_fields":[{"id":1,"name":"Subdivision","value":"EC"},{"id":4,"name":"Milepost","value":"0.0232"},{"id":17,"name":"Train ID","value":"192-24"},{"id":16,"name":"Locomotive ID","value":"4035"},{"id":130,"name":"Impact","value":""},{"id":150,"name":"Time of Event (Mountain Time)","value":"16:33:49"},{"id":151,"name":"Denver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4"/>
      <c r="AK104" s="232"/>
      <c r="AL104" s="232"/>
      <c r="AM104" s="241" t="str">
        <f t="shared" si="12"/>
        <v>start /low /b %USERPROFILE%\Documents\GitHub\eaglep3\Utilities\DownloadLogsFromS3.py --loco 4035 --day 2017-11-24</v>
      </c>
      <c r="AN104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23:33:49"},{"id":29,"name":"Sharepoint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1" t="str">
        <f t="shared" si="14"/>
        <v>https://d0f6bd738d7f1b3e5a7ca70fe4ff75f0.us-east-1.aws.found.io/app/kibana#/discover/Steve-Slow-Train-Analysis-(2080s-and-2083s)?_g=(refreshInterval:(display:Off,pause:!f,section:0,value:0),time:(from:'2017-11-24T14:52:52-0700',mode:absolute,to:'2017-11-24T17:33:49-0700'))&amp;_a=(columns:!('Message%20ID',Summary),filters:!(),index:'emp_*',interval:auto,query:(query_string:(analyze_wildcard:!t,query:'%22rtdc.l.rtdc.4035%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30" t="s">
        <v>835</v>
      </c>
      <c r="B105" s="226">
        <v>4002</v>
      </c>
      <c r="C105" s="228" t="s">
        <v>192</v>
      </c>
      <c r="D105" s="228" t="s">
        <v>620</v>
      </c>
      <c r="E105" s="227">
        <v>43063.631689814814</v>
      </c>
      <c r="F105" s="227">
        <v>43063.635613425926</v>
      </c>
      <c r="G105" s="226">
        <v>67</v>
      </c>
      <c r="H105" s="228" t="s">
        <v>1008</v>
      </c>
      <c r="I105" s="227">
        <v>43063.66202546296</v>
      </c>
      <c r="J105" s="226">
        <v>0</v>
      </c>
      <c r="K105" s="238" t="str">
        <f>IF(ISEVEN(B105),(B105-1)&amp;"/"&amp;B105,B105&amp;"/"&amp;(B105+1))</f>
        <v>4001/4002</v>
      </c>
      <c r="L105" s="246" t="str">
        <f>VLOOKUP(A105,'Trips&amp;Operators'!$C$1:$G$99911,5,FALSE)</f>
        <v>LORI SANTOS</v>
      </c>
      <c r="M105" s="225">
        <f>I105-F105</f>
        <v>2.6412037033878732E-2</v>
      </c>
      <c r="N105" s="226">
        <f>24*60*SUM($M105:$M105)</f>
        <v>38.033333328785375</v>
      </c>
      <c r="O105" s="226"/>
      <c r="P105" s="226"/>
      <c r="Q105" s="229"/>
      <c r="R105" s="243"/>
      <c r="S105" s="250">
        <f>1/IF(AG105="EC",12,1)*SUM(U105:U105)</f>
        <v>1</v>
      </c>
      <c r="T105" s="243" t="str">
        <f>IF(ISEVEN(LEFT(AD105,4)),"Southbound","NorthBound")</f>
        <v>NorthBound</v>
      </c>
      <c r="U105" s="24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9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-11-24T14:09:38-0700',mode:absolute,to:'2017-11-24T16:53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5" s="248" t="str">
        <f>IF(AA105&lt;VLOOKUP(AG105,Variables!$AC$3:$AD$8,2,FALSE),"Y","N")</f>
        <v>N</v>
      </c>
      <c r="X105" s="248">
        <f>VALUE(LEFT(AD105,4))-VALUE(LEFT(AD104,4))</f>
        <v>1</v>
      </c>
      <c r="Y105" s="248">
        <f>RIGHT(D105,LEN(D105)-4)/10000</f>
        <v>5.3100000000000001E-2</v>
      </c>
      <c r="Z105" s="248">
        <f>RIGHT(H105,LEN(H105)-4)/10000</f>
        <v>23.322399999999998</v>
      </c>
      <c r="AA105" s="248">
        <f>ABS(Z105-Y105)</f>
        <v>23.269299999999998</v>
      </c>
      <c r="AB105" s="234" t="e">
        <f>VLOOKUP(A105,Enforcements!$C$7:$K$9,8,0)</f>
        <v>#N/A</v>
      </c>
      <c r="AC105" s="233" t="e">
        <f>VLOOKUP(A105,Enforcements!$C$7:$E$9,3,0)</f>
        <v>#N/A</v>
      </c>
      <c r="AD105" s="244">
        <f>VALUE(LEFT(A105,LEN(A105)-3))</f>
        <v>193</v>
      </c>
      <c r="AE105" s="236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s3://rtdc.mdm.uploadarchive.raw/RTDC4002/ "%USERPROFILE%\AppData\Local\Temp\OnboardLogs"\RTDC4002\2017-11-24 --exclude "*" --recursive --include "*20171124*" &amp; "%USERPROFILE%\Documents\GitHub\mrs-test-scripts\Headless Mode &amp; Sideloading\WalkAndUnGZ.bat" "%USERPROFILE%\AppData\Local\Temp\OnboardLogs"\RTDC4002\2017-11-24 &amp; aws s3 cp s3://rtdc.mdm.uploadarchive.raw/RTDC4002/ "%USERPROFILE%\AppData\Local\Temp\OnboardLogs"\RTDC4002\2017-11-25 --exclude "*" --recursive --include "*20171125*" &amp; "%USERPROFILE%\Documents\GitHub\mrs-test-scripts\Headless Mode &amp; Sideloading\WalkAndUnGZ.bat" "%USERPROFILE%\AppData\Local\Temp\OnboardLogs"\RTDC4002\2017-11-25</v>
      </c>
      <c r="AF105" s="235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/stypes="app*4002*20171124*" /stext=" 22:.+((SYSTEM_STATE.+slice.+state.+changed )|(ment ac)|(multiple cpu faults)|(system.+state.+changed )|(\[timeout)|(PRM\|1\|D)|(kpr)|(kdp)|(train st.+moving)|(\|lc)|(penalty))"</v>
      </c>
      <c r="AG105" s="245" t="str">
        <f>DetSubdiv(A105)</f>
        <v>EC</v>
      </c>
      <c r="AH105" s="237" t="str">
        <f t="shared" si="10"/>
        <v>"%USERPROFILE%\Documents\GitHub\eaglep3\Utilities\RefineRTDCRunTimes.py" --tripid 193-24 --locoid 4002 --swversion DE.1.0.9.0 --startMP 204:531 --initTime 2017-11-24T15:09:38 --startdatetime 2017-11-24T15:15:17 --delay 67 --endMP 204:233224 --enddatetime 2017-11-24T15:53:19 --enforcementcount 0 &gt;&gt;%USERPROFILE%\Documents\GitHub\eaglep3-reporting\EC\2017-11-24-refined-times.txt</v>
      </c>
      <c r="AI105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{"issue":{"subject":"","project_id":79,"tracker_id":40,"status_id":1,"priority_id":2,"assigned_to_id":338,"start_date":"2017-11-24","description":"","custom_fields":[{"id":1,"name":"Subdivision","value":"EC"},{"id":4,"name":"Milepost","value":"23.3224"},{"id":17,"name":"Train ID","value":"193-24"},{"id":16,"name":"Locomotive ID","value":"4002"},{"id":130,"name":"Impact","value":""},{"id":150,"name":"Time of Event (Mountain Time)","value":"15:53:19"},{"id":151,"name":"Denver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4"/>
      <c r="AK105" s="232"/>
      <c r="AL105" s="232"/>
      <c r="AM105" s="241" t="str">
        <f t="shared" si="12"/>
        <v>start /low /b %USERPROFILE%\Documents\GitHub\eaglep3\Utilities\DownloadLogsFromS3.py --loco 4002 --day 2017-11-24</v>
      </c>
      <c r="AN105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22:53:19"},{"id":29,"name":"Sharepoint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1" t="str">
        <f t="shared" si="14"/>
        <v>https://d0f6bd738d7f1b3e5a7ca70fe4ff75f0.us-east-1.aws.found.io/app/kibana#/discover/Steve-Slow-Train-Analysis-(2080s-and-2083s)?_g=(refreshInterval:(display:Off,pause:!f,section:0,value:0),time:(from:'2017-11-24T14:09:38-0700',mode:absolute,to:'2017-11-24T16:53:19-0700'))&amp;_a=(columns:!('Message%20ID',Summary),filters:!(),index:'emp_*',interval:auto,query:(query_string:(analyze_wildcard:!t,query:'%22rtdc.l.rtdc.4002%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30" t="s">
        <v>847</v>
      </c>
      <c r="B106" s="226">
        <v>4001</v>
      </c>
      <c r="C106" s="228" t="s">
        <v>192</v>
      </c>
      <c r="D106" s="228" t="s">
        <v>990</v>
      </c>
      <c r="E106" s="227">
        <v>43063.67015046296</v>
      </c>
      <c r="F106" s="227">
        <v>43063.675196759257</v>
      </c>
      <c r="G106" s="226">
        <v>88</v>
      </c>
      <c r="H106" s="228" t="s">
        <v>592</v>
      </c>
      <c r="I106" s="227">
        <v>43063.701631944445</v>
      </c>
      <c r="J106" s="226">
        <v>0</v>
      </c>
      <c r="K106" s="238" t="str">
        <f>IF(ISEVEN(B106),(B106-1)&amp;"/"&amp;B106,B106&amp;"/"&amp;(B106+1))</f>
        <v>4001/4002</v>
      </c>
      <c r="L106" s="246" t="str">
        <f>VLOOKUP(A106,'Trips&amp;Operators'!$C$1:$G$99911,5,FALSE)</f>
        <v>LORI SANTOS</v>
      </c>
      <c r="M106" s="225">
        <f>I106-F106</f>
        <v>2.6435185187438037E-2</v>
      </c>
      <c r="N106" s="226">
        <f>24*60*SUM($M106:$M106)</f>
        <v>38.066666669910774</v>
      </c>
      <c r="O106" s="226"/>
      <c r="P106" s="226"/>
      <c r="Q106" s="229"/>
      <c r="R106" s="243"/>
      <c r="S106" s="250">
        <f>1/IF(AG106="EC",12,1)*SUM(U106:U106)</f>
        <v>1</v>
      </c>
      <c r="T106" s="243" t="str">
        <f>IF(ISEVEN(LEFT(AD106,4)),"Southbound","NorthBound")</f>
        <v>Southbound</v>
      </c>
      <c r="U106" s="24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9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-11-24T15:05:01-0700',mode:absolute,to:'2017-11-24T17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6" s="248" t="str">
        <f>IF(AA106&lt;VLOOKUP(AG106,Variables!$AC$3:$AD$8,2,FALSE),"Y","N")</f>
        <v>N</v>
      </c>
      <c r="X106" s="248">
        <f>VALUE(LEFT(AD106,4))-VALUE(LEFT(AD105,4))</f>
        <v>1</v>
      </c>
      <c r="Y106" s="248">
        <f>RIGHT(D106,LEN(D106)-4)/10000</f>
        <v>23.29</v>
      </c>
      <c r="Z106" s="248">
        <f>RIGHT(H106,LEN(H106)-4)/10000</f>
        <v>2.29E-2</v>
      </c>
      <c r="AA106" s="248">
        <f>ABS(Z106-Y106)</f>
        <v>23.267099999999999</v>
      </c>
      <c r="AB106" s="234" t="e">
        <f>VLOOKUP(A106,Enforcements!$C$7:$K$9,8,0)</f>
        <v>#N/A</v>
      </c>
      <c r="AC106" s="233" t="e">
        <f>VLOOKUP(A106,Enforcements!$C$7:$E$9,3,0)</f>
        <v>#N/A</v>
      </c>
      <c r="AD106" s="244">
        <f>VALUE(LEFT(A106,LEN(A106)-3))</f>
        <v>194</v>
      </c>
      <c r="AE106" s="236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s3://rtdc.mdm.uploadarchive.raw/RTDC4001/ "%USERPROFILE%\AppData\Local\Temp\OnboardLogs"\RTDC4001\2017-11-24 --exclude "*" --recursive --include "*20171124*" &amp; "%USERPROFILE%\Documents\GitHub\mrs-test-scripts\Headless Mode &amp; Sideloading\WalkAndUnGZ.bat" "%USERPROFILE%\AppData\Local\Temp\OnboardLogs"\RTDC4001\2017-11-24 &amp; aws s3 cp s3://rtdc.mdm.uploadarchive.raw/RTDC4001/ "%USERPROFILE%\AppData\Local\Temp\OnboardLogs"\RTDC4001\2017-11-25 --exclude "*" --recursive --include "*20171125*" &amp; "%USERPROFILE%\Documents\GitHub\mrs-test-scripts\Headless Mode &amp; Sideloading\WalkAndUnGZ.bat" "%USERPROFILE%\AppData\Local\Temp\OnboardLogs"\RTDC4001\2017-11-25</v>
      </c>
      <c r="AF106" s="235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/stypes="app*4001*20171124*" /stext=" 23:.+((SYSTEM_STATE.+slice.+state.+changed )|(ment ac)|(multiple cpu faults)|(system.+state.+changed )|(\[timeout)|(PRM\|1\|D)|(kpr)|(kdp)|(train st.+moving)|(\|lc)|(penalty))"</v>
      </c>
      <c r="AG106" s="245" t="str">
        <f>DetSubdiv(A106)</f>
        <v>EC</v>
      </c>
      <c r="AH106" s="237" t="str">
        <f t="shared" si="10"/>
        <v>"%USERPROFILE%\Documents\GitHub\eaglep3\Utilities\RefineRTDCRunTimes.py" --tripid 194-24 --locoid 4001 --swversion DE.1.0.9.0 --startMP 204:232900 --initTime 2017-11-24T16:05:01 --startdatetime 2017-11-24T16:12:17 --delay 88 --endMP 204:229 --enddatetime 2017-11-24T16:50:21 --enforcementcount 0 &gt;&gt;%USERPROFILE%\Documents\GitHub\eaglep3-reporting\EC\2017-11-24-refined-times.txt</v>
      </c>
      <c r="AI106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{"issue":{"subject":"","project_id":79,"tracker_id":40,"status_id":1,"priority_id":2,"assigned_to_id":338,"start_date":"2017-11-24","description":"","custom_fields":[{"id":1,"name":"Subdivision","value":"EC"},{"id":4,"name":"Milepost","value":"0.0229"},{"id":17,"name":"Train ID","value":"194-24"},{"id":16,"name":"Locomotive ID","value":"4001"},{"id":130,"name":"Impact","value":""},{"id":150,"name":"Time of Event (Mountain Time)","value":"16:50:21"},{"id":151,"name":"Denver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4"/>
      <c r="AK106" s="232"/>
      <c r="AL106" s="232"/>
      <c r="AM106" s="241" t="str">
        <f t="shared" si="12"/>
        <v>start /low /b %USERPROFILE%\Documents\GitHub\eaglep3\Utilities\DownloadLogsFromS3.py --loco 4001 --day 2017-11-24</v>
      </c>
      <c r="AN106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23:50:21"},{"id":29,"name":"Sharepoint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1" t="str">
        <f t="shared" si="14"/>
        <v>https://d0f6bd738d7f1b3e5a7ca70fe4ff75f0.us-east-1.aws.found.io/app/kibana#/discover/Steve-Slow-Train-Analysis-(2080s-and-2083s)?_g=(refreshInterval:(display:Off,pause:!f,section:0,value:0),time:(from:'2017-11-24T15:05:01-0700',mode:absolute,to:'2017-11-24T17:50:21-0700'))&amp;_a=(columns:!('Message%20ID',Summary),filters:!(),index:'emp_*',interval:auto,query:(query_string:(analyze_wildcard:!t,query:'%22rtdc.l.rtdc.4001%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30" t="s">
        <v>838</v>
      </c>
      <c r="B107" s="226">
        <v>4016</v>
      </c>
      <c r="C107" s="228" t="s">
        <v>192</v>
      </c>
      <c r="D107" s="228" t="s">
        <v>544</v>
      </c>
      <c r="E107" s="227">
        <v>43063.640509259261</v>
      </c>
      <c r="F107" s="227">
        <v>43063.646053240744</v>
      </c>
      <c r="G107" s="226">
        <v>50</v>
      </c>
      <c r="H107" s="228" t="s">
        <v>987</v>
      </c>
      <c r="I107" s="227">
        <v>43063.670810185184</v>
      </c>
      <c r="J107" s="226">
        <v>0</v>
      </c>
      <c r="K107" s="238" t="str">
        <f>IF(ISEVEN(B107),(B107-1)&amp;"/"&amp;B107,B107&amp;"/"&amp;(B107+1))</f>
        <v>4015/4016</v>
      </c>
      <c r="L107" s="246" t="str">
        <f>VLOOKUP(A107,'Trips&amp;Operators'!$C$1:$G$99911,5,FALSE)</f>
        <v>FORTUNATO FRANK</v>
      </c>
      <c r="M107" s="225">
        <f>I107-F107</f>
        <v>2.4756944440014195E-2</v>
      </c>
      <c r="N107" s="226">
        <f>24*60*SUM($M107:$M107)</f>
        <v>35.64999999362044</v>
      </c>
      <c r="O107" s="226"/>
      <c r="P107" s="226"/>
      <c r="Q107" s="229"/>
      <c r="R107" s="243"/>
      <c r="S107" s="250">
        <f>1/IF(AG107="EC",12,1)*SUM(U107:U107)</f>
        <v>1</v>
      </c>
      <c r="T107" s="243" t="str">
        <f>IF(ISEVEN(LEFT(AD107,4)),"Southbound","NorthBound")</f>
        <v>NorthBound</v>
      </c>
      <c r="U107" s="24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9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-11-24T14:22:20-0700',mode:absolute,to:'2017-11-24T17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7" s="248" t="str">
        <f>IF(AA107&lt;VLOOKUP(AG107,Variables!$AC$3:$AD$8,2,FALSE),"Y","N")</f>
        <v>N</v>
      </c>
      <c r="X107" s="248">
        <f>VALUE(LEFT(AD107,4))-VALUE(LEFT(AD106,4))</f>
        <v>1</v>
      </c>
      <c r="Y107" s="248">
        <f>RIGHT(D107,LEN(D107)-4)/10000</f>
        <v>5.11E-2</v>
      </c>
      <c r="Z107" s="248">
        <f>RIGHT(H107,LEN(H107)-4)/10000</f>
        <v>23.320599999999999</v>
      </c>
      <c r="AA107" s="248">
        <f>ABS(Z107-Y107)</f>
        <v>23.269499999999997</v>
      </c>
      <c r="AB107" s="234" t="e">
        <f>VLOOKUP(A107,Enforcements!$C$7:$K$9,8,0)</f>
        <v>#N/A</v>
      </c>
      <c r="AC107" s="233" t="e">
        <f>VLOOKUP(A107,Enforcements!$C$7:$E$9,3,0)</f>
        <v>#N/A</v>
      </c>
      <c r="AD107" s="244">
        <f>VALUE(LEFT(A107,LEN(A107)-3))</f>
        <v>195</v>
      </c>
      <c r="AE107" s="236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s3://rtdc.mdm.uploadarchive.raw/RTDC4016/ "%USERPROFILE%\AppData\Local\Temp\OnboardLogs"\RTDC4016\2017-11-24 --exclude "*" --recursive --include "*20171124*" &amp; "%USERPROFILE%\Documents\GitHub\mrs-test-scripts\Headless Mode &amp; Sideloading\WalkAndUnGZ.bat" "%USERPROFILE%\AppData\Local\Temp\OnboardLogs"\RTDC4016\2017-11-24 &amp; aws s3 cp s3://rtdc.mdm.uploadarchive.raw/RTDC4016/ "%USERPROFILE%\AppData\Local\Temp\OnboardLogs"\RTDC4016\2017-11-25 --exclude "*" --recursive --include "*20171125*" &amp; "%USERPROFILE%\Documents\GitHub\mrs-test-scripts\Headless Mode &amp; Sideloading\WalkAndUnGZ.bat" "%USERPROFILE%\AppData\Local\Temp\OnboardLogs"\RTDC4016\2017-11-25</v>
      </c>
      <c r="AF107" s="235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/stypes="app*4016*20171124*" /stext=" 23:.+((SYSTEM_STATE.+slice.+state.+changed )|(ment ac)|(multiple cpu faults)|(system.+state.+changed )|(\[timeout)|(PRM\|1\|D)|(kpr)|(kdp)|(train st.+moving)|(\|lc)|(penalty))"</v>
      </c>
      <c r="AG107" s="245" t="str">
        <f>DetSubdiv(A107)</f>
        <v>EC</v>
      </c>
      <c r="AH107" s="237" t="str">
        <f t="shared" si="10"/>
        <v>"%USERPROFILE%\Documents\GitHub\eaglep3\Utilities\RefineRTDCRunTimes.py" --tripid 195-24 --locoid 4016 --swversion DE.1.0.9.0 --startMP 204:511 --initTime 2017-11-24T15:22:20 --startdatetime 2017-11-24T15:30:19 --delay 50 --endMP 204:233206 --enddatetime 2017-11-24T16:05:58 --enforcementcount 0 &gt;&gt;%USERPROFILE%\Documents\GitHub\eaglep3-reporting\EC\2017-11-24-refined-times.txt</v>
      </c>
      <c r="AI107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{"issue":{"subject":"","project_id":79,"tracker_id":40,"status_id":1,"priority_id":2,"assigned_to_id":338,"start_date":"2017-11-24","description":"","custom_fields":[{"id":1,"name":"Subdivision","value":"EC"},{"id":4,"name":"Milepost","value":"23.3206"},{"id":17,"name":"Train ID","value":"195-24"},{"id":16,"name":"Locomotive ID","value":"4016"},{"id":130,"name":"Impact","value":""},{"id":150,"name":"Time of Event (Mountain Time)","value":"16:05:58"},{"id":151,"name":"Denver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4"/>
      <c r="AK107" s="232"/>
      <c r="AL107" s="232"/>
      <c r="AM107" s="241" t="str">
        <f t="shared" si="12"/>
        <v>start /low /b %USERPROFILE%\Documents\GitHub\eaglep3\Utilities\DownloadLogsFromS3.py --loco 4016 --day 2017-11-24</v>
      </c>
      <c r="AN107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23:05:58"},{"id":29,"name":"Sharepoint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1" t="str">
        <f t="shared" si="14"/>
        <v>https://d0f6bd738d7f1b3e5a7ca70fe4ff75f0.us-east-1.aws.found.io/app/kibana#/discover/Steve-Slow-Train-Analysis-(2080s-and-2083s)?_g=(refreshInterval:(display:Off,pause:!f,section:0,value:0),time:(from:'2017-11-24T14:22:20-0700',mode:absolute,to:'2017-11-24T17:05:58-0700'))&amp;_a=(columns:!('Message%20ID',Summary),filters:!(),index:'emp_*',interval:auto,query:(query_string:(analyze_wildcard:!t,query:'%22rtdc.l.rtdc.4016%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30" t="s">
        <v>849</v>
      </c>
      <c r="B108" s="226">
        <v>4015</v>
      </c>
      <c r="C108" s="228" t="s">
        <v>192</v>
      </c>
      <c r="D108" s="228" t="s">
        <v>1009</v>
      </c>
      <c r="E108" s="227">
        <v>43063.681666666664</v>
      </c>
      <c r="F108" s="227">
        <v>43063.685578703706</v>
      </c>
      <c r="G108" s="226">
        <v>81</v>
      </c>
      <c r="H108" s="228" t="s">
        <v>472</v>
      </c>
      <c r="I108" s="227">
        <v>43063.712870370371</v>
      </c>
      <c r="J108" s="226">
        <v>0</v>
      </c>
      <c r="K108" s="238" t="str">
        <f>IF(ISEVEN(B108),(B108-1)&amp;"/"&amp;B108,B108&amp;"/"&amp;(B108+1))</f>
        <v>4015/4016</v>
      </c>
      <c r="L108" s="246" t="str">
        <f>VLOOKUP(A108,'Trips&amp;Operators'!$C$1:$G$99911,5,FALSE)</f>
        <v>FORTUNATO FRANK</v>
      </c>
      <c r="M108" s="225">
        <f>I108-F108</f>
        <v>2.7291666665405501E-2</v>
      </c>
      <c r="N108" s="226">
        <f>24*60*SUM($M108:$M108)</f>
        <v>39.299999998183921</v>
      </c>
      <c r="O108" s="226"/>
      <c r="P108" s="226"/>
      <c r="Q108" s="229"/>
      <c r="R108" s="243"/>
      <c r="S108" s="250">
        <f>1/IF(AG108="EC",12,1)*SUM(U108:U108)</f>
        <v>1</v>
      </c>
      <c r="T108" s="243" t="str">
        <f>IF(ISEVEN(LEFT(AD108,4)),"Southbound","NorthBound")</f>
        <v>Southbound</v>
      </c>
      <c r="U108" s="24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9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-11-24T15:21:36-0700',mode:absolute,to:'2017-11-24T18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8" s="248" t="str">
        <f>IF(AA108&lt;VLOOKUP(AG108,Variables!$AC$3:$AD$8,2,FALSE),"Y","N")</f>
        <v>N</v>
      </c>
      <c r="X108" s="248">
        <f>VALUE(LEFT(AD108,4))-VALUE(LEFT(AD107,4))</f>
        <v>1</v>
      </c>
      <c r="Y108" s="248">
        <f>RIGHT(D108,LEN(D108)-4)/10000</f>
        <v>23.289100000000001</v>
      </c>
      <c r="Z108" s="248">
        <f>RIGHT(H108,LEN(H108)-4)/10000</f>
        <v>1.9800000000000002E-2</v>
      </c>
      <c r="AA108" s="248">
        <f>ABS(Z108-Y108)</f>
        <v>23.269300000000001</v>
      </c>
      <c r="AB108" s="234" t="e">
        <f>VLOOKUP(A108,Enforcements!$C$7:$K$9,8,0)</f>
        <v>#N/A</v>
      </c>
      <c r="AC108" s="233" t="e">
        <f>VLOOKUP(A108,Enforcements!$C$7:$E$9,3,0)</f>
        <v>#N/A</v>
      </c>
      <c r="AD108" s="244">
        <f>VALUE(LEFT(A108,LEN(A108)-3))</f>
        <v>196</v>
      </c>
      <c r="AE108" s="236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s3://rtdc.mdm.uploadarchive.raw/RTDC4015/ "%USERPROFILE%\AppData\Local\Temp\OnboardLogs"\RTDC4015\2017-11-24 --exclude "*" --recursive --include "*20171124*" &amp; "%USERPROFILE%\Documents\GitHub\mrs-test-scripts\Headless Mode &amp; Sideloading\WalkAndUnGZ.bat" "%USERPROFILE%\AppData\Local\Temp\OnboardLogs"\RTDC4015\2017-11-24 &amp; aws s3 cp s3://rtdc.mdm.uploadarchive.raw/RTDC4015/ "%USERPROFILE%\AppData\Local\Temp\OnboardLogs"\RTDC4015\2017-11-25 --exclude "*" --recursive --include "*20171125*" &amp; "%USERPROFILE%\Documents\GitHub\mrs-test-scripts\Headless Mode &amp; Sideloading\WalkAndUnGZ.bat" "%USERPROFILE%\AppData\Local\Temp\OnboardLogs"\RTDC4015\2017-11-25</v>
      </c>
      <c r="AF108" s="235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/stypes="app*4015*20171125*" /stext=" 00:.+((SYSTEM_STATE.+slice.+state.+changed )|(ment ac)|(multiple cpu faults)|(system.+state.+changed )|(\[timeout)|(PRM\|1\|D)|(kpr)|(kdp)|(train st.+moving)|(\|lc)|(penalty))"</v>
      </c>
      <c r="AG108" s="245" t="str">
        <f>DetSubdiv(A108)</f>
        <v>EC</v>
      </c>
      <c r="AH108" s="237" t="str">
        <f t="shared" si="10"/>
        <v>"%USERPROFILE%\Documents\GitHub\eaglep3\Utilities\RefineRTDCRunTimes.py" --tripid 196-24 --locoid 4015 --swversion DE.1.0.9.0 --startMP 204:232891 --initTime 2017-11-24T16:21:36 --startdatetime 2017-11-24T16:27:14 --delay 81 --endMP 204:198 --enddatetime 2017-11-24T17:06:32 --enforcementcount 0 &gt;&gt;%USERPROFILE%\Documents\GitHub\eaglep3-reporting\EC\2017-11-24-refined-times.txt</v>
      </c>
      <c r="AI108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{"issue":{"subject":"","project_id":79,"tracker_id":40,"status_id":1,"priority_id":2,"assigned_to_id":338,"start_date":"2017-11-24","description":"","custom_fields":[{"id":1,"name":"Subdivision","value":"EC"},{"id":4,"name":"Milepost","value":"0.0198"},{"id":17,"name":"Train ID","value":"196-24"},{"id":16,"name":"Locomotive ID","value":"4015"},{"id":130,"name":"Impact","value":""},{"id":150,"name":"Time of Event (Mountain Time)","value":"17:06:32"},{"id":151,"name":"Denver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4"/>
      <c r="AK108" s="232"/>
      <c r="AL108" s="232"/>
      <c r="AM108" s="241" t="str">
        <f t="shared" si="12"/>
        <v>start /low /b %USERPROFILE%\Documents\GitHub\eaglep3\Utilities\DownloadLogsFromS3.py --loco 4015 --day 2017-11-24</v>
      </c>
      <c r="AN108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00:06:32"},{"id":29,"name":"Sharepoint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1" t="str">
        <f t="shared" si="14"/>
        <v>https://d0f6bd738d7f1b3e5a7ca70fe4ff75f0.us-east-1.aws.found.io/app/kibana#/discover/Steve-Slow-Train-Analysis-(2080s-and-2083s)?_g=(refreshInterval:(display:Off,pause:!f,section:0,value:0),time:(from:'2017-11-24T15:21:36-0700',mode:absolute,to:'2017-11-24T18:06:32-0700'))&amp;_a=(columns:!('Message%20ID',Summary),filters:!(),index:'emp_*',interval:auto,query:(query_string:(analyze_wildcard:!t,query:'%22rtdc.l.rtdc.4015%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30" t="s">
        <v>842</v>
      </c>
      <c r="B109" s="226">
        <v>4050</v>
      </c>
      <c r="C109" s="228" t="s">
        <v>192</v>
      </c>
      <c r="D109" s="228" t="s">
        <v>519</v>
      </c>
      <c r="E109" s="227">
        <v>43063.651770833334</v>
      </c>
      <c r="F109" s="227">
        <v>43063.656423611108</v>
      </c>
      <c r="G109" s="226">
        <v>65</v>
      </c>
      <c r="H109" s="228" t="s">
        <v>1010</v>
      </c>
      <c r="I109" s="227">
        <v>43063.681261574071</v>
      </c>
      <c r="J109" s="226">
        <v>0</v>
      </c>
      <c r="K109" s="238" t="str">
        <f>IF(ISEVEN(B109),(B109-1)&amp;"/"&amp;B109,B109&amp;"/"&amp;(B109+1))</f>
        <v>4049/4050</v>
      </c>
      <c r="L109" s="246" t="str">
        <f>VLOOKUP(A109,'Trips&amp;Operators'!$C$1:$G$99911,5,FALSE)</f>
        <v>ROBINSON KADDIBA</v>
      </c>
      <c r="M109" s="225">
        <f>I109-F109</f>
        <v>2.4837962962919846E-2</v>
      </c>
      <c r="N109" s="226">
        <f>24*60*SUM($M109:$M109)</f>
        <v>35.766666666604578</v>
      </c>
      <c r="O109" s="226"/>
      <c r="P109" s="226"/>
      <c r="Q109" s="229"/>
      <c r="R109" s="243"/>
      <c r="S109" s="250">
        <f>1/IF(AG109="EC",12,1)*SUM(U109:U109)</f>
        <v>1</v>
      </c>
      <c r="T109" s="243" t="str">
        <f>IF(ISEVEN(LEFT(AD109,4)),"Southbound","NorthBound")</f>
        <v>NorthBound</v>
      </c>
      <c r="U109" s="24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9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-11-24T14:38:33-0700',mode:absolute,to:'2017-11-24T17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9" s="248" t="str">
        <f>IF(AA109&lt;VLOOKUP(AG109,Variables!$AC$3:$AD$8,2,FALSE),"Y","N")</f>
        <v>N</v>
      </c>
      <c r="X109" s="248">
        <f>VALUE(LEFT(AD109,4))-VALUE(LEFT(AD108,4))</f>
        <v>1</v>
      </c>
      <c r="Y109" s="248">
        <f>RIGHT(D109,LEN(D109)-4)/10000</f>
        <v>4.4900000000000002E-2</v>
      </c>
      <c r="Z109" s="248">
        <f>RIGHT(H109,LEN(H109)-4)/10000</f>
        <v>23.319900000000001</v>
      </c>
      <c r="AA109" s="248">
        <f>ABS(Z109-Y109)</f>
        <v>23.275000000000002</v>
      </c>
      <c r="AB109" s="234" t="e">
        <f>VLOOKUP(A109,Enforcements!$C$7:$K$9,8,0)</f>
        <v>#N/A</v>
      </c>
      <c r="AC109" s="233" t="e">
        <f>VLOOKUP(A109,Enforcements!$C$7:$E$9,3,0)</f>
        <v>#N/A</v>
      </c>
      <c r="AD109" s="244">
        <f>VALUE(LEFT(A109,LEN(A109)-3))</f>
        <v>197</v>
      </c>
      <c r="AE109" s="236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s3://rtdc.mdm.uploadarchive.raw/RTDC4050/ "%USERPROFILE%\AppData\Local\Temp\OnboardLogs"\RTDC4050\2017-11-24 --exclude "*" --recursive --include "*20171124*" &amp; "%USERPROFILE%\Documents\GitHub\mrs-test-scripts\Headless Mode &amp; Sideloading\WalkAndUnGZ.bat" "%USERPROFILE%\AppData\Local\Temp\OnboardLogs"\RTDC4050\2017-11-24 &amp; aws s3 cp s3://rtdc.mdm.uploadarchive.raw/RTDC4050/ "%USERPROFILE%\AppData\Local\Temp\OnboardLogs"\RTDC4050\2017-11-25 --exclude "*" --recursive --include "*20171125*" &amp; "%USERPROFILE%\Documents\GitHub\mrs-test-scripts\Headless Mode &amp; Sideloading\WalkAndUnGZ.bat" "%USERPROFILE%\AppData\Local\Temp\OnboardLogs"\RTDC4050\2017-11-25</v>
      </c>
      <c r="AF109" s="235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/stypes="app*4050*20171124*" /stext=" 23:.+((SYSTEM_STATE.+slice.+state.+changed )|(ment ac)|(multiple cpu faults)|(system.+state.+changed )|(\[timeout)|(PRM\|1\|D)|(kpr)|(kdp)|(train st.+moving)|(\|lc)|(penalty))"</v>
      </c>
      <c r="AG109" s="245" t="str">
        <f>DetSubdiv(A109)</f>
        <v>EC</v>
      </c>
      <c r="AH109" s="237" t="str">
        <f t="shared" si="10"/>
        <v>"%USERPROFILE%\Documents\GitHub\eaglep3\Utilities\RefineRTDCRunTimes.py" --tripid 197-24 --locoid 4050 --swversion DE.1.0.9.0 --startMP 204:449 --initTime 2017-11-24T15:38:33 --startdatetime 2017-11-24T15:45:15 --delay 65 --endMP 204:233199 --enddatetime 2017-11-24T16:21:01 --enforcementcount 0 &gt;&gt;%USERPROFILE%\Documents\GitHub\eaglep3-reporting\EC\2017-11-24-refined-times.txt</v>
      </c>
      <c r="AI109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{"issue":{"subject":"","project_id":79,"tracker_id":40,"status_id":1,"priority_id":2,"assigned_to_id":338,"start_date":"2017-11-24","description":"","custom_fields":[{"id":1,"name":"Subdivision","value":"EC"},{"id":4,"name":"Milepost","value":"23.3199"},{"id":17,"name":"Train ID","value":"197-24"},{"id":16,"name":"Locomotive ID","value":"4050"},{"id":130,"name":"Impact","value":""},{"id":150,"name":"Time of Event (Mountain Time)","value":"16:21:01"},{"id":151,"name":"Denver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4"/>
      <c r="AK109" s="232"/>
      <c r="AL109" s="232"/>
      <c r="AM109" s="241" t="str">
        <f t="shared" si="12"/>
        <v>start /low /b %USERPROFILE%\Documents\GitHub\eaglep3\Utilities\DownloadLogsFromS3.py --loco 4050 --day 2017-11-24</v>
      </c>
      <c r="AN109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23:21:01"},{"id":29,"name":"Sharepoint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1" t="str">
        <f t="shared" si="14"/>
        <v>https://d0f6bd738d7f1b3e5a7ca70fe4ff75f0.us-east-1.aws.found.io/app/kibana#/discover/Steve-Slow-Train-Analysis-(2080s-and-2083s)?_g=(refreshInterval:(display:Off,pause:!f,section:0,value:0),time:(from:'2017-11-24T14:38:33-0700',mode:absolute,to:'2017-11-24T17:21:01-0700'))&amp;_a=(columns:!('Message%20ID',Summary),filters:!(),index:'emp_*',interval:auto,query:(query_string:(analyze_wildcard:!t,query:'%22rtdc.l.rtdc.4050%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30" t="s">
        <v>673</v>
      </c>
      <c r="B110" s="226">
        <v>4049</v>
      </c>
      <c r="C110" s="228" t="s">
        <v>192</v>
      </c>
      <c r="D110" s="228" t="s">
        <v>1011</v>
      </c>
      <c r="E110" s="227">
        <v>43063.689004629632</v>
      </c>
      <c r="F110" s="227">
        <v>43063.696053240739</v>
      </c>
      <c r="G110" s="226">
        <v>105</v>
      </c>
      <c r="H110" s="228" t="s">
        <v>592</v>
      </c>
      <c r="I110" s="227">
        <v>43063.722094907411</v>
      </c>
      <c r="J110" s="226">
        <v>0</v>
      </c>
      <c r="K110" s="238" t="str">
        <f>IF(ISEVEN(B110),(B110-1)&amp;"/"&amp;B110,B110&amp;"/"&amp;(B110+1))</f>
        <v>4049/4050</v>
      </c>
      <c r="L110" s="246" t="str">
        <f>VLOOKUP(A110,'Trips&amp;Operators'!$C$1:$G$99911,5,FALSE)</f>
        <v>GONZALEZ ARMANDO</v>
      </c>
      <c r="M110" s="225">
        <f>I110-F110</f>
        <v>2.6041666671517305E-2</v>
      </c>
      <c r="N110" s="226">
        <f>24*60*SUM($M110:$M110)</f>
        <v>37.500000006984919</v>
      </c>
      <c r="O110" s="226"/>
      <c r="P110" s="226"/>
      <c r="Q110" s="229"/>
      <c r="R110" s="243"/>
      <c r="S110" s="250">
        <f>1/IF(AG110="EC",12,1)*SUM(U110:U110)</f>
        <v>1</v>
      </c>
      <c r="T110" s="243" t="str">
        <f>IF(ISEVEN(LEFT(AD110,4)),"Southbound","NorthBound")</f>
        <v>Southbound</v>
      </c>
      <c r="U110" s="24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9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-11-24T15:32:10-0700',mode:absolute,to:'2017-11-24T18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0" s="248" t="str">
        <f>IF(AA110&lt;VLOOKUP(AG110,Variables!$AC$3:$AD$8,2,FALSE),"Y","N")</f>
        <v>N</v>
      </c>
      <c r="X110" s="248">
        <f>VALUE(LEFT(AD110,4))-VALUE(LEFT(AD109,4))</f>
        <v>1</v>
      </c>
      <c r="Y110" s="248">
        <f>RIGHT(D110,LEN(D110)-4)/10000</f>
        <v>23.2882</v>
      </c>
      <c r="Z110" s="248">
        <f>RIGHT(H110,LEN(H110)-4)/10000</f>
        <v>2.29E-2</v>
      </c>
      <c r="AA110" s="248">
        <f>ABS(Z110-Y110)</f>
        <v>23.2653</v>
      </c>
      <c r="AB110" s="234" t="str">
        <f>VLOOKUP(A110,Enforcements!$C$7:$K$9,8,0)</f>
        <v>Bulletin (2)</v>
      </c>
      <c r="AC110" s="233" t="str">
        <f>VLOOKUP(A110,Enforcements!$C$7:$E$9,3,0)</f>
        <v>GRADE CROSSING</v>
      </c>
      <c r="AD110" s="244">
        <f>VALUE(LEFT(A110,LEN(A110)-3))</f>
        <v>198</v>
      </c>
      <c r="AE110" s="236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s3://rtdc.mdm.uploadarchive.raw/RTDC4049/ "%USERPROFILE%\AppData\Local\Temp\OnboardLogs"\RTDC4049\2017-11-24 --exclude "*" --recursive --include "*20171124*" &amp; "%USERPROFILE%\Documents\GitHub\mrs-test-scripts\Headless Mode &amp; Sideloading\WalkAndUnGZ.bat" "%USERPROFILE%\AppData\Local\Temp\OnboardLogs"\RTDC4049\2017-11-24 &amp; aws s3 cp s3://rtdc.mdm.uploadarchive.raw/RTDC4049/ "%USERPROFILE%\AppData\Local\Temp\OnboardLogs"\RTDC4049\2017-11-25 --exclude "*" --recursive --include "*20171125*" &amp; "%USERPROFILE%\Documents\GitHub\mrs-test-scripts\Headless Mode &amp; Sideloading\WalkAndUnGZ.bat" "%USERPROFILE%\AppData\Local\Temp\OnboardLogs"\RTDC4049\2017-11-25</v>
      </c>
      <c r="AF110" s="235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/stypes="app*4049*20171125*" /stext=" 00:.+((SYSTEM_STATE.+slice.+state.+changed )|(ment ac)|(multiple cpu faults)|(system.+state.+changed )|(\[timeout)|(PRM\|1\|D)|(kpr)|(kdp)|(train st.+moving)|(\|lc)|(penalty))"</v>
      </c>
      <c r="AG110" s="245" t="str">
        <f>DetSubdiv(A110)</f>
        <v>EC</v>
      </c>
      <c r="AH110" s="237" t="str">
        <f t="shared" si="10"/>
        <v>"%USERPROFILE%\Documents\GitHub\eaglep3\Utilities\RefineRTDCRunTimes.py" --tripid 198-24 --locoid 4049 --swversion DE.1.0.9.0 --startMP 204:232882 --initTime 2017-11-24T16:32:10 --startdatetime 2017-11-24T16:42:19 --delay 105 --endMP 204:229 --enddatetime 2017-11-24T17:19:49 --enforcementcount 0 &gt;&gt;%USERPROFILE%\Documents\GitHub\eaglep3-reporting\EC\2017-11-24-refined-times.txt</v>
      </c>
      <c r="AI110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{"issue":{"subject":"","project_id":79,"tracker_id":40,"status_id":1,"priority_id":2,"assigned_to_id":338,"start_date":"2017-11-24","description":"","custom_fields":[{"id":1,"name":"Subdivision","value":"EC"},{"id":4,"name":"Milepost","value":"0.0229"},{"id":17,"name":"Train ID","value":"198-24"},{"id":16,"name":"Locomotive ID","value":"4049"},{"id":130,"name":"Impact","value":""},{"id":150,"name":"Time of Event (Mountain Time)","value":"17:19:49"},{"id":151,"name":"Denver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4"/>
      <c r="AK110" s="232"/>
      <c r="AL110" s="232"/>
      <c r="AM110" s="241" t="str">
        <f t="shared" si="12"/>
        <v>start /low /b %USERPROFILE%\Documents\GitHub\eaglep3\Utilities\DownloadLogsFromS3.py --loco 4049 --day 2017-11-24</v>
      </c>
      <c r="AN110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00:19:49"},{"id":29,"name":"Sharepoint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1" t="str">
        <f t="shared" si="14"/>
        <v>https://d0f6bd738d7f1b3e5a7ca70fe4ff75f0.us-east-1.aws.found.io/app/kibana#/discover/Steve-Slow-Train-Analysis-(2080s-and-2083s)?_g=(refreshInterval:(display:Off,pause:!f,section:0,value:0),time:(from:'2017-11-24T15:32:10-0700',mode:absolute,to:'2017-11-24T18:19:49-0700'))&amp;_a=(columns:!('Message%20ID',Summary),filters:!(),index:'emp_*',interval:auto,query:(query_string:(analyze_wildcard:!t,query:'%22rtdc.l.rtdc.4049%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30" t="s">
        <v>844</v>
      </c>
      <c r="B111" s="226">
        <v>4006</v>
      </c>
      <c r="C111" s="228" t="s">
        <v>192</v>
      </c>
      <c r="D111" s="228" t="s">
        <v>985</v>
      </c>
      <c r="E111" s="227">
        <v>43063.66265046296</v>
      </c>
      <c r="F111" s="227">
        <v>43063.666828703703</v>
      </c>
      <c r="G111" s="226">
        <v>78</v>
      </c>
      <c r="H111" s="228" t="s">
        <v>1012</v>
      </c>
      <c r="I111" s="227">
        <v>43063.692766203705</v>
      </c>
      <c r="J111" s="226">
        <v>0</v>
      </c>
      <c r="K111" s="238" t="str">
        <f>IF(ISEVEN(B111),(B111-1)&amp;"/"&amp;B111,B111&amp;"/"&amp;(B111+1))</f>
        <v>4005/4006</v>
      </c>
      <c r="L111" s="246" t="str">
        <f>VLOOKUP(A111,'Trips&amp;Operators'!$C$1:$G$99911,5,FALSE)</f>
        <v>BADERTSCHER DIANE</v>
      </c>
      <c r="M111" s="225">
        <f>I111-F111</f>
        <v>2.5937500002328306E-2</v>
      </c>
      <c r="N111" s="226">
        <f>24*60*SUM($M111:$M111)</f>
        <v>37.350000003352761</v>
      </c>
      <c r="O111" s="226"/>
      <c r="P111" s="226"/>
      <c r="Q111" s="229"/>
      <c r="R111" s="243"/>
      <c r="S111" s="250">
        <f>1/IF(AG111="EC",12,1)*SUM(U111:U111)</f>
        <v>1</v>
      </c>
      <c r="T111" s="243" t="str">
        <f>IF(ISEVEN(LEFT(AD111,4)),"Southbound","NorthBound")</f>
        <v>NorthBound</v>
      </c>
      <c r="U111" s="24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9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-11-24T14:54:13-0700',mode:absolute,to:'2017-11-24T17:37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1" s="248" t="str">
        <f>IF(AA111&lt;VLOOKUP(AG111,Variables!$AC$3:$AD$8,2,FALSE),"Y","N")</f>
        <v>N</v>
      </c>
      <c r="X111" s="248">
        <f>VALUE(LEFT(AD111,4))-VALUE(LEFT(AD110,4))</f>
        <v>1</v>
      </c>
      <c r="Y111" s="248">
        <f>RIGHT(D111,LEN(D111)-4)/10000</f>
        <v>5.7000000000000002E-2</v>
      </c>
      <c r="Z111" s="248">
        <f>RIGHT(H111,LEN(H111)-4)/10000</f>
        <v>23.325900000000001</v>
      </c>
      <c r="AA111" s="248">
        <f>ABS(Z111-Y111)</f>
        <v>23.268900000000002</v>
      </c>
      <c r="AB111" s="234" t="e">
        <f>VLOOKUP(A111,Enforcements!$C$7:$K$9,8,0)</f>
        <v>#N/A</v>
      </c>
      <c r="AC111" s="233" t="e">
        <f>VLOOKUP(A111,Enforcements!$C$7:$E$9,3,0)</f>
        <v>#N/A</v>
      </c>
      <c r="AD111" s="244">
        <f>VALUE(LEFT(A111,LEN(A111)-3))</f>
        <v>199</v>
      </c>
      <c r="AE111" s="236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s3://rtdc.mdm.uploadarchive.raw/RTDC4006/ "%USERPROFILE%\AppData\Local\Temp\OnboardLogs"\RTDC4006\2017-11-24 --exclude "*" --recursive --include "*20171124*" &amp; "%USERPROFILE%\Documents\GitHub\mrs-test-scripts\Headless Mode &amp; Sideloading\WalkAndUnGZ.bat" "%USERPROFILE%\AppData\Local\Temp\OnboardLogs"\RTDC4006\2017-11-24 &amp; aws s3 cp s3://rtdc.mdm.uploadarchive.raw/RTDC4006/ "%USERPROFILE%\AppData\Local\Temp\OnboardLogs"\RTDC4006\2017-11-25 --exclude "*" --recursive --include "*20171125*" &amp; "%USERPROFILE%\Documents\GitHub\mrs-test-scripts\Headless Mode &amp; Sideloading\WalkAndUnGZ.bat" "%USERPROFILE%\AppData\Local\Temp\OnboardLogs"\RTDC4006\2017-11-25</v>
      </c>
      <c r="AF111" s="235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/stypes="app*4006*20171124*" /stext=" 23:.+((SYSTEM_STATE.+slice.+state.+changed )|(ment ac)|(multiple cpu faults)|(system.+state.+changed )|(\[timeout)|(PRM\|1\|D)|(kpr)|(kdp)|(train st.+moving)|(\|lc)|(penalty))"</v>
      </c>
      <c r="AG111" s="245" t="str">
        <f>DetSubdiv(A111)</f>
        <v>EC</v>
      </c>
      <c r="AH111" s="237" t="str">
        <f t="shared" si="10"/>
        <v>"%USERPROFILE%\Documents\GitHub\eaglep3\Utilities\RefineRTDCRunTimes.py" --tripid 199-24 --locoid 4006 --swversion DE.1.0.9.0 --startMP 204:570 --initTime 2017-11-24T15:54:13 --startdatetime 2017-11-24T16:00:14 --delay 78 --endMP 204:233259 --enddatetime 2017-11-24T16:37:35 --enforcementcount 0 &gt;&gt;%USERPROFILE%\Documents\GitHub\eaglep3-reporting\EC\2017-11-24-refined-times.txt</v>
      </c>
      <c r="AI111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{"issue":{"subject":"","project_id":79,"tracker_id":40,"status_id":1,"priority_id":2,"assigned_to_id":338,"start_date":"2017-11-24","description":"","custom_fields":[{"id":1,"name":"Subdivision","value":"EC"},{"id":4,"name":"Milepost","value":"23.3259"},{"id":17,"name":"Train ID","value":"199-24"},{"id":16,"name":"Locomotive ID","value":"4006"},{"id":130,"name":"Impact","value":""},{"id":150,"name":"Time of Event (Mountain Time)","value":"16:37:35"},{"id":151,"name":"Denver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4"/>
      <c r="AK111" s="232"/>
      <c r="AL111" s="232"/>
      <c r="AM111" s="241" t="str">
        <f t="shared" si="12"/>
        <v>start /low /b %USERPROFILE%\Documents\GitHub\eaglep3\Utilities\DownloadLogsFromS3.py --loco 4006 --day 2017-11-24</v>
      </c>
      <c r="AN111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23:37:35"},{"id":29,"name":"Sharepoint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1" t="str">
        <f t="shared" si="14"/>
        <v>https://d0f6bd738d7f1b3e5a7ca70fe4ff75f0.us-east-1.aws.found.io/app/kibana#/discover/Steve-Slow-Train-Analysis-(2080s-and-2083s)?_g=(refreshInterval:(display:Off,pause:!f,section:0,value:0),time:(from:'2017-11-24T14:54:13-0700',mode:absolute,to:'2017-11-24T17:37:35-0700'))&amp;_a=(columns:!('Message%20ID',Summary),filters:!(),index:'emp_*',interval:auto,query:(query_string:(analyze_wildcard:!t,query:'%22rtdc.l.rtdc.4006%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30" t="s">
        <v>855</v>
      </c>
      <c r="B112" s="226">
        <v>4005</v>
      </c>
      <c r="C112" s="228" t="s">
        <v>192</v>
      </c>
      <c r="D112" s="228" t="s">
        <v>621</v>
      </c>
      <c r="E112" s="227">
        <v>43063.701331018521</v>
      </c>
      <c r="F112" s="227">
        <v>43063.706412037034</v>
      </c>
      <c r="G112" s="226">
        <v>69</v>
      </c>
      <c r="H112" s="228" t="s">
        <v>529</v>
      </c>
      <c r="I112" s="227">
        <v>43063.734699074077</v>
      </c>
      <c r="J112" s="226">
        <v>0</v>
      </c>
      <c r="K112" s="238" t="str">
        <f>IF(ISEVEN(B112),(B112-1)&amp;"/"&amp;B112,B112&amp;"/"&amp;(B112+1))</f>
        <v>4005/4006</v>
      </c>
      <c r="L112" s="246" t="str">
        <f>VLOOKUP(A112,'Trips&amp;Operators'!$C$1:$G$99911,5,FALSE)</f>
        <v>BADERTSCHER DIANE</v>
      </c>
      <c r="M112" s="225">
        <f>I112-F112</f>
        <v>2.828703704290092E-2</v>
      </c>
      <c r="N112" s="226">
        <f>24*60*SUM($M112:$M112)</f>
        <v>40.733333341777325</v>
      </c>
      <c r="O112" s="226"/>
      <c r="P112" s="226"/>
      <c r="Q112" s="229"/>
      <c r="R112" s="243"/>
      <c r="S112" s="250">
        <f>1/IF(AG112="EC",12,1)*SUM(U112:U112)</f>
        <v>1</v>
      </c>
      <c r="T112" s="243" t="str">
        <f>IF(ISEVEN(LEFT(AD112,4)),"Southbound","NorthBound")</f>
        <v>Southbound</v>
      </c>
      <c r="U112" s="24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9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-11-24T15:49:55-0700',mode:absolute,to:'2017-11-24T18:37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2" s="248" t="str">
        <f>IF(AA112&lt;VLOOKUP(AG112,Variables!$AC$3:$AD$8,2,FALSE),"Y","N")</f>
        <v>N</v>
      </c>
      <c r="X112" s="248">
        <f>VALUE(LEFT(AD112,4))-VALUE(LEFT(AD111,4))</f>
        <v>1</v>
      </c>
      <c r="Y112" s="248">
        <f>RIGHT(D112,LEN(D112)-4)/10000</f>
        <v>23.2925</v>
      </c>
      <c r="Z112" s="248">
        <f>RIGHT(H112,LEN(H112)-4)/10000</f>
        <v>2.0899999999999998E-2</v>
      </c>
      <c r="AA112" s="248">
        <f>ABS(Z112-Y112)</f>
        <v>23.271599999999999</v>
      </c>
      <c r="AB112" s="234" t="e">
        <f>VLOOKUP(A112,Enforcements!$C$7:$K$9,8,0)</f>
        <v>#N/A</v>
      </c>
      <c r="AC112" s="233" t="e">
        <f>VLOOKUP(A112,Enforcements!$C$7:$E$9,3,0)</f>
        <v>#N/A</v>
      </c>
      <c r="AD112" s="244">
        <f>VALUE(LEFT(A112,LEN(A112)-3))</f>
        <v>200</v>
      </c>
      <c r="AE112" s="236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s3://rtdc.mdm.uploadarchive.raw/RTDC4005/ "%USERPROFILE%\AppData\Local\Temp\OnboardLogs"\RTDC4005\2017-11-24 --exclude "*" --recursive --include "*20171124*" &amp; "%USERPROFILE%\Documents\GitHub\mrs-test-scripts\Headless Mode &amp; Sideloading\WalkAndUnGZ.bat" "%USERPROFILE%\AppData\Local\Temp\OnboardLogs"\RTDC4005\2017-11-24 &amp; aws s3 cp s3://rtdc.mdm.uploadarchive.raw/RTDC4005/ "%USERPROFILE%\AppData\Local\Temp\OnboardLogs"\RTDC4005\2017-11-25 --exclude "*" --recursive --include "*20171125*" &amp; "%USERPROFILE%\Documents\GitHub\mrs-test-scripts\Headless Mode &amp; Sideloading\WalkAndUnGZ.bat" "%USERPROFILE%\AppData\Local\Temp\OnboardLogs"\RTDC4005\2017-11-25</v>
      </c>
      <c r="AF112" s="235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/stypes="app*4005*20171125*" /stext=" 00:.+((SYSTEM_STATE.+slice.+state.+changed )|(ment ac)|(multiple cpu faults)|(system.+state.+changed )|(\[timeout)|(PRM\|1\|D)|(kpr)|(kdp)|(train st.+moving)|(\|lc)|(penalty))"</v>
      </c>
      <c r="AG112" s="245" t="str">
        <f>DetSubdiv(A112)</f>
        <v>EC</v>
      </c>
      <c r="AH112" s="237" t="str">
        <f t="shared" si="10"/>
        <v>"%USERPROFILE%\Documents\GitHub\eaglep3\Utilities\RefineRTDCRunTimes.py" --tripid 200-24 --locoid 4005 --swversion DE.1.0.9.0 --startMP 204:232925 --initTime 2017-11-24T16:49:55 --startdatetime 2017-11-24T16:57:14 --delay 69 --endMP 204:209 --enddatetime 2017-11-24T17:37:58 --enforcementcount 0 &gt;&gt;%USERPROFILE%\Documents\GitHub\eaglep3-reporting\EC\2017-11-24-refined-times.txt</v>
      </c>
      <c r="AI112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{"issue":{"subject":"","project_id":79,"tracker_id":40,"status_id":1,"priority_id":2,"assigned_to_id":338,"start_date":"2017-11-24","description":"","custom_fields":[{"id":1,"name":"Subdivision","value":"EC"},{"id":4,"name":"Milepost","value":"0.0209"},{"id":17,"name":"Train ID","value":"200-24"},{"id":16,"name":"Locomotive ID","value":"4005"},{"id":130,"name":"Impact","value":""},{"id":150,"name":"Time of Event (Mountain Time)","value":"17:37:58"},{"id":151,"name":"Denver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4"/>
      <c r="AK112" s="232"/>
      <c r="AL112" s="232"/>
      <c r="AM112" s="241" t="str">
        <f t="shared" si="12"/>
        <v>start /low /b %USERPROFILE%\Documents\GitHub\eaglep3\Utilities\DownloadLogsFromS3.py --loco 4005 --day 2017-11-24</v>
      </c>
      <c r="AN112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00:37:58"},{"id":29,"name":"Sharepoint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1" t="str">
        <f t="shared" si="14"/>
        <v>https://d0f6bd738d7f1b3e5a7ca70fe4ff75f0.us-east-1.aws.found.io/app/kibana#/discover/Steve-Slow-Train-Analysis-(2080s-and-2083s)?_g=(refreshInterval:(display:Off,pause:!f,section:0,value:0),time:(from:'2017-11-24T15:49:55-0700',mode:absolute,to:'2017-11-24T18:37:58-0700'))&amp;_a=(columns:!('Message%20ID',Summary),filters:!(),index:'emp_*',interval:auto,query:(query_string:(analyze_wildcard:!t,query:'%22rtdc.l.rtdc.4005%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30" t="s">
        <v>848</v>
      </c>
      <c r="B113" s="226">
        <v>4064</v>
      </c>
      <c r="C113" s="228" t="s">
        <v>192</v>
      </c>
      <c r="D113" s="228" t="s">
        <v>487</v>
      </c>
      <c r="E113" s="227">
        <v>43063.673425925925</v>
      </c>
      <c r="F113" s="227">
        <v>43063.67728009259</v>
      </c>
      <c r="G113" s="226">
        <v>60</v>
      </c>
      <c r="H113" s="228" t="s">
        <v>1013</v>
      </c>
      <c r="I113" s="227">
        <v>43063.7028125</v>
      </c>
      <c r="J113" s="226">
        <v>0</v>
      </c>
      <c r="K113" s="238" t="str">
        <f>IF(ISEVEN(B113),(B113-1)&amp;"/"&amp;B113,B113&amp;"/"&amp;(B113+1))</f>
        <v>4063/4064</v>
      </c>
      <c r="L113" s="246" t="str">
        <f>VLOOKUP(A113,'Trips&amp;Operators'!$C$1:$G$99911,5,FALSE)</f>
        <v>AUSTIN THOMPSON</v>
      </c>
      <c r="M113" s="225">
        <f>I113-F113</f>
        <v>2.5532407409627922E-2</v>
      </c>
      <c r="N113" s="226">
        <f>24*60*SUM($M113:$M113)</f>
        <v>36.766666669864208</v>
      </c>
      <c r="O113" s="226"/>
      <c r="P113" s="226"/>
      <c r="Q113" s="229"/>
      <c r="R113" s="243"/>
      <c r="S113" s="250">
        <f>1/IF(AG113="EC",12,1)*SUM(U113:U113)</f>
        <v>1</v>
      </c>
      <c r="T113" s="243" t="str">
        <f>IF(ISEVEN(LEFT(AD113,4)),"Southbound","NorthBound")</f>
        <v>NorthBound</v>
      </c>
      <c r="U113" s="24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9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-11-24T15:09:44-0700',mode:absolute,to:'2017-11-24T17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3" s="248" t="str">
        <f>IF(AA113&lt;VLOOKUP(AG113,Variables!$AC$3:$AD$8,2,FALSE),"Y","N")</f>
        <v>N</v>
      </c>
      <c r="X113" s="248">
        <f>VALUE(LEFT(AD113,4))-VALUE(LEFT(AD112,4))</f>
        <v>1</v>
      </c>
      <c r="Y113" s="248">
        <f>RIGHT(D113,LEN(D113)-4)/10000</f>
        <v>5.5300000000000002E-2</v>
      </c>
      <c r="Z113" s="248">
        <f>RIGHT(H113,LEN(H113)-4)/10000</f>
        <v>23.322800000000001</v>
      </c>
      <c r="AA113" s="248">
        <f>ABS(Z113-Y113)</f>
        <v>23.267500000000002</v>
      </c>
      <c r="AB113" s="234" t="e">
        <f>VLOOKUP(A113,Enforcements!$C$7:$K$9,8,0)</f>
        <v>#N/A</v>
      </c>
      <c r="AC113" s="233" t="e">
        <f>VLOOKUP(A113,Enforcements!$C$7:$E$9,3,0)</f>
        <v>#N/A</v>
      </c>
      <c r="AD113" s="244">
        <f>VALUE(LEFT(A113,LEN(A113)-3))</f>
        <v>201</v>
      </c>
      <c r="AE113" s="236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s3://rtdc.mdm.uploadarchive.raw/RTDC4064/ "%USERPROFILE%\AppData\Local\Temp\OnboardLogs"\RTDC4064\2017-11-24 --exclude "*" --recursive --include "*20171124*" &amp; "%USERPROFILE%\Documents\GitHub\mrs-test-scripts\Headless Mode &amp; Sideloading\WalkAndUnGZ.bat" "%USERPROFILE%\AppData\Local\Temp\OnboardLogs"\RTDC4064\2017-11-24 &amp; aws s3 cp s3://rtdc.mdm.uploadarchive.raw/RTDC4064/ "%USERPROFILE%\AppData\Local\Temp\OnboardLogs"\RTDC4064\2017-11-25 --exclude "*" --recursive --include "*20171125*" &amp; "%USERPROFILE%\Documents\GitHub\mrs-test-scripts\Headless Mode &amp; Sideloading\WalkAndUnGZ.bat" "%USERPROFILE%\AppData\Local\Temp\OnboardLogs"\RTDC4064\2017-11-25</v>
      </c>
      <c r="AF113" s="235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/stypes="app*4064*20171124*" /stext=" 23:.+((SYSTEM_STATE.+slice.+state.+changed )|(ment ac)|(multiple cpu faults)|(system.+state.+changed )|(\[timeout)|(PRM\|1\|D)|(kpr)|(kdp)|(train st.+moving)|(\|lc)|(penalty))"</v>
      </c>
      <c r="AG113" s="245" t="str">
        <f>DetSubdiv(A113)</f>
        <v>EC</v>
      </c>
      <c r="AH113" s="237" t="str">
        <f t="shared" si="10"/>
        <v>"%USERPROFILE%\Documents\GitHub\eaglep3\Utilities\RefineRTDCRunTimes.py" --tripid 201-24 --locoid 4064 --swversion DE.1.0.9.0 --startMP 204:553 --initTime 2017-11-24T16:09:44 --startdatetime 2017-11-24T16:15:17 --delay 60 --endMP 204:233228 --enddatetime 2017-11-24T16:52:03 --enforcementcount 0 &gt;&gt;%USERPROFILE%\Documents\GitHub\eaglep3-reporting\EC\2017-11-24-refined-times.txt</v>
      </c>
      <c r="AI113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{"issue":{"subject":"","project_id":79,"tracker_id":40,"status_id":1,"priority_id":2,"assigned_to_id":338,"start_date":"2017-11-24","description":"","custom_fields":[{"id":1,"name":"Subdivision","value":"EC"},{"id":4,"name":"Milepost","value":"23.3228"},{"id":17,"name":"Train ID","value":"201-24"},{"id":16,"name":"Locomotive ID","value":"4064"},{"id":130,"name":"Impact","value":""},{"id":150,"name":"Time of Event (Mountain Time)","value":"16:52:03"},{"id":151,"name":"Denver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4"/>
      <c r="AK113" s="232"/>
      <c r="AL113" s="232"/>
      <c r="AM113" s="241" t="str">
        <f t="shared" si="12"/>
        <v>start /low /b %USERPROFILE%\Documents\GitHub\eaglep3\Utilities\DownloadLogsFromS3.py --loco 4064 --day 2017-11-24</v>
      </c>
      <c r="AN113" s="242" t="str">
        <f t="shared" si="13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23:52:03"},{"id":29,"name":"Sharepoint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1" t="str">
        <f t="shared" si="14"/>
        <v>https://d0f6bd738d7f1b3e5a7ca70fe4ff75f0.us-east-1.aws.found.io/app/kibana#/discover/Steve-Slow-Train-Analysis-(2080s-and-2083s)?_g=(refreshInterval:(display:Off,pause:!f,section:0,value:0),time:(from:'2017-11-24T15:09:44-0700',mode:absolute,to:'2017-11-24T17:52:03-0700'))&amp;_a=(columns:!('Message%20ID',Summary),filters:!(),index:'emp_*',interval:auto,query:(query_string:(analyze_wildcard:!t,query:'%22rtdc.l.rtdc.4064%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30" t="s">
        <v>861</v>
      </c>
      <c r="B114" s="226">
        <v>4063</v>
      </c>
      <c r="C114" s="228" t="s">
        <v>192</v>
      </c>
      <c r="D114" s="228" t="s">
        <v>614</v>
      </c>
      <c r="E114" s="227">
        <v>43063.715081018519</v>
      </c>
      <c r="F114" s="227">
        <v>43063.716828703706</v>
      </c>
      <c r="G114" s="226">
        <v>63</v>
      </c>
      <c r="H114" s="228" t="s">
        <v>1014</v>
      </c>
      <c r="I114" s="227">
        <v>43063.742326388892</v>
      </c>
      <c r="J114" s="226">
        <v>0</v>
      </c>
      <c r="K114" s="238" t="str">
        <f>IF(ISEVEN(B114),(B114-1)&amp;"/"&amp;B114,B114&amp;"/"&amp;(B114+1))</f>
        <v>4063/4064</v>
      </c>
      <c r="L114" s="246" t="str">
        <f>VLOOKUP(A114,'Trips&amp;Operators'!$C$1:$G$99911,5,FALSE)</f>
        <v>AUSTIN THOMPSON</v>
      </c>
      <c r="M114" s="225">
        <f>I114-F114</f>
        <v>2.5497685186564922E-2</v>
      </c>
      <c r="N114" s="226">
        <f>24*60*SUM($M114:$M114)</f>
        <v>36.716666668653488</v>
      </c>
      <c r="O114" s="226"/>
      <c r="P114" s="226"/>
      <c r="Q114" s="229"/>
      <c r="R114" s="243"/>
      <c r="S114" s="250">
        <f>1/IF(AG114="EC",12,1)*SUM(U114:U114)</f>
        <v>1</v>
      </c>
      <c r="T114" s="243" t="str">
        <f>IF(ISEVEN(LEFT(AD114,4)),"Southbound","NorthBound")</f>
        <v>Southbound</v>
      </c>
      <c r="U114" s="24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9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-11-24T16:09:43-0700',mode:absolute,to:'2017-11-24T18:48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4" s="248" t="str">
        <f>IF(AA114&lt;VLOOKUP(AG114,Variables!$AC$3:$AD$8,2,FALSE),"Y","N")</f>
        <v>N</v>
      </c>
      <c r="X114" s="248">
        <f>VALUE(LEFT(AD114,4))-VALUE(LEFT(AD113,4))</f>
        <v>1</v>
      </c>
      <c r="Y114" s="248">
        <f>RIGHT(D114,LEN(D114)-4)/10000</f>
        <v>23.290400000000002</v>
      </c>
      <c r="Z114" s="248">
        <f>RIGHT(H114,LEN(H114)-4)/10000</f>
        <v>2.5399999999999999E-2</v>
      </c>
      <c r="AA114" s="248">
        <f>ABS(Z114-Y114)</f>
        <v>23.265000000000001</v>
      </c>
      <c r="AB114" s="234" t="e">
        <f>VLOOKUP(A114,Enforcements!$C$7:$K$9,8,0)</f>
        <v>#N/A</v>
      </c>
      <c r="AC114" s="233" t="e">
        <f>VLOOKUP(A114,Enforcements!$C$7:$E$9,3,0)</f>
        <v>#N/A</v>
      </c>
      <c r="AD114" s="244">
        <f>VALUE(LEFT(A114,LEN(A114)-3))</f>
        <v>202</v>
      </c>
      <c r="AE114" s="236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s3://rtdc.mdm.uploadarchive.raw/RTDC4063/ "%USERPROFILE%\AppData\Local\Temp\OnboardLogs"\RTDC4063\2017-11-24 --exclude "*" --recursive --include "*20171124*" &amp; "%USERPROFILE%\Documents\GitHub\mrs-test-scripts\Headless Mode &amp; Sideloading\WalkAndUnGZ.bat" "%USERPROFILE%\AppData\Local\Temp\OnboardLogs"\RTDC4063\2017-11-24 &amp; aws s3 cp s3://rtdc.mdm.uploadarchive.raw/RTDC4063/ "%USERPROFILE%\AppData\Local\Temp\OnboardLogs"\RTDC4063\2017-11-25 --exclude "*" --recursive --include "*20171125*" &amp; "%USERPROFILE%\Documents\GitHub\mrs-test-scripts\Headless Mode &amp; Sideloading\WalkAndUnGZ.bat" "%USERPROFILE%\AppData\Local\Temp\OnboardLogs"\RTDC4063\2017-11-25</v>
      </c>
      <c r="AF114" s="235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/stypes="app*4063*20171125*" /stext=" 00:.+((SYSTEM_STATE.+slice.+state.+changed )|(ment ac)|(multiple cpu faults)|(system.+state.+changed )|(\[timeout)|(PRM\|1\|D)|(kpr)|(kdp)|(train st.+moving)|(\|lc)|(penalty))"</v>
      </c>
      <c r="AG114" s="245" t="str">
        <f>DetSubdiv(A114)</f>
        <v>EC</v>
      </c>
      <c r="AH114" s="237" t="str">
        <f t="shared" si="10"/>
        <v>"%USERPROFILE%\Documents\GitHub\eaglep3\Utilities\RefineRTDCRunTimes.py" --tripid 202-24 --locoid 4063 --swversion DE.1.0.9.0 --startMP 204:232904 --initTime 2017-11-24T17:09:43 --startdatetime 2017-11-24T17:12:14 --delay 63 --endMP 204:254 --enddatetime 2017-11-24T17:48:57 --enforcementcount 0 &gt;&gt;%USERPROFILE%\Documents\GitHub\eaglep3-reporting\EC\2017-11-24-refined-times.txt</v>
      </c>
      <c r="AI114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{"issue":{"subject":"","project_id":79,"tracker_id":40,"status_id":1,"priority_id":2,"assigned_to_id":338,"start_date":"2017-11-24","description":"","custom_fields":[{"id":1,"name":"Subdivision","value":"EC"},{"id":4,"name":"Milepost","value":"0.0254"},{"id":17,"name":"Train ID","value":"202-24"},{"id":16,"name":"Locomotive ID","value":"4063"},{"id":130,"name":"Impact","value":""},{"id":150,"name":"Time of Event (Mountain Time)","value":"17:48:57"},{"id":151,"name":"Denver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4"/>
      <c r="AK114" s="232"/>
      <c r="AL114" s="232"/>
      <c r="AM114" s="241" t="str">
        <f t="shared" si="12"/>
        <v>start /low /b %USERPROFILE%\Documents\GitHub\eaglep3\Utilities\DownloadLogsFromS3.py --loco 4063 --day 2017-11-24</v>
      </c>
      <c r="AN114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00:48:57"},{"id":29,"name":"Sharepoint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1" t="str">
        <f t="shared" si="14"/>
        <v>https://d0f6bd738d7f1b3e5a7ca70fe4ff75f0.us-east-1.aws.found.io/app/kibana#/discover/Steve-Slow-Train-Analysis-(2080s-and-2083s)?_g=(refreshInterval:(display:Off,pause:!f,section:0,value:0),time:(from:'2017-11-24T16:09:43-0700',mode:absolute,to:'2017-11-24T18:48:57-0700'))&amp;_a=(columns:!('Message%20ID',Summary),filters:!(),index:'emp_*',interval:auto,query:(query_string:(analyze_wildcard:!t,query:'%22rtdc.l.rtdc.4063%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30" t="s">
        <v>850</v>
      </c>
      <c r="B115" s="226">
        <v>4010</v>
      </c>
      <c r="C115" s="228" t="s">
        <v>192</v>
      </c>
      <c r="D115" s="228" t="s">
        <v>1015</v>
      </c>
      <c r="E115" s="227">
        <v>43063.684074074074</v>
      </c>
      <c r="F115" s="227">
        <v>43063.687662037039</v>
      </c>
      <c r="G115" s="226">
        <v>45</v>
      </c>
      <c r="H115" s="228" t="s">
        <v>593</v>
      </c>
      <c r="I115" s="227">
        <v>43063.711782407408</v>
      </c>
      <c r="J115" s="226">
        <v>0</v>
      </c>
      <c r="K115" s="238" t="str">
        <f>IF(ISEVEN(B115),(B115-1)&amp;"/"&amp;B115,B115&amp;"/"&amp;(B115+1))</f>
        <v>4009/4010</v>
      </c>
      <c r="L115" s="246" t="str">
        <f>VLOOKUP(A115,'Trips&amp;Operators'!$C$1:$G$99911,5,FALSE)</f>
        <v>NEWELL JAMES</v>
      </c>
      <c r="M115" s="225">
        <f>I115-F115</f>
        <v>2.4120370369928423E-2</v>
      </c>
      <c r="N115" s="226">
        <f>24*60*SUM($M115:$M115)</f>
        <v>34.73333333269693</v>
      </c>
      <c r="O115" s="226"/>
      <c r="P115" s="226"/>
      <c r="Q115" s="229"/>
      <c r="R115" s="243"/>
      <c r="S115" s="250">
        <f>1/IF(AG115="EC",12,1)*SUM(U115:U115)</f>
        <v>1</v>
      </c>
      <c r="T115" s="243" t="str">
        <f>IF(ISEVEN(LEFT(AD115,4)),"Southbound","NorthBound")</f>
        <v>NorthBound</v>
      </c>
      <c r="U115" s="24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9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-11-24T15:25:04-0700',mode:absolute,to:'2017-11-24T18:04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5" s="248" t="str">
        <f>IF(AA115&lt;VLOOKUP(AG115,Variables!$AC$3:$AD$8,2,FALSE),"Y","N")</f>
        <v>N</v>
      </c>
      <c r="X115" s="248">
        <f>VALUE(LEFT(AD115,4))-VALUE(LEFT(AD114,4))</f>
        <v>1</v>
      </c>
      <c r="Y115" s="248">
        <f>RIGHT(D115,LEN(D115)-4)/10000</f>
        <v>5.8999999999999997E-2</v>
      </c>
      <c r="Z115" s="248">
        <f>RIGHT(H115,LEN(H115)-4)/10000</f>
        <v>23.317799999999998</v>
      </c>
      <c r="AA115" s="248">
        <f>ABS(Z115-Y115)</f>
        <v>23.258799999999997</v>
      </c>
      <c r="AB115" s="234" t="e">
        <f>VLOOKUP(A115,Enforcements!$C$7:$K$9,8,0)</f>
        <v>#N/A</v>
      </c>
      <c r="AC115" s="233" t="e">
        <f>VLOOKUP(A115,Enforcements!$C$7:$E$9,3,0)</f>
        <v>#N/A</v>
      </c>
      <c r="AD115" s="244">
        <f>VALUE(LEFT(A115,LEN(A115)-3))</f>
        <v>203</v>
      </c>
      <c r="AE115" s="236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s3://rtdc.mdm.uploadarchive.raw/RTDC4010/ "%USERPROFILE%\AppData\Local\Temp\OnboardLogs"\RTDC4010\2017-11-24 --exclude "*" --recursive --include "*20171124*" &amp; "%USERPROFILE%\Documents\GitHub\mrs-test-scripts\Headless Mode &amp; Sideloading\WalkAndUnGZ.bat" "%USERPROFILE%\AppData\Local\Temp\OnboardLogs"\RTDC4010\2017-11-24 &amp; aws s3 cp s3://rtdc.mdm.uploadarchive.raw/RTDC4010/ "%USERPROFILE%\AppData\Local\Temp\OnboardLogs"\RTDC4010\2017-11-25 --exclude "*" --recursive --include "*20171125*" &amp; "%USERPROFILE%\Documents\GitHub\mrs-test-scripts\Headless Mode &amp; Sideloading\WalkAndUnGZ.bat" "%USERPROFILE%\AppData\Local\Temp\OnboardLogs"\RTDC4010\2017-11-25</v>
      </c>
      <c r="AF115" s="235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/stypes="app*4010*20171125*" /stext=" 00:.+((SYSTEM_STATE.+slice.+state.+changed )|(ment ac)|(multiple cpu faults)|(system.+state.+changed )|(\[timeout)|(PRM\|1\|D)|(kpr)|(kdp)|(train st.+moving)|(\|lc)|(penalty))"</v>
      </c>
      <c r="AG115" s="245" t="str">
        <f>DetSubdiv(A115)</f>
        <v>EC</v>
      </c>
      <c r="AH115" s="237" t="str">
        <f t="shared" si="10"/>
        <v>"%USERPROFILE%\Documents\GitHub\eaglep3\Utilities\RefineRTDCRunTimes.py" --tripid 203-24 --locoid 4010 --swversion DE.1.0.9.0 --startMP 204:590 --initTime 2017-11-24T16:25:04 --startdatetime 2017-11-24T16:30:14 --delay 45 --endMP 204:233178 --enddatetime 2017-11-24T17:04:58 --enforcementcount 0 &gt;&gt;%USERPROFILE%\Documents\GitHub\eaglep3-reporting\EC\2017-11-24-refined-times.txt</v>
      </c>
      <c r="AI115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{"issue":{"subject":"","project_id":79,"tracker_id":40,"status_id":1,"priority_id":2,"assigned_to_id":338,"start_date":"2017-11-24","description":"","custom_fields":[{"id":1,"name":"Subdivision","value":"EC"},{"id":4,"name":"Milepost","value":"23.3178"},{"id":17,"name":"Train ID","value":"203-24"},{"id":16,"name":"Locomotive ID","value":"4010"},{"id":130,"name":"Impact","value":""},{"id":150,"name":"Time of Event (Mountain Time)","value":"17:04:58"},{"id":151,"name":"Denver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4"/>
      <c r="AK115" s="232"/>
      <c r="AL115" s="232"/>
      <c r="AM115" s="241" t="str">
        <f t="shared" si="12"/>
        <v>start /low /b %USERPROFILE%\Documents\GitHub\eaglep3\Utilities\DownloadLogsFromS3.py --loco 4010 --day 2017-11-24</v>
      </c>
      <c r="AN115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00:04:58"},{"id":29,"name":"Sharepoint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1" t="str">
        <f t="shared" si="14"/>
        <v>https://d0f6bd738d7f1b3e5a7ca70fe4ff75f0.us-east-1.aws.found.io/app/kibana#/discover/Steve-Slow-Train-Analysis-(2080s-and-2083s)?_g=(refreshInterval:(display:Off,pause:!f,section:0,value:0),time:(from:'2017-11-24T15:25:04-0700',mode:absolute,to:'2017-11-24T18:04:58-0700'))&amp;_a=(columns:!('Message%20ID',Summary),filters:!(),index:'emp_*',interval:auto,query:(query_string:(analyze_wildcard:!t,query:'%22rtdc.l.rtdc.4010%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30" t="s">
        <v>860</v>
      </c>
      <c r="B116" s="226">
        <v>4009</v>
      </c>
      <c r="C116" s="228" t="s">
        <v>192</v>
      </c>
      <c r="D116" s="228" t="s">
        <v>964</v>
      </c>
      <c r="E116" s="227">
        <v>43063.71502314815</v>
      </c>
      <c r="F116" s="227">
        <v>43063.727222222224</v>
      </c>
      <c r="G116" s="226">
        <v>53</v>
      </c>
      <c r="H116" s="228" t="s">
        <v>545</v>
      </c>
      <c r="I116" s="227">
        <v>43063.753310185188</v>
      </c>
      <c r="J116" s="226">
        <v>0</v>
      </c>
      <c r="K116" s="238" t="str">
        <f>IF(ISEVEN(B116),(B116-1)&amp;"/"&amp;B116,B116&amp;"/"&amp;(B116+1))</f>
        <v>4009/4010</v>
      </c>
      <c r="L116" s="246" t="str">
        <f>VLOOKUP(A116,'Trips&amp;Operators'!$C$1:$G$99911,5,FALSE)</f>
        <v>NEWELL JAMES</v>
      </c>
      <c r="M116" s="225">
        <f>I116-F116</f>
        <v>2.6087962964083999E-2</v>
      </c>
      <c r="N116" s="226">
        <f>24*60*SUM($M116:$M116)</f>
        <v>37.566666668280959</v>
      </c>
      <c r="O116" s="226"/>
      <c r="P116" s="226"/>
      <c r="Q116" s="229"/>
      <c r="R116" s="243"/>
      <c r="S116" s="250">
        <f>1/IF(AG116="EC",12,1)*SUM(U116:U116)</f>
        <v>1</v>
      </c>
      <c r="T116" s="243" t="str">
        <f>IF(ISEVEN(LEFT(AD116,4)),"Southbound","NorthBound")</f>
        <v>Southbound</v>
      </c>
      <c r="U116" s="24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9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-11-24T16:09:38-0700',mode:absolute,to:'2017-11-24T19:04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6" s="248" t="str">
        <f>IF(AA116&lt;VLOOKUP(AG116,Variables!$AC$3:$AD$8,2,FALSE),"Y","N")</f>
        <v>N</v>
      </c>
      <c r="X116" s="248">
        <f>VALUE(LEFT(AD116,4))-VALUE(LEFT(AD115,4))</f>
        <v>1</v>
      </c>
      <c r="Y116" s="248">
        <f>RIGHT(D116,LEN(D116)-4)/10000</f>
        <v>23.285699999999999</v>
      </c>
      <c r="Z116" s="248">
        <f>RIGHT(H116,LEN(H116)-4)/10000</f>
        <v>1.83E-2</v>
      </c>
      <c r="AA116" s="248">
        <f>ABS(Z116-Y116)</f>
        <v>23.267399999999999</v>
      </c>
      <c r="AB116" s="234" t="e">
        <f>VLOOKUP(A116,Enforcements!$C$7:$K$9,8,0)</f>
        <v>#N/A</v>
      </c>
      <c r="AC116" s="233" t="e">
        <f>VLOOKUP(A116,Enforcements!$C$7:$E$9,3,0)</f>
        <v>#N/A</v>
      </c>
      <c r="AD116" s="244">
        <f>VALUE(LEFT(A116,LEN(A116)-3))</f>
        <v>204</v>
      </c>
      <c r="AE116" s="236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s3://rtdc.mdm.uploadarchive.raw/RTDC4009/ "%USERPROFILE%\AppData\Local\Temp\OnboardLogs"\RTDC4009\2017-11-24 --exclude "*" --recursive --include "*20171124*" &amp; "%USERPROFILE%\Documents\GitHub\mrs-test-scripts\Headless Mode &amp; Sideloading\WalkAndUnGZ.bat" "%USERPROFILE%\AppData\Local\Temp\OnboardLogs"\RTDC4009\2017-11-24 &amp; aws s3 cp s3://rtdc.mdm.uploadarchive.raw/RTDC4009/ "%USERPROFILE%\AppData\Local\Temp\OnboardLogs"\RTDC4009\2017-11-25 --exclude "*" --recursive --include "*20171125*" &amp; "%USERPROFILE%\Documents\GitHub\mrs-test-scripts\Headless Mode &amp; Sideloading\WalkAndUnGZ.bat" "%USERPROFILE%\AppData\Local\Temp\OnboardLogs"\RTDC4009\2017-11-25</v>
      </c>
      <c r="AF116" s="235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/stypes="app*4009*20171125*" /stext=" 01:.+((SYSTEM_STATE.+slice.+state.+changed )|(ment ac)|(multiple cpu faults)|(system.+state.+changed )|(\[timeout)|(PRM\|1\|D)|(kpr)|(kdp)|(train st.+moving)|(\|lc)|(penalty))"</v>
      </c>
      <c r="AG116" s="245" t="str">
        <f>DetSubdiv(A116)</f>
        <v>EC</v>
      </c>
      <c r="AH116" s="237" t="str">
        <f t="shared" si="10"/>
        <v>"%USERPROFILE%\Documents\GitHub\eaglep3\Utilities\RefineRTDCRunTimes.py" --tripid 204-24 --locoid 4009 --swversion DE.1.0.9.0 --startMP 204:232857 --initTime 2017-11-24T17:09:38 --startdatetime 2017-11-24T17:27:12 --delay 53 --endMP 204:183 --enddatetime 2017-11-24T18:04:46 --enforcementcount 0 &gt;&gt;%USERPROFILE%\Documents\GitHub\eaglep3-reporting\EC\2017-11-24-refined-times.txt</v>
      </c>
      <c r="AI116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{"issue":{"subject":"","project_id":79,"tracker_id":40,"status_id":1,"priority_id":2,"assigned_to_id":338,"start_date":"2017-11-24","description":"","custom_fields":[{"id":1,"name":"Subdivision","value":"EC"},{"id":4,"name":"Milepost","value":"0.0183"},{"id":17,"name":"Train ID","value":"204-24"},{"id":16,"name":"Locomotive ID","value":"4009"},{"id":130,"name":"Impact","value":""},{"id":150,"name":"Time of Event (Mountain Time)","value":"18:04:46"},{"id":151,"name":"Denver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4"/>
      <c r="AK116" s="232"/>
      <c r="AL116" s="232"/>
      <c r="AM116" s="241" t="str">
        <f t="shared" si="12"/>
        <v>start /low /b %USERPROFILE%\Documents\GitHub\eaglep3\Utilities\DownloadLogsFromS3.py --loco 4009 --day 2017-11-24</v>
      </c>
      <c r="AN116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01:04:46"},{"id":29,"name":"Sharepoint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1" t="str">
        <f t="shared" si="14"/>
        <v>https://d0f6bd738d7f1b3e5a7ca70fe4ff75f0.us-east-1.aws.found.io/app/kibana#/discover/Steve-Slow-Train-Analysis-(2080s-and-2083s)?_g=(refreshInterval:(display:Off,pause:!f,section:0,value:0),time:(from:'2017-11-24T16:09:38-0700',mode:absolute,to:'2017-11-24T19:04:46-0700'))&amp;_a=(columns:!('Message%20ID',Summary),filters:!(),index:'emp_*',interval:auto,query:(query_string:(analyze_wildcard:!t,query:'%22rtdc.l.rtdc.4009%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4" customFormat="1" x14ac:dyDescent="0.25">
      <c r="A117" s="230" t="s">
        <v>854</v>
      </c>
      <c r="B117" s="226">
        <v>4036</v>
      </c>
      <c r="C117" s="228" t="s">
        <v>192</v>
      </c>
      <c r="D117" s="228" t="s">
        <v>1016</v>
      </c>
      <c r="E117" s="227">
        <v>43063.694537037038</v>
      </c>
      <c r="F117" s="227">
        <v>43063.698101851849</v>
      </c>
      <c r="G117" s="226">
        <v>62</v>
      </c>
      <c r="H117" s="228" t="s">
        <v>616</v>
      </c>
      <c r="I117" s="227">
        <v>43063.723009259258</v>
      </c>
      <c r="J117" s="226">
        <v>0</v>
      </c>
      <c r="K117" s="238" t="str">
        <f>IF(ISEVEN(B117),(B117-1)&amp;"/"&amp;B117,B117&amp;"/"&amp;(B117+1))</f>
        <v>4035/4036</v>
      </c>
      <c r="L117" s="246" t="str">
        <f>VLOOKUP(A117,'Trips&amp;Operators'!$C$1:$G$99911,5,FALSE)</f>
        <v>BRUDER RICHARD</v>
      </c>
      <c r="M117" s="225">
        <f>I117-F117</f>
        <v>2.4907407409045845E-2</v>
      </c>
      <c r="N117" s="226">
        <f>24*60*SUM($M117:$M117)</f>
        <v>35.866666669026017</v>
      </c>
      <c r="O117" s="226"/>
      <c r="P117" s="226"/>
      <c r="Q117" s="229"/>
      <c r="R117" s="243"/>
      <c r="S117" s="250">
        <f>1/IF(AG117="EC",12,1)*SUM(U117:U117)</f>
        <v>1</v>
      </c>
      <c r="T117" s="243" t="str">
        <f>IF(ISEVEN(LEFT(AD117,4)),"Southbound","NorthBound")</f>
        <v>NorthBound</v>
      </c>
      <c r="U117" s="24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9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-11-24T15:40:08-0700',mode:absolute,to:'2017-11-24T18:21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7" s="248" t="str">
        <f>IF(AA117&lt;VLOOKUP(AG117,Variables!$AC$3:$AD$8,2,FALSE),"Y","N")</f>
        <v>N</v>
      </c>
      <c r="X117" s="248">
        <f>VALUE(LEFT(AD117,4))-VALUE(LEFT(AD116,4))</f>
        <v>1</v>
      </c>
      <c r="Y117" s="248">
        <f>RIGHT(D117,LEN(D117)-4)/10000</f>
        <v>5.3900000000000003E-2</v>
      </c>
      <c r="Z117" s="248">
        <f>RIGHT(H117,LEN(H117)-4)/10000</f>
        <v>23.3203</v>
      </c>
      <c r="AA117" s="248">
        <f>ABS(Z117-Y117)</f>
        <v>23.266400000000001</v>
      </c>
      <c r="AB117" s="234" t="e">
        <f>VLOOKUP(A117,Enforcements!$C$7:$K$9,8,0)</f>
        <v>#N/A</v>
      </c>
      <c r="AC117" s="233" t="e">
        <f>VLOOKUP(A117,Enforcements!$C$7:$E$9,3,0)</f>
        <v>#N/A</v>
      </c>
      <c r="AD117" s="244">
        <f>VALUE(LEFT(A117,LEN(A117)-3))</f>
        <v>205</v>
      </c>
      <c r="AE117" s="236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 &amp; aws s3 cp s3://rtdc.mdm.uploadarchive.raw/RTDC4036/ "%USERPROFILE%\AppData\Local\Temp\OnboardLogs"\RTDC4036\2017-11-25 --exclude "*" --recursive --include "*20171125*" &amp; "%USERPROFILE%\Documents\GitHub\mrs-test-scripts\Headless Mode &amp; Sideloading\WalkAndUnGZ.bat" "%USERPROFILE%\AppData\Local\Temp\OnboardLogs"\RTDC4036\2017-11-25</v>
      </c>
      <c r="AF117" s="235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/stypes="app*4036*20171125*" /stext=" 00:.+((SYSTEM_STATE.+slice.+state.+changed )|(ment ac)|(multiple cpu faults)|(system.+state.+changed )|(\[timeout)|(PRM\|1\|D)|(kpr)|(kdp)|(train st.+moving)|(\|lc)|(penalty))"</v>
      </c>
      <c r="AG117" s="245" t="str">
        <f>DetSubdiv(A117)</f>
        <v>EC</v>
      </c>
      <c r="AH117" s="237" t="str">
        <f t="shared" si="10"/>
        <v>"%USERPROFILE%\Documents\GitHub\eaglep3\Utilities\RefineRTDCRunTimes.py" --tripid 205-24 --locoid 4036 --swversion DE.1.0.9.0 --startMP 204:539 --initTime 2017-11-24T16:40:08 --startdatetime 2017-11-24T16:45:16 --delay 62 --endMP 204:233203 --enddatetime 2017-11-24T17:21:08 --enforcementcount 0 &gt;&gt;%USERPROFILE%\Documents\GitHub\eaglep3-reporting\EC\2017-11-24-refined-times.txt</v>
      </c>
      <c r="AI117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{"issue":{"subject":"","project_id":79,"tracker_id":40,"status_id":1,"priority_id":2,"assigned_to_id":338,"start_date":"2017-11-24","description":"","custom_fields":[{"id":1,"name":"Subdivision","value":"EC"},{"id":4,"name":"Milepost","value":"23.3203"},{"id":17,"name":"Train ID","value":"205-24"},{"id":16,"name":"Locomotive ID","value":"4036"},{"id":130,"name":"Impact","value":""},{"id":150,"name":"Time of Event (Mountain Time)","value":"17:21:08"},{"id":151,"name":"Denver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2"/>
      <c r="AL117" s="232"/>
      <c r="AM117" s="241" t="str">
        <f t="shared" si="12"/>
        <v>start /low /b %USERPROFILE%\Documents\GitHub\eaglep3\Utilities\DownloadLogsFromS3.py --loco 4036 --day 2017-11-24</v>
      </c>
      <c r="AN117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00:21:08"},{"id":29,"name":"Sharepoint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1" t="str">
        <f t="shared" si="14"/>
        <v>https://d0f6bd738d7f1b3e5a7ca70fe4ff75f0.us-east-1.aws.found.io/app/kibana#/discover/Steve-Slow-Train-Analysis-(2080s-and-2083s)?_g=(refreshInterval:(display:Off,pause:!f,section:0,value:0),time:(from:'2017-11-24T15:40:08-0700',mode:absolute,to:'2017-11-24T18:21:08-0700'))&amp;_a=(columns:!('Message%20ID',Summary),filters:!(),index:'emp_*',interval:auto,query:(query_string:(analyze_wildcard:!t,query:'%22rtdc.l.rtdc.4036%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230" t="s">
        <v>865</v>
      </c>
      <c r="B118" s="226">
        <v>4035</v>
      </c>
      <c r="C118" s="228" t="s">
        <v>192</v>
      </c>
      <c r="D118" s="228" t="s">
        <v>992</v>
      </c>
      <c r="E118" s="227">
        <v>43063.734143518515</v>
      </c>
      <c r="F118" s="227">
        <v>43063.737685185188</v>
      </c>
      <c r="G118" s="226">
        <v>50</v>
      </c>
      <c r="H118" s="228" t="s">
        <v>615</v>
      </c>
      <c r="I118" s="227">
        <v>43063.762916666667</v>
      </c>
      <c r="J118" s="226">
        <v>0</v>
      </c>
      <c r="K118" s="238" t="str">
        <f>IF(ISEVEN(B118),(B118-1)&amp;"/"&amp;B118,B118&amp;"/"&amp;(B118+1))</f>
        <v>4035/4036</v>
      </c>
      <c r="L118" s="246" t="str">
        <f>VLOOKUP(A118,'Trips&amp;Operators'!$C$1:$G$99911,5,FALSE)</f>
        <v>BRUDER RICHARD</v>
      </c>
      <c r="M118" s="225">
        <f>I118-F118</f>
        <v>2.5231481478840578E-2</v>
      </c>
      <c r="N118" s="226">
        <f>24*60*SUM($M118:$M118)</f>
        <v>36.333333329530433</v>
      </c>
      <c r="O118" s="226"/>
      <c r="P118" s="226"/>
      <c r="Q118" s="229"/>
      <c r="R118" s="243"/>
      <c r="S118" s="250">
        <f>1/IF(AG118="EC",12,1)*SUM(U118:U118)</f>
        <v>1</v>
      </c>
      <c r="T118" s="243" t="str">
        <f>IF(ISEVEN(LEFT(AD118,4)),"Southbound","NorthBound")</f>
        <v>Southbound</v>
      </c>
      <c r="U118" s="24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9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-11-24T16:37:10-0700',mode:absolute,to:'2017-11-24T19:18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8" s="248" t="str">
        <f>IF(AA118&lt;VLOOKUP(AG118,Variables!$AC$3:$AD$8,2,FALSE),"Y","N")</f>
        <v>N</v>
      </c>
      <c r="X118" s="248">
        <f>VALUE(LEFT(AD118,4))-VALUE(LEFT(AD117,4))</f>
        <v>1</v>
      </c>
      <c r="Y118" s="248">
        <f>RIGHT(D118,LEN(D118)-4)/10000</f>
        <v>23.289400000000001</v>
      </c>
      <c r="Z118" s="248">
        <f>RIGHT(H118,LEN(H118)-4)/10000</f>
        <v>2.2100000000000002E-2</v>
      </c>
      <c r="AA118" s="248">
        <f>ABS(Z118-Y118)</f>
        <v>23.267300000000002</v>
      </c>
      <c r="AB118" s="234" t="e">
        <f>VLOOKUP(A118,Enforcements!$C$7:$K$9,8,0)</f>
        <v>#N/A</v>
      </c>
      <c r="AC118" s="233" t="e">
        <f>VLOOKUP(A118,Enforcements!$C$7:$E$9,3,0)</f>
        <v>#N/A</v>
      </c>
      <c r="AD118" s="244">
        <f>VALUE(LEFT(A118,LEN(A118)-3))</f>
        <v>206</v>
      </c>
      <c r="AE118" s="236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 &amp; aws s3 cp s3://rtdc.mdm.uploadarchive.raw/RTDC4035/ "%USERPROFILE%\AppData\Local\Temp\OnboardLogs"\RTDC4035\2017-11-25 --exclude "*" --recursive --include "*20171125*" &amp; "%USERPROFILE%\Documents\GitHub\mrs-test-scripts\Headless Mode &amp; Sideloading\WalkAndUnGZ.bat" "%USERPROFILE%\AppData\Local\Temp\OnboardLogs"\RTDC4035\2017-11-25</v>
      </c>
      <c r="AF118" s="235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/stypes="app*4035*20171125*" /stext=" 01:.+((SYSTEM_STATE.+slice.+state.+changed )|(ment ac)|(multiple cpu faults)|(system.+state.+changed )|(\[timeout)|(PRM\|1\|D)|(kpr)|(kdp)|(train st.+moving)|(\|lc)|(penalty))"</v>
      </c>
      <c r="AG118" s="245" t="str">
        <f>DetSubdiv(A118)</f>
        <v>EC</v>
      </c>
      <c r="AH118" s="237" t="str">
        <f t="shared" si="10"/>
        <v>"%USERPROFILE%\Documents\GitHub\eaglep3\Utilities\RefineRTDCRunTimes.py" --tripid 206-24 --locoid 4035 --swversion DE.1.0.9.0 --startMP 204:232894 --initTime 2017-11-24T17:37:10 --startdatetime 2017-11-24T17:42:16 --delay 50 --endMP 204:221 --enddatetime 2017-11-24T18:18:36 --enforcementcount 0 &gt;&gt;%USERPROFILE%\Documents\GitHub\eaglep3-reporting\EC\2017-11-24-refined-times.txt</v>
      </c>
      <c r="AI118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{"issue":{"subject":"","project_id":79,"tracker_id":40,"status_id":1,"priority_id":2,"assigned_to_id":338,"start_date":"2017-11-24","description":"","custom_fields":[{"id":1,"name":"Subdivision","value":"EC"},{"id":4,"name":"Milepost","value":"0.0221"},{"id":17,"name":"Train ID","value":"206-24"},{"id":16,"name":"Locomotive ID","value":"4035"},{"id":130,"name":"Impact","value":""},{"id":150,"name":"Time of Event (Mountain Time)","value":"18:18:36"},{"id":151,"name":"Denver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4"/>
      <c r="AK118" s="232"/>
      <c r="AL118" s="232"/>
      <c r="AM118" s="241" t="str">
        <f t="shared" si="12"/>
        <v>start /low /b %USERPROFILE%\Documents\GitHub\eaglep3\Utilities\DownloadLogsFromS3.py --loco 4035 --day 2017-11-24</v>
      </c>
      <c r="AN118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01:18:36"},{"id":29,"name":"Sharepoint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1" t="str">
        <f t="shared" si="14"/>
        <v>https://d0f6bd738d7f1b3e5a7ca70fe4ff75f0.us-east-1.aws.found.io/app/kibana#/discover/Steve-Slow-Train-Analysis-(2080s-and-2083s)?_g=(refreshInterval:(display:Off,pause:!f,section:0,value:0),time:(from:'2017-11-24T16:37:10-0700',mode:absolute,to:'2017-11-24T19:18:36-0700'))&amp;_a=(columns:!('Message%20ID',Summary),filters:!(),index:'emp_*',interval:auto,query:(query_string:(analyze_wildcard:!t,query:'%22rtdc.l.rtdc.4035%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30" t="s">
        <v>856</v>
      </c>
      <c r="B119" s="226">
        <v>4002</v>
      </c>
      <c r="C119" s="228" t="s">
        <v>192</v>
      </c>
      <c r="D119" s="228" t="s">
        <v>518</v>
      </c>
      <c r="E119" s="227">
        <v>43063.704259259262</v>
      </c>
      <c r="F119" s="227">
        <v>43063.708634259259</v>
      </c>
      <c r="G119" s="226">
        <v>87</v>
      </c>
      <c r="H119" s="228" t="s">
        <v>613</v>
      </c>
      <c r="I119" s="227">
        <v>43063.735127314816</v>
      </c>
      <c r="J119" s="226">
        <v>0</v>
      </c>
      <c r="K119" s="238" t="str">
        <f>IF(ISEVEN(B119),(B119-1)&amp;"/"&amp;B119,B119&amp;"/"&amp;(B119+1))</f>
        <v>4001/4002</v>
      </c>
      <c r="L119" s="246" t="str">
        <f>VLOOKUP(A119,'Trips&amp;Operators'!$C$1:$G$99911,5,FALSE)</f>
        <v>LORI SANTOS</v>
      </c>
      <c r="M119" s="225">
        <f>I119-F119</f>
        <v>2.6493055556784384E-2</v>
      </c>
      <c r="N119" s="226">
        <f>24*60*SUM($M119:$M119)</f>
        <v>38.150000001769513</v>
      </c>
      <c r="O119" s="226"/>
      <c r="P119" s="226"/>
      <c r="Q119" s="229"/>
      <c r="R119" s="243"/>
      <c r="S119" s="250">
        <f>1/IF(AG119="EC",12,1)*SUM(U119:U119)</f>
        <v>1</v>
      </c>
      <c r="T119" s="243" t="str">
        <f>IF(ISEVEN(LEFT(AD119,4)),"Southbound","NorthBound")</f>
        <v>NorthBound</v>
      </c>
      <c r="U119" s="24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9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-11-24T15:54:08-0700',mode:absolute,to:'2017-11-24T18:38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9" s="248" t="str">
        <f>IF(AA119&lt;VLOOKUP(AG119,Variables!$AC$3:$AD$8,2,FALSE),"Y","N")</f>
        <v>N</v>
      </c>
      <c r="X119" s="248">
        <f>VALUE(LEFT(AD119,4))-VALUE(LEFT(AD118,4))</f>
        <v>1</v>
      </c>
      <c r="Y119" s="248">
        <f>RIGHT(D119,LEN(D119)-4)/10000</f>
        <v>5.6599999999999998E-2</v>
      </c>
      <c r="Z119" s="248">
        <f>RIGHT(H119,LEN(H119)-4)/10000</f>
        <v>23.3215</v>
      </c>
      <c r="AA119" s="248">
        <f>ABS(Z119-Y119)</f>
        <v>23.264900000000001</v>
      </c>
      <c r="AB119" s="234" t="e">
        <f>VLOOKUP(A119,Enforcements!$C$7:$K$9,8,0)</f>
        <v>#N/A</v>
      </c>
      <c r="AC119" s="233" t="e">
        <f>VLOOKUP(A119,Enforcements!$C$7:$E$9,3,0)</f>
        <v>#N/A</v>
      </c>
      <c r="AD119" s="244">
        <f>VALUE(LEFT(A119,LEN(A119)-3))</f>
        <v>207</v>
      </c>
      <c r="AE119" s="236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s3://rtdc.mdm.uploadarchive.raw/RTDC4002/ "%USERPROFILE%\AppData\Local\Temp\OnboardLogs"\RTDC4002\2017-11-24 --exclude "*" --recursive --include "*20171124*" &amp; "%USERPROFILE%\Documents\GitHub\mrs-test-scripts\Headless Mode &amp; Sideloading\WalkAndUnGZ.bat" "%USERPROFILE%\AppData\Local\Temp\OnboardLogs"\RTDC4002\2017-11-24 &amp; aws s3 cp s3://rtdc.mdm.uploadarchive.raw/RTDC4002/ "%USERPROFILE%\AppData\Local\Temp\OnboardLogs"\RTDC4002\2017-11-25 --exclude "*" --recursive --include "*20171125*" &amp; "%USERPROFILE%\Documents\GitHub\mrs-test-scripts\Headless Mode &amp; Sideloading\WalkAndUnGZ.bat" "%USERPROFILE%\AppData\Local\Temp\OnboardLogs"\RTDC4002\2017-11-25</v>
      </c>
      <c r="AF119" s="235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/stypes="app*4002*20171125*" /stext=" 00:.+((SYSTEM_STATE.+slice.+state.+changed )|(ment ac)|(multiple cpu faults)|(system.+state.+changed )|(\[timeout)|(PRM\|1\|D)|(kpr)|(kdp)|(train st.+moving)|(\|lc)|(penalty))"</v>
      </c>
      <c r="AG119" s="245" t="str">
        <f>DetSubdiv(A119)</f>
        <v>EC</v>
      </c>
      <c r="AH119" s="237" t="str">
        <f t="shared" si="10"/>
        <v>"%USERPROFILE%\Documents\GitHub\eaglep3\Utilities\RefineRTDCRunTimes.py" --tripid 207-24 --locoid 4002 --swversion DE.1.0.9.0 --startMP 204:566 --initTime 2017-11-24T16:54:08 --startdatetime 2017-11-24T17:00:26 --delay 87 --endMP 204:233215 --enddatetime 2017-11-24T17:38:35 --enforcementcount 0 &gt;&gt;%USERPROFILE%\Documents\GitHub\eaglep3-reporting\EC\2017-11-24-refined-times.txt</v>
      </c>
      <c r="AI119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{"issue":{"subject":"","project_id":79,"tracker_id":40,"status_id":1,"priority_id":2,"assigned_to_id":338,"start_date":"2017-11-24","description":"","custom_fields":[{"id":1,"name":"Subdivision","value":"EC"},{"id":4,"name":"Milepost","value":"23.3215"},{"id":17,"name":"Train ID","value":"207-24"},{"id":16,"name":"Locomotive ID","value":"4002"},{"id":130,"name":"Impact","value":""},{"id":150,"name":"Time of Event (Mountain Time)","value":"17:38:35"},{"id":151,"name":"Denver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4"/>
      <c r="AK119" s="232"/>
      <c r="AL119" s="232"/>
      <c r="AM119" s="241" t="str">
        <f t="shared" si="12"/>
        <v>start /low /b %USERPROFILE%\Documents\GitHub\eaglep3\Utilities\DownloadLogsFromS3.py --loco 4002 --day 2017-11-24</v>
      </c>
      <c r="AN119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00:38:35"},{"id":29,"name":"Sharepoint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1" t="str">
        <f t="shared" si="14"/>
        <v>https://d0f6bd738d7f1b3e5a7ca70fe4ff75f0.us-east-1.aws.found.io/app/kibana#/discover/Steve-Slow-Train-Analysis-(2080s-and-2083s)?_g=(refreshInterval:(display:Off,pause:!f,section:0,value:0),time:(from:'2017-11-24T15:54:08-0700',mode:absolute,to:'2017-11-24T18:38:35-0700'))&amp;_a=(columns:!('Message%20ID',Summary),filters:!(),index:'emp_*',interval:auto,query:(query_string:(analyze_wildcard:!t,query:'%22rtdc.l.rtdc.4002%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30" t="s">
        <v>867</v>
      </c>
      <c r="B120" s="226">
        <v>4001</v>
      </c>
      <c r="C120" s="228" t="s">
        <v>192</v>
      </c>
      <c r="D120" s="228" t="s">
        <v>992</v>
      </c>
      <c r="E120" s="227">
        <v>43063.743414351855</v>
      </c>
      <c r="F120" s="227">
        <v>43063.748206018521</v>
      </c>
      <c r="G120" s="226">
        <v>52</v>
      </c>
      <c r="H120" s="228" t="s">
        <v>930</v>
      </c>
      <c r="I120" s="227">
        <v>43063.775011574071</v>
      </c>
      <c r="J120" s="226">
        <v>0</v>
      </c>
      <c r="K120" s="238" t="str">
        <f>IF(ISEVEN(B120),(B120-1)&amp;"/"&amp;B120,B120&amp;"/"&amp;(B120+1))</f>
        <v>4001/4002</v>
      </c>
      <c r="L120" s="246" t="str">
        <f>VLOOKUP(A120,'Trips&amp;Operators'!$C$1:$G$99911,5,FALSE)</f>
        <v>LORI SANTOS</v>
      </c>
      <c r="M120" s="225">
        <f>I120-F120</f>
        <v>2.6805555549799465E-2</v>
      </c>
      <c r="N120" s="226">
        <f>24*60*SUM($M120:$M120)</f>
        <v>38.599999991711229</v>
      </c>
      <c r="O120" s="226"/>
      <c r="P120" s="226"/>
      <c r="Q120" s="229"/>
      <c r="R120" s="243"/>
      <c r="S120" s="250">
        <f>1/IF(AG120="EC",12,1)*SUM(U120:U120)</f>
        <v>1</v>
      </c>
      <c r="T120" s="243" t="str">
        <f>IF(ISEVEN(LEFT(AD120,4)),"Southbound","NorthBound")</f>
        <v>Southbound</v>
      </c>
      <c r="U120" s="24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9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-11-24T16:50:31-0700',mode:absolute,to:'2017-11-24T19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0" s="248" t="str">
        <f>IF(AA120&lt;VLOOKUP(AG120,Variables!$AC$3:$AD$8,2,FALSE),"Y","N")</f>
        <v>N</v>
      </c>
      <c r="X120" s="248">
        <f>VALUE(LEFT(AD120,4))-VALUE(LEFT(AD119,4))</f>
        <v>1</v>
      </c>
      <c r="Y120" s="248">
        <f>RIGHT(D120,LEN(D120)-4)/10000</f>
        <v>23.289400000000001</v>
      </c>
      <c r="Z120" s="248">
        <f>RIGHT(H120,LEN(H120)-4)/10000</f>
        <v>1.6899999999999998E-2</v>
      </c>
      <c r="AA120" s="248">
        <f>ABS(Z120-Y120)</f>
        <v>23.272500000000001</v>
      </c>
      <c r="AB120" s="234" t="e">
        <f>VLOOKUP(A120,Enforcements!$C$7:$K$9,8,0)</f>
        <v>#N/A</v>
      </c>
      <c r="AC120" s="233" t="e">
        <f>VLOOKUP(A120,Enforcements!$C$7:$E$9,3,0)</f>
        <v>#N/A</v>
      </c>
      <c r="AD120" s="244">
        <f>VALUE(LEFT(A120,LEN(A120)-3))</f>
        <v>208</v>
      </c>
      <c r="AE120" s="236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s3://rtdc.mdm.uploadarchive.raw/RTDC4001/ "%USERPROFILE%\AppData\Local\Temp\OnboardLogs"\RTDC4001\2017-11-24 --exclude "*" --recursive --include "*20171124*" &amp; "%USERPROFILE%\Documents\GitHub\mrs-test-scripts\Headless Mode &amp; Sideloading\WalkAndUnGZ.bat" "%USERPROFILE%\AppData\Local\Temp\OnboardLogs"\RTDC4001\2017-11-24 &amp; aws s3 cp s3://rtdc.mdm.uploadarchive.raw/RTDC4001/ "%USERPROFILE%\AppData\Local\Temp\OnboardLogs"\RTDC4001\2017-11-25 --exclude "*" --recursive --include "*20171125*" &amp; "%USERPROFILE%\Documents\GitHub\mrs-test-scripts\Headless Mode &amp; Sideloading\WalkAndUnGZ.bat" "%USERPROFILE%\AppData\Local\Temp\OnboardLogs"\RTDC4001\2017-11-25</v>
      </c>
      <c r="AF120" s="235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/stypes="app*4001*20171125*" /stext=" 01:.+((SYSTEM_STATE.+slice.+state.+changed )|(ment ac)|(multiple cpu faults)|(system.+state.+changed )|(\[timeout)|(PRM\|1\|D)|(kpr)|(kdp)|(train st.+moving)|(\|lc)|(penalty))"</v>
      </c>
      <c r="AG120" s="245" t="str">
        <f>DetSubdiv(A120)</f>
        <v>EC</v>
      </c>
      <c r="AH120" s="237" t="str">
        <f t="shared" si="10"/>
        <v>"%USERPROFILE%\Documents\GitHub\eaglep3\Utilities\RefineRTDCRunTimes.py" --tripid 208-24 --locoid 4001 --swversion DE.1.0.9.0 --startMP 204:232894 --initTime 2017-11-24T17:50:31 --startdatetime 2017-11-24T17:57:25 --delay 52 --endMP 204:169 --enddatetime 2017-11-24T18:36:01 --enforcementcount 0 &gt;&gt;%USERPROFILE%\Documents\GitHub\eaglep3-reporting\EC\2017-11-24-refined-times.txt</v>
      </c>
      <c r="AI120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{"issue":{"subject":"","project_id":79,"tracker_id":40,"status_id":1,"priority_id":2,"assigned_to_id":338,"start_date":"2017-11-24","description":"","custom_fields":[{"id":1,"name":"Subdivision","value":"EC"},{"id":4,"name":"Milepost","value":"0.0169"},{"id":17,"name":"Train ID","value":"208-24"},{"id":16,"name":"Locomotive ID","value":"4001"},{"id":130,"name":"Impact","value":""},{"id":150,"name":"Time of Event (Mountain Time)","value":"18:36:01"},{"id":151,"name":"Denver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4"/>
      <c r="AK120" s="232"/>
      <c r="AL120" s="232"/>
      <c r="AM120" s="241" t="str">
        <f t="shared" si="12"/>
        <v>start /low /b %USERPROFILE%\Documents\GitHub\eaglep3\Utilities\DownloadLogsFromS3.py --loco 4001 --day 2017-11-24</v>
      </c>
      <c r="AN120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01:36:01"},{"id":29,"name":"Sharepoint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1" t="str">
        <f t="shared" si="14"/>
        <v>https://d0f6bd738d7f1b3e5a7ca70fe4ff75f0.us-east-1.aws.found.io/app/kibana#/discover/Steve-Slow-Train-Analysis-(2080s-and-2083s)?_g=(refreshInterval:(display:Off,pause:!f,section:0,value:0),time:(from:'2017-11-24T16:50:31-0700',mode:absolute,to:'2017-11-24T19:36:01-0700'))&amp;_a=(columns:!('Message%20ID',Summary),filters:!(),index:'emp_*',interval:auto,query:(query_string:(analyze_wildcard:!t,query:'%22rtdc.l.rtdc.4001%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4" customFormat="1" x14ac:dyDescent="0.25">
      <c r="A121" s="230" t="s">
        <v>859</v>
      </c>
      <c r="B121" s="226">
        <v>4016</v>
      </c>
      <c r="C121" s="228" t="s">
        <v>192</v>
      </c>
      <c r="D121" s="228" t="s">
        <v>1017</v>
      </c>
      <c r="E121" s="227">
        <v>43063.71471064815</v>
      </c>
      <c r="F121" s="227">
        <v>43063.718923611108</v>
      </c>
      <c r="G121" s="226">
        <v>50</v>
      </c>
      <c r="H121" s="228" t="s">
        <v>1018</v>
      </c>
      <c r="I121" s="227">
        <v>43063.744328703702</v>
      </c>
      <c r="J121" s="226">
        <v>0</v>
      </c>
      <c r="K121" s="238" t="str">
        <f>IF(ISEVEN(B121),(B121-1)&amp;"/"&amp;B121,B121&amp;"/"&amp;(B121+1))</f>
        <v>4015/4016</v>
      </c>
      <c r="L121" s="246" t="str">
        <f>VLOOKUP(A121,'Trips&amp;Operators'!$C$1:$G$99911,5,FALSE)</f>
        <v>FORTUNATO FRANK</v>
      </c>
      <c r="M121" s="225">
        <f>I121-F121</f>
        <v>2.5405092594155576E-2</v>
      </c>
      <c r="N121" s="226">
        <f>24*60*SUM($M121:$M121)</f>
        <v>36.58333333558403</v>
      </c>
      <c r="O121" s="226"/>
      <c r="P121" s="226"/>
      <c r="Q121" s="229"/>
      <c r="R121" s="243"/>
      <c r="S121" s="250">
        <f>1/IF(AG121="EC",12,1)*SUM(U121:U121)</f>
        <v>1</v>
      </c>
      <c r="T121" s="243" t="str">
        <f>IF(ISEVEN(LEFT(AD121,4)),"Southbound","NorthBound")</f>
        <v>NorthBound</v>
      </c>
      <c r="U121" s="24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9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-11-24T16:09:11-0700',mode:absolute,to:'2017-11-24T18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1" s="248" t="str">
        <f>IF(AA121&lt;VLOOKUP(AG121,Variables!$AC$3:$AD$8,2,FALSE),"Y","N")</f>
        <v>N</v>
      </c>
      <c r="X121" s="248">
        <f>VALUE(LEFT(AD121,4))-VALUE(LEFT(AD120,4))</f>
        <v>1</v>
      </c>
      <c r="Y121" s="248">
        <f>RIGHT(D121,LEN(D121)-4)/10000</f>
        <v>5.1700000000000003E-2</v>
      </c>
      <c r="Z121" s="248">
        <f>RIGHT(H121,LEN(H121)-4)/10000</f>
        <v>23.3186</v>
      </c>
      <c r="AA121" s="248">
        <f>ABS(Z121-Y121)</f>
        <v>23.2669</v>
      </c>
      <c r="AB121" s="234" t="e">
        <f>VLOOKUP(A121,Enforcements!$C$7:$K$9,8,0)</f>
        <v>#N/A</v>
      </c>
      <c r="AC121" s="233" t="e">
        <f>VLOOKUP(A121,Enforcements!$C$7:$E$9,3,0)</f>
        <v>#N/A</v>
      </c>
      <c r="AD121" s="244">
        <f>VALUE(LEFT(A121,LEN(A121)-3))</f>
        <v>209</v>
      </c>
      <c r="AE121" s="236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s3://rtdc.mdm.uploadarchive.raw/RTDC4016/ "%USERPROFILE%\AppData\Local\Temp\OnboardLogs"\RTDC4016\2017-11-24 --exclude "*" --recursive --include "*20171124*" &amp; "%USERPROFILE%\Documents\GitHub\mrs-test-scripts\Headless Mode &amp; Sideloading\WalkAndUnGZ.bat" "%USERPROFILE%\AppData\Local\Temp\OnboardLogs"\RTDC4016\2017-11-24 &amp; aws s3 cp s3://rtdc.mdm.uploadarchive.raw/RTDC4016/ "%USERPROFILE%\AppData\Local\Temp\OnboardLogs"\RTDC4016\2017-11-25 --exclude "*" --recursive --include "*20171125*" &amp; "%USERPROFILE%\Documents\GitHub\mrs-test-scripts\Headless Mode &amp; Sideloading\WalkAndUnGZ.bat" "%USERPROFILE%\AppData\Local\Temp\OnboardLogs"\RTDC4016\2017-11-25</v>
      </c>
      <c r="AF121" s="235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/stypes="app*4016*20171125*" /stext=" 00:.+((SYSTEM_STATE.+slice.+state.+changed )|(ment ac)|(multiple cpu faults)|(system.+state.+changed )|(\[timeout)|(PRM\|1\|D)|(kpr)|(kdp)|(train st.+moving)|(\|lc)|(penalty))"</v>
      </c>
      <c r="AG121" s="245" t="str">
        <f>DetSubdiv(A121)</f>
        <v>EC</v>
      </c>
      <c r="AH121" s="237" t="str">
        <f t="shared" si="10"/>
        <v>"%USERPROFILE%\Documents\GitHub\eaglep3\Utilities\RefineRTDCRunTimes.py" --tripid 209-24 --locoid 4016 --swversion DE.1.0.9.0 --startMP 204:517 --initTime 2017-11-24T17:09:11 --startdatetime 2017-11-24T17:15:15 --delay 50 --endMP 204:233186 --enddatetime 2017-11-24T17:51:50 --enforcementcount 0 &gt;&gt;%USERPROFILE%\Documents\GitHub\eaglep3-reporting\EC\2017-11-24-refined-times.txt</v>
      </c>
      <c r="AI121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{"issue":{"subject":"","project_id":79,"tracker_id":40,"status_id":1,"priority_id":2,"assigned_to_id":338,"start_date":"2017-11-24","description":"","custom_fields":[{"id":1,"name":"Subdivision","value":"EC"},{"id":4,"name":"Milepost","value":"23.3186"},{"id":17,"name":"Train ID","value":"209-24"},{"id":16,"name":"Locomotive ID","value":"4016"},{"id":130,"name":"Impact","value":""},{"id":150,"name":"Time of Event (Mountain Time)","value":"17:51:50"},{"id":151,"name":"Denver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2"/>
      <c r="AL121" s="232"/>
      <c r="AM121" s="241" t="str">
        <f t="shared" si="12"/>
        <v>start /low /b %USERPROFILE%\Documents\GitHub\eaglep3\Utilities\DownloadLogsFromS3.py --loco 4016 --day 2017-11-24</v>
      </c>
      <c r="AN121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00:51:50"},{"id":29,"name":"Sharepoint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1" t="str">
        <f t="shared" si="14"/>
        <v>https://d0f6bd738d7f1b3e5a7ca70fe4ff75f0.us-east-1.aws.found.io/app/kibana#/discover/Steve-Slow-Train-Analysis-(2080s-and-2083s)?_g=(refreshInterval:(display:Off,pause:!f,section:0,value:0),time:(from:'2017-11-24T16:09:11-0700',mode:absolute,to:'2017-11-24T18:51:50-0700'))&amp;_a=(columns:!('Message%20ID',Summary),filters:!(),index:'emp_*',interval:auto,query:(query_string:(analyze_wildcard:!t,query:'%22rtdc.l.rtdc.4016%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30" t="s">
        <v>869</v>
      </c>
      <c r="B122" s="226">
        <v>4015</v>
      </c>
      <c r="C122" s="228" t="s">
        <v>192</v>
      </c>
      <c r="D122" s="228" t="s">
        <v>1019</v>
      </c>
      <c r="E122" s="227">
        <v>43063.745393518519</v>
      </c>
      <c r="F122" s="227">
        <v>43063.758483796293</v>
      </c>
      <c r="G122" s="226">
        <v>71</v>
      </c>
      <c r="H122" s="228" t="s">
        <v>493</v>
      </c>
      <c r="I122" s="227">
        <v>43063.784166666665</v>
      </c>
      <c r="J122" s="226">
        <v>0</v>
      </c>
      <c r="K122" s="238" t="str">
        <f>IF(ISEVEN(B122),(B122-1)&amp;"/"&amp;B122,B122&amp;"/"&amp;(B122+1))</f>
        <v>4015/4016</v>
      </c>
      <c r="L122" s="246" t="str">
        <f>VLOOKUP(A122,'Trips&amp;Operators'!$C$1:$G$99911,5,FALSE)</f>
        <v>FORTUNATO FRANK</v>
      </c>
      <c r="M122" s="225">
        <f>I122-F122</f>
        <v>2.5682870371383615E-2</v>
      </c>
      <c r="N122" s="226">
        <f>24*60*SUM($M122:$M122)</f>
        <v>36.983333334792405</v>
      </c>
      <c r="O122" s="226"/>
      <c r="P122" s="226"/>
      <c r="Q122" s="229"/>
      <c r="R122" s="243"/>
      <c r="S122" s="250">
        <f>1/IF(AG122="EC",12,1)*SUM(U122:U122)</f>
        <v>1</v>
      </c>
      <c r="T122" s="243" t="str">
        <f>IF(ISEVEN(LEFT(AD122,4)),"Southbound","NorthBound")</f>
        <v>Southbound</v>
      </c>
      <c r="U122" s="24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9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-11-24T16:53:22-0700',mode:absolute,to:'2017-11-24T19:49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2" s="248" t="str">
        <f>IF(AA122&lt;VLOOKUP(AG122,Variables!$AC$3:$AD$8,2,FALSE),"Y","N")</f>
        <v>N</v>
      </c>
      <c r="X122" s="248">
        <f>VALUE(LEFT(AD122,4))-VALUE(LEFT(AD121,4))</f>
        <v>1</v>
      </c>
      <c r="Y122" s="248">
        <f>RIGHT(D122,LEN(D122)-4)/10000</f>
        <v>23.2865</v>
      </c>
      <c r="Z122" s="248">
        <f>RIGHT(H122,LEN(H122)-4)/10000</f>
        <v>2.1999999999999999E-2</v>
      </c>
      <c r="AA122" s="248">
        <f>ABS(Z122-Y122)</f>
        <v>23.264500000000002</v>
      </c>
      <c r="AB122" s="234" t="e">
        <f>VLOOKUP(A122,Enforcements!$C$7:$K$9,8,0)</f>
        <v>#N/A</v>
      </c>
      <c r="AC122" s="233" t="e">
        <f>VLOOKUP(A122,Enforcements!$C$7:$E$9,3,0)</f>
        <v>#N/A</v>
      </c>
      <c r="AD122" s="244">
        <f>VALUE(LEFT(A122,LEN(A122)-3))</f>
        <v>210</v>
      </c>
      <c r="AE122" s="236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s3://rtdc.mdm.uploadarchive.raw/RTDC4015/ "%USERPROFILE%\AppData\Local\Temp\OnboardLogs"\RTDC4015\2017-11-24 --exclude "*" --recursive --include "*20171124*" &amp; "%USERPROFILE%\Documents\GitHub\mrs-test-scripts\Headless Mode &amp; Sideloading\WalkAndUnGZ.bat" "%USERPROFILE%\AppData\Local\Temp\OnboardLogs"\RTDC4015\2017-11-24 &amp; aws s3 cp s3://rtdc.mdm.uploadarchive.raw/RTDC4015/ "%USERPROFILE%\AppData\Local\Temp\OnboardLogs"\RTDC4015\2017-11-25 --exclude "*" --recursive --include "*20171125*" &amp; "%USERPROFILE%\Documents\GitHub\mrs-test-scripts\Headless Mode &amp; Sideloading\WalkAndUnGZ.bat" "%USERPROFILE%\AppData\Local\Temp\OnboardLogs"\RTDC4015\2017-11-25</v>
      </c>
      <c r="AF122" s="235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/stypes="app*4015*20171125*" /stext=" 01:.+((SYSTEM_STATE.+slice.+state.+changed )|(ment ac)|(multiple cpu faults)|(system.+state.+changed )|(\[timeout)|(PRM\|1\|D)|(kpr)|(kdp)|(train st.+moving)|(\|lc)|(penalty))"</v>
      </c>
      <c r="AG122" s="245" t="str">
        <f>DetSubdiv(A122)</f>
        <v>EC</v>
      </c>
      <c r="AH122" s="237" t="str">
        <f t="shared" si="10"/>
        <v>"%USERPROFILE%\Documents\GitHub\eaglep3\Utilities\RefineRTDCRunTimes.py" --tripid 210-24 --locoid 4015 --swversion DE.1.0.9.0 --startMP 204:232865 --initTime 2017-11-24T17:53:22 --startdatetime 2017-11-24T18:12:13 --delay 71 --endMP 204:220 --enddatetime 2017-11-24T18:49:12 --enforcementcount 0 &gt;&gt;%USERPROFILE%\Documents\GitHub\eaglep3-reporting\EC\2017-11-24-refined-times.txt</v>
      </c>
      <c r="AI122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{"issue":{"subject":"","project_id":79,"tracker_id":40,"status_id":1,"priority_id":2,"assigned_to_id":338,"start_date":"2017-11-24","description":"","custom_fields":[{"id":1,"name":"Subdivision","value":"EC"},{"id":4,"name":"Milepost","value":"0.022"},{"id":17,"name":"Train ID","value":"210-24"},{"id":16,"name":"Locomotive ID","value":"4015"},{"id":130,"name":"Impact","value":""},{"id":150,"name":"Time of Event (Mountain Time)","value":"18:49:12"},{"id":151,"name":"Denver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4"/>
      <c r="AK122" s="232"/>
      <c r="AL122" s="232"/>
      <c r="AM122" s="241" t="str">
        <f t="shared" si="12"/>
        <v>start /low /b %USERPROFILE%\Documents\GitHub\eaglep3\Utilities\DownloadLogsFromS3.py --loco 4015 --day 2017-11-24</v>
      </c>
      <c r="AN122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01:49:12"},{"id":29,"name":"Sharepoint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1" t="str">
        <f t="shared" si="14"/>
        <v>https://d0f6bd738d7f1b3e5a7ca70fe4ff75f0.us-east-1.aws.found.io/app/kibana#/discover/Steve-Slow-Train-Analysis-(2080s-and-2083s)?_g=(refreshInterval:(display:Off,pause:!f,section:0,value:0),time:(from:'2017-11-24T16:53:22-0700',mode:absolute,to:'2017-11-24T19:49:12-0700'))&amp;_a=(columns:!('Message%20ID',Summary),filters:!(),index:'emp_*',interval:auto,query:(query_string:(analyze_wildcard:!t,query:'%22rtdc.l.rtdc.4015%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30" t="s">
        <v>862</v>
      </c>
      <c r="B123" s="226">
        <v>4050</v>
      </c>
      <c r="C123" s="228" t="s">
        <v>192</v>
      </c>
      <c r="D123" s="228" t="s">
        <v>517</v>
      </c>
      <c r="E123" s="227">
        <v>43063.725775462961</v>
      </c>
      <c r="F123" s="227">
        <v>43063.729328703703</v>
      </c>
      <c r="G123" s="226">
        <v>57</v>
      </c>
      <c r="H123" s="228" t="s">
        <v>622</v>
      </c>
      <c r="I123" s="227">
        <v>43063.753900462965</v>
      </c>
      <c r="J123" s="226">
        <v>0</v>
      </c>
      <c r="K123" s="238" t="str">
        <f>IF(ISEVEN(B123),(B123-1)&amp;"/"&amp;B123,B123&amp;"/"&amp;(B123+1))</f>
        <v>4049/4050</v>
      </c>
      <c r="L123" s="246" t="str">
        <f>VLOOKUP(A123,'Trips&amp;Operators'!$C$1:$G$99911,5,FALSE)</f>
        <v>ROBINSON KADDIBA</v>
      </c>
      <c r="M123" s="225">
        <f>I123-F123</f>
        <v>2.457175926247146E-2</v>
      </c>
      <c r="N123" s="226">
        <f>24*60*SUM($M123:$M123)</f>
        <v>35.383333337958902</v>
      </c>
      <c r="O123" s="226"/>
      <c r="P123" s="226"/>
      <c r="Q123" s="229"/>
      <c r="R123" s="243"/>
      <c r="S123" s="250">
        <f>1/IF(AG123="EC",12,1)*SUM(U123:U123)</f>
        <v>1</v>
      </c>
      <c r="T123" s="243" t="str">
        <f>IF(ISEVEN(LEFT(AD123,4)),"Southbound","NorthBound")</f>
        <v>NorthBound</v>
      </c>
      <c r="U123" s="24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9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-11-24T16:25:07-0700',mode:absolute,to:'2017-11-24T19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3" s="248" t="str">
        <f>IF(AA123&lt;VLOOKUP(AG123,Variables!$AC$3:$AD$8,2,FALSE),"Y","N")</f>
        <v>N</v>
      </c>
      <c r="X123" s="248">
        <f>VALUE(LEFT(AD123,4))-VALUE(LEFT(AD122,4))</f>
        <v>1</v>
      </c>
      <c r="Y123" s="248">
        <f>RIGHT(D123,LEN(D123)-4)/10000</f>
        <v>5.3499999999999999E-2</v>
      </c>
      <c r="Z123" s="248">
        <f>RIGHT(H123,LEN(H123)-4)/10000</f>
        <v>23.322299999999998</v>
      </c>
      <c r="AA123" s="248">
        <f>ABS(Z123-Y123)</f>
        <v>23.268799999999999</v>
      </c>
      <c r="AB123" s="234" t="e">
        <f>VLOOKUP(A123,Enforcements!$C$7:$K$9,8,0)</f>
        <v>#N/A</v>
      </c>
      <c r="AC123" s="233" t="e">
        <f>VLOOKUP(A123,Enforcements!$C$7:$E$9,3,0)</f>
        <v>#N/A</v>
      </c>
      <c r="AD123" s="244">
        <f>VALUE(LEFT(A123,LEN(A123)-3))</f>
        <v>211</v>
      </c>
      <c r="AE123" s="236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s3://rtdc.mdm.uploadarchive.raw/RTDC4050/ "%USERPROFILE%\AppData\Local\Temp\OnboardLogs"\RTDC4050\2017-11-24 --exclude "*" --recursive --include "*20171124*" &amp; "%USERPROFILE%\Documents\GitHub\mrs-test-scripts\Headless Mode &amp; Sideloading\WalkAndUnGZ.bat" "%USERPROFILE%\AppData\Local\Temp\OnboardLogs"\RTDC4050\2017-11-24 &amp; aws s3 cp s3://rtdc.mdm.uploadarchive.raw/RTDC4050/ "%USERPROFILE%\AppData\Local\Temp\OnboardLogs"\RTDC4050\2017-11-25 --exclude "*" --recursive --include "*20171125*" &amp; "%USERPROFILE%\Documents\GitHub\mrs-test-scripts\Headless Mode &amp; Sideloading\WalkAndUnGZ.bat" "%USERPROFILE%\AppData\Local\Temp\OnboardLogs"\RTDC4050\2017-11-25</v>
      </c>
      <c r="AF123" s="235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/stypes="app*4050*20171125*" /stext=" 01:.+((SYSTEM_STATE.+slice.+state.+changed )|(ment ac)|(multiple cpu faults)|(system.+state.+changed )|(\[timeout)|(PRM\|1\|D)|(kpr)|(kdp)|(train st.+moving)|(\|lc)|(penalty))"</v>
      </c>
      <c r="AG123" s="245" t="str">
        <f>DetSubdiv(A123)</f>
        <v>EC</v>
      </c>
      <c r="AH123" s="237" t="str">
        <f t="shared" si="10"/>
        <v>"%USERPROFILE%\Documents\GitHub\eaglep3\Utilities\RefineRTDCRunTimes.py" --tripid 211-24 --locoid 4050 --swversion DE.1.0.9.0 --startMP 204:535 --initTime 2017-11-24T17:25:07 --startdatetime 2017-11-24T17:30:14 --delay 57 --endMP 204:233223 --enddatetime 2017-11-24T18:05:37 --enforcementcount 0 &gt;&gt;%USERPROFILE%\Documents\GitHub\eaglep3-reporting\EC\2017-11-24-refined-times.txt</v>
      </c>
      <c r="AI123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{"issue":{"subject":"","project_id":79,"tracker_id":40,"status_id":1,"priority_id":2,"assigned_to_id":338,"start_date":"2017-11-24","description":"","custom_fields":[{"id":1,"name":"Subdivision","value":"EC"},{"id":4,"name":"Milepost","value":"23.3223"},{"id":17,"name":"Train ID","value":"211-24"},{"id":16,"name":"Locomotive ID","value":"4050"},{"id":130,"name":"Impact","value":""},{"id":150,"name":"Time of Event (Mountain Time)","value":"18:05:37"},{"id":151,"name":"Denver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4"/>
      <c r="AK123" s="232"/>
      <c r="AL123" s="232"/>
      <c r="AM123" s="241" t="str">
        <f t="shared" si="12"/>
        <v>start /low /b %USERPROFILE%\Documents\GitHub\eaglep3\Utilities\DownloadLogsFromS3.py --loco 4050 --day 2017-11-24</v>
      </c>
      <c r="AN123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01:05:37"},{"id":29,"name":"Sharepoint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1" t="str">
        <f t="shared" si="14"/>
        <v>https://d0f6bd738d7f1b3e5a7ca70fe4ff75f0.us-east-1.aws.found.io/app/kibana#/discover/Steve-Slow-Train-Analysis-(2080s-and-2083s)?_g=(refreshInterval:(display:Off,pause:!f,section:0,value:0),time:(from:'2017-11-24T16:25:07-0700',mode:absolute,to:'2017-11-24T19:05:37-0700'))&amp;_a=(columns:!('Message%20ID',Summary),filters:!(),index:'emp_*',interval:auto,query:(query_string:(analyze_wildcard:!t,query:'%22rtdc.l.rtdc.4050%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230" t="s">
        <v>874</v>
      </c>
      <c r="B124" s="226">
        <v>4049</v>
      </c>
      <c r="C124" s="228" t="s">
        <v>192</v>
      </c>
      <c r="D124" s="228" t="s">
        <v>1007</v>
      </c>
      <c r="E124" s="227">
        <v>43063.765150462961</v>
      </c>
      <c r="F124" s="227">
        <v>43063.769189814811</v>
      </c>
      <c r="G124" s="226">
        <v>63</v>
      </c>
      <c r="H124" s="228" t="s">
        <v>493</v>
      </c>
      <c r="I124" s="227">
        <v>43063.79482638889</v>
      </c>
      <c r="J124" s="226">
        <v>0</v>
      </c>
      <c r="K124" s="238" t="str">
        <f>IF(ISEVEN(B124),(B124-1)&amp;"/"&amp;B124,B124&amp;"/"&amp;(B124+1))</f>
        <v>4049/4050</v>
      </c>
      <c r="L124" s="246" t="str">
        <f>VLOOKUP(A124,'Trips&amp;Operators'!$C$1:$G$99911,5,FALSE)</f>
        <v>GONZALEZ ARMANDO</v>
      </c>
      <c r="M124" s="225">
        <f>I124-F124</f>
        <v>2.5636574078816921E-2</v>
      </c>
      <c r="N124" s="226">
        <f>24*60*SUM($M124:$M124)</f>
        <v>36.916666673496366</v>
      </c>
      <c r="O124" s="226"/>
      <c r="P124" s="226"/>
      <c r="Q124" s="229"/>
      <c r="R124" s="243"/>
      <c r="S124" s="250">
        <f>1/IF(AG124="EC",12,1)*SUM(U124:U124)</f>
        <v>1</v>
      </c>
      <c r="T124" s="243" t="str">
        <f>IF(ISEVEN(LEFT(AD124,4)),"Southbound","NorthBound")</f>
        <v>Southbound</v>
      </c>
      <c r="U124" s="24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9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-11-24T17:21:49-0700',mode:absolute,to:'2017-11-24T20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4" s="248" t="str">
        <f>IF(AA124&lt;VLOOKUP(AG124,Variables!$AC$3:$AD$8,2,FALSE),"Y","N")</f>
        <v>N</v>
      </c>
      <c r="X124" s="248">
        <f>VALUE(LEFT(AD124,4))-VALUE(LEFT(AD123,4))</f>
        <v>1</v>
      </c>
      <c r="Y124" s="248">
        <f>RIGHT(D124,LEN(D124)-4)/10000</f>
        <v>23.2898</v>
      </c>
      <c r="Z124" s="248">
        <f>RIGHT(H124,LEN(H124)-4)/10000</f>
        <v>2.1999999999999999E-2</v>
      </c>
      <c r="AA124" s="248">
        <f>ABS(Z124-Y124)</f>
        <v>23.267800000000001</v>
      </c>
      <c r="AB124" s="234" t="e">
        <f>VLOOKUP(A124,Enforcements!$C$7:$K$9,8,0)</f>
        <v>#N/A</v>
      </c>
      <c r="AC124" s="233" t="e">
        <f>VLOOKUP(A124,Enforcements!$C$7:$E$9,3,0)</f>
        <v>#N/A</v>
      </c>
      <c r="AD124" s="244">
        <f>VALUE(LEFT(A124,LEN(A124)-3))</f>
        <v>212</v>
      </c>
      <c r="AE124" s="236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s3://rtdc.mdm.uploadarchive.raw/RTDC4049/ "%USERPROFILE%\AppData\Local\Temp\OnboardLogs"\RTDC4049\2017-11-24 --exclude "*" --recursive --include "*20171124*" &amp; "%USERPROFILE%\Documents\GitHub\mrs-test-scripts\Headless Mode &amp; Sideloading\WalkAndUnGZ.bat" "%USERPROFILE%\AppData\Local\Temp\OnboardLogs"\RTDC4049\2017-11-24 &amp; aws s3 cp s3://rtdc.mdm.uploadarchive.raw/RTDC4049/ "%USERPROFILE%\AppData\Local\Temp\OnboardLogs"\RTDC4049\2017-11-25 --exclude "*" --recursive --include "*20171125*" &amp; "%USERPROFILE%\Documents\GitHub\mrs-test-scripts\Headless Mode &amp; Sideloading\WalkAndUnGZ.bat" "%USERPROFILE%\AppData\Local\Temp\OnboardLogs"\RTDC4049\2017-11-25</v>
      </c>
      <c r="AF124" s="235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/stypes="app*4049*20171125*" /stext=" 02:.+((SYSTEM_STATE.+slice.+state.+changed )|(ment ac)|(multiple cpu faults)|(system.+state.+changed )|(\[timeout)|(PRM\|1\|D)|(kpr)|(kdp)|(train st.+moving)|(\|lc)|(penalty))"</v>
      </c>
      <c r="AG124" s="245" t="str">
        <f>DetSubdiv(A124)</f>
        <v>EC</v>
      </c>
      <c r="AH124" s="237" t="str">
        <f t="shared" si="10"/>
        <v>"%USERPROFILE%\Documents\GitHub\eaglep3\Utilities\RefineRTDCRunTimes.py" --tripid 212-24 --locoid 4049 --swversion DE.1.0.9.0 --startMP 204:232898 --initTime 2017-11-24T18:21:49 --startdatetime 2017-11-24T18:27:38 --delay 63 --endMP 204:220 --enddatetime 2017-11-24T19:04:33 --enforcementcount 0 &gt;&gt;%USERPROFILE%\Documents\GitHub\eaglep3-reporting\EC\2017-11-24-refined-times.txt</v>
      </c>
      <c r="AI124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{"issue":{"subject":"","project_id":79,"tracker_id":40,"status_id":1,"priority_id":2,"assigned_to_id":338,"start_date":"2017-11-24","description":"","custom_fields":[{"id":1,"name":"Subdivision","value":"EC"},{"id":4,"name":"Milepost","value":"0.022"},{"id":17,"name":"Train ID","value":"212-24"},{"id":16,"name":"Locomotive ID","value":"4049"},{"id":130,"name":"Impact","value":""},{"id":150,"name":"Time of Event (Mountain Time)","value":"19:04:33"},{"id":151,"name":"Denver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4"/>
      <c r="AK124" s="232"/>
      <c r="AL124" s="232"/>
      <c r="AM124" s="241" t="str">
        <f t="shared" si="12"/>
        <v>start /low /b %USERPROFILE%\Documents\GitHub\eaglep3\Utilities\DownloadLogsFromS3.py --loco 4049 --day 2017-11-24</v>
      </c>
      <c r="AN124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02:04:33"},{"id":29,"name":"Sharepoint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1" t="str">
        <f t="shared" si="14"/>
        <v>https://d0f6bd738d7f1b3e5a7ca70fe4ff75f0.us-east-1.aws.found.io/app/kibana#/discover/Steve-Slow-Train-Analysis-(2080s-and-2083s)?_g=(refreshInterval:(display:Off,pause:!f,section:0,value:0),time:(from:'2017-11-24T17:21:49-0700',mode:absolute,to:'2017-11-24T20:04:33-0700'))&amp;_a=(columns:!('Message%20ID',Summary),filters:!(),index:'emp_*',interval:auto,query:(query_string:(analyze_wildcard:!t,query:'%22rtdc.l.rtdc.4049%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230" t="s">
        <v>866</v>
      </c>
      <c r="B125" s="226">
        <v>4006</v>
      </c>
      <c r="C125" s="228" t="s">
        <v>192</v>
      </c>
      <c r="D125" s="228" t="s">
        <v>483</v>
      </c>
      <c r="E125" s="227">
        <v>43063.736388888887</v>
      </c>
      <c r="F125" s="227">
        <v>43063.73978009259</v>
      </c>
      <c r="G125" s="226">
        <v>79</v>
      </c>
      <c r="H125" s="228" t="s">
        <v>1020</v>
      </c>
      <c r="I125" s="227">
        <v>43063.765277777777</v>
      </c>
      <c r="J125" s="226">
        <v>0</v>
      </c>
      <c r="K125" s="238" t="str">
        <f>IF(ISEVEN(B125),(B125-1)&amp;"/"&amp;B125,B125&amp;"/"&amp;(B125+1))</f>
        <v>4005/4006</v>
      </c>
      <c r="L125" s="246" t="str">
        <f>VLOOKUP(A125,'Trips&amp;Operators'!$C$1:$G$99911,5,FALSE)</f>
        <v>DAVIDSON DAVID</v>
      </c>
      <c r="M125" s="225">
        <f>I125-F125</f>
        <v>2.5497685186564922E-2</v>
      </c>
      <c r="N125" s="226">
        <f>24*60*SUM($M125:$M125)</f>
        <v>36.716666668653488</v>
      </c>
      <c r="O125" s="226"/>
      <c r="P125" s="226"/>
      <c r="Q125" s="229"/>
      <c r="R125" s="243"/>
      <c r="S125" s="250">
        <f>1/IF(AG125="EC",12,1)*SUM(U125:U125)</f>
        <v>1</v>
      </c>
      <c r="T125" s="243" t="str">
        <f>IF(ISEVEN(LEFT(AD125,4)),"Southbound","NorthBound")</f>
        <v>NorthBound</v>
      </c>
      <c r="U125" s="24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9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-11-24T16:40:24-0700',mode:absolute,to:'2017-11-24T19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5" s="248" t="str">
        <f>IF(AA125&lt;VLOOKUP(AG125,Variables!$AC$3:$AD$8,2,FALSE),"Y","N")</f>
        <v>N</v>
      </c>
      <c r="X125" s="248">
        <f>VALUE(LEFT(AD125,4))-VALUE(LEFT(AD124,4))</f>
        <v>1</v>
      </c>
      <c r="Y125" s="248">
        <f>RIGHT(D125,LEN(D125)-4)/10000</f>
        <v>5.0200000000000002E-2</v>
      </c>
      <c r="Z125" s="248">
        <f>RIGHT(H125,LEN(H125)-4)/10000</f>
        <v>23.321100000000001</v>
      </c>
      <c r="AA125" s="248">
        <f>ABS(Z125-Y125)</f>
        <v>23.270900000000001</v>
      </c>
      <c r="AB125" s="234" t="e">
        <f>VLOOKUP(A125,Enforcements!$C$7:$K$9,8,0)</f>
        <v>#N/A</v>
      </c>
      <c r="AC125" s="233" t="e">
        <f>VLOOKUP(A125,Enforcements!$C$7:$E$9,3,0)</f>
        <v>#N/A</v>
      </c>
      <c r="AD125" s="244">
        <f>VALUE(LEFT(A125,LEN(A125)-3))</f>
        <v>213</v>
      </c>
      <c r="AE125" s="236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s3://rtdc.mdm.uploadarchive.raw/RTDC4006/ "%USERPROFILE%\AppData\Local\Temp\OnboardLogs"\RTDC4006\2017-11-24 --exclude "*" --recursive --include "*20171124*" &amp; "%USERPROFILE%\Documents\GitHub\mrs-test-scripts\Headless Mode &amp; Sideloading\WalkAndUnGZ.bat" "%USERPROFILE%\AppData\Local\Temp\OnboardLogs"\RTDC4006\2017-11-24 &amp; aws s3 cp s3://rtdc.mdm.uploadarchive.raw/RTDC4006/ "%USERPROFILE%\AppData\Local\Temp\OnboardLogs"\RTDC4006\2017-11-25 --exclude "*" --recursive --include "*20171125*" &amp; "%USERPROFILE%\Documents\GitHub\mrs-test-scripts\Headless Mode &amp; Sideloading\WalkAndUnGZ.bat" "%USERPROFILE%\AppData\Local\Temp\OnboardLogs"\RTDC4006\2017-11-25</v>
      </c>
      <c r="AF125" s="235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/stypes="app*4006*20171125*" /stext=" 01:.+((SYSTEM_STATE.+slice.+state.+changed )|(ment ac)|(multiple cpu faults)|(system.+state.+changed )|(\[timeout)|(PRM\|1\|D)|(kpr)|(kdp)|(train st.+moving)|(\|lc)|(penalty))"</v>
      </c>
      <c r="AG125" s="245" t="str">
        <f>DetSubdiv(A125)</f>
        <v>EC</v>
      </c>
      <c r="AH125" s="237" t="str">
        <f t="shared" si="10"/>
        <v>"%USERPROFILE%\Documents\GitHub\eaglep3\Utilities\RefineRTDCRunTimes.py" --tripid 213-24 --locoid 4006 --swversion DE.1.0.9.0 --startMP 204:502 --initTime 2017-11-24T17:40:24 --startdatetime 2017-11-24T17:45:17 --delay 79 --endMP 204:233211 --enddatetime 2017-11-24T18:22:00 --enforcementcount 0 &gt;&gt;%USERPROFILE%\Documents\GitHub\eaglep3-reporting\EC\2017-11-24-refined-times.txt</v>
      </c>
      <c r="AI125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{"issue":{"subject":"","project_id":79,"tracker_id":40,"status_id":1,"priority_id":2,"assigned_to_id":338,"start_date":"2017-11-24","description":"","custom_fields":[{"id":1,"name":"Subdivision","value":"EC"},{"id":4,"name":"Milepost","value":"23.3211"},{"id":17,"name":"Train ID","value":"213-24"},{"id":16,"name":"Locomotive ID","value":"4006"},{"id":130,"name":"Impact","value":""},{"id":150,"name":"Time of Event (Mountain Time)","value":"18:22:00"},{"id":151,"name":"Denver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4"/>
      <c r="AK125" s="232"/>
      <c r="AL125" s="232"/>
      <c r="AM125" s="241" t="str">
        <f t="shared" si="12"/>
        <v>start /low /b %USERPROFILE%\Documents\GitHub\eaglep3\Utilities\DownloadLogsFromS3.py --loco 4006 --day 2017-11-24</v>
      </c>
      <c r="AN125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01:22:00"},{"id":29,"name":"Sharepoint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1" t="str">
        <f t="shared" si="14"/>
        <v>https://d0f6bd738d7f1b3e5a7ca70fe4ff75f0.us-east-1.aws.found.io/app/kibana#/discover/Steve-Slow-Train-Analysis-(2080s-and-2083s)?_g=(refreshInterval:(display:Off,pause:!f,section:0,value:0),time:(from:'2017-11-24T16:40:24-0700',mode:absolute,to:'2017-11-24T19:22:00-0700'))&amp;_a=(columns:!('Message%20ID',Summary),filters:!(),index:'emp_*',interval:auto,query:(query_string:(analyze_wildcard:!t,query:'%22rtdc.l.rtdc.4006%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30" t="s">
        <v>875</v>
      </c>
      <c r="B126" s="226">
        <v>4005</v>
      </c>
      <c r="C126" s="228" t="s">
        <v>192</v>
      </c>
      <c r="D126" s="228" t="s">
        <v>997</v>
      </c>
      <c r="E126" s="227">
        <v>43063.766539351855</v>
      </c>
      <c r="F126" s="227">
        <v>43063.779374999998</v>
      </c>
      <c r="G126" s="226">
        <v>72</v>
      </c>
      <c r="H126" s="228" t="s">
        <v>1021</v>
      </c>
      <c r="I126" s="227">
        <v>43063.80572916667</v>
      </c>
      <c r="J126" s="226">
        <v>0</v>
      </c>
      <c r="K126" s="238" t="str">
        <f>IF(ISEVEN(B126),(B126-1)&amp;"/"&amp;B126,B126&amp;"/"&amp;(B126+1))</f>
        <v>4005/4006</v>
      </c>
      <c r="L126" s="246" t="str">
        <f>VLOOKUP(A126,'Trips&amp;Operators'!$C$1:$G$99911,5,FALSE)</f>
        <v>DAVIDSON DAVID</v>
      </c>
      <c r="M126" s="225">
        <f>I126-F126</f>
        <v>2.6354166671808343E-2</v>
      </c>
      <c r="N126" s="226">
        <f>24*60*SUM($M126:$M126)</f>
        <v>37.950000007404014</v>
      </c>
      <c r="O126" s="226"/>
      <c r="P126" s="226"/>
      <c r="Q126" s="229"/>
      <c r="R126" s="243"/>
      <c r="S126" s="250">
        <f>1/IF(AG126="EC",12,1)*SUM(U126:U126)</f>
        <v>1</v>
      </c>
      <c r="T126" s="243" t="str">
        <f>IF(ISEVEN(LEFT(AD126,4)),"Southbound","NorthBound")</f>
        <v>Southbound</v>
      </c>
      <c r="U126" s="24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9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-11-24T17:23:49-0700',mode:absolute,to:'2017-11-24T20:20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6" s="248" t="str">
        <f>IF(AA126&lt;VLOOKUP(AG126,Variables!$AC$3:$AD$8,2,FALSE),"Y","N")</f>
        <v>N</v>
      </c>
      <c r="X126" s="248">
        <f>VALUE(LEFT(AD126,4))-VALUE(LEFT(AD125,4))</f>
        <v>1</v>
      </c>
      <c r="Y126" s="248">
        <f>RIGHT(D126,LEN(D126)-4)/10000</f>
        <v>23.2881</v>
      </c>
      <c r="Z126" s="248">
        <f>RIGHT(H126,LEN(H126)-4)/10000</f>
        <v>2.4500000000000001E-2</v>
      </c>
      <c r="AA126" s="248">
        <f>ABS(Z126-Y126)</f>
        <v>23.2636</v>
      </c>
      <c r="AB126" s="234" t="e">
        <f>VLOOKUP(A126,Enforcements!$C$7:$K$9,8,0)</f>
        <v>#N/A</v>
      </c>
      <c r="AC126" s="233" t="e">
        <f>VLOOKUP(A126,Enforcements!$C$7:$E$9,3,0)</f>
        <v>#N/A</v>
      </c>
      <c r="AD126" s="244">
        <f>VALUE(LEFT(A126,LEN(A126)-3))</f>
        <v>214</v>
      </c>
      <c r="AE126" s="236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s3://rtdc.mdm.uploadarchive.raw/RTDC4005/ "%USERPROFILE%\AppData\Local\Temp\OnboardLogs"\RTDC4005\2017-11-24 --exclude "*" --recursive --include "*20171124*" &amp; "%USERPROFILE%\Documents\GitHub\mrs-test-scripts\Headless Mode &amp; Sideloading\WalkAndUnGZ.bat" "%USERPROFILE%\AppData\Local\Temp\OnboardLogs"\RTDC4005\2017-11-24 &amp; aws s3 cp s3://rtdc.mdm.uploadarchive.raw/RTDC4005/ "%USERPROFILE%\AppData\Local\Temp\OnboardLogs"\RTDC4005\2017-11-25 --exclude "*" --recursive --include "*20171125*" &amp; "%USERPROFILE%\Documents\GitHub\mrs-test-scripts\Headless Mode &amp; Sideloading\WalkAndUnGZ.bat" "%USERPROFILE%\AppData\Local\Temp\OnboardLogs"\RTDC4005\2017-11-25</v>
      </c>
      <c r="AF126" s="235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/stypes="app*4005*20171125*" /stext=" 02:.+((SYSTEM_STATE.+slice.+state.+changed )|(ment ac)|(multiple cpu faults)|(system.+state.+changed )|(\[timeout)|(PRM\|1\|D)|(kpr)|(kdp)|(train st.+moving)|(\|lc)|(penalty))"</v>
      </c>
      <c r="AG126" s="245" t="str">
        <f>DetSubdiv(A126)</f>
        <v>EC</v>
      </c>
      <c r="AH126" s="237" t="str">
        <f t="shared" si="10"/>
        <v>"%USERPROFILE%\Documents\GitHub\eaglep3\Utilities\RefineRTDCRunTimes.py" --tripid 214-24 --locoid 4005 --swversion DE.1.0.9.0 --startMP 204:232881 --initTime 2017-11-24T18:23:49 --startdatetime 2017-11-24T18:42:18 --delay 72 --endMP 204:245 --enddatetime 2017-11-24T19:20:15 --enforcementcount 0 &gt;&gt;%USERPROFILE%\Documents\GitHub\eaglep3-reporting\EC\2017-11-24-refined-times.txt</v>
      </c>
      <c r="AI126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{"issue":{"subject":"","project_id":79,"tracker_id":40,"status_id":1,"priority_id":2,"assigned_to_id":338,"start_date":"2017-11-24","description":"","custom_fields":[{"id":1,"name":"Subdivision","value":"EC"},{"id":4,"name":"Milepost","value":"0.0245"},{"id":17,"name":"Train ID","value":"214-24"},{"id":16,"name":"Locomotive ID","value":"4005"},{"id":130,"name":"Impact","value":""},{"id":150,"name":"Time of Event (Mountain Time)","value":"19:20:15"},{"id":151,"name":"Denver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4"/>
      <c r="AK126" s="232"/>
      <c r="AL126" s="232"/>
      <c r="AM126" s="241" t="str">
        <f t="shared" si="12"/>
        <v>start /low /b %USERPROFILE%\Documents\GitHub\eaglep3\Utilities\DownloadLogsFromS3.py --loco 4005 --day 2017-11-24</v>
      </c>
      <c r="AN126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02:20:15"},{"id":29,"name":"Sharepoint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1" t="str">
        <f t="shared" si="14"/>
        <v>https://d0f6bd738d7f1b3e5a7ca70fe4ff75f0.us-east-1.aws.found.io/app/kibana#/discover/Steve-Slow-Train-Analysis-(2080s-and-2083s)?_g=(refreshInterval:(display:Off,pause:!f,section:0,value:0),time:(from:'2017-11-24T17:23:49-0700',mode:absolute,to:'2017-11-24T20:20:15-0700'))&amp;_a=(columns:!('Message%20ID',Summary),filters:!(),index:'emp_*',interval:auto,query:(query_string:(analyze_wildcard:!t,query:'%22rtdc.l.rtdc.4005%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30" t="s">
        <v>868</v>
      </c>
      <c r="B127" s="226">
        <v>4064</v>
      </c>
      <c r="C127" s="228" t="s">
        <v>192</v>
      </c>
      <c r="D127" s="228" t="s">
        <v>487</v>
      </c>
      <c r="E127" s="227">
        <v>43063.744398148148</v>
      </c>
      <c r="F127" s="227">
        <v>43063.750196759262</v>
      </c>
      <c r="G127" s="226">
        <v>53</v>
      </c>
      <c r="H127" s="228" t="s">
        <v>1022</v>
      </c>
      <c r="I127" s="227">
        <v>43063.774780092594</v>
      </c>
      <c r="J127" s="226">
        <v>0</v>
      </c>
      <c r="K127" s="238" t="str">
        <f>IF(ISEVEN(B127),(B127-1)&amp;"/"&amp;B127,B127&amp;"/"&amp;(B127+1))</f>
        <v>4063/4064</v>
      </c>
      <c r="L127" s="246" t="str">
        <f>VLOOKUP(A127,'Trips&amp;Operators'!$C$1:$G$99911,5,FALSE)</f>
        <v>AUSTIN THOMPSON</v>
      </c>
      <c r="M127" s="225">
        <f>I127-F127</f>
        <v>2.4583333331975155E-2</v>
      </c>
      <c r="N127" s="226">
        <f>24*60*SUM($M127:$M127)</f>
        <v>35.399999998044223</v>
      </c>
      <c r="O127" s="226"/>
      <c r="P127" s="226"/>
      <c r="Q127" s="229"/>
      <c r="R127" s="243"/>
      <c r="S127" s="250">
        <f>1/IF(AG127="EC",12,1)*SUM(U127:U127)</f>
        <v>1</v>
      </c>
      <c r="T127" s="243" t="str">
        <f>IF(ISEVEN(LEFT(AD127,4)),"Southbound","NorthBound")</f>
        <v>NorthBound</v>
      </c>
      <c r="U127" s="24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9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-24T16:51:56-0700',mode:absolute,to:'2017-11-24T19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7" s="248" t="str">
        <f>IF(AA127&lt;VLOOKUP(AG127,Variables!$AC$3:$AD$8,2,FALSE),"Y","N")</f>
        <v>N</v>
      </c>
      <c r="X127" s="248">
        <f>VALUE(LEFT(AD127,4))-VALUE(LEFT(AD126,4))</f>
        <v>1</v>
      </c>
      <c r="Y127" s="248">
        <f>RIGHT(D127,LEN(D127)-4)/10000</f>
        <v>5.5300000000000002E-2</v>
      </c>
      <c r="Z127" s="248">
        <f>RIGHT(H127,LEN(H127)-4)/10000</f>
        <v>23.325500000000002</v>
      </c>
      <c r="AA127" s="248">
        <f>ABS(Z127-Y127)</f>
        <v>23.270200000000003</v>
      </c>
      <c r="AB127" s="234" t="e">
        <f>VLOOKUP(A127,Enforcements!$C$7:$K$9,8,0)</f>
        <v>#N/A</v>
      </c>
      <c r="AC127" s="233" t="e">
        <f>VLOOKUP(A127,Enforcements!$C$7:$E$9,3,0)</f>
        <v>#N/A</v>
      </c>
      <c r="AD127" s="244">
        <f>VALUE(LEFT(A127,LEN(A127)-3))</f>
        <v>215</v>
      </c>
      <c r="AE127" s="236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s3://rtdc.mdm.uploadarchive.raw/RTDC4064/ "%USERPROFILE%\AppData\Local\Temp\OnboardLogs"\RTDC4064\2017-11-24 --exclude "*" --recursive --include "*20171124*" &amp; "%USERPROFILE%\Documents\GitHub\mrs-test-scripts\Headless Mode &amp; Sideloading\WalkAndUnGZ.bat" "%USERPROFILE%\AppData\Local\Temp\OnboardLogs"\RTDC4064\2017-11-24 &amp; aws s3 cp s3://rtdc.mdm.uploadarchive.raw/RTDC4064/ "%USERPROFILE%\AppData\Local\Temp\OnboardLogs"\RTDC4064\2017-11-25 --exclude "*" --recursive --include "*20171125*" &amp; "%USERPROFILE%\Documents\GitHub\mrs-test-scripts\Headless Mode &amp; Sideloading\WalkAndUnGZ.bat" "%USERPROFILE%\AppData\Local\Temp\OnboardLogs"\RTDC4064\2017-11-25</v>
      </c>
      <c r="AF127" s="235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/stypes="app*4064*20171125*" /stext=" 01:.+((SYSTEM_STATE.+slice.+state.+changed )|(ment ac)|(multiple cpu faults)|(system.+state.+changed )|(\[timeout)|(PRM\|1\|D)|(kpr)|(kdp)|(train st.+moving)|(\|lc)|(penalty))"</v>
      </c>
      <c r="AG127" s="245" t="str">
        <f>DetSubdiv(A127)</f>
        <v>EC</v>
      </c>
      <c r="AH127" s="237" t="str">
        <f t="shared" si="10"/>
        <v>"%USERPROFILE%\Documents\GitHub\eaglep3\Utilities\RefineRTDCRunTimes.py" --tripid 215-24 --locoid 4064 --swversion DE.1.0.9.0 --startMP 204:553 --initTime 2017-11-24T17:51:56 --startdatetime 2017-11-24T18:00:17 --delay 53 --endMP 204:233255 --enddatetime 2017-11-24T18:35:41 --enforcementcount 0 &gt;&gt;%USERPROFILE%\Documents\GitHub\eaglep3-reporting\EC\2017-11-24-refined-times.txt</v>
      </c>
      <c r="AI127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{"issue":{"subject":"","project_id":79,"tracker_id":40,"status_id":1,"priority_id":2,"assigned_to_id":338,"start_date":"2017-11-24","description":"","custom_fields":[{"id":1,"name":"Subdivision","value":"EC"},{"id":4,"name":"Milepost","value":"23.3255"},{"id":17,"name":"Train ID","value":"215-24"},{"id":16,"name":"Locomotive ID","value":"4064"},{"id":130,"name":"Impact","value":""},{"id":150,"name":"Time of Event (Mountain Time)","value":"18:35:41"},{"id":151,"name":"Denver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4"/>
      <c r="AK127" s="232"/>
      <c r="AL127" s="232"/>
      <c r="AM127" s="241" t="str">
        <f t="shared" si="12"/>
        <v>start /low /b %USERPROFILE%\Documents\GitHub\eaglep3\Utilities\DownloadLogsFromS3.py --loco 4064 --day 2017-11-24</v>
      </c>
      <c r="AN127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01:35:41"},{"id":29,"name":"Sharepoint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1" t="str">
        <f t="shared" si="14"/>
        <v>https://d0f6bd738d7f1b3e5a7ca70fe4ff75f0.us-east-1.aws.found.io/app/kibana#/discover/Steve-Slow-Train-Analysis-(2080s-and-2083s)?_g=(refreshInterval:(display:Off,pause:!f,section:0,value:0),time:(from:'2017-11-24T16:51:56-0700',mode:absolute,to:'2017-11-24T19:35:41-0700'))&amp;_a=(columns:!('Message%20ID',Summary),filters:!(),index:'emp_*',interval:auto,query:(query_string:(analyze_wildcard:!t,query:'%22rtdc.l.rtdc.4064%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30" t="s">
        <v>880</v>
      </c>
      <c r="B128" s="226">
        <v>4063</v>
      </c>
      <c r="C128" s="228" t="s">
        <v>192</v>
      </c>
      <c r="D128" s="228" t="s">
        <v>618</v>
      </c>
      <c r="E128" s="227">
        <v>43063.788206018522</v>
      </c>
      <c r="F128" s="227">
        <v>43063.789733796293</v>
      </c>
      <c r="G128" s="226">
        <v>75</v>
      </c>
      <c r="H128" s="228" t="s">
        <v>1023</v>
      </c>
      <c r="I128" s="227">
        <v>43063.815023148149</v>
      </c>
      <c r="J128" s="226">
        <v>0</v>
      </c>
      <c r="K128" s="238" t="str">
        <f>IF(ISEVEN(B128),(B128-1)&amp;"/"&amp;B128,B128&amp;"/"&amp;(B128+1))</f>
        <v>4063/4064</v>
      </c>
      <c r="L128" s="246" t="str">
        <f>VLOOKUP(A128,'Trips&amp;Operators'!$C$1:$G$99911,5,FALSE)</f>
        <v>AUSTIN THOMPSON</v>
      </c>
      <c r="M128" s="225">
        <f>I128-F128</f>
        <v>2.5289351855462883E-2</v>
      </c>
      <c r="N128" s="226">
        <f>24*60*SUM($M128:$M128)</f>
        <v>36.416666671866551</v>
      </c>
      <c r="O128" s="226"/>
      <c r="P128" s="226"/>
      <c r="Q128" s="229"/>
      <c r="R128" s="243"/>
      <c r="S128" s="250">
        <f>1/IF(AG128="EC",12,1)*SUM(U128:U128)</f>
        <v>1</v>
      </c>
      <c r="T128" s="243" t="str">
        <f>IF(ISEVEN(LEFT(AD128,4)),"Southbound","NorthBound")</f>
        <v>Southbound</v>
      </c>
      <c r="U128" s="24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9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-11-24T17:55:01-0700',mode:absolute,to:'2017-11-24T20:33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8" s="248" t="str">
        <f>IF(AA128&lt;VLOOKUP(AG128,Variables!$AC$3:$AD$8,2,FALSE),"Y","N")</f>
        <v>N</v>
      </c>
      <c r="X128" s="248">
        <f>VALUE(LEFT(AD128,4))-VALUE(LEFT(AD127,4))</f>
        <v>1</v>
      </c>
      <c r="Y128" s="248">
        <f>RIGHT(D128,LEN(D128)-4)/10000</f>
        <v>23.293199999999999</v>
      </c>
      <c r="Z128" s="248">
        <f>RIGHT(H128,LEN(H128)-4)/10000</f>
        <v>2.47E-2</v>
      </c>
      <c r="AA128" s="248">
        <f>ABS(Z128-Y128)</f>
        <v>23.2685</v>
      </c>
      <c r="AB128" s="234" t="e">
        <f>VLOOKUP(A128,Enforcements!$C$7:$K$9,8,0)</f>
        <v>#N/A</v>
      </c>
      <c r="AC128" s="233" t="e">
        <f>VLOOKUP(A128,Enforcements!$C$7:$E$9,3,0)</f>
        <v>#N/A</v>
      </c>
      <c r="AD128" s="244">
        <f>VALUE(LEFT(A128,LEN(A128)-3))</f>
        <v>216</v>
      </c>
      <c r="AE128" s="236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s3://rtdc.mdm.uploadarchive.raw/RTDC4063/ "%USERPROFILE%\AppData\Local\Temp\OnboardLogs"\RTDC4063\2017-11-24 --exclude "*" --recursive --include "*20171124*" &amp; "%USERPROFILE%\Documents\GitHub\mrs-test-scripts\Headless Mode &amp; Sideloading\WalkAndUnGZ.bat" "%USERPROFILE%\AppData\Local\Temp\OnboardLogs"\RTDC4063\2017-11-24 &amp; aws s3 cp s3://rtdc.mdm.uploadarchive.raw/RTDC4063/ "%USERPROFILE%\AppData\Local\Temp\OnboardLogs"\RTDC4063\2017-11-25 --exclude "*" --recursive --include "*20171125*" &amp; "%USERPROFILE%\Documents\GitHub\mrs-test-scripts\Headless Mode &amp; Sideloading\WalkAndUnGZ.bat" "%USERPROFILE%\AppData\Local\Temp\OnboardLogs"\RTDC4063\2017-11-25</v>
      </c>
      <c r="AF128" s="235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/stypes="app*4063*20171125*" /stext=" 02:.+((SYSTEM_STATE.+slice.+state.+changed )|(ment ac)|(multiple cpu faults)|(system.+state.+changed )|(\[timeout)|(PRM\|1\|D)|(kpr)|(kdp)|(train st.+moving)|(\|lc)|(penalty))"</v>
      </c>
      <c r="AG128" s="245" t="str">
        <f>DetSubdiv(A128)</f>
        <v>EC</v>
      </c>
      <c r="AH128" s="237" t="str">
        <f t="shared" si="10"/>
        <v>"%USERPROFILE%\Documents\GitHub\eaglep3\Utilities\RefineRTDCRunTimes.py" --tripid 216-24 --locoid 4063 --swversion DE.1.0.9.0 --startMP 204:232932 --initTime 2017-11-24T18:55:01 --startdatetime 2017-11-24T18:57:13 --delay 75 --endMP 204:247 --enddatetime 2017-11-24T19:33:38 --enforcementcount 0 &gt;&gt;%USERPROFILE%\Documents\GitHub\eaglep3-reporting\EC\2017-11-24-refined-times.txt</v>
      </c>
      <c r="AI128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{"issue":{"subject":"","project_id":79,"tracker_id":40,"status_id":1,"priority_id":2,"assigned_to_id":338,"start_date":"2017-11-24","description":"","custom_fields":[{"id":1,"name":"Subdivision","value":"EC"},{"id":4,"name":"Milepost","value":"0.0247"},{"id":17,"name":"Train ID","value":"216-24"},{"id":16,"name":"Locomotive ID","value":"4063"},{"id":130,"name":"Impact","value":""},{"id":150,"name":"Time of Event (Mountain Time)","value":"19:33:38"},{"id":151,"name":"Denver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4"/>
      <c r="AK128" s="232"/>
      <c r="AL128" s="232"/>
      <c r="AM128" s="241" t="str">
        <f t="shared" si="12"/>
        <v>start /low /b %USERPROFILE%\Documents\GitHub\eaglep3\Utilities\DownloadLogsFromS3.py --loco 4063 --day 2017-11-24</v>
      </c>
      <c r="AN128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02:33:38"},{"id":29,"name":"Sharepoint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1" t="str">
        <f t="shared" si="14"/>
        <v>https://d0f6bd738d7f1b3e5a7ca70fe4ff75f0.us-east-1.aws.found.io/app/kibana#/discover/Steve-Slow-Train-Analysis-(2080s-and-2083s)?_g=(refreshInterval:(display:Off,pause:!f,section:0,value:0),time:(from:'2017-11-24T17:55:01-0700',mode:absolute,to:'2017-11-24T20:33:38-0700'))&amp;_a=(columns:!('Message%20ID',Summary),filters:!(),index:'emp_*',interval:auto,query:(query_string:(analyze_wildcard:!t,query:'%22rtdc.l.rtdc.4063%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4" customFormat="1" x14ac:dyDescent="0.25">
      <c r="A129" s="230" t="s">
        <v>872</v>
      </c>
      <c r="B129" s="226">
        <v>4010</v>
      </c>
      <c r="C129" s="228" t="s">
        <v>192</v>
      </c>
      <c r="D129" s="228" t="s">
        <v>514</v>
      </c>
      <c r="E129" s="227">
        <v>43063.756412037037</v>
      </c>
      <c r="F129" s="227">
        <v>43063.760578703703</v>
      </c>
      <c r="G129" s="226">
        <v>84</v>
      </c>
      <c r="H129" s="228" t="s">
        <v>1024</v>
      </c>
      <c r="I129" s="227">
        <v>43063.785231481481</v>
      </c>
      <c r="J129" s="226">
        <v>0</v>
      </c>
      <c r="K129" s="238" t="str">
        <f>IF(ISEVEN(B129),(B129-1)&amp;"/"&amp;B129,B129&amp;"/"&amp;(B129+1))</f>
        <v>4009/4010</v>
      </c>
      <c r="L129" s="246" t="str">
        <f>VLOOKUP(A129,'Trips&amp;Operators'!$C$1:$G$99911,5,FALSE)</f>
        <v>MCREYNOLDS KYLE</v>
      </c>
      <c r="M129" s="225">
        <f>I129-F129</f>
        <v>2.4652777778101154E-2</v>
      </c>
      <c r="N129" s="226">
        <f>24*60*SUM($M129:$M129)</f>
        <v>35.500000000465661</v>
      </c>
      <c r="O129" s="226"/>
      <c r="P129" s="226"/>
      <c r="Q129" s="229"/>
      <c r="R129" s="243"/>
      <c r="S129" s="250">
        <f>1/IF(AG129="EC",12,1)*SUM(U129:U129)</f>
        <v>1</v>
      </c>
      <c r="T129" s="243" t="str">
        <f>IF(ISEVEN(LEFT(AD129,4)),"Southbound","NorthBound")</f>
        <v>NorthBound</v>
      </c>
      <c r="U129" s="24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9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-11-24T17:09:14-0700',mode:absolute,to:'2017-11-24T19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9" s="248" t="str">
        <f>IF(AA129&lt;VLOOKUP(AG129,Variables!$AC$3:$AD$8,2,FALSE),"Y","N")</f>
        <v>N</v>
      </c>
      <c r="X129" s="248">
        <f>VALUE(LEFT(AD129,4))-VALUE(LEFT(AD128,4))</f>
        <v>1</v>
      </c>
      <c r="Y129" s="248">
        <f>RIGHT(D129,LEN(D129)-4)/10000</f>
        <v>4.7100000000000003E-2</v>
      </c>
      <c r="Z129" s="248">
        <f>RIGHT(H129,LEN(H129)-4)/10000</f>
        <v>23.316299999999998</v>
      </c>
      <c r="AA129" s="248">
        <f>ABS(Z129-Y129)</f>
        <v>23.269199999999998</v>
      </c>
      <c r="AB129" s="234" t="e">
        <f>VLOOKUP(A129,Enforcements!$C$7:$K$9,8,0)</f>
        <v>#N/A</v>
      </c>
      <c r="AC129" s="233" t="e">
        <f>VLOOKUP(A129,Enforcements!$C$7:$E$9,3,0)</f>
        <v>#N/A</v>
      </c>
      <c r="AD129" s="244">
        <f>VALUE(LEFT(A129,LEN(A129)-3))</f>
        <v>217</v>
      </c>
      <c r="AE129" s="236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s3://rtdc.mdm.uploadarchive.raw/RTDC4010/ "%USERPROFILE%\AppData\Local\Temp\OnboardLogs"\RTDC4010\2017-11-24 --exclude "*" --recursive --include "*20171124*" &amp; "%USERPROFILE%\Documents\GitHub\mrs-test-scripts\Headless Mode &amp; Sideloading\WalkAndUnGZ.bat" "%USERPROFILE%\AppData\Local\Temp\OnboardLogs"\RTDC4010\2017-11-24 &amp; aws s3 cp s3://rtdc.mdm.uploadarchive.raw/RTDC4010/ "%USERPROFILE%\AppData\Local\Temp\OnboardLogs"\RTDC4010\2017-11-25 --exclude "*" --recursive --include "*20171125*" &amp; "%USERPROFILE%\Documents\GitHub\mrs-test-scripts\Headless Mode &amp; Sideloading\WalkAndUnGZ.bat" "%USERPROFILE%\AppData\Local\Temp\OnboardLogs"\RTDC4010\2017-11-25</v>
      </c>
      <c r="AF129" s="235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/stypes="app*4010*20171125*" /stext=" 01:.+((SYSTEM_STATE.+slice.+state.+changed )|(ment ac)|(multiple cpu faults)|(system.+state.+changed )|(\[timeout)|(PRM\|1\|D)|(kpr)|(kdp)|(train st.+moving)|(\|lc)|(penalty))"</v>
      </c>
      <c r="AG129" s="245" t="str">
        <f>DetSubdiv(A129)</f>
        <v>EC</v>
      </c>
      <c r="AH129" s="237" t="str">
        <f t="shared" si="10"/>
        <v>"%USERPROFILE%\Documents\GitHub\eaglep3\Utilities\RefineRTDCRunTimes.py" --tripid 217-24 --locoid 4010 --swversion DE.1.0.9.0 --startMP 204:471 --initTime 2017-11-24T18:09:14 --startdatetime 2017-11-24T18:15:14 --delay 84 --endMP 204:233163 --enddatetime 2017-11-24T18:50:44 --enforcementcount 0 &gt;&gt;%USERPROFILE%\Documents\GitHub\eaglep3-reporting\EC\2017-11-24-refined-times.txt</v>
      </c>
      <c r="AI129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{"issue":{"subject":"","project_id":79,"tracker_id":40,"status_id":1,"priority_id":2,"assigned_to_id":338,"start_date":"2017-11-24","description":"","custom_fields":[{"id":1,"name":"Subdivision","value":"EC"},{"id":4,"name":"Milepost","value":"23.3163"},{"id":17,"name":"Train ID","value":"217-24"},{"id":16,"name":"Locomotive ID","value":"4010"},{"id":130,"name":"Impact","value":""},{"id":150,"name":"Time of Event (Mountain Time)","value":"18:50:44"},{"id":151,"name":"Denver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2"/>
      <c r="AL129" s="232"/>
      <c r="AM129" s="241" t="str">
        <f t="shared" si="12"/>
        <v>start /low /b %USERPROFILE%\Documents\GitHub\eaglep3\Utilities\DownloadLogsFromS3.py --loco 4010 --day 2017-11-24</v>
      </c>
      <c r="AN129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01:50:44"},{"id":29,"name":"Sharepoint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1" t="str">
        <f t="shared" si="14"/>
        <v>https://d0f6bd738d7f1b3e5a7ca70fe4ff75f0.us-east-1.aws.found.io/app/kibana#/discover/Steve-Slow-Train-Analysis-(2080s-and-2083s)?_g=(refreshInterval:(display:Off,pause:!f,section:0,value:0),time:(from:'2017-11-24T17:09:14-0700',mode:absolute,to:'2017-11-24T19:50:44-0700'))&amp;_a=(columns:!('Message%20ID',Summary),filters:!(),index:'emp_*',interval:auto,query:(query_string:(analyze_wildcard:!t,query:'%22rtdc.l.rtdc.4010%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30" t="s">
        <v>883</v>
      </c>
      <c r="B130" s="226">
        <v>4009</v>
      </c>
      <c r="C130" s="228" t="s">
        <v>192</v>
      </c>
      <c r="D130" s="228" t="s">
        <v>964</v>
      </c>
      <c r="E130" s="227">
        <v>43063.795405092591</v>
      </c>
      <c r="F130" s="227">
        <v>43063.800150462965</v>
      </c>
      <c r="G130" s="226">
        <v>77</v>
      </c>
      <c r="H130" s="228" t="s">
        <v>604</v>
      </c>
      <c r="I130" s="227">
        <v>43063.825694444444</v>
      </c>
      <c r="J130" s="226">
        <v>0</v>
      </c>
      <c r="K130" s="238" t="str">
        <f>IF(ISEVEN(B130),(B130-1)&amp;"/"&amp;B130,B130&amp;"/"&amp;(B130+1))</f>
        <v>4009/4010</v>
      </c>
      <c r="L130" s="246" t="str">
        <f>VLOOKUP(A130,'Trips&amp;Operators'!$C$1:$G$99911,5,FALSE)</f>
        <v>MCREYNOLDS KYLE</v>
      </c>
      <c r="M130" s="225">
        <f>I130-F130</f>
        <v>2.5543981479131617E-2</v>
      </c>
      <c r="N130" s="226">
        <f>24*60*SUM($M130:$M130)</f>
        <v>36.783333329949528</v>
      </c>
      <c r="O130" s="226"/>
      <c r="P130" s="226"/>
      <c r="Q130" s="229"/>
      <c r="R130" s="243"/>
      <c r="S130" s="250">
        <f>1/IF(AG130="EC",12,1)*SUM(U130:U130)</f>
        <v>1</v>
      </c>
      <c r="T130" s="243" t="str">
        <f>IF(ISEVEN(LEFT(AD130,4)),"Southbound","NorthBound")</f>
        <v>Southbound</v>
      </c>
      <c r="U130" s="24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9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-11-24T18:05:23-0700',mode:absolute,to:'2017-11-24T20:49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0" s="248" t="str">
        <f>IF(AA130&lt;VLOOKUP(AG130,Variables!$AC$3:$AD$8,2,FALSE),"Y","N")</f>
        <v>N</v>
      </c>
      <c r="X130" s="248">
        <f>VALUE(LEFT(AD130,4))-VALUE(LEFT(AD129,4))</f>
        <v>1</v>
      </c>
      <c r="Y130" s="248">
        <f>RIGHT(D130,LEN(D130)-4)/10000</f>
        <v>23.285699999999999</v>
      </c>
      <c r="Z130" s="248">
        <f>RIGHT(H130,LEN(H130)-4)/10000</f>
        <v>2.63E-2</v>
      </c>
      <c r="AA130" s="248">
        <f>ABS(Z130-Y130)</f>
        <v>23.259399999999999</v>
      </c>
      <c r="AB130" s="234" t="e">
        <f>VLOOKUP(A130,Enforcements!$C$7:$K$9,8,0)</f>
        <v>#N/A</v>
      </c>
      <c r="AC130" s="233" t="e">
        <f>VLOOKUP(A130,Enforcements!$C$7:$E$9,3,0)</f>
        <v>#N/A</v>
      </c>
      <c r="AD130" s="244">
        <f>VALUE(LEFT(A130,LEN(A130)-3))</f>
        <v>218</v>
      </c>
      <c r="AE130" s="236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s3://rtdc.mdm.uploadarchive.raw/RTDC4009/ "%USERPROFILE%\AppData\Local\Temp\OnboardLogs"\RTDC4009\2017-11-24 --exclude "*" --recursive --include "*20171124*" &amp; "%USERPROFILE%\Documents\GitHub\mrs-test-scripts\Headless Mode &amp; Sideloading\WalkAndUnGZ.bat" "%USERPROFILE%\AppData\Local\Temp\OnboardLogs"\RTDC4009\2017-11-24 &amp; aws s3 cp s3://rtdc.mdm.uploadarchive.raw/RTDC4009/ "%USERPROFILE%\AppData\Local\Temp\OnboardLogs"\RTDC4009\2017-11-25 --exclude "*" --recursive --include "*20171125*" &amp; "%USERPROFILE%\Documents\GitHub\mrs-test-scripts\Headless Mode &amp; Sideloading\WalkAndUnGZ.bat" "%USERPROFILE%\AppData\Local\Temp\OnboardLogs"\RTDC4009\2017-11-25</v>
      </c>
      <c r="AF130" s="235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/stypes="app*4009*20171125*" /stext=" 02:.+((SYSTEM_STATE.+slice.+state.+changed )|(ment ac)|(multiple cpu faults)|(system.+state.+changed )|(\[timeout)|(PRM\|1\|D)|(kpr)|(kdp)|(train st.+moving)|(\|lc)|(penalty))"</v>
      </c>
      <c r="AG130" s="245" t="str">
        <f>DetSubdiv(A130)</f>
        <v>EC</v>
      </c>
      <c r="AH130" s="237" t="str">
        <f t="shared" si="10"/>
        <v>"%USERPROFILE%\Documents\GitHub\eaglep3\Utilities\RefineRTDCRunTimes.py" --tripid 218-24 --locoid 4009 --swversion DE.1.0.9.0 --startMP 204:232857 --initTime 2017-11-24T19:05:23 --startdatetime 2017-11-24T19:12:13 --delay 77 --endMP 204:263 --enddatetime 2017-11-24T19:49:00 --enforcementcount 0 &gt;&gt;%USERPROFILE%\Documents\GitHub\eaglep3-reporting\EC\2017-11-24-refined-times.txt</v>
      </c>
      <c r="AI130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{"issue":{"subject":"","project_id":79,"tracker_id":40,"status_id":1,"priority_id":2,"assigned_to_id":338,"start_date":"2017-11-24","description":"","custom_fields":[{"id":1,"name":"Subdivision","value":"EC"},{"id":4,"name":"Milepost","value":"0.0263"},{"id":17,"name":"Train ID","value":"218-24"},{"id":16,"name":"Locomotive ID","value":"4009"},{"id":130,"name":"Impact","value":""},{"id":150,"name":"Time of Event (Mountain Time)","value":"19:49:00"},{"id":151,"name":"Denver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4"/>
      <c r="AK130" s="232"/>
      <c r="AL130" s="232"/>
      <c r="AM130" s="241" t="str">
        <f t="shared" si="12"/>
        <v>start /low /b %USERPROFILE%\Documents\GitHub\eaglep3\Utilities\DownloadLogsFromS3.py --loco 4009 --day 2017-11-24</v>
      </c>
      <c r="AN130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02:49:00"},{"id":29,"name":"Sharepoint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1" t="str">
        <f t="shared" si="14"/>
        <v>https://d0f6bd738d7f1b3e5a7ca70fe4ff75f0.us-east-1.aws.found.io/app/kibana#/discover/Steve-Slow-Train-Analysis-(2080s-and-2083s)?_g=(refreshInterval:(display:Off,pause:!f,section:0,value:0),time:(from:'2017-11-24T18:05:23-0700',mode:absolute,to:'2017-11-24T20:49:00-0700'))&amp;_a=(columns:!('Message%20ID',Summary),filters:!(),index:'emp_*',interval:auto,query:(query_string:(analyze_wildcard:!t,query:'%22rtdc.l.rtdc.4009%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30" t="s">
        <v>873</v>
      </c>
      <c r="B131" s="226">
        <v>4036</v>
      </c>
      <c r="C131" s="228" t="s">
        <v>192</v>
      </c>
      <c r="D131" s="228" t="s">
        <v>484</v>
      </c>
      <c r="E131" s="227">
        <v>43063.764131944445</v>
      </c>
      <c r="F131" s="227">
        <v>43063.770972222221</v>
      </c>
      <c r="G131" s="226">
        <v>100</v>
      </c>
      <c r="H131" s="228" t="s">
        <v>476</v>
      </c>
      <c r="I131" s="227">
        <v>43063.795266203706</v>
      </c>
      <c r="J131" s="226">
        <v>0</v>
      </c>
      <c r="K131" s="238" t="str">
        <f>IF(ISEVEN(B131),(B131-1)&amp;"/"&amp;B131,B131&amp;"/"&amp;(B131+1))</f>
        <v>4035/4036</v>
      </c>
      <c r="L131" s="246" t="str">
        <f>VLOOKUP(A131,'Trips&amp;Operators'!$C$1:$G$99911,5,FALSE)</f>
        <v>ELBAUM MIKE</v>
      </c>
      <c r="M131" s="225">
        <f>I131-F131</f>
        <v>2.4293981485243421E-2</v>
      </c>
      <c r="N131" s="226">
        <f>24*60*SUM($M131:$M131)</f>
        <v>34.983333338750526</v>
      </c>
      <c r="O131" s="226"/>
      <c r="P131" s="226"/>
      <c r="Q131" s="229"/>
      <c r="R131" s="243"/>
      <c r="S131" s="250">
        <f>1/IF(AG131="EC",12,1)*SUM(U131:U131)</f>
        <v>1</v>
      </c>
      <c r="T131" s="243" t="str">
        <f>IF(ISEVEN(LEFT(AD131,4)),"Southbound","NorthBound")</f>
        <v>NorthBound</v>
      </c>
      <c r="U131" s="24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9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-11-24T17:20:21-0700',mode:absolute,to:'2017-11-24T20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1" s="248" t="str">
        <f>IF(AA131&lt;VLOOKUP(AG131,Variables!$AC$3:$AD$8,2,FALSE),"Y","N")</f>
        <v>N</v>
      </c>
      <c r="X131" s="248">
        <f>VALUE(LEFT(AD131,4))-VALUE(LEFT(AD130,4))</f>
        <v>1</v>
      </c>
      <c r="Y131" s="248">
        <f>RIGHT(D131,LEN(D131)-4)/10000</f>
        <v>5.2200000000000003E-2</v>
      </c>
      <c r="Z131" s="248">
        <f>RIGHT(H131,LEN(H131)-4)/10000</f>
        <v>23.326599999999999</v>
      </c>
      <c r="AA131" s="248">
        <f>ABS(Z131-Y131)</f>
        <v>23.2744</v>
      </c>
      <c r="AB131" s="234" t="e">
        <f>VLOOKUP(A131,Enforcements!$C$7:$K$9,8,0)</f>
        <v>#N/A</v>
      </c>
      <c r="AC131" s="233" t="e">
        <f>VLOOKUP(A131,Enforcements!$C$7:$E$9,3,0)</f>
        <v>#N/A</v>
      </c>
      <c r="AD131" s="244">
        <f>VALUE(LEFT(A131,LEN(A131)-3))</f>
        <v>219</v>
      </c>
      <c r="AE131" s="236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 &amp; aws s3 cp s3://rtdc.mdm.uploadarchive.raw/RTDC4036/ "%USERPROFILE%\AppData\Local\Temp\OnboardLogs"\RTDC4036\2017-11-25 --exclude "*" --recursive --include "*20171125*" &amp; "%USERPROFILE%\Documents\GitHub\mrs-test-scripts\Headless Mode &amp; Sideloading\WalkAndUnGZ.bat" "%USERPROFILE%\AppData\Local\Temp\OnboardLogs"\RTDC4036\2017-11-25</v>
      </c>
      <c r="AF131" s="235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/stypes="app*4036*20171125*" /stext=" 02:.+((SYSTEM_STATE.+slice.+state.+changed )|(ment ac)|(multiple cpu faults)|(system.+state.+changed )|(\[timeout)|(PRM\|1\|D)|(kpr)|(kdp)|(train st.+moving)|(\|lc)|(penalty))"</v>
      </c>
      <c r="AG131" s="245" t="str">
        <f>DetSubdiv(A131)</f>
        <v>EC</v>
      </c>
      <c r="AH131" s="237" t="str">
        <f t="shared" si="10"/>
        <v>"%USERPROFILE%\Documents\GitHub\eaglep3\Utilities\RefineRTDCRunTimes.py" --tripid 219-24 --locoid 4036 --swversion DE.1.0.9.0 --startMP 204:522 --initTime 2017-11-24T18:20:21 --startdatetime 2017-11-24T18:30:12 --delay 100 --endMP 204:233266 --enddatetime 2017-11-24T19:05:11 --enforcementcount 0 &gt;&gt;%USERPROFILE%\Documents\GitHub\eaglep3-reporting\EC\2017-11-24-refined-times.txt</v>
      </c>
      <c r="AI131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{"issue":{"subject":"","project_id":79,"tracker_id":40,"status_id":1,"priority_id":2,"assigned_to_id":338,"start_date":"2017-11-24","description":"","custom_fields":[{"id":1,"name":"Subdivision","value":"EC"},{"id":4,"name":"Milepost","value":"23.3266"},{"id":17,"name":"Train ID","value":"219-24"},{"id":16,"name":"Locomotive ID","value":"4036"},{"id":130,"name":"Impact","value":""},{"id":150,"name":"Time of Event (Mountain Time)","value":"19:05:11"},{"id":151,"name":"Denver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4"/>
      <c r="AK131" s="232"/>
      <c r="AL131" s="232"/>
      <c r="AM131" s="241" t="str">
        <f t="shared" si="12"/>
        <v>start /low /b %USERPROFILE%\Documents\GitHub\eaglep3\Utilities\DownloadLogsFromS3.py --loco 4036 --day 2017-11-24</v>
      </c>
      <c r="AN131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02:05:11"},{"id":29,"name":"Sharepoint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1" t="str">
        <f t="shared" si="14"/>
        <v>https://d0f6bd738d7f1b3e5a7ca70fe4ff75f0.us-east-1.aws.found.io/app/kibana#/discover/Steve-Slow-Train-Analysis-(2080s-and-2083s)?_g=(refreshInterval:(display:Off,pause:!f,section:0,value:0),time:(from:'2017-11-24T17:20:21-0700',mode:absolute,to:'2017-11-24T20:05:11-0700'))&amp;_a=(columns:!('Message%20ID',Summary),filters:!(),index:'emp_*',interval:auto,query:(query_string:(analyze_wildcard:!t,query:'%22rtdc.l.rtdc.4036%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30" t="s">
        <v>884</v>
      </c>
      <c r="B132" s="226">
        <v>4035</v>
      </c>
      <c r="C132" s="228" t="s">
        <v>192</v>
      </c>
      <c r="D132" s="228" t="s">
        <v>1025</v>
      </c>
      <c r="E132" s="227">
        <v>43063.796203703707</v>
      </c>
      <c r="F132" s="227">
        <v>43063.810601851852</v>
      </c>
      <c r="G132" s="226">
        <v>69</v>
      </c>
      <c r="H132" s="228" t="s">
        <v>604</v>
      </c>
      <c r="I132" s="227">
        <v>43063.835613425923</v>
      </c>
      <c r="J132" s="226">
        <v>0</v>
      </c>
      <c r="K132" s="238" t="str">
        <f>IF(ISEVEN(B132),(B132-1)&amp;"/"&amp;B132,B132&amp;"/"&amp;(B132+1))</f>
        <v>4035/4036</v>
      </c>
      <c r="L132" s="246" t="str">
        <f>VLOOKUP(A132,'Trips&amp;Operators'!$C$1:$G$99911,5,FALSE)</f>
        <v>ELBAUM MIKE</v>
      </c>
      <c r="M132" s="225">
        <f>I132-F132</f>
        <v>2.5011574070958886E-2</v>
      </c>
      <c r="N132" s="226">
        <f>24*60*SUM($M132:$M132)</f>
        <v>36.016666662180796</v>
      </c>
      <c r="O132" s="226"/>
      <c r="P132" s="226"/>
      <c r="Q132" s="229"/>
      <c r="R132" s="243"/>
      <c r="S132" s="250">
        <f>1/IF(AG132="EC",12,1)*SUM(U132:U132)</f>
        <v>1</v>
      </c>
      <c r="T132" s="243" t="str">
        <f>IF(ISEVEN(LEFT(AD132,4)),"Southbound","NorthBound")</f>
        <v>Southbound</v>
      </c>
      <c r="U132" s="24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9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-24T18:06:32-0700',mode:absolute,to:'2017-11-24T21:03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2" s="248" t="str">
        <f>IF(AA132&lt;VLOOKUP(AG132,Variables!$AC$3:$AD$8,2,FALSE),"Y","N")</f>
        <v>N</v>
      </c>
      <c r="X132" s="248">
        <f>VALUE(LEFT(AD132,4))-VALUE(LEFT(AD131,4))</f>
        <v>1</v>
      </c>
      <c r="Y132" s="248">
        <f>RIGHT(D132,LEN(D132)-4)/10000</f>
        <v>23.294499999999999</v>
      </c>
      <c r="Z132" s="248">
        <f>RIGHT(H132,LEN(H132)-4)/10000</f>
        <v>2.63E-2</v>
      </c>
      <c r="AA132" s="248">
        <f>ABS(Z132-Y132)</f>
        <v>23.2682</v>
      </c>
      <c r="AB132" s="234" t="e">
        <f>VLOOKUP(A132,Enforcements!$C$7:$K$9,8,0)</f>
        <v>#N/A</v>
      </c>
      <c r="AC132" s="233" t="e">
        <f>VLOOKUP(A132,Enforcements!$C$7:$E$9,3,0)</f>
        <v>#N/A</v>
      </c>
      <c r="AD132" s="244">
        <f>VALUE(LEFT(A132,LEN(A132)-3))</f>
        <v>220</v>
      </c>
      <c r="AE132" s="236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 &amp; aws s3 cp s3://rtdc.mdm.uploadarchive.raw/RTDC4035/ "%USERPROFILE%\AppData\Local\Temp\OnboardLogs"\RTDC4035\2017-11-25 --exclude "*" --recursive --include "*20171125*" &amp; "%USERPROFILE%\Documents\GitHub\mrs-test-scripts\Headless Mode &amp; Sideloading\WalkAndUnGZ.bat" "%USERPROFILE%\AppData\Local\Temp\OnboardLogs"\RTDC4035\2017-11-25</v>
      </c>
      <c r="AF132" s="235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/stypes="app*4035*20171125*" /stext=" 03:.+((SYSTEM_STATE.+slice.+state.+changed )|(ment ac)|(multiple cpu faults)|(system.+state.+changed )|(\[timeout)|(PRM\|1\|D)|(kpr)|(kdp)|(train st.+moving)|(\|lc)|(penalty))"</v>
      </c>
      <c r="AG132" s="245" t="str">
        <f>DetSubdiv(A132)</f>
        <v>EC</v>
      </c>
      <c r="AH132" s="237" t="str">
        <f t="shared" si="10"/>
        <v>"%USERPROFILE%\Documents\GitHub\eaglep3\Utilities\RefineRTDCRunTimes.py" --tripid 220-24 --locoid 4035 --swversion DE.1.0.9.0 --startMP 204:232945 --initTime 2017-11-24T19:06:32 --startdatetime 2017-11-24T19:27:16 --delay 69 --endMP 204:263 --enddatetime 2017-11-24T20:03:17 --enforcementcount 0 &gt;&gt;%USERPROFILE%\Documents\GitHub\eaglep3-reporting\EC\2017-11-24-refined-times.txt</v>
      </c>
      <c r="AI132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{"issue":{"subject":"","project_id":79,"tracker_id":40,"status_id":1,"priority_id":2,"assigned_to_id":338,"start_date":"2017-11-24","description":"","custom_fields":[{"id":1,"name":"Subdivision","value":"EC"},{"id":4,"name":"Milepost","value":"0.0263"},{"id":17,"name":"Train ID","value":"220-24"},{"id":16,"name":"Locomotive ID","value":"4035"},{"id":130,"name":"Impact","value":""},{"id":150,"name":"Time of Event (Mountain Time)","value":"20:03:17"},{"id":151,"name":"Denver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4"/>
      <c r="AK132" s="232"/>
      <c r="AL132" s="232"/>
      <c r="AM132" s="241" t="str">
        <f t="shared" si="12"/>
        <v>start /low /b %USERPROFILE%\Documents\GitHub\eaglep3\Utilities\DownloadLogsFromS3.py --loco 4035 --day 2017-11-24</v>
      </c>
      <c r="AN132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03:03:17"},{"id":29,"name":"Sharepoint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1" t="str">
        <f t="shared" si="14"/>
        <v>https://d0f6bd738d7f1b3e5a7ca70fe4ff75f0.us-east-1.aws.found.io/app/kibana#/discover/Steve-Slow-Train-Analysis-(2080s-and-2083s)?_g=(refreshInterval:(display:Off,pause:!f,section:0,value:0),time:(from:'2017-11-24T18:06:32-0700',mode:absolute,to:'2017-11-24T21:03:17-0700'))&amp;_a=(columns:!('Message%20ID',Summary),filters:!(),index:'emp_*',interval:auto,query:(query_string:(analyze_wildcard:!t,query:'%22rtdc.l.rtdc.4035%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30" t="s">
        <v>879</v>
      </c>
      <c r="B133" s="226">
        <v>4016</v>
      </c>
      <c r="C133" s="228" t="s">
        <v>192</v>
      </c>
      <c r="D133" s="228" t="s">
        <v>590</v>
      </c>
      <c r="E133" s="227">
        <v>43063.787453703706</v>
      </c>
      <c r="F133" s="227">
        <v>43063.79184027778</v>
      </c>
      <c r="G133" s="226">
        <v>80</v>
      </c>
      <c r="H133" s="228" t="s">
        <v>957</v>
      </c>
      <c r="I133" s="227">
        <v>43063.816400462965</v>
      </c>
      <c r="J133" s="226">
        <v>0</v>
      </c>
      <c r="K133" s="238" t="str">
        <f>IF(ISEVEN(B133),(B133-1)&amp;"/"&amp;B133,B133&amp;"/"&amp;(B133+1))</f>
        <v>4015/4016</v>
      </c>
      <c r="L133" s="246" t="str">
        <f>VLOOKUP(A133,'Trips&amp;Operators'!$C$1:$G$99911,5,FALSE)</f>
        <v>ZEWDU DEREJE</v>
      </c>
      <c r="M133" s="225">
        <f>I133-F133</f>
        <v>2.4560185185691807E-2</v>
      </c>
      <c r="N133" s="226">
        <f>24*60*SUM($M133:$M133)</f>
        <v>35.366666667396203</v>
      </c>
      <c r="O133" s="226"/>
      <c r="P133" s="226"/>
      <c r="Q133" s="229"/>
      <c r="R133" s="243"/>
      <c r="S133" s="250">
        <f>1/IF(AG133="EC",12,1)*SUM(U133:U133)</f>
        <v>1</v>
      </c>
      <c r="T133" s="243" t="str">
        <f>IF(ISEVEN(LEFT(AD133,4)),"Southbound","NorthBound")</f>
        <v>NorthBound</v>
      </c>
      <c r="U133" s="24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9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-11-24T17:53:56-0700',mode:absolute,to:'2017-11-24T20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248" t="str">
        <f>IF(AA133&lt;VLOOKUP(AG133,Variables!$AC$3:$AD$8,2,FALSE),"Y","N")</f>
        <v>N</v>
      </c>
      <c r="X133" s="248">
        <f>VALUE(LEFT(AD133,4))-VALUE(LEFT(AD132,4))</f>
        <v>1</v>
      </c>
      <c r="Y133" s="248">
        <f>RIGHT(D133,LEN(D133)-4)/10000</f>
        <v>4.6899999999999997E-2</v>
      </c>
      <c r="Z133" s="248">
        <f>RIGHT(H133,LEN(H133)-4)/10000</f>
        <v>23.327400000000001</v>
      </c>
      <c r="AA133" s="248">
        <f>ABS(Z133-Y133)</f>
        <v>23.2805</v>
      </c>
      <c r="AB133" s="234" t="e">
        <f>VLOOKUP(A133,Enforcements!$C$7:$K$9,8,0)</f>
        <v>#N/A</v>
      </c>
      <c r="AC133" s="233" t="e">
        <f>VLOOKUP(A133,Enforcements!$C$7:$E$9,3,0)</f>
        <v>#N/A</v>
      </c>
      <c r="AD133" s="244">
        <f>VALUE(LEFT(A133,LEN(A133)-3))</f>
        <v>221</v>
      </c>
      <c r="AE133" s="236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s3://rtdc.mdm.uploadarchive.raw/RTDC4016/ "%USERPROFILE%\AppData\Local\Temp\OnboardLogs"\RTDC4016\2017-11-24 --exclude "*" --recursive --include "*20171124*" &amp; "%USERPROFILE%\Documents\GitHub\mrs-test-scripts\Headless Mode &amp; Sideloading\WalkAndUnGZ.bat" "%USERPROFILE%\AppData\Local\Temp\OnboardLogs"\RTDC4016\2017-11-24 &amp; aws s3 cp s3://rtdc.mdm.uploadarchive.raw/RTDC4016/ "%USERPROFILE%\AppData\Local\Temp\OnboardLogs"\RTDC4016\2017-11-25 --exclude "*" --recursive --include "*20171125*" &amp; "%USERPROFILE%\Documents\GitHub\mrs-test-scripts\Headless Mode &amp; Sideloading\WalkAndUnGZ.bat" "%USERPROFILE%\AppData\Local\Temp\OnboardLogs"\RTDC4016\2017-11-25</v>
      </c>
      <c r="AF133" s="235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/stypes="app*4016*20171125*" /stext=" 02:.+((SYSTEM_STATE.+slice.+state.+changed )|(ment ac)|(multiple cpu faults)|(system.+state.+changed )|(\[timeout)|(PRM\|1\|D)|(kpr)|(kdp)|(train st.+moving)|(\|lc)|(penalty))"</v>
      </c>
      <c r="AG133" s="245" t="str">
        <f>DetSubdiv(A133)</f>
        <v>EC</v>
      </c>
      <c r="AH133" s="237" t="str">
        <f t="shared" si="10"/>
        <v>"%USERPROFILE%\Documents\GitHub\eaglep3\Utilities\RefineRTDCRunTimes.py" --tripid 221-24 --locoid 4016 --swversion DE.1.0.9.0 --startMP 204:469 --initTime 2017-11-24T18:53:56 --startdatetime 2017-11-24T19:00:15 --delay 80 --endMP 204:233274 --enddatetime 2017-11-24T19:35:37 --enforcementcount 0 &gt;&gt;%USERPROFILE%\Documents\GitHub\eaglep3-reporting\EC\2017-11-24-refined-times.txt</v>
      </c>
      <c r="AI133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{"issue":{"subject":"","project_id":79,"tracker_id":40,"status_id":1,"priority_id":2,"assigned_to_id":338,"start_date":"2017-11-24","description":"","custom_fields":[{"id":1,"name":"Subdivision","value":"EC"},{"id":4,"name":"Milepost","value":"23.3274"},{"id":17,"name":"Train ID","value":"221-24"},{"id":16,"name":"Locomotive ID","value":"4016"},{"id":130,"name":"Impact","value":""},{"id":150,"name":"Time of Event (Mountain Time)","value":"19:35:37"},{"id":151,"name":"Denver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4"/>
      <c r="AK133" s="232"/>
      <c r="AL133" s="232"/>
      <c r="AM133" s="241" t="str">
        <f t="shared" si="12"/>
        <v>start /low /b %USERPROFILE%\Documents\GitHub\eaglep3\Utilities\DownloadLogsFromS3.py --loco 4016 --day 2017-11-24</v>
      </c>
      <c r="AN133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02:35:37"},{"id":29,"name":"Sharepoint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1" t="str">
        <f t="shared" si="14"/>
        <v>https://d0f6bd738d7f1b3e5a7ca70fe4ff75f0.us-east-1.aws.found.io/app/kibana#/discover/Steve-Slow-Train-Analysis-(2080s-and-2083s)?_g=(refreshInterval:(display:Off,pause:!f,section:0,value:0),time:(from:'2017-11-24T17:53:56-0700',mode:absolute,to:'2017-11-24T20:35:37-0700'))&amp;_a=(columns:!('Message%20ID',Summary),filters:!(),index:'emp_*',interval:auto,query:(query_string:(analyze_wildcard:!t,query:'%22rtdc.l.rtdc.4016%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30" t="s">
        <v>890</v>
      </c>
      <c r="B134" s="226">
        <v>4015</v>
      </c>
      <c r="C134" s="228" t="s">
        <v>192</v>
      </c>
      <c r="D134" s="228" t="s">
        <v>1026</v>
      </c>
      <c r="E134" s="227">
        <v>43063.827939814815</v>
      </c>
      <c r="F134" s="227">
        <v>43063.831412037034</v>
      </c>
      <c r="G134" s="226">
        <v>76</v>
      </c>
      <c r="H134" s="228" t="s">
        <v>612</v>
      </c>
      <c r="I134" s="227">
        <v>43063.857523148145</v>
      </c>
      <c r="J134" s="226">
        <v>0</v>
      </c>
      <c r="K134" s="238" t="str">
        <f>IF(ISEVEN(B134),(B134-1)&amp;"/"&amp;B134,B134&amp;"/"&amp;(B134+1))</f>
        <v>4015/4016</v>
      </c>
      <c r="L134" s="246" t="str">
        <f>VLOOKUP(A134,'Trips&amp;Operators'!$C$1:$G$99911,5,FALSE)</f>
        <v>ZEWDU DEREJE</v>
      </c>
      <c r="M134" s="225">
        <f>I134-F134</f>
        <v>2.6111111110367347E-2</v>
      </c>
      <c r="N134" s="226">
        <f>24*60*SUM($M134:$M134)</f>
        <v>37.599999998928979</v>
      </c>
      <c r="O134" s="226"/>
      <c r="P134" s="226"/>
      <c r="Q134" s="229"/>
      <c r="R134" s="243"/>
      <c r="S134" s="250">
        <f>1/IF(AG134="EC",12,1)*SUM(U134:U134)</f>
        <v>1</v>
      </c>
      <c r="T134" s="243" t="str">
        <f>IF(ISEVEN(LEFT(AD134,4)),"Southbound","NorthBound")</f>
        <v>Southbound</v>
      </c>
      <c r="U134" s="24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9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-11-24T18:52:14-0700',mode:absolute,to:'2017-11-24T21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248" t="str">
        <f>IF(AA134&lt;VLOOKUP(AG134,Variables!$AC$3:$AD$8,2,FALSE),"Y","N")</f>
        <v>N</v>
      </c>
      <c r="X134" s="248">
        <f>VALUE(LEFT(AD134,4))-VALUE(LEFT(AD133,4))</f>
        <v>1</v>
      </c>
      <c r="Y134" s="248">
        <f>RIGHT(D134,LEN(D134)-4)/10000</f>
        <v>23.2944</v>
      </c>
      <c r="Z134" s="248">
        <f>RIGHT(H134,LEN(H134)-4)/10000</f>
        <v>2.2499999999999999E-2</v>
      </c>
      <c r="AA134" s="248">
        <f>ABS(Z134-Y134)</f>
        <v>23.271899999999999</v>
      </c>
      <c r="AB134" s="234" t="e">
        <f>VLOOKUP(A134,Enforcements!$C$7:$K$9,8,0)</f>
        <v>#N/A</v>
      </c>
      <c r="AC134" s="233" t="e">
        <f>VLOOKUP(A134,Enforcements!$C$7:$E$9,3,0)</f>
        <v>#N/A</v>
      </c>
      <c r="AD134" s="244">
        <f>VALUE(LEFT(A134,LEN(A134)-3))</f>
        <v>222</v>
      </c>
      <c r="AE134" s="236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s3://rtdc.mdm.uploadarchive.raw/RTDC4015/ "%USERPROFILE%\AppData\Local\Temp\OnboardLogs"\RTDC4015\2017-11-24 --exclude "*" --recursive --include "*20171124*" &amp; "%USERPROFILE%\Documents\GitHub\mrs-test-scripts\Headless Mode &amp; Sideloading\WalkAndUnGZ.bat" "%USERPROFILE%\AppData\Local\Temp\OnboardLogs"\RTDC4015\2017-11-24 &amp; aws s3 cp s3://rtdc.mdm.uploadarchive.raw/RTDC4015/ "%USERPROFILE%\AppData\Local\Temp\OnboardLogs"\RTDC4015\2017-11-25 --exclude "*" --recursive --include "*20171125*" &amp; "%USERPROFILE%\Documents\GitHub\mrs-test-scripts\Headless Mode &amp; Sideloading\WalkAndUnGZ.bat" "%USERPROFILE%\AppData\Local\Temp\OnboardLogs"\RTDC4015\2017-11-25</v>
      </c>
      <c r="AF134" s="235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/stypes="app*4015*20171125*" /stext=" 03:.+((SYSTEM_STATE.+slice.+state.+changed )|(ment ac)|(multiple cpu faults)|(system.+state.+changed )|(\[timeout)|(PRM\|1\|D)|(kpr)|(kdp)|(train st.+moving)|(\|lc)|(penalty))"</v>
      </c>
      <c r="AG134" s="245" t="str">
        <f>DetSubdiv(A134)</f>
        <v>EC</v>
      </c>
      <c r="AH134" s="237" t="str">
        <f t="shared" si="10"/>
        <v>"%USERPROFILE%\Documents\GitHub\eaglep3\Utilities\RefineRTDCRunTimes.py" --tripid 222-24 --locoid 4015 --swversion DE.1.0.9.0 --startMP 204:232944 --initTime 2017-11-24T19:52:14 --startdatetime 2017-11-24T19:57:14 --delay 76 --endMP 204:225 --enddatetime 2017-11-24T20:34:50 --enforcementcount 0 &gt;&gt;%USERPROFILE%\Documents\GitHub\eaglep3-reporting\EC\2017-11-24-refined-times.txt</v>
      </c>
      <c r="AI134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{"issue":{"subject":"","project_id":79,"tracker_id":40,"status_id":1,"priority_id":2,"assigned_to_id":338,"start_date":"2017-11-24","description":"","custom_fields":[{"id":1,"name":"Subdivision","value":"EC"},{"id":4,"name":"Milepost","value":"0.0225"},{"id":17,"name":"Train ID","value":"222-24"},{"id":16,"name":"Locomotive ID","value":"4015"},{"id":130,"name":"Impact","value":""},{"id":150,"name":"Time of Event (Mountain Time)","value":"20:34:50"},{"id":151,"name":"Denver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4"/>
      <c r="AK134" s="232"/>
      <c r="AL134" s="232"/>
      <c r="AM134" s="241" t="str">
        <f t="shared" si="12"/>
        <v>start /low /b %USERPROFILE%\Documents\GitHub\eaglep3\Utilities\DownloadLogsFromS3.py --loco 4015 --day 2017-11-24</v>
      </c>
      <c r="AN134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03:34:50"},{"id":29,"name":"Sharepoint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1" t="str">
        <f t="shared" si="14"/>
        <v>https://d0f6bd738d7f1b3e5a7ca70fe4ff75f0.us-east-1.aws.found.io/app/kibana#/discover/Steve-Slow-Train-Analysis-(2080s-and-2083s)?_g=(refreshInterval:(display:Off,pause:!f,section:0,value:0),time:(from:'2017-11-24T18:52:14-0700',mode:absolute,to:'2017-11-24T21:34:50-0700'))&amp;_a=(columns:!('Message%20ID',Summary),filters:!(),index:'emp_*',interval:auto,query:(query_string:(analyze_wildcard:!t,query:'%22rtdc.l.rtdc.4015%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30" t="s">
        <v>886</v>
      </c>
      <c r="B135" s="226">
        <v>4006</v>
      </c>
      <c r="C135" s="228" t="s">
        <v>192</v>
      </c>
      <c r="D135" s="228" t="s">
        <v>513</v>
      </c>
      <c r="E135" s="227">
        <v>43063.807326388887</v>
      </c>
      <c r="F135" s="227">
        <v>43063.812719907408</v>
      </c>
      <c r="G135" s="226">
        <v>54</v>
      </c>
      <c r="H135" s="228" t="s">
        <v>482</v>
      </c>
      <c r="I135" s="227">
        <v>43063.838113425925</v>
      </c>
      <c r="J135" s="226">
        <v>0</v>
      </c>
      <c r="K135" s="238" t="str">
        <f>IF(ISEVEN(B135),(B135-1)&amp;"/"&amp;B135,B135&amp;"/"&amp;(B135+1))</f>
        <v>4005/4006</v>
      </c>
      <c r="L135" s="246" t="str">
        <f>VLOOKUP(A135,'Trips&amp;Operators'!$C$1:$G$99911,5,FALSE)</f>
        <v>DAVIDSON DAVID</v>
      </c>
      <c r="M135" s="225">
        <f>I135-F135</f>
        <v>2.5393518517375924E-2</v>
      </c>
      <c r="N135" s="226">
        <f>24*60*SUM($M135:$M135)</f>
        <v>36.56666666502133</v>
      </c>
      <c r="O135" s="226"/>
      <c r="P135" s="226"/>
      <c r="Q135" s="229"/>
      <c r="R135" s="243"/>
      <c r="S135" s="250">
        <f>1/IF(AG135="EC",12,1)*SUM(U135:U135)</f>
        <v>1</v>
      </c>
      <c r="T135" s="243" t="str">
        <f>IF(ISEVEN(LEFT(AD135,4)),"Southbound","NorthBound")</f>
        <v>NorthBound</v>
      </c>
      <c r="U135" s="24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9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-11-24T18:22:33-0700',mode:absolute,to:'2017-11-24T21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5" s="248" t="str">
        <f>IF(AA135&lt;VLOOKUP(AG135,Variables!$AC$3:$AD$8,2,FALSE),"Y","N")</f>
        <v>N</v>
      </c>
      <c r="X135" s="248">
        <f>VALUE(LEFT(AD135,4))-VALUE(LEFT(AD134,4))</f>
        <v>1</v>
      </c>
      <c r="Y135" s="248">
        <f>RIGHT(D135,LEN(D135)-4)/10000</f>
        <v>5.57E-2</v>
      </c>
      <c r="Z135" s="248">
        <f>RIGHT(H135,LEN(H135)-4)/10000</f>
        <v>23.3249</v>
      </c>
      <c r="AA135" s="248">
        <f>ABS(Z135-Y135)</f>
        <v>23.269199999999998</v>
      </c>
      <c r="AB135" s="234" t="e">
        <f>VLOOKUP(A135,Enforcements!$C$7:$K$9,8,0)</f>
        <v>#N/A</v>
      </c>
      <c r="AC135" s="233" t="e">
        <f>VLOOKUP(A135,Enforcements!$C$7:$E$9,3,0)</f>
        <v>#N/A</v>
      </c>
      <c r="AD135" s="244">
        <f>VALUE(LEFT(A135,LEN(A135)-3))</f>
        <v>223</v>
      </c>
      <c r="AE135" s="236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s3://rtdc.mdm.uploadarchive.raw/RTDC4006/ "%USERPROFILE%\AppData\Local\Temp\OnboardLogs"\RTDC4006\2017-11-24 --exclude "*" --recursive --include "*20171124*" &amp; "%USERPROFILE%\Documents\GitHub\mrs-test-scripts\Headless Mode &amp; Sideloading\WalkAndUnGZ.bat" "%USERPROFILE%\AppData\Local\Temp\OnboardLogs"\RTDC4006\2017-11-24 &amp; aws s3 cp s3://rtdc.mdm.uploadarchive.raw/RTDC4006/ "%USERPROFILE%\AppData\Local\Temp\OnboardLogs"\RTDC4006\2017-11-25 --exclude "*" --recursive --include "*20171125*" &amp; "%USERPROFILE%\Documents\GitHub\mrs-test-scripts\Headless Mode &amp; Sideloading\WalkAndUnGZ.bat" "%USERPROFILE%\AppData\Local\Temp\OnboardLogs"\RTDC4006\2017-11-25</v>
      </c>
      <c r="AF135" s="235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/stypes="app*4006*20171125*" /stext=" 03:.+((SYSTEM_STATE.+slice.+state.+changed )|(ment ac)|(multiple cpu faults)|(system.+state.+changed )|(\[timeout)|(PRM\|1\|D)|(kpr)|(kdp)|(train st.+moving)|(\|lc)|(penalty))"</v>
      </c>
      <c r="AG135" s="245" t="str">
        <f>DetSubdiv(A135)</f>
        <v>EC</v>
      </c>
      <c r="AH135" s="237" t="str">
        <f t="shared" si="10"/>
        <v>"%USERPROFILE%\Documents\GitHub\eaglep3\Utilities\RefineRTDCRunTimes.py" --tripid 223-24 --locoid 4006 --swversion DE.1.0.9.0 --startMP 204:557 --initTime 2017-11-24T19:22:33 --startdatetime 2017-11-24T19:30:19 --delay 54 --endMP 204:233249 --enddatetime 2017-11-24T20:06:53 --enforcementcount 0 &gt;&gt;%USERPROFILE%\Documents\GitHub\eaglep3-reporting\EC\2017-11-24-refined-times.txt</v>
      </c>
      <c r="AI135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{"issue":{"subject":"","project_id":79,"tracker_id":40,"status_id":1,"priority_id":2,"assigned_to_id":338,"start_date":"2017-11-24","description":"","custom_fields":[{"id":1,"name":"Subdivision","value":"EC"},{"id":4,"name":"Milepost","value":"23.3249"},{"id":17,"name":"Train ID","value":"223-24"},{"id":16,"name":"Locomotive ID","value":"4006"},{"id":130,"name":"Impact","value":""},{"id":150,"name":"Time of Event (Mountain Time)","value":"20:06:53"},{"id":151,"name":"Denver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4"/>
      <c r="AK135" s="232"/>
      <c r="AL135" s="232"/>
      <c r="AM135" s="241" t="str">
        <f t="shared" si="12"/>
        <v>start /low /b %USERPROFILE%\Documents\GitHub\eaglep3\Utilities\DownloadLogsFromS3.py --loco 4006 --day 2017-11-24</v>
      </c>
      <c r="AN135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03:06:53"},{"id":29,"name":"Sharepoint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1" t="str">
        <f t="shared" si="14"/>
        <v>https://d0f6bd738d7f1b3e5a7ca70fe4ff75f0.us-east-1.aws.found.io/app/kibana#/discover/Steve-Slow-Train-Analysis-(2080s-and-2083s)?_g=(refreshInterval:(display:Off,pause:!f,section:0,value:0),time:(from:'2017-11-24T18:22:33-0700',mode:absolute,to:'2017-11-24T21:06:53-0700'))&amp;_a=(columns:!('Message%20ID',Summary),filters:!(),index:'emp_*',interval:auto,query:(query_string:(analyze_wildcard:!t,query:'%22rtdc.l.rtdc.4006%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30" t="s">
        <v>894</v>
      </c>
      <c r="B136" s="226">
        <v>4005</v>
      </c>
      <c r="C136" s="228" t="s">
        <v>192</v>
      </c>
      <c r="D136" s="228" t="s">
        <v>539</v>
      </c>
      <c r="E136" s="227">
        <v>43063.839363425926</v>
      </c>
      <c r="F136" s="227">
        <v>43063.85229166667</v>
      </c>
      <c r="G136" s="226">
        <v>52</v>
      </c>
      <c r="H136" s="228" t="s">
        <v>993</v>
      </c>
      <c r="I136" s="227">
        <v>43063.879247685189</v>
      </c>
      <c r="J136" s="226">
        <v>0</v>
      </c>
      <c r="K136" s="238" t="str">
        <f>IF(ISEVEN(B136),(B136-1)&amp;"/"&amp;B136,B136&amp;"/"&amp;(B136+1))</f>
        <v>4005/4006</v>
      </c>
      <c r="L136" s="246" t="str">
        <f>VLOOKUP(A136,'Trips&amp;Operators'!$C$1:$G$99911,5,FALSE)</f>
        <v>DAVIDSON DAVID</v>
      </c>
      <c r="M136" s="225">
        <f>I136-F136</f>
        <v>2.6956018518831115E-2</v>
      </c>
      <c r="N136" s="226">
        <f>24*60*SUM($M136:$M136)</f>
        <v>38.816666667116806</v>
      </c>
      <c r="O136" s="226"/>
      <c r="P136" s="226"/>
      <c r="Q136" s="229"/>
      <c r="R136" s="243"/>
      <c r="S136" s="250">
        <f>1/IF(AG136="EC",12,1)*SUM(U136:U136)</f>
        <v>1</v>
      </c>
      <c r="T136" s="243" t="str">
        <f>IF(ISEVEN(LEFT(AD136,4)),"Southbound","NorthBound")</f>
        <v>Southbound</v>
      </c>
      <c r="U136" s="24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9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-11-24T19:08:41-0700',mode:absolute,to:'2017-11-24T22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6" s="248" t="str">
        <f>IF(AA136&lt;VLOOKUP(AG136,Variables!$AC$3:$AD$8,2,FALSE),"Y","N")</f>
        <v>N</v>
      </c>
      <c r="X136" s="248">
        <f>VALUE(LEFT(AD136,4))-VALUE(LEFT(AD135,4))</f>
        <v>1</v>
      </c>
      <c r="Y136" s="248">
        <f>RIGHT(D136,LEN(D136)-4)/10000</f>
        <v>23.2942</v>
      </c>
      <c r="Z136" s="248">
        <f>RIGHT(H136,LEN(H136)-4)/10000</f>
        <v>2.23E-2</v>
      </c>
      <c r="AA136" s="248">
        <f>ABS(Z136-Y136)</f>
        <v>23.271899999999999</v>
      </c>
      <c r="AB136" s="234" t="e">
        <f>VLOOKUP(A136,Enforcements!$C$7:$K$9,8,0)</f>
        <v>#N/A</v>
      </c>
      <c r="AC136" s="233" t="e">
        <f>VLOOKUP(A136,Enforcements!$C$7:$E$9,3,0)</f>
        <v>#N/A</v>
      </c>
      <c r="AD136" s="244">
        <f>VALUE(LEFT(A136,LEN(A136)-3))</f>
        <v>224</v>
      </c>
      <c r="AE136" s="236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s3://rtdc.mdm.uploadarchive.raw/RTDC4005/ "%USERPROFILE%\AppData\Local\Temp\OnboardLogs"\RTDC4005\2017-11-24 --exclude "*" --recursive --include "*20171124*" &amp; "%USERPROFILE%\Documents\GitHub\mrs-test-scripts\Headless Mode &amp; Sideloading\WalkAndUnGZ.bat" "%USERPROFILE%\AppData\Local\Temp\OnboardLogs"\RTDC4005\2017-11-24 &amp; aws s3 cp s3://rtdc.mdm.uploadarchive.raw/RTDC4005/ "%USERPROFILE%\AppData\Local\Temp\OnboardLogs"\RTDC4005\2017-11-25 --exclude "*" --recursive --include "*20171125*" &amp; "%USERPROFILE%\Documents\GitHub\mrs-test-scripts\Headless Mode &amp; Sideloading\WalkAndUnGZ.bat" "%USERPROFILE%\AppData\Local\Temp\OnboardLogs"\RTDC4005\2017-11-25</v>
      </c>
      <c r="AF136" s="235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/stypes="app*4005*20171125*" /stext=" 04:.+((SYSTEM_STATE.+slice.+state.+changed )|(ment ac)|(multiple cpu faults)|(system.+state.+changed )|(\[timeout)|(PRM\|1\|D)|(kpr)|(kdp)|(train st.+moving)|(\|lc)|(penalty))"</v>
      </c>
      <c r="AG136" s="245" t="str">
        <f>DetSubdiv(A136)</f>
        <v>EC</v>
      </c>
      <c r="AH136" s="237" t="str">
        <f t="shared" si="10"/>
        <v>"%USERPROFILE%\Documents\GitHub\eaglep3\Utilities\RefineRTDCRunTimes.py" --tripid 224-24 --locoid 4005 --swversion DE.1.0.9.0 --startMP 204:232942 --initTime 2017-11-24T20:08:41 --startdatetime 2017-11-24T20:27:18 --delay 52 --endMP 204:223 --enddatetime 2017-11-24T21:06:07 --enforcementcount 0 &gt;&gt;%USERPROFILE%\Documents\GitHub\eaglep3-reporting\EC\2017-11-24-refined-times.txt</v>
      </c>
      <c r="AI136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{"issue":{"subject":"","project_id":79,"tracker_id":40,"status_id":1,"priority_id":2,"assigned_to_id":338,"start_date":"2017-11-24","description":"","custom_fields":[{"id":1,"name":"Subdivision","value":"EC"},{"id":4,"name":"Milepost","value":"0.0223"},{"id":17,"name":"Train ID","value":"224-24"},{"id":16,"name":"Locomotive ID","value":"4005"},{"id":130,"name":"Impact","value":""},{"id":150,"name":"Time of Event (Mountain Time)","value":"21:06:07"},{"id":151,"name":"Denver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4"/>
      <c r="AK136" s="232"/>
      <c r="AL136" s="232"/>
      <c r="AM136" s="241" t="str">
        <f t="shared" si="12"/>
        <v>start /low /b %USERPROFILE%\Documents\GitHub\eaglep3\Utilities\DownloadLogsFromS3.py --loco 4005 --day 2017-11-24</v>
      </c>
      <c r="AN136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04:06:07"},{"id":29,"name":"Sharepoint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1" t="str">
        <f t="shared" si="14"/>
        <v>https://d0f6bd738d7f1b3e5a7ca70fe4ff75f0.us-east-1.aws.found.io/app/kibana#/discover/Steve-Slow-Train-Analysis-(2080s-and-2083s)?_g=(refreshInterval:(display:Off,pause:!f,section:0,value:0),time:(from:'2017-11-24T19:08:41-0700',mode:absolute,to:'2017-11-24T22:06:07-0700'))&amp;_a=(columns:!('Message%20ID',Summary),filters:!(),index:'emp_*',interval:auto,query:(query_string:(analyze_wildcard:!t,query:'%22rtdc.l.rtdc.4005%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30" t="s">
        <v>889</v>
      </c>
      <c r="B137" s="226">
        <v>4010</v>
      </c>
      <c r="C137" s="228" t="s">
        <v>192</v>
      </c>
      <c r="D137" s="228" t="s">
        <v>620</v>
      </c>
      <c r="E137" s="227">
        <v>43063.827986111108</v>
      </c>
      <c r="F137" s="227">
        <v>43063.833495370367</v>
      </c>
      <c r="G137" s="226">
        <v>52</v>
      </c>
      <c r="H137" s="228" t="s">
        <v>987</v>
      </c>
      <c r="I137" s="227">
        <v>43063.857824074075</v>
      </c>
      <c r="J137" s="226">
        <v>0</v>
      </c>
      <c r="K137" s="238" t="str">
        <f>IF(ISEVEN(B137),(B137-1)&amp;"/"&amp;B137,B137&amp;"/"&amp;(B137+1))</f>
        <v>4009/4010</v>
      </c>
      <c r="L137" s="246" t="str">
        <f>VLOOKUP(A137,'Trips&amp;Operators'!$C$1:$G$99911,5,FALSE)</f>
        <v>MCREYNOLDS KYLE</v>
      </c>
      <c r="M137" s="225">
        <f>I137-F137</f>
        <v>2.4328703708306421E-2</v>
      </c>
      <c r="N137" s="226">
        <f>24*60*SUM($M137:$M137)</f>
        <v>35.033333339961246</v>
      </c>
      <c r="O137" s="226"/>
      <c r="P137" s="226"/>
      <c r="Q137" s="229"/>
      <c r="R137" s="243"/>
      <c r="S137" s="250">
        <f>1/IF(AG137="EC",12,1)*SUM(U137:U137)</f>
        <v>1</v>
      </c>
      <c r="T137" s="243" t="str">
        <f>IF(ISEVEN(LEFT(AD137,4)),"Southbound","NorthBound")</f>
        <v>NorthBound</v>
      </c>
      <c r="U137" s="24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9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-11-24T18:52:18-0700',mode:absolute,to:'2017-11-24T21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7" s="248" t="str">
        <f>IF(AA137&lt;VLOOKUP(AG137,Variables!$AC$3:$AD$8,2,FALSE),"Y","N")</f>
        <v>N</v>
      </c>
      <c r="X137" s="248">
        <f>VALUE(LEFT(AD137,4))-VALUE(LEFT(AD136,4))</f>
        <v>1</v>
      </c>
      <c r="Y137" s="248">
        <f>RIGHT(D137,LEN(D137)-4)/10000</f>
        <v>5.3100000000000001E-2</v>
      </c>
      <c r="Z137" s="248">
        <f>RIGHT(H137,LEN(H137)-4)/10000</f>
        <v>23.320599999999999</v>
      </c>
      <c r="AA137" s="248">
        <f>ABS(Z137-Y137)</f>
        <v>23.267499999999998</v>
      </c>
      <c r="AB137" s="234" t="e">
        <f>VLOOKUP(A137,Enforcements!$C$7:$K$9,8,0)</f>
        <v>#N/A</v>
      </c>
      <c r="AC137" s="233" t="e">
        <f>VLOOKUP(A137,Enforcements!$C$7:$E$9,3,0)</f>
        <v>#N/A</v>
      </c>
      <c r="AD137" s="244">
        <f>VALUE(LEFT(A137,LEN(A137)-3))</f>
        <v>225</v>
      </c>
      <c r="AE137" s="236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s3://rtdc.mdm.uploadarchive.raw/RTDC4010/ "%USERPROFILE%\AppData\Local\Temp\OnboardLogs"\RTDC4010\2017-11-24 --exclude "*" --recursive --include "*20171124*" &amp; "%USERPROFILE%\Documents\GitHub\mrs-test-scripts\Headless Mode &amp; Sideloading\WalkAndUnGZ.bat" "%USERPROFILE%\AppData\Local\Temp\OnboardLogs"\RTDC4010\2017-11-24 &amp; aws s3 cp s3://rtdc.mdm.uploadarchive.raw/RTDC4010/ "%USERPROFILE%\AppData\Local\Temp\OnboardLogs"\RTDC4010\2017-11-25 --exclude "*" --recursive --include "*20171125*" &amp; "%USERPROFILE%\Documents\GitHub\mrs-test-scripts\Headless Mode &amp; Sideloading\WalkAndUnGZ.bat" "%USERPROFILE%\AppData\Local\Temp\OnboardLogs"\RTDC4010\2017-11-25</v>
      </c>
      <c r="AF137" s="235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/stypes="app*4010*20171125*" /stext=" 03:.+((SYSTEM_STATE.+slice.+state.+changed )|(ment ac)|(multiple cpu faults)|(system.+state.+changed )|(\[timeout)|(PRM\|1\|D)|(kpr)|(kdp)|(train st.+moving)|(\|lc)|(penalty))"</v>
      </c>
      <c r="AG137" s="245" t="str">
        <f>DetSubdiv(A137)</f>
        <v>EC</v>
      </c>
      <c r="AH137" s="237" t="str">
        <f t="shared" si="10"/>
        <v>"%USERPROFILE%\Documents\GitHub\eaglep3\Utilities\RefineRTDCRunTimes.py" --tripid 225-24 --locoid 4010 --swversion DE.1.0.9.0 --startMP 204:531 --initTime 2017-11-24T19:52:18 --startdatetime 2017-11-24T20:00:14 --delay 52 --endMP 204:233206 --enddatetime 2017-11-24T20:35:16 --enforcementcount 0 &gt;&gt;%USERPROFILE%\Documents\GitHub\eaglep3-reporting\EC\2017-11-24-refined-times.txt</v>
      </c>
      <c r="AI137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{"issue":{"subject":"","project_id":79,"tracker_id":40,"status_id":1,"priority_id":2,"assigned_to_id":338,"start_date":"2017-11-24","description":"","custom_fields":[{"id":1,"name":"Subdivision","value":"EC"},{"id":4,"name":"Milepost","value":"23.3206"},{"id":17,"name":"Train ID","value":"225-24"},{"id":16,"name":"Locomotive ID","value":"4010"},{"id":130,"name":"Impact","value":""},{"id":150,"name":"Time of Event (Mountain Time)","value":"20:35:16"},{"id":151,"name":"Denver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4"/>
      <c r="AK137" s="232"/>
      <c r="AL137" s="232"/>
      <c r="AM137" s="241" t="str">
        <f t="shared" si="12"/>
        <v>start /low /b %USERPROFILE%\Documents\GitHub\eaglep3\Utilities\DownloadLogsFromS3.py --loco 4010 --day 2017-11-24</v>
      </c>
      <c r="AN137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03:35:16"},{"id":29,"name":"Sharepoint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1" t="str">
        <f t="shared" si="14"/>
        <v>https://d0f6bd738d7f1b3e5a7ca70fe4ff75f0.us-east-1.aws.found.io/app/kibana#/discover/Steve-Slow-Train-Analysis-(2080s-and-2083s)?_g=(refreshInterval:(display:Off,pause:!f,section:0,value:0),time:(from:'2017-11-24T18:52:18-0700',mode:absolute,to:'2017-11-24T21:35:16-0700'))&amp;_a=(columns:!('Message%20ID',Summary),filters:!(),index:'emp_*',interval:auto,query:(query_string:(analyze_wildcard:!t,query:'%22rtdc.l.rtdc.4010%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30" t="s">
        <v>895</v>
      </c>
      <c r="B138" s="226">
        <v>4009</v>
      </c>
      <c r="C138" s="228" t="s">
        <v>192</v>
      </c>
      <c r="D138" s="228" t="s">
        <v>1027</v>
      </c>
      <c r="E138" s="227">
        <v>43063.864837962959</v>
      </c>
      <c r="F138" s="227">
        <v>43063.873055555552</v>
      </c>
      <c r="G138" s="226">
        <v>51</v>
      </c>
      <c r="H138" s="228" t="s">
        <v>1028</v>
      </c>
      <c r="I138" s="227">
        <v>43063.898680555554</v>
      </c>
      <c r="J138" s="226">
        <v>0</v>
      </c>
      <c r="K138" s="238" t="str">
        <f>IF(ISEVEN(B138),(B138-1)&amp;"/"&amp;B138,B138&amp;"/"&amp;(B138+1))</f>
        <v>4009/4010</v>
      </c>
      <c r="L138" s="246" t="str">
        <f>VLOOKUP(A138,'Trips&amp;Operators'!$C$1:$G$99911,5,FALSE)</f>
        <v>MCREYNOLDS KYLE</v>
      </c>
      <c r="M138" s="225">
        <f>I138-F138</f>
        <v>2.5625000002037268E-2</v>
      </c>
      <c r="N138" s="226">
        <f>24*60*SUM($M138:$M138)</f>
        <v>36.900000002933666</v>
      </c>
      <c r="O138" s="226"/>
      <c r="P138" s="226"/>
      <c r="Q138" s="229"/>
      <c r="R138" s="243"/>
      <c r="S138" s="250">
        <f>1/IF(AG138="EC",12,1)*SUM(U138:U138)</f>
        <v>1</v>
      </c>
      <c r="T138" s="243" t="str">
        <f>IF(ISEVEN(LEFT(AD138,4)),"Southbound","NorthBound")</f>
        <v>Southbound</v>
      </c>
      <c r="U138" s="24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9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-11-24T19:45:22-0700',mode:absolute,to:'2017-11-24T22:34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8" s="248" t="str">
        <f>IF(AA138&lt;VLOOKUP(AG138,Variables!$AC$3:$AD$8,2,FALSE),"Y","N")</f>
        <v>N</v>
      </c>
      <c r="X138" s="248">
        <f>VALUE(LEFT(AD138,4))-VALUE(LEFT(AD137,4))</f>
        <v>1</v>
      </c>
      <c r="Y138" s="248">
        <f>RIGHT(D138,LEN(D138)-4)/10000</f>
        <v>23.288499999999999</v>
      </c>
      <c r="Z138" s="248">
        <f>RIGHT(H138,LEN(H138)-4)/10000</f>
        <v>2.5999999999999999E-2</v>
      </c>
      <c r="AA138" s="248">
        <f>ABS(Z138-Y138)</f>
        <v>23.262499999999999</v>
      </c>
      <c r="AB138" s="234" t="e">
        <f>VLOOKUP(A138,Enforcements!$C$7:$K$9,8,0)</f>
        <v>#N/A</v>
      </c>
      <c r="AC138" s="233" t="e">
        <f>VLOOKUP(A138,Enforcements!$C$7:$E$9,3,0)</f>
        <v>#N/A</v>
      </c>
      <c r="AD138" s="244">
        <f>VALUE(LEFT(A138,LEN(A138)-3))</f>
        <v>226</v>
      </c>
      <c r="AE138" s="236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s3://rtdc.mdm.uploadarchive.raw/RTDC4009/ "%USERPROFILE%\AppData\Local\Temp\OnboardLogs"\RTDC4009\2017-11-24 --exclude "*" --recursive --include "*20171124*" &amp; "%USERPROFILE%\Documents\GitHub\mrs-test-scripts\Headless Mode &amp; Sideloading\WalkAndUnGZ.bat" "%USERPROFILE%\AppData\Local\Temp\OnboardLogs"\RTDC4009\2017-11-24 &amp; aws s3 cp s3://rtdc.mdm.uploadarchive.raw/RTDC4009/ "%USERPROFILE%\AppData\Local\Temp\OnboardLogs"\RTDC4009\2017-11-25 --exclude "*" --recursive --include "*20171125*" &amp; "%USERPROFILE%\Documents\GitHub\mrs-test-scripts\Headless Mode &amp; Sideloading\WalkAndUnGZ.bat" "%USERPROFILE%\AppData\Local\Temp\OnboardLogs"\RTDC4009\2017-11-25</v>
      </c>
      <c r="AF138" s="235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/stypes="app*4009*20171125*" /stext=" 04:.+((SYSTEM_STATE.+slice.+state.+changed )|(ment ac)|(multiple cpu faults)|(system.+state.+changed )|(\[timeout)|(PRM\|1\|D)|(kpr)|(kdp)|(train st.+moving)|(\|lc)|(penalty))"</v>
      </c>
      <c r="AG138" s="245" t="str">
        <f>DetSubdiv(A138)</f>
        <v>EC</v>
      </c>
      <c r="AH138" s="237" t="str">
        <f t="shared" si="10"/>
        <v>"%USERPROFILE%\Documents\GitHub\eaglep3\Utilities\RefineRTDCRunTimes.py" --tripid 226-24 --locoid 4009 --swversion DE.1.0.9.0 --startMP 204:232885 --initTime 2017-11-24T20:45:22 --startdatetime 2017-11-24T20:57:12 --delay 51 --endMP 204:260 --enddatetime 2017-11-24T21:34:06 --enforcementcount 0 &gt;&gt;%USERPROFILE%\Documents\GitHub\eaglep3-reporting\EC\2017-11-24-refined-times.txt</v>
      </c>
      <c r="AI138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{"issue":{"subject":"","project_id":79,"tracker_id":40,"status_id":1,"priority_id":2,"assigned_to_id":338,"start_date":"2017-11-24","description":"","custom_fields":[{"id":1,"name":"Subdivision","value":"EC"},{"id":4,"name":"Milepost","value":"0.026"},{"id":17,"name":"Train ID","value":"226-24"},{"id":16,"name":"Locomotive ID","value":"4009"},{"id":130,"name":"Impact","value":""},{"id":150,"name":"Time of Event (Mountain Time)","value":"21:34:06"},{"id":151,"name":"Denver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4"/>
      <c r="AK138" s="232"/>
      <c r="AL138" s="232"/>
      <c r="AM138" s="241" t="str">
        <f t="shared" si="12"/>
        <v>start /low /b %USERPROFILE%\Documents\GitHub\eaglep3\Utilities\DownloadLogsFromS3.py --loco 4009 --day 2017-11-24</v>
      </c>
      <c r="AN138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04:34:06"},{"id":29,"name":"Sharepoint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1" t="str">
        <f t="shared" si="14"/>
        <v>https://d0f6bd738d7f1b3e5a7ca70fe4ff75f0.us-east-1.aws.found.io/app/kibana#/discover/Steve-Slow-Train-Analysis-(2080s-and-2083s)?_g=(refreshInterval:(display:Off,pause:!f,section:0,value:0),time:(from:'2017-11-24T19:45:22-0700',mode:absolute,to:'2017-11-24T22:34:06-0700'))&amp;_a=(columns:!('Message%20ID',Summary),filters:!(),index:'emp_*',interval:auto,query:(query_string:(analyze_wildcard:!t,query:'%22rtdc.l.rtdc.4009%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30" t="s">
        <v>891</v>
      </c>
      <c r="B139" s="226">
        <v>4036</v>
      </c>
      <c r="C139" s="228" t="s">
        <v>192</v>
      </c>
      <c r="D139" s="228" t="s">
        <v>988</v>
      </c>
      <c r="E139" s="227">
        <v>43063.83666666667</v>
      </c>
      <c r="F139" s="227">
        <v>43063.854305555556</v>
      </c>
      <c r="G139" s="226">
        <v>57</v>
      </c>
      <c r="H139" s="228" t="s">
        <v>473</v>
      </c>
      <c r="I139" s="227">
        <v>43063.878425925926</v>
      </c>
      <c r="J139" s="226">
        <v>0</v>
      </c>
      <c r="K139" s="238" t="str">
        <f>IF(ISEVEN(B139),(B139-1)&amp;"/"&amp;B139,B139&amp;"/"&amp;(B139+1))</f>
        <v>4035/4036</v>
      </c>
      <c r="L139" s="246" t="str">
        <f>VLOOKUP(A139,'Trips&amp;Operators'!$C$1:$G$99911,5,FALSE)</f>
        <v>ELBAUM MIKE</v>
      </c>
      <c r="M139" s="225">
        <f>I139-F139</f>
        <v>2.4120370369928423E-2</v>
      </c>
      <c r="N139" s="226">
        <f>24*60*SUM($M139:$M139)</f>
        <v>34.73333333269693</v>
      </c>
      <c r="O139" s="226"/>
      <c r="P139" s="226"/>
      <c r="Q139" s="229"/>
      <c r="R139" s="243"/>
      <c r="S139" s="250">
        <f>1/IF(AG139="EC",12,1)*SUM(U139:U139)</f>
        <v>1</v>
      </c>
      <c r="T139" s="243" t="str">
        <f>IF(ISEVEN(LEFT(AD139,4)),"Southbound","NorthBound")</f>
        <v>NorthBound</v>
      </c>
      <c r="U139" s="24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9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-11-24T19:04:48-0700',mode:absolute,to:'2017-11-24T22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9" s="248" t="str">
        <f>IF(AA139&lt;VLOOKUP(AG139,Variables!$AC$3:$AD$8,2,FALSE),"Y","N")</f>
        <v>N</v>
      </c>
      <c r="X139" s="248">
        <f>VALUE(LEFT(AD139,4))-VALUE(LEFT(AD138,4))</f>
        <v>1</v>
      </c>
      <c r="Y139" s="248">
        <f>RIGHT(D139,LEN(D139)-4)/10000</f>
        <v>5.5500000000000001E-2</v>
      </c>
      <c r="Z139" s="248">
        <f>RIGHT(H139,LEN(H139)-4)/10000</f>
        <v>23.327000000000002</v>
      </c>
      <c r="AA139" s="248">
        <f>ABS(Z139-Y139)</f>
        <v>23.271500000000003</v>
      </c>
      <c r="AB139" s="234" t="e">
        <f>VLOOKUP(A139,Enforcements!$C$7:$K$9,8,0)</f>
        <v>#N/A</v>
      </c>
      <c r="AC139" s="233" t="e">
        <f>VLOOKUP(A139,Enforcements!$C$7:$E$9,3,0)</f>
        <v>#N/A</v>
      </c>
      <c r="AD139" s="244">
        <f>VALUE(LEFT(A139,LEN(A139)-3))</f>
        <v>227</v>
      </c>
      <c r="AE139" s="236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 &amp; aws s3 cp s3://rtdc.mdm.uploadarchive.raw/RTDC4036/ "%USERPROFILE%\AppData\Local\Temp\OnboardLogs"\RTDC4036\2017-11-25 --exclude "*" --recursive --include "*20171125*" &amp; "%USERPROFILE%\Documents\GitHub\mrs-test-scripts\Headless Mode &amp; Sideloading\WalkAndUnGZ.bat" "%USERPROFILE%\AppData\Local\Temp\OnboardLogs"\RTDC4036\2017-11-25</v>
      </c>
      <c r="AF139" s="235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/stypes="app*4036*20171125*" /stext=" 04:.+((SYSTEM_STATE.+slice.+state.+changed )|(ment ac)|(multiple cpu faults)|(system.+state.+changed )|(\[timeout)|(PRM\|1\|D)|(kpr)|(kdp)|(train st.+moving)|(\|lc)|(penalty))"</v>
      </c>
      <c r="AG139" s="245" t="str">
        <f>DetSubdiv(A139)</f>
        <v>EC</v>
      </c>
      <c r="AH139" s="237" t="str">
        <f t="shared" si="10"/>
        <v>"%USERPROFILE%\Documents\GitHub\eaglep3\Utilities\RefineRTDCRunTimes.py" --tripid 227-24 --locoid 4036 --swversion DE.1.0.9.0 --startMP 204:555 --initTime 2017-11-24T20:04:48 --startdatetime 2017-11-24T20:30:12 --delay 57 --endMP 204:233270 --enddatetime 2017-11-24T21:04:56 --enforcementcount 0 &gt;&gt;%USERPROFILE%\Documents\GitHub\eaglep3-reporting\EC\2017-11-24-refined-times.txt</v>
      </c>
      <c r="AI139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{"issue":{"subject":"","project_id":79,"tracker_id":40,"status_id":1,"priority_id":2,"assigned_to_id":338,"start_date":"2017-11-24","description":"","custom_fields":[{"id":1,"name":"Subdivision","value":"EC"},{"id":4,"name":"Milepost","value":"23.327"},{"id":17,"name":"Train ID","value":"227-24"},{"id":16,"name":"Locomotive ID","value":"4036"},{"id":130,"name":"Impact","value":""},{"id":150,"name":"Time of Event (Mountain Time)","value":"21:04:56"},{"id":151,"name":"Denver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4"/>
      <c r="AK139" s="232"/>
      <c r="AL139" s="232"/>
      <c r="AM139" s="241" t="str">
        <f t="shared" si="12"/>
        <v>start /low /b %USERPROFILE%\Documents\GitHub\eaglep3\Utilities\DownloadLogsFromS3.py --loco 4036 --day 2017-11-24</v>
      </c>
      <c r="AN139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04:04:56"},{"id":29,"name":"Sharepoint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1" t="str">
        <f t="shared" si="14"/>
        <v>https://d0f6bd738d7f1b3e5a7ca70fe4ff75f0.us-east-1.aws.found.io/app/kibana#/discover/Steve-Slow-Train-Analysis-(2080s-and-2083s)?_g=(refreshInterval:(display:Off,pause:!f,section:0,value:0),time:(from:'2017-11-24T19:04:48-0700',mode:absolute,to:'2017-11-24T22:04:56-0700'))&amp;_a=(columns:!('Message%20ID',Summary),filters:!(),index:'emp_*',interval:auto,query:(query_string:(analyze_wildcard:!t,query:'%22rtdc.l.rtdc.4036%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30" t="s">
        <v>898</v>
      </c>
      <c r="B140" s="226">
        <v>4035</v>
      </c>
      <c r="C140" s="228" t="s">
        <v>192</v>
      </c>
      <c r="D140" s="228" t="s">
        <v>1029</v>
      </c>
      <c r="E140" s="227">
        <v>43063.879537037035</v>
      </c>
      <c r="F140" s="227">
        <v>43063.893935185188</v>
      </c>
      <c r="G140" s="226">
        <v>52</v>
      </c>
      <c r="H140" s="228" t="s">
        <v>498</v>
      </c>
      <c r="I140" s="227">
        <v>43063.919062499997</v>
      </c>
      <c r="J140" s="226">
        <v>0</v>
      </c>
      <c r="K140" s="238" t="str">
        <f>IF(ISEVEN(B140),(B140-1)&amp;"/"&amp;B140,B140&amp;"/"&amp;(B140+1))</f>
        <v>4035/4036</v>
      </c>
      <c r="L140" s="246" t="str">
        <f>VLOOKUP(A140,'Trips&amp;Operators'!$C$1:$G$99911,5,FALSE)</f>
        <v>ELBAUM MIKE</v>
      </c>
      <c r="M140" s="225">
        <f>I140-F140</f>
        <v>2.512731480965158E-2</v>
      </c>
      <c r="N140" s="226">
        <f>24*60*SUM($M140:$M140)</f>
        <v>36.183333325898275</v>
      </c>
      <c r="O140" s="226"/>
      <c r="P140" s="226"/>
      <c r="Q140" s="229"/>
      <c r="R140" s="243"/>
      <c r="S140" s="250">
        <f>1/IF(AG140="EC",12,1)*SUM(U140:U140)</f>
        <v>1</v>
      </c>
      <c r="T140" s="243" t="str">
        <f>IF(ISEVEN(LEFT(AD140,4)),"Southbound","NorthBound")</f>
        <v>Southbound</v>
      </c>
      <c r="U140" s="24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9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-11-24T20:06:32-0700',mode:absolute,to:'2017-11-24T23:03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0" s="248" t="str">
        <f>IF(AA140&lt;VLOOKUP(AG140,Variables!$AC$3:$AD$8,2,FALSE),"Y","N")</f>
        <v>N</v>
      </c>
      <c r="X140" s="248">
        <f>VALUE(LEFT(AD140,4))-VALUE(LEFT(AD139,4))</f>
        <v>1</v>
      </c>
      <c r="Y140" s="248">
        <f>RIGHT(D140,LEN(D140)-4)/10000</f>
        <v>23.294899999999998</v>
      </c>
      <c r="Z140" s="248">
        <f>RIGHT(H140,LEN(H140)-4)/10000</f>
        <v>2.69E-2</v>
      </c>
      <c r="AA140" s="248">
        <f>ABS(Z140-Y140)</f>
        <v>23.267999999999997</v>
      </c>
      <c r="AB140" s="234" t="e">
        <f>VLOOKUP(A140,Enforcements!$C$7:$K$9,8,0)</f>
        <v>#N/A</v>
      </c>
      <c r="AC140" s="233" t="e">
        <f>VLOOKUP(A140,Enforcements!$C$7:$E$9,3,0)</f>
        <v>#N/A</v>
      </c>
      <c r="AD140" s="244">
        <f>VALUE(LEFT(A140,LEN(A140)-3))</f>
        <v>228</v>
      </c>
      <c r="AE140" s="236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 &amp; aws s3 cp s3://rtdc.mdm.uploadarchive.raw/RTDC4035/ "%USERPROFILE%\AppData\Local\Temp\OnboardLogs"\RTDC4035\2017-11-25 --exclude "*" --recursive --include "*20171125*" &amp; "%USERPROFILE%\Documents\GitHub\mrs-test-scripts\Headless Mode &amp; Sideloading\WalkAndUnGZ.bat" "%USERPROFILE%\AppData\Local\Temp\OnboardLogs"\RTDC4035\2017-11-25</v>
      </c>
      <c r="AF140" s="235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/stypes="app*4035*20171125*" /stext=" 05:.+((SYSTEM_STATE.+slice.+state.+changed )|(ment ac)|(multiple cpu faults)|(system.+state.+changed )|(\[timeout)|(PRM\|1\|D)|(kpr)|(kdp)|(train st.+moving)|(\|lc)|(penalty))"</v>
      </c>
      <c r="AG140" s="245" t="str">
        <f>DetSubdiv(A140)</f>
        <v>EC</v>
      </c>
      <c r="AH140" s="237" t="str">
        <f t="shared" si="10"/>
        <v>"%USERPROFILE%\Documents\GitHub\eaglep3\Utilities\RefineRTDCRunTimes.py" --tripid 228-24 --locoid 4035 --swversion DE.1.0.9.0 --startMP 204:232949 --initTime 2017-11-24T21:06:32 --startdatetime 2017-11-24T21:27:16 --delay 52 --endMP 204:269 --enddatetime 2017-11-24T22:03:27 --enforcementcount 0 &gt;&gt;%USERPROFILE%\Documents\GitHub\eaglep3-reporting\EC\2017-11-24-refined-times.txt</v>
      </c>
      <c r="AI140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{"issue":{"subject":"","project_id":79,"tracker_id":40,"status_id":1,"priority_id":2,"assigned_to_id":338,"start_date":"2017-11-24","description":"","custom_fields":[{"id":1,"name":"Subdivision","value":"EC"},{"id":4,"name":"Milepost","value":"0.0269"},{"id":17,"name":"Train ID","value":"228-24"},{"id":16,"name":"Locomotive ID","value":"4035"},{"id":130,"name":"Impact","value":""},{"id":150,"name":"Time of Event (Mountain Time)","value":"22:03:27"},{"id":151,"name":"Denver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4"/>
      <c r="AK140" s="232"/>
      <c r="AL140" s="232"/>
      <c r="AM140" s="241" t="str">
        <f t="shared" si="12"/>
        <v>start /low /b %USERPROFILE%\Documents\GitHub\eaglep3\Utilities\DownloadLogsFromS3.py --loco 4035 --day 2017-11-24</v>
      </c>
      <c r="AN140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05:03:27"},{"id":29,"name":"Sharepoint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1" t="str">
        <f t="shared" si="14"/>
        <v>https://d0f6bd738d7f1b3e5a7ca70fe4ff75f0.us-east-1.aws.found.io/app/kibana#/discover/Steve-Slow-Train-Analysis-(2080s-and-2083s)?_g=(refreshInterval:(display:Off,pause:!f,section:0,value:0),time:(from:'2017-11-24T20:06:32-0700',mode:absolute,to:'2017-11-24T23:03:27-0700'))&amp;_a=(columns:!('Message%20ID',Summary),filters:!(),index:'emp_*',interval:auto,query:(query_string:(analyze_wildcard:!t,query:'%22rtdc.l.rtdc.4035%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30" t="s">
        <v>896</v>
      </c>
      <c r="B141" s="226">
        <v>4016</v>
      </c>
      <c r="C141" s="228" t="s">
        <v>192</v>
      </c>
      <c r="D141" s="228" t="s">
        <v>446</v>
      </c>
      <c r="E141" s="227">
        <v>43063.864988425928</v>
      </c>
      <c r="F141" s="227">
        <v>43063.87537037037</v>
      </c>
      <c r="G141" s="226">
        <v>528</v>
      </c>
      <c r="H141" s="228" t="s">
        <v>1030</v>
      </c>
      <c r="I141" s="227">
        <v>43063.899988425925</v>
      </c>
      <c r="J141" s="226">
        <v>0</v>
      </c>
      <c r="K141" s="238" t="str">
        <f>IF(ISEVEN(B141),(B141-1)&amp;"/"&amp;B141,B141&amp;"/"&amp;(B141+1))</f>
        <v>4015/4016</v>
      </c>
      <c r="L141" s="246" t="str">
        <f>VLOOKUP(A141,'Trips&amp;Operators'!$C$1:$G$99911,5,FALSE)</f>
        <v>ZEWDU DEREJE</v>
      </c>
      <c r="M141" s="225">
        <f>I141-F141</f>
        <v>2.4618055555038154E-2</v>
      </c>
      <c r="N141" s="226">
        <f>24*60*SUM($M141:$M141)</f>
        <v>35.449999999254942</v>
      </c>
      <c r="O141" s="226"/>
      <c r="P141" s="226"/>
      <c r="Q141" s="229"/>
      <c r="R141" s="243"/>
      <c r="S141" s="250">
        <f>1/IF(AG141="EC",12,1)*SUM(U141:U141)</f>
        <v>1</v>
      </c>
      <c r="T141" s="243" t="str">
        <f>IF(ISEVEN(LEFT(AD141,4)),"Southbound","NorthBound")</f>
        <v>NorthBound</v>
      </c>
      <c r="U141" s="24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9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-24T19:45:35-0700',mode:absolute,to:'2017-11-24T22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248" t="str">
        <f>IF(AA141&lt;VLOOKUP(AG141,Variables!$AC$3:$AD$8,2,FALSE),"Y","N")</f>
        <v>N</v>
      </c>
      <c r="X141" s="248">
        <f>VALUE(LEFT(AD141,4))-VALUE(LEFT(AD140,4))</f>
        <v>1</v>
      </c>
      <c r="Y141" s="248">
        <f>RIGHT(D141,LEN(D141)-4)/10000</f>
        <v>5.1900000000000002E-2</v>
      </c>
      <c r="Z141" s="248">
        <f>RIGHT(H141,LEN(H141)-4)/10000</f>
        <v>23.325099999999999</v>
      </c>
      <c r="AA141" s="248">
        <f>ABS(Z141-Y141)</f>
        <v>23.273199999999999</v>
      </c>
      <c r="AB141" s="234" t="e">
        <f>VLOOKUP(A141,Enforcements!$C$7:$K$9,8,0)</f>
        <v>#N/A</v>
      </c>
      <c r="AC141" s="233" t="e">
        <f>VLOOKUP(A141,Enforcements!$C$7:$E$9,3,0)</f>
        <v>#N/A</v>
      </c>
      <c r="AD141" s="244">
        <f>VALUE(LEFT(A141,LEN(A141)-3))</f>
        <v>229</v>
      </c>
      <c r="AE141" s="236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"%USERPROFILE%\AppData\Local\Temp\OnboardLogs"\RTDC4016\2017-11-24 --exclude "*" --recursive --include "*20171124*" &amp; "%USERPROFILE%\Documents\GitHub\mrs-test-scripts\Headless Mode &amp; Sideloading\WalkAndUnGZ.bat" "%USERPROFILE%\AppData\Local\Temp\OnboardLogs"\RTDC4016\2017-11-24 &amp; aws s3 cp s3://rtdc.mdm.uploadarchive.raw/RTDC4016/ "%USERPROFILE%\AppData\Local\Temp\OnboardLogs"\RTDC4016\2017-11-25 --exclude "*" --recursive --include "*20171125*" &amp; "%USERPROFILE%\Documents\GitHub\mrs-test-scripts\Headless Mode &amp; Sideloading\WalkAndUnGZ.bat" "%USERPROFILE%\AppData\Local\Temp\OnboardLogs"\RTDC4016\2017-11-25</v>
      </c>
      <c r="AF141" s="235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/stypes="app*4016*20171125*" /stext=" 04:.+((SYSTEM_STATE.+slice.+state.+changed )|(ment ac)|(multiple cpu faults)|(system.+state.+changed )|(\[timeout)|(PRM\|1\|D)|(kpr)|(kdp)|(train st.+moving)|(\|lc)|(penalty))"</v>
      </c>
      <c r="AG141" s="245" t="str">
        <f>DetSubdiv(A141)</f>
        <v>EC</v>
      </c>
      <c r="AH141" s="237" t="str">
        <f t="shared" si="10"/>
        <v>"%USERPROFILE%\Documents\GitHub\eaglep3\Utilities\RefineRTDCRunTimes.py" --tripid 229-24 --locoid 4016 --swversion DE.1.0.9.0 --startMP 204:519 --initTime 2017-11-24T20:45:35 --startdatetime 2017-11-24T21:00:32 --delay 528 --endMP 204:233251 --enddatetime 2017-11-24T21:35:59 --enforcementcount 0 &gt;&gt;%USERPROFILE%\Documents\GitHub\eaglep3-reporting\EC\2017-11-24-refined-times.txt</v>
      </c>
      <c r="AI141" s="239" t="str">
        <f t="shared" si="11"/>
        <v>echo {"issue":{"subject":"","project_id":79,"tracker_id":40,"status_id":1,"priority_id":2,"assigned_to_id":338,"start_date":"2017-11-24","description":"","custom_fields":[{"id":1,"name":"Subdivision","value":"EC"},{"id":4,"name":"Milepost","value":"23.3251"},{"id":17,"name":"Train ID","value":"229-24"},{"id":16,"name":"Locomotive ID","value":"4016"},{"id":130,"name":"Impact","value":""},{"id":150,"name":"Time of Event (Mountain Time)","value":"21:35:59"},{"id":151,"name":"Denver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4"/>
      <c r="AK141" s="232"/>
      <c r="AL141" s="232"/>
      <c r="AM141" s="241" t="str">
        <f t="shared" si="12"/>
        <v>start /low /b %USERPROFILE%\Documents\GitHub\eaglep3\Utilities\DownloadLogsFromS3.py --loco 4016 --day 2017-11-24</v>
      </c>
      <c r="AN141" s="242" t="str">
        <f t="shared" si="13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04:35:59"},{"id":29,"name":"Sharepoint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1" t="str">
        <f t="shared" si="14"/>
        <v>https://d0f6bd738d7f1b3e5a7ca70fe4ff75f0.us-east-1.aws.found.io/app/kibana#/discover/Steve-Slow-Train-Analysis-(2080s-and-2083s)?_g=(refreshInterval:(display:Off,pause:!f,section:0,value:0),time:(from:'2017-11-24T19:45:35-0700',mode:absolute,to:'2017-11-24T22:35:59-0700'))&amp;_a=(columns:!('Message%20ID',Summary),filters:!(),index:'emp_*',interval:auto,query:(query_string:(analyze_wildcard:!t,query:'%22rtdc.l.rtdc.4016%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30" t="s">
        <v>902</v>
      </c>
      <c r="B142" s="226">
        <v>4015</v>
      </c>
      <c r="C142" s="228" t="s">
        <v>192</v>
      </c>
      <c r="D142" s="228" t="s">
        <v>627</v>
      </c>
      <c r="E142" s="227">
        <v>43063.908726851849</v>
      </c>
      <c r="F142" s="227">
        <v>43063.91474537037</v>
      </c>
      <c r="G142" s="226">
        <v>70</v>
      </c>
      <c r="H142" s="228" t="s">
        <v>443</v>
      </c>
      <c r="I142" s="227">
        <v>43063.941446759258</v>
      </c>
      <c r="J142" s="226">
        <v>0</v>
      </c>
      <c r="K142" s="238" t="str">
        <f>IF(ISEVEN(B142),(B142-1)&amp;"/"&amp;B142,B142&amp;"/"&amp;(B142+1))</f>
        <v>4015/4016</v>
      </c>
      <c r="L142" s="246" t="str">
        <f>VLOOKUP(A142,'Trips&amp;Operators'!$C$1:$G$99911,5,FALSE)</f>
        <v>ZEWDU DEREJE</v>
      </c>
      <c r="M142" s="225">
        <f>I142-F142</f>
        <v>2.6701388887886424E-2</v>
      </c>
      <c r="N142" s="226">
        <f>24*60*SUM($M142:$M142)</f>
        <v>38.44999999855645</v>
      </c>
      <c r="O142" s="226"/>
      <c r="P142" s="226"/>
      <c r="Q142" s="229"/>
      <c r="R142" s="243"/>
      <c r="S142" s="250">
        <f>1/IF(AG142="EC",12,1)*SUM(U142:U142)</f>
        <v>1</v>
      </c>
      <c r="T142" s="243" t="str">
        <f>IF(ISEVEN(LEFT(AD142,4)),"Southbound","NorthBound")</f>
        <v>Southbound</v>
      </c>
      <c r="U142" s="24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9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-24T20:48:34-0700',mode:absolute,to:'2017-11-24T23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248" t="str">
        <f>IF(AA142&lt;VLOOKUP(AG142,Variables!$AC$3:$AD$8,2,FALSE),"Y","N")</f>
        <v>N</v>
      </c>
      <c r="X142" s="248">
        <f>VALUE(LEFT(AD142,4))-VALUE(LEFT(AD141,4))</f>
        <v>1</v>
      </c>
      <c r="Y142" s="248">
        <f>RIGHT(D142,LEN(D142)-4)/10000</f>
        <v>23.293800000000001</v>
      </c>
      <c r="Z142" s="248">
        <f>RIGHT(H142,LEN(H142)-4)/10000</f>
        <v>2.1399999999999999E-2</v>
      </c>
      <c r="AA142" s="248">
        <f>ABS(Z142-Y142)</f>
        <v>23.272400000000001</v>
      </c>
      <c r="AB142" s="234" t="e">
        <f>VLOOKUP(A142,Enforcements!$C$7:$K$9,8,0)</f>
        <v>#N/A</v>
      </c>
      <c r="AC142" s="233" t="e">
        <f>VLOOKUP(A142,Enforcements!$C$7:$E$9,3,0)</f>
        <v>#N/A</v>
      </c>
      <c r="AD142" s="244">
        <f>VALUE(LEFT(A142,LEN(A142)-3))</f>
        <v>230</v>
      </c>
      <c r="AE142" s="236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s3://rtdc.mdm.uploadarchive.raw/RTDC4015/ "%USERPROFILE%\AppData\Local\Temp\OnboardLogs"\RTDC4015\2017-11-24 --exclude "*" --recursive --include "*20171124*" &amp; "%USERPROFILE%\Documents\GitHub\mrs-test-scripts\Headless Mode &amp; Sideloading\WalkAndUnGZ.bat" "%USERPROFILE%\AppData\Local\Temp\OnboardLogs"\RTDC4015\2017-11-24 &amp; aws s3 cp s3://rtdc.mdm.uploadarchive.raw/RTDC4015/ "%USERPROFILE%\AppData\Local\Temp\OnboardLogs"\RTDC4015\2017-11-25 --exclude "*" --recursive --include "*20171125*" &amp; "%USERPROFILE%\Documents\GitHub\mrs-test-scripts\Headless Mode &amp; Sideloading\WalkAndUnGZ.bat" "%USERPROFILE%\AppData\Local\Temp\OnboardLogs"\RTDC4015\2017-11-25</v>
      </c>
      <c r="AF142" s="235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/stypes="app*4015*20171125*" /stext=" 05:.+((SYSTEM_STATE.+slice.+state.+changed )|(ment ac)|(multiple cpu faults)|(system.+state.+changed )|(\[timeout)|(PRM\|1\|D)|(kpr)|(kdp)|(train st.+moving)|(\|lc)|(penalty))"</v>
      </c>
      <c r="AG142" s="245" t="str">
        <f>DetSubdiv(A142)</f>
        <v>EC</v>
      </c>
      <c r="AH142" s="237" t="str">
        <f t="shared" ref="AH142:AH212" si="1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230-24 --locoid 4015 --swversion DE.1.0.9.0 --startMP 204:232938 --initTime 2017-11-24T21:48:34 --startdatetime 2017-11-24T21:57:14 --delay 70 --endMP 204:214 --enddatetime 2017-11-24T22:35:41 --enforcementcount 0 &gt;&gt;%USERPROFILE%\Documents\GitHub\eaglep3-reporting\EC\2017-11-24-refined-times.txt</v>
      </c>
      <c r="AI142" s="239" t="str">
        <f t="shared" ref="AI142:AI212" si="16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{"issue":{"subject":"","project_id":79,"tracker_id":40,"status_id":1,"priority_id":2,"assigned_to_id":338,"start_date":"2017-11-24","description":"","custom_fields":[{"id":1,"name":"Subdivision","value":"EC"},{"id":4,"name":"Milepost","value":"0.0214"},{"id":17,"name":"Train ID","value":"230-24"},{"id":16,"name":"Locomotive ID","value":"4015"},{"id":130,"name":"Impact","value":""},{"id":150,"name":"Time of Event (Mountain Time)","value":"22:35:41"},{"id":151,"name":"Denver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4"/>
      <c r="AK142" s="232"/>
      <c r="AL142" s="232"/>
      <c r="AM142" s="241" t="str">
        <f t="shared" ref="AM142:AM212" si="17">"start /low /b "&amp;dls3logs&amp;" --loco "&amp;B142&amp;" --day "&amp;TEXT(F142,"YYYY-MM-DD")</f>
        <v>start /low /b %USERPROFILE%\Documents\GitHub\eaglep3\Utilities\DownloadLogsFromS3.py --loco 4015 --day 2017-11-24</v>
      </c>
      <c r="AN142" s="242" t="str">
        <f t="shared" ref="AN142:AN212" si="18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05:35:41"},{"id":29,"name":"Sharepoint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1" t="str">
        <f t="shared" ref="AO142:AO212" si="19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-24T20:48:34-0700',mode:absolute,to:'2017-11-24T23:35:41-0700'))&amp;_a=(columns:!('Message%20ID',Summary),filters:!(),index:'emp_*',interval:auto,query:(query_string:(analyze_wildcard:!t,query:'%22rtdc.l.rtdc.4015%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30" t="s">
        <v>899</v>
      </c>
      <c r="B143" s="226">
        <v>4006</v>
      </c>
      <c r="C143" s="228" t="s">
        <v>192</v>
      </c>
      <c r="D143" s="228" t="s">
        <v>597</v>
      </c>
      <c r="E143" s="227">
        <v>43063.880891203706</v>
      </c>
      <c r="F143" s="227">
        <v>43063.896041666667</v>
      </c>
      <c r="G143" s="226">
        <v>55</v>
      </c>
      <c r="H143" s="228" t="s">
        <v>1031</v>
      </c>
      <c r="I143" s="227">
        <v>43063.921550925923</v>
      </c>
      <c r="J143" s="226">
        <v>0</v>
      </c>
      <c r="K143" s="238" t="str">
        <f>IF(ISEVEN(B143),(B143-1)&amp;"/"&amp;B143,B143&amp;"/"&amp;(B143+1))</f>
        <v>4005/4006</v>
      </c>
      <c r="L143" s="246" t="str">
        <f>VLOOKUP(A143,'Trips&amp;Operators'!$C$1:$G$99911,5,FALSE)</f>
        <v>DAVIDSON DAVID</v>
      </c>
      <c r="M143" s="225">
        <f>I143-F143</f>
        <v>2.5509259256068617E-2</v>
      </c>
      <c r="N143" s="226">
        <f>24*60*SUM($M143:$M143)</f>
        <v>36.733333328738809</v>
      </c>
      <c r="O143" s="226"/>
      <c r="P143" s="226"/>
      <c r="Q143" s="229"/>
      <c r="R143" s="243"/>
      <c r="S143" s="250">
        <f>1/IF(AG143="EC",12,1)*SUM(U143:U143)</f>
        <v>1</v>
      </c>
      <c r="T143" s="243" t="str">
        <f>IF(ISEVEN(LEFT(AD143,4)),"Southbound","NorthBound")</f>
        <v>NorthBound</v>
      </c>
      <c r="U143" s="24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9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-24T20:08:29-0700',mode:absolute,to:'2017-11-24T23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3" s="248" t="str">
        <f>IF(AA143&lt;VLOOKUP(AG143,Variables!$AC$3:$AD$8,2,FALSE),"Y","N")</f>
        <v>N</v>
      </c>
      <c r="X143" s="248">
        <f>VALUE(LEFT(AD143,4))-VALUE(LEFT(AD142,4))</f>
        <v>1</v>
      </c>
      <c r="Y143" s="248">
        <f>RIGHT(D143,LEN(D143)-4)/10000</f>
        <v>5.4199999999999998E-2</v>
      </c>
      <c r="Z143" s="248">
        <f>RIGHT(H143,LEN(H143)-4)/10000</f>
        <v>23.324000000000002</v>
      </c>
      <c r="AA143" s="248">
        <f>ABS(Z143-Y143)</f>
        <v>23.2698</v>
      </c>
      <c r="AB143" s="234" t="e">
        <f>VLOOKUP(A143,Enforcements!$C$7:$K$9,8,0)</f>
        <v>#N/A</v>
      </c>
      <c r="AC143" s="233" t="e">
        <f>VLOOKUP(A143,Enforcements!$C$7:$E$9,3,0)</f>
        <v>#N/A</v>
      </c>
      <c r="AD143" s="244">
        <f>VALUE(LEFT(A143,LEN(A143)-3))</f>
        <v>231</v>
      </c>
      <c r="AE143" s="236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s3://rtdc.mdm.uploadarchive.raw/RTDC4006/ "%USERPROFILE%\AppData\Local\Temp\OnboardLogs"\RTDC4006\2017-11-24 --exclude "*" --recursive --include "*20171124*" &amp; "%USERPROFILE%\Documents\GitHub\mrs-test-scripts\Headless Mode &amp; Sideloading\WalkAndUnGZ.bat" "%USERPROFILE%\AppData\Local\Temp\OnboardLogs"\RTDC4006\2017-11-24 &amp; aws s3 cp s3://rtdc.mdm.uploadarchive.raw/RTDC4006/ "%USERPROFILE%\AppData\Local\Temp\OnboardLogs"\RTDC4006\2017-11-25 --exclude "*" --recursive --include "*20171125*" &amp; "%USERPROFILE%\Documents\GitHub\mrs-test-scripts\Headless Mode &amp; Sideloading\WalkAndUnGZ.bat" "%USERPROFILE%\AppData\Local\Temp\OnboardLogs"\RTDC4006\2017-11-25</v>
      </c>
      <c r="AF143" s="235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/stypes="app*4006*20171125*" /stext=" 05:.+((SYSTEM_STATE.+slice.+state.+changed )|(ment ac)|(multiple cpu faults)|(system.+state.+changed )|(\[timeout)|(PRM\|1\|D)|(kpr)|(kdp)|(train st.+moving)|(\|lc)|(penalty))"</v>
      </c>
      <c r="AG143" s="245" t="str">
        <f>DetSubdiv(A143)</f>
        <v>EC</v>
      </c>
      <c r="AH143" s="237" t="str">
        <f t="shared" si="15"/>
        <v>"%USERPROFILE%\Documents\GitHub\eaglep3\Utilities\RefineRTDCRunTimes.py" --tripid 231-24 --locoid 4006 --swversion DE.1.0.9.0 --startMP 204:542 --initTime 2017-11-24T21:08:29 --startdatetime 2017-11-24T21:30:18 --delay 55 --endMP 204:233240 --enddatetime 2017-11-24T22:07:02 --enforcementcount 0 &gt;&gt;%USERPROFILE%\Documents\GitHub\eaglep3-reporting\EC\2017-11-24-refined-times.txt</v>
      </c>
      <c r="AI143" s="239" t="str">
        <f t="shared" si="16"/>
        <v>echo {"issue":{"subject":"","project_id":79,"tracker_id":40,"status_id":1,"priority_id":2,"assigned_to_id":338,"start_date":"2017-11-24","description":"","custom_fields":[{"id":1,"name":"Subdivision","value":"EC"},{"id":4,"name":"Milepost","value":"23.324"},{"id":17,"name":"Train ID","value":"231-24"},{"id":16,"name":"Locomotive ID","value":"4006"},{"id":130,"name":"Impact","value":""},{"id":150,"name":"Time of Event (Mountain Time)","value":"22:07:02"},{"id":151,"name":"Denver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4"/>
      <c r="AK143" s="232"/>
      <c r="AL143" s="232"/>
      <c r="AM143" s="241" t="str">
        <f t="shared" si="17"/>
        <v>start /low /b %USERPROFILE%\Documents\GitHub\eaglep3\Utilities\DownloadLogsFromS3.py --loco 4006 --day 2017-11-24</v>
      </c>
      <c r="AN143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05:07:02"},{"id":29,"name":"Sharepoint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1" t="str">
        <f t="shared" si="19"/>
        <v>https://d0f6bd738d7f1b3e5a7ca70fe4ff75f0.us-east-1.aws.found.io/app/kibana#/discover/Steve-Slow-Train-Analysis-(2080s-and-2083s)?_g=(refreshInterval:(display:Off,pause:!f,section:0,value:0),time:(from:'2017-11-24T20:08:29-0700',mode:absolute,to:'2017-11-24T23:07:02-0700'))&amp;_a=(columns:!('Message%20ID',Summary),filters:!(),index:'emp_*',interval:auto,query:(query_string:(analyze_wildcard:!t,query:'%22rtdc.l.rtdc.4006%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30" t="s">
        <v>904</v>
      </c>
      <c r="B144" s="226">
        <v>4005</v>
      </c>
      <c r="C144" s="228" t="s">
        <v>192</v>
      </c>
      <c r="D144" s="228" t="s">
        <v>1032</v>
      </c>
      <c r="E144" s="227">
        <v>43063.922951388886</v>
      </c>
      <c r="F144" s="227">
        <v>43063.935636574075</v>
      </c>
      <c r="G144" s="226">
        <v>49</v>
      </c>
      <c r="H144" s="228" t="s">
        <v>1000</v>
      </c>
      <c r="I144" s="227">
        <v>43063.96329861111</v>
      </c>
      <c r="J144" s="226">
        <v>0</v>
      </c>
      <c r="K144" s="238" t="str">
        <f>IF(ISEVEN(B144),(B144-1)&amp;"/"&amp;B144,B144&amp;"/"&amp;(B144+1))</f>
        <v>4005/4006</v>
      </c>
      <c r="L144" s="246" t="str">
        <f>VLOOKUP(A144,'Trips&amp;Operators'!$C$1:$G$99911,5,FALSE)</f>
        <v>DAVIDSON DAVID</v>
      </c>
      <c r="M144" s="225">
        <f>I144-F144</f>
        <v>2.7662037035042886E-2</v>
      </c>
      <c r="N144" s="226">
        <f>24*60*SUM($M144:$M144)</f>
        <v>39.833333330461755</v>
      </c>
      <c r="O144" s="226"/>
      <c r="P144" s="226"/>
      <c r="Q144" s="229"/>
      <c r="R144" s="243"/>
      <c r="S144" s="250">
        <f>1/IF(AG144="EC",12,1)*SUM(U144:U144)</f>
        <v>1</v>
      </c>
      <c r="T144" s="243" t="str">
        <f>IF(ISEVEN(LEFT(AD144,4)),"Southbound","NorthBound")</f>
        <v>Southbound</v>
      </c>
      <c r="U144" s="24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9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-24T21:09:03-0700',mode:absolute,to:'2017-11-25T00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4" s="248" t="str">
        <f>IF(AA144&lt;VLOOKUP(AG144,Variables!$AC$3:$AD$8,2,FALSE),"Y","N")</f>
        <v>N</v>
      </c>
      <c r="X144" s="248">
        <f>VALUE(LEFT(AD144,4))-VALUE(LEFT(AD143,4))</f>
        <v>1</v>
      </c>
      <c r="Y144" s="248">
        <f>RIGHT(D144,LEN(D144)-4)/10000</f>
        <v>23.291699999999999</v>
      </c>
      <c r="Z144" s="248">
        <f>RIGHT(H144,LEN(H144)-4)/10000</f>
        <v>2.3099999999999999E-2</v>
      </c>
      <c r="AA144" s="248">
        <f>ABS(Z144-Y144)</f>
        <v>23.268599999999999</v>
      </c>
      <c r="AB144" s="234" t="e">
        <f>VLOOKUP(A144,Enforcements!$C$7:$K$9,8,0)</f>
        <v>#N/A</v>
      </c>
      <c r="AC144" s="233" t="e">
        <f>VLOOKUP(A144,Enforcements!$C$7:$E$9,3,0)</f>
        <v>#N/A</v>
      </c>
      <c r="AD144" s="244">
        <f>VALUE(LEFT(A144,LEN(A144)-3))</f>
        <v>232</v>
      </c>
      <c r="AE144" s="236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s3://rtdc.mdm.uploadarchive.raw/RTDC4005/ "%USERPROFILE%\AppData\Local\Temp\OnboardLogs"\RTDC4005\2017-11-24 --exclude "*" --recursive --include "*20171124*" &amp; "%USERPROFILE%\Documents\GitHub\mrs-test-scripts\Headless Mode &amp; Sideloading\WalkAndUnGZ.bat" "%USERPROFILE%\AppData\Local\Temp\OnboardLogs"\RTDC4005\2017-11-24 &amp; aws s3 cp s3://rtdc.mdm.uploadarchive.raw/RTDC4005/ "%USERPROFILE%\AppData\Local\Temp\OnboardLogs"\RTDC4005\2017-11-25 --exclude "*" --recursive --include "*20171125*" &amp; "%USERPROFILE%\Documents\GitHub\mrs-test-scripts\Headless Mode &amp; Sideloading\WalkAndUnGZ.bat" "%USERPROFILE%\AppData\Local\Temp\OnboardLogs"\RTDC4005\2017-11-25</v>
      </c>
      <c r="AF144" s="235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/stypes="app*4005*20171125*" /stext=" 06:.+((SYSTEM_STATE.+slice.+state.+changed )|(ment ac)|(multiple cpu faults)|(system.+state.+changed )|(\[timeout)|(PRM\|1\|D)|(kpr)|(kdp)|(train st.+moving)|(\|lc)|(penalty))"</v>
      </c>
      <c r="AG144" s="245" t="str">
        <f>DetSubdiv(A144)</f>
        <v>EC</v>
      </c>
      <c r="AH144" s="237" t="str">
        <f t="shared" si="15"/>
        <v>"%USERPROFILE%\Documents\GitHub\eaglep3\Utilities\RefineRTDCRunTimes.py" --tripid 232-24 --locoid 4005 --swversion DE.1.0.9.0 --startMP 204:232917 --initTime 2017-11-24T22:09:03 --startdatetime 2017-11-24T22:27:19 --delay 49 --endMP 204:231 --enddatetime 2017-11-24T23:07:09 --enforcementcount 0 &gt;&gt;%USERPROFILE%\Documents\GitHub\eaglep3-reporting\EC\2017-11-24-refined-times.txt</v>
      </c>
      <c r="AI144" s="239" t="str">
        <f t="shared" si="16"/>
        <v>echo {"issue":{"subject":"","project_id":79,"tracker_id":40,"status_id":1,"priority_id":2,"assigned_to_id":338,"start_date":"2017-11-24","description":"","custom_fields":[{"id":1,"name":"Subdivision","value":"EC"},{"id":4,"name":"Milepost","value":"0.0231"},{"id":17,"name":"Train ID","value":"232-24"},{"id":16,"name":"Locomotive ID","value":"4005"},{"id":130,"name":"Impact","value":""},{"id":150,"name":"Time of Event (Mountain Time)","value":"23:07:09"},{"id":151,"name":"Denver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4"/>
      <c r="AK144" s="232"/>
      <c r="AL144" s="232"/>
      <c r="AM144" s="241" t="str">
        <f t="shared" si="17"/>
        <v>start /low /b %USERPROFILE%\Documents\GitHub\eaglep3\Utilities\DownloadLogsFromS3.py --loco 4005 --day 2017-11-24</v>
      </c>
      <c r="AN144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06:07:09"},{"id":29,"name":"Sharepoint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1" t="str">
        <f t="shared" si="19"/>
        <v>https://d0f6bd738d7f1b3e5a7ca70fe4ff75f0.us-east-1.aws.found.io/app/kibana#/discover/Steve-Slow-Train-Analysis-(2080s-and-2083s)?_g=(refreshInterval:(display:Off,pause:!f,section:0,value:0),time:(from:'2017-11-24T21:09:03-0700',mode:absolute,to:'2017-11-25T00:07:09-0700'))&amp;_a=(columns:!('Message%20ID',Summary),filters:!(),index:'emp_*',interval:auto,query:(query_string:(analyze_wildcard:!t,query:'%22rtdc.l.rtdc.4005%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4" customFormat="1" x14ac:dyDescent="0.25">
      <c r="A145" s="230" t="s">
        <v>901</v>
      </c>
      <c r="B145" s="226">
        <v>4010</v>
      </c>
      <c r="C145" s="228" t="s">
        <v>192</v>
      </c>
      <c r="D145" s="228" t="s">
        <v>625</v>
      </c>
      <c r="E145" s="227">
        <v>43063.900717592594</v>
      </c>
      <c r="F145" s="227">
        <v>43063.916817129626</v>
      </c>
      <c r="G145" s="226">
        <v>54</v>
      </c>
      <c r="H145" s="228" t="s">
        <v>1018</v>
      </c>
      <c r="I145" s="227">
        <v>43063.941157407404</v>
      </c>
      <c r="J145" s="226">
        <v>0</v>
      </c>
      <c r="K145" s="238" t="str">
        <f>IF(ISEVEN(B145),(B145-1)&amp;"/"&amp;B145,B145&amp;"/"&amp;(B145+1))</f>
        <v>4009/4010</v>
      </c>
      <c r="L145" s="246" t="str">
        <f>VLOOKUP(A145,'Trips&amp;Operators'!$C$1:$G$99911,5,FALSE)</f>
        <v>MCREYNOLDS KYLE</v>
      </c>
      <c r="M145" s="225">
        <f>I145-F145</f>
        <v>2.4340277777810115E-2</v>
      </c>
      <c r="N145" s="226">
        <f>24*60*SUM($M145:$M145)</f>
        <v>35.050000000046566</v>
      </c>
      <c r="O145" s="226"/>
      <c r="P145" s="226"/>
      <c r="Q145" s="229"/>
      <c r="R145" s="243"/>
      <c r="S145" s="250">
        <f>1/IF(AG145="EC",12,1)*SUM(U145:U145)</f>
        <v>1</v>
      </c>
      <c r="T145" s="243" t="str">
        <f>IF(ISEVEN(LEFT(AD145,4)),"Southbound","NorthBound")</f>
        <v>NorthBound</v>
      </c>
      <c r="U145" s="24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9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-24T20:37:02-0700',mode:absolute,to:'2017-11-24T23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5" s="248" t="str">
        <f>IF(AA145&lt;VLOOKUP(AG145,Variables!$AC$3:$AD$8,2,FALSE),"Y","N")</f>
        <v>N</v>
      </c>
      <c r="X145" s="248">
        <f>VALUE(LEFT(AD145,4))-VALUE(LEFT(AD144,4))</f>
        <v>1</v>
      </c>
      <c r="Y145" s="248">
        <f>RIGHT(D145,LEN(D145)-4)/10000</f>
        <v>5.3999999999999999E-2</v>
      </c>
      <c r="Z145" s="248">
        <f>RIGHT(H145,LEN(H145)-4)/10000</f>
        <v>23.3186</v>
      </c>
      <c r="AA145" s="248">
        <f>ABS(Z145-Y145)</f>
        <v>23.264600000000002</v>
      </c>
      <c r="AB145" s="234" t="e">
        <f>VLOOKUP(A145,Enforcements!$C$7:$K$9,8,0)</f>
        <v>#N/A</v>
      </c>
      <c r="AC145" s="233" t="e">
        <f>VLOOKUP(A145,Enforcements!$C$7:$E$9,3,0)</f>
        <v>#N/A</v>
      </c>
      <c r="AD145" s="244">
        <f>VALUE(LEFT(A145,LEN(A145)-3))</f>
        <v>233</v>
      </c>
      <c r="AE145" s="236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s3://rtdc.mdm.uploadarchive.raw/RTDC4010/ "%USERPROFILE%\AppData\Local\Temp\OnboardLogs"\RTDC4010\2017-11-24 --exclude "*" --recursive --include "*20171124*" &amp; "%USERPROFILE%\Documents\GitHub\mrs-test-scripts\Headless Mode &amp; Sideloading\WalkAndUnGZ.bat" "%USERPROFILE%\AppData\Local\Temp\OnboardLogs"\RTDC4010\2017-11-24 &amp; aws s3 cp s3://rtdc.mdm.uploadarchive.raw/RTDC4010/ "%USERPROFILE%\AppData\Local\Temp\OnboardLogs"\RTDC4010\2017-11-25 --exclude "*" --recursive --include "*20171125*" &amp; "%USERPROFILE%\Documents\GitHub\mrs-test-scripts\Headless Mode &amp; Sideloading\WalkAndUnGZ.bat" "%USERPROFILE%\AppData\Local\Temp\OnboardLogs"\RTDC4010\2017-11-25</v>
      </c>
      <c r="AF145" s="235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/stypes="app*4010*20171125*" /stext=" 05:.+((SYSTEM_STATE.+slice.+state.+changed )|(ment ac)|(multiple cpu faults)|(system.+state.+changed )|(\[timeout)|(PRM\|1\|D)|(kpr)|(kdp)|(train st.+moving)|(\|lc)|(penalty))"</v>
      </c>
      <c r="AG145" s="245" t="str">
        <f>DetSubdiv(A145)</f>
        <v>EC</v>
      </c>
      <c r="AH145" s="237" t="str">
        <f t="shared" si="15"/>
        <v>"%USERPROFILE%\Documents\GitHub\eaglep3\Utilities\RefineRTDCRunTimes.py" --tripid 233-24 --locoid 4010 --swversion DE.1.0.9.0 --startMP 204:540 --initTime 2017-11-24T21:37:02 --startdatetime 2017-11-24T22:00:13 --delay 54 --endMP 204:233186 --enddatetime 2017-11-24T22:35:16 --enforcementcount 0 &gt;&gt;%USERPROFILE%\Documents\GitHub\eaglep3-reporting\EC\2017-11-24-refined-times.txt</v>
      </c>
      <c r="AI145" s="239" t="str">
        <f t="shared" si="16"/>
        <v>echo {"issue":{"subject":"","project_id":79,"tracker_id":40,"status_id":1,"priority_id":2,"assigned_to_id":338,"start_date":"2017-11-24","description":"","custom_fields":[{"id":1,"name":"Subdivision","value":"EC"},{"id":4,"name":"Milepost","value":"23.3186"},{"id":17,"name":"Train ID","value":"233-24"},{"id":16,"name":"Locomotive ID","value":"4010"},{"id":130,"name":"Impact","value":""},{"id":150,"name":"Time of Event (Mountain Time)","value":"22:35:16"},{"id":151,"name":"Denver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2"/>
      <c r="AL145" s="232"/>
      <c r="AM145" s="241" t="str">
        <f t="shared" si="17"/>
        <v>start /low /b %USERPROFILE%\Documents\GitHub\eaglep3\Utilities\DownloadLogsFromS3.py --loco 4010 --day 2017-11-24</v>
      </c>
      <c r="AN145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05:35:16"},{"id":29,"name":"Sharepoint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1" t="str">
        <f t="shared" si="19"/>
        <v>https://d0f6bd738d7f1b3e5a7ca70fe4ff75f0.us-east-1.aws.found.io/app/kibana#/discover/Steve-Slow-Train-Analysis-(2080s-and-2083s)?_g=(refreshInterval:(display:Off,pause:!f,section:0,value:0),time:(from:'2017-11-24T20:37:02-0700',mode:absolute,to:'2017-11-24T23:35:16-0700'))&amp;_a=(columns:!('Message%20ID',Summary),filters:!(),index:'emp_*',interval:auto,query:(query_string:(analyze_wildcard:!t,query:'%22rtdc.l.rtdc.4010%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30" t="s">
        <v>905</v>
      </c>
      <c r="B146" s="226">
        <v>4009</v>
      </c>
      <c r="C146" s="228" t="s">
        <v>192</v>
      </c>
      <c r="D146" s="228" t="s">
        <v>594</v>
      </c>
      <c r="E146" s="227">
        <v>43063.949583333335</v>
      </c>
      <c r="F146" s="227">
        <v>43063.956550925926</v>
      </c>
      <c r="G146" s="226">
        <v>56</v>
      </c>
      <c r="H146" s="228" t="s">
        <v>542</v>
      </c>
      <c r="I146" s="227">
        <v>43063.984143518515</v>
      </c>
      <c r="J146" s="226">
        <v>0</v>
      </c>
      <c r="K146" s="238" t="str">
        <f>IF(ISEVEN(B146),(B146-1)&amp;"/"&amp;B146,B146&amp;"/"&amp;(B146+1))</f>
        <v>4009/4010</v>
      </c>
      <c r="L146" s="246" t="str">
        <f>VLOOKUP(A146,'Trips&amp;Operators'!$C$1:$G$99911,5,FALSE)</f>
        <v>MCREYNOLDS KYLE</v>
      </c>
      <c r="M146" s="225">
        <f>I146-F146</f>
        <v>2.7592592588916887E-2</v>
      </c>
      <c r="N146" s="226">
        <f>24*60*SUM($M146:$M146)</f>
        <v>39.733333328040317</v>
      </c>
      <c r="O146" s="226"/>
      <c r="P146" s="226"/>
      <c r="Q146" s="229"/>
      <c r="R146" s="243"/>
      <c r="S146" s="250">
        <f>1/IF(AG146="EC",12,1)*SUM(U146:U146)</f>
        <v>1</v>
      </c>
      <c r="T146" s="243" t="str">
        <f>IF(ISEVEN(LEFT(AD146,4)),"Southbound","NorthBound")</f>
        <v>Southbound</v>
      </c>
      <c r="U146" s="24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9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-11-24T21:47:24-0700',mode:absolute,to:'2017-11-25T00:37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6" s="248" t="str">
        <f>IF(AA146&lt;VLOOKUP(AG146,Variables!$AC$3:$AD$8,2,FALSE),"Y","N")</f>
        <v>N</v>
      </c>
      <c r="X146" s="248">
        <f>VALUE(LEFT(AD146,4))-VALUE(LEFT(AD145,4))</f>
        <v>1</v>
      </c>
      <c r="Y146" s="248">
        <f>RIGHT(D146,LEN(D146)-4)/10000</f>
        <v>23.285</v>
      </c>
      <c r="Z146" s="248">
        <f>RIGHT(H146,LEN(H146)-4)/10000</f>
        <v>2.52E-2</v>
      </c>
      <c r="AA146" s="248">
        <f>ABS(Z146-Y146)</f>
        <v>23.259799999999998</v>
      </c>
      <c r="AB146" s="234" t="e">
        <f>VLOOKUP(A146,Enforcements!$C$7:$K$9,8,0)</f>
        <v>#N/A</v>
      </c>
      <c r="AC146" s="233" t="e">
        <f>VLOOKUP(A146,Enforcements!$C$7:$E$9,3,0)</f>
        <v>#N/A</v>
      </c>
      <c r="AD146" s="244">
        <f>VALUE(LEFT(A146,LEN(A146)-3))</f>
        <v>234</v>
      </c>
      <c r="AE146" s="236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s3://rtdc.mdm.uploadarchive.raw/RTDC4009/ "%USERPROFILE%\AppData\Local\Temp\OnboardLogs"\RTDC4009\2017-11-24 --exclude "*" --recursive --include "*20171124*" &amp; "%USERPROFILE%\Documents\GitHub\mrs-test-scripts\Headless Mode &amp; Sideloading\WalkAndUnGZ.bat" "%USERPROFILE%\AppData\Local\Temp\OnboardLogs"\RTDC4009\2017-11-24 &amp; aws s3 cp s3://rtdc.mdm.uploadarchive.raw/RTDC4009/ "%USERPROFILE%\AppData\Local\Temp\OnboardLogs"\RTDC4009\2017-11-25 --exclude "*" --recursive --include "*20171125*" &amp; "%USERPROFILE%\Documents\GitHub\mrs-test-scripts\Headless Mode &amp; Sideloading\WalkAndUnGZ.bat" "%USERPROFILE%\AppData\Local\Temp\OnboardLogs"\RTDC4009\2017-11-25</v>
      </c>
      <c r="AF146" s="235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/stypes="app*4009*20171125*" /stext=" 06:.+((SYSTEM_STATE.+slice.+state.+changed )|(ment ac)|(multiple cpu faults)|(system.+state.+changed )|(\[timeout)|(PRM\|1\|D)|(kpr)|(kdp)|(train st.+moving)|(\|lc)|(penalty))"</v>
      </c>
      <c r="AG146" s="245" t="str">
        <f>DetSubdiv(A146)</f>
        <v>EC</v>
      </c>
      <c r="AH146" s="237" t="str">
        <f t="shared" si="15"/>
        <v>"%USERPROFILE%\Documents\GitHub\eaglep3\Utilities\RefineRTDCRunTimes.py" --tripid 234-24 --locoid 4009 --swversion DE.1.0.9.0 --startMP 204:232850 --initTime 2017-11-24T22:47:24 --startdatetime 2017-11-24T22:57:26 --delay 56 --endMP 204:252 --enddatetime 2017-11-24T23:37:10 --enforcementcount 0 &gt;&gt;%USERPROFILE%\Documents\GitHub\eaglep3-reporting\EC\2017-11-24-refined-times.txt</v>
      </c>
      <c r="AI146" s="239" t="str">
        <f t="shared" si="16"/>
        <v>echo {"issue":{"subject":"","project_id":79,"tracker_id":40,"status_id":1,"priority_id":2,"assigned_to_id":338,"start_date":"2017-11-24","description":"","custom_fields":[{"id":1,"name":"Subdivision","value":"EC"},{"id":4,"name":"Milepost","value":"0.0252"},{"id":17,"name":"Train ID","value":"234-24"},{"id":16,"name":"Locomotive ID","value":"4009"},{"id":130,"name":"Impact","value":""},{"id":150,"name":"Time of Event (Mountain Time)","value":"23:37:10"},{"id":151,"name":"Denver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4"/>
      <c r="AK146" s="232"/>
      <c r="AL146" s="232"/>
      <c r="AM146" s="241" t="str">
        <f t="shared" si="17"/>
        <v>start /low /b %USERPROFILE%\Documents\GitHub\eaglep3\Utilities\DownloadLogsFromS3.py --loco 4009 --day 2017-11-24</v>
      </c>
      <c r="AN146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06:37:10"},{"id":29,"name":"Sharepoint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1" t="str">
        <f t="shared" si="19"/>
        <v>https://d0f6bd738d7f1b3e5a7ca70fe4ff75f0.us-east-1.aws.found.io/app/kibana#/discover/Steve-Slow-Train-Analysis-(2080s-and-2083s)?_g=(refreshInterval:(display:Off,pause:!f,section:0,value:0),time:(from:'2017-11-24T21:47:24-0700',mode:absolute,to:'2017-11-25T00:37:10-0700'))&amp;_a=(columns:!('Message%20ID',Summary),filters:!(),index:'emp_*',interval:auto,query:(query_string:(analyze_wildcard:!t,query:'%22rtdc.l.rtdc.4009%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230" t="s">
        <v>675</v>
      </c>
      <c r="B147" s="226">
        <v>4036</v>
      </c>
      <c r="C147" s="228" t="s">
        <v>192</v>
      </c>
      <c r="D147" s="228" t="s">
        <v>513</v>
      </c>
      <c r="E147" s="227">
        <v>43063.92015046296</v>
      </c>
      <c r="F147" s="227">
        <v>43063.937638888892</v>
      </c>
      <c r="G147" s="226">
        <v>54</v>
      </c>
      <c r="H147" s="228" t="s">
        <v>617</v>
      </c>
      <c r="I147" s="227">
        <v>43063.953252314815</v>
      </c>
      <c r="J147" s="226">
        <v>0</v>
      </c>
      <c r="K147" s="238" t="str">
        <f>IF(ISEVEN(B147),(B147-1)&amp;"/"&amp;B147,B147&amp;"/"&amp;(B147+1))</f>
        <v>4035/4036</v>
      </c>
      <c r="L147" s="246" t="str">
        <f>VLOOKUP(A147,'Trips&amp;Operators'!$C$1:$G$99911,5,FALSE)</f>
        <v>ELBAUM MIKE</v>
      </c>
      <c r="M147" s="225">
        <f>I147-F147</f>
        <v>1.5613425923220348E-2</v>
      </c>
      <c r="N147" s="226"/>
      <c r="O147" s="226"/>
      <c r="P147" s="226">
        <f>24*60*SUM($M147:$M148)</f>
        <v>38.433333327993751</v>
      </c>
      <c r="Q147" s="229"/>
      <c r="R147" s="243" t="s">
        <v>504</v>
      </c>
      <c r="S147" s="250">
        <f>1/IF(AG147="EC",12,1)*SUM(U147:U147)</f>
        <v>1</v>
      </c>
      <c r="T147" s="243" t="str">
        <f>IF(ISEVEN(LEFT(AD147,4)),"Southbound","NorthBound")</f>
        <v>NorthBound</v>
      </c>
      <c r="U147" s="24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9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-24T21:05:01-0700',mode:absolute,to:'2017-11-24T23:52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7" s="248" t="str">
        <f>IF(AA147&lt;VLOOKUP(AG147,Variables!$AC$3:$AD$8,2,FALSE),"Y","N")</f>
        <v>Y</v>
      </c>
      <c r="X147" s="248">
        <f>VALUE(LEFT(AD147,4))-VALUE(LEFT(AD146,4))</f>
        <v>1</v>
      </c>
      <c r="Y147" s="248">
        <f>RIGHT(D147,LEN(D147)-4)/10000</f>
        <v>5.57E-2</v>
      </c>
      <c r="Z147" s="248">
        <v>12.639200000000001</v>
      </c>
      <c r="AA147" s="248">
        <f>ABS(Z147-Y147)</f>
        <v>12.583500000000001</v>
      </c>
      <c r="AB147" s="234" t="e">
        <f>VLOOKUP(A147,Enforcements!$C$7:$K$9,8,0)</f>
        <v>#N/A</v>
      </c>
      <c r="AC147" s="233" t="e">
        <f>VLOOKUP(A147,Enforcements!$C$7:$E$9,3,0)</f>
        <v>#N/A</v>
      </c>
      <c r="AD147" s="244">
        <f>VALUE(LEFT(A147,LEN(A147)-3))</f>
        <v>235</v>
      </c>
      <c r="AE147" s="236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 &amp; aws s3 cp s3://rtdc.mdm.uploadarchive.raw/RTDC4036/ "%USERPROFILE%\AppData\Local\Temp\OnboardLogs"\RTDC4036\2017-11-25 --exclude "*" --recursive --include "*20171125*" &amp; "%USERPROFILE%\Documents\GitHub\mrs-test-scripts\Headless Mode &amp; Sideloading\WalkAndUnGZ.bat" "%USERPROFILE%\AppData\Local\Temp\OnboardLogs"\RTDC4036\2017-11-25</v>
      </c>
      <c r="AF147" s="235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/stypes="app*4036*20171125*" /stext=" 05:.+((SYSTEM_STATE.+slice.+state.+changed )|(ment ac)|(multiple cpu faults)|(system.+state.+changed )|(\[timeout)|(PRM\|1\|D)|(kpr)|(kdp)|(train st.+moving)|(\|lc)|(penalty))"</v>
      </c>
      <c r="AG147" s="245" t="str">
        <f>DetSubdiv(A147)</f>
        <v>EC</v>
      </c>
      <c r="AH147" s="237" t="str">
        <f t="shared" si="15"/>
        <v>"%USERPROFILE%\Documents\GitHub\eaglep3\Utilities\RefineRTDCRunTimes.py" --tripid 235-24 --locoid 4036 --swversion DE.1.0.9.0 --startMP 204:557 --initTime 2017-11-24T22:05:01 --startdatetime 2017-11-24T22:30:12 --delay 54 --endMP 204:233261 --enddatetime 2017-11-24T22:52:41 --enforcementcount 0 &gt;&gt;%USERPROFILE%\Documents\GitHub\eaglep3-reporting\EC\2017-11-24-refined-times.txt</v>
      </c>
      <c r="AI147" s="239" t="str">
        <f t="shared" si="16"/>
        <v>echo {"issue":{"subject":"Wi-MAX data drop","project_id":79,"tracker_id":40,"status_id":1,"priority_id":2,"assigned_to_id":338,"start_date":"2017-11-24","description":"","custom_fields":[{"id":1,"name":"Subdivision","value":"EC"},{"id":4,"name":"Milepost","value":"12.6392"},{"id":17,"name":"Train ID","value":"235-24"},{"id":16,"name":"Locomotive ID","value":"4036"},{"id":130,"name":"Impact","value":""},{"id":150,"name":"Time of Event (Mountain Time)","value":"22:52:41"},{"id":151,"name":"Denver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4"/>
      <c r="AK147" s="232"/>
      <c r="AL147" s="232"/>
      <c r="AM147" s="241" t="str">
        <f t="shared" si="17"/>
        <v>start /low /b %USERPROFILE%\Documents\GitHub\eaglep3\Utilities\DownloadLogsFromS3.py --loco 4036 --day 2017-11-24</v>
      </c>
      <c r="AN147" s="242" t="str">
        <f t="shared" si="18"/>
        <v>echo {"issue":{"subject":"Wi-MAX data drop","project_id":30,"tracker_id":4,"status_id":1,"priority_id":1,"assigned_to_id":10,"start_date":"2017-11-25","description":"","custom_fields":[{"id":30,"name":"Category","value":"Issue"},{"id":3,"name":"Functional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05:52:41"},{"id":29,"name":"Sharepoint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1" t="str">
        <f t="shared" si="19"/>
        <v>https://d0f6bd738d7f1b3e5a7ca70fe4ff75f0.us-east-1.aws.found.io/app/kibana#/discover/Steve-Slow-Train-Analysis-(2080s-and-2083s)?_g=(refreshInterval:(display:Off,pause:!f,section:0,value:0),time:(from:'2017-11-24T21:05:01-0700',mode:absolute,to:'2017-11-24T23:52:41-0700'))&amp;_a=(columns:!('Message%20ID',Summary),filters:!(),index:'emp_*',interval:auto,query:(query_string:(analyze_wildcard:!t,query:'%22rtdc.l.rtdc.4036%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4" customFormat="1" x14ac:dyDescent="0.25">
      <c r="A148" s="230" t="s">
        <v>675</v>
      </c>
      <c r="B148" s="226">
        <v>4036</v>
      </c>
      <c r="C148" s="228" t="s">
        <v>192</v>
      </c>
      <c r="D148" s="228" t="s">
        <v>513</v>
      </c>
      <c r="E148" s="227">
        <v>43063.92015046296</v>
      </c>
      <c r="F148" s="227">
        <v>43063.953680555554</v>
      </c>
      <c r="G148" s="226">
        <v>54</v>
      </c>
      <c r="H148" s="228" t="s">
        <v>617</v>
      </c>
      <c r="I148" s="227">
        <v>43063.964756944442</v>
      </c>
      <c r="J148" s="226">
        <v>0</v>
      </c>
      <c r="K148" s="238" t="str">
        <f>IF(ISEVEN(B148),(B148-1)&amp;"/"&amp;B148,B148&amp;"/"&amp;(B148+1))</f>
        <v>4035/4036</v>
      </c>
      <c r="L148" s="246" t="str">
        <f>VLOOKUP(A148,'Trips&amp;Operators'!$C$1:$G$99911,5,FALSE)</f>
        <v>ELBAUM MIKE</v>
      </c>
      <c r="M148" s="225">
        <f>I148-F148</f>
        <v>1.1076388887886424E-2</v>
      </c>
      <c r="N148" s="226"/>
      <c r="O148" s="226"/>
      <c r="P148" s="226"/>
      <c r="Q148" s="229"/>
      <c r="R148" s="243"/>
      <c r="S148" s="250"/>
      <c r="T148" s="243" t="str">
        <f>IF(ISEVEN(LEFT(AD148,4)),"Southbound","NorthBound")</f>
        <v>NorthBound</v>
      </c>
      <c r="U148" s="24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0</v>
      </c>
      <c r="V148" s="249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-24T21:05:01-0700',mode:absolute,to:'2017-11-25T00:09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8" s="248" t="str">
        <f>IF(AA148&lt;VLOOKUP(AG148,Variables!$AC$3:$AD$8,2,FALSE),"Y","N")</f>
        <v>Y</v>
      </c>
      <c r="X148" s="248">
        <f>VALUE(LEFT(AD148,4))-VALUE(LEFT(AD147,4))</f>
        <v>0</v>
      </c>
      <c r="Y148" s="248">
        <v>12.703099999999999</v>
      </c>
      <c r="Z148" s="248">
        <f>RIGHT(H148,LEN(H148)-4)/10000</f>
        <v>23.3261</v>
      </c>
      <c r="AA148" s="248">
        <f>ABS(Z148-Y148)</f>
        <v>10.623000000000001</v>
      </c>
      <c r="AB148" s="234" t="e">
        <f>VLOOKUP(A148,Enforcements!$C$7:$K$9,8,0)</f>
        <v>#N/A</v>
      </c>
      <c r="AC148" s="233" t="e">
        <f>VLOOKUP(A148,Enforcements!$C$7:$E$9,3,0)</f>
        <v>#N/A</v>
      </c>
      <c r="AD148" s="244">
        <f>VALUE(LEFT(A148,LEN(A148)-3))</f>
        <v>235</v>
      </c>
      <c r="AE148" s="236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 &amp; aws s3 cp s3://rtdc.mdm.uploadarchive.raw/RTDC4036/ "%USERPROFILE%\AppData\Local\Temp\OnboardLogs"\RTDC4036\2017-11-25 --exclude "*" --recursive --include "*20171125*" &amp; "%USERPROFILE%\Documents\GitHub\mrs-test-scripts\Headless Mode &amp; Sideloading\WalkAndUnGZ.bat" "%USERPROFILE%\AppData\Local\Temp\OnboardLogs"\RTDC4036\2017-11-25</v>
      </c>
      <c r="AF148" s="235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/stypes="app*4036*20171125*" /stext=" 06:.+((SYSTEM_STATE.+slice.+state.+changed )|(ment ac)|(multiple cpu faults)|(system.+state.+changed )|(\[timeout)|(PRM\|1\|D)|(kpr)|(kdp)|(train st.+moving)|(\|lc)|(penalty))"</v>
      </c>
      <c r="AG148" s="245" t="str">
        <f>DetSubdiv(A148)</f>
        <v>EC</v>
      </c>
      <c r="AH148" s="237" t="str">
        <f t="shared" ref="AH148" si="20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235-24 --locoid 4036 --swversion DE.1.0.9.0 --startMP 204:557 --initTime 2017-11-24T22:05:01 --startdatetime 2017-11-24T22:53:18 --delay 54 --endMP 204:233261 --enddatetime 2017-11-24T23:09:15 --enforcementcount 0 &gt;&gt;%USERPROFILE%\Documents\GitHub\eaglep3-reporting\EC\2017-11-24-refined-times.txt</v>
      </c>
      <c r="AI148" s="239" t="str">
        <f t="shared" ref="AI148" si="21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{"issue":{"subject":"","project_id":79,"tracker_id":40,"status_id":1,"priority_id":2,"assigned_to_id":338,"start_date":"2017-11-24","description":"","custom_fields":[{"id":1,"name":"Subdivision","value":"EC"},{"id":4,"name":"Milepost","value":"23.3261"},{"id":17,"name":"Train ID","value":"235-24"},{"id":16,"name":"Locomotive ID","value":"4036"},{"id":130,"name":"Impact","value":""},{"id":150,"name":"Time of Event (Mountain Time)","value":"23:09:15"},{"id":151,"name":"Denver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2"/>
      <c r="AL148" s="232"/>
      <c r="AM148" s="241" t="str">
        <f t="shared" ref="AM148" si="22">"start /low /b "&amp;dls3logs&amp;" --loco "&amp;B148&amp;" --day "&amp;TEXT(F148,"YYYY-MM-DD")</f>
        <v>start /low /b %USERPROFILE%\Documents\GitHub\eaglep3\Utilities\DownloadLogsFromS3.py --loco 4036 --day 2017-11-24</v>
      </c>
      <c r="AN148" s="242" t="str">
        <f t="shared" ref="AN148" si="23"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06:09:15"},{"id":29,"name":"Sharepoint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1" t="str">
        <f t="shared" ref="AO148" si="24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-24T21:05:01-0700',mode:absolute,to:'2017-11-25T00:09:15-0700'))&amp;_a=(columns:!('Message%20ID',Summary),filters:!(),index:'emp_*',interval:auto,query:(query_string:(analyze_wildcard:!t,query:'%22rtdc.l.rtdc.4036%22')),sort:!(Time.ISO8601,asc))</v>
      </c>
    </row>
    <row r="149" spans="1:91" s="20" customFormat="1" x14ac:dyDescent="0.25">
      <c r="A149" s="230" t="s">
        <v>909</v>
      </c>
      <c r="B149" s="226">
        <v>4035</v>
      </c>
      <c r="C149" s="228" t="s">
        <v>192</v>
      </c>
      <c r="D149" s="228" t="s">
        <v>539</v>
      </c>
      <c r="E149" s="227">
        <v>43063.969247685185</v>
      </c>
      <c r="F149" s="227">
        <v>43063.977256944447</v>
      </c>
      <c r="G149" s="226">
        <v>48</v>
      </c>
      <c r="H149" s="228" t="s">
        <v>1006</v>
      </c>
      <c r="I149" s="227">
        <v>43064.002291666664</v>
      </c>
      <c r="J149" s="226">
        <v>0</v>
      </c>
      <c r="K149" s="238" t="str">
        <f>IF(ISEVEN(B149),(B149-1)&amp;"/"&amp;B149,B149&amp;"/"&amp;(B149+1))</f>
        <v>4035/4036</v>
      </c>
      <c r="L149" s="246" t="str">
        <f>VLOOKUP(A149,'Trips&amp;Operators'!$C$1:$G$99911,5,FALSE)</f>
        <v>ELBAUM MIKE</v>
      </c>
      <c r="M149" s="225">
        <f>I149-F149</f>
        <v>2.5034722217242233E-2</v>
      </c>
      <c r="N149" s="226">
        <f>24*60*SUM($M149:$M149)</f>
        <v>36.049999992828816</v>
      </c>
      <c r="O149" s="226"/>
      <c r="P149" s="226"/>
      <c r="Q149" s="229"/>
      <c r="R149" s="243"/>
      <c r="S149" s="250">
        <f>1/IF(AG149="EC",12,1)*SUM(U149:U149)</f>
        <v>1</v>
      </c>
      <c r="T149" s="243" t="str">
        <f>IF(ISEVEN(LEFT(AD149,4)),"Southbound","NorthBound")</f>
        <v>Southbound</v>
      </c>
      <c r="U149" s="24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9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-24T22:15:43-0700',mode:absolute,to:'2017-11-25T01:03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9" s="248" t="str">
        <f>IF(AA149&lt;VLOOKUP(AG149,Variables!$AC$3:$AD$8,2,FALSE),"Y","N")</f>
        <v>N</v>
      </c>
      <c r="X149" s="248">
        <f>VALUE(LEFT(AD149,4))-VALUE(LEFT(AD148,4))</f>
        <v>1</v>
      </c>
      <c r="Y149" s="248">
        <f>RIGHT(D149,LEN(D149)-4)/10000</f>
        <v>23.2942</v>
      </c>
      <c r="Z149" s="248">
        <f>RIGHT(H149,LEN(H149)-4)/10000</f>
        <v>2.6700000000000002E-2</v>
      </c>
      <c r="AA149" s="248">
        <f>ABS(Z149-Y149)</f>
        <v>23.267499999999998</v>
      </c>
      <c r="AB149" s="234" t="e">
        <f>VLOOKUP(A149,Enforcements!$C$7:$K$9,8,0)</f>
        <v>#N/A</v>
      </c>
      <c r="AC149" s="233" t="e">
        <f>VLOOKUP(A149,Enforcements!$C$7:$E$9,3,0)</f>
        <v>#N/A</v>
      </c>
      <c r="AD149" s="244">
        <f>VALUE(LEFT(A149,LEN(A149)-3))</f>
        <v>236</v>
      </c>
      <c r="AE149" s="236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 &amp; aws s3 cp s3://rtdc.mdm.uploadarchive.raw/RTDC4035/ "%USERPROFILE%\AppData\Local\Temp\OnboardLogs"\RTDC4035\2017-11-25 --exclude "*" --recursive --include "*20171125*" &amp; "%USERPROFILE%\Documents\GitHub\mrs-test-scripts\Headless Mode &amp; Sideloading\WalkAndUnGZ.bat" "%USERPROFILE%\AppData\Local\Temp\OnboardLogs"\RTDC4035\2017-11-25</v>
      </c>
      <c r="AF149" s="235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/stypes="app*4035*20171125*" /stext=" 07:.+((SYSTEM_STATE.+slice.+state.+changed )|(ment ac)|(multiple cpu faults)|(system.+state.+changed )|(\[timeout)|(PRM\|1\|D)|(kpr)|(kdp)|(train st.+moving)|(\|lc)|(penalty))"</v>
      </c>
      <c r="AG149" s="245" t="str">
        <f>DetSubdiv(A149)</f>
        <v>EC</v>
      </c>
      <c r="AH149" s="237" t="str">
        <f t="shared" si="15"/>
        <v>"%USERPROFILE%\Documents\GitHub\eaglep3\Utilities\RefineRTDCRunTimes.py" --tripid 236-24 --locoid 4035 --swversion DE.1.0.9.0 --startMP 204:232942 --initTime 2017-11-24T23:15:43 --startdatetime 2017-11-24T23:27:15 --delay 48 --endMP 204:267 --enddatetime 2017-11-25T00:03:18 --enforcementcount 0 &gt;&gt;%USERPROFILE%\Documents\GitHub\eaglep3-reporting\EC\2017-11-24-refined-times.txt</v>
      </c>
      <c r="AI149" s="239" t="str">
        <f t="shared" si="16"/>
        <v>echo {"issue":{"subject":"","project_id":79,"tracker_id":40,"status_id":1,"priority_id":2,"assigned_to_id":338,"start_date":"2017-11-25","description":"","custom_fields":[{"id":1,"name":"Subdivision","value":"EC"},{"id":4,"name":"Milepost","value":"0.0267"},{"id":17,"name":"Train ID","value":"236-24"},{"id":16,"name":"Locomotive ID","value":"4035"},{"id":130,"name":"Impact","value":""},{"id":150,"name":"Time of Event (Mountain Time)","value":"00:03:18"},{"id":151,"name":"Denver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4"/>
      <c r="AK149" s="232"/>
      <c r="AL149" s="232"/>
      <c r="AM149" s="241" t="str">
        <f t="shared" si="17"/>
        <v>start /low /b %USERPROFILE%\Documents\GitHub\eaglep3\Utilities\DownloadLogsFromS3.py --loco 4035 --day 2017-11-24</v>
      </c>
      <c r="AN149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07:03:18"},{"id":29,"name":"Sharepoint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1" t="str">
        <f t="shared" si="19"/>
        <v>https://d0f6bd738d7f1b3e5a7ca70fe4ff75f0.us-east-1.aws.found.io/app/kibana#/discover/Steve-Slow-Train-Analysis-(2080s-and-2083s)?_g=(refreshInterval:(display:Off,pause:!f,section:0,value:0),time:(from:'2017-11-24T22:15:43-0700',mode:absolute,to:'2017-11-25T01:03:18-0700'))&amp;_a=(columns:!('Message%20ID',Summary),filters:!(),index:'emp_*',interval:auto,query:(query_string:(analyze_wildcard:!t,query:'%22rtdc.l.rtdc.4035%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4" customFormat="1" x14ac:dyDescent="0.25">
      <c r="A150" s="230" t="s">
        <v>906</v>
      </c>
      <c r="B150" s="226">
        <v>4016</v>
      </c>
      <c r="C150" s="228" t="s">
        <v>192</v>
      </c>
      <c r="D150" s="228" t="s">
        <v>1033</v>
      </c>
      <c r="E150" s="227">
        <v>43063.952939814815</v>
      </c>
      <c r="F150" s="227">
        <v>43063.958495370367</v>
      </c>
      <c r="G150" s="226">
        <v>89</v>
      </c>
      <c r="H150" s="228" t="s">
        <v>496</v>
      </c>
      <c r="I150" s="227">
        <v>43063.982766203706</v>
      </c>
      <c r="J150" s="226">
        <v>0</v>
      </c>
      <c r="K150" s="238" t="str">
        <f>IF(ISEVEN(B150),(B150-1)&amp;"/"&amp;B150,B150&amp;"/"&amp;(B150+1))</f>
        <v>4015/4016</v>
      </c>
      <c r="L150" s="246" t="str">
        <f>VLOOKUP(A150,'Trips&amp;Operators'!$C$1:$G$99911,5,FALSE)</f>
        <v>ZEWDU DEREJE</v>
      </c>
      <c r="M150" s="225">
        <f>I150-F150</f>
        <v>2.4270833338960074E-2</v>
      </c>
      <c r="N150" s="226">
        <f>24*60*SUM($M150:$M150)</f>
        <v>34.950000008102506</v>
      </c>
      <c r="O150" s="226"/>
      <c r="P150" s="226"/>
      <c r="Q150" s="229"/>
      <c r="R150" s="243"/>
      <c r="S150" s="250">
        <f>1/IF(AG150="EC",12,1)*SUM(U150:U150)</f>
        <v>1</v>
      </c>
      <c r="T150" s="243" t="str">
        <f>IF(ISEVEN(LEFT(AD150,4)),"Southbound","NorthBound")</f>
        <v>NorthBound</v>
      </c>
      <c r="U150" s="24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9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-11-24T21:52:14-0700',mode:absolute,to:'2017-11-25T00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0" s="248" t="str">
        <f>IF(AA150&lt;VLOOKUP(AG150,Variables!$AC$3:$AD$8,2,FALSE),"Y","N")</f>
        <v>N</v>
      </c>
      <c r="X150" s="248">
        <f>VALUE(LEFT(AD150,4))-VALUE(LEFT(AD149,4))</f>
        <v>1</v>
      </c>
      <c r="Y150" s="248">
        <f>RIGHT(D150,LEN(D150)-4)/10000</f>
        <v>6.0100000000000001E-2</v>
      </c>
      <c r="Z150" s="248">
        <f>RIGHT(H150,LEN(H150)-4)/10000</f>
        <v>23.329499999999999</v>
      </c>
      <c r="AA150" s="248">
        <f>ABS(Z150-Y150)</f>
        <v>23.269400000000001</v>
      </c>
      <c r="AB150" s="234" t="e">
        <f>VLOOKUP(A150,Enforcements!$C$7:$K$9,8,0)</f>
        <v>#N/A</v>
      </c>
      <c r="AC150" s="233" t="e">
        <f>VLOOKUP(A150,Enforcements!$C$7:$E$9,3,0)</f>
        <v>#N/A</v>
      </c>
      <c r="AD150" s="244">
        <f>VALUE(LEFT(A150,LEN(A150)-3))</f>
        <v>237</v>
      </c>
      <c r="AE150" s="236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s3://rtdc.mdm.uploadarchive.raw/RTDC4016/ "%USERPROFILE%\AppData\Local\Temp\OnboardLogs"\RTDC4016\2017-11-24 --exclude "*" --recursive --include "*20171124*" &amp; "%USERPROFILE%\Documents\GitHub\mrs-test-scripts\Headless Mode &amp; Sideloading\WalkAndUnGZ.bat" "%USERPROFILE%\AppData\Local\Temp\OnboardLogs"\RTDC4016\2017-11-24 &amp; aws s3 cp s3://rtdc.mdm.uploadarchive.raw/RTDC4016/ "%USERPROFILE%\AppData\Local\Temp\OnboardLogs"\RTDC4016\2017-11-25 --exclude "*" --recursive --include "*20171125*" &amp; "%USERPROFILE%\Documents\GitHub\mrs-test-scripts\Headless Mode &amp; Sideloading\WalkAndUnGZ.bat" "%USERPROFILE%\AppData\Local\Temp\OnboardLogs"\RTDC4016\2017-11-25</v>
      </c>
      <c r="AF150" s="235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/stypes="app*4016*20171125*" /stext=" 06:.+((SYSTEM_STATE.+slice.+state.+changed )|(ment ac)|(multiple cpu faults)|(system.+state.+changed )|(\[timeout)|(PRM\|1\|D)|(kpr)|(kdp)|(train st.+moving)|(\|lc)|(penalty))"</v>
      </c>
      <c r="AG150" s="245" t="str">
        <f>DetSubdiv(A150)</f>
        <v>EC</v>
      </c>
      <c r="AH150" s="237" t="str">
        <f t="shared" si="15"/>
        <v>"%USERPROFILE%\Documents\GitHub\eaglep3\Utilities\RefineRTDCRunTimes.py" --tripid 237-24 --locoid 4016 --swversion DE.1.0.9.0 --startMP 204:601 --initTime 2017-11-24T22:52:14 --startdatetime 2017-11-24T23:00:14 --delay 89 --endMP 204:233295 --enddatetime 2017-11-24T23:35:11 --enforcementcount 0 &gt;&gt;%USERPROFILE%\Documents\GitHub\eaglep3-reporting\EC\2017-11-24-refined-times.txt</v>
      </c>
      <c r="AI150" s="239" t="str">
        <f t="shared" si="16"/>
        <v>echo {"issue":{"subject":"","project_id":79,"tracker_id":40,"status_id":1,"priority_id":2,"assigned_to_id":338,"start_date":"2017-11-24","description":"","custom_fields":[{"id":1,"name":"Subdivision","value":"EC"},{"id":4,"name":"Milepost","value":"23.3295"},{"id":17,"name":"Train ID","value":"237-24"},{"id":16,"name":"Locomotive ID","value":"4016"},{"id":130,"name":"Impact","value":""},{"id":150,"name":"Time of Event (Mountain Time)","value":"23:35:11"},{"id":151,"name":"Denver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2"/>
      <c r="AL150" s="232"/>
      <c r="AM150" s="241" t="str">
        <f t="shared" si="17"/>
        <v>start /low /b %USERPROFILE%\Documents\GitHub\eaglep3\Utilities\DownloadLogsFromS3.py --loco 4016 --day 2017-11-24</v>
      </c>
      <c r="AN150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06:35:11"},{"id":29,"name":"Sharepoint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1" t="str">
        <f t="shared" si="19"/>
        <v>https://d0f6bd738d7f1b3e5a7ca70fe4ff75f0.us-east-1.aws.found.io/app/kibana#/discover/Steve-Slow-Train-Analysis-(2080s-and-2083s)?_g=(refreshInterval:(display:Off,pause:!f,section:0,value:0),time:(from:'2017-11-24T21:52:14-0700',mode:absolute,to:'2017-11-25T00:35:11-0700'))&amp;_a=(columns:!('Message%20ID',Summary),filters:!(),index:'emp_*',interval:auto,query:(query_string:(analyze_wildcard:!t,query:'%22rtdc.l.rtdc.4016%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230" t="s">
        <v>912</v>
      </c>
      <c r="B151" s="226">
        <v>4015</v>
      </c>
      <c r="C151" s="228" t="s">
        <v>192</v>
      </c>
      <c r="D151" s="228" t="s">
        <v>1026</v>
      </c>
      <c r="E151" s="227">
        <v>43063.994699074072</v>
      </c>
      <c r="F151" s="227">
        <v>43063.998136574075</v>
      </c>
      <c r="G151" s="226">
        <v>51</v>
      </c>
      <c r="H151" s="228" t="s">
        <v>1034</v>
      </c>
      <c r="I151" s="227">
        <v>43064.024328703701</v>
      </c>
      <c r="J151" s="226">
        <v>0</v>
      </c>
      <c r="K151" s="238" t="str">
        <f>IF(ISEVEN(B151),(B151-1)&amp;"/"&amp;B151,B151&amp;"/"&amp;(B151+1))</f>
        <v>4015/4016</v>
      </c>
      <c r="L151" s="246" t="str">
        <f>VLOOKUP(A151,'Trips&amp;Operators'!$C$1:$G$99911,5,FALSE)</f>
        <v>ZEWDU DEREJE</v>
      </c>
      <c r="M151" s="225">
        <f>I151-F151</f>
        <v>2.619212962599704E-2</v>
      </c>
      <c r="N151" s="226">
        <f>24*60*SUM($M151:$M151)</f>
        <v>37.716666661435738</v>
      </c>
      <c r="O151" s="226"/>
      <c r="P151" s="226"/>
      <c r="Q151" s="229"/>
      <c r="R151" s="243"/>
      <c r="S151" s="250">
        <f>1/IF(AG151="EC",12,1)*SUM(U151:U151)</f>
        <v>1</v>
      </c>
      <c r="T151" s="243" t="str">
        <f>IF(ISEVEN(LEFT(AD151,4)),"Southbound","NorthBound")</f>
        <v>Southbound</v>
      </c>
      <c r="U151" s="24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9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-24T22:52:22-0700',mode:absolute,to:'2017-11-25T01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1" s="248" t="str">
        <f>IF(AA151&lt;VLOOKUP(AG151,Variables!$AC$3:$AD$8,2,FALSE),"Y","N")</f>
        <v>N</v>
      </c>
      <c r="X151" s="248">
        <f>VALUE(LEFT(AD151,4))-VALUE(LEFT(AD150,4))</f>
        <v>1</v>
      </c>
      <c r="Y151" s="248">
        <f>RIGHT(D151,LEN(D151)-4)/10000</f>
        <v>23.2944</v>
      </c>
      <c r="Z151" s="248">
        <f>RIGHT(H151,LEN(H151)-4)/10000</f>
        <v>2.4899999999999999E-2</v>
      </c>
      <c r="AA151" s="248">
        <f>ABS(Z151-Y151)</f>
        <v>23.269500000000001</v>
      </c>
      <c r="AB151" s="234" t="e">
        <f>VLOOKUP(A151,Enforcements!$C$7:$K$9,8,0)</f>
        <v>#N/A</v>
      </c>
      <c r="AC151" s="233" t="e">
        <f>VLOOKUP(A151,Enforcements!$C$7:$E$9,3,0)</f>
        <v>#N/A</v>
      </c>
      <c r="AD151" s="244">
        <f>VALUE(LEFT(A151,LEN(A151)-3))</f>
        <v>238</v>
      </c>
      <c r="AE151" s="236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s3://rtdc.mdm.uploadarchive.raw/RTDC4015/ "%USERPROFILE%\AppData\Local\Temp\OnboardLogs"\RTDC4015\2017-11-24 --exclude "*" --recursive --include "*20171124*" &amp; "%USERPROFILE%\Documents\GitHub\mrs-test-scripts\Headless Mode &amp; Sideloading\WalkAndUnGZ.bat" "%USERPROFILE%\AppData\Local\Temp\OnboardLogs"\RTDC4015\2017-11-24 &amp; aws s3 cp s3://rtdc.mdm.uploadarchive.raw/RTDC4015/ "%USERPROFILE%\AppData\Local\Temp\OnboardLogs"\RTDC4015\2017-11-25 --exclude "*" --recursive --include "*20171125*" &amp; "%USERPROFILE%\Documents\GitHub\mrs-test-scripts\Headless Mode &amp; Sideloading\WalkAndUnGZ.bat" "%USERPROFILE%\AppData\Local\Temp\OnboardLogs"\RTDC4015\2017-11-25</v>
      </c>
      <c r="AF151" s="235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/stypes="app*4015*20171125*" /stext=" 07:.+((SYSTEM_STATE.+slice.+state.+changed )|(ment ac)|(multiple cpu faults)|(system.+state.+changed )|(\[timeout)|(PRM\|1\|D)|(kpr)|(kdp)|(train st.+moving)|(\|lc)|(penalty))"</v>
      </c>
      <c r="AG151" s="245" t="str">
        <f>DetSubdiv(A151)</f>
        <v>EC</v>
      </c>
      <c r="AH151" s="237" t="str">
        <f t="shared" si="15"/>
        <v>"%USERPROFILE%\Documents\GitHub\eaglep3\Utilities\RefineRTDCRunTimes.py" --tripid 238-24 --locoid 4015 --swversion DE.1.0.9.0 --startMP 204:232944 --initTime 2017-11-24T23:52:22 --startdatetime 2017-11-24T23:57:19 --delay 51 --endMP 204:249 --enddatetime 2017-11-25T00:35:02 --enforcementcount 0 &gt;&gt;%USERPROFILE%\Documents\GitHub\eaglep3-reporting\EC\2017-11-24-refined-times.txt</v>
      </c>
      <c r="AI151" s="239" t="str">
        <f t="shared" si="16"/>
        <v>echo {"issue":{"subject":"","project_id":79,"tracker_id":40,"status_id":1,"priority_id":2,"assigned_to_id":338,"start_date":"2017-11-25","description":"","custom_fields":[{"id":1,"name":"Subdivision","value":"EC"},{"id":4,"name":"Milepost","value":"0.0249"},{"id":17,"name":"Train ID","value":"238-24"},{"id":16,"name":"Locomotive ID","value":"4015"},{"id":130,"name":"Impact","value":""},{"id":150,"name":"Time of Event (Mountain Time)","value":"00:35:02"},{"id":151,"name":"Denver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4"/>
      <c r="AK151" s="232"/>
      <c r="AL151" s="232"/>
      <c r="AM151" s="241" t="str">
        <f t="shared" si="17"/>
        <v>start /low /b %USERPROFILE%\Documents\GitHub\eaglep3\Utilities\DownloadLogsFromS3.py --loco 4015 --day 2017-11-24</v>
      </c>
      <c r="AN151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07:35:02"},{"id":29,"name":"Sharepoint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1" t="str">
        <f t="shared" si="19"/>
        <v>https://d0f6bd738d7f1b3e5a7ca70fe4ff75f0.us-east-1.aws.found.io/app/kibana#/discover/Steve-Slow-Train-Analysis-(2080s-and-2083s)?_g=(refreshInterval:(display:Off,pause:!f,section:0,value:0),time:(from:'2017-11-24T22:52:22-0700',mode:absolute,to:'2017-11-25T01:35:02-0700'))&amp;_a=(columns:!('Message%20ID',Summary),filters:!(),index:'emp_*',interval:auto,query:(query_string:(analyze_wildcard:!t,query:'%22rtdc.l.rtdc.4015%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30" t="s">
        <v>908</v>
      </c>
      <c r="B152" s="226">
        <v>4006</v>
      </c>
      <c r="C152" s="228" t="s">
        <v>192</v>
      </c>
      <c r="D152" s="228" t="s">
        <v>985</v>
      </c>
      <c r="E152" s="227">
        <v>43063.965266203704</v>
      </c>
      <c r="F152" s="227">
        <v>43063.979432870372</v>
      </c>
      <c r="G152" s="226">
        <v>60</v>
      </c>
      <c r="H152" s="228" t="s">
        <v>598</v>
      </c>
      <c r="I152" s="227">
        <v>43064.005023148151</v>
      </c>
      <c r="J152" s="226">
        <v>0</v>
      </c>
      <c r="K152" s="238" t="str">
        <f>IF(ISEVEN(B152),(B152-1)&amp;"/"&amp;B152,B152&amp;"/"&amp;(B152+1))</f>
        <v>4005/4006</v>
      </c>
      <c r="L152" s="246" t="str">
        <f>VLOOKUP(A152,'Trips&amp;Operators'!$C$1:$G$99911,5,FALSE)</f>
        <v>DAVIDSON DAVID</v>
      </c>
      <c r="M152" s="225">
        <f>I152-F152</f>
        <v>2.5590277778974269E-2</v>
      </c>
      <c r="N152" s="226">
        <f>24*60*SUM($M152:$M152)</f>
        <v>36.850000001722947</v>
      </c>
      <c r="O152" s="226"/>
      <c r="P152" s="226"/>
      <c r="Q152" s="229"/>
      <c r="R152" s="243"/>
      <c r="S152" s="250">
        <f>1/IF(AG152="EC",12,1)*SUM(U152:U152)</f>
        <v>1</v>
      </c>
      <c r="T152" s="243" t="str">
        <f>IF(ISEVEN(LEFT(AD152,4)),"Southbound","NorthBound")</f>
        <v>NorthBound</v>
      </c>
      <c r="U152" s="24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9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-11-24T22:09:59-0700',mode:absolute,to:'2017-11-25T01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2" s="248" t="str">
        <f>IF(AA152&lt;VLOOKUP(AG152,Variables!$AC$3:$AD$8,2,FALSE),"Y","N")</f>
        <v>N</v>
      </c>
      <c r="X152" s="248">
        <f>VALUE(LEFT(AD152,4))-VALUE(LEFT(AD151,4))</f>
        <v>1</v>
      </c>
      <c r="Y152" s="248">
        <f>RIGHT(D152,LEN(D152)-4)/10000</f>
        <v>5.7000000000000002E-2</v>
      </c>
      <c r="Z152" s="248">
        <f>RIGHT(H152,LEN(H152)-4)/10000</f>
        <v>23.323399999999999</v>
      </c>
      <c r="AA152" s="248">
        <f>ABS(Z152-Y152)</f>
        <v>23.266400000000001</v>
      </c>
      <c r="AB152" s="234" t="e">
        <f>VLOOKUP(A152,Enforcements!$C$7:$K$9,8,0)</f>
        <v>#N/A</v>
      </c>
      <c r="AC152" s="233" t="e">
        <f>VLOOKUP(A152,Enforcements!$C$7:$E$9,3,0)</f>
        <v>#N/A</v>
      </c>
      <c r="AD152" s="244">
        <f>VALUE(LEFT(A152,LEN(A152)-3))</f>
        <v>239</v>
      </c>
      <c r="AE152" s="236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s3://rtdc.mdm.uploadarchive.raw/RTDC4006/ "%USERPROFILE%\AppData\Local\Temp\OnboardLogs"\RTDC4006\2017-11-24 --exclude "*" --recursive --include "*20171124*" &amp; "%USERPROFILE%\Documents\GitHub\mrs-test-scripts\Headless Mode &amp; Sideloading\WalkAndUnGZ.bat" "%USERPROFILE%\AppData\Local\Temp\OnboardLogs"\RTDC4006\2017-11-24 &amp; aws s3 cp s3://rtdc.mdm.uploadarchive.raw/RTDC4006/ "%USERPROFILE%\AppData\Local\Temp\OnboardLogs"\RTDC4006\2017-11-25 --exclude "*" --recursive --include "*20171125*" &amp; "%USERPROFILE%\Documents\GitHub\mrs-test-scripts\Headless Mode &amp; Sideloading\WalkAndUnGZ.bat" "%USERPROFILE%\AppData\Local\Temp\OnboardLogs"\RTDC4006\2017-11-25</v>
      </c>
      <c r="AF152" s="235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/stypes="app*4006*20171125*" /stext=" 07:.+((SYSTEM_STATE.+slice.+state.+changed )|(ment ac)|(multiple cpu faults)|(system.+state.+changed )|(\[timeout)|(PRM\|1\|D)|(kpr)|(kdp)|(train st.+moving)|(\|lc)|(penalty))"</v>
      </c>
      <c r="AG152" s="245" t="str">
        <f>DetSubdiv(A152)</f>
        <v>EC</v>
      </c>
      <c r="AH152" s="237" t="str">
        <f t="shared" si="15"/>
        <v>"%USERPROFILE%\Documents\GitHub\eaglep3\Utilities\RefineRTDCRunTimes.py" --tripid 239-24 --locoid 4006 --swversion DE.1.0.9.0 --startMP 204:570 --initTime 2017-11-24T23:09:59 --startdatetime 2017-11-24T23:30:23 --delay 60 --endMP 204:233234 --enddatetime 2017-11-25T00:07:14 --enforcementcount 0 &gt;&gt;%USERPROFILE%\Documents\GitHub\eaglep3-reporting\EC\2017-11-24-refined-times.txt</v>
      </c>
      <c r="AI152" s="239" t="str">
        <f t="shared" si="16"/>
        <v>echo {"issue":{"subject":"","project_id":79,"tracker_id":40,"status_id":1,"priority_id":2,"assigned_to_id":338,"start_date":"2017-11-25","description":"","custom_fields":[{"id":1,"name":"Subdivision","value":"EC"},{"id":4,"name":"Milepost","value":"23.3234"},{"id":17,"name":"Train ID","value":"239-24"},{"id":16,"name":"Locomotive ID","value":"4006"},{"id":130,"name":"Impact","value":""},{"id":150,"name":"Time of Event (Mountain Time)","value":"00:07:14"},{"id":151,"name":"Denver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4"/>
      <c r="AK152" s="232"/>
      <c r="AL152" s="232"/>
      <c r="AM152" s="241" t="str">
        <f t="shared" si="17"/>
        <v>start /low /b %USERPROFILE%\Documents\GitHub\eaglep3\Utilities\DownloadLogsFromS3.py --loco 4006 --day 2017-11-24</v>
      </c>
      <c r="AN152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07:07:14"},{"id":29,"name":"Sharepoint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1" t="str">
        <f t="shared" si="19"/>
        <v>https://d0f6bd738d7f1b3e5a7ca70fe4ff75f0.us-east-1.aws.found.io/app/kibana#/discover/Steve-Slow-Train-Analysis-(2080s-and-2083s)?_g=(refreshInterval:(display:Off,pause:!f,section:0,value:0),time:(from:'2017-11-24T22:09:59-0700',mode:absolute,to:'2017-11-25T01:07:14-0700'))&amp;_a=(columns:!('Message%20ID',Summary),filters:!(),index:'emp_*',interval:auto,query:(query_string:(analyze_wildcard:!t,query:'%22rtdc.l.rtdc.4006%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230" t="s">
        <v>914</v>
      </c>
      <c r="B153" s="226">
        <v>4005</v>
      </c>
      <c r="C153" s="228" t="s">
        <v>192</v>
      </c>
      <c r="D153" s="228" t="s">
        <v>1035</v>
      </c>
      <c r="E153" s="227">
        <v>43064.008831018517</v>
      </c>
      <c r="F153" s="227">
        <v>43064.01903935185</v>
      </c>
      <c r="G153" s="226">
        <v>52</v>
      </c>
      <c r="H153" s="228" t="s">
        <v>630</v>
      </c>
      <c r="I153" s="227">
        <v>43064.045543981483</v>
      </c>
      <c r="J153" s="226">
        <v>0</v>
      </c>
      <c r="K153" s="238" t="str">
        <f>IF(ISEVEN(B153),(B153-1)&amp;"/"&amp;B153,B153&amp;"/"&amp;(B153+1))</f>
        <v>4005/4006</v>
      </c>
      <c r="L153" s="246" t="str">
        <f>VLOOKUP(A153,'Trips&amp;Operators'!$C$1:$G$99911,5,FALSE)</f>
        <v>DAVIDSON DAVID</v>
      </c>
      <c r="M153" s="225">
        <f>I153-F153</f>
        <v>2.6504629633564036E-2</v>
      </c>
      <c r="N153" s="226">
        <f>24*60*SUM($M153:$M153)</f>
        <v>38.166666672332212</v>
      </c>
      <c r="O153" s="226"/>
      <c r="P153" s="226"/>
      <c r="Q153" s="229"/>
      <c r="R153" s="243"/>
      <c r="S153" s="250">
        <f>1/IF(AG153="EC",12,1)*SUM(U153:U153)</f>
        <v>1</v>
      </c>
      <c r="T153" s="243" t="str">
        <f>IF(ISEVEN(LEFT(AD153,4)),"Southbound","NorthBound")</f>
        <v>Southbound</v>
      </c>
      <c r="U153" s="24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9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-24T23:12:43-0700',mode:absolute,to:'2017-11-25T02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3" s="248" t="str">
        <f>IF(AA153&lt;VLOOKUP(AG153,Variables!$AC$3:$AD$8,2,FALSE),"Y","N")</f>
        <v>N</v>
      </c>
      <c r="X153" s="248">
        <f>VALUE(LEFT(AD153,4))-VALUE(LEFT(AD152,4))</f>
        <v>1</v>
      </c>
      <c r="Y153" s="248">
        <f>RIGHT(D153,LEN(D153)-4)/10000</f>
        <v>23.292300000000001</v>
      </c>
      <c r="Z153" s="248">
        <f>RIGHT(H153,LEN(H153)-4)/10000</f>
        <v>2.3599999999999999E-2</v>
      </c>
      <c r="AA153" s="248">
        <f>ABS(Z153-Y153)</f>
        <v>23.268700000000003</v>
      </c>
      <c r="AB153" s="234" t="e">
        <f>VLOOKUP(A153,Enforcements!$C$7:$K$9,8,0)</f>
        <v>#N/A</v>
      </c>
      <c r="AC153" s="233" t="e">
        <f>VLOOKUP(A153,Enforcements!$C$7:$E$9,3,0)</f>
        <v>#N/A</v>
      </c>
      <c r="AD153" s="244">
        <f>VALUE(LEFT(A153,LEN(A153)-3))</f>
        <v>240</v>
      </c>
      <c r="AE153" s="236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s3://rtdc.mdm.uploadarchive.raw/RTDC4005/ "%USERPROFILE%\AppData\Local\Temp\OnboardLogs"\RTDC4005\2017-11-25 --exclude "*" --recursive --include "*20171125*" &amp; "%USERPROFILE%\Documents\GitHub\mrs-test-scripts\Headless Mode &amp; Sideloading\WalkAndUnGZ.bat" "%USERPROFILE%\AppData\Local\Temp\OnboardLogs"\RTDC4005\2017-11-25 &amp; aws s3 cp s3://rtdc.mdm.uploadarchive.raw/RTDC4005/ "%USERPROFILE%\AppData\Local\Temp\OnboardLogs"\RTDC4005\2017-11-26 --exclude "*" --recursive --include "*20171126*" &amp; "%USERPROFILE%\Documents\GitHub\mrs-test-scripts\Headless Mode &amp; Sideloading\WalkAndUnGZ.bat" "%USERPROFILE%\AppData\Local\Temp\OnboardLogs"\RTDC4005\2017-11-26</v>
      </c>
      <c r="AF153" s="235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/stypes="app*4005*20171125*" /stext=" 08:.+((SYSTEM_STATE.+slice.+state.+changed )|(ment ac)|(multiple cpu faults)|(system.+state.+changed )|(\[timeout)|(PRM\|1\|D)|(kpr)|(kdp)|(train st.+moving)|(\|lc)|(penalty))"</v>
      </c>
      <c r="AG153" s="245" t="str">
        <f>DetSubdiv(A153)</f>
        <v>EC</v>
      </c>
      <c r="AH153" s="237" t="str">
        <f t="shared" si="15"/>
        <v>"%USERPROFILE%\Documents\GitHub\eaglep3\Utilities\RefineRTDCRunTimes.py" --tripid 240-24 --locoid 4005 --swversion DE.1.0.9.0 --startMP 204:232923 --initTime 2017-11-25T00:12:43 --startdatetime 2017-11-25T00:27:25 --delay 52 --endMP 204:236 --enddatetime 2017-11-25T01:05:35 --enforcementcount 0 &gt;&gt;%USERPROFILE%\Documents\GitHub\eaglep3-reporting\EC\2017-11-24-refined-times.txt</v>
      </c>
      <c r="AI153" s="239" t="str">
        <f t="shared" si="16"/>
        <v>echo {"issue":{"subject":"","project_id":79,"tracker_id":40,"status_id":1,"priority_id":2,"assigned_to_id":338,"start_date":"2017-11-25","description":"","custom_fields":[{"id":1,"name":"Subdivision","value":"EC"},{"id":4,"name":"Milepost","value":"0.0236"},{"id":17,"name":"Train ID","value":"240-24"},{"id":16,"name":"Locomotive ID","value":"4005"},{"id":130,"name":"Impact","value":""},{"id":150,"name":"Time of Event (Mountain Time)","value":"01:05:35"},{"id":151,"name":"Denver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4"/>
      <c r="AK153" s="232"/>
      <c r="AL153" s="232"/>
      <c r="AM153" s="241" t="str">
        <f t="shared" si="17"/>
        <v>start /low /b %USERPROFILE%\Documents\GitHub\eaglep3\Utilities\DownloadLogsFromS3.py --loco 4005 --day 2017-11-25</v>
      </c>
      <c r="AN153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08:05:35"},{"id":29,"name":"Sharepoint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1" t="str">
        <f t="shared" si="19"/>
        <v>https://d0f6bd738d7f1b3e5a7ca70fe4ff75f0.us-east-1.aws.found.io/app/kibana#/discover/Steve-Slow-Train-Analysis-(2080s-and-2083s)?_g=(refreshInterval:(display:Off,pause:!f,section:0,value:0),time:(from:'2017-11-24T23:12:43-0700',mode:absolute,to:'2017-11-25T02:05:35-0700'))&amp;_a=(columns:!('Message%20ID',Summary),filters:!(),index:'emp_*',interval:auto,query:(query_string:(analyze_wildcard:!t,query:'%22rtdc.l.rtdc.4005%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30" t="s">
        <v>911</v>
      </c>
      <c r="B154" s="226">
        <v>4010</v>
      </c>
      <c r="C154" s="228" t="s">
        <v>192</v>
      </c>
      <c r="D154" s="228" t="s">
        <v>1036</v>
      </c>
      <c r="E154" s="227">
        <v>43063.990567129629</v>
      </c>
      <c r="F154" s="227">
        <v>43064.000150462962</v>
      </c>
      <c r="G154" s="226">
        <v>67</v>
      </c>
      <c r="H154" s="228" t="s">
        <v>543</v>
      </c>
      <c r="I154" s="227">
        <v>43064.024270833332</v>
      </c>
      <c r="J154" s="226">
        <v>0</v>
      </c>
      <c r="K154" s="238" t="str">
        <f>IF(ISEVEN(B154),(B154-1)&amp;"/"&amp;B154,B154&amp;"/"&amp;(B154+1))</f>
        <v>4009/4010</v>
      </c>
      <c r="L154" s="246" t="str">
        <f>VLOOKUP(A154,'Trips&amp;Operators'!$C$1:$G$99911,5,FALSE)</f>
        <v>MCREYNOLDS KYLE</v>
      </c>
      <c r="M154" s="225">
        <f>I154-F154</f>
        <v>2.4120370369928423E-2</v>
      </c>
      <c r="N154" s="226">
        <f>24*60*SUM($M154:$M154)</f>
        <v>34.73333333269693</v>
      </c>
      <c r="O154" s="226"/>
      <c r="P154" s="226"/>
      <c r="Q154" s="229"/>
      <c r="R154" s="243"/>
      <c r="S154" s="250">
        <f>1/IF(AG154="EC",12,1)*SUM(U154:U154)</f>
        <v>1</v>
      </c>
      <c r="T154" s="243" t="str">
        <f>IF(ISEVEN(LEFT(AD154,4)),"Southbound","NorthBound")</f>
        <v>NorthBound</v>
      </c>
      <c r="U154" s="24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9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-11-24T22:46:25-0700',mode:absolute,to:'2017-11-25T01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4" s="248" t="str">
        <f>IF(AA154&lt;VLOOKUP(AG154,Variables!$AC$3:$AD$8,2,FALSE),"Y","N")</f>
        <v>N</v>
      </c>
      <c r="X154" s="248">
        <f>VALUE(LEFT(AD154,4))-VALUE(LEFT(AD153,4))</f>
        <v>1</v>
      </c>
      <c r="Y154" s="248">
        <f>RIGHT(D154,LEN(D154)-4)/10000</f>
        <v>5.7500000000000002E-2</v>
      </c>
      <c r="Z154" s="248">
        <f>RIGHT(H154,LEN(H154)-4)/10000</f>
        <v>23.322199999999999</v>
      </c>
      <c r="AA154" s="248">
        <f>ABS(Z154-Y154)</f>
        <v>23.264699999999998</v>
      </c>
      <c r="AB154" s="234" t="e">
        <f>VLOOKUP(A154,Enforcements!$C$7:$K$9,8,0)</f>
        <v>#N/A</v>
      </c>
      <c r="AC154" s="233" t="e">
        <f>VLOOKUP(A154,Enforcements!$C$7:$E$9,3,0)</f>
        <v>#N/A</v>
      </c>
      <c r="AD154" s="244">
        <f>VALUE(LEFT(A154,LEN(A154)-3))</f>
        <v>241</v>
      </c>
      <c r="AE154" s="236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s3://rtdc.mdm.uploadarchive.raw/RTDC4010/ "%USERPROFILE%\AppData\Local\Temp\OnboardLogs"\RTDC4010\2017-11-25 --exclude "*" --recursive --include "*20171125*" &amp; "%USERPROFILE%\Documents\GitHub\mrs-test-scripts\Headless Mode &amp; Sideloading\WalkAndUnGZ.bat" "%USERPROFILE%\AppData\Local\Temp\OnboardLogs"\RTDC4010\2017-11-25 &amp; aws s3 cp s3://rtdc.mdm.uploadarchive.raw/RTDC4010/ "%USERPROFILE%\AppData\Local\Temp\OnboardLogs"\RTDC4010\2017-11-26 --exclude "*" --recursive --include "*20171126*" &amp; "%USERPROFILE%\Documents\GitHub\mrs-test-scripts\Headless Mode &amp; Sideloading\WalkAndUnGZ.bat" "%USERPROFILE%\AppData\Local\Temp\OnboardLogs"\RTDC4010\2017-11-26</v>
      </c>
      <c r="AF154" s="235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/stypes="app*4010*20171125*" /stext=" 07:.+((SYSTEM_STATE.+slice.+state.+changed )|(ment ac)|(multiple cpu faults)|(system.+state.+changed )|(\[timeout)|(PRM\|1\|D)|(kpr)|(kdp)|(train st.+moving)|(\|lc)|(penalty))"</v>
      </c>
      <c r="AG154" s="245" t="str">
        <f>DetSubdiv(A154)</f>
        <v>EC</v>
      </c>
      <c r="AH154" s="237" t="str">
        <f t="shared" si="15"/>
        <v>"%USERPROFILE%\Documents\GitHub\eaglep3\Utilities\RefineRTDCRunTimes.py" --tripid 241-24 --locoid 4010 --swversion DE.1.0.9.0 --startMP 204:575 --initTime 2017-11-24T23:46:25 --startdatetime 2017-11-25T00:00:13 --delay 67 --endMP 204:233222 --enddatetime 2017-11-25T00:34:57 --enforcementcount 0 &gt;&gt;%USERPROFILE%\Documents\GitHub\eaglep3-reporting\EC\2017-11-24-refined-times.txt</v>
      </c>
      <c r="AI154" s="239" t="str">
        <f t="shared" si="16"/>
        <v>echo {"issue":{"subject":"","project_id":79,"tracker_id":40,"status_id":1,"priority_id":2,"assigned_to_id":338,"start_date":"2017-11-25","description":"","custom_fields":[{"id":1,"name":"Subdivision","value":"EC"},{"id":4,"name":"Milepost","value":"23.3222"},{"id":17,"name":"Train ID","value":"241-24"},{"id":16,"name":"Locomotive ID","value":"4010"},{"id":130,"name":"Impact","value":""},{"id":150,"name":"Time of Event (Mountain Time)","value":"00:34:57"},{"id":151,"name":"Denver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4"/>
      <c r="AK154" s="232"/>
      <c r="AL154" s="232"/>
      <c r="AM154" s="241" t="str">
        <f t="shared" si="17"/>
        <v>start /low /b %USERPROFILE%\Documents\GitHub\eaglep3\Utilities\DownloadLogsFromS3.py --loco 4010 --day 2017-11-25</v>
      </c>
      <c r="AN154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07:34:57"},{"id":29,"name":"Sharepoint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1" t="str">
        <f t="shared" si="19"/>
        <v>https://d0f6bd738d7f1b3e5a7ca70fe4ff75f0.us-east-1.aws.found.io/app/kibana#/discover/Steve-Slow-Train-Analysis-(2080s-and-2083s)?_g=(refreshInterval:(display:Off,pause:!f,section:0,value:0),time:(from:'2017-11-24T22:46:25-0700',mode:absolute,to:'2017-11-25T01:34:57-0700'))&amp;_a=(columns:!('Message%20ID',Summary),filters:!(),index:'emp_*',interval:auto,query:(query_string:(analyze_wildcard:!t,query:'%22rtdc.l.rtdc.4010%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30" t="s">
        <v>916</v>
      </c>
      <c r="B155" s="226">
        <v>4009</v>
      </c>
      <c r="C155" s="228" t="s">
        <v>192</v>
      </c>
      <c r="D155" s="228" t="s">
        <v>1037</v>
      </c>
      <c r="E155" s="227">
        <v>43064.0312037037</v>
      </c>
      <c r="F155" s="227">
        <v>43064.039733796293</v>
      </c>
      <c r="G155" s="226">
        <v>50</v>
      </c>
      <c r="H155" s="228" t="s">
        <v>1038</v>
      </c>
      <c r="I155" s="227">
        <v>43064.065092592595</v>
      </c>
      <c r="J155" s="226">
        <v>0</v>
      </c>
      <c r="K155" s="238" t="str">
        <f>IF(ISEVEN(B155),(B155-1)&amp;"/"&amp;B155,B155&amp;"/"&amp;(B155+1))</f>
        <v>4009/4010</v>
      </c>
      <c r="L155" s="246" t="str">
        <f>VLOOKUP(A155,'Trips&amp;Operators'!$C$1:$G$99911,5,FALSE)</f>
        <v>MCREYNOLDS KYLE</v>
      </c>
      <c r="M155" s="225">
        <f>I155-F155</f>
        <v>2.5358796301588882E-2</v>
      </c>
      <c r="N155" s="226">
        <f>24*60*SUM($M155:$M155)</f>
        <v>36.51666667428799</v>
      </c>
      <c r="O155" s="226"/>
      <c r="P155" s="226"/>
      <c r="Q155" s="229"/>
      <c r="R155" s="243"/>
      <c r="S155" s="250">
        <f>1/IF(AG155="EC",12,1)*SUM(U155:U155)</f>
        <v>1</v>
      </c>
      <c r="T155" s="243" t="str">
        <f>IF(ISEVEN(LEFT(AD155,4)),"Southbound","NorthBound")</f>
        <v>Southbound</v>
      </c>
      <c r="U155" s="24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9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-24T23:44:56-0700',mode:absolute,to:'2017-11-25T02:33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5" s="248" t="str">
        <f>IF(AA155&lt;VLOOKUP(AG155,Variables!$AC$3:$AD$8,2,FALSE),"Y","N")</f>
        <v>N</v>
      </c>
      <c r="X155" s="248">
        <f>VALUE(LEFT(AD155,4))-VALUE(LEFT(AD154,4))</f>
        <v>1</v>
      </c>
      <c r="Y155" s="248">
        <f>RIGHT(D155,LEN(D155)-4)/10000</f>
        <v>23.2911</v>
      </c>
      <c r="Z155" s="248">
        <f>RIGHT(H155,LEN(H155)-4)/10000</f>
        <v>2.6499999999999999E-2</v>
      </c>
      <c r="AA155" s="248">
        <f>ABS(Z155-Y155)</f>
        <v>23.264600000000002</v>
      </c>
      <c r="AB155" s="234" t="e">
        <f>VLOOKUP(A155,Enforcements!$C$7:$K$9,8,0)</f>
        <v>#N/A</v>
      </c>
      <c r="AC155" s="233" t="e">
        <f>VLOOKUP(A155,Enforcements!$C$7:$E$9,3,0)</f>
        <v>#N/A</v>
      </c>
      <c r="AD155" s="244">
        <f>VALUE(LEFT(A155,LEN(A155)-3))</f>
        <v>242</v>
      </c>
      <c r="AE155" s="236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s3://rtdc.mdm.uploadarchive.raw/RTDC4009/ "%USERPROFILE%\AppData\Local\Temp\OnboardLogs"\RTDC4009\2017-11-25 --exclude "*" --recursive --include "*20171125*" &amp; "%USERPROFILE%\Documents\GitHub\mrs-test-scripts\Headless Mode &amp; Sideloading\WalkAndUnGZ.bat" "%USERPROFILE%\AppData\Local\Temp\OnboardLogs"\RTDC4009\2017-11-25 &amp; aws s3 cp s3://rtdc.mdm.uploadarchive.raw/RTDC4009/ "%USERPROFILE%\AppData\Local\Temp\OnboardLogs"\RTDC4009\2017-11-26 --exclude "*" --recursive --include "*20171126*" &amp; "%USERPROFILE%\Documents\GitHub\mrs-test-scripts\Headless Mode &amp; Sideloading\WalkAndUnGZ.bat" "%USERPROFILE%\AppData\Local\Temp\OnboardLogs"\RTDC4009\2017-11-26</v>
      </c>
      <c r="AF155" s="235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/stypes="app*4009*20171125*" /stext=" 08:.+((SYSTEM_STATE.+slice.+state.+changed )|(ment ac)|(multiple cpu faults)|(system.+state.+changed )|(\[timeout)|(PRM\|1\|D)|(kpr)|(kdp)|(train st.+moving)|(\|lc)|(penalty))"</v>
      </c>
      <c r="AG155" s="245" t="str">
        <f>DetSubdiv(A155)</f>
        <v>EC</v>
      </c>
      <c r="AH155" s="237" t="str">
        <f t="shared" si="15"/>
        <v>"%USERPROFILE%\Documents\GitHub\eaglep3\Utilities\RefineRTDCRunTimes.py" --tripid 242-24 --locoid 4009 --swversion DE.1.0.9.0 --startMP 204:232911 --initTime 2017-11-25T00:44:56 --startdatetime 2017-11-25T00:57:13 --delay 50 --endMP 204:265 --enddatetime 2017-11-25T01:33:44 --enforcementcount 0 &gt;&gt;%USERPROFILE%\Documents\GitHub\eaglep3-reporting\EC\2017-11-24-refined-times.txt</v>
      </c>
      <c r="AI155" s="239" t="str">
        <f t="shared" si="16"/>
        <v>echo {"issue":{"subject":"","project_id":79,"tracker_id":40,"status_id":1,"priority_id":2,"assigned_to_id":338,"start_date":"2017-11-25","description":"","custom_fields":[{"id":1,"name":"Subdivision","value":"EC"},{"id":4,"name":"Milepost","value":"0.0265"},{"id":17,"name":"Train ID","value":"242-24"},{"id":16,"name":"Locomotive ID","value":"4009"},{"id":130,"name":"Impact","value":""},{"id":150,"name":"Time of Event (Mountain Time)","value":"01:33:44"},{"id":151,"name":"Denver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4"/>
      <c r="AK155" s="232"/>
      <c r="AL155" s="232"/>
      <c r="AM155" s="241" t="str">
        <f t="shared" si="17"/>
        <v>start /low /b %USERPROFILE%\Documents\GitHub\eaglep3\Utilities\DownloadLogsFromS3.py --loco 4009 --day 2017-11-25</v>
      </c>
      <c r="AN155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08:33:44"},{"id":29,"name":"Sharepoint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1" t="str">
        <f t="shared" si="19"/>
        <v>https://d0f6bd738d7f1b3e5a7ca70fe4ff75f0.us-east-1.aws.found.io/app/kibana#/discover/Steve-Slow-Train-Analysis-(2080s-and-2083s)?_g=(refreshInterval:(display:Off,pause:!f,section:0,value:0),time:(from:'2017-11-24T23:44:56-0700',mode:absolute,to:'2017-11-25T02:33:44-0700'))&amp;_a=(columns:!('Message%20ID',Summary),filters:!(),index:'emp_*',interval:auto,query:(query_string:(analyze_wildcard:!t,query:'%22rtdc.l.rtdc.4009%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30" t="s">
        <v>913</v>
      </c>
      <c r="B156" s="226">
        <v>4036</v>
      </c>
      <c r="C156" s="228" t="s">
        <v>192</v>
      </c>
      <c r="D156" s="228" t="s">
        <v>1039</v>
      </c>
      <c r="E156" s="227">
        <v>43064.00744212963</v>
      </c>
      <c r="F156" s="227">
        <v>43064.020972222221</v>
      </c>
      <c r="G156" s="226">
        <v>57</v>
      </c>
      <c r="H156" s="228" t="s">
        <v>476</v>
      </c>
      <c r="I156" s="227">
        <v>43064.04483796296</v>
      </c>
      <c r="J156" s="226">
        <v>0</v>
      </c>
      <c r="K156" s="238" t="str">
        <f>IF(ISEVEN(B156),(B156-1)&amp;"/"&amp;B156,B156&amp;"/"&amp;(B156+1))</f>
        <v>4035/4036</v>
      </c>
      <c r="L156" s="246" t="str">
        <f>VLOOKUP(A156,'Trips&amp;Operators'!$C$1:$G$99911,5,FALSE)</f>
        <v>ELBAUM MIKE</v>
      </c>
      <c r="M156" s="225">
        <f>I156-F156</f>
        <v>2.3865740738983732E-2</v>
      </c>
      <c r="N156" s="226">
        <f>24*60*SUM($M156:$M156)</f>
        <v>34.366666664136574</v>
      </c>
      <c r="O156" s="226"/>
      <c r="P156" s="226"/>
      <c r="Q156" s="229"/>
      <c r="R156" s="243"/>
      <c r="S156" s="250">
        <f>1/IF(AG156="EC",12,1)*SUM(U156:U156)</f>
        <v>1</v>
      </c>
      <c r="T156" s="243" t="str">
        <f>IF(ISEVEN(LEFT(AD156,4)),"Southbound","NorthBound")</f>
        <v>NorthBound</v>
      </c>
      <c r="U156" s="24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9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-24T23:10:43-0700',mode:absolute,to:'2017-11-25T02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6" s="248" t="str">
        <f>IF(AA156&lt;VLOOKUP(AG156,Variables!$AC$3:$AD$8,2,FALSE),"Y","N")</f>
        <v>N</v>
      </c>
      <c r="X156" s="248">
        <f>VALUE(LEFT(AD156,4))-VALUE(LEFT(AD155,4))</f>
        <v>1</v>
      </c>
      <c r="Y156" s="248">
        <f>RIGHT(D156,LEN(D156)-4)/10000</f>
        <v>5.7299999999999997E-2</v>
      </c>
      <c r="Z156" s="248">
        <f>RIGHT(H156,LEN(H156)-4)/10000</f>
        <v>23.326599999999999</v>
      </c>
      <c r="AA156" s="248">
        <f>ABS(Z156-Y156)</f>
        <v>23.269299999999998</v>
      </c>
      <c r="AB156" s="234" t="e">
        <f>VLOOKUP(A156,Enforcements!$C$7:$K$9,8,0)</f>
        <v>#N/A</v>
      </c>
      <c r="AC156" s="233" t="e">
        <f>VLOOKUP(A156,Enforcements!$C$7:$E$9,3,0)</f>
        <v>#N/A</v>
      </c>
      <c r="AD156" s="244">
        <f>VALUE(LEFT(A156,LEN(A156)-3))</f>
        <v>243</v>
      </c>
      <c r="AE156" s="236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s3://rtdc.mdm.uploadarchive.raw/RTDC4036/ "%USERPROFILE%\AppData\Local\Temp\OnboardLogs"\RTDC4036\2017-11-25 --exclude "*" --recursive --include "*20171125*" &amp; "%USERPROFILE%\Documents\GitHub\mrs-test-scripts\Headless Mode &amp; Sideloading\WalkAndUnGZ.bat" "%USERPROFILE%\AppData\Local\Temp\OnboardLogs"\RTDC4036\2017-11-25 &amp; aws s3 cp s3://rtdc.mdm.uploadarchive.raw/RTDC4036/ "%USERPROFILE%\AppData\Local\Temp\OnboardLogs"\RTDC4036\2017-11-26 --exclude "*" --recursive --include "*20171126*" &amp; "%USERPROFILE%\Documents\GitHub\mrs-test-scripts\Headless Mode &amp; Sideloading\WalkAndUnGZ.bat" "%USERPROFILE%\AppData\Local\Temp\OnboardLogs"\RTDC4036\2017-11-26</v>
      </c>
      <c r="AF156" s="235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/stypes="app*4036*20171125*" /stext=" 08:.+((SYSTEM_STATE.+slice.+state.+changed )|(ment ac)|(multiple cpu faults)|(system.+state.+changed )|(\[timeout)|(PRM\|1\|D)|(kpr)|(kdp)|(train st.+moving)|(\|lc)|(penalty))"</v>
      </c>
      <c r="AG156" s="245" t="str">
        <f>DetSubdiv(A156)</f>
        <v>EC</v>
      </c>
      <c r="AH156" s="237" t="str">
        <f t="shared" si="15"/>
        <v>"%USERPROFILE%\Documents\GitHub\eaglep3\Utilities\RefineRTDCRunTimes.py" --tripid 243-24 --locoid 4036 --swversion DE.1.0.9.0 --startMP 204:573 --initTime 2017-11-25T00:10:43 --startdatetime 2017-11-25T00:30:12 --delay 57 --endMP 204:233266 --enddatetime 2017-11-25T01:04:34 --enforcementcount 0 &gt;&gt;%USERPROFILE%\Documents\GitHub\eaglep3-reporting\EC\2017-11-24-refined-times.txt</v>
      </c>
      <c r="AI156" s="239" t="str">
        <f t="shared" si="16"/>
        <v>echo {"issue":{"subject":"","project_id":79,"tracker_id":40,"status_id":1,"priority_id":2,"assigned_to_id":338,"start_date":"2017-11-25","description":"","custom_fields":[{"id":1,"name":"Subdivision","value":"EC"},{"id":4,"name":"Milepost","value":"23.3266"},{"id":17,"name":"Train ID","value":"243-24"},{"id":16,"name":"Locomotive ID","value":"4036"},{"id":130,"name":"Impact","value":""},{"id":150,"name":"Time of Event (Mountain Time)","value":"01:04:34"},{"id":151,"name":"Denver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4"/>
      <c r="AK156" s="232"/>
      <c r="AL156" s="232"/>
      <c r="AM156" s="241" t="str">
        <f t="shared" si="17"/>
        <v>start /low /b %USERPROFILE%\Documents\GitHub\eaglep3\Utilities\DownloadLogsFromS3.py --loco 4036 --day 2017-11-25</v>
      </c>
      <c r="AN156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08:04:34"},{"id":29,"name":"Sharepoint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1" t="str">
        <f t="shared" si="19"/>
        <v>https://d0f6bd738d7f1b3e5a7ca70fe4ff75f0.us-east-1.aws.found.io/app/kibana#/discover/Steve-Slow-Train-Analysis-(2080s-and-2083s)?_g=(refreshInterval:(display:Off,pause:!f,section:0,value:0),time:(from:'2017-11-24T23:10:43-0700',mode:absolute,to:'2017-11-25T02:04:34-0700'))&amp;_a=(columns:!('Message%20ID',Summary),filters:!(),index:'emp_*',interval:auto,query:(query_string:(analyze_wildcard:!t,query:'%22rtdc.l.rtdc.4036%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4" customFormat="1" x14ac:dyDescent="0.25">
      <c r="A157" s="230" t="s">
        <v>677</v>
      </c>
      <c r="B157" s="226">
        <v>4035</v>
      </c>
      <c r="C157" s="228" t="s">
        <v>192</v>
      </c>
      <c r="D157" s="228" t="s">
        <v>623</v>
      </c>
      <c r="E157" s="227">
        <v>43064.046099537038</v>
      </c>
      <c r="F157" s="227">
        <v>43064.060578703706</v>
      </c>
      <c r="G157" s="226">
        <v>58</v>
      </c>
      <c r="H157" s="228" t="s">
        <v>1040</v>
      </c>
      <c r="I157" s="227">
        <v>43064.085717592592</v>
      </c>
      <c r="J157" s="226">
        <v>0</v>
      </c>
      <c r="K157" s="238" t="str">
        <f>IF(ISEVEN(B157),(B157-1)&amp;"/"&amp;B157,B157&amp;"/"&amp;(B157+1))</f>
        <v>4035/4036</v>
      </c>
      <c r="L157" s="246" t="str">
        <f>VLOOKUP(A157,'Trips&amp;Operators'!$C$1:$G$99911,5,FALSE)</f>
        <v>ELBAUM MIKE</v>
      </c>
      <c r="M157" s="225">
        <f>I157-F157</f>
        <v>2.5138888886431232E-2</v>
      </c>
      <c r="N157" s="226">
        <f>24*60*SUM($M157:$M157)</f>
        <v>36.199999996460974</v>
      </c>
      <c r="O157" s="226"/>
      <c r="P157" s="226"/>
      <c r="Q157" s="229"/>
      <c r="R157" s="243"/>
      <c r="S157" s="250">
        <f>1/IF(AG157="EC",12,1)*SUM(U157:U157)</f>
        <v>1</v>
      </c>
      <c r="T157" s="243" t="str">
        <f>IF(ISEVEN(LEFT(AD157,4)),"Southbound","NorthBound")</f>
        <v>Southbound</v>
      </c>
      <c r="U157" s="24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9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-25T00:06:23-0700',mode:absolute,to:'2017-11-25T03:03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7" s="248" t="str">
        <f>IF(AA157&lt;VLOOKUP(AG157,Variables!$AC$3:$AD$8,2,FALSE),"Y","N")</f>
        <v>N</v>
      </c>
      <c r="X157" s="248">
        <f>VALUE(LEFT(AD157,4))-VALUE(LEFT(AD156,4))</f>
        <v>1</v>
      </c>
      <c r="Y157" s="248">
        <f>RIGHT(D157,LEN(D157)-4)/10000</f>
        <v>23.294699999999999</v>
      </c>
      <c r="Z157" s="248">
        <f>RIGHT(H157,LEN(H157)-4)/10000</f>
        <v>2.7300000000000001E-2</v>
      </c>
      <c r="AA157" s="248">
        <f>ABS(Z157-Y157)</f>
        <v>23.267399999999999</v>
      </c>
      <c r="AB157" s="234" t="e">
        <f>VLOOKUP(A157,Enforcements!$C$7:$K$9,8,0)</f>
        <v>#N/A</v>
      </c>
      <c r="AC157" s="233" t="e">
        <f>VLOOKUP(A157,Enforcements!$C$7:$E$9,3,0)</f>
        <v>#N/A</v>
      </c>
      <c r="AD157" s="244">
        <f>VALUE(LEFT(A157,LEN(A157)-3))</f>
        <v>244</v>
      </c>
      <c r="AE157" s="236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s3://rtdc.mdm.uploadarchive.raw/RTDC4035/ "%USERPROFILE%\AppData\Local\Temp\OnboardLogs"\RTDC4035\2017-11-25 --exclude "*" --recursive --include "*20171125*" &amp; "%USERPROFILE%\Documents\GitHub\mrs-test-scripts\Headless Mode &amp; Sideloading\WalkAndUnGZ.bat" "%USERPROFILE%\AppData\Local\Temp\OnboardLogs"\RTDC4035\2017-11-25 &amp; aws s3 cp s3://rtdc.mdm.uploadarchive.raw/RTDC4035/ "%USERPROFILE%\AppData\Local\Temp\OnboardLogs"\RTDC4035\2017-11-26 --exclude "*" --recursive --include "*20171126*" &amp; "%USERPROFILE%\Documents\GitHub\mrs-test-scripts\Headless Mode &amp; Sideloading\WalkAndUnGZ.bat" "%USERPROFILE%\AppData\Local\Temp\OnboardLogs"\RTDC4035\2017-11-26</v>
      </c>
      <c r="AF157" s="235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/stypes="app*4035*20171125*" /stext=" 09:.+((SYSTEM_STATE.+slice.+state.+changed )|(ment ac)|(multiple cpu faults)|(system.+state.+changed )|(\[timeout)|(PRM\|1\|D)|(kpr)|(kdp)|(train st.+moving)|(\|lc)|(penalty))"</v>
      </c>
      <c r="AG157" s="245" t="str">
        <f>DetSubdiv(A157)</f>
        <v>EC</v>
      </c>
      <c r="AH157" s="237" t="str">
        <f t="shared" si="15"/>
        <v>"%USERPROFILE%\Documents\GitHub\eaglep3\Utilities\RefineRTDCRunTimes.py" --tripid 244-24 --locoid 4035 --swversion DE.1.0.9.0 --startMP 204:232947 --initTime 2017-11-25T01:06:23 --startdatetime 2017-11-25T01:27:14 --delay 58 --endMP 204:273 --enddatetime 2017-11-25T02:03:26 --enforcementcount 0 &gt;&gt;%USERPROFILE%\Documents\GitHub\eaglep3-reporting\EC\2017-11-24-refined-times.txt</v>
      </c>
      <c r="AI157" s="239" t="str">
        <f t="shared" si="16"/>
        <v>echo {"issue":{"subject":"","project_id":79,"tracker_id":40,"status_id":1,"priority_id":2,"assigned_to_id":338,"start_date":"2017-11-25","description":"","custom_fields":[{"id":1,"name":"Subdivision","value":"EC"},{"id":4,"name":"Milepost","value":"0.0273"},{"id":17,"name":"Train ID","value":"244-24"},{"id":16,"name":"Locomotive ID","value":"4035"},{"id":130,"name":"Impact","value":""},{"id":150,"name":"Time of Event (Mountain Time)","value":"02:03:26"},{"id":151,"name":"Denver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2"/>
      <c r="AL157" s="232"/>
      <c r="AM157" s="241" t="str">
        <f t="shared" si="17"/>
        <v>start /low /b %USERPROFILE%\Documents\GitHub\eaglep3\Utilities\DownloadLogsFromS3.py --loco 4035 --day 2017-11-25</v>
      </c>
      <c r="AN157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09:03:26"},{"id":29,"name":"Sharepoint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1" t="str">
        <f t="shared" si="19"/>
        <v>https://d0f6bd738d7f1b3e5a7ca70fe4ff75f0.us-east-1.aws.found.io/app/kibana#/discover/Steve-Slow-Train-Analysis-(2080s-and-2083s)?_g=(refreshInterval:(display:Off,pause:!f,section:0,value:0),time:(from:'2017-11-25T00:06:23-0700',mode:absolute,to:'2017-11-25T03:03:26-0700'))&amp;_a=(columns:!('Message%20ID',Summary),filters:!(),index:'emp_*',interval:auto,query:(query_string:(analyze_wildcard:!t,query:'%22rtdc.l.rtdc.4035%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230" t="s">
        <v>915</v>
      </c>
      <c r="B158" s="226">
        <v>4016</v>
      </c>
      <c r="C158" s="228" t="s">
        <v>192</v>
      </c>
      <c r="D158" s="228" t="s">
        <v>513</v>
      </c>
      <c r="E158" s="227">
        <v>43064.028333333335</v>
      </c>
      <c r="F158" s="227">
        <v>43064.04184027778</v>
      </c>
      <c r="G158" s="226">
        <v>95</v>
      </c>
      <c r="H158" s="228" t="s">
        <v>473</v>
      </c>
      <c r="I158" s="227">
        <v>43064.066157407404</v>
      </c>
      <c r="J158" s="226">
        <v>0</v>
      </c>
      <c r="K158" s="238" t="str">
        <f>IF(ISEVEN(B158),(B158-1)&amp;"/"&amp;B158,B158&amp;"/"&amp;(B158+1))</f>
        <v>4015/4016</v>
      </c>
      <c r="L158" s="246" t="str">
        <f>VLOOKUP(A158,'Trips&amp;Operators'!$C$1:$G$99911,5,FALSE)</f>
        <v>ZEWDU DEREJE</v>
      </c>
      <c r="M158" s="225">
        <f>I158-F158</f>
        <v>2.4317129624250811E-2</v>
      </c>
      <c r="N158" s="226">
        <f>24*60*SUM($M158:$M158)</f>
        <v>35.016666658921167</v>
      </c>
      <c r="O158" s="226"/>
      <c r="P158" s="226"/>
      <c r="Q158" s="229"/>
      <c r="R158" s="243"/>
      <c r="S158" s="250">
        <f>1/IF(AG158="EC",12,1)*SUM(U158:U158)</f>
        <v>1</v>
      </c>
      <c r="T158" s="243" t="str">
        <f>IF(ISEVEN(LEFT(AD158,4)),"Southbound","NorthBound")</f>
        <v>NorthBound</v>
      </c>
      <c r="U158" s="24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9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-11-24T23:40:48-0700',mode:absolute,to:'2017-11-25T02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8" s="248" t="str">
        <f>IF(AA158&lt;VLOOKUP(AG158,Variables!$AC$3:$AD$8,2,FALSE),"Y","N")</f>
        <v>N</v>
      </c>
      <c r="X158" s="248">
        <f>VALUE(LEFT(AD158,4))-VALUE(LEFT(AD157,4))</f>
        <v>1</v>
      </c>
      <c r="Y158" s="248">
        <f>RIGHT(D158,LEN(D158)-4)/10000</f>
        <v>5.57E-2</v>
      </c>
      <c r="Z158" s="248">
        <f>RIGHT(H158,LEN(H158)-4)/10000</f>
        <v>23.327000000000002</v>
      </c>
      <c r="AA158" s="248">
        <f>ABS(Z158-Y158)</f>
        <v>23.2713</v>
      </c>
      <c r="AB158" s="234" t="e">
        <f>VLOOKUP(A158,Enforcements!$C$7:$K$9,8,0)</f>
        <v>#N/A</v>
      </c>
      <c r="AC158" s="233" t="e">
        <f>VLOOKUP(A158,Enforcements!$C$7:$E$9,3,0)</f>
        <v>#N/A</v>
      </c>
      <c r="AD158" s="244">
        <f>VALUE(LEFT(A158,LEN(A158)-3))</f>
        <v>245</v>
      </c>
      <c r="AE158" s="236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s3://rtdc.mdm.uploadarchive.raw/RTDC4016/ "%USERPROFILE%\AppData\Local\Temp\OnboardLogs"\RTDC4016\2017-11-25 --exclude "*" --recursive --include "*20171125*" &amp; "%USERPROFILE%\Documents\GitHub\mrs-test-scripts\Headless Mode &amp; Sideloading\WalkAndUnGZ.bat" "%USERPROFILE%\AppData\Local\Temp\OnboardLogs"\RTDC4016\2017-11-25 &amp; aws s3 cp s3://rtdc.mdm.uploadarchive.raw/RTDC4016/ "%USERPROFILE%\AppData\Local\Temp\OnboardLogs"\RTDC4016\2017-11-26 --exclude "*" --recursive --include "*20171126*" &amp; "%USERPROFILE%\Documents\GitHub\mrs-test-scripts\Headless Mode &amp; Sideloading\WalkAndUnGZ.bat" "%USERPROFILE%\AppData\Local\Temp\OnboardLogs"\RTDC4016\2017-11-26</v>
      </c>
      <c r="AF158" s="235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/stypes="app*4016*20171125*" /stext=" 08:.+((SYSTEM_STATE.+slice.+state.+changed )|(ment ac)|(multiple cpu faults)|(system.+state.+changed )|(\[timeout)|(PRM\|1\|D)|(kpr)|(kdp)|(train st.+moving)|(\|lc)|(penalty))"</v>
      </c>
      <c r="AG158" s="245" t="str">
        <f>DetSubdiv(A158)</f>
        <v>EC</v>
      </c>
      <c r="AH158" s="237" t="str">
        <f t="shared" si="15"/>
        <v>"%USERPROFILE%\Documents\GitHub\eaglep3\Utilities\RefineRTDCRunTimes.py" --tripid 245-24 --locoid 4016 --swversion DE.1.0.9.0 --startMP 204:557 --initTime 2017-11-25T00:40:48 --startdatetime 2017-11-25T01:00:15 --delay 95 --endMP 204:233270 --enddatetime 2017-11-25T01:35:16 --enforcementcount 0 &gt;&gt;%USERPROFILE%\Documents\GitHub\eaglep3-reporting\EC\2017-11-24-refined-times.txt</v>
      </c>
      <c r="AI158" s="239" t="str">
        <f t="shared" si="16"/>
        <v>echo {"issue":{"subject":"","project_id":79,"tracker_id":40,"status_id":1,"priority_id":2,"assigned_to_id":338,"start_date":"2017-11-25","description":"","custom_fields":[{"id":1,"name":"Subdivision","value":"EC"},{"id":4,"name":"Milepost","value":"23.327"},{"id":17,"name":"Train ID","value":"245-24"},{"id":16,"name":"Locomotive ID","value":"4016"},{"id":130,"name":"Impact","value":""},{"id":150,"name":"Time of Event (Mountain Time)","value":"01:35:16"},{"id":151,"name":"Denver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4"/>
      <c r="AK158" s="232"/>
      <c r="AL158" s="232"/>
      <c r="AM158" s="241" t="str">
        <f t="shared" si="17"/>
        <v>start /low /b %USERPROFILE%\Documents\GitHub\eaglep3\Utilities\DownloadLogsFromS3.py --loco 4016 --day 2017-11-25</v>
      </c>
      <c r="AN158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08:35:16"},{"id":29,"name":"Sharepoint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1" t="str">
        <f t="shared" si="19"/>
        <v>https://d0f6bd738d7f1b3e5a7ca70fe4ff75f0.us-east-1.aws.found.io/app/kibana#/discover/Steve-Slow-Train-Analysis-(2080s-and-2083s)?_g=(refreshInterval:(display:Off,pause:!f,section:0,value:0),time:(from:'2017-11-24T23:40:48-0700',mode:absolute,to:'2017-11-25T02:35:16-0700'))&amp;_a=(columns:!('Message%20ID',Summary),filters:!(),index:'emp_*',interval:auto,query:(query_string:(analyze_wildcard:!t,query:'%22rtdc.l.rtdc.4016%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4" customFormat="1" x14ac:dyDescent="0.25">
      <c r="A159" s="230" t="s">
        <v>918</v>
      </c>
      <c r="B159" s="226">
        <v>4015</v>
      </c>
      <c r="C159" s="228" t="s">
        <v>192</v>
      </c>
      <c r="D159" s="228" t="s">
        <v>513</v>
      </c>
      <c r="E159" s="227">
        <v>43064.028333333335</v>
      </c>
      <c r="F159" s="227">
        <v>43064.081423611111</v>
      </c>
      <c r="G159" s="226">
        <v>95</v>
      </c>
      <c r="H159" s="228" t="s">
        <v>473</v>
      </c>
      <c r="I159" s="227">
        <v>43064.106817129628</v>
      </c>
      <c r="J159" s="226">
        <v>0</v>
      </c>
      <c r="K159" s="238" t="str">
        <f>IF(ISEVEN(B159),(B159-1)&amp;"/"&amp;B159,B159&amp;"/"&amp;(B159+1))</f>
        <v>4015/4016</v>
      </c>
      <c r="L159" s="246" t="str">
        <f>VLOOKUP(A159,'Trips&amp;Operators'!$C$1:$G$99911,5,FALSE)</f>
        <v>ZEWDU DEREJE</v>
      </c>
      <c r="M159" s="225">
        <f>I159-F159</f>
        <v>2.5393518517375924E-2</v>
      </c>
      <c r="N159" s="226">
        <f>24*60*SUM($M159:$M159)</f>
        <v>36.56666666502133</v>
      </c>
      <c r="O159" s="226"/>
      <c r="P159" s="226"/>
      <c r="Q159" s="229"/>
      <c r="R159" s="243"/>
      <c r="S159" s="250">
        <f>1/IF(AG159="EC",12,1)*SUM(U159:U159)</f>
        <v>1</v>
      </c>
      <c r="T159" s="243" t="str">
        <f>IF(ISEVEN(LEFT(AD159,4)),"Southbound","NorthBound")</f>
        <v>Southbound</v>
      </c>
      <c r="U159" s="24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9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-24T23:40:48-0700',mode:absolute,to:'2017-11-25T03:33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248" t="str">
        <f>IF(AA159&lt;VLOOKUP(AG159,Variables!$AC$3:$AD$8,2,FALSE),"Y","N")</f>
        <v>N</v>
      </c>
      <c r="X159" s="248">
        <f>VALUE(LEFT(AD159,4))-VALUE(LEFT(AD158,4))</f>
        <v>1</v>
      </c>
      <c r="Y159" s="248">
        <v>23.294699999999999</v>
      </c>
      <c r="Z159" s="248">
        <v>2.7300000000000001E-2</v>
      </c>
      <c r="AA159" s="248">
        <f>ABS(Z159-Y159)</f>
        <v>23.267399999999999</v>
      </c>
      <c r="AB159" s="234" t="e">
        <f>VLOOKUP(A159,Enforcements!$C$7:$K$9,8,0)</f>
        <v>#N/A</v>
      </c>
      <c r="AC159" s="233" t="e">
        <f>VLOOKUP(A159,Enforcements!$C$7:$E$9,3,0)</f>
        <v>#N/A</v>
      </c>
      <c r="AD159" s="244">
        <f>VALUE(LEFT(A159,LEN(A159)-3))</f>
        <v>246</v>
      </c>
      <c r="AE159" s="236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s3://rtdc.mdm.uploadarchive.raw/RTDC4015/ "%USERPROFILE%\AppData\Local\Temp\OnboardLogs"\RTDC4015\2017-11-25 --exclude "*" --recursive --include "*20171125*" &amp; "%USERPROFILE%\Documents\GitHub\mrs-test-scripts\Headless Mode &amp; Sideloading\WalkAndUnGZ.bat" "%USERPROFILE%\AppData\Local\Temp\OnboardLogs"\RTDC4015\2017-11-25 &amp; aws s3 cp s3://rtdc.mdm.uploadarchive.raw/RTDC4015/ "%USERPROFILE%\AppData\Local\Temp\OnboardLogs"\RTDC4015\2017-11-26 --exclude "*" --recursive --include "*20171126*" &amp; "%USERPROFILE%\Documents\GitHub\mrs-test-scripts\Headless Mode &amp; Sideloading\WalkAndUnGZ.bat" "%USERPROFILE%\AppData\Local\Temp\OnboardLogs"\RTDC4015\2017-11-26</v>
      </c>
      <c r="AF159" s="235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/stypes="app*4015*20171125*" /stext=" 09:.+((SYSTEM_STATE.+slice.+state.+changed )|(ment ac)|(multiple cpu faults)|(system.+state.+changed )|(\[timeout)|(PRM\|1\|D)|(kpr)|(kdp)|(train st.+moving)|(\|lc)|(penalty))"</v>
      </c>
      <c r="AG159" s="245" t="str">
        <f>DetSubdiv(A159)</f>
        <v>EC</v>
      </c>
      <c r="AH159" s="237" t="str">
        <f t="shared" ref="AH159" si="25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246-24 --locoid 4015 --swversion DE.1.0.9.0 --startMP 204:557 --initTime 2017-11-25T00:40:48 --startdatetime 2017-11-25T01:57:15 --delay 95 --endMP 204:233270 --enddatetime 2017-11-25T02:33:49 --enforcementcount 0 &gt;&gt;%USERPROFILE%\Documents\GitHub\eaglep3-reporting\EC\2017-11-24-refined-times.txt</v>
      </c>
      <c r="AI159" s="239" t="str">
        <f t="shared" ref="AI159" si="26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{"issue":{"subject":"","project_id":79,"tracker_id":40,"status_id":1,"priority_id":2,"assigned_to_id":338,"start_date":"2017-11-25","description":"","custom_fields":[{"id":1,"name":"Subdivision","value":"EC"},{"id":4,"name":"Milepost","value":"0.0273"},{"id":17,"name":"Train ID","value":"246-24"},{"id":16,"name":"Locomotive ID","value":"4015"},{"id":130,"name":"Impact","value":""},{"id":150,"name":"Time of Event (Mountain Time)","value":"02:33:49"},{"id":151,"name":"Denver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2"/>
      <c r="AL159" s="232"/>
      <c r="AM159" s="241" t="str">
        <f t="shared" ref="AM159" si="27">"start /low /b "&amp;dls3logs&amp;" --loco "&amp;B159&amp;" --day "&amp;TEXT(F159,"YYYY-MM-DD")</f>
        <v>start /low /b %USERPROFILE%\Documents\GitHub\eaglep3\Utilities\DownloadLogsFromS3.py --loco 4015 --day 2017-11-25</v>
      </c>
      <c r="AN159" s="242" t="str">
        <f t="shared" ref="AN159" si="28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09:33:49"},{"id":29,"name":"Sharepoint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1" t="str">
        <f t="shared" ref="AO159" si="29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-24T23:40:48-0700',mode:absolute,to:'2017-11-25T03:33:49-0700'))&amp;_a=(columns:!('Message%20ID',Summary),filters:!(),index:'emp_*',interval:auto,query:(query_string:(analyze_wildcard:!t,query:'%22rtdc.l.rtdc.4015%22')),sort:!(Time.ISO8601,asc))</v>
      </c>
    </row>
    <row r="160" spans="1:91" s="20" customFormat="1" x14ac:dyDescent="0.25">
      <c r="A160" s="230" t="s">
        <v>717</v>
      </c>
      <c r="B160" s="226">
        <v>4039</v>
      </c>
      <c r="C160" s="228" t="s">
        <v>192</v>
      </c>
      <c r="D160" s="228" t="s">
        <v>500</v>
      </c>
      <c r="E160" s="227">
        <v>43063.207060185188</v>
      </c>
      <c r="F160" s="227">
        <v>43063.21875</v>
      </c>
      <c r="G160" s="226">
        <v>89</v>
      </c>
      <c r="H160" s="228" t="s">
        <v>639</v>
      </c>
      <c r="I160" s="227">
        <v>43063.2268287037</v>
      </c>
      <c r="J160" s="226">
        <v>0</v>
      </c>
      <c r="K160" s="238" t="str">
        <f>IF(ISEVEN(B160),(B160-1)&amp;"/"&amp;B160,B160&amp;"/"&amp;(B160+1))</f>
        <v>4039/4040</v>
      </c>
      <c r="L160" s="246" t="str">
        <f>VLOOKUP(A160,'Trips&amp;Operators'!$C$1:$G$99911,5,FALSE)</f>
        <v>WILLIAMS DONTE</v>
      </c>
      <c r="M160" s="225">
        <f>I160-F160</f>
        <v>8.0787037004483864E-3</v>
      </c>
      <c r="N160" s="226">
        <f>24*60*SUM($M160:$M160)</f>
        <v>11.633333328645676</v>
      </c>
      <c r="O160" s="226"/>
      <c r="P160" s="226"/>
      <c r="Q160" s="229"/>
      <c r="R160" s="243"/>
      <c r="S160" s="250">
        <f>1/IF(AG160="EC",12,1)*SUM(U160:U160)</f>
        <v>1</v>
      </c>
      <c r="T160" s="243" t="str">
        <f>IF(ISEVEN(LEFT(AD160,4)),"Southbound","NorthBound")</f>
        <v>Southbound</v>
      </c>
      <c r="U160" s="24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9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-11-24T03:58:10-0700',mode:absolute,to:'2017-11-24T06:26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0" s="248" t="str">
        <f>IF(AA160&lt;VLOOKUP(AG160,Variables!$AC$3:$AD$8,2,FALSE),"Y","N")</f>
        <v>N</v>
      </c>
      <c r="X160" s="248">
        <f>VALUE(LEFT(AD160,4))-VALUE(LEFT(AD159,4))</f>
        <v>554</v>
      </c>
      <c r="Y160" s="248">
        <f>RIGHT(D160,LEN(D160)-4)/10000</f>
        <v>5.8632</v>
      </c>
      <c r="Z160" s="248">
        <f>RIGHT(H160,LEN(H160)-4)/10000</f>
        <v>7.3800000000000004E-2</v>
      </c>
      <c r="AA160" s="248">
        <f>ABS(Z160-Y160)</f>
        <v>5.7893999999999997</v>
      </c>
      <c r="AB160" s="234" t="e">
        <f>VLOOKUP(A160,Enforcements!$C$7:$K$9,8,0)</f>
        <v>#N/A</v>
      </c>
      <c r="AC160" s="233" t="e">
        <f>VLOOKUP(A160,Enforcements!$C$7:$E$9,3,0)</f>
        <v>#N/A</v>
      </c>
      <c r="AD160" s="244">
        <f>VALUE(LEFT(A160,LEN(A160)-3))</f>
        <v>800</v>
      </c>
      <c r="AE160" s="236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s3://rtdc.mdm.uploadarchive.raw/RTDC4039/ "%USERPROFILE%\AppData\Local\Temp\OnboardLogs"\RTDC4039\2017-11-24 --exclude "*" --recursive --include "*20171124*" &amp; "%USERPROFILE%\Documents\GitHub\mrs-test-scripts\Headless Mode &amp; Sideloading\WalkAndUnGZ.bat" "%USERPROFILE%\AppData\Local\Temp\OnboardLogs"\RTDC4039\2017-11-24 &amp; aws s3 cp s3://rtdc.mdm.uploadarchive.raw/RTDC4039/ "%USERPROFILE%\AppData\Local\Temp\OnboardLogs"\RTDC4039\2017-11-25 --exclude "*" --recursive --include "*20171125*" &amp; "%USERPROFILE%\Documents\GitHub\mrs-test-scripts\Headless Mode &amp; Sideloading\WalkAndUnGZ.bat" "%USERPROFILE%\AppData\Local\Temp\OnboardLogs"\RTDC4039\2017-11-25</v>
      </c>
      <c r="AF160" s="235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/stypes="app*4039*20171124*" /stext=" 12:.+((SYSTEM_STATE.+slice.+state.+changed )|(ment ac)|(multiple cpu faults)|(system.+state.+changed )|(\[timeout)|(PRM\|1\|D)|(kpr)|(kdp)|(train st.+moving)|(\|lc)|(penalty))"</v>
      </c>
      <c r="AG160" s="245" t="str">
        <f>DetSubdiv(A160)</f>
        <v>NW</v>
      </c>
      <c r="AH160" s="237" t="str">
        <f t="shared" si="15"/>
        <v>"%USERPROFILE%\Documents\GitHub\eaglep3\Utilities\RefineRTDCRunTimes.py" --tripid 800-24 --locoid 4039 --swversion DE.1.0.9.0 --startMP 300:58632 --initTime 2017-11-24T04:58:10 --startdatetime 2017-11-24T05:15:00 --delay 89 --endMP 204:738 --enddatetime 2017-11-24T05:26:38 --enforcementcount 0 &gt;&gt;%USERPROFILE%\Documents\GitHub\eaglep3-reporting\EC\2017-11-24-refined-times.txt</v>
      </c>
      <c r="AI160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{"issue":{"subject":"","project_id":79,"tracker_id":40,"status_id":1,"priority_id":2,"assigned_to_id":338,"start_date":"2017-11-24","description":"","custom_fields":[{"id":1,"name":"Subdivision","value":"NW"},{"id":4,"name":"Milepost","value":"0.0738"},{"id":17,"name":"Train ID","value":"800-24"},{"id":16,"name":"Locomotive ID","value":"4039"},{"id":130,"name":"Impact","value":""},{"id":150,"name":"Time of Event (Mountain Time)","value":"05:26:38"},{"id":151,"name":"Denver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4"/>
      <c r="AK160" s="232"/>
      <c r="AL160" s="232"/>
      <c r="AM160" s="241" t="str">
        <f t="shared" si="17"/>
        <v>start /low /b %USERPROFILE%\Documents\GitHub\eaglep3\Utilities\DownloadLogsFromS3.py --loco 4039 --day 2017-11-24</v>
      </c>
      <c r="AN160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12:26:38"},{"id":29,"name":"Sharepoint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1" t="str">
        <f t="shared" si="19"/>
        <v>https://d0f6bd738d7f1b3e5a7ca70fe4ff75f0.us-east-1.aws.found.io/app/kibana#/discover/Steve-Slow-Train-Analysis-(2080s-and-2083s)?_g=(refreshInterval:(display:Off,pause:!f,section:0,value:0),time:(from:'2017-11-24T03:58:10-0700',mode:absolute,to:'2017-11-24T06:26:38-0700'))&amp;_a=(columns:!('Message%20ID',Summary),filters:!(),index:'emp_*',interval:auto,query:(query_string:(analyze_wildcard:!t,query:'%22rtdc.l.rtdc.4039%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230" t="s">
        <v>726</v>
      </c>
      <c r="B161" s="226">
        <v>4040</v>
      </c>
      <c r="C161" s="228" t="s">
        <v>192</v>
      </c>
      <c r="D161" s="228" t="s">
        <v>1068</v>
      </c>
      <c r="E161" s="227">
        <v>43063.228368055556</v>
      </c>
      <c r="F161" s="227">
        <v>43063.236516203702</v>
      </c>
      <c r="G161" s="226">
        <v>62</v>
      </c>
      <c r="H161" s="228" t="s">
        <v>1069</v>
      </c>
      <c r="I161" s="227">
        <v>43063.247141203705</v>
      </c>
      <c r="J161" s="226">
        <v>0</v>
      </c>
      <c r="K161" s="238" t="str">
        <f>IF(ISEVEN(B161),(B161-1)&amp;"/"&amp;B161,B161&amp;"/"&amp;(B161+1))</f>
        <v>4039/4040</v>
      </c>
      <c r="L161" s="246" t="str">
        <f>VLOOKUP(A161,'Trips&amp;Operators'!$C$1:$G$99911,5,FALSE)</f>
        <v>WILLIAMS DONTE</v>
      </c>
      <c r="M161" s="225">
        <f>I161-F161</f>
        <v>1.0625000002619345E-2</v>
      </c>
      <c r="N161" s="226">
        <f>24*60*SUM($M161:$M161)</f>
        <v>15.300000003771856</v>
      </c>
      <c r="O161" s="226"/>
      <c r="P161" s="226"/>
      <c r="Q161" s="229"/>
      <c r="R161" s="243"/>
      <c r="S161" s="250">
        <f>1/IF(AG161="EC",12,1)*SUM(U161:U161)</f>
        <v>1</v>
      </c>
      <c r="T161" s="243" t="str">
        <f>IF(ISEVEN(LEFT(AD161,4)),"Southbound","NorthBound")</f>
        <v>NorthBound</v>
      </c>
      <c r="U161" s="24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9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-11-24T04:28:51-0700',mode:absolute,to:'2017-11-24T06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1" s="248" t="str">
        <f>IF(AA161&lt;VLOOKUP(AG161,Variables!$AC$3:$AD$8,2,FALSE),"Y","N")</f>
        <v>N</v>
      </c>
      <c r="X161" s="248">
        <f>VALUE(LEFT(AD161,4))-VALUE(LEFT(AD160,4))</f>
        <v>1</v>
      </c>
      <c r="Y161" s="248">
        <f>RIGHT(D161,LEN(D161)-4)/10000</f>
        <v>0.1009</v>
      </c>
      <c r="Z161" s="248">
        <f>RIGHT(H161,LEN(H161)-4)/10000</f>
        <v>5.8948</v>
      </c>
      <c r="AA161" s="248">
        <f>ABS(Z161-Y161)</f>
        <v>5.7938999999999998</v>
      </c>
      <c r="AB161" s="234" t="e">
        <f>VLOOKUP(A161,Enforcements!$C$7:$K$9,8,0)</f>
        <v>#N/A</v>
      </c>
      <c r="AC161" s="233" t="e">
        <f>VLOOKUP(A161,Enforcements!$C$7:$E$9,3,0)</f>
        <v>#N/A</v>
      </c>
      <c r="AD161" s="244">
        <f>VALUE(LEFT(A161,LEN(A161)-3))</f>
        <v>801</v>
      </c>
      <c r="AE161" s="236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s3://rtdc.mdm.uploadarchive.raw/RTDC4040/ "%USERPROFILE%\AppData\Local\Temp\OnboardLogs"\RTDC4040\2017-11-24 --exclude "*" --recursive --include "*20171124*" &amp; "%USERPROFILE%\Documents\GitHub\mrs-test-scripts\Headless Mode &amp; Sideloading\WalkAndUnGZ.bat" "%USERPROFILE%\AppData\Local\Temp\OnboardLogs"\RTDC4040\2017-11-24 &amp; aws s3 cp s3://rtdc.mdm.uploadarchive.raw/RTDC4040/ "%USERPROFILE%\AppData\Local\Temp\OnboardLogs"\RTDC4040\2017-11-25 --exclude "*" --recursive --include "*20171125*" &amp; "%USERPROFILE%\Documents\GitHub\mrs-test-scripts\Headless Mode &amp; Sideloading\WalkAndUnGZ.bat" "%USERPROFILE%\AppData\Local\Temp\OnboardLogs"\RTDC4040\2017-11-25</v>
      </c>
      <c r="AF161" s="235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/stypes="app*4040*20171124*" /stext=" 12:.+((SYSTEM_STATE.+slice.+state.+changed )|(ment ac)|(multiple cpu faults)|(system.+state.+changed )|(\[timeout)|(PRM\|1\|D)|(kpr)|(kdp)|(train st.+moving)|(\|lc)|(penalty))"</v>
      </c>
      <c r="AG161" s="245" t="str">
        <f>DetSubdiv(A161)</f>
        <v>NW</v>
      </c>
      <c r="AH161" s="237" t="str">
        <f t="shared" si="15"/>
        <v>"%USERPROFILE%\Documents\GitHub\eaglep3\Utilities\RefineRTDCRunTimes.py" --tripid 801-24 --locoid 4040 --swversion DE.1.0.9.0 --startMP 204:1009 --initTime 2017-11-24T05:28:51 --startdatetime 2017-11-24T05:40:35 --delay 62 --endMP 300:58948 --enddatetime 2017-11-24T05:55:53 --enforcementcount 0 &gt;&gt;%USERPROFILE%\Documents\GitHub\eaglep3-reporting\EC\2017-11-24-refined-times.txt</v>
      </c>
      <c r="AI161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{"issue":{"subject":"","project_id":79,"tracker_id":40,"status_id":1,"priority_id":2,"assigned_to_id":338,"start_date":"2017-11-24","description":"","custom_fields":[{"id":1,"name":"Subdivision","value":"NW"},{"id":4,"name":"Milepost","value":"5.8948"},{"id":17,"name":"Train ID","value":"801-24"},{"id":16,"name":"Locomotive ID","value":"4040"},{"id":130,"name":"Impact","value":""},{"id":150,"name":"Time of Event (Mountain Time)","value":"05:55:53"},{"id":151,"name":"Denver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4"/>
      <c r="AK161" s="232"/>
      <c r="AL161" s="232"/>
      <c r="AM161" s="241" t="str">
        <f t="shared" si="17"/>
        <v>start /low /b %USERPROFILE%\Documents\GitHub\eaglep3\Utilities\DownloadLogsFromS3.py --loco 4040 --day 2017-11-24</v>
      </c>
      <c r="AN161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12:55:53"},{"id":29,"name":"Sharepoint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1" t="str">
        <f t="shared" si="19"/>
        <v>https://d0f6bd738d7f1b3e5a7ca70fe4ff75f0.us-east-1.aws.found.io/app/kibana#/discover/Steve-Slow-Train-Analysis-(2080s-and-2083s)?_g=(refreshInterval:(display:Off,pause:!f,section:0,value:0),time:(from:'2017-11-24T04:28:51-0700',mode:absolute,to:'2017-11-24T06:55:53-0700'))&amp;_a=(columns:!('Message%20ID',Summary),filters:!(),index:'emp_*',interval:auto,query:(query_string:(analyze_wildcard:!t,query:'%22rtdc.l.rtdc.4040%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230" t="s">
        <v>732</v>
      </c>
      <c r="B162" s="226">
        <v>4039</v>
      </c>
      <c r="C162" s="228" t="s">
        <v>192</v>
      </c>
      <c r="D162" s="228" t="s">
        <v>503</v>
      </c>
      <c r="E162" s="227">
        <v>43063.248472222222</v>
      </c>
      <c r="F162" s="227">
        <v>43063.260416666664</v>
      </c>
      <c r="G162" s="226">
        <v>56</v>
      </c>
      <c r="H162" s="228" t="s">
        <v>1070</v>
      </c>
      <c r="I162" s="227">
        <v>43063.267812500002</v>
      </c>
      <c r="J162" s="226">
        <v>0</v>
      </c>
      <c r="K162" s="238" t="str">
        <f>IF(ISEVEN(B162),(B162-1)&amp;"/"&amp;B162,B162&amp;"/"&amp;(B162+1))</f>
        <v>4039/4040</v>
      </c>
      <c r="L162" s="246" t="str">
        <f>VLOOKUP(A162,'Trips&amp;Operators'!$C$1:$G$99911,5,FALSE)</f>
        <v>WILLIAMS DONTE</v>
      </c>
      <c r="M162" s="225">
        <f>I162-F162</f>
        <v>7.3958333377959207E-3</v>
      </c>
      <c r="N162" s="226">
        <f>24*60*SUM($M162:$M162)</f>
        <v>10.650000006426126</v>
      </c>
      <c r="O162" s="226"/>
      <c r="P162" s="226"/>
      <c r="Q162" s="229"/>
      <c r="R162" s="243"/>
      <c r="S162" s="250">
        <f>1/IF(AG162="EC",12,1)*SUM(U162:U162)</f>
        <v>1</v>
      </c>
      <c r="T162" s="243" t="str">
        <f>IF(ISEVEN(LEFT(AD162,4)),"Southbound","NorthBound")</f>
        <v>Southbound</v>
      </c>
      <c r="U162" s="24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9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-11-24T04:57:48-0700',mode:absolute,to:'2017-11-24T07:25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2" s="248" t="str">
        <f>IF(AA162&lt;VLOOKUP(AG162,Variables!$AC$3:$AD$8,2,FALSE),"Y","N")</f>
        <v>N</v>
      </c>
      <c r="X162" s="248">
        <f>VALUE(LEFT(AD162,4))-VALUE(LEFT(AD161,4))</f>
        <v>1</v>
      </c>
      <c r="Y162" s="248">
        <f>RIGHT(D162,LEN(D162)-4)/10000</f>
        <v>5.8624000000000001</v>
      </c>
      <c r="Z162" s="248">
        <f>RIGHT(H162,LEN(H162)-4)/10000</f>
        <v>7.3599999999999999E-2</v>
      </c>
      <c r="AA162" s="248">
        <f>ABS(Z162-Y162)</f>
        <v>5.7888000000000002</v>
      </c>
      <c r="AB162" s="234" t="e">
        <f>VLOOKUP(A162,Enforcements!$C$7:$K$9,8,0)</f>
        <v>#N/A</v>
      </c>
      <c r="AC162" s="233" t="e">
        <f>VLOOKUP(A162,Enforcements!$C$7:$E$9,3,0)</f>
        <v>#N/A</v>
      </c>
      <c r="AD162" s="244">
        <f>VALUE(LEFT(A162,LEN(A162)-3))</f>
        <v>802</v>
      </c>
      <c r="AE162" s="236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s3://rtdc.mdm.uploadarchive.raw/RTDC4039/ "%USERPROFILE%\AppData\Local\Temp\OnboardLogs"\RTDC4039\2017-11-24 --exclude "*" --recursive --include "*20171124*" &amp; "%USERPROFILE%\Documents\GitHub\mrs-test-scripts\Headless Mode &amp; Sideloading\WalkAndUnGZ.bat" "%USERPROFILE%\AppData\Local\Temp\OnboardLogs"\RTDC4039\2017-11-24 &amp; aws s3 cp s3://rtdc.mdm.uploadarchive.raw/RTDC4039/ "%USERPROFILE%\AppData\Local\Temp\OnboardLogs"\RTDC4039\2017-11-25 --exclude "*" --recursive --include "*20171125*" &amp; "%USERPROFILE%\Documents\GitHub\mrs-test-scripts\Headless Mode &amp; Sideloading\WalkAndUnGZ.bat" "%USERPROFILE%\AppData\Local\Temp\OnboardLogs"\RTDC4039\2017-11-25</v>
      </c>
      <c r="AF162" s="235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/stypes="app*4039*20171124*" /stext=" 13:.+((SYSTEM_STATE.+slice.+state.+changed )|(ment ac)|(multiple cpu faults)|(system.+state.+changed )|(\[timeout)|(PRM\|1\|D)|(kpr)|(kdp)|(train st.+moving)|(\|lc)|(penalty))"</v>
      </c>
      <c r="AG162" s="245" t="str">
        <f>DetSubdiv(A162)</f>
        <v>NW</v>
      </c>
      <c r="AH162" s="237" t="str">
        <f t="shared" si="15"/>
        <v>"%USERPROFILE%\Documents\GitHub\eaglep3\Utilities\RefineRTDCRunTimes.py" --tripid 802-24 --locoid 4039 --swversion DE.1.0.9.0 --startMP 300:58624 --initTime 2017-11-24T05:57:48 --startdatetime 2017-11-24T06:15:00 --delay 56 --endMP 204:736 --enddatetime 2017-11-24T06:25:39 --enforcementcount 0 &gt;&gt;%USERPROFILE%\Documents\GitHub\eaglep3-reporting\EC\2017-11-24-refined-times.txt</v>
      </c>
      <c r="AI162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{"issue":{"subject":"","project_id":79,"tracker_id":40,"status_id":1,"priority_id":2,"assigned_to_id":338,"start_date":"2017-11-24","description":"","custom_fields":[{"id":1,"name":"Subdivision","value":"NW"},{"id":4,"name":"Milepost","value":"0.0736"},{"id":17,"name":"Train ID","value":"802-24"},{"id":16,"name":"Locomotive ID","value":"4039"},{"id":130,"name":"Impact","value":""},{"id":150,"name":"Time of Event (Mountain Time)","value":"06:25:39"},{"id":151,"name":"Denver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4"/>
      <c r="AK162" s="232"/>
      <c r="AL162" s="232"/>
      <c r="AM162" s="241" t="str">
        <f t="shared" si="17"/>
        <v>start /low /b %USERPROFILE%\Documents\GitHub\eaglep3\Utilities\DownloadLogsFromS3.py --loco 4039 --day 2017-11-24</v>
      </c>
      <c r="AN162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13:25:39"},{"id":29,"name":"Sharepoint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1" t="str">
        <f t="shared" si="19"/>
        <v>https://d0f6bd738d7f1b3e5a7ca70fe4ff75f0.us-east-1.aws.found.io/app/kibana#/discover/Steve-Slow-Train-Analysis-(2080s-and-2083s)?_g=(refreshInterval:(display:Off,pause:!f,section:0,value:0),time:(from:'2017-11-24T04:57:48-0700',mode:absolute,to:'2017-11-24T07:25:39-0700'))&amp;_a=(columns:!('Message%20ID',Summary),filters:!(),index:'emp_*',interval:auto,query:(query_string:(analyze_wildcard:!t,query:'%22rtdc.l.rtdc.4039%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4" customFormat="1" x14ac:dyDescent="0.25">
      <c r="A163" s="230" t="s">
        <v>733</v>
      </c>
      <c r="B163" s="226">
        <v>4060</v>
      </c>
      <c r="C163" s="228" t="s">
        <v>192</v>
      </c>
      <c r="D163" s="228" t="s">
        <v>1071</v>
      </c>
      <c r="E163" s="227">
        <v>43063.251759259256</v>
      </c>
      <c r="F163" s="227">
        <v>43063.256736111114</v>
      </c>
      <c r="G163" s="226">
        <v>116</v>
      </c>
      <c r="H163" s="228" t="s">
        <v>1072</v>
      </c>
      <c r="I163" s="227">
        <v>43063.267071759263</v>
      </c>
      <c r="J163" s="226">
        <v>0</v>
      </c>
      <c r="K163" s="238" t="str">
        <f>IF(ISEVEN(B163),(B163-1)&amp;"/"&amp;B163,B163&amp;"/"&amp;(B163+1))</f>
        <v>4059/4060</v>
      </c>
      <c r="L163" s="246" t="str">
        <f>VLOOKUP(A163,'Trips&amp;Operators'!$C$1:$G$99911,5,FALSE)</f>
        <v>BEAM ROSS</v>
      </c>
      <c r="M163" s="225">
        <f>I163-F163</f>
        <v>1.0335648148611654E-2</v>
      </c>
      <c r="N163" s="226">
        <f>24*60*SUM($M163:$M163)</f>
        <v>14.883333334000781</v>
      </c>
      <c r="O163" s="226"/>
      <c r="P163" s="226"/>
      <c r="Q163" s="229"/>
      <c r="R163" s="243"/>
      <c r="S163" s="250">
        <f>1/IF(AG163="EC",12,1)*SUM(U163:U163)</f>
        <v>1</v>
      </c>
      <c r="T163" s="243" t="str">
        <f>IF(ISEVEN(LEFT(AD163,4)),"Southbound","NorthBound")</f>
        <v>NorthBound</v>
      </c>
      <c r="U163" s="24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9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-11-24T05:02:32-0700',mode:absolute,to:'2017-11-24T07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3" s="248" t="str">
        <f>IF(AA163&lt;VLOOKUP(AG163,Variables!$AC$3:$AD$8,2,FALSE),"Y","N")</f>
        <v>N</v>
      </c>
      <c r="X163" s="248">
        <f>VALUE(LEFT(AD163,4))-VALUE(LEFT(AD162,4))</f>
        <v>1</v>
      </c>
      <c r="Y163" s="248">
        <f>RIGHT(D163,LEN(D163)-4)/10000</f>
        <v>0.1011</v>
      </c>
      <c r="Z163" s="248">
        <f>RIGHT(H163,LEN(H163)-4)/10000</f>
        <v>5.8960999999999997</v>
      </c>
      <c r="AA163" s="248">
        <f>ABS(Z163-Y163)</f>
        <v>5.7949999999999999</v>
      </c>
      <c r="AB163" s="234" t="e">
        <f>VLOOKUP(A163,Enforcements!$C$7:$K$9,8,0)</f>
        <v>#N/A</v>
      </c>
      <c r="AC163" s="233" t="e">
        <f>VLOOKUP(A163,Enforcements!$C$7:$E$9,3,0)</f>
        <v>#N/A</v>
      </c>
      <c r="AD163" s="244">
        <f>VALUE(LEFT(A163,LEN(A163)-3))</f>
        <v>803</v>
      </c>
      <c r="AE163" s="236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163" s="235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/stypes="app*4060*20171124*" /stext=" 13:.+((SYSTEM_STATE.+slice.+state.+changed )|(ment ac)|(multiple cpu faults)|(system.+state.+changed )|(\[timeout)|(PRM\|1\|D)|(kpr)|(kdp)|(train st.+moving)|(\|lc)|(penalty))"</v>
      </c>
      <c r="AG163" s="245" t="str">
        <f>DetSubdiv(A163)</f>
        <v>NW</v>
      </c>
      <c r="AH163" s="237" t="str">
        <f t="shared" si="15"/>
        <v>"%USERPROFILE%\Documents\GitHub\eaglep3\Utilities\RefineRTDCRunTimes.py" --tripid 803-24 --locoid 4060 --swversion DE.1.0.9.0 --startMP 204:1011 --initTime 2017-11-24T06:02:32 --startdatetime 2017-11-24T06:09:42 --delay 116 --endMP 300:58961 --enddatetime 2017-11-24T06:24:35 --enforcementcount 0 &gt;&gt;%USERPROFILE%\Documents\GitHub\eaglep3-reporting\EC\2017-11-24-refined-times.txt</v>
      </c>
      <c r="AI163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{"issue":{"subject":"","project_id":79,"tracker_id":40,"status_id":1,"priority_id":2,"assigned_to_id":338,"start_date":"2017-11-24","description":"","custom_fields":[{"id":1,"name":"Subdivision","value":"NW"},{"id":4,"name":"Milepost","value":"5.8961"},{"id":17,"name":"Train ID","value":"803-24"},{"id":16,"name":"Locomotive ID","value":"4060"},{"id":130,"name":"Impact","value":""},{"id":150,"name":"Time of Event (Mountain Time)","value":"06:24:35"},{"id":151,"name":"Denver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2"/>
      <c r="AL163" s="232"/>
      <c r="AM163" s="241" t="str">
        <f t="shared" si="17"/>
        <v>start /low /b %USERPROFILE%\Documents\GitHub\eaglep3\Utilities\DownloadLogsFromS3.py --loco 4060 --day 2017-11-24</v>
      </c>
      <c r="AN163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13:24:35"},{"id":29,"name":"Sharepoint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1" t="str">
        <f t="shared" si="19"/>
        <v>https://d0f6bd738d7f1b3e5a7ca70fe4ff75f0.us-east-1.aws.found.io/app/kibana#/discover/Steve-Slow-Train-Analysis-(2080s-and-2083s)?_g=(refreshInterval:(display:Off,pause:!f,section:0,value:0),time:(from:'2017-11-24T05:02:32-0700',mode:absolute,to:'2017-11-24T07:24:35-0700'))&amp;_a=(columns:!('Message%20ID',Summary),filters:!(),index:'emp_*',interval:auto,query:(query_string:(analyze_wildcard:!t,query:'%22rtdc.l.rtdc.4060%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4" customFormat="1" x14ac:dyDescent="0.25">
      <c r="A164" s="230" t="s">
        <v>739</v>
      </c>
      <c r="B164" s="226">
        <v>4059</v>
      </c>
      <c r="C164" s="228" t="s">
        <v>192</v>
      </c>
      <c r="D164" s="228" t="s">
        <v>641</v>
      </c>
      <c r="E164" s="227">
        <v>43063.26803240741</v>
      </c>
      <c r="F164" s="227">
        <v>43063.279861111114</v>
      </c>
      <c r="G164" s="226">
        <v>55</v>
      </c>
      <c r="H164" s="228" t="s">
        <v>1073</v>
      </c>
      <c r="I164" s="227">
        <v>43063.287743055553</v>
      </c>
      <c r="J164" s="226">
        <v>0</v>
      </c>
      <c r="K164" s="238" t="str">
        <f>IF(ISEVEN(B164),(B164-1)&amp;"/"&amp;B164,B164&amp;"/"&amp;(B164+1))</f>
        <v>4059/4060</v>
      </c>
      <c r="L164" s="246" t="str">
        <f>VLOOKUP(A164,'Trips&amp;Operators'!$C$1:$G$99911,5,FALSE)</f>
        <v>BEAM ROSS</v>
      </c>
      <c r="M164" s="225">
        <f>I164-F164</f>
        <v>7.8819444388500415E-3</v>
      </c>
      <c r="N164" s="226">
        <f>24*60*SUM($M164:$M164)</f>
        <v>11.34999999194406</v>
      </c>
      <c r="O164" s="226"/>
      <c r="P164" s="226"/>
      <c r="Q164" s="229"/>
      <c r="R164" s="243"/>
      <c r="S164" s="250">
        <f>1/IF(AG164="EC",12,1)*SUM(U164:U164)</f>
        <v>1</v>
      </c>
      <c r="T164" s="243" t="str">
        <f>IF(ISEVEN(LEFT(AD164,4)),"Southbound","NorthBound")</f>
        <v>Southbound</v>
      </c>
      <c r="U164" s="24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9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-11-24T05:25:58-0700',mode:absolute,to:'2017-11-24T07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4" s="248" t="str">
        <f>IF(AA164&lt;VLOOKUP(AG164,Variables!$AC$3:$AD$8,2,FALSE),"Y","N")</f>
        <v>N</v>
      </c>
      <c r="X164" s="248">
        <f>VALUE(LEFT(AD164,4))-VALUE(LEFT(AD163,4))</f>
        <v>1</v>
      </c>
      <c r="Y164" s="248">
        <f>RIGHT(D164,LEN(D164)-4)/10000</f>
        <v>5.8640999999999996</v>
      </c>
      <c r="Z164" s="248">
        <f>RIGHT(H164,LEN(H164)-4)/10000</f>
        <v>8.3599999999999994E-2</v>
      </c>
      <c r="AA164" s="248">
        <f>ABS(Z164-Y164)</f>
        <v>5.7805</v>
      </c>
      <c r="AB164" s="234" t="e">
        <f>VLOOKUP(A164,Enforcements!$C$7:$K$9,8,0)</f>
        <v>#N/A</v>
      </c>
      <c r="AC164" s="233" t="e">
        <f>VLOOKUP(A164,Enforcements!$C$7:$E$9,3,0)</f>
        <v>#N/A</v>
      </c>
      <c r="AD164" s="244">
        <f>VALUE(LEFT(A164,LEN(A164)-3))</f>
        <v>804</v>
      </c>
      <c r="AE164" s="236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164" s="235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/stypes="app*4059*20171124*" /stext=" 13:.+((SYSTEM_STATE.+slice.+state.+changed )|(ment ac)|(multiple cpu faults)|(system.+state.+changed )|(\[timeout)|(PRM\|1\|D)|(kpr)|(kdp)|(train st.+moving)|(\|lc)|(penalty))"</v>
      </c>
      <c r="AG164" s="245" t="str">
        <f>DetSubdiv(A164)</f>
        <v>NW</v>
      </c>
      <c r="AH164" s="237" t="str">
        <f t="shared" si="15"/>
        <v>"%USERPROFILE%\Documents\GitHub\eaglep3\Utilities\RefineRTDCRunTimes.py" --tripid 804-24 --locoid 4059 --swversion DE.1.0.9.0 --startMP 300:58641 --initTime 2017-11-24T06:25:58 --startdatetime 2017-11-24T06:43:00 --delay 55 --endMP 204:836 --enddatetime 2017-11-24T06:54:21 --enforcementcount 0 &gt;&gt;%USERPROFILE%\Documents\GitHub\eaglep3-reporting\EC\2017-11-24-refined-times.txt</v>
      </c>
      <c r="AI164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{"issue":{"subject":"","project_id":79,"tracker_id":40,"status_id":1,"priority_id":2,"assigned_to_id":338,"start_date":"2017-11-24","description":"","custom_fields":[{"id":1,"name":"Subdivision","value":"NW"},{"id":4,"name":"Milepost","value":"0.0836"},{"id":17,"name":"Train ID","value":"804-24"},{"id":16,"name":"Locomotive ID","value":"4059"},{"id":130,"name":"Impact","value":""},{"id":150,"name":"Time of Event (Mountain Time)","value":"06:54:21"},{"id":151,"name":"Denver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2"/>
      <c r="AL164" s="232"/>
      <c r="AM164" s="241" t="str">
        <f t="shared" si="17"/>
        <v>start /low /b %USERPROFILE%\Documents\GitHub\eaglep3\Utilities\DownloadLogsFromS3.py --loco 4059 --day 2017-11-24</v>
      </c>
      <c r="AN164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13:54:21"},{"id":29,"name":"Sharepoint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1" t="str">
        <f t="shared" si="19"/>
        <v>https://d0f6bd738d7f1b3e5a7ca70fe4ff75f0.us-east-1.aws.found.io/app/kibana#/discover/Steve-Slow-Train-Analysis-(2080s-and-2083s)?_g=(refreshInterval:(display:Off,pause:!f,section:0,value:0),time:(from:'2017-11-24T05:25:58-0700',mode:absolute,to:'2017-11-24T07:54:21-0700'))&amp;_a=(columns:!('Message%20ID',Summary),filters:!(),index:'emp_*',interval:auto,query:(query_string:(analyze_wildcard:!t,query:'%22rtdc.l.rtdc.4059%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30" t="s">
        <v>740</v>
      </c>
      <c r="B165" s="226">
        <v>4040</v>
      </c>
      <c r="C165" s="228" t="s">
        <v>192</v>
      </c>
      <c r="D165" s="228" t="s">
        <v>1074</v>
      </c>
      <c r="E165" s="227">
        <v>43063.274918981479</v>
      </c>
      <c r="F165" s="227">
        <v>43063.277384259258</v>
      </c>
      <c r="G165" s="226">
        <v>61</v>
      </c>
      <c r="H165" s="228" t="s">
        <v>1075</v>
      </c>
      <c r="I165" s="227">
        <v>43063.288622685184</v>
      </c>
      <c r="J165" s="226">
        <v>0</v>
      </c>
      <c r="K165" s="238" t="str">
        <f>IF(ISEVEN(B165),(B165-1)&amp;"/"&amp;B165,B165&amp;"/"&amp;(B165+1))</f>
        <v>4039/4040</v>
      </c>
      <c r="L165" s="246" t="str">
        <f>VLOOKUP(A165,'Trips&amp;Operators'!$C$1:$G$99911,5,FALSE)</f>
        <v>WILLIAMS DONTE</v>
      </c>
      <c r="M165" s="225">
        <f>I165-F165</f>
        <v>1.1238425926421769E-2</v>
      </c>
      <c r="N165" s="226">
        <f>24*60*SUM($M165:$M165)</f>
        <v>16.183333334047347</v>
      </c>
      <c r="O165" s="226"/>
      <c r="P165" s="226"/>
      <c r="Q165" s="229"/>
      <c r="R165" s="243"/>
      <c r="S165" s="250">
        <f>1/IF(AG165="EC",12,1)*SUM(U165:U165)</f>
        <v>1</v>
      </c>
      <c r="T165" s="243" t="str">
        <f>IF(ISEVEN(LEFT(AD165,4)),"Southbound","NorthBound")</f>
        <v>NorthBound</v>
      </c>
      <c r="U165" s="24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9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-11-24T05:35:53-0700',mode:absolute,to:'2017-11-24T07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5" s="248" t="str">
        <f>IF(AA165&lt;VLOOKUP(AG165,Variables!$AC$3:$AD$8,2,FALSE),"Y","N")</f>
        <v>N</v>
      </c>
      <c r="X165" s="248">
        <f>VALUE(LEFT(AD165,4))-VALUE(LEFT(AD164,4))</f>
        <v>1</v>
      </c>
      <c r="Y165" s="248">
        <f>RIGHT(D165,LEN(D165)-4)/10000</f>
        <v>9.74E-2</v>
      </c>
      <c r="Z165" s="248">
        <f>RIGHT(H165,LEN(H165)-4)/10000</f>
        <v>5.8943000000000003</v>
      </c>
      <c r="AA165" s="248">
        <f>ABS(Z165-Y165)</f>
        <v>5.7968999999999999</v>
      </c>
      <c r="AB165" s="234" t="e">
        <f>VLOOKUP(A165,Enforcements!$C$7:$K$9,8,0)</f>
        <v>#N/A</v>
      </c>
      <c r="AC165" s="233" t="e">
        <f>VLOOKUP(A165,Enforcements!$C$7:$E$9,3,0)</f>
        <v>#N/A</v>
      </c>
      <c r="AD165" s="244">
        <f>VALUE(LEFT(A165,LEN(A165)-3))</f>
        <v>805</v>
      </c>
      <c r="AE165" s="236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s3://rtdc.mdm.uploadarchive.raw/RTDC4040/ "%USERPROFILE%\AppData\Local\Temp\OnboardLogs"\RTDC4040\2017-11-24 --exclude "*" --recursive --include "*20171124*" &amp; "%USERPROFILE%\Documents\GitHub\mrs-test-scripts\Headless Mode &amp; Sideloading\WalkAndUnGZ.bat" "%USERPROFILE%\AppData\Local\Temp\OnboardLogs"\RTDC4040\2017-11-24 &amp; aws s3 cp s3://rtdc.mdm.uploadarchive.raw/RTDC4040/ "%USERPROFILE%\AppData\Local\Temp\OnboardLogs"\RTDC4040\2017-11-25 --exclude "*" --recursive --include "*20171125*" &amp; "%USERPROFILE%\Documents\GitHub\mrs-test-scripts\Headless Mode &amp; Sideloading\WalkAndUnGZ.bat" "%USERPROFILE%\AppData\Local\Temp\OnboardLogs"\RTDC4040\2017-11-25</v>
      </c>
      <c r="AF165" s="235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/stypes="app*4040*20171124*" /stext=" 13:.+((SYSTEM_STATE.+slice.+state.+changed )|(ment ac)|(multiple cpu faults)|(system.+state.+changed )|(\[timeout)|(PRM\|1\|D)|(kpr)|(kdp)|(train st.+moving)|(\|lc)|(penalty))"</v>
      </c>
      <c r="AG165" s="245" t="str">
        <f>DetSubdiv(A165)</f>
        <v>NW</v>
      </c>
      <c r="AH165" s="237" t="str">
        <f t="shared" si="15"/>
        <v>"%USERPROFILE%\Documents\GitHub\eaglep3\Utilities\RefineRTDCRunTimes.py" --tripid 805-24 --locoid 4040 --swversion DE.1.0.9.0 --startMP 204:974 --initTime 2017-11-24T06:35:53 --startdatetime 2017-11-24T06:39:26 --delay 61 --endMP 300:58943 --enddatetime 2017-11-24T06:55:37 --enforcementcount 0 &gt;&gt;%USERPROFILE%\Documents\GitHub\eaglep3-reporting\EC\2017-11-24-refined-times.txt</v>
      </c>
      <c r="AI165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{"issue":{"subject":"","project_id":79,"tracker_id":40,"status_id":1,"priority_id":2,"assigned_to_id":338,"start_date":"2017-11-24","description":"","custom_fields":[{"id":1,"name":"Subdivision","value":"NW"},{"id":4,"name":"Milepost","value":"5.8943"},{"id":17,"name":"Train ID","value":"805-24"},{"id":16,"name":"Locomotive ID","value":"4040"},{"id":130,"name":"Impact","value":""},{"id":150,"name":"Time of Event (Mountain Time)","value":"06:55:37"},{"id":151,"name":"Denver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4"/>
      <c r="AK165" s="232"/>
      <c r="AL165" s="232"/>
      <c r="AM165" s="241" t="str">
        <f t="shared" si="17"/>
        <v>start /low /b %USERPROFILE%\Documents\GitHub\eaglep3\Utilities\DownloadLogsFromS3.py --loco 4040 --day 2017-11-24</v>
      </c>
      <c r="AN165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13:55:37"},{"id":29,"name":"Sharepoint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1" t="str">
        <f t="shared" si="19"/>
        <v>https://d0f6bd738d7f1b3e5a7ca70fe4ff75f0.us-east-1.aws.found.io/app/kibana#/discover/Steve-Slow-Train-Analysis-(2080s-and-2083s)?_g=(refreshInterval:(display:Off,pause:!f,section:0,value:0),time:(from:'2017-11-24T05:35:53-0700',mode:absolute,to:'2017-11-24T07:55:37-0700'))&amp;_a=(columns:!('Message%20ID',Summary),filters:!(),index:'emp_*',interval:auto,query:(query_string:(analyze_wildcard:!t,query:'%22rtdc.l.rtdc.4040%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30" t="s">
        <v>745</v>
      </c>
      <c r="B166" s="226">
        <v>4039</v>
      </c>
      <c r="C166" s="228" t="s">
        <v>192</v>
      </c>
      <c r="D166" s="228" t="s">
        <v>1076</v>
      </c>
      <c r="E166" s="227">
        <v>43063.289699074077</v>
      </c>
      <c r="F166" s="227">
        <v>43063.302083333336</v>
      </c>
      <c r="G166" s="226">
        <v>65</v>
      </c>
      <c r="H166" s="228" t="s">
        <v>1077</v>
      </c>
      <c r="I166" s="227">
        <v>43063.309351851851</v>
      </c>
      <c r="J166" s="226">
        <v>0</v>
      </c>
      <c r="K166" s="238" t="str">
        <f>IF(ISEVEN(B166),(B166-1)&amp;"/"&amp;B166,B166&amp;"/"&amp;(B166+1))</f>
        <v>4039/4040</v>
      </c>
      <c r="L166" s="246" t="str">
        <f>VLOOKUP(A166,'Trips&amp;Operators'!$C$1:$G$99911,5,FALSE)</f>
        <v>WILLIAMS DONTE</v>
      </c>
      <c r="M166" s="225">
        <f>I166-F166</f>
        <v>7.2685185150476173E-3</v>
      </c>
      <c r="N166" s="226">
        <f>24*60*SUM($M166:$M166)</f>
        <v>10.466666661668569</v>
      </c>
      <c r="O166" s="226"/>
      <c r="P166" s="226"/>
      <c r="Q166" s="229"/>
      <c r="R166" s="243"/>
      <c r="S166" s="250">
        <f>1/IF(AG166="EC",12,1)*SUM(U166:U166)</f>
        <v>1</v>
      </c>
      <c r="T166" s="243" t="str">
        <f>IF(ISEVEN(LEFT(AD166,4)),"Southbound","NorthBound")</f>
        <v>Southbound</v>
      </c>
      <c r="U166" s="24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9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-11-24T05:57:10-0700',mode:absolute,to:'2017-11-24T08:25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6" s="248" t="str">
        <f>IF(AA166&lt;VLOOKUP(AG166,Variables!$AC$3:$AD$8,2,FALSE),"Y","N")</f>
        <v>N</v>
      </c>
      <c r="X166" s="248">
        <f>VALUE(LEFT(AD166,4))-VALUE(LEFT(AD165,4))</f>
        <v>1</v>
      </c>
      <c r="Y166" s="248">
        <f>RIGHT(D166,LEN(D166)-4)/10000</f>
        <v>5.8635999999999999</v>
      </c>
      <c r="Z166" s="248">
        <f>RIGHT(H166,LEN(H166)-4)/10000</f>
        <v>7.0800000000000002E-2</v>
      </c>
      <c r="AA166" s="248">
        <f>ABS(Z166-Y166)</f>
        <v>5.7927999999999997</v>
      </c>
      <c r="AB166" s="234" t="e">
        <f>VLOOKUP(A166,Enforcements!$C$7:$K$9,8,0)</f>
        <v>#N/A</v>
      </c>
      <c r="AC166" s="233" t="e">
        <f>VLOOKUP(A166,Enforcements!$C$7:$E$9,3,0)</f>
        <v>#N/A</v>
      </c>
      <c r="AD166" s="244">
        <f>VALUE(LEFT(A166,LEN(A166)-3))</f>
        <v>806</v>
      </c>
      <c r="AE166" s="236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s3://rtdc.mdm.uploadarchive.raw/RTDC4039/ "%USERPROFILE%\AppData\Local\Temp\OnboardLogs"\RTDC4039\2017-11-24 --exclude "*" --recursive --include "*20171124*" &amp; "%USERPROFILE%\Documents\GitHub\mrs-test-scripts\Headless Mode &amp; Sideloading\WalkAndUnGZ.bat" "%USERPROFILE%\AppData\Local\Temp\OnboardLogs"\RTDC4039\2017-11-24 &amp; aws s3 cp s3://rtdc.mdm.uploadarchive.raw/RTDC4039/ "%USERPROFILE%\AppData\Local\Temp\OnboardLogs"\RTDC4039\2017-11-25 --exclude "*" --recursive --include "*20171125*" &amp; "%USERPROFILE%\Documents\GitHub\mrs-test-scripts\Headless Mode &amp; Sideloading\WalkAndUnGZ.bat" "%USERPROFILE%\AppData\Local\Temp\OnboardLogs"\RTDC4039\2017-11-25</v>
      </c>
      <c r="AF166" s="235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/stypes="app*4039*20171124*" /stext=" 14:.+((SYSTEM_STATE.+slice.+state.+changed )|(ment ac)|(multiple cpu faults)|(system.+state.+changed )|(\[timeout)|(PRM\|1\|D)|(kpr)|(kdp)|(train st.+moving)|(\|lc)|(penalty))"</v>
      </c>
      <c r="AG166" s="245" t="str">
        <f>DetSubdiv(A166)</f>
        <v>NW</v>
      </c>
      <c r="AH166" s="237" t="str">
        <f t="shared" si="15"/>
        <v>"%USERPROFILE%\Documents\GitHub\eaglep3\Utilities\RefineRTDCRunTimes.py" --tripid 806-24 --locoid 4039 --swversion DE.1.0.9.0 --startMP 300:58636 --initTime 2017-11-24T06:57:10 --startdatetime 2017-11-24T07:15:00 --delay 65 --endMP 204:708 --enddatetime 2017-11-24T07:25:28 --enforcementcount 0 &gt;&gt;%USERPROFILE%\Documents\GitHub\eaglep3-reporting\EC\2017-11-24-refined-times.txt</v>
      </c>
      <c r="AI166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{"issue":{"subject":"","project_id":79,"tracker_id":40,"status_id":1,"priority_id":2,"assigned_to_id":338,"start_date":"2017-11-24","description":"","custom_fields":[{"id":1,"name":"Subdivision","value":"NW"},{"id":4,"name":"Milepost","value":"0.0708"},{"id":17,"name":"Train ID","value":"806-24"},{"id":16,"name":"Locomotive ID","value":"4039"},{"id":130,"name":"Impact","value":""},{"id":150,"name":"Time of Event (Mountain Time)","value":"07:25:28"},{"id":151,"name":"Denver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4"/>
      <c r="AK166" s="232"/>
      <c r="AL166" s="232"/>
      <c r="AM166" s="241" t="str">
        <f t="shared" si="17"/>
        <v>start /low /b %USERPROFILE%\Documents\GitHub\eaglep3\Utilities\DownloadLogsFromS3.py --loco 4039 --day 2017-11-24</v>
      </c>
      <c r="AN166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14:25:28"},{"id":29,"name":"Sharepoint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1" t="str">
        <f t="shared" si="19"/>
        <v>https://d0f6bd738d7f1b3e5a7ca70fe4ff75f0.us-east-1.aws.found.io/app/kibana#/discover/Steve-Slow-Train-Analysis-(2080s-and-2083s)?_g=(refreshInterval:(display:Off,pause:!f,section:0,value:0),time:(from:'2017-11-24T05:57:10-0700',mode:absolute,to:'2017-11-24T08:25:28-0700'))&amp;_a=(columns:!('Message%20ID',Summary),filters:!(),index:'emp_*',interval:auto,query:(query_string:(analyze_wildcard:!t,query:'%22rtdc.l.rtdc.4039%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230" t="s">
        <v>744</v>
      </c>
      <c r="B167" s="226">
        <v>4060</v>
      </c>
      <c r="C167" s="228" t="s">
        <v>192</v>
      </c>
      <c r="D167" s="228" t="s">
        <v>1078</v>
      </c>
      <c r="E167" s="227">
        <v>43063.28875</v>
      </c>
      <c r="F167" s="227">
        <v>43063.298101851855</v>
      </c>
      <c r="G167" s="226">
        <v>61</v>
      </c>
      <c r="H167" s="228" t="s">
        <v>635</v>
      </c>
      <c r="I167" s="227">
        <v>43063.30846064815</v>
      </c>
      <c r="J167" s="226">
        <v>0</v>
      </c>
      <c r="K167" s="238" t="str">
        <f>IF(ISEVEN(B167),(B167-1)&amp;"/"&amp;B167,B167&amp;"/"&amp;(B167+1))</f>
        <v>4059/4060</v>
      </c>
      <c r="L167" s="246" t="str">
        <f>VLOOKUP(A167,'Trips&amp;Operators'!$C$1:$G$99911,5,FALSE)</f>
        <v>BEAM ROSS</v>
      </c>
      <c r="M167" s="225">
        <f>I167-F167</f>
        <v>1.0358796294895001E-2</v>
      </c>
      <c r="N167" s="226">
        <f>24*60*SUM($M167:$M167)</f>
        <v>14.916666664648801</v>
      </c>
      <c r="O167" s="226"/>
      <c r="P167" s="226"/>
      <c r="Q167" s="229"/>
      <c r="R167" s="243"/>
      <c r="S167" s="250">
        <f>1/IF(AG167="EC",12,1)*SUM(U167:U167)</f>
        <v>1</v>
      </c>
      <c r="T167" s="243" t="str">
        <f>IF(ISEVEN(LEFT(AD167,4)),"Southbound","NorthBound")</f>
        <v>NorthBound</v>
      </c>
      <c r="U167" s="24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9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-11-24T05:55:48-0700',mode:absolute,to:'2017-11-24T08:24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7" s="248" t="str">
        <f>IF(AA167&lt;VLOOKUP(AG167,Variables!$AC$3:$AD$8,2,FALSE),"Y","N")</f>
        <v>N</v>
      </c>
      <c r="X167" s="248">
        <f>VALUE(LEFT(AD167,4))-VALUE(LEFT(AD166,4))</f>
        <v>1</v>
      </c>
      <c r="Y167" s="248">
        <f>RIGHT(D167,LEN(D167)-4)/10000</f>
        <v>0.1132</v>
      </c>
      <c r="Z167" s="248">
        <f>RIGHT(H167,LEN(H167)-4)/10000</f>
        <v>5.8958000000000004</v>
      </c>
      <c r="AA167" s="248">
        <f>ABS(Z167-Y167)</f>
        <v>5.7826000000000004</v>
      </c>
      <c r="AB167" s="234" t="e">
        <f>VLOOKUP(A167,Enforcements!$C$7:$K$9,8,0)</f>
        <v>#N/A</v>
      </c>
      <c r="AC167" s="233" t="e">
        <f>VLOOKUP(A167,Enforcements!$C$7:$E$9,3,0)</f>
        <v>#N/A</v>
      </c>
      <c r="AD167" s="244">
        <f>VALUE(LEFT(A167,LEN(A167)-3))</f>
        <v>807</v>
      </c>
      <c r="AE167" s="236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167" s="235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/stypes="app*4060*20171124*" /stext=" 14:.+((SYSTEM_STATE.+slice.+state.+changed )|(ment ac)|(multiple cpu faults)|(system.+state.+changed )|(\[timeout)|(PRM\|1\|D)|(kpr)|(kdp)|(train st.+moving)|(\|lc)|(penalty))"</v>
      </c>
      <c r="AG167" s="245" t="str">
        <f>DetSubdiv(A167)</f>
        <v>NW</v>
      </c>
      <c r="AH167" s="237" t="str">
        <f t="shared" si="15"/>
        <v>"%USERPROFILE%\Documents\GitHub\eaglep3\Utilities\RefineRTDCRunTimes.py" --tripid 807-24 --locoid 4060 --swversion DE.1.0.9.0 --startMP 204:1132 --initTime 2017-11-24T06:55:48 --startdatetime 2017-11-24T07:09:16 --delay 61 --endMP 300:58958 --enddatetime 2017-11-24T07:24:11 --enforcementcount 0 &gt;&gt;%USERPROFILE%\Documents\GitHub\eaglep3-reporting\EC\2017-11-24-refined-times.txt</v>
      </c>
      <c r="AI167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{"issue":{"subject":"","project_id":79,"tracker_id":40,"status_id":1,"priority_id":2,"assigned_to_id":338,"start_date":"2017-11-24","description":"","custom_fields":[{"id":1,"name":"Subdivision","value":"NW"},{"id":4,"name":"Milepost","value":"5.8958"},{"id":17,"name":"Train ID","value":"807-24"},{"id":16,"name":"Locomotive ID","value":"4060"},{"id":130,"name":"Impact","value":""},{"id":150,"name":"Time of Event (Mountain Time)","value":"07:24:11"},{"id":151,"name":"Denver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4"/>
      <c r="AK167" s="232"/>
      <c r="AL167" s="232"/>
      <c r="AM167" s="241" t="str">
        <f t="shared" si="17"/>
        <v>start /low /b %USERPROFILE%\Documents\GitHub\eaglep3\Utilities\DownloadLogsFromS3.py --loco 4060 --day 2017-11-24</v>
      </c>
      <c r="AN167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14:24:11"},{"id":29,"name":"Sharepoint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1" t="str">
        <f t="shared" si="19"/>
        <v>https://d0f6bd738d7f1b3e5a7ca70fe4ff75f0.us-east-1.aws.found.io/app/kibana#/discover/Steve-Slow-Train-Analysis-(2080s-and-2083s)?_g=(refreshInterval:(display:Off,pause:!f,section:0,value:0),time:(from:'2017-11-24T05:55:48-0700',mode:absolute,to:'2017-11-24T08:24:11-0700'))&amp;_a=(columns:!('Message%20ID',Summary),filters:!(),index:'emp_*',interval:auto,query:(query_string:(analyze_wildcard:!t,query:'%22rtdc.l.rtdc.4060%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230" t="s">
        <v>749</v>
      </c>
      <c r="B168" s="226">
        <v>4059</v>
      </c>
      <c r="C168" s="228" t="s">
        <v>192</v>
      </c>
      <c r="D168" s="228" t="s">
        <v>1076</v>
      </c>
      <c r="E168" s="227">
        <v>43063.309259259258</v>
      </c>
      <c r="F168" s="227">
        <v>43063.321527777778</v>
      </c>
      <c r="G168" s="226">
        <v>47</v>
      </c>
      <c r="H168" s="228" t="s">
        <v>1079</v>
      </c>
      <c r="I168" s="227">
        <v>43063.329328703701</v>
      </c>
      <c r="J168" s="226">
        <v>0</v>
      </c>
      <c r="K168" s="238" t="str">
        <f>IF(ISEVEN(B168),(B168-1)&amp;"/"&amp;B168,B168&amp;"/"&amp;(B168+1))</f>
        <v>4059/4060</v>
      </c>
      <c r="L168" s="246" t="str">
        <f>VLOOKUP(A168,'Trips&amp;Operators'!$C$1:$G$99911,5,FALSE)</f>
        <v>BEAM ROSS</v>
      </c>
      <c r="M168" s="225">
        <f>I168-F168</f>
        <v>7.8009259232203476E-3</v>
      </c>
      <c r="N168" s="226">
        <f>24*60*SUM($M168:$M168)</f>
        <v>11.233333329437301</v>
      </c>
      <c r="O168" s="226"/>
      <c r="P168" s="226"/>
      <c r="Q168" s="229"/>
      <c r="R168" s="243"/>
      <c r="S168" s="250">
        <f>1/IF(AG168="EC",12,1)*SUM(U168:U168)</f>
        <v>1</v>
      </c>
      <c r="T168" s="243" t="str">
        <f>IF(ISEVEN(LEFT(AD168,4)),"Southbound","NorthBound")</f>
        <v>Southbound</v>
      </c>
      <c r="U168" s="24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9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-11-24T06:25:20-0700',mode:absolute,to:'2017-11-24T08:54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8" s="248" t="str">
        <f>IF(AA168&lt;VLOOKUP(AG168,Variables!$AC$3:$AD$8,2,FALSE),"Y","N")</f>
        <v>N</v>
      </c>
      <c r="X168" s="248">
        <f>VALUE(LEFT(AD168,4))-VALUE(LEFT(AD167,4))</f>
        <v>1</v>
      </c>
      <c r="Y168" s="248">
        <f>RIGHT(D168,LEN(D168)-4)/10000</f>
        <v>5.8635999999999999</v>
      </c>
      <c r="Z168" s="248">
        <f>RIGHT(H168,LEN(H168)-4)/10000</f>
        <v>8.6900000000000005E-2</v>
      </c>
      <c r="AA168" s="248">
        <f>ABS(Z168-Y168)</f>
        <v>5.7766999999999999</v>
      </c>
      <c r="AB168" s="234" t="e">
        <f>VLOOKUP(A168,Enforcements!$C$7:$K$9,8,0)</f>
        <v>#N/A</v>
      </c>
      <c r="AC168" s="233" t="e">
        <f>VLOOKUP(A168,Enforcements!$C$7:$E$9,3,0)</f>
        <v>#N/A</v>
      </c>
      <c r="AD168" s="244">
        <f>VALUE(LEFT(A168,LEN(A168)-3))</f>
        <v>808</v>
      </c>
      <c r="AE168" s="236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168" s="235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/stypes="app*4059*20171124*" /stext=" 14:.+((SYSTEM_STATE.+slice.+state.+changed )|(ment ac)|(multiple cpu faults)|(system.+state.+changed )|(\[timeout)|(PRM\|1\|D)|(kpr)|(kdp)|(train st.+moving)|(\|lc)|(penalty))"</v>
      </c>
      <c r="AG168" s="245" t="str">
        <f>DetSubdiv(A168)</f>
        <v>NW</v>
      </c>
      <c r="AH168" s="237" t="str">
        <f t="shared" si="15"/>
        <v>"%USERPROFILE%\Documents\GitHub\eaglep3\Utilities\RefineRTDCRunTimes.py" --tripid 808-24 --locoid 4059 --swversion DE.1.0.9.0 --startMP 300:58636 --initTime 2017-11-24T07:25:20 --startdatetime 2017-11-24T07:43:00 --delay 47 --endMP 204:869 --enddatetime 2017-11-24T07:54:14 --enforcementcount 0 &gt;&gt;%USERPROFILE%\Documents\GitHub\eaglep3-reporting\EC\2017-11-24-refined-times.txt</v>
      </c>
      <c r="AI168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{"issue":{"subject":"","project_id":79,"tracker_id":40,"status_id":1,"priority_id":2,"assigned_to_id":338,"start_date":"2017-11-24","description":"","custom_fields":[{"id":1,"name":"Subdivision","value":"NW"},{"id":4,"name":"Milepost","value":"0.0869"},{"id":17,"name":"Train ID","value":"808-24"},{"id":16,"name":"Locomotive ID","value":"4059"},{"id":130,"name":"Impact","value":""},{"id":150,"name":"Time of Event (Mountain Time)","value":"07:54:14"},{"id":151,"name":"Denver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4"/>
      <c r="AK168" s="232"/>
      <c r="AL168" s="232"/>
      <c r="AM168" s="241" t="str">
        <f t="shared" si="17"/>
        <v>start /low /b %USERPROFILE%\Documents\GitHub\eaglep3\Utilities\DownloadLogsFromS3.py --loco 4059 --day 2017-11-24</v>
      </c>
      <c r="AN168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14:54:14"},{"id":29,"name":"Sharepoint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1" t="str">
        <f t="shared" si="19"/>
        <v>https://d0f6bd738d7f1b3e5a7ca70fe4ff75f0.us-east-1.aws.found.io/app/kibana#/discover/Steve-Slow-Train-Analysis-(2080s-and-2083s)?_g=(refreshInterval:(display:Off,pause:!f,section:0,value:0),time:(from:'2017-11-24T06:25:20-0700',mode:absolute,to:'2017-11-24T08:54:14-0700'))&amp;_a=(columns:!('Message%20ID',Summary),filters:!(),index:'emp_*',interval:auto,query:(query_string:(analyze_wildcard:!t,query:'%22rtdc.l.rtdc.4059%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230" t="s">
        <v>750</v>
      </c>
      <c r="B169" s="226">
        <v>4040</v>
      </c>
      <c r="C169" s="228" t="s">
        <v>192</v>
      </c>
      <c r="D169" s="228" t="s">
        <v>1080</v>
      </c>
      <c r="E169" s="227">
        <v>43063.316712962966</v>
      </c>
      <c r="F169" s="227">
        <v>43063.320717592593</v>
      </c>
      <c r="G169" s="226">
        <v>57</v>
      </c>
      <c r="H169" s="228" t="s">
        <v>647</v>
      </c>
      <c r="I169" s="227">
        <v>43063.336550925924</v>
      </c>
      <c r="J169" s="226">
        <v>0</v>
      </c>
      <c r="K169" s="238" t="str">
        <f>IF(ISEVEN(B169),(B169-1)&amp;"/"&amp;B169,B169&amp;"/"&amp;(B169+1))</f>
        <v>4039/4040</v>
      </c>
      <c r="L169" s="246" t="str">
        <f>VLOOKUP(A169,'Trips&amp;Operators'!$C$1:$G$99911,5,FALSE)</f>
        <v>WILLIAMS DONTE</v>
      </c>
      <c r="M169" s="225">
        <f>I169-F169</f>
        <v>1.583333333110204E-2</v>
      </c>
      <c r="N169" s="226">
        <f>24*60*SUM($M169:$M169)</f>
        <v>22.799999996786937</v>
      </c>
      <c r="O169" s="226"/>
      <c r="P169" s="226"/>
      <c r="Q169" s="229"/>
      <c r="R169" s="243"/>
      <c r="S169" s="250">
        <f>1/IF(AG169="EC",12,1)*SUM(U169:U169)</f>
        <v>1</v>
      </c>
      <c r="T169" s="243" t="str">
        <f>IF(ISEVEN(LEFT(AD169,4)),"Southbound","NorthBound")</f>
        <v>NorthBound</v>
      </c>
      <c r="U169" s="24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9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-11-24T06:36:04-0700',mode:absolute,to:'2017-11-24T09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9" s="248" t="str">
        <f>IF(AA169&lt;VLOOKUP(AG169,Variables!$AC$3:$AD$8,2,FALSE),"Y","N")</f>
        <v>N</v>
      </c>
      <c r="X169" s="248">
        <f>VALUE(LEFT(AD169,4))-VALUE(LEFT(AD168,4))</f>
        <v>1</v>
      </c>
      <c r="Y169" s="248">
        <f>RIGHT(D169,LEN(D169)-4)/10000</f>
        <v>0.1469</v>
      </c>
      <c r="Z169" s="248">
        <f>RIGHT(H169,LEN(H169)-4)/10000</f>
        <v>5.8930999999999996</v>
      </c>
      <c r="AA169" s="248">
        <f>ABS(Z169-Y169)</f>
        <v>5.7462</v>
      </c>
      <c r="AB169" s="234" t="e">
        <f>VLOOKUP(A169,Enforcements!$C$7:$K$9,8,0)</f>
        <v>#N/A</v>
      </c>
      <c r="AC169" s="233" t="e">
        <f>VLOOKUP(A169,Enforcements!$C$7:$E$9,3,0)</f>
        <v>#N/A</v>
      </c>
      <c r="AD169" s="244">
        <f>VALUE(LEFT(A169,LEN(A169)-3))</f>
        <v>809</v>
      </c>
      <c r="AE169" s="236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s3://rtdc.mdm.uploadarchive.raw/RTDC4040/ "%USERPROFILE%\AppData\Local\Temp\OnboardLogs"\RTDC4040\2017-11-24 --exclude "*" --recursive --include "*20171124*" &amp; "%USERPROFILE%\Documents\GitHub\mrs-test-scripts\Headless Mode &amp; Sideloading\WalkAndUnGZ.bat" "%USERPROFILE%\AppData\Local\Temp\OnboardLogs"\RTDC4040\2017-11-24 &amp; aws s3 cp s3://rtdc.mdm.uploadarchive.raw/RTDC4040/ "%USERPROFILE%\AppData\Local\Temp\OnboardLogs"\RTDC4040\2017-11-25 --exclude "*" --recursive --include "*20171125*" &amp; "%USERPROFILE%\Documents\GitHub\mrs-test-scripts\Headless Mode &amp; Sideloading\WalkAndUnGZ.bat" "%USERPROFILE%\AppData\Local\Temp\OnboardLogs"\RTDC4040\2017-11-25</v>
      </c>
      <c r="AF169" s="235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/stypes="app*4040*20171124*" /stext=" 15:.+((SYSTEM_STATE.+slice.+state.+changed )|(ment ac)|(multiple cpu faults)|(system.+state.+changed )|(\[timeout)|(PRM\|1\|D)|(kpr)|(kdp)|(train st.+moving)|(\|lc)|(penalty))"</v>
      </c>
      <c r="AG169" s="245" t="str">
        <f>DetSubdiv(A169)</f>
        <v>NW</v>
      </c>
      <c r="AH169" s="237" t="str">
        <f t="shared" si="15"/>
        <v>"%USERPROFILE%\Documents\GitHub\eaglep3\Utilities\RefineRTDCRunTimes.py" --tripid 809-24 --locoid 4040 --swversion DE.1.0.9.0 --startMP 204:1469 --initTime 2017-11-24T07:36:04 --startdatetime 2017-11-24T07:41:50 --delay 57 --endMP 300:58931 --enddatetime 2017-11-24T08:04:38 --enforcementcount 0 &gt;&gt;%USERPROFILE%\Documents\GitHub\eaglep3-reporting\EC\2017-11-24-refined-times.txt</v>
      </c>
      <c r="AI169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{"issue":{"subject":"","project_id":79,"tracker_id":40,"status_id":1,"priority_id":2,"assigned_to_id":338,"start_date":"2017-11-24","description":"","custom_fields":[{"id":1,"name":"Subdivision","value":"NW"},{"id":4,"name":"Milepost","value":"5.8931"},{"id":17,"name":"Train ID","value":"809-24"},{"id":16,"name":"Locomotive ID","value":"4040"},{"id":130,"name":"Impact","value":""},{"id":150,"name":"Time of Event (Mountain Time)","value":"08:04:38"},{"id":151,"name":"Denver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4"/>
      <c r="AK169" s="232"/>
      <c r="AL169" s="232"/>
      <c r="AM169" s="241" t="str">
        <f t="shared" si="17"/>
        <v>start /low /b %USERPROFILE%\Documents\GitHub\eaglep3\Utilities\DownloadLogsFromS3.py --loco 4040 --day 2017-11-24</v>
      </c>
      <c r="AN169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15:04:38"},{"id":29,"name":"Sharepoint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1" t="str">
        <f t="shared" si="19"/>
        <v>https://d0f6bd738d7f1b3e5a7ca70fe4ff75f0.us-east-1.aws.found.io/app/kibana#/discover/Steve-Slow-Train-Analysis-(2080s-and-2083s)?_g=(refreshInterval:(display:Off,pause:!f,section:0,value:0),time:(from:'2017-11-24T06:36:04-0700',mode:absolute,to:'2017-11-24T09:04:38-0700'))&amp;_a=(columns:!('Message%20ID',Summary),filters:!(),index:'emp_*',interval:auto,query:(query_string:(analyze_wildcard:!t,query:'%22rtdc.l.rtdc.4040%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30" t="s">
        <v>757</v>
      </c>
      <c r="B170" s="226">
        <v>4039</v>
      </c>
      <c r="C170" s="228" t="s">
        <v>192</v>
      </c>
      <c r="D170" s="228" t="s">
        <v>503</v>
      </c>
      <c r="E170" s="227">
        <v>43063.337557870371</v>
      </c>
      <c r="F170" s="227">
        <v>43063.339328703703</v>
      </c>
      <c r="G170" s="226">
        <v>74</v>
      </c>
      <c r="H170" s="228" t="s">
        <v>642</v>
      </c>
      <c r="I170" s="227">
        <v>43063.350613425922</v>
      </c>
      <c r="J170" s="226">
        <v>0</v>
      </c>
      <c r="K170" s="238" t="str">
        <f>IF(ISEVEN(B170),(B170-1)&amp;"/"&amp;B170,B170&amp;"/"&amp;(B170+1))</f>
        <v>4039/4040</v>
      </c>
      <c r="L170" s="246" t="str">
        <f>VLOOKUP(A170,'Trips&amp;Operators'!$C$1:$G$99911,5,FALSE)</f>
        <v>WILLIAMS DONTE</v>
      </c>
      <c r="M170" s="225">
        <f>I170-F170</f>
        <v>1.1284722218988463E-2</v>
      </c>
      <c r="N170" s="226">
        <f>24*60*SUM($M170:$M170)</f>
        <v>16.249999995343387</v>
      </c>
      <c r="O170" s="226"/>
      <c r="P170" s="226"/>
      <c r="Q170" s="229"/>
      <c r="R170" s="243"/>
      <c r="S170" s="250">
        <f>1/IF(AG170="EC",12,1)*SUM(U170:U170)</f>
        <v>1</v>
      </c>
      <c r="T170" s="243" t="str">
        <f>IF(ISEVEN(LEFT(AD170,4)),"Southbound","NorthBound")</f>
        <v>Southbound</v>
      </c>
      <c r="U170" s="24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9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-11-24T07:06:05-0700',mode:absolute,to:'2017-11-24T09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0" s="248" t="str">
        <f>IF(AA170&lt;VLOOKUP(AG170,Variables!$AC$3:$AD$8,2,FALSE),"Y","N")</f>
        <v>N</v>
      </c>
      <c r="X170" s="248">
        <f>VALUE(LEFT(AD170,4))-VALUE(LEFT(AD169,4))</f>
        <v>1</v>
      </c>
      <c r="Y170" s="248">
        <f>RIGHT(D170,LEN(D170)-4)/10000</f>
        <v>5.8624000000000001</v>
      </c>
      <c r="Z170" s="248">
        <f>RIGHT(H170,LEN(H170)-4)/10000</f>
        <v>0.1119</v>
      </c>
      <c r="AA170" s="248">
        <f>ABS(Z170-Y170)</f>
        <v>5.7504999999999997</v>
      </c>
      <c r="AB170" s="234" t="e">
        <f>VLOOKUP(A170,Enforcements!$C$7:$K$9,8,0)</f>
        <v>#N/A</v>
      </c>
      <c r="AC170" s="233" t="e">
        <f>VLOOKUP(A170,Enforcements!$C$7:$E$9,3,0)</f>
        <v>#N/A</v>
      </c>
      <c r="AD170" s="244">
        <f>VALUE(LEFT(A170,LEN(A170)-3))</f>
        <v>810</v>
      </c>
      <c r="AE170" s="236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s3://rtdc.mdm.uploadarchive.raw/RTDC4039/ "%USERPROFILE%\AppData\Local\Temp\OnboardLogs"\RTDC4039\2017-11-24 --exclude "*" --recursive --include "*20171124*" &amp; "%USERPROFILE%\Documents\GitHub\mrs-test-scripts\Headless Mode &amp; Sideloading\WalkAndUnGZ.bat" "%USERPROFILE%\AppData\Local\Temp\OnboardLogs"\RTDC4039\2017-11-24 &amp; aws s3 cp s3://rtdc.mdm.uploadarchive.raw/RTDC4039/ "%USERPROFILE%\AppData\Local\Temp\OnboardLogs"\RTDC4039\2017-11-25 --exclude "*" --recursive --include "*20171125*" &amp; "%USERPROFILE%\Documents\GitHub\mrs-test-scripts\Headless Mode &amp; Sideloading\WalkAndUnGZ.bat" "%USERPROFILE%\AppData\Local\Temp\OnboardLogs"\RTDC4039\2017-11-25</v>
      </c>
      <c r="AF170" s="235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/stypes="app*4039*20171124*" /stext=" 15:.+((SYSTEM_STATE.+slice.+state.+changed )|(ment ac)|(multiple cpu faults)|(system.+state.+changed )|(\[timeout)|(PRM\|1\|D)|(kpr)|(kdp)|(train st.+moving)|(\|lc)|(penalty))"</v>
      </c>
      <c r="AG170" s="245" t="str">
        <f>DetSubdiv(A170)</f>
        <v>NW</v>
      </c>
      <c r="AH170" s="237" t="str">
        <f t="shared" si="15"/>
        <v>"%USERPROFILE%\Documents\GitHub\eaglep3\Utilities\RefineRTDCRunTimes.py" --tripid 810-24 --locoid 4039 --swversion DE.1.0.9.0 --startMP 300:58624 --initTime 2017-11-24T08:06:05 --startdatetime 2017-11-24T08:08:38 --delay 74 --endMP 204:1119 --enddatetime 2017-11-24T08:24:53 --enforcementcount 0 &gt;&gt;%USERPROFILE%\Documents\GitHub\eaglep3-reporting\EC\2017-11-24-refined-times.txt</v>
      </c>
      <c r="AI170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{"issue":{"subject":"","project_id":79,"tracker_id":40,"status_id":1,"priority_id":2,"assigned_to_id":338,"start_date":"2017-11-24","description":"","custom_fields":[{"id":1,"name":"Subdivision","value":"NW"},{"id":4,"name":"Milepost","value":"0.1119"},{"id":17,"name":"Train ID","value":"810-24"},{"id":16,"name":"Locomotive ID","value":"4039"},{"id":130,"name":"Impact","value":""},{"id":150,"name":"Time of Event (Mountain Time)","value":"08:24:53"},{"id":151,"name":"Denver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4"/>
      <c r="AK170" s="232"/>
      <c r="AL170" s="232"/>
      <c r="AM170" s="241" t="str">
        <f t="shared" si="17"/>
        <v>start /low /b %USERPROFILE%\Documents\GitHub\eaglep3\Utilities\DownloadLogsFromS3.py --loco 4039 --day 2017-11-24</v>
      </c>
      <c r="AN170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15:24:53"},{"id":29,"name":"Sharepoint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1" t="str">
        <f t="shared" si="19"/>
        <v>https://d0f6bd738d7f1b3e5a7ca70fe4ff75f0.us-east-1.aws.found.io/app/kibana#/discover/Steve-Slow-Train-Analysis-(2080s-and-2083s)?_g=(refreshInterval:(display:Off,pause:!f,section:0,value:0),time:(from:'2017-11-24T07:06:05-0700',mode:absolute,to:'2017-11-24T09:24:53-0700'))&amp;_a=(columns:!('Message%20ID',Summary),filters:!(),index:'emp_*',interval:auto,query:(query_string:(analyze_wildcard:!t,query:'%22rtdc.l.rtdc.4039%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30" t="s">
        <v>755</v>
      </c>
      <c r="B171" s="226">
        <v>4060</v>
      </c>
      <c r="C171" s="228" t="s">
        <v>192</v>
      </c>
      <c r="D171" s="228" t="s">
        <v>1081</v>
      </c>
      <c r="E171" s="227">
        <v>43063.330358796295</v>
      </c>
      <c r="F171" s="227">
        <v>43063.339768518519</v>
      </c>
      <c r="G171" s="226">
        <v>69</v>
      </c>
      <c r="H171" s="228" t="s">
        <v>1082</v>
      </c>
      <c r="I171" s="227">
        <v>43063.350092592591</v>
      </c>
      <c r="J171" s="226">
        <v>0</v>
      </c>
      <c r="K171" s="238" t="str">
        <f>IF(ISEVEN(B171),(B171-1)&amp;"/"&amp;B171,B171&amp;"/"&amp;(B171+1))</f>
        <v>4059/4060</v>
      </c>
      <c r="L171" s="246" t="str">
        <f>VLOOKUP(A171,'Trips&amp;Operators'!$C$1:$G$99911,5,FALSE)</f>
        <v>BEAM ROSS</v>
      </c>
      <c r="M171" s="225">
        <f>I171-F171</f>
        <v>1.0324074071832001E-2</v>
      </c>
      <c r="N171" s="226">
        <f>24*60*SUM($M171:$M171)</f>
        <v>14.866666663438082</v>
      </c>
      <c r="O171" s="226"/>
      <c r="P171" s="226"/>
      <c r="Q171" s="229"/>
      <c r="R171" s="243"/>
      <c r="S171" s="250">
        <f>1/IF(AG171="EC",12,1)*SUM(U171:U171)</f>
        <v>1</v>
      </c>
      <c r="T171" s="243" t="str">
        <f>IF(ISEVEN(LEFT(AD171,4)),"Southbound","NorthBound")</f>
        <v>NorthBound</v>
      </c>
      <c r="U171" s="24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9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-11-24T06:55:43-0700',mode:absolute,to:'2017-11-24T09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1" s="248" t="str">
        <f>IF(AA171&lt;VLOOKUP(AG171,Variables!$AC$3:$AD$8,2,FALSE),"Y","N")</f>
        <v>N</v>
      </c>
      <c r="X171" s="248">
        <f>VALUE(LEFT(AD171,4))-VALUE(LEFT(AD170,4))</f>
        <v>1</v>
      </c>
      <c r="Y171" s="248">
        <f>RIGHT(D171,LEN(D171)-4)/10000</f>
        <v>0.1168</v>
      </c>
      <c r="Z171" s="248">
        <f>RIGHT(H171,LEN(H171)-4)/10000</f>
        <v>5.8945999999999996</v>
      </c>
      <c r="AA171" s="248">
        <f>ABS(Z171-Y171)</f>
        <v>5.7778</v>
      </c>
      <c r="AB171" s="234" t="e">
        <f>VLOOKUP(A171,Enforcements!$C$7:$K$9,8,0)</f>
        <v>#N/A</v>
      </c>
      <c r="AC171" s="233" t="e">
        <f>VLOOKUP(A171,Enforcements!$C$7:$E$9,3,0)</f>
        <v>#N/A</v>
      </c>
      <c r="AD171" s="244">
        <f>VALUE(LEFT(A171,LEN(A171)-3))</f>
        <v>811</v>
      </c>
      <c r="AE171" s="236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171" s="235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/stypes="app*4060*20171124*" /stext=" 15:.+((SYSTEM_STATE.+slice.+state.+changed )|(ment ac)|(multiple cpu faults)|(system.+state.+changed )|(\[timeout)|(PRM\|1\|D)|(kpr)|(kdp)|(train st.+moving)|(\|lc)|(penalty))"</v>
      </c>
      <c r="AG171" s="245" t="str">
        <f>DetSubdiv(A171)</f>
        <v>NW</v>
      </c>
      <c r="AH171" s="237" t="str">
        <f t="shared" si="15"/>
        <v>"%USERPROFILE%\Documents\GitHub\eaglep3\Utilities\RefineRTDCRunTimes.py" --tripid 811-24 --locoid 4060 --swversion DE.1.0.9.0 --startMP 204:1168 --initTime 2017-11-24T07:55:43 --startdatetime 2017-11-24T08:09:16 --delay 69 --endMP 300:58946 --enddatetime 2017-11-24T08:24:08 --enforcementcount 0 &gt;&gt;%USERPROFILE%\Documents\GitHub\eaglep3-reporting\EC\2017-11-24-refined-times.txt</v>
      </c>
      <c r="AI171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{"issue":{"subject":"","project_id":79,"tracker_id":40,"status_id":1,"priority_id":2,"assigned_to_id":338,"start_date":"2017-11-24","description":"","custom_fields":[{"id":1,"name":"Subdivision","value":"NW"},{"id":4,"name":"Milepost","value":"5.8946"},{"id":17,"name":"Train ID","value":"811-24"},{"id":16,"name":"Locomotive ID","value":"4060"},{"id":130,"name":"Impact","value":""},{"id":150,"name":"Time of Event (Mountain Time)","value":"08:24:08"},{"id":151,"name":"Denver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4"/>
      <c r="AK171" s="232"/>
      <c r="AL171" s="232"/>
      <c r="AM171" s="241" t="str">
        <f t="shared" si="17"/>
        <v>start /low /b %USERPROFILE%\Documents\GitHub\eaglep3\Utilities\DownloadLogsFromS3.py --loco 4060 --day 2017-11-24</v>
      </c>
      <c r="AN171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15:24:08"},{"id":29,"name":"Sharepoint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1" t="str">
        <f t="shared" si="19"/>
        <v>https://d0f6bd738d7f1b3e5a7ca70fe4ff75f0.us-east-1.aws.found.io/app/kibana#/discover/Steve-Slow-Train-Analysis-(2080s-and-2083s)?_g=(refreshInterval:(display:Off,pause:!f,section:0,value:0),time:(from:'2017-11-24T06:55:43-0700',mode:absolute,to:'2017-11-24T09:24:08-0700'))&amp;_a=(columns:!('Message%20ID',Summary),filters:!(),index:'emp_*',interval:auto,query:(query_string:(analyze_wildcard:!t,query:'%22rtdc.l.rtdc.4060%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30" t="s">
        <v>761</v>
      </c>
      <c r="B172" s="226">
        <v>4059</v>
      </c>
      <c r="C172" s="228" t="s">
        <v>192</v>
      </c>
      <c r="D172" s="228" t="s">
        <v>1083</v>
      </c>
      <c r="E172" s="227">
        <v>43063.351111111115</v>
      </c>
      <c r="F172" s="227">
        <v>43063.363194444442</v>
      </c>
      <c r="G172" s="226">
        <v>82</v>
      </c>
      <c r="H172" s="228" t="s">
        <v>537</v>
      </c>
      <c r="I172" s="227">
        <v>43063.371365740742</v>
      </c>
      <c r="J172" s="226">
        <v>0</v>
      </c>
      <c r="K172" s="238" t="str">
        <f>IF(ISEVEN(B172),(B172-1)&amp;"/"&amp;B172,B172&amp;"/"&amp;(B172+1))</f>
        <v>4059/4060</v>
      </c>
      <c r="L172" s="246" t="str">
        <f>VLOOKUP(A172,'Trips&amp;Operators'!$C$1:$G$99911,5,FALSE)</f>
        <v>BEAM ROSS</v>
      </c>
      <c r="M172" s="225">
        <f>I172-F172</f>
        <v>8.1712963001336902E-3</v>
      </c>
      <c r="N172" s="226">
        <f>24*60*SUM($M172:$M172)</f>
        <v>11.766666672192514</v>
      </c>
      <c r="O172" s="226"/>
      <c r="P172" s="226"/>
      <c r="Q172" s="229"/>
      <c r="R172" s="243"/>
      <c r="S172" s="250">
        <f>1/IF(AG172="EC",12,1)*SUM(U172:U172)</f>
        <v>1</v>
      </c>
      <c r="T172" s="243" t="str">
        <f>IF(ISEVEN(LEFT(AD172,4)),"Southbound","NorthBound")</f>
        <v>Southbound</v>
      </c>
      <c r="U172" s="24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9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-11-24T07:25:36-0700',mode:absolute,to:'2017-11-24T09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2" s="248" t="str">
        <f>IF(AA172&lt;VLOOKUP(AG172,Variables!$AC$3:$AD$8,2,FALSE),"Y","N")</f>
        <v>N</v>
      </c>
      <c r="X172" s="248">
        <f>VALUE(LEFT(AD172,4))-VALUE(LEFT(AD171,4))</f>
        <v>1</v>
      </c>
      <c r="Y172" s="248">
        <f>RIGHT(D172,LEN(D172)-4)/10000</f>
        <v>5.8630000000000004</v>
      </c>
      <c r="Z172" s="248">
        <f>RIGHT(H172,LEN(H172)-4)/10000</f>
        <v>8.3199999999999996E-2</v>
      </c>
      <c r="AA172" s="248">
        <f>ABS(Z172-Y172)</f>
        <v>5.7798000000000007</v>
      </c>
      <c r="AB172" s="234" t="e">
        <f>VLOOKUP(A172,Enforcements!$C$7:$K$9,8,0)</f>
        <v>#N/A</v>
      </c>
      <c r="AC172" s="233" t="e">
        <f>VLOOKUP(A172,Enforcements!$C$7:$E$9,3,0)</f>
        <v>#N/A</v>
      </c>
      <c r="AD172" s="244">
        <f>VALUE(LEFT(A172,LEN(A172)-3))</f>
        <v>812</v>
      </c>
      <c r="AE172" s="236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172" s="235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/stypes="app*4059*20171124*" /stext=" 15:.+((SYSTEM_STATE.+slice.+state.+changed )|(ment ac)|(multiple cpu faults)|(system.+state.+changed )|(\[timeout)|(PRM\|1\|D)|(kpr)|(kdp)|(train st.+moving)|(\|lc)|(penalty))"</v>
      </c>
      <c r="AG172" s="245" t="str">
        <f>DetSubdiv(A172)</f>
        <v>NW</v>
      </c>
      <c r="AH172" s="237" t="str">
        <f t="shared" si="15"/>
        <v>"%USERPROFILE%\Documents\GitHub\eaglep3\Utilities\RefineRTDCRunTimes.py" --tripid 812-24 --locoid 4059 --swversion DE.1.0.9.0 --startMP 300:58630 --initTime 2017-11-24T08:25:36 --startdatetime 2017-11-24T08:43:00 --delay 82 --endMP 204:832 --enddatetime 2017-11-24T08:54:46 --enforcementcount 0 &gt;&gt;%USERPROFILE%\Documents\GitHub\eaglep3-reporting\EC\2017-11-24-refined-times.txt</v>
      </c>
      <c r="AI172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{"issue":{"subject":"","project_id":79,"tracker_id":40,"status_id":1,"priority_id":2,"assigned_to_id":338,"start_date":"2017-11-24","description":"","custom_fields":[{"id":1,"name":"Subdivision","value":"NW"},{"id":4,"name":"Milepost","value":"0.0832"},{"id":17,"name":"Train ID","value":"812-24"},{"id":16,"name":"Locomotive ID","value":"4059"},{"id":130,"name":"Impact","value":""},{"id":150,"name":"Time of Event (Mountain Time)","value":"08:54:46"},{"id":151,"name":"Denver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4"/>
      <c r="AK172" s="232"/>
      <c r="AL172" s="232"/>
      <c r="AM172" s="241" t="str">
        <f t="shared" si="17"/>
        <v>start /low /b %USERPROFILE%\Documents\GitHub\eaglep3\Utilities\DownloadLogsFromS3.py --loco 4059 --day 2017-11-24</v>
      </c>
      <c r="AN172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15:54:46"},{"id":29,"name":"Sharepoint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1" t="str">
        <f t="shared" si="19"/>
        <v>https://d0f6bd738d7f1b3e5a7ca70fe4ff75f0.us-east-1.aws.found.io/app/kibana#/discover/Steve-Slow-Train-Analysis-(2080s-and-2083s)?_g=(refreshInterval:(display:Off,pause:!f,section:0,value:0),time:(from:'2017-11-24T07:25:36-0700',mode:absolute,to:'2017-11-24T09:54:46-0700'))&amp;_a=(columns:!('Message%20ID',Summary),filters:!(),index:'emp_*',interval:auto,query:(query_string:(analyze_wildcard:!t,query:'%22rtdc.l.rtdc.4059%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30" t="s">
        <v>768</v>
      </c>
      <c r="B173" s="226">
        <v>4060</v>
      </c>
      <c r="C173" s="228" t="s">
        <v>192</v>
      </c>
      <c r="D173" s="228" t="s">
        <v>640</v>
      </c>
      <c r="E173" s="227">
        <v>43063.378657407404</v>
      </c>
      <c r="F173" s="227">
        <v>43063.381423611114</v>
      </c>
      <c r="G173" s="226">
        <v>70</v>
      </c>
      <c r="H173" s="228" t="s">
        <v>1075</v>
      </c>
      <c r="I173" s="227">
        <v>43063.391319444447</v>
      </c>
      <c r="J173" s="226">
        <v>0</v>
      </c>
      <c r="K173" s="238" t="str">
        <f>IF(ISEVEN(B173),(B173-1)&amp;"/"&amp;B173,B173&amp;"/"&amp;(B173+1))</f>
        <v>4059/4060</v>
      </c>
      <c r="L173" s="246" t="str">
        <f>VLOOKUP(A173,'Trips&amp;Operators'!$C$1:$G$99911,5,FALSE)</f>
        <v>BEAM ROSS</v>
      </c>
      <c r="M173" s="225">
        <f>I173-F173</f>
        <v>9.8958333328482695E-3</v>
      </c>
      <c r="N173" s="226">
        <f>24*60*SUM($M173:$M173)</f>
        <v>14.249999999301508</v>
      </c>
      <c r="O173" s="226"/>
      <c r="P173" s="226"/>
      <c r="Q173" s="229"/>
      <c r="R173" s="243"/>
      <c r="S173" s="250">
        <f>1/IF(AG173="EC",12,1)*SUM(U173:U173)</f>
        <v>1</v>
      </c>
      <c r="T173" s="243" t="str">
        <f>IF(ISEVEN(LEFT(AD173,4)),"Southbound","NorthBound")</f>
        <v>NorthBound</v>
      </c>
      <c r="U173" s="24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9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-11-24T08:05:16-0700',mode:absolute,to:'2017-11-24T10:23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3" s="248" t="str">
        <f>IF(AA173&lt;VLOOKUP(AG173,Variables!$AC$3:$AD$8,2,FALSE),"Y","N")</f>
        <v>N</v>
      </c>
      <c r="X173" s="248">
        <f>VALUE(LEFT(AD173,4))-VALUE(LEFT(AD172,4))</f>
        <v>1</v>
      </c>
      <c r="Y173" s="248">
        <f>RIGHT(D173,LEN(D173)-4)/10000</f>
        <v>0.11210000000000001</v>
      </c>
      <c r="Z173" s="248">
        <f>RIGHT(H173,LEN(H173)-4)/10000</f>
        <v>5.8943000000000003</v>
      </c>
      <c r="AA173" s="248">
        <f>ABS(Z173-Y173)</f>
        <v>5.7822000000000005</v>
      </c>
      <c r="AB173" s="234" t="e">
        <f>VLOOKUP(A173,Enforcements!$C$7:$K$9,8,0)</f>
        <v>#N/A</v>
      </c>
      <c r="AC173" s="233" t="e">
        <f>VLOOKUP(A173,Enforcements!$C$7:$E$9,3,0)</f>
        <v>#N/A</v>
      </c>
      <c r="AD173" s="244">
        <f>VALUE(LEFT(A173,LEN(A173)-3))</f>
        <v>813</v>
      </c>
      <c r="AE173" s="236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173" s="235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/stypes="app*4060*20171124*" /stext=" 16:.+((SYSTEM_STATE.+slice.+state.+changed )|(ment ac)|(multiple cpu faults)|(system.+state.+changed )|(\[timeout)|(PRM\|1\|D)|(kpr)|(kdp)|(train st.+moving)|(\|lc)|(penalty))"</v>
      </c>
      <c r="AG173" s="245" t="str">
        <f>DetSubdiv(A173)</f>
        <v>NW</v>
      </c>
      <c r="AH173" s="237" t="str">
        <f t="shared" si="15"/>
        <v>"%USERPROFILE%\Documents\GitHub\eaglep3\Utilities\RefineRTDCRunTimes.py" --tripid 813-24 --locoid 4060 --swversion DE.1.0.9.0 --startMP 204:1121 --initTime 2017-11-24T09:05:16 --startdatetime 2017-11-24T09:09:15 --delay 70 --endMP 300:58943 --enddatetime 2017-11-24T09:23:30 --enforcementcount 0 &gt;&gt;%USERPROFILE%\Documents\GitHub\eaglep3-reporting\EC\2017-11-24-refined-times.txt</v>
      </c>
      <c r="AI173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{"issue":{"subject":"","project_id":79,"tracker_id":40,"status_id":1,"priority_id":2,"assigned_to_id":338,"start_date":"2017-11-24","description":"","custom_fields":[{"id":1,"name":"Subdivision","value":"NW"},{"id":4,"name":"Milepost","value":"5.8943"},{"id":17,"name":"Train ID","value":"813-24"},{"id":16,"name":"Locomotive ID","value":"4060"},{"id":130,"name":"Impact","value":""},{"id":150,"name":"Time of Event (Mountain Time)","value":"09:23:30"},{"id":151,"name":"Denver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4"/>
      <c r="AK173" s="232"/>
      <c r="AL173" s="232"/>
      <c r="AM173" s="241" t="str">
        <f t="shared" si="17"/>
        <v>start /low /b %USERPROFILE%\Documents\GitHub\eaglep3\Utilities\DownloadLogsFromS3.py --loco 4060 --day 2017-11-24</v>
      </c>
      <c r="AN173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16:23:30"},{"id":29,"name":"Sharepoint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1" t="str">
        <f t="shared" si="19"/>
        <v>https://d0f6bd738d7f1b3e5a7ca70fe4ff75f0.us-east-1.aws.found.io/app/kibana#/discover/Steve-Slow-Train-Analysis-(2080s-and-2083s)?_g=(refreshInterval:(display:Off,pause:!f,section:0,value:0),time:(from:'2017-11-24T08:05:16-0700',mode:absolute,to:'2017-11-24T10:23:30-0700'))&amp;_a=(columns:!('Message%20ID',Summary),filters:!(),index:'emp_*',interval:auto,query:(query_string:(analyze_wildcard:!t,query:'%22rtdc.l.rtdc.4060%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30" t="s">
        <v>769</v>
      </c>
      <c r="B174" s="226">
        <v>4059</v>
      </c>
      <c r="C174" s="228" t="s">
        <v>192</v>
      </c>
      <c r="D174" s="228" t="s">
        <v>501</v>
      </c>
      <c r="E174" s="227">
        <v>43063.392500000002</v>
      </c>
      <c r="F174" s="227">
        <v>43063.404861111114</v>
      </c>
      <c r="G174" s="226">
        <v>54</v>
      </c>
      <c r="H174" s="228" t="s">
        <v>653</v>
      </c>
      <c r="I174" s="227">
        <v>43063.413090277776</v>
      </c>
      <c r="J174" s="226">
        <v>0</v>
      </c>
      <c r="K174" s="238" t="str">
        <f>IF(ISEVEN(B174),(B174-1)&amp;"/"&amp;B174,B174&amp;"/"&amp;(B174+1))</f>
        <v>4059/4060</v>
      </c>
      <c r="L174" s="246" t="str">
        <f>VLOOKUP(A174,'Trips&amp;Operators'!$C$1:$G$99911,5,FALSE)</f>
        <v>BEAM ROSS</v>
      </c>
      <c r="M174" s="225">
        <f>I174-F174</f>
        <v>8.2291666622040793E-3</v>
      </c>
      <c r="N174" s="226">
        <f>24*60*SUM($M174:$M174)</f>
        <v>11.849999993573874</v>
      </c>
      <c r="O174" s="226"/>
      <c r="P174" s="226"/>
      <c r="Q174" s="229"/>
      <c r="R174" s="243"/>
      <c r="S174" s="250">
        <f>1/IF(AG174="EC",12,1)*SUM(U174:U174)</f>
        <v>1</v>
      </c>
      <c r="T174" s="243" t="str">
        <f>IF(ISEVEN(LEFT(AD174,4)),"Southbound","NorthBound")</f>
        <v>Southbound</v>
      </c>
      <c r="U174" s="24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9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-11-24T08:25:12-0700',mode:absolute,to:'2017-11-24T10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4" s="248" t="str">
        <f>IF(AA174&lt;VLOOKUP(AG174,Variables!$AC$3:$AD$8,2,FALSE),"Y","N")</f>
        <v>N</v>
      </c>
      <c r="X174" s="248">
        <f>VALUE(LEFT(AD174,4))-VALUE(LEFT(AD173,4))</f>
        <v>1</v>
      </c>
      <c r="Y174" s="248">
        <f>RIGHT(D174,LEN(D174)-4)/10000</f>
        <v>5.8623000000000003</v>
      </c>
      <c r="Z174" s="248">
        <f>RIGHT(H174,LEN(H174)-4)/10000</f>
        <v>8.1699999999999995E-2</v>
      </c>
      <c r="AA174" s="248">
        <f>ABS(Z174-Y174)</f>
        <v>5.7806000000000006</v>
      </c>
      <c r="AB174" s="234" t="e">
        <f>VLOOKUP(A174,Enforcements!$C$7:$K$9,8,0)</f>
        <v>#N/A</v>
      </c>
      <c r="AC174" s="233" t="e">
        <f>VLOOKUP(A174,Enforcements!$C$7:$E$9,3,0)</f>
        <v>#N/A</v>
      </c>
      <c r="AD174" s="244">
        <f>VALUE(LEFT(A174,LEN(A174)-3))</f>
        <v>814</v>
      </c>
      <c r="AE174" s="236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174" s="235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/stypes="app*4059*20171124*" /stext=" 16:.+((SYSTEM_STATE.+slice.+state.+changed )|(ment ac)|(multiple cpu faults)|(system.+state.+changed )|(\[timeout)|(PRM\|1\|D)|(kpr)|(kdp)|(train st.+moving)|(\|lc)|(penalty))"</v>
      </c>
      <c r="AG174" s="245" t="str">
        <f>DetSubdiv(A174)</f>
        <v>NW</v>
      </c>
      <c r="AH174" s="237" t="str">
        <f t="shared" si="15"/>
        <v>"%USERPROFILE%\Documents\GitHub\eaglep3\Utilities\RefineRTDCRunTimes.py" --tripid 814-24 --locoid 4059 --swversion DE.1.0.9.0 --startMP 300:58623 --initTime 2017-11-24T09:25:12 --startdatetime 2017-11-24T09:43:00 --delay 54 --endMP 204:817 --enddatetime 2017-11-24T09:54:51 --enforcementcount 0 &gt;&gt;%USERPROFILE%\Documents\GitHub\eaglep3-reporting\EC\2017-11-24-refined-times.txt</v>
      </c>
      <c r="AI174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{"issue":{"subject":"","project_id":79,"tracker_id":40,"status_id":1,"priority_id":2,"assigned_to_id":338,"start_date":"2017-11-24","description":"","custom_fields":[{"id":1,"name":"Subdivision","value":"NW"},{"id":4,"name":"Milepost","value":"0.0817"},{"id":17,"name":"Train ID","value":"814-24"},{"id":16,"name":"Locomotive ID","value":"4059"},{"id":130,"name":"Impact","value":""},{"id":150,"name":"Time of Event (Mountain Time)","value":"09:54:51"},{"id":151,"name":"Denver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4"/>
      <c r="AK174" s="232"/>
      <c r="AL174" s="232"/>
      <c r="AM174" s="241" t="str">
        <f t="shared" si="17"/>
        <v>start /low /b %USERPROFILE%\Documents\GitHub\eaglep3\Utilities\DownloadLogsFromS3.py --loco 4059 --day 2017-11-24</v>
      </c>
      <c r="AN174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16:54:51"},{"id":29,"name":"Sharepoint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1" t="str">
        <f t="shared" si="19"/>
        <v>https://d0f6bd738d7f1b3e5a7ca70fe4ff75f0.us-east-1.aws.found.io/app/kibana#/discover/Steve-Slow-Train-Analysis-(2080s-and-2083s)?_g=(refreshInterval:(display:Off,pause:!f,section:0,value:0),time:(from:'2017-11-24T08:25:12-0700',mode:absolute,to:'2017-11-24T10:54:51-0700'))&amp;_a=(columns:!('Message%20ID',Summary),filters:!(),index:'emp_*',interval:auto,query:(query_string:(analyze_wildcard:!t,query:'%22rtdc.l.rtdc.4059%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30" t="s">
        <v>777</v>
      </c>
      <c r="B175" s="226">
        <v>4060</v>
      </c>
      <c r="C175" s="228" t="s">
        <v>192</v>
      </c>
      <c r="D175" s="228" t="s">
        <v>1084</v>
      </c>
      <c r="E175" s="227">
        <v>43063.419189814813</v>
      </c>
      <c r="F175" s="227">
        <v>43063.423136574071</v>
      </c>
      <c r="G175" s="226">
        <v>71</v>
      </c>
      <c r="H175" s="228" t="s">
        <v>1075</v>
      </c>
      <c r="I175" s="227">
        <v>43063.432696759257</v>
      </c>
      <c r="J175" s="226">
        <v>0</v>
      </c>
      <c r="K175" s="238" t="str">
        <f>IF(ISEVEN(B175),(B175-1)&amp;"/"&amp;B175,B175&amp;"/"&amp;(B175+1))</f>
        <v>4059/4060</v>
      </c>
      <c r="L175" s="246" t="str">
        <f>VLOOKUP(A175,'Trips&amp;Operators'!$C$1:$G$99911,5,FALSE)</f>
        <v>BEAM ROSS</v>
      </c>
      <c r="M175" s="225">
        <f>I175-F175</f>
        <v>9.560185186273884E-3</v>
      </c>
      <c r="N175" s="226">
        <f>24*60*SUM($M175:$M175)</f>
        <v>13.766666668234393</v>
      </c>
      <c r="O175" s="226"/>
      <c r="P175" s="226"/>
      <c r="Q175" s="229"/>
      <c r="R175" s="243"/>
      <c r="S175" s="250">
        <f>1/IF(AG175="EC",12,1)*SUM(U175:U175)</f>
        <v>1</v>
      </c>
      <c r="T175" s="243" t="str">
        <f>IF(ISEVEN(LEFT(AD175,4)),"Southbound","NorthBound")</f>
        <v>NorthBound</v>
      </c>
      <c r="U175" s="24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9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-11-24T09:03:38-0700',mode:absolute,to:'2017-11-24T11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5" s="248" t="str">
        <f>IF(AA175&lt;VLOOKUP(AG175,Variables!$AC$3:$AD$8,2,FALSE),"Y","N")</f>
        <v>N</v>
      </c>
      <c r="X175" s="248">
        <f>VALUE(LEFT(AD175,4))-VALUE(LEFT(AD174,4))</f>
        <v>1</v>
      </c>
      <c r="Y175" s="248">
        <f>RIGHT(D175,LEN(D175)-4)/10000</f>
        <v>0.10970000000000001</v>
      </c>
      <c r="Z175" s="248">
        <f>RIGHT(H175,LEN(H175)-4)/10000</f>
        <v>5.8943000000000003</v>
      </c>
      <c r="AA175" s="248">
        <f>ABS(Z175-Y175)</f>
        <v>5.7846000000000002</v>
      </c>
      <c r="AB175" s="234" t="e">
        <f>VLOOKUP(A175,Enforcements!$C$7:$K$9,8,0)</f>
        <v>#N/A</v>
      </c>
      <c r="AC175" s="233" t="e">
        <f>VLOOKUP(A175,Enforcements!$C$7:$E$9,3,0)</f>
        <v>#N/A</v>
      </c>
      <c r="AD175" s="244">
        <f>VALUE(LEFT(A175,LEN(A175)-3))</f>
        <v>815</v>
      </c>
      <c r="AE175" s="236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175" s="235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/stypes="app*4060*20171124*" /stext=" 17:.+((SYSTEM_STATE.+slice.+state.+changed )|(ment ac)|(multiple cpu faults)|(system.+state.+changed )|(\[timeout)|(PRM\|1\|D)|(kpr)|(kdp)|(train st.+moving)|(\|lc)|(penalty))"</v>
      </c>
      <c r="AG175" s="245" t="str">
        <f>DetSubdiv(A175)</f>
        <v>NW</v>
      </c>
      <c r="AH175" s="237" t="str">
        <f t="shared" si="15"/>
        <v>"%USERPROFILE%\Documents\GitHub\eaglep3\Utilities\RefineRTDCRunTimes.py" --tripid 815-24 --locoid 4060 --swversion DE.1.0.9.0 --startMP 204:1097 --initTime 2017-11-24T10:03:38 --startdatetime 2017-11-24T10:09:19 --delay 71 --endMP 300:58943 --enddatetime 2017-11-24T10:23:05 --enforcementcount 0 &gt;&gt;%USERPROFILE%\Documents\GitHub\eaglep3-reporting\EC\2017-11-24-refined-times.txt</v>
      </c>
      <c r="AI175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{"issue":{"subject":"","project_id":79,"tracker_id":40,"status_id":1,"priority_id":2,"assigned_to_id":338,"start_date":"2017-11-24","description":"","custom_fields":[{"id":1,"name":"Subdivision","value":"NW"},{"id":4,"name":"Milepost","value":"5.8943"},{"id":17,"name":"Train ID","value":"815-24"},{"id":16,"name":"Locomotive ID","value":"4060"},{"id":130,"name":"Impact","value":""},{"id":150,"name":"Time of Event (Mountain Time)","value":"10:23:05"},{"id":151,"name":"Denver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4"/>
      <c r="AK175" s="232"/>
      <c r="AL175" s="232"/>
      <c r="AM175" s="241" t="str">
        <f t="shared" si="17"/>
        <v>start /low /b %USERPROFILE%\Documents\GitHub\eaglep3\Utilities\DownloadLogsFromS3.py --loco 4060 --day 2017-11-24</v>
      </c>
      <c r="AN175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17:23:05"},{"id":29,"name":"Sharepoint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1" t="str">
        <f t="shared" si="19"/>
        <v>https://d0f6bd738d7f1b3e5a7ca70fe4ff75f0.us-east-1.aws.found.io/app/kibana#/discover/Steve-Slow-Train-Analysis-(2080s-and-2083s)?_g=(refreshInterval:(display:Off,pause:!f,section:0,value:0),time:(from:'2017-11-24T09:03:38-0700',mode:absolute,to:'2017-11-24T11:23:05-0700'))&amp;_a=(columns:!('Message%20ID',Summary),filters:!(),index:'emp_*',interval:auto,query:(query_string:(analyze_wildcard:!t,query:'%22rtdc.l.rtdc.4060%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30" t="s">
        <v>781</v>
      </c>
      <c r="B176" s="226">
        <v>4059</v>
      </c>
      <c r="C176" s="228" t="s">
        <v>192</v>
      </c>
      <c r="D176" s="228" t="s">
        <v>501</v>
      </c>
      <c r="E176" s="227">
        <v>43063.435312499998</v>
      </c>
      <c r="F176" s="227">
        <v>43063.446527777778</v>
      </c>
      <c r="G176" s="226">
        <v>88</v>
      </c>
      <c r="H176" s="228" t="s">
        <v>1085</v>
      </c>
      <c r="I176" s="227">
        <v>43063.455451388887</v>
      </c>
      <c r="J176" s="226">
        <v>0</v>
      </c>
      <c r="K176" s="238" t="str">
        <f>IF(ISEVEN(B176),(B176-1)&amp;"/"&amp;B176,B176&amp;"/"&amp;(B176+1))</f>
        <v>4059/4060</v>
      </c>
      <c r="L176" s="246" t="str">
        <f>VLOOKUP(A176,'Trips&amp;Operators'!$C$1:$G$99911,5,FALSE)</f>
        <v>SNYDER PETER</v>
      </c>
      <c r="M176" s="225">
        <f>I176-F176</f>
        <v>8.923611108912155E-3</v>
      </c>
      <c r="N176" s="226">
        <f>24*60*SUM($M176:$M176)</f>
        <v>12.849999996833503</v>
      </c>
      <c r="O176" s="226"/>
      <c r="P176" s="226"/>
      <c r="Q176" s="229"/>
      <c r="R176" s="243"/>
      <c r="S176" s="250">
        <f>1/IF(AG176="EC",12,1)*SUM(U176:U176)</f>
        <v>1</v>
      </c>
      <c r="T176" s="243" t="str">
        <f>IF(ISEVEN(LEFT(AD176,4)),"Southbound","NorthBound")</f>
        <v>Southbound</v>
      </c>
      <c r="U176" s="24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9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-11-24T09:26:51-0700',mode:absolute,to:'2017-11-24T11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6" s="248" t="str">
        <f>IF(AA176&lt;VLOOKUP(AG176,Variables!$AC$3:$AD$8,2,FALSE),"Y","N")</f>
        <v>N</v>
      </c>
      <c r="X176" s="248">
        <f>VALUE(LEFT(AD176,4))-VALUE(LEFT(AD175,4))</f>
        <v>1</v>
      </c>
      <c r="Y176" s="248">
        <f>RIGHT(D176,LEN(D176)-4)/10000</f>
        <v>5.8623000000000003</v>
      </c>
      <c r="Z176" s="248">
        <f>RIGHT(H176,LEN(H176)-4)/10000</f>
        <v>8.5000000000000006E-2</v>
      </c>
      <c r="AA176" s="248">
        <f>ABS(Z176-Y176)</f>
        <v>5.7773000000000003</v>
      </c>
      <c r="AB176" s="234" t="e">
        <f>VLOOKUP(A176,Enforcements!$C$7:$K$9,8,0)</f>
        <v>#N/A</v>
      </c>
      <c r="AC176" s="233" t="e">
        <f>VLOOKUP(A176,Enforcements!$C$7:$E$9,3,0)</f>
        <v>#N/A</v>
      </c>
      <c r="AD176" s="244">
        <f>VALUE(LEFT(A176,LEN(A176)-3))</f>
        <v>816</v>
      </c>
      <c r="AE176" s="236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176" s="235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/stypes="app*4059*20171124*" /stext=" 17:.+((SYSTEM_STATE.+slice.+state.+changed )|(ment ac)|(multiple cpu faults)|(system.+state.+changed )|(\[timeout)|(PRM\|1\|D)|(kpr)|(kdp)|(train st.+moving)|(\|lc)|(penalty))"</v>
      </c>
      <c r="AG176" s="245" t="str">
        <f>DetSubdiv(A176)</f>
        <v>NW</v>
      </c>
      <c r="AH176" s="237" t="str">
        <f t="shared" si="15"/>
        <v>"%USERPROFILE%\Documents\GitHub\eaglep3\Utilities\RefineRTDCRunTimes.py" --tripid 816-24 --locoid 4059 --swversion DE.1.0.9.0 --startMP 300:58623 --initTime 2017-11-24T10:26:51 --startdatetime 2017-11-24T10:43:00 --delay 88 --endMP 204:850 --enddatetime 2017-11-24T10:55:51 --enforcementcount 0 &gt;&gt;%USERPROFILE%\Documents\GitHub\eaglep3-reporting\EC\2017-11-24-refined-times.txt</v>
      </c>
      <c r="AI176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{"issue":{"subject":"","project_id":79,"tracker_id":40,"status_id":1,"priority_id":2,"assigned_to_id":338,"start_date":"2017-11-24","description":"","custom_fields":[{"id":1,"name":"Subdivision","value":"NW"},{"id":4,"name":"Milepost","value":"0.085"},{"id":17,"name":"Train ID","value":"816-24"},{"id":16,"name":"Locomotive ID","value":"4059"},{"id":130,"name":"Impact","value":""},{"id":150,"name":"Time of Event (Mountain Time)","value":"10:55:51"},{"id":151,"name":"Denver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4"/>
      <c r="AK176" s="232"/>
      <c r="AL176" s="232"/>
      <c r="AM176" s="241" t="str">
        <f t="shared" si="17"/>
        <v>start /low /b %USERPROFILE%\Documents\GitHub\eaglep3\Utilities\DownloadLogsFromS3.py --loco 4059 --day 2017-11-24</v>
      </c>
      <c r="AN176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17:55:51"},{"id":29,"name":"Sharepoint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1" t="str">
        <f t="shared" si="19"/>
        <v>https://d0f6bd738d7f1b3e5a7ca70fe4ff75f0.us-east-1.aws.found.io/app/kibana#/discover/Steve-Slow-Train-Analysis-(2080s-and-2083s)?_g=(refreshInterval:(display:Off,pause:!f,section:0,value:0),time:(from:'2017-11-24T09:26:51-0700',mode:absolute,to:'2017-11-24T11:55:51-0700'))&amp;_a=(columns:!('Message%20ID',Summary),filters:!(),index:'emp_*',interval:auto,query:(query_string:(analyze_wildcard:!t,query:'%22rtdc.l.rtdc.4059%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4" customFormat="1" x14ac:dyDescent="0.25">
      <c r="A177" s="230" t="s">
        <v>792</v>
      </c>
      <c r="B177" s="226">
        <v>4060</v>
      </c>
      <c r="C177" s="228" t="s">
        <v>192</v>
      </c>
      <c r="D177" s="228" t="s">
        <v>501</v>
      </c>
      <c r="E177" s="227">
        <v>43063.435312499998</v>
      </c>
      <c r="F177" s="227">
        <v>43063.446527777778</v>
      </c>
      <c r="G177" s="226">
        <v>88</v>
      </c>
      <c r="H177" s="228" t="s">
        <v>1085</v>
      </c>
      <c r="I177" s="227">
        <v>43063.455451388887</v>
      </c>
      <c r="J177" s="226">
        <v>0</v>
      </c>
      <c r="K177" s="238" t="str">
        <f>IF(ISEVEN(B177),(B177-1)&amp;"/"&amp;B177,B177&amp;"/"&amp;(B177+1))</f>
        <v>4059/4060</v>
      </c>
      <c r="L177" s="246" t="str">
        <f>VLOOKUP(A177,'Trips&amp;Operators'!$C$1:$G$99911,5,FALSE)</f>
        <v>SNYDER PETER</v>
      </c>
      <c r="M177" s="225">
        <f>I177-F177</f>
        <v>8.923611108912155E-3</v>
      </c>
      <c r="N177" s="226"/>
      <c r="O177" s="226"/>
      <c r="P177" s="226">
        <f>24*60*SUM($M177:$M177)</f>
        <v>12.849999996833503</v>
      </c>
      <c r="Q177" s="229"/>
      <c r="R177" s="243" t="s">
        <v>504</v>
      </c>
      <c r="S177" s="250">
        <f>1/IF(AG177="EC",12,1)*SUM(U177:U177)</f>
        <v>1</v>
      </c>
      <c r="T177" s="243" t="str">
        <f>IF(ISEVEN(LEFT(AD177,4)),"Southbound","NorthBound")</f>
        <v>NorthBound</v>
      </c>
      <c r="U177" s="24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9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-11-24T09:26:51-0700',mode:absolute,to:'2017-11-24T11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7" s="248" t="str">
        <f>IF(AA177&lt;VLOOKUP(AG177,Variables!$AC$3:$AD$8,2,FALSE),"Y","N")</f>
        <v>Y</v>
      </c>
      <c r="X177" s="248">
        <f>VALUE(LEFT(AD177,4))-VALUE(LEFT(AD176,4))</f>
        <v>1</v>
      </c>
      <c r="Y177" s="248">
        <v>0.10970000000000001</v>
      </c>
      <c r="Z177" s="248">
        <v>3.37</v>
      </c>
      <c r="AA177" s="248">
        <f>ABS(Z177-Y177)</f>
        <v>3.2603</v>
      </c>
      <c r="AB177" s="234" t="e">
        <f>VLOOKUP(A177,Enforcements!$C$7:$K$9,8,0)</f>
        <v>#N/A</v>
      </c>
      <c r="AC177" s="233" t="e">
        <f>VLOOKUP(A177,Enforcements!$C$7:$E$9,3,0)</f>
        <v>#N/A</v>
      </c>
      <c r="AD177" s="244">
        <f>VALUE(LEFT(A177,LEN(A177)-3))</f>
        <v>817</v>
      </c>
      <c r="AE177" s="236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177" s="235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/stypes="app*4060*20171124*" /stext=" 17:.+((SYSTEM_STATE.+slice.+state.+changed )|(ment ac)|(multiple cpu faults)|(system.+state.+changed )|(\[timeout)|(PRM\|1\|D)|(kpr)|(kdp)|(train st.+moving)|(\|lc)|(penalty))"</v>
      </c>
      <c r="AG177" s="245" t="str">
        <f>DetSubdiv(A177)</f>
        <v>NW</v>
      </c>
      <c r="AH177" s="237" t="str">
        <f t="shared" ref="AH177" si="30">refinertdcruntimes&amp;" --tripid "&amp;A177&amp;" --locoid "&amp;B177&amp;" --swversion "&amp;C177&amp;" --startMP "&amp;D177&amp;" --initTime "&amp;TEXT(E177,"yyyy-mm-ddTHH:MM:SS")&amp;" --startdatetime "&amp;TEXT(F177,"yyyy-mm-ddTHH:MM:SS")&amp;" --delay "&amp;G177&amp;" --endMP "&amp;H177&amp;" --enddatetime "&amp;TEXT(I177,"yyyy-mm-ddTHH:MM:SS")&amp;" --enforcementcount "&amp;J177&amp;IF(outputrefinedruntimes," &gt;&gt;"&amp;RefinedRTDCRunTimesOutputFile,"")</f>
        <v>"%USERPROFILE%\Documents\GitHub\eaglep3\Utilities\RefineRTDCRunTimes.py" --tripid 817-24 --locoid 4060 --swversion DE.1.0.9.0 --startMP 300:58623 --initTime 2017-11-24T10:26:51 --startdatetime 2017-11-24T10:43:00 --delay 88 --endMP 204:850 --enddatetime 2017-11-24T10:55:51 --enforcementcount 0 &gt;&gt;%USERPROFILE%\Documents\GitHub\eaglep3-reporting\EC\2017-11-24-refined-times.txt</v>
      </c>
      <c r="AI177" s="239" t="str">
        <f t="shared" ref="AI177" si="31">"echo {""issue"":{""subject"":"""&amp;R177&amp;""",""project_id"":79,""tracker_id"":40,""status_id"":"&amp;redmine_status&amp;",""priority_id"":"&amp;redmine_priority&amp;",""assigned_to_id"":"&amp;redmine_assignee&amp;",""start_date"":"""&amp;TEXT(I177,"YYYY-mm-dd")&amp;""",""description"":"""&amp;AJ177&amp;""",""custom_fields"":[{""id"":1,""name"":""Subdivision"",""value"":"""&amp;AG177&amp;"""},{""id"":4,""name"":""Milepost"",""value"":"""&amp;Z177&amp;"""},{""id"":17,""name"":""Train ID"",""value"":"""&amp;A177&amp;"""},{""id"":16,""name"":""Locomotive ID"",""value"":"""&amp;B177&amp;"""},{""id"":130,""name"":""Impact"",""value"":"""&amp;AK177&amp;"""},{""id"":150,""name"":""Time of Event (Mountain Time)"",""value"":"""&amp;TEXT(I177,"hh:mm:ss")&amp;"""},{""id"":151,""name"":""Denver Issue ID"",""value"":"""&amp;"""},{""id"":178,""name"":""Operational Impact"",""value"":"""&amp;redmine_op_impact&amp;"""},{""id"":179,""name"":""Denver Segment Assigned"",""value"":"""&amp;AL177&amp;"""}]}}"&amp;"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drop","project_id":79,"tracker_id":40,"status_id":1,"priority_id":2,"assigned_to_id":338,"start_date":"2017-11-24","description":"","custom_fields":[{"id":1,"name":"Subdivision","value":"NW"},{"id":4,"name":"Milepost","value":"3.37"},{"id":17,"name":"Train ID","value":"817-24"},{"id":16,"name":"Locomotive ID","value":"4060"},{"id":130,"name":"Impact","value":""},{"id":150,"name":"Time of Event (Mountain Time)","value":"10:55:51"},{"id":151,"name":"Denver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2"/>
      <c r="AL177" s="232"/>
      <c r="AM177" s="241" t="str">
        <f t="shared" ref="AM177" si="32">"start /low /b "&amp;dls3logs&amp;" --loco "&amp;B177&amp;" --day "&amp;TEXT(F177,"YYYY-MM-DD")</f>
        <v>start /low /b %USERPROFILE%\Documents\GitHub\eaglep3\Utilities\DownloadLogsFromS3.py --loco 4060 --day 2017-11-24</v>
      </c>
      <c r="AN177" s="242" t="str">
        <f t="shared" ref="AN177" si="33">"echo {""issue"":{""subject"":"""&amp;R177&amp;""",""project_id"":30,""tracker_id"":4,""status_id"":"&amp;redmine_status_wcr&amp;",""priority_id"":"&amp;redmine_priority_wcr&amp;",""assigned_to_id"":"&amp;redmine_assignee_wcr&amp;",""start_date"":"""&amp;TEXT(I177-utc_offset/24,"YYYY-mm-dd")&amp;""",""description"":"""&amp;AJ177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17:55:51"},{"id":29,"name":"Sharepoint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1" t="str">
        <f t="shared" ref="AO177" si="34"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Message%20ID',Summary),filters:!(),index:'emp_*',interval:auto,query:"&amp;"(query_string:(analyze_wildcard:!t,query:'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-11-24T09:26:51-0700',mode:absolute,to:'2017-11-24T11:55:51-0700'))&amp;_a=(columns:!('Message%20ID',Summary),filters:!(),index:'emp_*',interval:auto,query:(query_string:(analyze_wildcard:!t,query:'%22rtdc.l.rtdc.4060%22')),sort:!(Time.ISO8601,asc))</v>
      </c>
    </row>
    <row r="178" spans="1:91" s="20" customFormat="1" x14ac:dyDescent="0.25">
      <c r="A178" s="230" t="s">
        <v>666</v>
      </c>
      <c r="B178" s="226">
        <v>4059</v>
      </c>
      <c r="C178" s="228" t="s">
        <v>192</v>
      </c>
      <c r="D178" s="228" t="s">
        <v>1086</v>
      </c>
      <c r="E178" s="227">
        <v>43063.478298611109</v>
      </c>
      <c r="F178" s="227">
        <v>43063.480393518519</v>
      </c>
      <c r="G178" s="226">
        <v>59</v>
      </c>
      <c r="H178" s="228" t="s">
        <v>1087</v>
      </c>
      <c r="I178" s="227">
        <v>43063.495775462965</v>
      </c>
      <c r="J178" s="226">
        <v>0</v>
      </c>
      <c r="K178" s="238" t="str">
        <f>IF(ISEVEN(B178),(B178-1)&amp;"/"&amp;B178,B178&amp;"/"&amp;(B178+1))</f>
        <v>4059/4060</v>
      </c>
      <c r="L178" s="246" t="str">
        <f>VLOOKUP(A178,'Trips&amp;Operators'!$C$1:$G$99911,5,FALSE)</f>
        <v>SNYDER PETER</v>
      </c>
      <c r="M178" s="225">
        <f>I178-F178</f>
        <v>1.5381944445834961E-2</v>
      </c>
      <c r="N178" s="226">
        <f>24*60*SUM($M178:$M178)</f>
        <v>22.150000002002344</v>
      </c>
      <c r="O178" s="226"/>
      <c r="P178" s="226"/>
      <c r="Q178" s="229"/>
      <c r="R178" s="243"/>
      <c r="S178" s="250">
        <f>1/IF(AG178="EC",12,1)*SUM(U178:U178)</f>
        <v>1</v>
      </c>
      <c r="T178" s="243" t="str">
        <f>IF(ISEVEN(LEFT(AD178,4)),"Southbound","NorthBound")</f>
        <v>Southbound</v>
      </c>
      <c r="U178" s="24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9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-11-24T10:28:45-0700',mode:absolute,to:'2017-11-24T12:53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8" s="248" t="str">
        <f>IF(AA178&lt;VLOOKUP(AG178,Variables!$AC$3:$AD$8,2,FALSE),"Y","N")</f>
        <v>Y</v>
      </c>
      <c r="X178" s="248">
        <f>VALUE(LEFT(AD178,4))-VALUE(LEFT(AD177,4))</f>
        <v>1</v>
      </c>
      <c r="Y178" s="248">
        <f>RIGHT(D178,LEN(D178)-4)/10000</f>
        <v>5.8727999999999998</v>
      </c>
      <c r="Z178" s="248">
        <f>RIGHT(H178,LEN(H178)-4)/10000</f>
        <v>0.44979999999999998</v>
      </c>
      <c r="AA178" s="248">
        <f>ABS(Z178-Y178)</f>
        <v>5.423</v>
      </c>
      <c r="AB178" s="234" t="e">
        <f>VLOOKUP(A178,Enforcements!$C$7:$K$9,8,0)</f>
        <v>#N/A</v>
      </c>
      <c r="AC178" s="233" t="e">
        <f>VLOOKUP(A178,Enforcements!$C$7:$E$9,3,0)</f>
        <v>#N/A</v>
      </c>
      <c r="AD178" s="244">
        <f>VALUE(LEFT(A178,LEN(A178)-3))</f>
        <v>818</v>
      </c>
      <c r="AE178" s="236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178" s="235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/stypes="app*4059*20171124*" /stext=" 18:.+((SYSTEM_STATE.+slice.+state.+changed )|(ment ac)|(multiple cpu faults)|(system.+state.+changed )|(\[timeout)|(PRM\|1\|D)|(kpr)|(kdp)|(train st.+moving)|(\|lc)|(penalty))"</v>
      </c>
      <c r="AG178" s="245" t="str">
        <f>DetSubdiv(A178)</f>
        <v>NW</v>
      </c>
      <c r="AH178" s="237" t="str">
        <f t="shared" si="15"/>
        <v>"%USERPROFILE%\Documents\GitHub\eaglep3\Utilities\RefineRTDCRunTimes.py" --tripid 818-24 --locoid 4059 --swversion DE.1.0.9.0 --startMP 300:58728 --initTime 2017-11-24T11:28:45 --startdatetime 2017-11-24T11:31:46 --delay 59 --endMP 204:4498 --enddatetime 2017-11-24T11:53:55 --enforcementcount 0 &gt;&gt;%USERPROFILE%\Documents\GitHub\eaglep3-reporting\EC\2017-11-24-refined-times.txt</v>
      </c>
      <c r="AI178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{"issue":{"subject":"","project_id":79,"tracker_id":40,"status_id":1,"priority_id":2,"assigned_to_id":338,"start_date":"2017-11-24","description":"","custom_fields":[{"id":1,"name":"Subdivision","value":"NW"},{"id":4,"name":"Milepost","value":"0.4498"},{"id":17,"name":"Train ID","value":"818-24"},{"id":16,"name":"Locomotive ID","value":"4059"},{"id":130,"name":"Impact","value":""},{"id":150,"name":"Time of Event (Mountain Time)","value":"11:53:55"},{"id":151,"name":"Denver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4"/>
      <c r="AK178" s="232"/>
      <c r="AL178" s="232"/>
      <c r="AM178" s="241" t="str">
        <f t="shared" si="17"/>
        <v>start /low /b %USERPROFILE%\Documents\GitHub\eaglep3\Utilities\DownloadLogsFromS3.py --loco 4059 --day 2017-11-24</v>
      </c>
      <c r="AN178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18:53:55"},{"id":29,"name":"Sharepoint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1" t="str">
        <f t="shared" si="19"/>
        <v>https://d0f6bd738d7f1b3e5a7ca70fe4ff75f0.us-east-1.aws.found.io/app/kibana#/discover/Steve-Slow-Train-Analysis-(2080s-and-2083s)?_g=(refreshInterval:(display:Off,pause:!f,section:0,value:0),time:(from:'2017-11-24T10:28:45-0700',mode:absolute,to:'2017-11-24T12:53:55-0700'))&amp;_a=(columns:!('Message%20ID',Summary),filters:!(),index:'emp_*',interval:auto,query:(query_string:(analyze_wildcard:!t,query:'%22rtdc.l.rtdc.4059%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4" customFormat="1" x14ac:dyDescent="0.25">
      <c r="A179" s="230" t="s">
        <v>1127</v>
      </c>
      <c r="B179" s="226">
        <v>4060</v>
      </c>
      <c r="C179" s="228" t="s">
        <v>192</v>
      </c>
      <c r="D179" s="228" t="s">
        <v>1086</v>
      </c>
      <c r="E179" s="227">
        <v>43063.478298611109</v>
      </c>
      <c r="F179" s="227">
        <f>I177+5/24/60</f>
        <v>43063.458923611106</v>
      </c>
      <c r="G179" s="226">
        <v>59</v>
      </c>
      <c r="H179" s="228" t="s">
        <v>1087</v>
      </c>
      <c r="I179" s="227">
        <f>F179+1/24/60</f>
        <v>43063.459618055553</v>
      </c>
      <c r="J179" s="226">
        <v>0</v>
      </c>
      <c r="K179" s="238" t="str">
        <f>IF(ISEVEN(B179),(B179-1)&amp;"/"&amp;B179,B179&amp;"/"&amp;(B179+1))</f>
        <v>4059/4060</v>
      </c>
      <c r="L179" s="246" t="s">
        <v>1128</v>
      </c>
      <c r="M179" s="225">
        <f>I179-F179</f>
        <v>6.944444467080757E-4</v>
      </c>
      <c r="N179" s="226"/>
      <c r="O179" s="226"/>
      <c r="P179" s="226">
        <f>24*60*SUM($M179:$M179)</f>
        <v>1.000000003259629</v>
      </c>
      <c r="Q179" s="229"/>
      <c r="R179" s="243" t="s">
        <v>1129</v>
      </c>
      <c r="S179" s="250">
        <f>1/IF(AG179="EC",12,1)*SUM(U179:U179)</f>
        <v>0</v>
      </c>
      <c r="T179" s="243" t="str">
        <f>IF(ISEVEN(LEFT(AD179,4)),"Southbound","NorthBound")</f>
        <v>NorthBound</v>
      </c>
      <c r="U179" s="24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0</v>
      </c>
      <c r="V179" s="249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-11-24T10:28:45-0700',mode:absolute,to:'2017-11-24T12:01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9" s="248" t="str">
        <f>IF(AA179&lt;VLOOKUP(AG179,Variables!$AC$3:$AD$8,2,FALSE),"Y","N")</f>
        <v>Y</v>
      </c>
      <c r="X179" s="248">
        <f>VALUE(LEFT(AD179,4))-VALUE(LEFT(AD178,4))</f>
        <v>1</v>
      </c>
      <c r="Y179" s="248">
        <v>0</v>
      </c>
      <c r="Z179" s="248">
        <v>0</v>
      </c>
      <c r="AA179" s="248">
        <f>ABS(Z179-Y179)</f>
        <v>0</v>
      </c>
      <c r="AB179" s="234" t="e">
        <f>VLOOKUP(A179,Enforcements!$C$7:$K$9,8,0)</f>
        <v>#N/A</v>
      </c>
      <c r="AC179" s="233" t="e">
        <f>VLOOKUP(A179,Enforcements!$C$7:$E$9,3,0)</f>
        <v>#N/A</v>
      </c>
      <c r="AD179" s="244">
        <f>VALUE(LEFT(A179,LEN(A179)-3))</f>
        <v>819</v>
      </c>
      <c r="AE179" s="236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179" s="235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/stypes="app*4060*20171124*" /stext=" 18:.+((SYSTEM_STATE.+slice.+state.+changed )|(ment ac)|(multiple cpu faults)|(system.+state.+changed )|(\[timeout)|(PRM\|1\|D)|(kpr)|(kdp)|(train st.+moving)|(\|lc)|(penalty))"</v>
      </c>
      <c r="AG179" s="245" t="str">
        <f>DetSubdiv(A179)</f>
        <v>NW</v>
      </c>
      <c r="AH179" s="237" t="str">
        <f t="shared" ref="AH179" si="35">refinertdcruntimes&amp;" --tripid "&amp;A179&amp;" --locoid "&amp;B179&amp;" --swversion "&amp;C179&amp;" --startMP "&amp;D179&amp;" --initTime "&amp;TEXT(E179,"yyyy-mm-ddTHH:MM:SS")&amp;" --startdatetime "&amp;TEXT(F179,"yyyy-mm-ddTHH:MM:SS")&amp;" --delay "&amp;G179&amp;" --endMP "&amp;H179&amp;" --enddatetime "&amp;TEXT(I179,"yyyy-mm-ddTHH:MM:SS")&amp;" --enforcementcount "&amp;J179&amp;IF(outputrefinedruntimes," &gt;&gt;"&amp;RefinedRTDCRunTimesOutputFile,"")</f>
        <v>"%USERPROFILE%\Documents\GitHub\eaglep3\Utilities\RefineRTDCRunTimes.py" --tripid 819-24 --locoid 4060 --swversion DE.1.0.9.0 --startMP 300:58728 --initTime 2017-11-24T11:28:45 --startdatetime 2017-11-24T11:00:51 --delay 59 --endMP 204:4498 --enddatetime 2017-11-24T11:01:51 --enforcementcount 0 &gt;&gt;%USERPROFILE%\Documents\GitHub\eaglep3-reporting\EC\2017-11-24-refined-times.txt</v>
      </c>
      <c r="AI179" s="239" t="str">
        <f t="shared" ref="AI179" si="36">"echo {""issue"":{""subject"":"""&amp;R179&amp;""",""project_id"":79,""tracker_id"":40,""status_id"":"&amp;redmine_status&amp;",""priority_id"":"&amp;redmine_priority&amp;",""assigned_to_id"":"&amp;redmine_assignee&amp;",""start_date"":"""&amp;TEXT(I179,"YYYY-mm-dd")&amp;""",""description"":"""&amp;AJ179&amp;""",""custom_fields"":[{""id"":1,""name"":""Subdivision"",""value"":"""&amp;AG179&amp;"""},{""id"":4,""name"":""Milepost"",""value"":"""&amp;Z179&amp;"""},{""id"":17,""name"":""Train ID"",""value"":"""&amp;A179&amp;"""},{""id"":16,""name"":""Locomotive ID"",""value"":"""&amp;B179&amp;"""},{""id"":130,""name"":""Impact"",""value"":"""&amp;AK179&amp;"""},{""id"":150,""name"":""Time of Event (Mountain Time)"",""value"":"""&amp;TEXT(I179,"hh:mm:ss")&amp;"""},{""id"":151,""name"":""Denver Issue ID"",""value"":"""&amp;"""},{""id"":178,""name"":""Operational Impact"",""value"":"""&amp;redmine_op_impact&amp;"""},{""id"":179,""name"":""Denver Segment Assigned"",""value"":"""&amp;AL179&amp;"""}]}}"&amp;" | curl --insecure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outage","project_id":79,"tracker_id":40,"status_id":1,"priority_id":2,"assigned_to_id":338,"start_date":"2017-11-24","description":"","custom_fields":[{"id":1,"name":"Subdivision","value":"NW"},{"id":4,"name":"Milepost","value":"0"},{"id":17,"name":"Train ID","value":"819-24"},{"id":16,"name":"Locomotive ID","value":"4060"},{"id":130,"name":"Impact","value":""},{"id":150,"name":"Time of Event (Mountain Time)","value":"11:01:51"},{"id":151,"name":"Denver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2"/>
      <c r="AL179" s="232"/>
      <c r="AM179" s="241" t="str">
        <f t="shared" ref="AM179" si="37">"start /low /b "&amp;dls3logs&amp;" --loco "&amp;B179&amp;" --day "&amp;TEXT(F179,"YYYY-MM-DD")</f>
        <v>start /low /b %USERPROFILE%\Documents\GitHub\eaglep3\Utilities\DownloadLogsFromS3.py --loco 4060 --day 2017-11-24</v>
      </c>
      <c r="AN179" s="242" t="str">
        <f t="shared" ref="AN179" si="38">"echo {""issue"":{""subject"":"""&amp;R179&amp;""",""project_id"":30,""tracker_id"":4,""status_id"":"&amp;redmine_status_wcr&amp;",""priority_id"":"&amp;redmine_priority_wcr&amp;",""assigned_to_id"":"&amp;redmine_assignee_wcr&amp;",""start_date"":"""&amp;TEXT(I179-utc_offset/24,"YYYY-mm-dd")&amp;""",""description"":"""&amp;AJ179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18:01:51"},{"id":29,"name":"Sharepoint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1" t="str">
        <f t="shared" ref="AO179" si="39"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Message%20ID',Summary),filters:!(),index:'emp_*',interval:auto,query:"&amp;"(query_string:(analyze_wildcard:!t,query:'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-11-24T10:28:45-0700',mode:absolute,to:'2017-11-24T12:01:51-0700'))&amp;_a=(columns:!('Message%20ID',Summary),filters:!(),index:'emp_*',interval:auto,query:(query_string:(analyze_wildcard:!t,query:'%22rtdc.l.rtdc.4060%22')),sort:!(Time.ISO8601,asc))</v>
      </c>
    </row>
    <row r="180" spans="1:91" s="20" customFormat="1" x14ac:dyDescent="0.25">
      <c r="A180" s="230" t="s">
        <v>804</v>
      </c>
      <c r="B180" s="226">
        <v>4059</v>
      </c>
      <c r="C180" s="228" t="s">
        <v>192</v>
      </c>
      <c r="D180" s="228" t="s">
        <v>1088</v>
      </c>
      <c r="E180" s="227">
        <v>43063.516145833331</v>
      </c>
      <c r="F180" s="227">
        <v>43063.529861111114</v>
      </c>
      <c r="G180" s="226">
        <v>60</v>
      </c>
      <c r="H180" s="228" t="s">
        <v>536</v>
      </c>
      <c r="I180" s="227">
        <v>43063.539074074077</v>
      </c>
      <c r="J180" s="226">
        <v>0</v>
      </c>
      <c r="K180" s="238" t="str">
        <f>IF(ISEVEN(B180),(B180-1)&amp;"/"&amp;B180,B180&amp;"/"&amp;(B180+1))</f>
        <v>4059/4060</v>
      </c>
      <c r="L180" s="246" t="str">
        <f>VLOOKUP(A180,'Trips&amp;Operators'!$C$1:$G$99911,5,FALSE)</f>
        <v>BEAM ROSS</v>
      </c>
      <c r="M180" s="225">
        <f>I180-F180</f>
        <v>9.2129629629198462E-3</v>
      </c>
      <c r="N180" s="226">
        <f>24*60*SUM($M180:$M180)</f>
        <v>13.266666666604578</v>
      </c>
      <c r="O180" s="226"/>
      <c r="P180" s="226"/>
      <c r="Q180" s="229"/>
      <c r="R180" s="243"/>
      <c r="S180" s="250">
        <f>1/IF(AG180="EC",12,1)*SUM(U180:U180)</f>
        <v>1</v>
      </c>
      <c r="T180" s="243" t="str">
        <f>IF(ISEVEN(LEFT(AD180,4)),"Southbound","NorthBound")</f>
        <v>Southbound</v>
      </c>
      <c r="U180" s="24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9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-11-24T11:23:15-0700',mode:absolute,to:'2017-11-24T13:56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0" s="248" t="str">
        <f>IF(AA180&lt;VLOOKUP(AG180,Variables!$AC$3:$AD$8,2,FALSE),"Y","N")</f>
        <v>N</v>
      </c>
      <c r="X180" s="248">
        <f>VALUE(LEFT(AD180,4))-VALUE(LEFT(AD179,4))</f>
        <v>1</v>
      </c>
      <c r="Y180" s="248">
        <f>RIGHT(D180,LEN(D180)-4)/10000</f>
        <v>5.8678999999999997</v>
      </c>
      <c r="Z180" s="248">
        <f>RIGHT(H180,LEN(H180)-4)/10000</f>
        <v>8.3400000000000002E-2</v>
      </c>
      <c r="AA180" s="248">
        <f>ABS(Z180-Y180)</f>
        <v>5.7844999999999995</v>
      </c>
      <c r="AB180" s="234" t="e">
        <f>VLOOKUP(A180,Enforcements!$C$7:$K$9,8,0)</f>
        <v>#N/A</v>
      </c>
      <c r="AC180" s="233" t="e">
        <f>VLOOKUP(A180,Enforcements!$C$7:$E$9,3,0)</f>
        <v>#N/A</v>
      </c>
      <c r="AD180" s="244">
        <f>VALUE(LEFT(A180,LEN(A180)-3))</f>
        <v>820</v>
      </c>
      <c r="AE180" s="236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180" s="235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/stypes="app*4059*20171124*" /stext=" 19:.+((SYSTEM_STATE.+slice.+state.+changed )|(ment ac)|(multiple cpu faults)|(system.+state.+changed )|(\[timeout)|(PRM\|1\|D)|(kpr)|(kdp)|(train st.+moving)|(\|lc)|(penalty))"</v>
      </c>
      <c r="AG180" s="245" t="str">
        <f>DetSubdiv(A180)</f>
        <v>NW</v>
      </c>
      <c r="AH180" s="237" t="str">
        <f t="shared" si="15"/>
        <v>"%USERPROFILE%\Documents\GitHub\eaglep3\Utilities\RefineRTDCRunTimes.py" --tripid 820-24 --locoid 4059 --swversion DE.1.0.9.0 --startMP 300:58679 --initTime 2017-11-24T12:23:15 --startdatetime 2017-11-24T12:43:00 --delay 60 --endMP 204:834 --enddatetime 2017-11-24T12:56:16 --enforcementcount 0 &gt;&gt;%USERPROFILE%\Documents\GitHub\eaglep3-reporting\EC\2017-11-24-refined-times.txt</v>
      </c>
      <c r="AI180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{"issue":{"subject":"","project_id":79,"tracker_id":40,"status_id":1,"priority_id":2,"assigned_to_id":338,"start_date":"2017-11-24","description":"","custom_fields":[{"id":1,"name":"Subdivision","value":"NW"},{"id":4,"name":"Milepost","value":"0.0834"},{"id":17,"name":"Train ID","value":"820-24"},{"id":16,"name":"Locomotive ID","value":"4059"},{"id":130,"name":"Impact","value":""},{"id":150,"name":"Time of Event (Mountain Time)","value":"12:56:16"},{"id":151,"name":"Denver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4"/>
      <c r="AK180" s="232"/>
      <c r="AL180" s="232"/>
      <c r="AM180" s="241" t="str">
        <f t="shared" si="17"/>
        <v>start /low /b %USERPROFILE%\Documents\GitHub\eaglep3\Utilities\DownloadLogsFromS3.py --loco 4059 --day 2017-11-24</v>
      </c>
      <c r="AN180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19:56:16"},{"id":29,"name":"Sharepoint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1" t="str">
        <f t="shared" si="19"/>
        <v>https://d0f6bd738d7f1b3e5a7ca70fe4ff75f0.us-east-1.aws.found.io/app/kibana#/discover/Steve-Slow-Train-Analysis-(2080s-and-2083s)?_g=(refreshInterval:(display:Off,pause:!f,section:0,value:0),time:(from:'2017-11-24T11:23:15-0700',mode:absolute,to:'2017-11-24T13:56:16-0700'))&amp;_a=(columns:!('Message%20ID',Summary),filters:!(),index:'emp_*',interval:auto,query:(query_string:(analyze_wildcard:!t,query:'%22rtdc.l.rtdc.4059%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30" t="s">
        <v>810</v>
      </c>
      <c r="B181" s="226">
        <v>4060</v>
      </c>
      <c r="C181" s="228" t="s">
        <v>192</v>
      </c>
      <c r="D181" s="228" t="s">
        <v>1089</v>
      </c>
      <c r="E181" s="227">
        <v>43063.540543981479</v>
      </c>
      <c r="F181" s="227">
        <v>43063.548090277778</v>
      </c>
      <c r="G181" s="226">
        <v>112</v>
      </c>
      <c r="H181" s="228" t="s">
        <v>645</v>
      </c>
      <c r="I181" s="227">
        <v>43063.557824074072</v>
      </c>
      <c r="J181" s="226">
        <v>0</v>
      </c>
      <c r="K181" s="238" t="str">
        <f>IF(ISEVEN(B181),(B181-1)&amp;"/"&amp;B181,B181&amp;"/"&amp;(B181+1))</f>
        <v>4059/4060</v>
      </c>
      <c r="L181" s="246" t="str">
        <f>VLOOKUP(A181,'Trips&amp;Operators'!$C$1:$G$99911,5,FALSE)</f>
        <v>BERLING GARY</v>
      </c>
      <c r="M181" s="225">
        <f>I181-F181</f>
        <v>9.7337962943129241E-3</v>
      </c>
      <c r="N181" s="226">
        <f>24*60*SUM($M181:$M181)</f>
        <v>14.016666663810611</v>
      </c>
      <c r="O181" s="226"/>
      <c r="P181" s="226"/>
      <c r="Q181" s="229"/>
      <c r="R181" s="243"/>
      <c r="S181" s="250">
        <f>1/IF(AG181="EC",12,1)*SUM(U181:U181)</f>
        <v>1</v>
      </c>
      <c r="T181" s="243" t="str">
        <f>IF(ISEVEN(LEFT(AD181,4)),"Southbound","NorthBound")</f>
        <v>NorthBound</v>
      </c>
      <c r="U181" s="24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9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-11-24T11:58:23-0700',mode:absolute,to:'2017-11-24T14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1" s="248" t="str">
        <f>IF(AA181&lt;VLOOKUP(AG181,Variables!$AC$3:$AD$8,2,FALSE),"Y","N")</f>
        <v>N</v>
      </c>
      <c r="X181" s="248">
        <f>VALUE(LEFT(AD181,4))-VALUE(LEFT(AD180,4))</f>
        <v>1</v>
      </c>
      <c r="Y181" s="248">
        <f>RIGHT(D181,LEN(D181)-4)/10000</f>
        <v>0.1118</v>
      </c>
      <c r="Z181" s="248">
        <f>RIGHT(H181,LEN(H181)-4)/10000</f>
        <v>5.8968999999999996</v>
      </c>
      <c r="AA181" s="248">
        <f>ABS(Z181-Y181)</f>
        <v>5.7850999999999999</v>
      </c>
      <c r="AB181" s="234" t="e">
        <f>VLOOKUP(A181,Enforcements!$C$7:$K$9,8,0)</f>
        <v>#N/A</v>
      </c>
      <c r="AC181" s="233" t="e">
        <f>VLOOKUP(A181,Enforcements!$C$7:$E$9,3,0)</f>
        <v>#N/A</v>
      </c>
      <c r="AD181" s="244">
        <f>VALUE(LEFT(A181,LEN(A181)-3))</f>
        <v>821</v>
      </c>
      <c r="AE181" s="236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181" s="235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/stypes="app*4060*20171124*" /stext=" 20:.+((SYSTEM_STATE.+slice.+state.+changed )|(ment ac)|(multiple cpu faults)|(system.+state.+changed )|(\[timeout)|(PRM\|1\|D)|(kpr)|(kdp)|(train st.+moving)|(\|lc)|(penalty))"</v>
      </c>
      <c r="AG181" s="245" t="str">
        <f>DetSubdiv(A181)</f>
        <v>NW</v>
      </c>
      <c r="AH181" s="237" t="str">
        <f t="shared" si="15"/>
        <v>"%USERPROFILE%\Documents\GitHub\eaglep3\Utilities\RefineRTDCRunTimes.py" --tripid 821-24 --locoid 4060 --swversion DE.1.0.9.0 --startMP 204:1118 --initTime 2017-11-24T12:58:23 --startdatetime 2017-11-24T13:09:15 --delay 112 --endMP 300:58969 --enddatetime 2017-11-24T13:23:16 --enforcementcount 0 &gt;&gt;%USERPROFILE%\Documents\GitHub\eaglep3-reporting\EC\2017-11-24-refined-times.txt</v>
      </c>
      <c r="AI181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{"issue":{"subject":"","project_id":79,"tracker_id":40,"status_id":1,"priority_id":2,"assigned_to_id":338,"start_date":"2017-11-24","description":"","custom_fields":[{"id":1,"name":"Subdivision","value":"NW"},{"id":4,"name":"Milepost","value":"5.8969"},{"id":17,"name":"Train ID","value":"821-24"},{"id":16,"name":"Locomotive ID","value":"4060"},{"id":130,"name":"Impact","value":""},{"id":150,"name":"Time of Event (Mountain Time)","value":"13:23:16"},{"id":151,"name":"Denver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4"/>
      <c r="AK181" s="232"/>
      <c r="AL181" s="232"/>
      <c r="AM181" s="241" t="str">
        <f t="shared" si="17"/>
        <v>start /low /b %USERPROFILE%\Documents\GitHub\eaglep3\Utilities\DownloadLogsFromS3.py --loco 4060 --day 2017-11-24</v>
      </c>
      <c r="AN181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20:23:16"},{"id":29,"name":"Sharepoint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1" t="str">
        <f t="shared" si="19"/>
        <v>https://d0f6bd738d7f1b3e5a7ca70fe4ff75f0.us-east-1.aws.found.io/app/kibana#/discover/Steve-Slow-Train-Analysis-(2080s-and-2083s)?_g=(refreshInterval:(display:Off,pause:!f,section:0,value:0),time:(from:'2017-11-24T11:58:23-0700',mode:absolute,to:'2017-11-24T14:23:16-0700'))&amp;_a=(columns:!('Message%20ID',Summary),filters:!(),index:'emp_*',interval:auto,query:(query_string:(analyze_wildcard:!t,query:'%22rtdc.l.rtdc.4060%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30" t="s">
        <v>817</v>
      </c>
      <c r="B182" s="226">
        <v>4059</v>
      </c>
      <c r="C182" s="228" t="s">
        <v>192</v>
      </c>
      <c r="D182" s="228" t="s">
        <v>633</v>
      </c>
      <c r="E182" s="227">
        <v>43063.55914351852</v>
      </c>
      <c r="F182" s="227">
        <v>43063.571527777778</v>
      </c>
      <c r="G182" s="226">
        <v>149</v>
      </c>
      <c r="H182" s="228" t="s">
        <v>1090</v>
      </c>
      <c r="I182" s="227">
        <v>43063.579571759263</v>
      </c>
      <c r="J182" s="226">
        <v>0</v>
      </c>
      <c r="K182" s="238" t="str">
        <f>IF(ISEVEN(B182),(B182-1)&amp;"/"&amp;B182,B182&amp;"/"&amp;(B182+1))</f>
        <v>4059/4060</v>
      </c>
      <c r="L182" s="246" t="str">
        <f>VLOOKUP(A182,'Trips&amp;Operators'!$C$1:$G$99911,5,FALSE)</f>
        <v>BERLING GARY</v>
      </c>
      <c r="M182" s="225">
        <f>I182-F182</f>
        <v>8.0439814846613444E-3</v>
      </c>
      <c r="N182" s="226">
        <f>24*60*SUM($M182:$M182)</f>
        <v>11.583333337912336</v>
      </c>
      <c r="O182" s="226"/>
      <c r="P182" s="226"/>
      <c r="Q182" s="229"/>
      <c r="R182" s="243"/>
      <c r="S182" s="250">
        <f>1/IF(AG182="EC",12,1)*SUM(U182:U182)</f>
        <v>1</v>
      </c>
      <c r="T182" s="243" t="str">
        <f>IF(ISEVEN(LEFT(AD182,4)),"Southbound","NorthBound")</f>
        <v>Southbound</v>
      </c>
      <c r="U182" s="24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9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-11-24T12:25:10-0700',mode:absolute,to:'2017-11-24T14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2" s="248" t="str">
        <f>IF(AA182&lt;VLOOKUP(AG182,Variables!$AC$3:$AD$8,2,FALSE),"Y","N")</f>
        <v>N</v>
      </c>
      <c r="X182" s="248">
        <f>VALUE(LEFT(AD182,4))-VALUE(LEFT(AD181,4))</f>
        <v>1</v>
      </c>
      <c r="Y182" s="248">
        <f>RIGHT(D182,LEN(D182)-4)/10000</f>
        <v>5.8653000000000004</v>
      </c>
      <c r="Z182" s="248">
        <f>RIGHT(H182,LEN(H182)-4)/10000</f>
        <v>8.1799999999999998E-2</v>
      </c>
      <c r="AA182" s="248">
        <f>ABS(Z182-Y182)</f>
        <v>5.7835000000000001</v>
      </c>
      <c r="AB182" s="234" t="e">
        <f>VLOOKUP(A182,Enforcements!$C$7:$K$9,8,0)</f>
        <v>#N/A</v>
      </c>
      <c r="AC182" s="233" t="e">
        <f>VLOOKUP(A182,Enforcements!$C$7:$E$9,3,0)</f>
        <v>#N/A</v>
      </c>
      <c r="AD182" s="244">
        <f>VALUE(LEFT(A182,LEN(A182)-3))</f>
        <v>822</v>
      </c>
      <c r="AE182" s="236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182" s="235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/stypes="app*4059*20171124*" /stext=" 20:.+((SYSTEM_STATE.+slice.+state.+changed )|(ment ac)|(multiple cpu faults)|(system.+state.+changed )|(\[timeout)|(PRM\|1\|D)|(kpr)|(kdp)|(train st.+moving)|(\|lc)|(penalty))"</v>
      </c>
      <c r="AG182" s="245" t="str">
        <f>DetSubdiv(A182)</f>
        <v>NW</v>
      </c>
      <c r="AH182" s="237" t="str">
        <f t="shared" si="15"/>
        <v>"%USERPROFILE%\Documents\GitHub\eaglep3\Utilities\RefineRTDCRunTimes.py" --tripid 822-24 --locoid 4059 --swversion DE.1.0.9.0 --startMP 300:58653 --initTime 2017-11-24T13:25:10 --startdatetime 2017-11-24T13:43:00 --delay 149 --endMP 204:818 --enddatetime 2017-11-24T13:54:35 --enforcementcount 0 &gt;&gt;%USERPROFILE%\Documents\GitHub\eaglep3-reporting\EC\2017-11-24-refined-times.txt</v>
      </c>
      <c r="AI182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{"issue":{"subject":"","project_id":79,"tracker_id":40,"status_id":1,"priority_id":2,"assigned_to_id":338,"start_date":"2017-11-24","description":"","custom_fields":[{"id":1,"name":"Subdivision","value":"NW"},{"id":4,"name":"Milepost","value":"0.0818"},{"id":17,"name":"Train ID","value":"822-24"},{"id":16,"name":"Locomotive ID","value":"4059"},{"id":130,"name":"Impact","value":""},{"id":150,"name":"Time of Event (Mountain Time)","value":"13:54:35"},{"id":151,"name":"Denver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4"/>
      <c r="AK182" s="232"/>
      <c r="AL182" s="232"/>
      <c r="AM182" s="241" t="str">
        <f t="shared" si="17"/>
        <v>start /low /b %USERPROFILE%\Documents\GitHub\eaglep3\Utilities\DownloadLogsFromS3.py --loco 4059 --day 2017-11-24</v>
      </c>
      <c r="AN182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20:54:35"},{"id":29,"name":"Sharepoint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1" t="str">
        <f t="shared" si="19"/>
        <v>https://d0f6bd738d7f1b3e5a7ca70fe4ff75f0.us-east-1.aws.found.io/app/kibana#/discover/Steve-Slow-Train-Analysis-(2080s-and-2083s)?_g=(refreshInterval:(display:Off,pause:!f,section:0,value:0),time:(from:'2017-11-24T12:25:10-0700',mode:absolute,to:'2017-11-24T14:54:35-0700'))&amp;_a=(columns:!('Message%20ID',Summary),filters:!(),index:'emp_*',interval:auto,query:(query_string:(analyze_wildcard:!t,query:'%22rtdc.l.rtdc.4059%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30" t="s">
        <v>824</v>
      </c>
      <c r="B183" s="226">
        <v>4060</v>
      </c>
      <c r="C183" s="228" t="s">
        <v>192</v>
      </c>
      <c r="D183" s="228" t="s">
        <v>1091</v>
      </c>
      <c r="E183" s="227">
        <v>43063.585196759261</v>
      </c>
      <c r="F183" s="227">
        <v>43063.589745370373</v>
      </c>
      <c r="G183" s="226">
        <v>64</v>
      </c>
      <c r="H183" s="228" t="s">
        <v>636</v>
      </c>
      <c r="I183" s="227">
        <v>43063.599664351852</v>
      </c>
      <c r="J183" s="226">
        <v>0</v>
      </c>
      <c r="K183" s="238" t="str">
        <f>IF(ISEVEN(B183),(B183-1)&amp;"/"&amp;B183,B183&amp;"/"&amp;(B183+1))</f>
        <v>4059/4060</v>
      </c>
      <c r="L183" s="246" t="str">
        <f>VLOOKUP(A183,'Trips&amp;Operators'!$C$1:$G$99911,5,FALSE)</f>
        <v>BERLING GARY</v>
      </c>
      <c r="M183" s="225">
        <f>I183-F183</f>
        <v>9.9189814791316167E-3</v>
      </c>
      <c r="N183" s="226">
        <f>24*60*SUM($M183:$M183)</f>
        <v>14.283333329949528</v>
      </c>
      <c r="O183" s="226"/>
      <c r="P183" s="226"/>
      <c r="Q183" s="229"/>
      <c r="R183" s="243"/>
      <c r="S183" s="250">
        <f>1/IF(AG183="EC",12,1)*SUM(U183:U183)</f>
        <v>1</v>
      </c>
      <c r="T183" s="243" t="str">
        <f>IF(ISEVEN(LEFT(AD183,4)),"Southbound","NorthBound")</f>
        <v>NorthBound</v>
      </c>
      <c r="U183" s="24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9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-11-24T13:02:41-0700',mode:absolute,to:'2017-11-24T15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3" s="248" t="str">
        <f>IF(AA183&lt;VLOOKUP(AG183,Variables!$AC$3:$AD$8,2,FALSE),"Y","N")</f>
        <v>N</v>
      </c>
      <c r="X183" s="248">
        <f>VALUE(LEFT(AD183,4))-VALUE(LEFT(AD182,4))</f>
        <v>1</v>
      </c>
      <c r="Y183" s="248">
        <f>RIGHT(D183,LEN(D183)-4)/10000</f>
        <v>0.1109</v>
      </c>
      <c r="Z183" s="248">
        <f>RIGHT(H183,LEN(H183)-4)/10000</f>
        <v>5.8973000000000004</v>
      </c>
      <c r="AA183" s="248">
        <f>ABS(Z183-Y183)</f>
        <v>5.7864000000000004</v>
      </c>
      <c r="AB183" s="234" t="e">
        <f>VLOOKUP(A183,Enforcements!$C$7:$K$9,8,0)</f>
        <v>#N/A</v>
      </c>
      <c r="AC183" s="233" t="e">
        <f>VLOOKUP(A183,Enforcements!$C$7:$E$9,3,0)</f>
        <v>#N/A</v>
      </c>
      <c r="AD183" s="244">
        <f>VALUE(LEFT(A183,LEN(A183)-3))</f>
        <v>823</v>
      </c>
      <c r="AE183" s="236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183" s="235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/stypes="app*4060*20171124*" /stext=" 21:.+((SYSTEM_STATE.+slice.+state.+changed )|(ment ac)|(multiple cpu faults)|(system.+state.+changed )|(\[timeout)|(PRM\|1\|D)|(kpr)|(kdp)|(train st.+moving)|(\|lc)|(penalty))"</v>
      </c>
      <c r="AG183" s="245" t="str">
        <f>DetSubdiv(A183)</f>
        <v>NW</v>
      </c>
      <c r="AH183" s="237" t="str">
        <f t="shared" si="15"/>
        <v>"%USERPROFILE%\Documents\GitHub\eaglep3\Utilities\RefineRTDCRunTimes.py" --tripid 823-24 --locoid 4060 --swversion DE.1.0.9.0 --startMP 204:1109 --initTime 2017-11-24T14:02:41 --startdatetime 2017-11-24T14:09:14 --delay 64 --endMP 300:58973 --enddatetime 2017-11-24T14:23:31 --enforcementcount 0 &gt;&gt;%USERPROFILE%\Documents\GitHub\eaglep3-reporting\EC\2017-11-24-refined-times.txt</v>
      </c>
      <c r="AI183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{"issue":{"subject":"","project_id":79,"tracker_id":40,"status_id":1,"priority_id":2,"assigned_to_id":338,"start_date":"2017-11-24","description":"","custom_fields":[{"id":1,"name":"Subdivision","value":"NW"},{"id":4,"name":"Milepost","value":"5.8973"},{"id":17,"name":"Train ID","value":"823-24"},{"id":16,"name":"Locomotive ID","value":"4060"},{"id":130,"name":"Impact","value":""},{"id":150,"name":"Time of Event (Mountain Time)","value":"14:23:31"},{"id":151,"name":"Denver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4"/>
      <c r="AK183" s="232"/>
      <c r="AL183" s="232"/>
      <c r="AM183" s="241" t="str">
        <f t="shared" si="17"/>
        <v>start /low /b %USERPROFILE%\Documents\GitHub\eaglep3\Utilities\DownloadLogsFromS3.py --loco 4060 --day 2017-11-24</v>
      </c>
      <c r="AN183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21:23:31"},{"id":29,"name":"Sharepoint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1" t="str">
        <f t="shared" si="19"/>
        <v>https://d0f6bd738d7f1b3e5a7ca70fe4ff75f0.us-east-1.aws.found.io/app/kibana#/discover/Steve-Slow-Train-Analysis-(2080s-and-2083s)?_g=(refreshInterval:(display:Off,pause:!f,section:0,value:0),time:(from:'2017-11-24T13:02:41-0700',mode:absolute,to:'2017-11-24T15:23:31-0700'))&amp;_a=(columns:!('Message%20ID',Summary),filters:!(),index:'emp_*',interval:auto,query:(query_string:(analyze_wildcard:!t,query:'%22rtdc.l.rtdc.4060%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30" t="s">
        <v>829</v>
      </c>
      <c r="B184" s="226">
        <v>4059</v>
      </c>
      <c r="C184" s="228" t="s">
        <v>192</v>
      </c>
      <c r="D184" s="228" t="s">
        <v>646</v>
      </c>
      <c r="E184" s="227">
        <v>43063.601041666669</v>
      </c>
      <c r="F184" s="227">
        <v>43063.613194444442</v>
      </c>
      <c r="G184" s="226">
        <v>63</v>
      </c>
      <c r="H184" s="228" t="s">
        <v>643</v>
      </c>
      <c r="I184" s="227">
        <v>43063.621145833335</v>
      </c>
      <c r="J184" s="226">
        <v>0</v>
      </c>
      <c r="K184" s="238" t="str">
        <f>IF(ISEVEN(B184),(B184-1)&amp;"/"&amp;B184,B184&amp;"/"&amp;(B184+1))</f>
        <v>4059/4060</v>
      </c>
      <c r="L184" s="246" t="str">
        <f>VLOOKUP(A184,'Trips&amp;Operators'!$C$1:$G$99911,5,FALSE)</f>
        <v>BERLING GARY</v>
      </c>
      <c r="M184" s="225">
        <f>I184-F184</f>
        <v>7.9513888922519982E-3</v>
      </c>
      <c r="N184" s="226">
        <f>24*60*SUM($M184:$M184)</f>
        <v>11.450000004842877</v>
      </c>
      <c r="O184" s="226"/>
      <c r="P184" s="226"/>
      <c r="Q184" s="229"/>
      <c r="R184" s="243"/>
      <c r="S184" s="250">
        <f>1/IF(AG184="EC",12,1)*SUM(U184:U184)</f>
        <v>1</v>
      </c>
      <c r="T184" s="243" t="str">
        <f>IF(ISEVEN(LEFT(AD184,4)),"Southbound","NorthBound")</f>
        <v>Southbound</v>
      </c>
      <c r="U184" s="24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9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-11-24T13:25:30-0700',mode:absolute,to:'2017-11-24T15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4" s="248" t="str">
        <f>IF(AA184&lt;VLOOKUP(AG184,Variables!$AC$3:$AD$8,2,FALSE),"Y","N")</f>
        <v>N</v>
      </c>
      <c r="X184" s="248">
        <f>VALUE(LEFT(AD184,4))-VALUE(LEFT(AD183,4))</f>
        <v>1</v>
      </c>
      <c r="Y184" s="248">
        <f>RIGHT(D184,LEN(D184)-4)/10000</f>
        <v>5.8655999999999997</v>
      </c>
      <c r="Z184" s="248">
        <f>RIGHT(H184,LEN(H184)-4)/10000</f>
        <v>8.2699999999999996E-2</v>
      </c>
      <c r="AA184" s="248">
        <f>ABS(Z184-Y184)</f>
        <v>5.7828999999999997</v>
      </c>
      <c r="AB184" s="234" t="e">
        <f>VLOOKUP(A184,Enforcements!$C$7:$K$9,8,0)</f>
        <v>#N/A</v>
      </c>
      <c r="AC184" s="233" t="e">
        <f>VLOOKUP(A184,Enforcements!$C$7:$E$9,3,0)</f>
        <v>#N/A</v>
      </c>
      <c r="AD184" s="244">
        <f>VALUE(LEFT(A184,LEN(A184)-3))</f>
        <v>824</v>
      </c>
      <c r="AE184" s="236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184" s="235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/stypes="app*4059*20171124*" /stext=" 21:.+((SYSTEM_STATE.+slice.+state.+changed )|(ment ac)|(multiple cpu faults)|(system.+state.+changed )|(\[timeout)|(PRM\|1\|D)|(kpr)|(kdp)|(train st.+moving)|(\|lc)|(penalty))"</v>
      </c>
      <c r="AG184" s="245" t="str">
        <f>DetSubdiv(A184)</f>
        <v>NW</v>
      </c>
      <c r="AH184" s="237" t="str">
        <f t="shared" si="15"/>
        <v>"%USERPROFILE%\Documents\GitHub\eaglep3\Utilities\RefineRTDCRunTimes.py" --tripid 824-24 --locoid 4059 --swversion DE.1.0.9.0 --startMP 300:58656 --initTime 2017-11-24T14:25:30 --startdatetime 2017-11-24T14:43:00 --delay 63 --endMP 204:827 --enddatetime 2017-11-24T14:54:27 --enforcementcount 0 &gt;&gt;%USERPROFILE%\Documents\GitHub\eaglep3-reporting\EC\2017-11-24-refined-times.txt</v>
      </c>
      <c r="AI184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{"issue":{"subject":"","project_id":79,"tracker_id":40,"status_id":1,"priority_id":2,"assigned_to_id":338,"start_date":"2017-11-24","description":"","custom_fields":[{"id":1,"name":"Subdivision","value":"NW"},{"id":4,"name":"Milepost","value":"0.0827"},{"id":17,"name":"Train ID","value":"824-24"},{"id":16,"name":"Locomotive ID","value":"4059"},{"id":130,"name":"Impact","value":""},{"id":150,"name":"Time of Event (Mountain Time)","value":"14:54:27"},{"id":151,"name":"Denver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4"/>
      <c r="AK184" s="232"/>
      <c r="AL184" s="232"/>
      <c r="AM184" s="241" t="str">
        <f t="shared" si="17"/>
        <v>start /low /b %USERPROFILE%\Documents\GitHub\eaglep3\Utilities\DownloadLogsFromS3.py --loco 4059 --day 2017-11-24</v>
      </c>
      <c r="AN184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21:54:27"},{"id":29,"name":"Sharepoint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1" t="str">
        <f t="shared" si="19"/>
        <v>https://d0f6bd738d7f1b3e5a7ca70fe4ff75f0.us-east-1.aws.found.io/app/kibana#/discover/Steve-Slow-Train-Analysis-(2080s-and-2083s)?_g=(refreshInterval:(display:Off,pause:!f,section:0,value:0),time:(from:'2017-11-24T13:25:30-0700',mode:absolute,to:'2017-11-24T15:54:27-0700'))&amp;_a=(columns:!('Message%20ID',Summary),filters:!(),index:'emp_*',interval:auto,query:(query_string:(analyze_wildcard:!t,query:'%22rtdc.l.rtdc.4059%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30" t="s">
        <v>833</v>
      </c>
      <c r="B185" s="226">
        <v>4060</v>
      </c>
      <c r="C185" s="228" t="s">
        <v>192</v>
      </c>
      <c r="D185" s="228" t="s">
        <v>1084</v>
      </c>
      <c r="E185" s="227">
        <v>43063.625960648147</v>
      </c>
      <c r="F185" s="227">
        <v>43063.63144675926</v>
      </c>
      <c r="G185" s="226">
        <v>74</v>
      </c>
      <c r="H185" s="228" t="s">
        <v>637</v>
      </c>
      <c r="I185" s="227">
        <v>43063.641365740739</v>
      </c>
      <c r="J185" s="226">
        <v>0</v>
      </c>
      <c r="K185" s="238" t="str">
        <f>IF(ISEVEN(B185),(B185-1)&amp;"/"&amp;B185,B185&amp;"/"&amp;(B185+1))</f>
        <v>4059/4060</v>
      </c>
      <c r="L185" s="246" t="str">
        <f>VLOOKUP(A185,'Trips&amp;Operators'!$C$1:$G$99911,5,FALSE)</f>
        <v>BERLING GARY</v>
      </c>
      <c r="M185" s="225">
        <f>I185-F185</f>
        <v>9.9189814791316167E-3</v>
      </c>
      <c r="N185" s="226">
        <f>24*60*SUM($M185:$M185)</f>
        <v>14.283333329949528</v>
      </c>
      <c r="O185" s="226"/>
      <c r="P185" s="226"/>
      <c r="Q185" s="229"/>
      <c r="R185" s="243"/>
      <c r="S185" s="250">
        <f>1/IF(AG185="EC",12,1)*SUM(U185:U185)</f>
        <v>1</v>
      </c>
      <c r="T185" s="243" t="str">
        <f>IF(ISEVEN(LEFT(AD185,4)),"Southbound","NorthBound")</f>
        <v>NorthBound</v>
      </c>
      <c r="U185" s="24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9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-11-24T14:01:23-0700',mode:absolute,to:'2017-11-24T16:23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5" s="248" t="str">
        <f>IF(AA185&lt;VLOOKUP(AG185,Variables!$AC$3:$AD$8,2,FALSE),"Y","N")</f>
        <v>N</v>
      </c>
      <c r="X185" s="248">
        <f>VALUE(LEFT(AD185,4))-VALUE(LEFT(AD184,4))</f>
        <v>1</v>
      </c>
      <c r="Y185" s="248">
        <f>RIGHT(D185,LEN(D185)-4)/10000</f>
        <v>0.10970000000000001</v>
      </c>
      <c r="Z185" s="248">
        <f>RIGHT(H185,LEN(H185)-4)/10000</f>
        <v>5.8959999999999999</v>
      </c>
      <c r="AA185" s="248">
        <f>ABS(Z185-Y185)</f>
        <v>5.7862999999999998</v>
      </c>
      <c r="AB185" s="234" t="e">
        <f>VLOOKUP(A185,Enforcements!$C$7:$K$9,8,0)</f>
        <v>#N/A</v>
      </c>
      <c r="AC185" s="233" t="e">
        <f>VLOOKUP(A185,Enforcements!$C$7:$E$9,3,0)</f>
        <v>#N/A</v>
      </c>
      <c r="AD185" s="244">
        <f>VALUE(LEFT(A185,LEN(A185)-3))</f>
        <v>825</v>
      </c>
      <c r="AE185" s="236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185" s="235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/stypes="app*4060*20171124*" /stext=" 22:.+((SYSTEM_STATE.+slice.+state.+changed )|(ment ac)|(multiple cpu faults)|(system.+state.+changed )|(\[timeout)|(PRM\|1\|D)|(kpr)|(kdp)|(train st.+moving)|(\|lc)|(penalty))"</v>
      </c>
      <c r="AG185" s="245" t="str">
        <f>DetSubdiv(A185)</f>
        <v>NW</v>
      </c>
      <c r="AH185" s="237" t="str">
        <f t="shared" si="15"/>
        <v>"%USERPROFILE%\Documents\GitHub\eaglep3\Utilities\RefineRTDCRunTimes.py" --tripid 825-24 --locoid 4060 --swversion DE.1.0.9.0 --startMP 204:1097 --initTime 2017-11-24T15:01:23 --startdatetime 2017-11-24T15:09:17 --delay 74 --endMP 300:58960 --enddatetime 2017-11-24T15:23:34 --enforcementcount 0 &gt;&gt;%USERPROFILE%\Documents\GitHub\eaglep3-reporting\EC\2017-11-24-refined-times.txt</v>
      </c>
      <c r="AI185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{"issue":{"subject":"","project_id":79,"tracker_id":40,"status_id":1,"priority_id":2,"assigned_to_id":338,"start_date":"2017-11-24","description":"","custom_fields":[{"id":1,"name":"Subdivision","value":"NW"},{"id":4,"name":"Milepost","value":"5.896"},{"id":17,"name":"Train ID","value":"825-24"},{"id":16,"name":"Locomotive ID","value":"4060"},{"id":130,"name":"Impact","value":""},{"id":150,"name":"Time of Event (Mountain Time)","value":"15:23:34"},{"id":151,"name":"Denver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4"/>
      <c r="AK185" s="232"/>
      <c r="AL185" s="232"/>
      <c r="AM185" s="241" t="str">
        <f t="shared" si="17"/>
        <v>start /low /b %USERPROFILE%\Documents\GitHub\eaglep3\Utilities\DownloadLogsFromS3.py --loco 4060 --day 2017-11-24</v>
      </c>
      <c r="AN185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22:23:34"},{"id":29,"name":"Sharepoint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1" t="str">
        <f t="shared" si="19"/>
        <v>https://d0f6bd738d7f1b3e5a7ca70fe4ff75f0.us-east-1.aws.found.io/app/kibana#/discover/Steve-Slow-Train-Analysis-(2080s-and-2083s)?_g=(refreshInterval:(display:Off,pause:!f,section:0,value:0),time:(from:'2017-11-24T14:01:23-0700',mode:absolute,to:'2017-11-24T16:23:34-0700'))&amp;_a=(columns:!('Message%20ID',Summary),filters:!(),index:'emp_*',interval:auto,query:(query_string:(analyze_wildcard:!t,query:'%22rtdc.l.rtdc.4060%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30" t="s">
        <v>840</v>
      </c>
      <c r="B186" s="226">
        <v>4059</v>
      </c>
      <c r="C186" s="228" t="s">
        <v>192</v>
      </c>
      <c r="D186" s="228" t="s">
        <v>641</v>
      </c>
      <c r="E186" s="227">
        <v>43063.64334490741</v>
      </c>
      <c r="F186" s="227">
        <v>43063.654861111114</v>
      </c>
      <c r="G186" s="226">
        <v>91</v>
      </c>
      <c r="H186" s="228" t="s">
        <v>1092</v>
      </c>
      <c r="I186" s="227">
        <v>43063.662824074076</v>
      </c>
      <c r="J186" s="226">
        <v>0</v>
      </c>
      <c r="K186" s="238" t="str">
        <f>IF(ISEVEN(B186),(B186-1)&amp;"/"&amp;B186,B186&amp;"/"&amp;(B186+1))</f>
        <v>4059/4060</v>
      </c>
      <c r="L186" s="246" t="str">
        <f>VLOOKUP(A186,'Trips&amp;Operators'!$C$1:$G$99911,5,FALSE)</f>
        <v>BERLING GARY</v>
      </c>
      <c r="M186" s="225">
        <f>I186-F186</f>
        <v>7.962962961755693E-3</v>
      </c>
      <c r="N186" s="226">
        <f>24*60*SUM($M186:$M186)</f>
        <v>11.466666664928198</v>
      </c>
      <c r="O186" s="226"/>
      <c r="P186" s="226"/>
      <c r="Q186" s="229"/>
      <c r="R186" s="243"/>
      <c r="S186" s="250">
        <f>1/IF(AG186="EC",12,1)*SUM(U186:U186)</f>
        <v>1</v>
      </c>
      <c r="T186" s="243" t="str">
        <f>IF(ISEVEN(LEFT(AD186,4)),"Southbound","NorthBound")</f>
        <v>Southbound</v>
      </c>
      <c r="U186" s="24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9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-11-24T14:26:25-0700',mode:absolute,to:'2017-11-24T16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6" s="248" t="str">
        <f>IF(AA186&lt;VLOOKUP(AG186,Variables!$AC$3:$AD$8,2,FALSE),"Y","N")</f>
        <v>N</v>
      </c>
      <c r="X186" s="248">
        <f>VALUE(LEFT(AD186,4))-VALUE(LEFT(AD185,4))</f>
        <v>1</v>
      </c>
      <c r="Y186" s="248">
        <f>RIGHT(D186,LEN(D186)-4)/10000</f>
        <v>5.8640999999999996</v>
      </c>
      <c r="Z186" s="248">
        <f>RIGHT(H186,LEN(H186)-4)/10000</f>
        <v>8.0299999999999996E-2</v>
      </c>
      <c r="AA186" s="248">
        <f>ABS(Z186-Y186)</f>
        <v>5.7837999999999994</v>
      </c>
      <c r="AB186" s="234" t="e">
        <f>VLOOKUP(A186,Enforcements!$C$7:$K$9,8,0)</f>
        <v>#N/A</v>
      </c>
      <c r="AC186" s="233" t="e">
        <f>VLOOKUP(A186,Enforcements!$C$7:$E$9,3,0)</f>
        <v>#N/A</v>
      </c>
      <c r="AD186" s="244">
        <f>VALUE(LEFT(A186,LEN(A186)-3))</f>
        <v>826</v>
      </c>
      <c r="AE186" s="236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186" s="235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/stypes="app*4059*20171124*" /stext=" 22:.+((SYSTEM_STATE.+slice.+state.+changed )|(ment ac)|(multiple cpu faults)|(system.+state.+changed )|(\[timeout)|(PRM\|1\|D)|(kpr)|(kdp)|(train st.+moving)|(\|lc)|(penalty))"</v>
      </c>
      <c r="AG186" s="245" t="str">
        <f>DetSubdiv(A186)</f>
        <v>NW</v>
      </c>
      <c r="AH186" s="237" t="str">
        <f t="shared" si="15"/>
        <v>"%USERPROFILE%\Documents\GitHub\eaglep3\Utilities\RefineRTDCRunTimes.py" --tripid 826-24 --locoid 4059 --swversion DE.1.0.9.0 --startMP 300:58641 --initTime 2017-11-24T15:26:25 --startdatetime 2017-11-24T15:43:00 --delay 91 --endMP 204:803 --enddatetime 2017-11-24T15:54:28 --enforcementcount 0 &gt;&gt;%USERPROFILE%\Documents\GitHub\eaglep3-reporting\EC\2017-11-24-refined-times.txt</v>
      </c>
      <c r="AI186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{"issue":{"subject":"","project_id":79,"tracker_id":40,"status_id":1,"priority_id":2,"assigned_to_id":338,"start_date":"2017-11-24","description":"","custom_fields":[{"id":1,"name":"Subdivision","value":"NW"},{"id":4,"name":"Milepost","value":"0.0803"},{"id":17,"name":"Train ID","value":"826-24"},{"id":16,"name":"Locomotive ID","value":"4059"},{"id":130,"name":"Impact","value":""},{"id":150,"name":"Time of Event (Mountain Time)","value":"15:54:28"},{"id":151,"name":"Denver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4"/>
      <c r="AK186" s="232"/>
      <c r="AL186" s="232"/>
      <c r="AM186" s="241" t="str">
        <f t="shared" si="17"/>
        <v>start /low /b %USERPROFILE%\Documents\GitHub\eaglep3\Utilities\DownloadLogsFromS3.py --loco 4059 --day 2017-11-24</v>
      </c>
      <c r="AN186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22:54:28"},{"id":29,"name":"Sharepoint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1" t="str">
        <f t="shared" si="19"/>
        <v>https://d0f6bd738d7f1b3e5a7ca70fe4ff75f0.us-east-1.aws.found.io/app/kibana#/discover/Steve-Slow-Train-Analysis-(2080s-and-2083s)?_g=(refreshInterval:(display:Off,pause:!f,section:0,value:0),time:(from:'2017-11-24T14:26:25-0700',mode:absolute,to:'2017-11-24T16:54:28-0700'))&amp;_a=(columns:!('Message%20ID',Summary),filters:!(),index:'emp_*',interval:auto,query:(query_string:(analyze_wildcard:!t,query:'%22rtdc.l.rtdc.4059%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30" t="s">
        <v>841</v>
      </c>
      <c r="B187" s="226">
        <v>4040</v>
      </c>
      <c r="C187" s="228" t="s">
        <v>192</v>
      </c>
      <c r="D187" s="228" t="s">
        <v>648</v>
      </c>
      <c r="E187" s="227">
        <v>43063.648738425924</v>
      </c>
      <c r="F187" s="227">
        <v>43063.652337962965</v>
      </c>
      <c r="G187" s="226">
        <v>106</v>
      </c>
      <c r="H187" s="228" t="s">
        <v>1082</v>
      </c>
      <c r="I187" s="227">
        <v>43063.663252314815</v>
      </c>
      <c r="J187" s="226">
        <v>0</v>
      </c>
      <c r="K187" s="238" t="str">
        <f>IF(ISEVEN(B187),(B187-1)&amp;"/"&amp;B187,B187&amp;"/"&amp;(B187+1))</f>
        <v>4039/4040</v>
      </c>
      <c r="L187" s="246" t="str">
        <f>VLOOKUP(A187,'Trips&amp;Operators'!$C$1:$G$99911,5,FALSE)</f>
        <v>HAMMOND JUSTYNN</v>
      </c>
      <c r="M187" s="225">
        <f>I187-F187</f>
        <v>1.0914351849351078E-2</v>
      </c>
      <c r="N187" s="226">
        <f>24*60*SUM($M187:$M187)</f>
        <v>15.716666663065553</v>
      </c>
      <c r="O187" s="226"/>
      <c r="P187" s="226"/>
      <c r="Q187" s="229"/>
      <c r="R187" s="243"/>
      <c r="S187" s="250">
        <f>1/IF(AG187="EC",12,1)*SUM(U187:U187)</f>
        <v>1</v>
      </c>
      <c r="T187" s="243" t="str">
        <f>IF(ISEVEN(LEFT(AD187,4)),"Southbound","NorthBound")</f>
        <v>NorthBound</v>
      </c>
      <c r="U187" s="24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9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-11-24T14:34:11-0700',mode:absolute,to:'2017-11-24T16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7" s="248" t="str">
        <f>IF(AA187&lt;VLOOKUP(AG187,Variables!$AC$3:$AD$8,2,FALSE),"Y","N")</f>
        <v>N</v>
      </c>
      <c r="X187" s="248">
        <f>VALUE(LEFT(AD187,4))-VALUE(LEFT(AD186,4))</f>
        <v>1</v>
      </c>
      <c r="Y187" s="248">
        <f>RIGHT(D187,LEN(D187)-4)/10000</f>
        <v>0.10630000000000001</v>
      </c>
      <c r="Z187" s="248">
        <f>RIGHT(H187,LEN(H187)-4)/10000</f>
        <v>5.8945999999999996</v>
      </c>
      <c r="AA187" s="248">
        <f>ABS(Z187-Y187)</f>
        <v>5.7882999999999996</v>
      </c>
      <c r="AB187" s="234" t="e">
        <f>VLOOKUP(A187,Enforcements!$C$7:$K$9,8,0)</f>
        <v>#N/A</v>
      </c>
      <c r="AC187" s="233" t="e">
        <f>VLOOKUP(A187,Enforcements!$C$7:$E$9,3,0)</f>
        <v>#N/A</v>
      </c>
      <c r="AD187" s="244">
        <f>VALUE(LEFT(A187,LEN(A187)-3))</f>
        <v>827</v>
      </c>
      <c r="AE187" s="236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s3://rtdc.mdm.uploadarchive.raw/RTDC4040/ "%USERPROFILE%\AppData\Local\Temp\OnboardLogs"\RTDC4040\2017-11-24 --exclude "*" --recursive --include "*20171124*" &amp; "%USERPROFILE%\Documents\GitHub\mrs-test-scripts\Headless Mode &amp; Sideloading\WalkAndUnGZ.bat" "%USERPROFILE%\AppData\Local\Temp\OnboardLogs"\RTDC4040\2017-11-24 &amp; aws s3 cp s3://rtdc.mdm.uploadarchive.raw/RTDC4040/ "%USERPROFILE%\AppData\Local\Temp\OnboardLogs"\RTDC4040\2017-11-25 --exclude "*" --recursive --include "*20171125*" &amp; "%USERPROFILE%\Documents\GitHub\mrs-test-scripts\Headless Mode &amp; Sideloading\WalkAndUnGZ.bat" "%USERPROFILE%\AppData\Local\Temp\OnboardLogs"\RTDC4040\2017-11-25</v>
      </c>
      <c r="AF187" s="235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/stypes="app*4040*20171124*" /stext=" 22:.+((SYSTEM_STATE.+slice.+state.+changed )|(ment ac)|(multiple cpu faults)|(system.+state.+changed )|(\[timeout)|(PRM\|1\|D)|(kpr)|(kdp)|(train st.+moving)|(\|lc)|(penalty))"</v>
      </c>
      <c r="AG187" s="245" t="str">
        <f>DetSubdiv(A187)</f>
        <v>NW</v>
      </c>
      <c r="AH187" s="237" t="str">
        <f t="shared" si="15"/>
        <v>"%USERPROFILE%\Documents\GitHub\eaglep3\Utilities\RefineRTDCRunTimes.py" --tripid 827-24 --locoid 4040 --swversion DE.1.0.9.0 --startMP 204:1063 --initTime 2017-11-24T15:34:11 --startdatetime 2017-11-24T15:39:22 --delay 106 --endMP 300:58946 --enddatetime 2017-11-24T15:55:05 --enforcementcount 0 &gt;&gt;%USERPROFILE%\Documents\GitHub\eaglep3-reporting\EC\2017-11-24-refined-times.txt</v>
      </c>
      <c r="AI187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{"issue":{"subject":"","project_id":79,"tracker_id":40,"status_id":1,"priority_id":2,"assigned_to_id":338,"start_date":"2017-11-24","description":"","custom_fields":[{"id":1,"name":"Subdivision","value":"NW"},{"id":4,"name":"Milepost","value":"5.8946"},{"id":17,"name":"Train ID","value":"827-24"},{"id":16,"name":"Locomotive ID","value":"4040"},{"id":130,"name":"Impact","value":""},{"id":150,"name":"Time of Event (Mountain Time)","value":"15:55:05"},{"id":151,"name":"Denver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4"/>
      <c r="AK187" s="232"/>
      <c r="AL187" s="232"/>
      <c r="AM187" s="241" t="str">
        <f t="shared" si="17"/>
        <v>start /low /b %USERPROFILE%\Documents\GitHub\eaglep3\Utilities\DownloadLogsFromS3.py --loco 4040 --day 2017-11-24</v>
      </c>
      <c r="AN187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22:55:05"},{"id":29,"name":"Sharepoint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1" t="str">
        <f t="shared" si="19"/>
        <v>https://d0f6bd738d7f1b3e5a7ca70fe4ff75f0.us-east-1.aws.found.io/app/kibana#/discover/Steve-Slow-Train-Analysis-(2080s-and-2083s)?_g=(refreshInterval:(display:Off,pause:!f,section:0,value:0),time:(from:'2017-11-24T14:34:11-0700',mode:absolute,to:'2017-11-24T16:55:05-0700'))&amp;_a=(columns:!('Message%20ID',Summary),filters:!(),index:'emp_*',interval:auto,query:(query_string:(analyze_wildcard:!t,query:'%22rtdc.l.rtdc.4040%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30" t="s">
        <v>846</v>
      </c>
      <c r="B188" s="226">
        <v>4039</v>
      </c>
      <c r="C188" s="228" t="s">
        <v>192</v>
      </c>
      <c r="D188" s="228" t="s">
        <v>1083</v>
      </c>
      <c r="E188" s="227">
        <v>43063.665613425925</v>
      </c>
      <c r="F188" s="227">
        <v>43063.668749999997</v>
      </c>
      <c r="G188" s="226">
        <v>155</v>
      </c>
      <c r="H188" s="228" t="s">
        <v>1093</v>
      </c>
      <c r="I188" s="227">
        <v>43063.683958333335</v>
      </c>
      <c r="J188" s="226">
        <v>0</v>
      </c>
      <c r="K188" s="238" t="str">
        <f>IF(ISEVEN(B188),(B188-1)&amp;"/"&amp;B188,B188&amp;"/"&amp;(B188+1))</f>
        <v>4039/4040</v>
      </c>
      <c r="L188" s="246" t="str">
        <f>VLOOKUP(A188,'Trips&amp;Operators'!$C$1:$G$99911,5,FALSE)</f>
        <v>HAMMOND JUSTYNN</v>
      </c>
      <c r="M188" s="225">
        <f>I188-F188</f>
        <v>1.5208333337795921E-2</v>
      </c>
      <c r="N188" s="226">
        <f>24*60*SUM($M188:$M188)</f>
        <v>21.900000006426126</v>
      </c>
      <c r="O188" s="226"/>
      <c r="P188" s="226"/>
      <c r="Q188" s="229"/>
      <c r="R188" s="243"/>
      <c r="S188" s="250">
        <f>1/IF(AG188="EC",12,1)*SUM(U188:U188)</f>
        <v>1</v>
      </c>
      <c r="T188" s="243" t="str">
        <f>IF(ISEVEN(LEFT(AD188,4)),"Southbound","NorthBound")</f>
        <v>Southbound</v>
      </c>
      <c r="U188" s="24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9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-11-24T14:58:29-0700',mode:absolute,to:'2017-11-24T17:24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8" s="248" t="str">
        <f>IF(AA188&lt;VLOOKUP(AG188,Variables!$AC$3:$AD$8,2,FALSE),"Y","N")</f>
        <v>N</v>
      </c>
      <c r="X188" s="248">
        <f>VALUE(LEFT(AD188,4))-VALUE(LEFT(AD187,4))</f>
        <v>1</v>
      </c>
      <c r="Y188" s="248">
        <f>RIGHT(D188,LEN(D188)-4)/10000</f>
        <v>5.8630000000000004</v>
      </c>
      <c r="Z188" s="248">
        <f>RIGHT(H188,LEN(H188)-4)/10000</f>
        <v>7.9899999999999999E-2</v>
      </c>
      <c r="AA188" s="248">
        <f>ABS(Z188-Y188)</f>
        <v>5.7831000000000001</v>
      </c>
      <c r="AB188" s="234" t="e">
        <f>VLOOKUP(A188,Enforcements!$C$7:$K$9,8,0)</f>
        <v>#N/A</v>
      </c>
      <c r="AC188" s="233" t="e">
        <f>VLOOKUP(A188,Enforcements!$C$7:$E$9,3,0)</f>
        <v>#N/A</v>
      </c>
      <c r="AD188" s="244">
        <f>VALUE(LEFT(A188,LEN(A188)-3))</f>
        <v>828</v>
      </c>
      <c r="AE188" s="236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s3://rtdc.mdm.uploadarchive.raw/RTDC4039/ "%USERPROFILE%\AppData\Local\Temp\OnboardLogs"\RTDC4039\2017-11-24 --exclude "*" --recursive --include "*20171124*" &amp; "%USERPROFILE%\Documents\GitHub\mrs-test-scripts\Headless Mode &amp; Sideloading\WalkAndUnGZ.bat" "%USERPROFILE%\AppData\Local\Temp\OnboardLogs"\RTDC4039\2017-11-24 &amp; aws s3 cp s3://rtdc.mdm.uploadarchive.raw/RTDC4039/ "%USERPROFILE%\AppData\Local\Temp\OnboardLogs"\RTDC4039\2017-11-25 --exclude "*" --recursive --include "*20171125*" &amp; "%USERPROFILE%\Documents\GitHub\mrs-test-scripts\Headless Mode &amp; Sideloading\WalkAndUnGZ.bat" "%USERPROFILE%\AppData\Local\Temp\OnboardLogs"\RTDC4039\2017-11-25</v>
      </c>
      <c r="AF188" s="235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/stypes="app*4039*20171124*" /stext=" 23:.+((SYSTEM_STATE.+slice.+state.+changed )|(ment ac)|(multiple cpu faults)|(system.+state.+changed )|(\[timeout)|(PRM\|1\|D)|(kpr)|(kdp)|(train st.+moving)|(\|lc)|(penalty))"</v>
      </c>
      <c r="AG188" s="245" t="str">
        <f>DetSubdiv(A188)</f>
        <v>NW</v>
      </c>
      <c r="AH188" s="237" t="str">
        <f t="shared" si="15"/>
        <v>"%USERPROFILE%\Documents\GitHub\eaglep3\Utilities\RefineRTDCRunTimes.py" --tripid 828-24 --locoid 4039 --swversion DE.1.0.9.0 --startMP 300:58630 --initTime 2017-11-24T15:58:29 --startdatetime 2017-11-24T16:03:00 --delay 155 --endMP 204:799 --enddatetime 2017-11-24T16:24:54 --enforcementcount 0 &gt;&gt;%USERPROFILE%\Documents\GitHub\eaglep3-reporting\EC\2017-11-24-refined-times.txt</v>
      </c>
      <c r="AI188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{"issue":{"subject":"","project_id":79,"tracker_id":40,"status_id":1,"priority_id":2,"assigned_to_id":338,"start_date":"2017-11-24","description":"","custom_fields":[{"id":1,"name":"Subdivision","value":"NW"},{"id":4,"name":"Milepost","value":"0.0799"},{"id":17,"name":"Train ID","value":"828-24"},{"id":16,"name":"Locomotive ID","value":"4039"},{"id":130,"name":"Impact","value":""},{"id":150,"name":"Time of Event (Mountain Time)","value":"16:24:54"},{"id":151,"name":"Denver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4"/>
      <c r="AK188" s="232"/>
      <c r="AL188" s="232"/>
      <c r="AM188" s="241" t="str">
        <f t="shared" si="17"/>
        <v>start /low /b %USERPROFILE%\Documents\GitHub\eaglep3\Utilities\DownloadLogsFromS3.py --loco 4039 --day 2017-11-24</v>
      </c>
      <c r="AN188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23:24:54"},{"id":29,"name":"Sharepoint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1" t="str">
        <f t="shared" si="19"/>
        <v>https://d0f6bd738d7f1b3e5a7ca70fe4ff75f0.us-east-1.aws.found.io/app/kibana#/discover/Steve-Slow-Train-Analysis-(2080s-and-2083s)?_g=(refreshInterval:(display:Off,pause:!f,section:0,value:0),time:(from:'2017-11-24T14:58:29-0700',mode:absolute,to:'2017-11-24T17:24:54-0700'))&amp;_a=(columns:!('Message%20ID',Summary),filters:!(),index:'emp_*',interval:auto,query:(query_string:(analyze_wildcard:!t,query:'%22rtdc.l.rtdc.4039%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30" t="s">
        <v>845</v>
      </c>
      <c r="B189" s="226">
        <v>4060</v>
      </c>
      <c r="C189" s="228" t="s">
        <v>192</v>
      </c>
      <c r="D189" s="228" t="s">
        <v>1091</v>
      </c>
      <c r="E189" s="227">
        <v>43063.666192129633</v>
      </c>
      <c r="F189" s="227">
        <v>43063.673090277778</v>
      </c>
      <c r="G189" s="226">
        <v>61</v>
      </c>
      <c r="H189" s="228" t="s">
        <v>1094</v>
      </c>
      <c r="I189" s="227">
        <v>43063.683668981481</v>
      </c>
      <c r="J189" s="226">
        <v>0</v>
      </c>
      <c r="K189" s="238" t="str">
        <f>IF(ISEVEN(B189),(B189-1)&amp;"/"&amp;B189,B189&amp;"/"&amp;(B189+1))</f>
        <v>4059/4060</v>
      </c>
      <c r="L189" s="246" t="str">
        <f>VLOOKUP(A189,'Trips&amp;Operators'!$C$1:$G$99911,5,FALSE)</f>
        <v>BERLING GARY</v>
      </c>
      <c r="M189" s="225">
        <f>I189-F189</f>
        <v>1.0578703702776693E-2</v>
      </c>
      <c r="N189" s="226">
        <f>24*60*SUM($M189:$M189)</f>
        <v>15.233333331998438</v>
      </c>
      <c r="O189" s="226"/>
      <c r="P189" s="226"/>
      <c r="Q189" s="229"/>
      <c r="R189" s="243"/>
      <c r="S189" s="250">
        <f>1/IF(AG189="EC",12,1)*SUM(U189:U189)</f>
        <v>1</v>
      </c>
      <c r="T189" s="243" t="str">
        <f>IF(ISEVEN(LEFT(AD189,4)),"Southbound","NorthBound")</f>
        <v>NorthBound</v>
      </c>
      <c r="U189" s="24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9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-11-24T14:59:19-0700',mode:absolute,to:'2017-11-24T17:24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9" s="248" t="str">
        <f>IF(AA189&lt;VLOOKUP(AG189,Variables!$AC$3:$AD$8,2,FALSE),"Y","N")</f>
        <v>N</v>
      </c>
      <c r="X189" s="248">
        <f>VALUE(LEFT(AD189,4))-VALUE(LEFT(AD188,4))</f>
        <v>1</v>
      </c>
      <c r="Y189" s="248">
        <f>RIGHT(D189,LEN(D189)-4)/10000</f>
        <v>0.1109</v>
      </c>
      <c r="Z189" s="248">
        <f>RIGHT(H189,LEN(H189)-4)/10000</f>
        <v>5.8992000000000004</v>
      </c>
      <c r="AA189" s="248">
        <f>ABS(Z189-Y189)</f>
        <v>5.7883000000000004</v>
      </c>
      <c r="AB189" s="234" t="e">
        <f>VLOOKUP(A189,Enforcements!$C$7:$K$9,8,0)</f>
        <v>#N/A</v>
      </c>
      <c r="AC189" s="233" t="e">
        <f>VLOOKUP(A189,Enforcements!$C$7:$E$9,3,0)</f>
        <v>#N/A</v>
      </c>
      <c r="AD189" s="244">
        <f>VALUE(LEFT(A189,LEN(A189)-3))</f>
        <v>829</v>
      </c>
      <c r="AE189" s="236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189" s="235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/stypes="app*4060*20171124*" /stext=" 23:.+((SYSTEM_STATE.+slice.+state.+changed )|(ment ac)|(multiple cpu faults)|(system.+state.+changed )|(\[timeout)|(PRM\|1\|D)|(kpr)|(kdp)|(train st.+moving)|(\|lc)|(penalty))"</v>
      </c>
      <c r="AG189" s="245" t="str">
        <f>DetSubdiv(A189)</f>
        <v>NW</v>
      </c>
      <c r="AH189" s="237" t="str">
        <f t="shared" si="15"/>
        <v>"%USERPROFILE%\Documents\GitHub\eaglep3\Utilities\RefineRTDCRunTimes.py" --tripid 829-24 --locoid 4060 --swversion DE.1.0.9.0 --startMP 204:1109 --initTime 2017-11-24T15:59:19 --startdatetime 2017-11-24T16:09:15 --delay 61 --endMP 300:58992 --enddatetime 2017-11-24T16:24:29 --enforcementcount 0 &gt;&gt;%USERPROFILE%\Documents\GitHub\eaglep3-reporting\EC\2017-11-24-refined-times.txt</v>
      </c>
      <c r="AI189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{"issue":{"subject":"","project_id":79,"tracker_id":40,"status_id":1,"priority_id":2,"assigned_to_id":338,"start_date":"2017-11-24","description":"","custom_fields":[{"id":1,"name":"Subdivision","value":"NW"},{"id":4,"name":"Milepost","value":"5.8992"},{"id":17,"name":"Train ID","value":"829-24"},{"id":16,"name":"Locomotive ID","value":"4060"},{"id":130,"name":"Impact","value":""},{"id":150,"name":"Time of Event (Mountain Time)","value":"16:24:29"},{"id":151,"name":"Denver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4"/>
      <c r="AK189" s="232"/>
      <c r="AL189" s="232"/>
      <c r="AM189" s="241" t="str">
        <f t="shared" si="17"/>
        <v>start /low /b %USERPROFILE%\Documents\GitHub\eaglep3\Utilities\DownloadLogsFromS3.py --loco 4060 --day 2017-11-24</v>
      </c>
      <c r="AN189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23:24:29"},{"id":29,"name":"Sharepoint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1" t="str">
        <f t="shared" si="19"/>
        <v>https://d0f6bd738d7f1b3e5a7ca70fe4ff75f0.us-east-1.aws.found.io/app/kibana#/discover/Steve-Slow-Train-Analysis-(2080s-and-2083s)?_g=(refreshInterval:(display:Off,pause:!f,section:0,value:0),time:(from:'2017-11-24T14:59:19-0700',mode:absolute,to:'2017-11-24T17:24:29-0700'))&amp;_a=(columns:!('Message%20ID',Summary),filters:!(),index:'emp_*',interval:auto,query:(query_string:(analyze_wildcard:!t,query:'%22rtdc.l.rtdc.4060%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30" t="s">
        <v>851</v>
      </c>
      <c r="B190" s="226">
        <v>4059</v>
      </c>
      <c r="C190" s="228" t="s">
        <v>192</v>
      </c>
      <c r="D190" s="228" t="s">
        <v>634</v>
      </c>
      <c r="E190" s="227">
        <v>43063.685173611113</v>
      </c>
      <c r="F190" s="227">
        <v>43063.696527777778</v>
      </c>
      <c r="G190" s="226">
        <v>110</v>
      </c>
      <c r="H190" s="228" t="s">
        <v>654</v>
      </c>
      <c r="I190" s="227">
        <v>43063.704675925925</v>
      </c>
      <c r="J190" s="226">
        <v>0</v>
      </c>
      <c r="K190" s="238" t="str">
        <f>IF(ISEVEN(B190),(B190-1)&amp;"/"&amp;B190,B190&amp;"/"&amp;(B190+1))</f>
        <v>4059/4060</v>
      </c>
      <c r="L190" s="246" t="str">
        <f>VLOOKUP(A190,'Trips&amp;Operators'!$C$1:$G$99911,5,FALSE)</f>
        <v>BERLING GARY</v>
      </c>
      <c r="M190" s="225">
        <f>I190-F190</f>
        <v>8.1481481465743855E-3</v>
      </c>
      <c r="N190" s="226">
        <f>24*60*SUM($M190:$M190)</f>
        <v>11.733333331067115</v>
      </c>
      <c r="O190" s="226"/>
      <c r="P190" s="226"/>
      <c r="Q190" s="229"/>
      <c r="R190" s="243"/>
      <c r="S190" s="250">
        <f>1/IF(AG190="EC",12,1)*SUM(U190:U190)</f>
        <v>1</v>
      </c>
      <c r="T190" s="243" t="str">
        <f>IF(ISEVEN(LEFT(AD190,4)),"Southbound","NorthBound")</f>
        <v>Southbound</v>
      </c>
      <c r="U190" s="24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9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-11-24T15:26:39-0700',mode:absolute,to:'2017-11-24T17:54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0" s="248" t="str">
        <f>IF(AA190&lt;VLOOKUP(AG190,Variables!$AC$3:$AD$8,2,FALSE),"Y","N")</f>
        <v>N</v>
      </c>
      <c r="X190" s="248">
        <f>VALUE(LEFT(AD190,4))-VALUE(LEFT(AD189,4))</f>
        <v>1</v>
      </c>
      <c r="Y190" s="248">
        <f>RIGHT(D190,LEN(D190)-4)/10000</f>
        <v>5.8663999999999996</v>
      </c>
      <c r="Z190" s="248">
        <f>RIGHT(H190,LEN(H190)-4)/10000</f>
        <v>7.9699999999999993E-2</v>
      </c>
      <c r="AA190" s="248">
        <f>ABS(Z190-Y190)</f>
        <v>5.7866999999999997</v>
      </c>
      <c r="AB190" s="234" t="e">
        <f>VLOOKUP(A190,Enforcements!$C$7:$K$9,8,0)</f>
        <v>#N/A</v>
      </c>
      <c r="AC190" s="233" t="e">
        <f>VLOOKUP(A190,Enforcements!$C$7:$E$9,3,0)</f>
        <v>#N/A</v>
      </c>
      <c r="AD190" s="244">
        <f>VALUE(LEFT(A190,LEN(A190)-3))</f>
        <v>830</v>
      </c>
      <c r="AE190" s="236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190" s="235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/stypes="app*4059*20171124*" /stext=" 23:.+((SYSTEM_STATE.+slice.+state.+changed )|(ment ac)|(multiple cpu faults)|(system.+state.+changed )|(\[timeout)|(PRM\|1\|D)|(kpr)|(kdp)|(train st.+moving)|(\|lc)|(penalty))"</v>
      </c>
      <c r="AG190" s="245" t="str">
        <f>DetSubdiv(A190)</f>
        <v>NW</v>
      </c>
      <c r="AH190" s="237" t="str">
        <f t="shared" si="15"/>
        <v>"%USERPROFILE%\Documents\GitHub\eaglep3\Utilities\RefineRTDCRunTimes.py" --tripid 830-24 --locoid 4059 --swversion DE.1.0.9.0 --startMP 300:58664 --initTime 2017-11-24T16:26:39 --startdatetime 2017-11-24T16:43:00 --delay 110 --endMP 204:797 --enddatetime 2017-11-24T16:54:44 --enforcementcount 0 &gt;&gt;%USERPROFILE%\Documents\GitHub\eaglep3-reporting\EC\2017-11-24-refined-times.txt</v>
      </c>
      <c r="AI190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{"issue":{"subject":"","project_id":79,"tracker_id":40,"status_id":1,"priority_id":2,"assigned_to_id":338,"start_date":"2017-11-24","description":"","custom_fields":[{"id":1,"name":"Subdivision","value":"NW"},{"id":4,"name":"Milepost","value":"0.0797"},{"id":17,"name":"Train ID","value":"830-24"},{"id":16,"name":"Locomotive ID","value":"4059"},{"id":130,"name":"Impact","value":""},{"id":150,"name":"Time of Event (Mountain Time)","value":"16:54:44"},{"id":151,"name":"Denver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4"/>
      <c r="AK190" s="232"/>
      <c r="AL190" s="232"/>
      <c r="AM190" s="241" t="str">
        <f t="shared" si="17"/>
        <v>start /low /b %USERPROFILE%\Documents\GitHub\eaglep3\Utilities\DownloadLogsFromS3.py --loco 4059 --day 2017-11-24</v>
      </c>
      <c r="AN190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23:54:44"},{"id":29,"name":"Sharepoint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1" t="str">
        <f t="shared" si="19"/>
        <v>https://d0f6bd738d7f1b3e5a7ca70fe4ff75f0.us-east-1.aws.found.io/app/kibana#/discover/Steve-Slow-Train-Analysis-(2080s-and-2083s)?_g=(refreshInterval:(display:Off,pause:!f,section:0,value:0),time:(from:'2017-11-24T15:26:39-0700',mode:absolute,to:'2017-11-24T17:54:44-0700'))&amp;_a=(columns:!('Message%20ID',Summary),filters:!(),index:'emp_*',interval:auto,query:(query_string:(analyze_wildcard:!t,query:'%22rtdc.l.rtdc.4059%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30" t="s">
        <v>852</v>
      </c>
      <c r="B191" s="226">
        <v>4040</v>
      </c>
      <c r="C191" s="228" t="s">
        <v>192</v>
      </c>
      <c r="D191" s="228" t="s">
        <v>1071</v>
      </c>
      <c r="E191" s="227">
        <v>43063.6874537037</v>
      </c>
      <c r="F191" s="227">
        <v>43063.694004629629</v>
      </c>
      <c r="G191" s="226">
        <v>72</v>
      </c>
      <c r="H191" s="228" t="s">
        <v>655</v>
      </c>
      <c r="I191" s="227">
        <v>43063.705069444448</v>
      </c>
      <c r="J191" s="226">
        <v>0</v>
      </c>
      <c r="K191" s="238" t="str">
        <f>IF(ISEVEN(B191),(B191-1)&amp;"/"&amp;B191,B191&amp;"/"&amp;(B191+1))</f>
        <v>4039/4040</v>
      </c>
      <c r="L191" s="246" t="str">
        <f>VLOOKUP(A191,'Trips&amp;Operators'!$C$1:$G$99911,5,FALSE)</f>
        <v>HAMMOND JUSTYNN</v>
      </c>
      <c r="M191" s="225">
        <f>I191-F191</f>
        <v>1.1064814818382729E-2</v>
      </c>
      <c r="N191" s="226">
        <f>24*60*SUM($M191:$M191)</f>
        <v>15.93333333847113</v>
      </c>
      <c r="O191" s="226"/>
      <c r="P191" s="226"/>
      <c r="Q191" s="229"/>
      <c r="R191" s="243"/>
      <c r="S191" s="250">
        <f>1/IF(AG191="EC",12,1)*SUM(U191:U191)</f>
        <v>1</v>
      </c>
      <c r="T191" s="243" t="str">
        <f>IF(ISEVEN(LEFT(AD191,4)),"Southbound","NorthBound")</f>
        <v>NorthBound</v>
      </c>
      <c r="U191" s="24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9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-11-24T15:29:56-0700',mode:absolute,to:'2017-11-24T17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1" s="248" t="str">
        <f>IF(AA191&lt;VLOOKUP(AG191,Variables!$AC$3:$AD$8,2,FALSE),"Y","N")</f>
        <v>N</v>
      </c>
      <c r="X191" s="248">
        <f>VALUE(LEFT(AD191,4))-VALUE(LEFT(AD190,4))</f>
        <v>1</v>
      </c>
      <c r="Y191" s="248">
        <f>RIGHT(D191,LEN(D191)-4)/10000</f>
        <v>0.1011</v>
      </c>
      <c r="Z191" s="248">
        <f>RIGHT(H191,LEN(H191)-4)/10000</f>
        <v>5.8921999999999999</v>
      </c>
      <c r="AA191" s="248">
        <f>ABS(Z191-Y191)</f>
        <v>5.7911000000000001</v>
      </c>
      <c r="AB191" s="234" t="e">
        <f>VLOOKUP(A191,Enforcements!$C$7:$K$9,8,0)</f>
        <v>#N/A</v>
      </c>
      <c r="AC191" s="233" t="e">
        <f>VLOOKUP(A191,Enforcements!$C$7:$E$9,3,0)</f>
        <v>#N/A</v>
      </c>
      <c r="AD191" s="244">
        <f>VALUE(LEFT(A191,LEN(A191)-3))</f>
        <v>831</v>
      </c>
      <c r="AE191" s="236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s3://rtdc.mdm.uploadarchive.raw/RTDC4040/ "%USERPROFILE%\AppData\Local\Temp\OnboardLogs"\RTDC4040\2017-11-24 --exclude "*" --recursive --include "*20171124*" &amp; "%USERPROFILE%\Documents\GitHub\mrs-test-scripts\Headless Mode &amp; Sideloading\WalkAndUnGZ.bat" "%USERPROFILE%\AppData\Local\Temp\OnboardLogs"\RTDC4040\2017-11-24 &amp; aws s3 cp s3://rtdc.mdm.uploadarchive.raw/RTDC4040/ "%USERPROFILE%\AppData\Local\Temp\OnboardLogs"\RTDC4040\2017-11-25 --exclude "*" --recursive --include "*20171125*" &amp; "%USERPROFILE%\Documents\GitHub\mrs-test-scripts\Headless Mode &amp; Sideloading\WalkAndUnGZ.bat" "%USERPROFILE%\AppData\Local\Temp\OnboardLogs"\RTDC4040\2017-11-25</v>
      </c>
      <c r="AF191" s="235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/stypes="app*4040*20171124*" /stext=" 23:.+((SYSTEM_STATE.+slice.+state.+changed )|(ment ac)|(multiple cpu faults)|(system.+state.+changed )|(\[timeout)|(PRM\|1\|D)|(kpr)|(kdp)|(train st.+moving)|(\|lc)|(penalty))"</v>
      </c>
      <c r="AG191" s="245" t="str">
        <f>DetSubdiv(A191)</f>
        <v>NW</v>
      </c>
      <c r="AH191" s="237" t="str">
        <f t="shared" si="15"/>
        <v>"%USERPROFILE%\Documents\GitHub\eaglep3\Utilities\RefineRTDCRunTimes.py" --tripid 831-24 --locoid 4040 --swversion DE.1.0.9.0 --startMP 204:1011 --initTime 2017-11-24T16:29:56 --startdatetime 2017-11-24T16:39:22 --delay 72 --endMP 300:58922 --enddatetime 2017-11-24T16:55:18 --enforcementcount 0 &gt;&gt;%USERPROFILE%\Documents\GitHub\eaglep3-reporting\EC\2017-11-24-refined-times.txt</v>
      </c>
      <c r="AI191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{"issue":{"subject":"","project_id":79,"tracker_id":40,"status_id":1,"priority_id":2,"assigned_to_id":338,"start_date":"2017-11-24","description":"","custom_fields":[{"id":1,"name":"Subdivision","value":"NW"},{"id":4,"name":"Milepost","value":"5.8922"},{"id":17,"name":"Train ID","value":"831-24"},{"id":16,"name":"Locomotive ID","value":"4040"},{"id":130,"name":"Impact","value":""},{"id":150,"name":"Time of Event (Mountain Time)","value":"16:55:18"},{"id":151,"name":"Denver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4"/>
      <c r="AK191" s="232"/>
      <c r="AL191" s="232"/>
      <c r="AM191" s="241" t="str">
        <f t="shared" si="17"/>
        <v>start /low /b %USERPROFILE%\Documents\GitHub\eaglep3\Utilities\DownloadLogsFromS3.py --loco 4040 --day 2017-11-24</v>
      </c>
      <c r="AN191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23:55:18"},{"id":29,"name":"Sharepoint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1" t="str">
        <f t="shared" si="19"/>
        <v>https://d0f6bd738d7f1b3e5a7ca70fe4ff75f0.us-east-1.aws.found.io/app/kibana#/discover/Steve-Slow-Train-Analysis-(2080s-and-2083s)?_g=(refreshInterval:(display:Off,pause:!f,section:0,value:0),time:(from:'2017-11-24T15:29:56-0700',mode:absolute,to:'2017-11-24T17:55:18-0700'))&amp;_a=(columns:!('Message%20ID',Summary),filters:!(),index:'emp_*',interval:auto,query:(query_string:(analyze_wildcard:!t,query:'%22rtdc.l.rtdc.4040%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30" t="s">
        <v>858</v>
      </c>
      <c r="B192" s="226">
        <v>4039</v>
      </c>
      <c r="C192" s="228" t="s">
        <v>192</v>
      </c>
      <c r="D192" s="228" t="s">
        <v>1095</v>
      </c>
      <c r="E192" s="227">
        <v>43063.706469907411</v>
      </c>
      <c r="F192" s="227">
        <v>43063.708692129629</v>
      </c>
      <c r="G192" s="226">
        <v>78</v>
      </c>
      <c r="H192" s="228" t="s">
        <v>1077</v>
      </c>
      <c r="I192" s="227">
        <v>43063.725381944445</v>
      </c>
      <c r="J192" s="226">
        <v>0</v>
      </c>
      <c r="K192" s="238" t="str">
        <f>IF(ISEVEN(B192),(B192-1)&amp;"/"&amp;B192,B192&amp;"/"&amp;(B192+1))</f>
        <v>4039/4040</v>
      </c>
      <c r="L192" s="246" t="str">
        <f>VLOOKUP(A192,'Trips&amp;Operators'!$C$1:$G$99911,5,FALSE)</f>
        <v>HAMMOND JUSTYNN</v>
      </c>
      <c r="M192" s="225">
        <f>I192-F192</f>
        <v>1.6689814816345461E-2</v>
      </c>
      <c r="N192" s="226">
        <f>24*60*SUM($M192:$M192)</f>
        <v>24.033333335537463</v>
      </c>
      <c r="O192" s="226"/>
      <c r="P192" s="226"/>
      <c r="Q192" s="229"/>
      <c r="R192" s="243"/>
      <c r="S192" s="250">
        <f>1/IF(AG192="EC",12,1)*SUM(U192:U192)</f>
        <v>1</v>
      </c>
      <c r="T192" s="243" t="str">
        <f>IF(ISEVEN(LEFT(AD192,4)),"Southbound","NorthBound")</f>
        <v>Southbound</v>
      </c>
      <c r="U192" s="24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9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-11-24T15:57:19-0700',mode:absolute,to:'2017-11-24T18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2" s="248" t="str">
        <f>IF(AA192&lt;VLOOKUP(AG192,Variables!$AC$3:$AD$8,2,FALSE),"Y","N")</f>
        <v>N</v>
      </c>
      <c r="X192" s="248">
        <f>VALUE(LEFT(AD192,4))-VALUE(LEFT(AD191,4))</f>
        <v>1</v>
      </c>
      <c r="Y192" s="248">
        <f>RIGHT(D192,LEN(D192)-4)/10000</f>
        <v>5.86</v>
      </c>
      <c r="Z192" s="248">
        <f>RIGHT(H192,LEN(H192)-4)/10000</f>
        <v>7.0800000000000002E-2</v>
      </c>
      <c r="AA192" s="248">
        <f>ABS(Z192-Y192)</f>
        <v>5.7892000000000001</v>
      </c>
      <c r="AB192" s="234" t="e">
        <f>VLOOKUP(A192,Enforcements!$C$7:$K$9,8,0)</f>
        <v>#N/A</v>
      </c>
      <c r="AC192" s="233" t="e">
        <f>VLOOKUP(A192,Enforcements!$C$7:$E$9,3,0)</f>
        <v>#N/A</v>
      </c>
      <c r="AD192" s="244">
        <f>VALUE(LEFT(A192,LEN(A192)-3))</f>
        <v>832</v>
      </c>
      <c r="AE192" s="236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s3://rtdc.mdm.uploadarchive.raw/RTDC4039/ "%USERPROFILE%\AppData\Local\Temp\OnboardLogs"\RTDC4039\2017-11-24 --exclude "*" --recursive --include "*20171124*" &amp; "%USERPROFILE%\Documents\GitHub\mrs-test-scripts\Headless Mode &amp; Sideloading\WalkAndUnGZ.bat" "%USERPROFILE%\AppData\Local\Temp\OnboardLogs"\RTDC4039\2017-11-24 &amp; aws s3 cp s3://rtdc.mdm.uploadarchive.raw/RTDC4039/ "%USERPROFILE%\AppData\Local\Temp\OnboardLogs"\RTDC4039\2017-11-25 --exclude "*" --recursive --include "*20171125*" &amp; "%USERPROFILE%\Documents\GitHub\mrs-test-scripts\Headless Mode &amp; Sideloading\WalkAndUnGZ.bat" "%USERPROFILE%\AppData\Local\Temp\OnboardLogs"\RTDC4039\2017-11-25</v>
      </c>
      <c r="AF192" s="235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/stypes="app*4039*20171125*" /stext=" 00:.+((SYSTEM_STATE.+slice.+state.+changed )|(ment ac)|(multiple cpu faults)|(system.+state.+changed )|(\[timeout)|(PRM\|1\|D)|(kpr)|(kdp)|(train st.+moving)|(\|lc)|(penalty))"</v>
      </c>
      <c r="AG192" s="245" t="str">
        <f>DetSubdiv(A192)</f>
        <v>NW</v>
      </c>
      <c r="AH192" s="237" t="str">
        <f t="shared" si="15"/>
        <v>"%USERPROFILE%\Documents\GitHub\eaglep3\Utilities\RefineRTDCRunTimes.py" --tripid 832-24 --locoid 4039 --swversion DE.1.0.9.0 --startMP 300:58600 --initTime 2017-11-24T16:57:19 --startdatetime 2017-11-24T17:00:31 --delay 78 --endMP 204:708 --enddatetime 2017-11-24T17:24:33 --enforcementcount 0 &gt;&gt;%USERPROFILE%\Documents\GitHub\eaglep3-reporting\EC\2017-11-24-refined-times.txt</v>
      </c>
      <c r="AI192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{"issue":{"subject":"","project_id":79,"tracker_id":40,"status_id":1,"priority_id":2,"assigned_to_id":338,"start_date":"2017-11-24","description":"","custom_fields":[{"id":1,"name":"Subdivision","value":"NW"},{"id":4,"name":"Milepost","value":"0.0708"},{"id":17,"name":"Train ID","value":"832-24"},{"id":16,"name":"Locomotive ID","value":"4039"},{"id":130,"name":"Impact","value":""},{"id":150,"name":"Time of Event (Mountain Time)","value":"17:24:33"},{"id":151,"name":"Denver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4"/>
      <c r="AK192" s="232"/>
      <c r="AL192" s="232"/>
      <c r="AM192" s="241" t="str">
        <f t="shared" si="17"/>
        <v>start /low /b %USERPROFILE%\Documents\GitHub\eaglep3\Utilities\DownloadLogsFromS3.py --loco 4039 --day 2017-11-24</v>
      </c>
      <c r="AN192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00:24:33"},{"id":29,"name":"Sharepoint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1" t="str">
        <f t="shared" si="19"/>
        <v>https://d0f6bd738d7f1b3e5a7ca70fe4ff75f0.us-east-1.aws.found.io/app/kibana#/discover/Steve-Slow-Train-Analysis-(2080s-and-2083s)?_g=(refreshInterval:(display:Off,pause:!f,section:0,value:0),time:(from:'2017-11-24T15:57:19-0700',mode:absolute,to:'2017-11-24T18:24:33-0700'))&amp;_a=(columns:!('Message%20ID',Summary),filters:!(),index:'emp_*',interval:auto,query:(query_string:(analyze_wildcard:!t,query:'%22rtdc.l.rtdc.4039%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30" t="s">
        <v>857</v>
      </c>
      <c r="B193" s="226">
        <v>4060</v>
      </c>
      <c r="C193" s="228" t="s">
        <v>192</v>
      </c>
      <c r="D193" s="228" t="s">
        <v>1096</v>
      </c>
      <c r="E193" s="227">
        <v>43063.706365740742</v>
      </c>
      <c r="F193" s="227">
        <v>43063.71503472222</v>
      </c>
      <c r="G193" s="226">
        <v>57</v>
      </c>
      <c r="H193" s="228" t="s">
        <v>645</v>
      </c>
      <c r="I193" s="227">
        <v>43063.725671296299</v>
      </c>
      <c r="J193" s="226">
        <v>0</v>
      </c>
      <c r="K193" s="238" t="str">
        <f>IF(ISEVEN(B193),(B193-1)&amp;"/"&amp;B193,B193&amp;"/"&amp;(B193+1))</f>
        <v>4059/4060</v>
      </c>
      <c r="L193" s="246" t="str">
        <f>VLOOKUP(A193,'Trips&amp;Operators'!$C$1:$G$99911,5,FALSE)</f>
        <v>BERLING GARY</v>
      </c>
      <c r="M193" s="225">
        <f>I193-F193</f>
        <v>1.0636574079398997E-2</v>
      </c>
      <c r="N193" s="226">
        <f>24*60*SUM($M193:$M193)</f>
        <v>15.316666674334556</v>
      </c>
      <c r="O193" s="226"/>
      <c r="P193" s="226"/>
      <c r="Q193" s="229"/>
      <c r="R193" s="243"/>
      <c r="S193" s="250">
        <f>1/IF(AG193="EC",12,1)*SUM(U193:U193)</f>
        <v>1</v>
      </c>
      <c r="T193" s="243" t="str">
        <f>IF(ISEVEN(LEFT(AD193,4)),"Southbound","NorthBound")</f>
        <v>NorthBound</v>
      </c>
      <c r="U193" s="24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9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-11-24T15:57:10-0700',mode:absolute,to:'2017-11-24T18:24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3" s="248" t="str">
        <f>IF(AA193&lt;VLOOKUP(AG193,Variables!$AC$3:$AD$8,2,FALSE),"Y","N")</f>
        <v>N</v>
      </c>
      <c r="X193" s="248">
        <f>VALUE(LEFT(AD193,4))-VALUE(LEFT(AD192,4))</f>
        <v>1</v>
      </c>
      <c r="Y193" s="248">
        <f>RIGHT(D193,LEN(D193)-4)/10000</f>
        <v>0.11</v>
      </c>
      <c r="Z193" s="248">
        <f>RIGHT(H193,LEN(H193)-4)/10000</f>
        <v>5.8968999999999996</v>
      </c>
      <c r="AA193" s="248">
        <f>ABS(Z193-Y193)</f>
        <v>5.7868999999999993</v>
      </c>
      <c r="AB193" s="234" t="e">
        <f>VLOOKUP(A193,Enforcements!$C$7:$K$9,8,0)</f>
        <v>#N/A</v>
      </c>
      <c r="AC193" s="233" t="e">
        <f>VLOOKUP(A193,Enforcements!$C$7:$E$9,3,0)</f>
        <v>#N/A</v>
      </c>
      <c r="AD193" s="244">
        <f>VALUE(LEFT(A193,LEN(A193)-3))</f>
        <v>833</v>
      </c>
      <c r="AE193" s="236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193" s="235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/stypes="app*4060*20171125*" /stext=" 00:.+((SYSTEM_STATE.+slice.+state.+changed )|(ment ac)|(multiple cpu faults)|(system.+state.+changed )|(\[timeout)|(PRM\|1\|D)|(kpr)|(kdp)|(train st.+moving)|(\|lc)|(penalty))"</v>
      </c>
      <c r="AG193" s="245" t="str">
        <f>DetSubdiv(A193)</f>
        <v>NW</v>
      </c>
      <c r="AH193" s="237" t="str">
        <f t="shared" si="15"/>
        <v>"%USERPROFILE%\Documents\GitHub\eaglep3\Utilities\RefineRTDCRunTimes.py" --tripid 833-24 --locoid 4060 --swversion DE.1.0.9.0 --startMP 204:1100 --initTime 2017-11-24T16:57:10 --startdatetime 2017-11-24T17:09:39 --delay 57 --endMP 300:58969 --enddatetime 2017-11-24T17:24:58 --enforcementcount 0 &gt;&gt;%USERPROFILE%\Documents\GitHub\eaglep3-reporting\EC\2017-11-24-refined-times.txt</v>
      </c>
      <c r="AI193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{"issue":{"subject":"","project_id":79,"tracker_id":40,"status_id":1,"priority_id":2,"assigned_to_id":338,"start_date":"2017-11-24","description":"","custom_fields":[{"id":1,"name":"Subdivision","value":"NW"},{"id":4,"name":"Milepost","value":"5.8969"},{"id":17,"name":"Train ID","value":"833-24"},{"id":16,"name":"Locomotive ID","value":"4060"},{"id":130,"name":"Impact","value":""},{"id":150,"name":"Time of Event (Mountain Time)","value":"17:24:58"},{"id":151,"name":"Denver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4"/>
      <c r="AK193" s="232"/>
      <c r="AL193" s="232"/>
      <c r="AM193" s="241" t="str">
        <f t="shared" si="17"/>
        <v>start /low /b %USERPROFILE%\Documents\GitHub\eaglep3\Utilities\DownloadLogsFromS3.py --loco 4060 --day 2017-11-24</v>
      </c>
      <c r="AN193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00:24:58"},{"id":29,"name":"Sharepoint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1" t="str">
        <f t="shared" si="19"/>
        <v>https://d0f6bd738d7f1b3e5a7ca70fe4ff75f0.us-east-1.aws.found.io/app/kibana#/discover/Steve-Slow-Train-Analysis-(2080s-and-2083s)?_g=(refreshInterval:(display:Off,pause:!f,section:0,value:0),time:(from:'2017-11-24T15:57:10-0700',mode:absolute,to:'2017-11-24T18:24:58-0700'))&amp;_a=(columns:!('Message%20ID',Summary),filters:!(),index:'emp_*',interval:auto,query:(query_string:(analyze_wildcard:!t,query:'%22rtdc.l.rtdc.4060%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30" t="s">
        <v>863</v>
      </c>
      <c r="B194" s="226">
        <v>4059</v>
      </c>
      <c r="C194" s="228" t="s">
        <v>192</v>
      </c>
      <c r="D194" s="228" t="s">
        <v>1097</v>
      </c>
      <c r="E194" s="227">
        <v>43063.727280092593</v>
      </c>
      <c r="F194" s="227">
        <v>43063.738194444442</v>
      </c>
      <c r="G194" s="226">
        <v>96</v>
      </c>
      <c r="H194" s="228" t="s">
        <v>1098</v>
      </c>
      <c r="I194" s="227">
        <v>43063.74622685185</v>
      </c>
      <c r="J194" s="226">
        <v>0</v>
      </c>
      <c r="K194" s="238" t="str">
        <f>IF(ISEVEN(B194),(B194-1)&amp;"/"&amp;B194,B194&amp;"/"&amp;(B194+1))</f>
        <v>4059/4060</v>
      </c>
      <c r="L194" s="246" t="str">
        <f>VLOOKUP(A194,'Trips&amp;Operators'!$C$1:$G$99911,5,FALSE)</f>
        <v>BERLING GARY</v>
      </c>
      <c r="M194" s="225">
        <f>I194-F194</f>
        <v>8.0324074078816921E-3</v>
      </c>
      <c r="N194" s="226">
        <f>24*60*SUM($M194:$M194)</f>
        <v>11.566666667349637</v>
      </c>
      <c r="O194" s="226"/>
      <c r="P194" s="226"/>
      <c r="Q194" s="229"/>
      <c r="R194" s="243"/>
      <c r="S194" s="250">
        <f>1/IF(AG194="EC",12,1)*SUM(U194:U194)</f>
        <v>1</v>
      </c>
      <c r="T194" s="243" t="str">
        <f>IF(ISEVEN(LEFT(AD194,4)),"Southbound","NorthBound")</f>
        <v>Southbound</v>
      </c>
      <c r="U194" s="24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9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-11-24T16:27:17-0700',mode:absolute,to:'2017-11-24T18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4" s="248" t="str">
        <f>IF(AA194&lt;VLOOKUP(AG194,Variables!$AC$3:$AD$8,2,FALSE),"Y","N")</f>
        <v>N</v>
      </c>
      <c r="X194" s="248">
        <f>VALUE(LEFT(AD194,4))-VALUE(LEFT(AD193,4))</f>
        <v>1</v>
      </c>
      <c r="Y194" s="248">
        <f>RIGHT(D194,LEN(D194)-4)/10000</f>
        <v>5.8651</v>
      </c>
      <c r="Z194" s="248">
        <f>RIGHT(H194,LEN(H194)-4)/10000</f>
        <v>8.2000000000000003E-2</v>
      </c>
      <c r="AA194" s="248">
        <f>ABS(Z194-Y194)</f>
        <v>5.7831000000000001</v>
      </c>
      <c r="AB194" s="234" t="e">
        <f>VLOOKUP(A194,Enforcements!$C$7:$K$9,8,0)</f>
        <v>#N/A</v>
      </c>
      <c r="AC194" s="233" t="e">
        <f>VLOOKUP(A194,Enforcements!$C$7:$E$9,3,0)</f>
        <v>#N/A</v>
      </c>
      <c r="AD194" s="244">
        <f>VALUE(LEFT(A194,LEN(A194)-3))</f>
        <v>834</v>
      </c>
      <c r="AE194" s="236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194" s="235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/stypes="app*4059*20171125*" /stext=" 00:.+((SYSTEM_STATE.+slice.+state.+changed )|(ment ac)|(multiple cpu faults)|(system.+state.+changed )|(\[timeout)|(PRM\|1\|D)|(kpr)|(kdp)|(train st.+moving)|(\|lc)|(penalty))"</v>
      </c>
      <c r="AG194" s="245" t="str">
        <f>DetSubdiv(A194)</f>
        <v>NW</v>
      </c>
      <c r="AH194" s="237" t="str">
        <f t="shared" si="15"/>
        <v>"%USERPROFILE%\Documents\GitHub\eaglep3\Utilities\RefineRTDCRunTimes.py" --tripid 834-24 --locoid 4059 --swversion DE.1.0.9.0 --startMP 300:58651 --initTime 2017-11-24T17:27:17 --startdatetime 2017-11-24T17:43:00 --delay 96 --endMP 204:820 --enddatetime 2017-11-24T17:54:34 --enforcementcount 0 &gt;&gt;%USERPROFILE%\Documents\GitHub\eaglep3-reporting\EC\2017-11-24-refined-times.txt</v>
      </c>
      <c r="AI194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{"issue":{"subject":"","project_id":79,"tracker_id":40,"status_id":1,"priority_id":2,"assigned_to_id":338,"start_date":"2017-11-24","description":"","custom_fields":[{"id":1,"name":"Subdivision","value":"NW"},{"id":4,"name":"Milepost","value":"0.082"},{"id":17,"name":"Train ID","value":"834-24"},{"id":16,"name":"Locomotive ID","value":"4059"},{"id":130,"name":"Impact","value":""},{"id":150,"name":"Time of Event (Mountain Time)","value":"17:54:34"},{"id":151,"name":"Denver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4"/>
      <c r="AK194" s="232"/>
      <c r="AL194" s="232"/>
      <c r="AM194" s="241" t="str">
        <f t="shared" si="17"/>
        <v>start /low /b %USERPROFILE%\Documents\GitHub\eaglep3\Utilities\DownloadLogsFromS3.py --loco 4059 --day 2017-11-24</v>
      </c>
      <c r="AN194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00:54:34"},{"id":29,"name":"Sharepoint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1" t="str">
        <f t="shared" si="19"/>
        <v>https://d0f6bd738d7f1b3e5a7ca70fe4ff75f0.us-east-1.aws.found.io/app/kibana#/discover/Steve-Slow-Train-Analysis-(2080s-and-2083s)?_g=(refreshInterval:(display:Off,pause:!f,section:0,value:0),time:(from:'2017-11-24T16:27:17-0700',mode:absolute,to:'2017-11-24T18:54:34-0700'))&amp;_a=(columns:!('Message%20ID',Summary),filters:!(),index:'emp_*',interval:auto,query:(query_string:(analyze_wildcard:!t,query:'%22rtdc.l.rtdc.4059%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30" t="s">
        <v>864</v>
      </c>
      <c r="B195" s="226">
        <v>4040</v>
      </c>
      <c r="C195" s="228" t="s">
        <v>192</v>
      </c>
      <c r="D195" s="228" t="s">
        <v>650</v>
      </c>
      <c r="E195" s="227">
        <v>43063.728101851855</v>
      </c>
      <c r="F195" s="227">
        <v>43063.73574074074</v>
      </c>
      <c r="G195" s="226">
        <v>72</v>
      </c>
      <c r="H195" s="228" t="s">
        <v>522</v>
      </c>
      <c r="I195" s="227">
        <v>43063.746099537035</v>
      </c>
      <c r="J195" s="226">
        <v>0</v>
      </c>
      <c r="K195" s="238" t="str">
        <f>IF(ISEVEN(B195),(B195-1)&amp;"/"&amp;B195,B195&amp;"/"&amp;(B195+1))</f>
        <v>4039/4040</v>
      </c>
      <c r="L195" s="246" t="str">
        <f>VLOOKUP(A195,'Trips&amp;Operators'!$C$1:$G$99911,5,FALSE)</f>
        <v>HAMMOND JUSTYNN</v>
      </c>
      <c r="M195" s="225">
        <f>I195-F195</f>
        <v>1.0358796294895001E-2</v>
      </c>
      <c r="N195" s="226">
        <f>24*60*SUM($M195:$M195)</f>
        <v>14.916666664648801</v>
      </c>
      <c r="O195" s="226"/>
      <c r="P195" s="226"/>
      <c r="Q195" s="229"/>
      <c r="R195" s="243"/>
      <c r="S195" s="250">
        <f>1/IF(AG195="EC",12,1)*SUM(U195:U195)</f>
        <v>1</v>
      </c>
      <c r="T195" s="243" t="str">
        <f>IF(ISEVEN(LEFT(AD195,4)),"Southbound","NorthBound")</f>
        <v>NorthBound</v>
      </c>
      <c r="U195" s="24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9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-11-24T16:28:28-0700',mode:absolute,to:'2017-11-24T18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5" s="248" t="str">
        <f>IF(AA195&lt;VLOOKUP(AG195,Variables!$AC$3:$AD$8,2,FALSE),"Y","N")</f>
        <v>N</v>
      </c>
      <c r="X195" s="248">
        <f>VALUE(LEFT(AD195,4))-VALUE(LEFT(AD194,4))</f>
        <v>1</v>
      </c>
      <c r="Y195" s="248">
        <f>RIGHT(D195,LEN(D195)-4)/10000</f>
        <v>9.9199999999999997E-2</v>
      </c>
      <c r="Z195" s="248">
        <f>RIGHT(H195,LEN(H195)-4)/10000</f>
        <v>5.8924000000000003</v>
      </c>
      <c r="AA195" s="248">
        <f>ABS(Z195-Y195)</f>
        <v>5.7932000000000006</v>
      </c>
      <c r="AB195" s="234" t="e">
        <f>VLOOKUP(A195,Enforcements!$C$7:$K$9,8,0)</f>
        <v>#N/A</v>
      </c>
      <c r="AC195" s="233" t="e">
        <f>VLOOKUP(A195,Enforcements!$C$7:$E$9,3,0)</f>
        <v>#N/A</v>
      </c>
      <c r="AD195" s="244">
        <f>VALUE(LEFT(A195,LEN(A195)-3))</f>
        <v>835</v>
      </c>
      <c r="AE195" s="236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s3://rtdc.mdm.uploadarchive.raw/RTDC4040/ "%USERPROFILE%\AppData\Local\Temp\OnboardLogs"\RTDC4040\2017-11-24 --exclude "*" --recursive --include "*20171124*" &amp; "%USERPROFILE%\Documents\GitHub\mrs-test-scripts\Headless Mode &amp; Sideloading\WalkAndUnGZ.bat" "%USERPROFILE%\AppData\Local\Temp\OnboardLogs"\RTDC4040\2017-11-24 &amp; aws s3 cp s3://rtdc.mdm.uploadarchive.raw/RTDC4040/ "%USERPROFILE%\AppData\Local\Temp\OnboardLogs"\RTDC4040\2017-11-25 --exclude "*" --recursive --include "*20171125*" &amp; "%USERPROFILE%\Documents\GitHub\mrs-test-scripts\Headless Mode &amp; Sideloading\WalkAndUnGZ.bat" "%USERPROFILE%\AppData\Local\Temp\OnboardLogs"\RTDC4040\2017-11-25</v>
      </c>
      <c r="AF195" s="235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/stypes="app*4040*20171125*" /stext=" 00:.+((SYSTEM_STATE.+slice.+state.+changed )|(ment ac)|(multiple cpu faults)|(system.+state.+changed )|(\[timeout)|(PRM\|1\|D)|(kpr)|(kdp)|(train st.+moving)|(\|lc)|(penalty))"</v>
      </c>
      <c r="AG195" s="245" t="str">
        <f>DetSubdiv(A195)</f>
        <v>NW</v>
      </c>
      <c r="AH195" s="237" t="str">
        <f t="shared" si="15"/>
        <v>"%USERPROFILE%\Documents\GitHub\eaglep3\Utilities\RefineRTDCRunTimes.py" --tripid 835-24 --locoid 4040 --swversion DE.1.0.9.0 --startMP 204:992 --initTime 2017-11-24T17:28:28 --startdatetime 2017-11-24T17:39:28 --delay 72 --endMP 300:58924 --enddatetime 2017-11-24T17:54:23 --enforcementcount 0 &gt;&gt;%USERPROFILE%\Documents\GitHub\eaglep3-reporting\EC\2017-11-24-refined-times.txt</v>
      </c>
      <c r="AI195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{"issue":{"subject":"","project_id":79,"tracker_id":40,"status_id":1,"priority_id":2,"assigned_to_id":338,"start_date":"2017-11-24","description":"","custom_fields":[{"id":1,"name":"Subdivision","value":"NW"},{"id":4,"name":"Milepost","value":"5.8924"},{"id":17,"name":"Train ID","value":"835-24"},{"id":16,"name":"Locomotive ID","value":"4040"},{"id":130,"name":"Impact","value":""},{"id":150,"name":"Time of Event (Mountain Time)","value":"17:54:23"},{"id":151,"name":"Denver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4"/>
      <c r="AK195" s="232"/>
      <c r="AL195" s="232"/>
      <c r="AM195" s="241" t="str">
        <f t="shared" si="17"/>
        <v>start /low /b %USERPROFILE%\Documents\GitHub\eaglep3\Utilities\DownloadLogsFromS3.py --loco 4040 --day 2017-11-24</v>
      </c>
      <c r="AN195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00:54:23"},{"id":29,"name":"Sharepoint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1" t="str">
        <f t="shared" si="19"/>
        <v>https://d0f6bd738d7f1b3e5a7ca70fe4ff75f0.us-east-1.aws.found.io/app/kibana#/discover/Steve-Slow-Train-Analysis-(2080s-and-2083s)?_g=(refreshInterval:(display:Off,pause:!f,section:0,value:0),time:(from:'2017-11-24T16:28:28-0700',mode:absolute,to:'2017-11-24T18:54:23-0700'))&amp;_a=(columns:!('Message%20ID',Summary),filters:!(),index:'emp_*',interval:auto,query:(query_string:(analyze_wildcard:!t,query:'%22rtdc.l.rtdc.4040%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30" t="s">
        <v>870</v>
      </c>
      <c r="B196" s="226">
        <v>4039</v>
      </c>
      <c r="C196" s="228" t="s">
        <v>192</v>
      </c>
      <c r="D196" s="228" t="s">
        <v>1099</v>
      </c>
      <c r="E196" s="227">
        <v>43063.747766203705</v>
      </c>
      <c r="F196" s="227">
        <v>43063.759027777778</v>
      </c>
      <c r="G196" s="226">
        <v>51</v>
      </c>
      <c r="H196" s="228" t="s">
        <v>1100</v>
      </c>
      <c r="I196" s="227">
        <v>43063.768182870372</v>
      </c>
      <c r="J196" s="226">
        <v>0</v>
      </c>
      <c r="K196" s="238" t="str">
        <f>IF(ISEVEN(B196),(B196-1)&amp;"/"&amp;B196,B196&amp;"/"&amp;(B196+1))</f>
        <v>4039/4040</v>
      </c>
      <c r="L196" s="246" t="str">
        <f>VLOOKUP(A196,'Trips&amp;Operators'!$C$1:$G$99911,5,FALSE)</f>
        <v>HAMMOND JUSTYNN</v>
      </c>
      <c r="M196" s="225">
        <f>I196-F196</f>
        <v>9.1550925935734995E-3</v>
      </c>
      <c r="N196" s="226">
        <f>24*60*SUM($M196:$M196)</f>
        <v>13.183333334745839</v>
      </c>
      <c r="O196" s="226"/>
      <c r="P196" s="226"/>
      <c r="Q196" s="229"/>
      <c r="R196" s="243"/>
      <c r="S196" s="250">
        <f>1/IF(AG196="EC",12,1)*SUM(U196:U196)</f>
        <v>1</v>
      </c>
      <c r="T196" s="243" t="str">
        <f>IF(ISEVEN(LEFT(AD196,4)),"Southbound","NorthBound")</f>
        <v>Southbound</v>
      </c>
      <c r="U196" s="24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9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-11-24T16:56:47-0700',mode:absolute,to:'2017-11-24T19:26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6" s="248" t="str">
        <f>IF(AA196&lt;VLOOKUP(AG196,Variables!$AC$3:$AD$8,2,FALSE),"Y","N")</f>
        <v>N</v>
      </c>
      <c r="X196" s="248">
        <f>VALUE(LEFT(AD196,4))-VALUE(LEFT(AD195,4))</f>
        <v>1</v>
      </c>
      <c r="Y196" s="248">
        <f>RIGHT(D196,LEN(D196)-4)/10000</f>
        <v>5.8601999999999999</v>
      </c>
      <c r="Z196" s="248">
        <f>RIGHT(H196,LEN(H196)-4)/10000</f>
        <v>7.1199999999999999E-2</v>
      </c>
      <c r="AA196" s="248">
        <f>ABS(Z196-Y196)</f>
        <v>5.7889999999999997</v>
      </c>
      <c r="AB196" s="234" t="e">
        <f>VLOOKUP(A196,Enforcements!$C$7:$K$9,8,0)</f>
        <v>#N/A</v>
      </c>
      <c r="AC196" s="233" t="e">
        <f>VLOOKUP(A196,Enforcements!$C$7:$E$9,3,0)</f>
        <v>#N/A</v>
      </c>
      <c r="AD196" s="244">
        <f>VALUE(LEFT(A196,LEN(A196)-3))</f>
        <v>836</v>
      </c>
      <c r="AE196" s="236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s3://rtdc.mdm.uploadarchive.raw/RTDC4039/ "%USERPROFILE%\AppData\Local\Temp\OnboardLogs"\RTDC4039\2017-11-24 --exclude "*" --recursive --include "*20171124*" &amp; "%USERPROFILE%\Documents\GitHub\mrs-test-scripts\Headless Mode &amp; Sideloading\WalkAndUnGZ.bat" "%USERPROFILE%\AppData\Local\Temp\OnboardLogs"\RTDC4039\2017-11-24 &amp; aws s3 cp s3://rtdc.mdm.uploadarchive.raw/RTDC4039/ "%USERPROFILE%\AppData\Local\Temp\OnboardLogs"\RTDC4039\2017-11-25 --exclude "*" --recursive --include "*20171125*" &amp; "%USERPROFILE%\Documents\GitHub\mrs-test-scripts\Headless Mode &amp; Sideloading\WalkAndUnGZ.bat" "%USERPROFILE%\AppData\Local\Temp\OnboardLogs"\RTDC4039\2017-11-25</v>
      </c>
      <c r="AF196" s="235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/stypes="app*4039*20171125*" /stext=" 01:.+((SYSTEM_STATE.+slice.+state.+changed )|(ment ac)|(multiple cpu faults)|(system.+state.+changed )|(\[timeout)|(PRM\|1\|D)|(kpr)|(kdp)|(train st.+moving)|(\|lc)|(penalty))"</v>
      </c>
      <c r="AG196" s="245" t="str">
        <f>DetSubdiv(A196)</f>
        <v>NW</v>
      </c>
      <c r="AH196" s="237" t="str">
        <f t="shared" si="15"/>
        <v>"%USERPROFILE%\Documents\GitHub\eaglep3\Utilities\RefineRTDCRunTimes.py" --tripid 836-24 --locoid 4039 --swversion DE.1.0.9.0 --startMP 300:58602 --initTime 2017-11-24T17:56:47 --startdatetime 2017-11-24T18:13:00 --delay 51 --endMP 204:712 --enddatetime 2017-11-24T18:26:11 --enforcementcount 0 &gt;&gt;%USERPROFILE%\Documents\GitHub\eaglep3-reporting\EC\2017-11-24-refined-times.txt</v>
      </c>
      <c r="AI196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{"issue":{"subject":"","project_id":79,"tracker_id":40,"status_id":1,"priority_id":2,"assigned_to_id":338,"start_date":"2017-11-24","description":"","custom_fields":[{"id":1,"name":"Subdivision","value":"NW"},{"id":4,"name":"Milepost","value":"0.0712"},{"id":17,"name":"Train ID","value":"836-24"},{"id":16,"name":"Locomotive ID","value":"4039"},{"id":130,"name":"Impact","value":""},{"id":150,"name":"Time of Event (Mountain Time)","value":"18:26:11"},{"id":151,"name":"Denver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4"/>
      <c r="AK196" s="232"/>
      <c r="AL196" s="232"/>
      <c r="AM196" s="241" t="str">
        <f t="shared" si="17"/>
        <v>start /low /b %USERPROFILE%\Documents\GitHub\eaglep3\Utilities\DownloadLogsFromS3.py --loco 4039 --day 2017-11-24</v>
      </c>
      <c r="AN196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01:26:11"},{"id":29,"name":"Sharepoint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1" t="str">
        <f t="shared" si="19"/>
        <v>https://d0f6bd738d7f1b3e5a7ca70fe4ff75f0.us-east-1.aws.found.io/app/kibana#/discover/Steve-Slow-Train-Analysis-(2080s-and-2083s)?_g=(refreshInterval:(display:Off,pause:!f,section:0,value:0),time:(from:'2017-11-24T16:56:47-0700',mode:absolute,to:'2017-11-24T19:26:11-0700'))&amp;_a=(columns:!('Message%20ID',Summary),filters:!(),index:'emp_*',interval:auto,query:(query_string:(analyze_wildcard:!t,query:'%22rtdc.l.rtdc.4039%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30" t="s">
        <v>871</v>
      </c>
      <c r="B197" s="226">
        <v>4060</v>
      </c>
      <c r="C197" s="228" t="s">
        <v>192</v>
      </c>
      <c r="D197" s="228" t="s">
        <v>644</v>
      </c>
      <c r="E197" s="227">
        <v>43063.75240740741</v>
      </c>
      <c r="F197" s="227">
        <v>43063.756412037037</v>
      </c>
      <c r="G197" s="226">
        <v>88</v>
      </c>
      <c r="H197" s="228" t="s">
        <v>656</v>
      </c>
      <c r="I197" s="227">
        <v>43063.768159722225</v>
      </c>
      <c r="J197" s="226">
        <v>0</v>
      </c>
      <c r="K197" s="238" t="str">
        <f>IF(ISEVEN(B197),(B197-1)&amp;"/"&amp;B197,B197&amp;"/"&amp;(B197+1))</f>
        <v>4059/4060</v>
      </c>
      <c r="L197" s="246" t="str">
        <f>VLOOKUP(A197,'Trips&amp;Operators'!$C$1:$G$99911,5,FALSE)</f>
        <v>BERLING GARY</v>
      </c>
      <c r="M197" s="225">
        <f>I197-F197</f>
        <v>1.1747685188311152E-2</v>
      </c>
      <c r="N197" s="226">
        <f>24*60*SUM($M197:$M197)</f>
        <v>16.916666671168059</v>
      </c>
      <c r="O197" s="226"/>
      <c r="P197" s="226"/>
      <c r="Q197" s="229"/>
      <c r="R197" s="243"/>
      <c r="S197" s="250">
        <f>1/IF(AG197="EC",12,1)*SUM(U197:U197)</f>
        <v>1</v>
      </c>
      <c r="T197" s="243" t="str">
        <f>IF(ISEVEN(LEFT(AD197,4)),"Southbound","NorthBound")</f>
        <v>NorthBound</v>
      </c>
      <c r="U197" s="24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9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-11-24T17:03:28-0700',mode:absolute,to:'2017-11-24T19:26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7" s="248" t="str">
        <f>IF(AA197&lt;VLOOKUP(AG197,Variables!$AC$3:$AD$8,2,FALSE),"Y","N")</f>
        <v>N</v>
      </c>
      <c r="X197" s="248">
        <f>VALUE(LEFT(AD197,4))-VALUE(LEFT(AD196,4))</f>
        <v>1</v>
      </c>
      <c r="Y197" s="248">
        <f>RIGHT(D197,LEN(D197)-4)/10000</f>
        <v>0.1114</v>
      </c>
      <c r="Z197" s="248">
        <f>RIGHT(H197,LEN(H197)-4)/10000</f>
        <v>5.8971</v>
      </c>
      <c r="AA197" s="248">
        <f>ABS(Z197-Y197)</f>
        <v>5.7857000000000003</v>
      </c>
      <c r="AB197" s="234" t="e">
        <f>VLOOKUP(A197,Enforcements!$C$7:$K$9,8,0)</f>
        <v>#N/A</v>
      </c>
      <c r="AC197" s="233" t="e">
        <f>VLOOKUP(A197,Enforcements!$C$7:$E$9,3,0)</f>
        <v>#N/A</v>
      </c>
      <c r="AD197" s="244">
        <f>VALUE(LEFT(A197,LEN(A197)-3))</f>
        <v>837</v>
      </c>
      <c r="AE197" s="236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197" s="235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/stypes="app*4060*20171125*" /stext=" 01:.+((SYSTEM_STATE.+slice.+state.+changed )|(ment ac)|(multiple cpu faults)|(system.+state.+changed )|(\[timeout)|(PRM\|1\|D)|(kpr)|(kdp)|(train st.+moving)|(\|lc)|(penalty))"</v>
      </c>
      <c r="AG197" s="245" t="str">
        <f>DetSubdiv(A197)</f>
        <v>NW</v>
      </c>
      <c r="AH197" s="237" t="str">
        <f t="shared" si="15"/>
        <v>"%USERPROFILE%\Documents\GitHub\eaglep3\Utilities\RefineRTDCRunTimes.py" --tripid 837-24 --locoid 4060 --swversion DE.1.0.9.0 --startMP 204:1114 --initTime 2017-11-24T18:03:28 --startdatetime 2017-11-24T18:09:14 --delay 88 --endMP 300:58971 --enddatetime 2017-11-24T18:26:09 --enforcementcount 0 &gt;&gt;%USERPROFILE%\Documents\GitHub\eaglep3-reporting\EC\2017-11-24-refined-times.txt</v>
      </c>
      <c r="AI197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{"issue":{"subject":"","project_id":79,"tracker_id":40,"status_id":1,"priority_id":2,"assigned_to_id":338,"start_date":"2017-11-24","description":"","custom_fields":[{"id":1,"name":"Subdivision","value":"NW"},{"id":4,"name":"Milepost","value":"5.8971"},{"id":17,"name":"Train ID","value":"837-24"},{"id":16,"name":"Locomotive ID","value":"4060"},{"id":130,"name":"Impact","value":""},{"id":150,"name":"Time of Event (Mountain Time)","value":"18:26:09"},{"id":151,"name":"Denver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4"/>
      <c r="AK197" s="232"/>
      <c r="AL197" s="232"/>
      <c r="AM197" s="241" t="str">
        <f t="shared" si="17"/>
        <v>start /low /b %USERPROFILE%\Documents\GitHub\eaglep3\Utilities\DownloadLogsFromS3.py --loco 4060 --day 2017-11-24</v>
      </c>
      <c r="AN197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01:26:09"},{"id":29,"name":"Sharepoint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1" t="str">
        <f t="shared" si="19"/>
        <v>https://d0f6bd738d7f1b3e5a7ca70fe4ff75f0.us-east-1.aws.found.io/app/kibana#/discover/Steve-Slow-Train-Analysis-(2080s-and-2083s)?_g=(refreshInterval:(display:Off,pause:!f,section:0,value:0),time:(from:'2017-11-24T17:03:28-0700',mode:absolute,to:'2017-11-24T19:26:09-0700'))&amp;_a=(columns:!('Message%20ID',Summary),filters:!(),index:'emp_*',interval:auto,query:(query_string:(analyze_wildcard:!t,query:'%22rtdc.l.rtdc.4060%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30" t="s">
        <v>876</v>
      </c>
      <c r="B198" s="226">
        <v>4059</v>
      </c>
      <c r="C198" s="228" t="s">
        <v>192</v>
      </c>
      <c r="D198" s="228" t="s">
        <v>633</v>
      </c>
      <c r="E198" s="227">
        <v>43063.769479166665</v>
      </c>
      <c r="F198" s="227">
        <v>43063.779861111114</v>
      </c>
      <c r="G198" s="226">
        <v>52</v>
      </c>
      <c r="H198" s="228" t="s">
        <v>1101</v>
      </c>
      <c r="I198" s="227">
        <v>43063.788773148146</v>
      </c>
      <c r="J198" s="226">
        <v>0</v>
      </c>
      <c r="K198" s="238" t="str">
        <f>IF(ISEVEN(B198),(B198-1)&amp;"/"&amp;B198,B198&amp;"/"&amp;(B198+1))</f>
        <v>4059/4060</v>
      </c>
      <c r="L198" s="246" t="str">
        <f>VLOOKUP(A198,'Trips&amp;Operators'!$C$1:$G$99911,5,FALSE)</f>
        <v>BERLING GARY</v>
      </c>
      <c r="M198" s="225">
        <f>I198-F198</f>
        <v>8.9120370321325026E-3</v>
      </c>
      <c r="N198" s="226">
        <f>24*60*SUM($M198:$M198)</f>
        <v>12.833333326270804</v>
      </c>
      <c r="O198" s="226"/>
      <c r="P198" s="226"/>
      <c r="Q198" s="229"/>
      <c r="R198" s="243"/>
      <c r="S198" s="250">
        <f>1/IF(AG198="EC",12,1)*SUM(U198:U198)</f>
        <v>1</v>
      </c>
      <c r="T198" s="243" t="str">
        <f>IF(ISEVEN(LEFT(AD198,4)),"Southbound","NorthBound")</f>
        <v>Southbound</v>
      </c>
      <c r="U198" s="24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9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-11-24T17:28:03-0700',mode:absolute,to:'2017-11-24T19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8" s="248" t="str">
        <f>IF(AA198&lt;VLOOKUP(AG198,Variables!$AC$3:$AD$8,2,FALSE),"Y","N")</f>
        <v>N</v>
      </c>
      <c r="X198" s="248">
        <f>VALUE(LEFT(AD198,4))-VALUE(LEFT(AD197,4))</f>
        <v>1</v>
      </c>
      <c r="Y198" s="248">
        <f>RIGHT(D198,LEN(D198)-4)/10000</f>
        <v>5.8653000000000004</v>
      </c>
      <c r="Z198" s="248">
        <f>RIGHT(H198,LEN(H198)-4)/10000</f>
        <v>8.1299999999999997E-2</v>
      </c>
      <c r="AA198" s="248">
        <f>ABS(Z198-Y198)</f>
        <v>5.7840000000000007</v>
      </c>
      <c r="AB198" s="234" t="e">
        <f>VLOOKUP(A198,Enforcements!$C$7:$K$9,8,0)</f>
        <v>#N/A</v>
      </c>
      <c r="AC198" s="233" t="e">
        <f>VLOOKUP(A198,Enforcements!$C$7:$E$9,3,0)</f>
        <v>#N/A</v>
      </c>
      <c r="AD198" s="244">
        <f>VALUE(LEFT(A198,LEN(A198)-3))</f>
        <v>838</v>
      </c>
      <c r="AE198" s="236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198" s="235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/stypes="app*4059*20171125*" /stext=" 01:.+((SYSTEM_STATE.+slice.+state.+changed )|(ment ac)|(multiple cpu faults)|(system.+state.+changed )|(\[timeout)|(PRM\|1\|D)|(kpr)|(kdp)|(train st.+moving)|(\|lc)|(penalty))"</v>
      </c>
      <c r="AG198" s="245" t="str">
        <f>DetSubdiv(A198)</f>
        <v>NW</v>
      </c>
      <c r="AH198" s="237" t="str">
        <f t="shared" si="15"/>
        <v>"%USERPROFILE%\Documents\GitHub\eaglep3\Utilities\RefineRTDCRunTimes.py" --tripid 838-24 --locoid 4059 --swversion DE.1.0.9.0 --startMP 300:58653 --initTime 2017-11-24T18:28:03 --startdatetime 2017-11-24T18:43:00 --delay 52 --endMP 204:813 --enddatetime 2017-11-24T18:55:50 --enforcementcount 0 &gt;&gt;%USERPROFILE%\Documents\GitHub\eaglep3-reporting\EC\2017-11-24-refined-times.txt</v>
      </c>
      <c r="AI198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{"issue":{"subject":"","project_id":79,"tracker_id":40,"status_id":1,"priority_id":2,"assigned_to_id":338,"start_date":"2017-11-24","description":"","custom_fields":[{"id":1,"name":"Subdivision","value":"NW"},{"id":4,"name":"Milepost","value":"0.0813"},{"id":17,"name":"Train ID","value":"838-24"},{"id":16,"name":"Locomotive ID","value":"4059"},{"id":130,"name":"Impact","value":""},{"id":150,"name":"Time of Event (Mountain Time)","value":"18:55:50"},{"id":151,"name":"Denver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4"/>
      <c r="AK198" s="232"/>
      <c r="AL198" s="232"/>
      <c r="AM198" s="241" t="str">
        <f t="shared" si="17"/>
        <v>start /low /b %USERPROFILE%\Documents\GitHub\eaglep3\Utilities\DownloadLogsFromS3.py --loco 4059 --day 2017-11-24</v>
      </c>
      <c r="AN198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01:55:50"},{"id":29,"name":"Sharepoint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1" t="str">
        <f t="shared" si="19"/>
        <v>https://d0f6bd738d7f1b3e5a7ca70fe4ff75f0.us-east-1.aws.found.io/app/kibana#/discover/Steve-Slow-Train-Analysis-(2080s-and-2083s)?_g=(refreshInterval:(display:Off,pause:!f,section:0,value:0),time:(from:'2017-11-24T17:28:03-0700',mode:absolute,to:'2017-11-24T19:55:50-0700'))&amp;_a=(columns:!('Message%20ID',Summary),filters:!(),index:'emp_*',interval:auto,query:(query_string:(analyze_wildcard:!t,query:'%22rtdc.l.rtdc.4059%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30" t="s">
        <v>877</v>
      </c>
      <c r="B199" s="226">
        <v>4040</v>
      </c>
      <c r="C199" s="228" t="s">
        <v>192</v>
      </c>
      <c r="D199" s="228" t="s">
        <v>1102</v>
      </c>
      <c r="E199" s="227">
        <v>43063.769525462965</v>
      </c>
      <c r="F199" s="227">
        <v>43063.778009259258</v>
      </c>
      <c r="G199" s="226">
        <v>57</v>
      </c>
      <c r="H199" s="228" t="s">
        <v>522</v>
      </c>
      <c r="I199" s="227">
        <v>43063.788032407407</v>
      </c>
      <c r="J199" s="226">
        <v>0</v>
      </c>
      <c r="K199" s="238" t="str">
        <f>IF(ISEVEN(B199),(B199-1)&amp;"/"&amp;B199,B199&amp;"/"&amp;(B199+1))</f>
        <v>4039/4040</v>
      </c>
      <c r="L199" s="246" t="str">
        <f>VLOOKUP(A199,'Trips&amp;Operators'!$C$1:$G$99911,5,FALSE)</f>
        <v>HAMMOND JUSTYNN</v>
      </c>
      <c r="M199" s="225">
        <f>I199-F199</f>
        <v>1.0023148148320615E-2</v>
      </c>
      <c r="N199" s="226">
        <f>24*60*SUM($M199:$M199)</f>
        <v>14.433333333581686</v>
      </c>
      <c r="O199" s="226"/>
      <c r="P199" s="226"/>
      <c r="Q199" s="229"/>
      <c r="R199" s="243"/>
      <c r="S199" s="250">
        <f>1/IF(AG199="EC",12,1)*SUM(U199:U199)</f>
        <v>1</v>
      </c>
      <c r="T199" s="243" t="str">
        <f>IF(ISEVEN(LEFT(AD199,4)),"Southbound","NorthBound")</f>
        <v>NorthBound</v>
      </c>
      <c r="U199" s="24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9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-11-24T17:28:07-0700',mode:absolute,to:'2017-11-24T19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9" s="248" t="str">
        <f>IF(AA199&lt;VLOOKUP(AG199,Variables!$AC$3:$AD$8,2,FALSE),"Y","N")</f>
        <v>N</v>
      </c>
      <c r="X199" s="248">
        <f>VALUE(LEFT(AD199,4))-VALUE(LEFT(AD198,4))</f>
        <v>1</v>
      </c>
      <c r="Y199" s="248">
        <f>RIGHT(D199,LEN(D199)-4)/10000</f>
        <v>9.8599999999999993E-2</v>
      </c>
      <c r="Z199" s="248">
        <f>RIGHT(H199,LEN(H199)-4)/10000</f>
        <v>5.8924000000000003</v>
      </c>
      <c r="AA199" s="248">
        <f>ABS(Z199-Y199)</f>
        <v>5.7938000000000001</v>
      </c>
      <c r="AB199" s="234" t="e">
        <f>VLOOKUP(A199,Enforcements!$C$7:$K$9,8,0)</f>
        <v>#N/A</v>
      </c>
      <c r="AC199" s="233" t="e">
        <f>VLOOKUP(A199,Enforcements!$C$7:$E$9,3,0)</f>
        <v>#N/A</v>
      </c>
      <c r="AD199" s="244">
        <f>VALUE(LEFT(A199,LEN(A199)-3))</f>
        <v>839</v>
      </c>
      <c r="AE199" s="236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s3://rtdc.mdm.uploadarchive.raw/RTDC4040/ "%USERPROFILE%\AppData\Local\Temp\OnboardLogs"\RTDC4040\2017-11-24 --exclude "*" --recursive --include "*20171124*" &amp; "%USERPROFILE%\Documents\GitHub\mrs-test-scripts\Headless Mode &amp; Sideloading\WalkAndUnGZ.bat" "%USERPROFILE%\AppData\Local\Temp\OnboardLogs"\RTDC4040\2017-11-24 &amp; aws s3 cp s3://rtdc.mdm.uploadarchive.raw/RTDC4040/ "%USERPROFILE%\AppData\Local\Temp\OnboardLogs"\RTDC4040\2017-11-25 --exclude "*" --recursive --include "*20171125*" &amp; "%USERPROFILE%\Documents\GitHub\mrs-test-scripts\Headless Mode &amp; Sideloading\WalkAndUnGZ.bat" "%USERPROFILE%\AppData\Local\Temp\OnboardLogs"\RTDC4040\2017-11-25</v>
      </c>
      <c r="AF199" s="235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/stypes="app*4040*20171125*" /stext=" 01:.+((SYSTEM_STATE.+slice.+state.+changed )|(ment ac)|(multiple cpu faults)|(system.+state.+changed )|(\[timeout)|(PRM\|1\|D)|(kpr)|(kdp)|(train st.+moving)|(\|lc)|(penalty))"</v>
      </c>
      <c r="AG199" s="245" t="str">
        <f>DetSubdiv(A199)</f>
        <v>NW</v>
      </c>
      <c r="AH199" s="237" t="str">
        <f t="shared" si="15"/>
        <v>"%USERPROFILE%\Documents\GitHub\eaglep3\Utilities\RefineRTDCRunTimes.py" --tripid 839-24 --locoid 4040 --swversion DE.1.0.9.0 --startMP 204:986 --initTime 2017-11-24T18:28:07 --startdatetime 2017-11-24T18:40:20 --delay 57 --endMP 300:58924 --enddatetime 2017-11-24T18:54:46 --enforcementcount 0 &gt;&gt;%USERPROFILE%\Documents\GitHub\eaglep3-reporting\EC\2017-11-24-refined-times.txt</v>
      </c>
      <c r="AI199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{"issue":{"subject":"","project_id":79,"tracker_id":40,"status_id":1,"priority_id":2,"assigned_to_id":338,"start_date":"2017-11-24","description":"","custom_fields":[{"id":1,"name":"Subdivision","value":"NW"},{"id":4,"name":"Milepost","value":"5.8924"},{"id":17,"name":"Train ID","value":"839-24"},{"id":16,"name":"Locomotive ID","value":"4040"},{"id":130,"name":"Impact","value":""},{"id":150,"name":"Time of Event (Mountain Time)","value":"18:54:46"},{"id":151,"name":"Denver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4"/>
      <c r="AK199" s="232"/>
      <c r="AL199" s="232"/>
      <c r="AM199" s="241" t="str">
        <f t="shared" si="17"/>
        <v>start /low /b %USERPROFILE%\Documents\GitHub\eaglep3\Utilities\DownloadLogsFromS3.py --loco 4040 --day 2017-11-24</v>
      </c>
      <c r="AN199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01:54:46"},{"id":29,"name":"Sharepoint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1" t="str">
        <f t="shared" si="19"/>
        <v>https://d0f6bd738d7f1b3e5a7ca70fe4ff75f0.us-east-1.aws.found.io/app/kibana#/discover/Steve-Slow-Train-Analysis-(2080s-and-2083s)?_g=(refreshInterval:(display:Off,pause:!f,section:0,value:0),time:(from:'2017-11-24T17:28:07-0700',mode:absolute,to:'2017-11-24T19:54:46-0700'))&amp;_a=(columns:!('Message%20ID',Summary),filters:!(),index:'emp_*',interval:auto,query:(query_string:(analyze_wildcard:!t,query:'%22rtdc.l.rtdc.4040%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30" t="s">
        <v>887</v>
      </c>
      <c r="B200" s="226">
        <v>4059</v>
      </c>
      <c r="C200" s="228" t="s">
        <v>192</v>
      </c>
      <c r="D200" s="228" t="s">
        <v>651</v>
      </c>
      <c r="E200" s="227">
        <v>43063.831076388888</v>
      </c>
      <c r="F200" s="227">
        <v>43063.821967592594</v>
      </c>
      <c r="G200" s="226">
        <v>41</v>
      </c>
      <c r="H200" s="228" t="s">
        <v>1090</v>
      </c>
      <c r="I200" s="227">
        <v>43063.830682870372</v>
      </c>
      <c r="J200" s="226">
        <v>0</v>
      </c>
      <c r="K200" s="238" t="str">
        <f>IF(ISEVEN(B200),(B200-1)&amp;"/"&amp;B200,B200&amp;"/"&amp;(B200+1))</f>
        <v>4059/4060</v>
      </c>
      <c r="L200" s="246" t="str">
        <f>VLOOKUP(A200,'Trips&amp;Operators'!$C$1:$G$99911,5,FALSE)</f>
        <v>BERLING GARY</v>
      </c>
      <c r="M200" s="225">
        <f>I200-F200</f>
        <v>8.7152777778101154E-3</v>
      </c>
      <c r="N200" s="226">
        <f>24*60*SUM($M200:$M200)</f>
        <v>12.550000000046566</v>
      </c>
      <c r="O200" s="226"/>
      <c r="P200" s="226"/>
      <c r="Q200" s="229"/>
      <c r="R200" s="243"/>
      <c r="S200" s="250">
        <f>1/IF(AG200="EC",12,1)*SUM(U200:U200)</f>
        <v>1</v>
      </c>
      <c r="T200" s="243" t="str">
        <f>IF(ISEVEN(LEFT(AD200,4)),"Southbound","NorthBound")</f>
        <v>Southbound</v>
      </c>
      <c r="U200" s="24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9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-11-24T18:56:45-0700',mode:absolute,to:'2017-11-24T20:56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0" s="248" t="str">
        <f>IF(AA200&lt;VLOOKUP(AG200,Variables!$AC$3:$AD$8,2,FALSE),"Y","N")</f>
        <v>N</v>
      </c>
      <c r="X200" s="248">
        <f>VALUE(LEFT(AD200,4))-VALUE(LEFT(AD199,4))</f>
        <v>1</v>
      </c>
      <c r="Y200" s="248">
        <f>RIGHT(D200,LEN(D200)-4)/10000</f>
        <v>5.8628</v>
      </c>
      <c r="Z200" s="248">
        <f>RIGHT(H200,LEN(H200)-4)/10000</f>
        <v>8.1799999999999998E-2</v>
      </c>
      <c r="AA200" s="248">
        <f>ABS(Z200-Y200)</f>
        <v>5.7809999999999997</v>
      </c>
      <c r="AB200" s="234" t="e">
        <f>VLOOKUP(A200,Enforcements!$C$7:$K$9,8,0)</f>
        <v>#N/A</v>
      </c>
      <c r="AC200" s="233" t="e">
        <f>VLOOKUP(A200,Enforcements!$C$7:$E$9,3,0)</f>
        <v>#N/A</v>
      </c>
      <c r="AD200" s="244">
        <f>VALUE(LEFT(A200,LEN(A200)-3))</f>
        <v>840</v>
      </c>
      <c r="AE200" s="236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200" s="235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/stypes="app*4059*20171125*" /stext=" 02:.+((SYSTEM_STATE.+slice.+state.+changed )|(ment ac)|(multiple cpu faults)|(system.+state.+changed )|(\[timeout)|(PRM\|1\|D)|(kpr)|(kdp)|(train st.+moving)|(\|lc)|(penalty))"</v>
      </c>
      <c r="AG200" s="245" t="str">
        <f>DetSubdiv(A200)</f>
        <v>NW</v>
      </c>
      <c r="AH200" s="237" t="str">
        <f t="shared" si="15"/>
        <v>"%USERPROFILE%\Documents\GitHub\eaglep3\Utilities\RefineRTDCRunTimes.py" --tripid 840-24 --locoid 4059 --swversion DE.1.0.9.0 --startMP 300:58628 --initTime 2017-11-24T19:56:45 --startdatetime 2017-11-24T19:43:38 --delay 41 --endMP 204:818 --enddatetime 2017-11-24T19:56:11 --enforcementcount 0 &gt;&gt;%USERPROFILE%\Documents\GitHub\eaglep3-reporting\EC\2017-11-24-refined-times.txt</v>
      </c>
      <c r="AI200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{"issue":{"subject":"","project_id":79,"tracker_id":40,"status_id":1,"priority_id":2,"assigned_to_id":338,"start_date":"2017-11-24","description":"","custom_fields":[{"id":1,"name":"Subdivision","value":"NW"},{"id":4,"name":"Milepost","value":"0.0818"},{"id":17,"name":"Train ID","value":"840-24"},{"id":16,"name":"Locomotive ID","value":"4059"},{"id":130,"name":"Impact","value":""},{"id":150,"name":"Time of Event (Mountain Time)","value":"19:56:11"},{"id":151,"name":"Denver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4"/>
      <c r="AK200" s="232"/>
      <c r="AL200" s="232"/>
      <c r="AM200" s="241" t="str">
        <f t="shared" si="17"/>
        <v>start /low /b %USERPROFILE%\Documents\GitHub\eaglep3\Utilities\DownloadLogsFromS3.py --loco 4059 --day 2017-11-24</v>
      </c>
      <c r="AN200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02:56:11"},{"id":29,"name":"Sharepoint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1" t="str">
        <f t="shared" si="19"/>
        <v>https://d0f6bd738d7f1b3e5a7ca70fe4ff75f0.us-east-1.aws.found.io/app/kibana#/discover/Steve-Slow-Train-Analysis-(2080s-and-2083s)?_g=(refreshInterval:(display:Off,pause:!f,section:0,value:0),time:(from:'2017-11-24T18:56:45-0700',mode:absolute,to:'2017-11-24T20:56:11-0700'))&amp;_a=(columns:!('Message%20ID',Summary),filters:!(),index:'emp_*',interval:auto,query:(query_string:(analyze_wildcard:!t,query:'%22rtdc.l.rtdc.4059%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30" t="s">
        <v>882</v>
      </c>
      <c r="B201" s="226">
        <v>4060</v>
      </c>
      <c r="C201" s="228" t="s">
        <v>192</v>
      </c>
      <c r="D201" s="228" t="s">
        <v>1084</v>
      </c>
      <c r="E201" s="227">
        <v>43063.794710648152</v>
      </c>
      <c r="F201" s="227">
        <v>43063.798263888886</v>
      </c>
      <c r="G201" s="226">
        <v>78</v>
      </c>
      <c r="H201" s="228" t="s">
        <v>1103</v>
      </c>
      <c r="I201" s="227">
        <v>43063.808622685188</v>
      </c>
      <c r="J201" s="226">
        <v>0</v>
      </c>
      <c r="K201" s="238" t="str">
        <f>IF(ISEVEN(B201),(B201-1)&amp;"/"&amp;B201,B201&amp;"/"&amp;(B201+1))</f>
        <v>4059/4060</v>
      </c>
      <c r="L201" s="246" t="str">
        <f>VLOOKUP(A201,'Trips&amp;Operators'!$C$1:$G$99911,5,FALSE)</f>
        <v>BERLING GARY</v>
      </c>
      <c r="M201" s="225">
        <f>I201-F201</f>
        <v>1.0358796302170958E-2</v>
      </c>
      <c r="N201" s="226">
        <f>24*60*SUM($M201:$M201)</f>
        <v>14.91666667512618</v>
      </c>
      <c r="O201" s="226"/>
      <c r="P201" s="226"/>
      <c r="Q201" s="229"/>
      <c r="R201" s="243"/>
      <c r="S201" s="250">
        <f>1/IF(AG201="EC",12,1)*SUM(U201:U201)</f>
        <v>1</v>
      </c>
      <c r="T201" s="243" t="str">
        <f>IF(ISEVEN(LEFT(AD201,4)),"Southbound","NorthBound")</f>
        <v>NorthBound</v>
      </c>
      <c r="U201" s="24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9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-11-24T18:04:23-0700',mode:absolute,to:'2017-11-24T20:24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1" s="248" t="str">
        <f>IF(AA201&lt;VLOOKUP(AG201,Variables!$AC$3:$AD$8,2,FALSE),"Y","N")</f>
        <v>N</v>
      </c>
      <c r="X201" s="248">
        <f t="shared" ref="X201" si="40">VALUE(LEFT(AD201,4))-VALUE(LEFT(AD200,4))</f>
        <v>1</v>
      </c>
      <c r="Y201" s="248">
        <f>RIGHT(D201,LEN(D201)-4)/10000</f>
        <v>0.10970000000000001</v>
      </c>
      <c r="Z201" s="248">
        <f>RIGHT(H201,LEN(H201)-4)/10000</f>
        <v>5.8998999999999997</v>
      </c>
      <c r="AA201" s="248">
        <f>ABS(Z201-Y201)</f>
        <v>5.7901999999999996</v>
      </c>
      <c r="AB201" s="234" t="e">
        <f>VLOOKUP(A201,Enforcements!$C$7:$K$9,8,0)</f>
        <v>#N/A</v>
      </c>
      <c r="AC201" s="233" t="e">
        <f>VLOOKUP(A201,Enforcements!$C$7:$E$9,3,0)</f>
        <v>#N/A</v>
      </c>
      <c r="AD201" s="244">
        <f>VALUE(LEFT(A201,LEN(A201)-3))</f>
        <v>841</v>
      </c>
      <c r="AE201" s="236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201" s="235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/stypes="app*4060*20171125*" /stext=" 02:.+((SYSTEM_STATE.+slice.+state.+changed )|(ment ac)|(multiple cpu faults)|(system.+state.+changed )|(\[timeout)|(PRM\|1\|D)|(kpr)|(kdp)|(train st.+moving)|(\|lc)|(penalty))"</v>
      </c>
      <c r="AG201" s="245" t="str">
        <f>DetSubdiv(A201)</f>
        <v>NW</v>
      </c>
      <c r="AH201" s="237" t="str">
        <f t="shared" si="15"/>
        <v>"%USERPROFILE%\Documents\GitHub\eaglep3\Utilities\RefineRTDCRunTimes.py" --tripid 841-24 --locoid 4060 --swversion DE.1.0.9.0 --startMP 204:1097 --initTime 2017-11-24T19:04:23 --startdatetime 2017-11-24T19:09:30 --delay 78 --endMP 300:58999 --enddatetime 2017-11-24T19:24:25 --enforcementcount 0 &gt;&gt;%USERPROFILE%\Documents\GitHub\eaglep3-reporting\EC\2017-11-24-refined-times.txt</v>
      </c>
      <c r="AI201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{"issue":{"subject":"","project_id":79,"tracker_id":40,"status_id":1,"priority_id":2,"assigned_to_id":338,"start_date":"2017-11-24","description":"","custom_fields":[{"id":1,"name":"Subdivision","value":"NW"},{"id":4,"name":"Milepost","value":"5.8999"},{"id":17,"name":"Train ID","value":"841-24"},{"id":16,"name":"Locomotive ID","value":"4060"},{"id":130,"name":"Impact","value":""},{"id":150,"name":"Time of Event (Mountain Time)","value":"19:24:25"},{"id":151,"name":"Denver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4"/>
      <c r="AK201" s="232"/>
      <c r="AL201" s="232"/>
      <c r="AM201" s="241" t="str">
        <f t="shared" si="17"/>
        <v>start /low /b %USERPROFILE%\Documents\GitHub\eaglep3\Utilities\DownloadLogsFromS3.py --loco 4060 --day 2017-11-24</v>
      </c>
      <c r="AN201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02:24:25"},{"id":29,"name":"Sharepoint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1" t="str">
        <f t="shared" si="19"/>
        <v>https://d0f6bd738d7f1b3e5a7ca70fe4ff75f0.us-east-1.aws.found.io/app/kibana#/discover/Steve-Slow-Train-Analysis-(2080s-and-2083s)?_g=(refreshInterval:(display:Off,pause:!f,section:0,value:0),time:(from:'2017-11-24T18:04:23-0700',mode:absolute,to:'2017-11-24T20:24:25-0700'))&amp;_a=(columns:!('Message%20ID',Summary),filters:!(),index:'emp_*',interval:auto,query:(query_string:(analyze_wildcard:!t,query:'%22rtdc.l.rtdc.4060%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4" customFormat="1" x14ac:dyDescent="0.25">
      <c r="A202" s="230" t="s">
        <v>892</v>
      </c>
      <c r="B202" s="226">
        <v>4059</v>
      </c>
      <c r="C202" s="228" t="s">
        <v>192</v>
      </c>
      <c r="D202" s="228" t="s">
        <v>1084</v>
      </c>
      <c r="E202" s="227">
        <v>43063.794710648152</v>
      </c>
      <c r="F202" s="227">
        <v>43063.863611111112</v>
      </c>
      <c r="G202" s="226">
        <v>78</v>
      </c>
      <c r="H202" s="228" t="s">
        <v>1103</v>
      </c>
      <c r="I202" s="227">
        <v>43063.871979166666</v>
      </c>
      <c r="J202" s="226">
        <v>0</v>
      </c>
      <c r="K202" s="238" t="str">
        <f>IF(ISEVEN(B202),(B202-1)&amp;"/"&amp;B202,B202&amp;"/"&amp;(B202+1))</f>
        <v>4059/4060</v>
      </c>
      <c r="L202" s="246" t="str">
        <f>VLOOKUP(A202,'Trips&amp;Operators'!$C$1:$G$99911,5,FALSE)</f>
        <v>BERLING GARY</v>
      </c>
      <c r="M202" s="225">
        <f>I202-F202</f>
        <v>8.3680555544560775E-3</v>
      </c>
      <c r="N202" s="226">
        <f>24*60*SUM($M202:$M202)</f>
        <v>12.049999998416752</v>
      </c>
      <c r="O202" s="226"/>
      <c r="P202" s="226"/>
      <c r="Q202" s="229"/>
      <c r="R202" s="243"/>
      <c r="S202" s="250">
        <f>1/IF(AG202="EC",12,1)*SUM(U202:U202)</f>
        <v>1</v>
      </c>
      <c r="T202" s="243" t="str">
        <f>IF(ISEVEN(LEFT(AD202,4)),"Southbound","NorthBound")</f>
        <v>Southbound</v>
      </c>
      <c r="U202" s="24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9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-11-24T18:04:23-0700',mode:absolute,to:'2017-11-24T21:55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2" s="248" t="str">
        <f>IF(AA202&lt;VLOOKUP(AG202,Variables!$AC$3:$AD$8,2,FALSE),"Y","N")</f>
        <v>N</v>
      </c>
      <c r="X202" s="248">
        <f t="shared" ref="X202:X203" si="41">VALUE(LEFT(AD202,4))-VALUE(LEFT(AD201,4))</f>
        <v>1</v>
      </c>
      <c r="Y202" s="248">
        <v>5.8628</v>
      </c>
      <c r="Z202" s="248">
        <v>8.1799999999999998E-2</v>
      </c>
      <c r="AA202" s="248">
        <f>ABS(Z202-Y202)</f>
        <v>5.7809999999999997</v>
      </c>
      <c r="AB202" s="234" t="e">
        <f>VLOOKUP(A202,Enforcements!$C$7:$K$9,8,0)</f>
        <v>#N/A</v>
      </c>
      <c r="AC202" s="233" t="e">
        <f>VLOOKUP(A202,Enforcements!$C$7:$E$9,3,0)</f>
        <v>#N/A</v>
      </c>
      <c r="AD202" s="244">
        <f>VALUE(LEFT(A202,LEN(A202)-3))</f>
        <v>842</v>
      </c>
      <c r="AE202" s="236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202" s="235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/stypes="app*4059*20171125*" /stext=" 03:.+((SYSTEM_STATE.+slice.+state.+changed )|(ment ac)|(multiple cpu faults)|(system.+state.+changed )|(\[timeout)|(PRM\|1\|D)|(kpr)|(kdp)|(train st.+moving)|(\|lc)|(penalty))"</v>
      </c>
      <c r="AG202" s="245" t="str">
        <f>DetSubdiv(A202)</f>
        <v>NW</v>
      </c>
      <c r="AH202" s="237" t="str">
        <f t="shared" ref="AH202" si="42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842-24 --locoid 4059 --swversion DE.1.0.9.0 --startMP 204:1097 --initTime 2017-11-24T19:04:23 --startdatetime 2017-11-24T20:43:36 --delay 78 --endMP 300:58999 --enddatetime 2017-11-24T20:55:39 --enforcementcount 0 &gt;&gt;%USERPROFILE%\Documents\GitHub\eaglep3-reporting\EC\2017-11-24-refined-times.txt</v>
      </c>
      <c r="AI202" s="239" t="str">
        <f t="shared" ref="AI202" si="43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{"issue":{"subject":"","project_id":79,"tracker_id":40,"status_id":1,"priority_id":2,"assigned_to_id":338,"start_date":"2017-11-24","description":"","custom_fields":[{"id":1,"name":"Subdivision","value":"NW"},{"id":4,"name":"Milepost","value":"0.0818"},{"id":17,"name":"Train ID","value":"842-24"},{"id":16,"name":"Locomotive ID","value":"4059"},{"id":130,"name":"Impact","value":""},{"id":150,"name":"Time of Event (Mountain Time)","value":"20:55:39"},{"id":151,"name":"Denver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2"/>
      <c r="AL202" s="232"/>
      <c r="AM202" s="241" t="str">
        <f t="shared" ref="AM202" si="44">"start /low /b "&amp;dls3logs&amp;" --loco "&amp;B202&amp;" --day "&amp;TEXT(F202,"YYYY-MM-DD")</f>
        <v>start /low /b %USERPROFILE%\Documents\GitHub\eaglep3\Utilities\DownloadLogsFromS3.py --loco 4059 --day 2017-11-24</v>
      </c>
      <c r="AN202" s="242" t="str">
        <f t="shared" ref="AN202" si="45">"echo {""issue"":{""subject"":"""&amp;R202&amp;""",""project_id"":30,""tracker_id"":4,""status_id"":"&amp;redmine_status_wcr&amp;",""priority_id"":"&amp;redmine_priority_wcr&amp;",""assigned_to_id"":"&amp;redmine_assignee_wcr&amp;",""start_date"":"""&amp;TEXT(I202-utc_offset/24,"YYYY-mm-dd")&amp;""",""description"":"""&amp;AJ202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03:55:39"},{"id":29,"name":"Sharepoint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1" t="str">
        <f t="shared" ref="AO202" si="46"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Message%20ID',Summary),filters:!(),index:'emp_*',interval:auto,query:"&amp;"(query_string:(analyze_wildcard:!t,query:'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-11-24T18:04:23-0700',mode:absolute,to:'2017-11-24T21:55:39-0700'))&amp;_a=(columns:!('Message%20ID',Summary),filters:!(),index:'emp_*',interval:auto,query:(query_string:(analyze_wildcard:!t,query:'%22rtdc.l.rtdc.4059%22')),sort:!(Time.ISO8601,asc))</v>
      </c>
    </row>
    <row r="203" spans="1:91" s="20" customFormat="1" x14ac:dyDescent="0.25">
      <c r="A203" s="230" t="s">
        <v>893</v>
      </c>
      <c r="B203" s="226">
        <v>4060</v>
      </c>
      <c r="C203" s="228" t="s">
        <v>192</v>
      </c>
      <c r="D203" s="228" t="s">
        <v>1104</v>
      </c>
      <c r="E203" s="227">
        <v>43063.837881944448</v>
      </c>
      <c r="F203" s="227">
        <v>43063.839768518519</v>
      </c>
      <c r="G203" s="226">
        <v>56</v>
      </c>
      <c r="H203" s="228" t="s">
        <v>1072</v>
      </c>
      <c r="I203" s="227">
        <v>43063.850300925929</v>
      </c>
      <c r="J203" s="226">
        <v>0</v>
      </c>
      <c r="K203" s="238" t="str">
        <f>IF(ISEVEN(B203),(B203-1)&amp;"/"&amp;B203,B203&amp;"/"&amp;(B203+1))</f>
        <v>4059/4060</v>
      </c>
      <c r="L203" s="246" t="str">
        <f>VLOOKUP(A203,'Trips&amp;Operators'!$C$1:$G$99911,5,FALSE)</f>
        <v>BERLING GARY</v>
      </c>
      <c r="M203" s="225">
        <f>I203-F203</f>
        <v>1.0532407410209998E-2</v>
      </c>
      <c r="N203" s="226">
        <f>24*60*SUM($M203:$M203)</f>
        <v>15.166666670702398</v>
      </c>
      <c r="O203" s="226"/>
      <c r="P203" s="226"/>
      <c r="Q203" s="229"/>
      <c r="R203" s="243"/>
      <c r="S203" s="250">
        <f>1/IF(AG203="EC",12,1)*SUM(U203:U203)</f>
        <v>1</v>
      </c>
      <c r="T203" s="243" t="str">
        <f>IF(ISEVEN(LEFT(AD203,4)),"Southbound","NorthBound")</f>
        <v>NorthBound</v>
      </c>
      <c r="U203" s="24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9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-11-24T19:06:33-0700',mode:absolute,to:'2017-11-24T21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3" s="248" t="str">
        <f>IF(AA203&lt;VLOOKUP(AG203,Variables!$AC$3:$AD$8,2,FALSE),"Y","N")</f>
        <v>N</v>
      </c>
      <c r="X203" s="248">
        <f t="shared" si="41"/>
        <v>1</v>
      </c>
      <c r="Y203" s="248">
        <f>RIGHT(D203,LEN(D203)-4)/10000</f>
        <v>0.11119999999999999</v>
      </c>
      <c r="Z203" s="248">
        <f>RIGHT(H203,LEN(H203)-4)/10000</f>
        <v>5.8960999999999997</v>
      </c>
      <c r="AA203" s="248">
        <f>ABS(Z203-Y203)</f>
        <v>5.7848999999999995</v>
      </c>
      <c r="AB203" s="234" t="e">
        <f>VLOOKUP(A203,Enforcements!$C$7:$K$9,8,0)</f>
        <v>#N/A</v>
      </c>
      <c r="AC203" s="233" t="e">
        <f>VLOOKUP(A203,Enforcements!$C$7:$E$9,3,0)</f>
        <v>#N/A</v>
      </c>
      <c r="AD203" s="244">
        <f>VALUE(LEFT(A203,LEN(A203)-3))</f>
        <v>843</v>
      </c>
      <c r="AE203" s="236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203" s="235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/stypes="app*4060*20171125*" /stext=" 03:.+((SYSTEM_STATE.+slice.+state.+changed )|(ment ac)|(multiple cpu faults)|(system.+state.+changed )|(\[timeout)|(PRM\|1\|D)|(kpr)|(kdp)|(train st.+moving)|(\|lc)|(penalty))"</v>
      </c>
      <c r="AG203" s="245" t="str">
        <f>DetSubdiv(A203)</f>
        <v>NW</v>
      </c>
      <c r="AH203" s="237" t="str">
        <f t="shared" si="15"/>
        <v>"%USERPROFILE%\Documents\GitHub\eaglep3\Utilities\RefineRTDCRunTimes.py" --tripid 843-24 --locoid 4060 --swversion DE.1.0.9.0 --startMP 204:1112 --initTime 2017-11-24T20:06:33 --startdatetime 2017-11-24T20:09:16 --delay 56 --endMP 300:58961 --enddatetime 2017-11-24T20:24:26 --enforcementcount 0 &gt;&gt;%USERPROFILE%\Documents\GitHub\eaglep3-reporting\EC\2017-11-24-refined-times.txt</v>
      </c>
      <c r="AI203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{"issue":{"subject":"","project_id":79,"tracker_id":40,"status_id":1,"priority_id":2,"assigned_to_id":338,"start_date":"2017-11-24","description":"","custom_fields":[{"id":1,"name":"Subdivision","value":"NW"},{"id":4,"name":"Milepost","value":"5.8961"},{"id":17,"name":"Train ID","value":"843-24"},{"id":16,"name":"Locomotive ID","value":"4060"},{"id":130,"name":"Impact","value":""},{"id":150,"name":"Time of Event (Mountain Time)","value":"20:24:26"},{"id":151,"name":"Denver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4"/>
      <c r="AK203" s="232"/>
      <c r="AL203" s="232"/>
      <c r="AM203" s="241" t="str">
        <f t="shared" si="17"/>
        <v>start /low /b %USERPROFILE%\Documents\GitHub\eaglep3\Utilities\DownloadLogsFromS3.py --loco 4060 --day 2017-11-24</v>
      </c>
      <c r="AN203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03:24:26"},{"id":29,"name":"Sharepoint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1" t="str">
        <f t="shared" si="19"/>
        <v>https://d0f6bd738d7f1b3e5a7ca70fe4ff75f0.us-east-1.aws.found.io/app/kibana#/discover/Steve-Slow-Train-Analysis-(2080s-and-2083s)?_g=(refreshInterval:(display:Off,pause:!f,section:0,value:0),time:(from:'2017-11-24T19:06:33-0700',mode:absolute,to:'2017-11-24T21:24:26-0700'))&amp;_a=(columns:!('Message%20ID',Summary),filters:!(),index:'emp_*',interval:auto,query:(query_string:(analyze_wildcard:!t,query:'%22rtdc.l.rtdc.4060%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4" customFormat="1" x14ac:dyDescent="0.25">
      <c r="A204" s="230" t="s">
        <v>900</v>
      </c>
      <c r="B204" s="226">
        <v>4059</v>
      </c>
      <c r="C204" s="228" t="s">
        <v>192</v>
      </c>
      <c r="D204" s="228" t="s">
        <v>1104</v>
      </c>
      <c r="E204" s="227">
        <v>43063.837881944448</v>
      </c>
      <c r="F204" s="227">
        <v>43063.904942129629</v>
      </c>
      <c r="G204" s="226">
        <v>56</v>
      </c>
      <c r="H204" s="228" t="s">
        <v>1072</v>
      </c>
      <c r="I204" s="227">
        <v>43063.913483796299</v>
      </c>
      <c r="J204" s="226">
        <v>0</v>
      </c>
      <c r="K204" s="238" t="str">
        <f>IF(ISEVEN(B204),(B204-1)&amp;"/"&amp;B204,B204&amp;"/"&amp;(B204+1))</f>
        <v>4059/4060</v>
      </c>
      <c r="L204" s="246" t="str">
        <f>VLOOKUP(A204,'Trips&amp;Operators'!$C$1:$G$99911,5,FALSE)</f>
        <v>HAMMOND JUSTYNN</v>
      </c>
      <c r="M204" s="225">
        <f>I204-F204</f>
        <v>8.5416666697710752E-3</v>
      </c>
      <c r="N204" s="226">
        <f>24*60*SUM($M204:$M204)</f>
        <v>12.300000004470348</v>
      </c>
      <c r="O204" s="226"/>
      <c r="P204" s="226"/>
      <c r="Q204" s="229"/>
      <c r="R204" s="243"/>
      <c r="S204" s="250">
        <f>1/IF(AG204="EC",12,1)*SUM(U204:U204)</f>
        <v>1</v>
      </c>
      <c r="T204" s="243" t="str">
        <f>IF(ISEVEN(LEFT(AD204,4)),"Southbound","NorthBound")</f>
        <v>Southbound</v>
      </c>
      <c r="U204" s="24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9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-24T19:06:33-0700',mode:absolute,to:'2017-11-24T22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4" s="248" t="str">
        <f>IF(AA204&lt;VLOOKUP(AG204,Variables!$AC$3:$AD$8,2,FALSE),"Y","N")</f>
        <v>N</v>
      </c>
      <c r="X204" s="248">
        <f t="shared" ref="X204" si="47">VALUE(LEFT(AD204,4))-VALUE(LEFT(AD203,4))</f>
        <v>1</v>
      </c>
      <c r="Y204" s="248">
        <v>5.8628</v>
      </c>
      <c r="Z204" s="248">
        <v>8.1799999999999998E-2</v>
      </c>
      <c r="AA204" s="248">
        <f>ABS(Z204-Y204)</f>
        <v>5.7809999999999997</v>
      </c>
      <c r="AB204" s="234" t="e">
        <f>VLOOKUP(A204,Enforcements!$C$7:$K$9,8,0)</f>
        <v>#N/A</v>
      </c>
      <c r="AC204" s="233" t="e">
        <f>VLOOKUP(A204,Enforcements!$C$7:$E$9,3,0)</f>
        <v>#N/A</v>
      </c>
      <c r="AD204" s="244">
        <f>VALUE(LEFT(A204,LEN(A204)-3))</f>
        <v>844</v>
      </c>
      <c r="AE204" s="236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204" s="235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/stypes="app*4059*20171125*" /stext=" 04:.+((SYSTEM_STATE.+slice.+state.+changed )|(ment ac)|(multiple cpu faults)|(system.+state.+changed )|(\[timeout)|(PRM\|1\|D)|(kpr)|(kdp)|(train st.+moving)|(\|lc)|(penalty))"</v>
      </c>
      <c r="AG204" s="245" t="str">
        <f>DetSubdiv(A204)</f>
        <v>NW</v>
      </c>
      <c r="AH204" s="237" t="str">
        <f t="shared" ref="AH204" si="48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844-24 --locoid 4059 --swversion DE.1.0.9.0 --startMP 204:1112 --initTime 2017-11-24T20:06:33 --startdatetime 2017-11-24T21:43:07 --delay 56 --endMP 300:58961 --enddatetime 2017-11-24T21:55:25 --enforcementcount 0 &gt;&gt;%USERPROFILE%\Documents\GitHub\eaglep3-reporting\EC\2017-11-24-refined-times.txt</v>
      </c>
      <c r="AI204" s="239" t="str">
        <f t="shared" ref="AI204" si="49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{"issue":{"subject":"","project_id":79,"tracker_id":40,"status_id":1,"priority_id":2,"assigned_to_id":338,"start_date":"2017-11-24","description":"","custom_fields":[{"id":1,"name":"Subdivision","value":"NW"},{"id":4,"name":"Milepost","value":"0.0818"},{"id":17,"name":"Train ID","value":"844-24"},{"id":16,"name":"Locomotive ID","value":"4059"},{"id":130,"name":"Impact","value":""},{"id":150,"name":"Time of Event (Mountain Time)","value":"21:55:25"},{"id":151,"name":"Denver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2"/>
      <c r="AL204" s="232"/>
      <c r="AM204" s="241" t="str">
        <f t="shared" ref="AM204" si="50">"start /low /b "&amp;dls3logs&amp;" --loco "&amp;B204&amp;" --day "&amp;TEXT(F204,"YYYY-MM-DD")</f>
        <v>start /low /b %USERPROFILE%\Documents\GitHub\eaglep3\Utilities\DownloadLogsFromS3.py --loco 4059 --day 2017-11-24</v>
      </c>
      <c r="AN204" s="242" t="str">
        <f t="shared" ref="AN204" si="51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04:55:25"},{"id":29,"name":"Sharepoint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1" t="str">
        <f t="shared" ref="AO204" si="52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-24T19:06:33-0700',mode:absolute,to:'2017-11-24T22:55:25-0700'))&amp;_a=(columns:!('Message%20ID',Summary),filters:!(),index:'emp_*',interval:auto,query:(query_string:(analyze_wildcard:!t,query:'%22rtdc.l.rtdc.4059%22')),sort:!(Time.ISO8601,asc))</v>
      </c>
    </row>
    <row r="205" spans="1:91" s="224" customFormat="1" x14ac:dyDescent="0.25">
      <c r="A205" s="230" t="s">
        <v>897</v>
      </c>
      <c r="B205" s="226">
        <v>4060</v>
      </c>
      <c r="C205" s="228" t="s">
        <v>192</v>
      </c>
      <c r="D205" s="228" t="s">
        <v>1104</v>
      </c>
      <c r="E205" s="227">
        <v>43063.837881944448</v>
      </c>
      <c r="F205" s="227">
        <v>43063.881585648145</v>
      </c>
      <c r="G205" s="226">
        <v>56</v>
      </c>
      <c r="H205" s="228" t="s">
        <v>1072</v>
      </c>
      <c r="I205" s="227">
        <v>43063.891701388886</v>
      </c>
      <c r="J205" s="226">
        <v>0</v>
      </c>
      <c r="K205" s="238" t="str">
        <f>IF(ISEVEN(B205),(B205-1)&amp;"/"&amp;B205,B205&amp;"/"&amp;(B205+1))</f>
        <v>4059/4060</v>
      </c>
      <c r="L205" s="246" t="str">
        <f>VLOOKUP(A205,'Trips&amp;Operators'!$C$1:$G$99911,5,FALSE)</f>
        <v>HAMMOND JUSTYNN</v>
      </c>
      <c r="M205" s="225">
        <f>I205-F205</f>
        <v>1.0115740740729962E-2</v>
      </c>
      <c r="N205" s="226">
        <f>24*60*SUM($M205:$M205)</f>
        <v>14.566666666651145</v>
      </c>
      <c r="O205" s="226"/>
      <c r="P205" s="226"/>
      <c r="Q205" s="229"/>
      <c r="R205" s="243"/>
      <c r="S205" s="250">
        <f>1/IF(AG205="EC",12,1)*SUM(U205:U205)</f>
        <v>1</v>
      </c>
      <c r="T205" s="243" t="str">
        <f>IF(ISEVEN(LEFT(AD205,4)),"Southbound","NorthBound")</f>
        <v>NorthBound</v>
      </c>
      <c r="U205" s="24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9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-24T19:06:33-0700',mode:absolute,to:'2017-11-24T22:24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5" s="248" t="str">
        <f>IF(AA205&lt;VLOOKUP(AG205,Variables!$AC$3:$AD$8,2,FALSE),"Y","N")</f>
        <v>N</v>
      </c>
      <c r="X205" s="248">
        <f t="shared" ref="X205:X206" si="53">VALUE(LEFT(AD205,4))-VALUE(LEFT(AD204,4))</f>
        <v>1</v>
      </c>
      <c r="Y205" s="248">
        <v>0.11119999999999999</v>
      </c>
      <c r="Z205" s="248">
        <v>5.8960999999999997</v>
      </c>
      <c r="AA205" s="248">
        <f>ABS(Z205-Y205)</f>
        <v>5.7848999999999995</v>
      </c>
      <c r="AB205" s="234" t="e">
        <f>VLOOKUP(A205,Enforcements!$C$7:$K$9,8,0)</f>
        <v>#N/A</v>
      </c>
      <c r="AC205" s="233" t="e">
        <f>VLOOKUP(A205,Enforcements!$C$7:$E$9,3,0)</f>
        <v>#N/A</v>
      </c>
      <c r="AD205" s="244">
        <f>VALUE(LEFT(A205,LEN(A205)-3))</f>
        <v>845</v>
      </c>
      <c r="AE205" s="236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205" s="235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/stypes="app*4060*20171125*" /stext=" 04:.+((SYSTEM_STATE.+slice.+state.+changed )|(ment ac)|(multiple cpu faults)|(system.+state.+changed )|(\[timeout)|(PRM\|1\|D)|(kpr)|(kdp)|(train st.+moving)|(\|lc)|(penalty))"</v>
      </c>
      <c r="AG205" s="245" t="str">
        <f>DetSubdiv(A205)</f>
        <v>NW</v>
      </c>
      <c r="AH205" s="237" t="str">
        <f t="shared" ref="AH205" si="54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845-24 --locoid 4060 --swversion DE.1.0.9.0 --startMP 204:1112 --initTime 2017-11-24T20:06:33 --startdatetime 2017-11-24T21:09:29 --delay 56 --endMP 300:58961 --enddatetime 2017-11-24T21:24:03 --enforcementcount 0 &gt;&gt;%USERPROFILE%\Documents\GitHub\eaglep3-reporting\EC\2017-11-24-refined-times.txt</v>
      </c>
      <c r="AI205" s="239" t="str">
        <f t="shared" ref="AI205" si="55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{"issue":{"subject":"","project_id":79,"tracker_id":40,"status_id":1,"priority_id":2,"assigned_to_id":338,"start_date":"2017-11-24","description":"","custom_fields":[{"id":1,"name":"Subdivision","value":"NW"},{"id":4,"name":"Milepost","value":"5.8961"},{"id":17,"name":"Train ID","value":"845-24"},{"id":16,"name":"Locomotive ID","value":"4060"},{"id":130,"name":"Impact","value":""},{"id":150,"name":"Time of Event (Mountain Time)","value":"21:24:03"},{"id":151,"name":"Denver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2"/>
      <c r="AL205" s="232"/>
      <c r="AM205" s="241" t="str">
        <f t="shared" ref="AM205" si="56">"start /low /b "&amp;dls3logs&amp;" --loco "&amp;B205&amp;" --day "&amp;TEXT(F205,"YYYY-MM-DD")</f>
        <v>start /low /b %USERPROFILE%\Documents\GitHub\eaglep3\Utilities\DownloadLogsFromS3.py --loco 4060 --day 2017-11-24</v>
      </c>
      <c r="AN205" s="242" t="str">
        <f t="shared" ref="AN205" si="57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04:24:03"},{"id":29,"name":"Sharepoint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1" t="str">
        <f t="shared" ref="AO205" si="5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-24T19:06:33-0700',mode:absolute,to:'2017-11-24T22:24:03-0700'))&amp;_a=(columns:!('Message%20ID',Summary),filters:!(),index:'emp_*',interval:auto,query:(query_string:(analyze_wildcard:!t,query:'%22rtdc.l.rtdc.4060%22')),sort:!(Time.ISO8601,asc))</v>
      </c>
    </row>
    <row r="206" spans="1:91" s="20" customFormat="1" x14ac:dyDescent="0.25">
      <c r="A206" s="230" t="s">
        <v>674</v>
      </c>
      <c r="B206" s="226">
        <v>4059</v>
      </c>
      <c r="C206" s="228" t="s">
        <v>192</v>
      </c>
      <c r="D206" s="228" t="s">
        <v>502</v>
      </c>
      <c r="E206" s="227">
        <v>43063.93472222222</v>
      </c>
      <c r="F206" s="227">
        <v>43063.936712962961</v>
      </c>
      <c r="G206" s="226">
        <v>75</v>
      </c>
      <c r="H206" s="228" t="s">
        <v>1105</v>
      </c>
      <c r="I206" s="227">
        <v>43063.950289351851</v>
      </c>
      <c r="J206" s="226">
        <v>0</v>
      </c>
      <c r="K206" s="238" t="str">
        <f>IF(ISEVEN(B206),(B206-1)&amp;"/"&amp;B206,B206&amp;"/"&amp;(B206+1))</f>
        <v>4059/4060</v>
      </c>
      <c r="L206" s="246" t="str">
        <f>VLOOKUP(A206,'Trips&amp;Operators'!$C$1:$G$99911,5,FALSE)</f>
        <v>HAMMOND JUSTYNN</v>
      </c>
      <c r="M206" s="225">
        <f>I206-F206</f>
        <v>1.357638889021473E-2</v>
      </c>
      <c r="N206" s="226"/>
      <c r="O206" s="226"/>
      <c r="P206" s="226">
        <f>24*60*SUM($M206:$M206)</f>
        <v>19.550000001909211</v>
      </c>
      <c r="Q206" s="229"/>
      <c r="R206" s="243" t="s">
        <v>504</v>
      </c>
      <c r="S206" s="250">
        <f>1/IF(AG206="EC",12,1)*SUM(U206:U206)</f>
        <v>0</v>
      </c>
      <c r="T206" s="243" t="str">
        <f>IF(ISEVEN(LEFT(AD206,4)),"Southbound","NorthBound")</f>
        <v>Southbound</v>
      </c>
      <c r="U206" s="24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249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-24T21:26:00-0700',mode:absolute,to:'2017-11-24T23:48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6" s="248" t="str">
        <f>IF(AA206&lt;VLOOKUP(AG206,Variables!$AC$3:$AD$8,2,FALSE),"Y","N")</f>
        <v>Y</v>
      </c>
      <c r="X206" s="248">
        <f t="shared" si="53"/>
        <v>1</v>
      </c>
      <c r="Y206" s="248">
        <f>RIGHT(D206,LEN(D206)-4)/10000</f>
        <v>5.8604000000000003</v>
      </c>
      <c r="Z206" s="248">
        <f>RIGHT(H206,LEN(H206)-4)/10000</f>
        <v>2.4043000000000001</v>
      </c>
      <c r="AA206" s="248">
        <f>ABS(Z206-Y206)</f>
        <v>3.4561000000000002</v>
      </c>
      <c r="AB206" s="234" t="e">
        <f>VLOOKUP(A206,Enforcements!$C$7:$K$9,8,0)</f>
        <v>#N/A</v>
      </c>
      <c r="AC206" s="233" t="e">
        <f>VLOOKUP(A206,Enforcements!$C$7:$E$9,3,0)</f>
        <v>#N/A</v>
      </c>
      <c r="AD206" s="244">
        <f>VALUE(LEFT(A206,LEN(A206)-3))</f>
        <v>846</v>
      </c>
      <c r="AE206" s="236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206" s="235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/stypes="app*4059*20171125*" /stext=" 05:.+((SYSTEM_STATE.+slice.+state.+changed )|(ment ac)|(multiple cpu faults)|(system.+state.+changed )|(\[timeout)|(PRM\|1\|D)|(kpr)|(kdp)|(train st.+moving)|(\|lc)|(penalty))"</v>
      </c>
      <c r="AG206" s="245" t="str">
        <f>DetSubdiv(A206)</f>
        <v>NW</v>
      </c>
      <c r="AH206" s="237" t="str">
        <f t="shared" si="15"/>
        <v>"%USERPROFILE%\Documents\GitHub\eaglep3\Utilities\RefineRTDCRunTimes.py" --tripid 846-24 --locoid 4059 --swversion DE.1.0.9.0 --startMP 300:58604 --initTime 2017-11-24T22:26:00 --startdatetime 2017-11-24T22:28:52 --delay 75 --endMP 300:24043 --enddatetime 2017-11-24T22:48:25 --enforcementcount 0 &gt;&gt;%USERPROFILE%\Documents\GitHub\eaglep3-reporting\EC\2017-11-24-refined-times.txt</v>
      </c>
      <c r="AI206" s="239" t="str">
        <f t="shared" si="16"/>
        <v>echo {"issue":{"subject":"Wi-MAX data drop","project_id":79,"tracker_id":40,"status_id":1,"priority_id":2,"assigned_to_id":338,"start_date":"2017-11-24","description":"","custom_fields":[{"id":1,"name":"Subdivision","value":"NW"},{"id":4,"name":"Milepost","value":"2.4043"},{"id":17,"name":"Train ID","value":"846-24"},{"id":16,"name":"Locomotive ID","value":"4059"},{"id":130,"name":"Impact","value":""},{"id":150,"name":"Time of Event (Mountain Time)","value":"22:48:25"},{"id":151,"name":"Denver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4"/>
      <c r="AK206" s="232"/>
      <c r="AL206" s="232"/>
      <c r="AM206" s="241" t="str">
        <f t="shared" si="17"/>
        <v>start /low /b %USERPROFILE%\Documents\GitHub\eaglep3\Utilities\DownloadLogsFromS3.py --loco 4059 --day 2017-11-24</v>
      </c>
      <c r="AN206" s="242" t="str">
        <f t="shared" si="18"/>
        <v>echo {"issue":{"subject":"Wi-MAX data drop","project_id":30,"tracker_id":4,"status_id":1,"priority_id":1,"assigned_to_id":10,"start_date":"2017-11-25","description":"","custom_fields":[{"id":30,"name":"Category","value":"Issue"},{"id":3,"name":"Functional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05:48:25"},{"id":29,"name":"Sharepoint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1" t="str">
        <f t="shared" si="19"/>
        <v>https://d0f6bd738d7f1b3e5a7ca70fe4ff75f0.us-east-1.aws.found.io/app/kibana#/discover/Steve-Slow-Train-Analysis-(2080s-and-2083s)?_g=(refreshInterval:(display:Off,pause:!f,section:0,value:0),time:(from:'2017-11-24T21:26:00-0700',mode:absolute,to:'2017-11-24T23:48:25-0700'))&amp;_a=(columns:!('Message%20ID',Summary),filters:!(),index:'emp_*',interval:auto,query:(query_string:(analyze_wildcard:!t,query:'%22rtdc.l.rtdc.4059%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30" t="s">
        <v>903</v>
      </c>
      <c r="B207" s="226">
        <v>4060</v>
      </c>
      <c r="C207" s="228" t="s">
        <v>192</v>
      </c>
      <c r="D207" s="228" t="s">
        <v>642</v>
      </c>
      <c r="E207" s="227">
        <v>43063.915185185186</v>
      </c>
      <c r="F207" s="227">
        <v>43063.92324074074</v>
      </c>
      <c r="G207" s="226">
        <v>78</v>
      </c>
      <c r="H207" s="228" t="s">
        <v>1106</v>
      </c>
      <c r="I207" s="227">
        <v>43063.933275462965</v>
      </c>
      <c r="J207" s="226">
        <v>0</v>
      </c>
      <c r="K207" s="238" t="str">
        <f>IF(ISEVEN(B207),(B207-1)&amp;"/"&amp;B207,B207&amp;"/"&amp;(B207+1))</f>
        <v>4059/4060</v>
      </c>
      <c r="L207" s="246" t="str">
        <f>VLOOKUP(A207,'Trips&amp;Operators'!$C$1:$G$99911,5,FALSE)</f>
        <v>HAMMOND JUSTYNN</v>
      </c>
      <c r="M207" s="225">
        <f>I207-F207</f>
        <v>1.0034722225100268E-2</v>
      </c>
      <c r="N207" s="226">
        <f>24*60*SUM($M207:$M207)</f>
        <v>14.450000004144385</v>
      </c>
      <c r="O207" s="226"/>
      <c r="P207" s="226"/>
      <c r="Q207" s="229"/>
      <c r="R207" s="243"/>
      <c r="S207" s="250">
        <f>1/IF(AG207="EC",12,1)*SUM(U207:U207)</f>
        <v>1</v>
      </c>
      <c r="T207" s="243" t="str">
        <f>IF(ISEVEN(LEFT(AD207,4)),"Southbound","NorthBound")</f>
        <v>NorthBound</v>
      </c>
      <c r="U207" s="24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9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-24T20:57:52-0700',mode:absolute,to:'2017-11-24T23:23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7" s="248" t="str">
        <f>IF(AA207&lt;VLOOKUP(AG207,Variables!$AC$3:$AD$8,2,FALSE),"Y","N")</f>
        <v>N</v>
      </c>
      <c r="X207" s="248">
        <f>VALUE(LEFT(AD207,4))-VALUE(LEFT(AD206,4))</f>
        <v>1</v>
      </c>
      <c r="Y207" s="248">
        <f>RIGHT(D207,LEN(D207)-4)/10000</f>
        <v>0.1119</v>
      </c>
      <c r="Z207" s="248">
        <f>RIGHT(H207,LEN(H207)-4)/10000</f>
        <v>5.8917999999999999</v>
      </c>
      <c r="AA207" s="248">
        <f>ABS(Z207-Y207)</f>
        <v>5.7798999999999996</v>
      </c>
      <c r="AB207" s="234" t="e">
        <f>VLOOKUP(A207,Enforcements!$C$7:$K$9,8,0)</f>
        <v>#N/A</v>
      </c>
      <c r="AC207" s="233" t="e">
        <f>VLOOKUP(A207,Enforcements!$C$7:$E$9,3,0)</f>
        <v>#N/A</v>
      </c>
      <c r="AD207" s="244">
        <f>VALUE(LEFT(A207,LEN(A207)-3))</f>
        <v>847</v>
      </c>
      <c r="AE207" s="236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s3://rtdc.mdm.uploadarchive.raw/RTDC4060/ "%USERPROFILE%\AppData\Local\Temp\OnboardLogs"\RTDC4060\2017-11-24 --exclude "*" --recursive --include "*20171124*" &amp; "%USERPROFILE%\Documents\GitHub\mrs-test-scripts\Headless Mode &amp; Sideloading\WalkAndUnGZ.bat" "%USERPROFILE%\AppData\Local\Temp\OnboardLogs"\RTDC4060\2017-11-24 &amp; aws s3 cp s3://rtdc.mdm.uploadarchive.raw/RTDC4060/ "%USERPROFILE%\AppData\Local\Temp\OnboardLogs"\RTDC4060\2017-11-25 --exclude "*" --recursive --include "*20171125*" &amp; "%USERPROFILE%\Documents\GitHub\mrs-test-scripts\Headless Mode &amp; Sideloading\WalkAndUnGZ.bat" "%USERPROFILE%\AppData\Local\Temp\OnboardLogs"\RTDC4060\2017-11-25</v>
      </c>
      <c r="AF207" s="235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/stypes="app*4060*20171125*" /stext=" 05:.+((SYSTEM_STATE.+slice.+state.+changed )|(ment ac)|(multiple cpu faults)|(system.+state.+changed )|(\[timeout)|(PRM\|1\|D)|(kpr)|(kdp)|(train st.+moving)|(\|lc)|(penalty))"</v>
      </c>
      <c r="AG207" s="245" t="str">
        <f>DetSubdiv(A207)</f>
        <v>NW</v>
      </c>
      <c r="AH207" s="237" t="str">
        <f t="shared" si="15"/>
        <v>"%USERPROFILE%\Documents\GitHub\eaglep3\Utilities\RefineRTDCRunTimes.py" --tripid 847-24 --locoid 4060 --swversion DE.1.0.9.0 --startMP 204:1119 --initTime 2017-11-24T21:57:52 --startdatetime 2017-11-24T22:09:28 --delay 78 --endMP 300:58918 --enddatetime 2017-11-24T22:23:55 --enforcementcount 0 &gt;&gt;%USERPROFILE%\Documents\GitHub\eaglep3-reporting\EC\2017-11-24-refined-times.txt</v>
      </c>
      <c r="AI207" s="239" t="str">
        <f t="shared" si="16"/>
        <v>echo {"issue":{"subject":"","project_id":79,"tracker_id":40,"status_id":1,"priority_id":2,"assigned_to_id":338,"start_date":"2017-11-24","description":"","custom_fields":[{"id":1,"name":"Subdivision","value":"NW"},{"id":4,"name":"Milepost","value":"5.8918"},{"id":17,"name":"Train ID","value":"847-24"},{"id":16,"name":"Locomotive ID","value":"4060"},{"id":130,"name":"Impact","value":""},{"id":150,"name":"Time of Event (Mountain Time)","value":"22:23:55"},{"id":151,"name":"Denver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4"/>
      <c r="AK207" s="232"/>
      <c r="AL207" s="232"/>
      <c r="AM207" s="241" t="str">
        <f t="shared" si="17"/>
        <v>start /low /b %USERPROFILE%\Documents\GitHub\eaglep3\Utilities\DownloadLogsFromS3.py --loco 4060 --day 2017-11-24</v>
      </c>
      <c r="AN207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05:23:55"},{"id":29,"name":"Sharepoint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1" t="str">
        <f t="shared" si="19"/>
        <v>https://d0f6bd738d7f1b3e5a7ca70fe4ff75f0.us-east-1.aws.found.io/app/kibana#/discover/Steve-Slow-Train-Analysis-(2080s-and-2083s)?_g=(refreshInterval:(display:Off,pause:!f,section:0,value:0),time:(from:'2017-11-24T20:57:52-0700',mode:absolute,to:'2017-11-24T23:23:55-0700'))&amp;_a=(columns:!('Message%20ID',Summary),filters:!(),index:'emp_*',interval:auto,query:(query_string:(analyze_wildcard:!t,query:'%22rtdc.l.rtdc.4060%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4" customFormat="1" x14ac:dyDescent="0.25">
      <c r="A208" s="230" t="s">
        <v>907</v>
      </c>
      <c r="B208" s="226">
        <v>4059</v>
      </c>
      <c r="C208" s="228" t="s">
        <v>192</v>
      </c>
      <c r="D208" s="228" t="s">
        <v>642</v>
      </c>
      <c r="E208" s="227">
        <v>43063.915185185186</v>
      </c>
      <c r="F208" s="227">
        <v>43063.964780092596</v>
      </c>
      <c r="G208" s="226">
        <v>78</v>
      </c>
      <c r="H208" s="228" t="s">
        <v>1106</v>
      </c>
      <c r="I208" s="227">
        <v>43063.974930555552</v>
      </c>
      <c r="J208" s="226">
        <v>0</v>
      </c>
      <c r="K208" s="238" t="str">
        <f>IF(ISEVEN(B208),(B208-1)&amp;"/"&amp;B208,B208&amp;"/"&amp;(B208+1))</f>
        <v>4059/4060</v>
      </c>
      <c r="L208" s="246" t="str">
        <f>VLOOKUP(A208,'Trips&amp;Operators'!$C$1:$G$99911,5,FALSE)</f>
        <v>HAMMOND JUSTYNN</v>
      </c>
      <c r="M208" s="225">
        <f>I208-F208</f>
        <v>1.0150462956517003E-2</v>
      </c>
      <c r="N208" s="226">
        <f>24*60*SUM($M208:$M208)</f>
        <v>14.616666657384485</v>
      </c>
      <c r="O208" s="226"/>
      <c r="P208" s="226"/>
      <c r="Q208" s="229"/>
      <c r="R208" s="243"/>
      <c r="S208" s="250">
        <f>1/IF(AG208="EC",12,1)*SUM(U208:U208)</f>
        <v>1</v>
      </c>
      <c r="T208" s="243" t="str">
        <f>IF(ISEVEN(LEFT(AD208,4)),"Southbound","NorthBound")</f>
        <v>NorthBound</v>
      </c>
      <c r="U208" s="24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9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-24T20:57:52-0700',mode:absolute,to:'2017-11-25T00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8" s="248" t="str">
        <f>IF(AA208&lt;VLOOKUP(AG208,Variables!$AC$3:$AD$8,2,FALSE),"Y","N")</f>
        <v>N</v>
      </c>
      <c r="X208" s="248">
        <f>VALUE(LEFT(AD208,4))-VALUE(LEFT(AD207,4))</f>
        <v>2</v>
      </c>
      <c r="Y208" s="248">
        <f>RIGHT(D208,LEN(D208)-4)/10000</f>
        <v>0.1119</v>
      </c>
      <c r="Z208" s="248">
        <f>RIGHT(H208,LEN(H208)-4)/10000</f>
        <v>5.8917999999999999</v>
      </c>
      <c r="AA208" s="248">
        <f>ABS(Z208-Y208)</f>
        <v>5.7798999999999996</v>
      </c>
      <c r="AB208" s="234" t="e">
        <f>VLOOKUP(A208,Enforcements!$C$7:$K$9,8,0)</f>
        <v>#N/A</v>
      </c>
      <c r="AC208" s="233" t="e">
        <f>VLOOKUP(A208,Enforcements!$C$7:$E$9,3,0)</f>
        <v>#N/A</v>
      </c>
      <c r="AD208" s="244">
        <f>VALUE(LEFT(A208,LEN(A208)-3))</f>
        <v>849</v>
      </c>
      <c r="AE208" s="236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208" s="235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/stypes="app*4059*20171125*" /stext=" 06:.+((SYSTEM_STATE.+slice.+state.+changed )|(ment ac)|(multiple cpu faults)|(system.+state.+changed )|(\[timeout)|(PRM\|1\|D)|(kpr)|(kdp)|(train st.+moving)|(\|lc)|(penalty))"</v>
      </c>
      <c r="AG208" s="245" t="str">
        <f>DetSubdiv(A208)</f>
        <v>NW</v>
      </c>
      <c r="AH208" s="237" t="str">
        <f t="shared" ref="AH208" si="59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849-24 --locoid 4059 --swversion DE.1.0.9.0 --startMP 204:1119 --initTime 2017-11-24T21:57:52 --startdatetime 2017-11-24T23:09:17 --delay 78 --endMP 300:58918 --enddatetime 2017-11-24T23:23:54 --enforcementcount 0 &gt;&gt;%USERPROFILE%\Documents\GitHub\eaglep3-reporting\EC\2017-11-24-refined-times.txt</v>
      </c>
      <c r="AI208" s="239" t="str">
        <f t="shared" ref="AI208" si="60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{"issue":{"subject":"","project_id":79,"tracker_id":40,"status_id":1,"priority_id":2,"assigned_to_id":338,"start_date":"2017-11-24","description":"","custom_fields":[{"id":1,"name":"Subdivision","value":"NW"},{"id":4,"name":"Milepost","value":"5.8918"},{"id":17,"name":"Train ID","value":"849-24"},{"id":16,"name":"Locomotive ID","value":"4059"},{"id":130,"name":"Impact","value":""},{"id":150,"name":"Time of Event (Mountain Time)","value":"23:23:54"},{"id":151,"name":"Denver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2"/>
      <c r="AL208" s="232"/>
      <c r="AM208" s="241" t="str">
        <f t="shared" ref="AM208" si="61">"start /low /b "&amp;dls3logs&amp;" --loco "&amp;B208&amp;" --day "&amp;TEXT(F208,"YYYY-MM-DD")</f>
        <v>start /low /b %USERPROFILE%\Documents\GitHub\eaglep3\Utilities\DownloadLogsFromS3.py --loco 4059 --day 2017-11-24</v>
      </c>
      <c r="AN208" s="242" t="str">
        <f t="shared" ref="AN208" si="62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06:23:54"},{"id":29,"name":"Sharepoint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1" t="str">
        <f t="shared" ref="AO208" si="63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-24T20:57:52-0700',mode:absolute,to:'2017-11-25T00:23:54-0700'))&amp;_a=(columns:!('Message%20ID',Summary),filters:!(),index:'emp_*',interval:auto,query:(query_string:(analyze_wildcard:!t,query:'%22rtdc.l.rtdc.4059%22')),sort:!(Time.ISO8601,asc))</v>
      </c>
    </row>
    <row r="209" spans="1:91" s="20" customFormat="1" x14ac:dyDescent="0.25">
      <c r="A209" s="230" t="s">
        <v>687</v>
      </c>
      <c r="B209" s="226">
        <v>4063</v>
      </c>
      <c r="C209" s="228" t="s">
        <v>192</v>
      </c>
      <c r="D209" s="228" t="s">
        <v>1041</v>
      </c>
      <c r="E209" s="227">
        <v>43063.121203703704</v>
      </c>
      <c r="F209" s="227">
        <v>43063.123425925929</v>
      </c>
      <c r="G209" s="226">
        <v>51</v>
      </c>
      <c r="H209" s="228" t="s">
        <v>1042</v>
      </c>
      <c r="I209" s="227">
        <v>43063.128738425927</v>
      </c>
      <c r="J209" s="226">
        <v>0</v>
      </c>
      <c r="K209" s="238" t="str">
        <f>IF(ISEVEN(B209),(B209-1)&amp;"/"&amp;B209,B209&amp;"/"&amp;(B209+1))</f>
        <v>4063/4064</v>
      </c>
      <c r="L209" s="246" t="str">
        <f>VLOOKUP(A209,'Trips&amp;Operators'!$C$1:$G$99911,5,FALSE)</f>
        <v>ROCHA YAOTL</v>
      </c>
      <c r="M209" s="225">
        <f>I209-F209</f>
        <v>5.3124999976716936E-3</v>
      </c>
      <c r="N209" s="226">
        <f>24*60*SUM($M209:$M209)</f>
        <v>7.6499999966472387</v>
      </c>
      <c r="O209" s="226"/>
      <c r="P209" s="226"/>
      <c r="Q209" s="229"/>
      <c r="R209" s="243"/>
      <c r="S209" s="250">
        <f>1/IF(AG209="EC",12,1)*SUM(U209:U209)</f>
        <v>1</v>
      </c>
      <c r="T209" s="243" t="str">
        <f>IF(ISEVEN(LEFT(AD209,4)),"Southbound","NorthBound")</f>
        <v>Southbound</v>
      </c>
      <c r="U209" s="24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9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-24T01:54:32-0700',mode:absolute,to:'2017-11-24T04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9" s="248" t="str">
        <f>IF(AA209&lt;VLOOKUP(AG209,Variables!$AC$3:$AD$8,2,FALSE),"Y","N")</f>
        <v>Y</v>
      </c>
      <c r="X209" s="248">
        <f>VALUE(LEFT(AD209,4))-VALUE(LEFT(AD208,4))</f>
        <v>-549</v>
      </c>
      <c r="Y209" s="248">
        <f>RIGHT(D209,LEN(D209)-4)/10000</f>
        <v>2.3372000000000002</v>
      </c>
      <c r="Z209" s="248">
        <f>RIGHT(H209,LEN(H209)-4)/10000</f>
        <v>1.23E-2</v>
      </c>
      <c r="AA209" s="248">
        <f>ABS(Z209-Y209)</f>
        <v>2.3249</v>
      </c>
      <c r="AB209" s="234" t="e">
        <f>VLOOKUP(A209,Enforcements!$C$7:$K$9,8,0)</f>
        <v>#N/A</v>
      </c>
      <c r="AC209" s="233" t="e">
        <f>VLOOKUP(A209,Enforcements!$C$7:$E$9,3,0)</f>
        <v>#N/A</v>
      </c>
      <c r="AD209" s="244">
        <f>VALUE(LEFT(A209,LEN(A209)-3))</f>
        <v>300</v>
      </c>
      <c r="AE209" s="236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s3://rtdc.mdm.uploadarchive.raw/RTDC4063/ "%USERPROFILE%\AppData\Local\Temp\OnboardLogs"\RTDC4063\2017-11-24 --exclude "*" --recursive --include "*20171124*" &amp; "%USERPROFILE%\Documents\GitHub\mrs-test-scripts\Headless Mode &amp; Sideloading\WalkAndUnGZ.bat" "%USERPROFILE%\AppData\Local\Temp\OnboardLogs"\RTDC4063\2017-11-24 &amp; aws s3 cp s3://rtdc.mdm.uploadarchive.raw/RTDC4063/ "%USERPROFILE%\AppData\Local\Temp\OnboardLogs"\RTDC4063\2017-11-25 --exclude "*" --recursive --include "*20171125*" &amp; "%USERPROFILE%\Documents\GitHub\mrs-test-scripts\Headless Mode &amp; Sideloading\WalkAndUnGZ.bat" "%USERPROFILE%\AppData\Local\Temp\OnboardLogs"\RTDC4063\2017-11-25</v>
      </c>
      <c r="AF209" s="235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/stypes="app*4063*20171124*" /stext=" 10:.+((SYSTEM_STATE.+slice.+state.+changed )|(ment ac)|(multiple cpu faults)|(system.+state.+changed )|(\[timeout)|(PRM\|1\|D)|(kpr)|(kdp)|(train st.+moving)|(\|lc)|(penalty))"</v>
      </c>
      <c r="AG209" s="245" t="str">
        <f>DetSubdiv(A209)</f>
        <v>Other</v>
      </c>
      <c r="AH209" s="237" t="str">
        <f t="shared" si="15"/>
        <v>"%USERPROFILE%\Documents\GitHub\eaglep3\Utilities\RefineRTDCRunTimes.py" --tripid 300-24 --locoid 4063 --swversion DE.1.0.9.0 --startMP 300:23372 --initTime 2017-11-24T02:54:32 --startdatetime 2017-11-24T02:57:44 --delay 51 --endMP 204:123 --enddatetime 2017-11-24T03:05:23 --enforcementcount 0 &gt;&gt;%USERPROFILE%\Documents\GitHub\eaglep3-reporting\EC\2017-11-24-refined-times.txt</v>
      </c>
      <c r="AI209" s="239" t="str">
        <f t="shared" si="16"/>
        <v>echo {"issue":{"subject":"","project_id":79,"tracker_id":40,"status_id":1,"priority_id":2,"assigned_to_id":338,"start_date":"2017-11-24","description":"","custom_fields":[{"id":1,"name":"Subdivision","value":"Other"},{"id":4,"name":"Milepost","value":"0.0123"},{"id":17,"name":"Train ID","value":"300-24"},{"id":16,"name":"Locomotive ID","value":"4063"},{"id":130,"name":"Impact","value":""},{"id":150,"name":"Time of Event (Mountain Time)","value":"03:05:23"},{"id":151,"name":"Denver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4"/>
      <c r="AK209" s="232"/>
      <c r="AL209" s="232"/>
      <c r="AM209" s="241" t="str">
        <f t="shared" si="17"/>
        <v>start /low /b %USERPROFILE%\Documents\GitHub\eaglep3\Utilities\DownloadLogsFromS3.py --loco 4063 --day 2017-11-24</v>
      </c>
      <c r="AN209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10:05:23"},{"id":29,"name":"Sharepoint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1" t="str">
        <f t="shared" si="19"/>
        <v>https://d0f6bd738d7f1b3e5a7ca70fe4ff75f0.us-east-1.aws.found.io/app/kibana#/discover/Steve-Slow-Train-Analysis-(2080s-and-2083s)?_g=(refreshInterval:(display:Off,pause:!f,section:0,value:0),time:(from:'2017-11-24T01:54:32-0700',mode:absolute,to:'2017-11-24T04:05:23-0700'))&amp;_a=(columns:!('Message%20ID',Summary),filters:!(),index:'emp_*',interval:auto,query:(query_string:(analyze_wildcard:!t,query:'%22rtdc.l.rtdc.4063%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30" t="s">
        <v>878</v>
      </c>
      <c r="B210" s="226">
        <v>4002</v>
      </c>
      <c r="C210" s="228" t="s">
        <v>192</v>
      </c>
      <c r="D210" s="228" t="s">
        <v>607</v>
      </c>
      <c r="E210" s="227">
        <v>43063.77715277778</v>
      </c>
      <c r="F210" s="227">
        <v>43063.779328703706</v>
      </c>
      <c r="G210" s="226">
        <v>97</v>
      </c>
      <c r="H210" s="228" t="s">
        <v>1043</v>
      </c>
      <c r="I210" s="227">
        <v>43063.786747685182</v>
      </c>
      <c r="J210" s="226">
        <v>0</v>
      </c>
      <c r="K210" s="238" t="str">
        <f>IF(ISEVEN(B210),(B210-1)&amp;"/"&amp;B210,B210&amp;"/"&amp;(B210+1))</f>
        <v>4001/4002</v>
      </c>
      <c r="L210" s="246" t="str">
        <f>VLOOKUP(A210,'Trips&amp;Operators'!$C$1:$G$99911,5,FALSE)</f>
        <v>LORI SANTOS</v>
      </c>
      <c r="M210" s="225">
        <f>I210-F210</f>
        <v>7.4189814768033102E-3</v>
      </c>
      <c r="N210" s="226">
        <f>24*60*SUM($M210:$M210)</f>
        <v>10.683333326596767</v>
      </c>
      <c r="O210" s="226"/>
      <c r="P210" s="226"/>
      <c r="Q210" s="229"/>
      <c r="R210" s="243"/>
      <c r="S210" s="250">
        <f>1/IF(AG210="EC",12,1)*SUM(U210:U210)</f>
        <v>1</v>
      </c>
      <c r="T210" s="243" t="str">
        <f>IF(ISEVEN(LEFT(AD210,4)),"Southbound","NorthBound")</f>
        <v>NorthBound</v>
      </c>
      <c r="U210" s="24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9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-11-24T17:39:06-0700',mode:absolute,to:'2017-11-24T19:52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0" s="248" t="str">
        <f>IF(AA210&lt;VLOOKUP(AG210,Variables!$AC$3:$AD$8,2,FALSE),"Y","N")</f>
        <v>Y</v>
      </c>
      <c r="X210" s="248">
        <f>VALUE(LEFT(AD210,4))-VALUE(LEFT(AD209,4))</f>
        <v>1</v>
      </c>
      <c r="Y210" s="248">
        <f>RIGHT(D210,LEN(D210)-4)/10000</f>
        <v>4.6399999999999997E-2</v>
      </c>
      <c r="Z210" s="248">
        <f>RIGHT(H210,LEN(H210)-4)/10000</f>
        <v>2.3346</v>
      </c>
      <c r="AA210" s="248">
        <f>ABS(Z210-Y210)</f>
        <v>2.2881999999999998</v>
      </c>
      <c r="AB210" s="234" t="e">
        <f>VLOOKUP(A210,Enforcements!$C$7:$K$9,8,0)</f>
        <v>#N/A</v>
      </c>
      <c r="AC210" s="233" t="e">
        <f>VLOOKUP(A210,Enforcements!$C$7:$E$9,3,0)</f>
        <v>#N/A</v>
      </c>
      <c r="AD210" s="244">
        <f>VALUE(LEFT(A210,LEN(A210)-3))</f>
        <v>301</v>
      </c>
      <c r="AE210" s="236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s3://rtdc.mdm.uploadarchive.raw/RTDC4002/ "%USERPROFILE%\AppData\Local\Temp\OnboardLogs"\RTDC4002\2017-11-24 --exclude "*" --recursive --include "*20171124*" &amp; "%USERPROFILE%\Documents\GitHub\mrs-test-scripts\Headless Mode &amp; Sideloading\WalkAndUnGZ.bat" "%USERPROFILE%\AppData\Local\Temp\OnboardLogs"\RTDC4002\2017-11-24 &amp; aws s3 cp s3://rtdc.mdm.uploadarchive.raw/RTDC4002/ "%USERPROFILE%\AppData\Local\Temp\OnboardLogs"\RTDC4002\2017-11-25 --exclude "*" --recursive --include "*20171125*" &amp; "%USERPROFILE%\Documents\GitHub\mrs-test-scripts\Headless Mode &amp; Sideloading\WalkAndUnGZ.bat" "%USERPROFILE%\AppData\Local\Temp\OnboardLogs"\RTDC4002\2017-11-25</v>
      </c>
      <c r="AF210" s="235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/stypes="app*4002*20171125*" /stext=" 01:.+((SYSTEM_STATE.+slice.+state.+changed )|(ment ac)|(multiple cpu faults)|(system.+state.+changed )|(\[timeout)|(PRM\|1\|D)|(kpr)|(kdp)|(train st.+moving)|(\|lc)|(penalty))"</v>
      </c>
      <c r="AG210" s="245" t="str">
        <f>DetSubdiv(A210)</f>
        <v>Other</v>
      </c>
      <c r="AH210" s="237" t="str">
        <f t="shared" si="15"/>
        <v>"%USERPROFILE%\Documents\GitHub\eaglep3\Utilities\RefineRTDCRunTimes.py" --tripid 301-24 --locoid 4002 --swversion DE.1.0.9.0 --startMP 204:464 --initTime 2017-11-24T18:39:06 --startdatetime 2017-11-24T18:42:14 --delay 97 --endMP 300:23346 --enddatetime 2017-11-24T18:52:55 --enforcementcount 0 &gt;&gt;%USERPROFILE%\Documents\GitHub\eaglep3-reporting\EC\2017-11-24-refined-times.txt</v>
      </c>
      <c r="AI210" s="239" t="str">
        <f t="shared" si="16"/>
        <v>echo {"issue":{"subject":"","project_id":79,"tracker_id":40,"status_id":1,"priority_id":2,"assigned_to_id":338,"start_date":"2017-11-24","description":"","custom_fields":[{"id":1,"name":"Subdivision","value":"Other"},{"id":4,"name":"Milepost","value":"2.3346"},{"id":17,"name":"Train ID","value":"301-24"},{"id":16,"name":"Locomotive ID","value":"4002"},{"id":130,"name":"Impact","value":""},{"id":150,"name":"Time of Event (Mountain Time)","value":"18:52:55"},{"id":151,"name":"Denver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4"/>
      <c r="AK210" s="232"/>
      <c r="AL210" s="232"/>
      <c r="AM210" s="241" t="str">
        <f t="shared" si="17"/>
        <v>start /low /b %USERPROFILE%\Documents\GitHub\eaglep3\Utilities\DownloadLogsFromS3.py --loco 4002 --day 2017-11-24</v>
      </c>
      <c r="AN210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01:52:55"},{"id":29,"name":"Sharepoint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1" t="str">
        <f t="shared" si="19"/>
        <v>https://d0f6bd738d7f1b3e5a7ca70fe4ff75f0.us-east-1.aws.found.io/app/kibana#/discover/Steve-Slow-Train-Analysis-(2080s-and-2083s)?_g=(refreshInterval:(display:Off,pause:!f,section:0,value:0),time:(from:'2017-11-24T17:39:06-0700',mode:absolute,to:'2017-11-24T19:52:55-0700'))&amp;_a=(columns:!('Message%20ID',Summary),filters:!(),index:'emp_*',interval:auto,query:(query_string:(analyze_wildcard:!t,query:'%22rtdc.l.rtdc.4002%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30" t="s">
        <v>694</v>
      </c>
      <c r="B211" s="226">
        <v>4005</v>
      </c>
      <c r="C211" s="228" t="s">
        <v>192</v>
      </c>
      <c r="D211" s="228" t="s">
        <v>1044</v>
      </c>
      <c r="E211" s="227">
        <v>43063.140659722223</v>
      </c>
      <c r="F211" s="227">
        <v>43063.145127314812</v>
      </c>
      <c r="G211" s="226">
        <v>58</v>
      </c>
      <c r="H211" s="228" t="s">
        <v>981</v>
      </c>
      <c r="I211" s="227">
        <v>43063.150497685187</v>
      </c>
      <c r="J211" s="226">
        <v>0</v>
      </c>
      <c r="K211" s="238" t="str">
        <f>IF(ISEVEN(B211),(B211-1)&amp;"/"&amp;B211,B211&amp;"/"&amp;(B211+1))</f>
        <v>4005/4006</v>
      </c>
      <c r="L211" s="246" t="str">
        <f>VLOOKUP(A211,'Trips&amp;Operators'!$C$1:$G$99911,5,FALSE)</f>
        <v>MAELZER KURT</v>
      </c>
      <c r="M211" s="225">
        <f>I211-F211</f>
        <v>5.3703703742939979E-3</v>
      </c>
      <c r="N211" s="226">
        <f>24*60*SUM($M211:$M211)</f>
        <v>7.733333338983357</v>
      </c>
      <c r="O211" s="226"/>
      <c r="P211" s="226"/>
      <c r="Q211" s="229"/>
      <c r="R211" s="243"/>
      <c r="S211" s="250">
        <f>1/IF(AG211="EC",12,1)*SUM(U211:U211)</f>
        <v>1</v>
      </c>
      <c r="T211" s="243" t="str">
        <f>IF(ISEVEN(LEFT(AD211,4)),"Southbound","NorthBound")</f>
        <v>Southbound</v>
      </c>
      <c r="U211" s="24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9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-11-24T02:22:33-0700',mode:absolute,to:'2017-11-24T04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1" s="248" t="str">
        <f>IF(AA211&lt;VLOOKUP(AG211,Variables!$AC$3:$AD$8,2,FALSE),"Y","N")</f>
        <v>Y</v>
      </c>
      <c r="X211" s="248">
        <f>VALUE(LEFT(AD211,4))-VALUE(LEFT(AD210,4))</f>
        <v>1</v>
      </c>
      <c r="Y211" s="248">
        <f>RIGHT(D211,LEN(D211)-4)/10000</f>
        <v>1.9097999999999999</v>
      </c>
      <c r="Z211" s="248">
        <f>RIGHT(H211,LEN(H211)-4)/10000</f>
        <v>0.02</v>
      </c>
      <c r="AA211" s="248">
        <f>ABS(Z211-Y211)</f>
        <v>1.8897999999999999</v>
      </c>
      <c r="AB211" s="234" t="e">
        <f>VLOOKUP(A211,Enforcements!$C$7:$K$9,8,0)</f>
        <v>#N/A</v>
      </c>
      <c r="AC211" s="233" t="e">
        <f>VLOOKUP(A211,Enforcements!$C$7:$E$9,3,0)</f>
        <v>#N/A</v>
      </c>
      <c r="AD211" s="244">
        <f>VALUE(LEFT(A211,LEN(A211)-3))</f>
        <v>302</v>
      </c>
      <c r="AE211" s="236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s3://rtdc.mdm.uploadarchive.raw/RTDC4005/ "%USERPROFILE%\AppData\Local\Temp\OnboardLogs"\RTDC4005\2017-11-24 --exclude "*" --recursive --include "*20171124*" &amp; "%USERPROFILE%\Documents\GitHub\mrs-test-scripts\Headless Mode &amp; Sideloading\WalkAndUnGZ.bat" "%USERPROFILE%\AppData\Local\Temp\OnboardLogs"\RTDC4005\2017-11-24 &amp; aws s3 cp s3://rtdc.mdm.uploadarchive.raw/RTDC4005/ "%USERPROFILE%\AppData\Local\Temp\OnboardLogs"\RTDC4005\2017-11-25 --exclude "*" --recursive --include "*20171125*" &amp; "%USERPROFILE%\Documents\GitHub\mrs-test-scripts\Headless Mode &amp; Sideloading\WalkAndUnGZ.bat" "%USERPROFILE%\AppData\Local\Temp\OnboardLogs"\RTDC4005\2017-11-25</v>
      </c>
      <c r="AF211" s="235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/stypes="app*4005*20171124*" /stext=" 10:.+((SYSTEM_STATE.+slice.+state.+changed )|(ment ac)|(multiple cpu faults)|(system.+state.+changed )|(\[timeout)|(PRM\|1\|D)|(kpr)|(kdp)|(train st.+moving)|(\|lc)|(penalty))"</v>
      </c>
      <c r="AG211" s="245" t="str">
        <f>DetSubdiv(A211)</f>
        <v>Other</v>
      </c>
      <c r="AH211" s="237" t="str">
        <f t="shared" si="15"/>
        <v>"%USERPROFILE%\Documents\GitHub\eaglep3\Utilities\RefineRTDCRunTimes.py" --tripid 302-24 --locoid 4005 --swversion DE.1.0.9.0 --startMP 300:19098 --initTime 2017-11-24T03:22:33 --startdatetime 2017-11-24T03:28:59 --delay 58 --endMP 204:200 --enddatetime 2017-11-24T03:36:43 --enforcementcount 0 &gt;&gt;%USERPROFILE%\Documents\GitHub\eaglep3-reporting\EC\2017-11-24-refined-times.txt</v>
      </c>
      <c r="AI211" s="239" t="str">
        <f t="shared" si="16"/>
        <v>echo {"issue":{"subject":"","project_id":79,"tracker_id":40,"status_id":1,"priority_id":2,"assigned_to_id":338,"start_date":"2017-11-24","description":"","custom_fields":[{"id":1,"name":"Subdivision","value":"Other"},{"id":4,"name":"Milepost","value":"0.02"},{"id":17,"name":"Train ID","value":"302-24"},{"id":16,"name":"Locomotive ID","value":"4005"},{"id":130,"name":"Impact","value":""},{"id":150,"name":"Time of Event (Mountain Time)","value":"03:36:43"},{"id":151,"name":"Denver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4"/>
      <c r="AK211" s="232"/>
      <c r="AL211" s="232"/>
      <c r="AM211" s="241" t="str">
        <f t="shared" si="17"/>
        <v>start /low /b %USERPROFILE%\Documents\GitHub\eaglep3\Utilities\DownloadLogsFromS3.py --loco 4005 --day 2017-11-24</v>
      </c>
      <c r="AN211" s="242" t="str">
        <f t="shared" si="18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10:36:43"},{"id":29,"name":"Sharepoint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1" t="str">
        <f t="shared" si="19"/>
        <v>https://d0f6bd738d7f1b3e5a7ca70fe4ff75f0.us-east-1.aws.found.io/app/kibana#/discover/Steve-Slow-Train-Analysis-(2080s-and-2083s)?_g=(refreshInterval:(display:Off,pause:!f,section:0,value:0),time:(from:'2017-11-24T02:22:33-0700',mode:absolute,to:'2017-11-24T04:36:43-0700'))&amp;_a=(columns:!('Message%20ID',Summary),filters:!(),index:'emp_*',interval:auto,query:(query_string:(analyze_wildcard:!t,query:'%22rtdc.l.rtdc.4005%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30" t="s">
        <v>885</v>
      </c>
      <c r="B212" s="226">
        <v>4050</v>
      </c>
      <c r="C212" s="228" t="s">
        <v>192</v>
      </c>
      <c r="D212" s="228" t="s">
        <v>513</v>
      </c>
      <c r="E212" s="227">
        <v>43063.796388888892</v>
      </c>
      <c r="F212" s="227">
        <v>43063.80195601852</v>
      </c>
      <c r="G212" s="226">
        <v>54</v>
      </c>
      <c r="H212" s="228" t="s">
        <v>546</v>
      </c>
      <c r="I212" s="227">
        <v>43063.809317129628</v>
      </c>
      <c r="J212" s="226">
        <v>0</v>
      </c>
      <c r="K212" s="238" t="str">
        <f>IF(ISEVEN(B212),(B212-1)&amp;"/"&amp;B212,B212&amp;"/"&amp;(B212+1))</f>
        <v>4049/4050</v>
      </c>
      <c r="L212" s="246" t="str">
        <f>VLOOKUP(A212,'Trips&amp;Operators'!$C$1:$G$99911,5,FALSE)</f>
        <v>ROBINSON KADDIBA</v>
      </c>
      <c r="M212" s="225">
        <f>I212-F212</f>
        <v>7.3611111074569635E-3</v>
      </c>
      <c r="N212" s="226">
        <f>24*60*SUM($M212:$M212)</f>
        <v>10.599999994738027</v>
      </c>
      <c r="O212" s="226"/>
      <c r="P212" s="226"/>
      <c r="Q212" s="229"/>
      <c r="R212" s="243"/>
      <c r="S212" s="250">
        <f>1/IF(AG212="EC",12,1)*SUM(U212:U212)</f>
        <v>1</v>
      </c>
      <c r="T212" s="243" t="str">
        <f>IF(ISEVEN(LEFT(AD212,4)),"Southbound","NorthBound")</f>
        <v>NorthBound</v>
      </c>
      <c r="U212" s="24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9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-11-24T18:06:48-0700',mode:absolute,to:'2017-11-24T20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2" s="248" t="str">
        <f>IF(AA212&lt;VLOOKUP(AG212,Variables!$AC$3:$AD$8,2,FALSE),"Y","N")</f>
        <v>Y</v>
      </c>
      <c r="X212" s="248">
        <f>VALUE(LEFT(AD212,4))-VALUE(LEFT(AD211,4))</f>
        <v>1</v>
      </c>
      <c r="Y212" s="248">
        <f>RIGHT(D212,LEN(D212)-4)/10000</f>
        <v>5.57E-2</v>
      </c>
      <c r="Z212" s="248">
        <f>RIGHT(H212,LEN(H212)-4)/10000</f>
        <v>2.3304</v>
      </c>
      <c r="AA212" s="248">
        <f>ABS(Z212-Y212)</f>
        <v>2.2747000000000002</v>
      </c>
      <c r="AB212" s="234" t="e">
        <f>VLOOKUP(A212,Enforcements!$C$7:$K$9,8,0)</f>
        <v>#N/A</v>
      </c>
      <c r="AC212" s="233" t="e">
        <f>VLOOKUP(A212,Enforcements!$C$7:$E$9,3,0)</f>
        <v>#N/A</v>
      </c>
      <c r="AD212" s="244">
        <f>VALUE(LEFT(A212,LEN(A212)-3))</f>
        <v>303</v>
      </c>
      <c r="AE212" s="236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s3://rtdc.mdm.uploadarchive.raw/RTDC4050/ "%USERPROFILE%\AppData\Local\Temp\OnboardLogs"\RTDC4050\2017-11-24 --exclude "*" --recursive --include "*20171124*" &amp; "%USERPROFILE%\Documents\GitHub\mrs-test-scripts\Headless Mode &amp; Sideloading\WalkAndUnGZ.bat" "%USERPROFILE%\AppData\Local\Temp\OnboardLogs"\RTDC4050\2017-11-24 &amp; aws s3 cp s3://rtdc.mdm.uploadarchive.raw/RTDC4050/ "%USERPROFILE%\AppData\Local\Temp\OnboardLogs"\RTDC4050\2017-11-25 --exclude "*" --recursive --include "*20171125*" &amp; "%USERPROFILE%\Documents\GitHub\mrs-test-scripts\Headless Mode &amp; Sideloading\WalkAndUnGZ.bat" "%USERPROFILE%\AppData\Local\Temp\OnboardLogs"\RTDC4050\2017-11-25</v>
      </c>
      <c r="AF212" s="235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/stypes="app*4050*20171125*" /stext=" 02:.+((SYSTEM_STATE.+slice.+state.+changed )|(ment ac)|(multiple cpu faults)|(system.+state.+changed )|(\[timeout)|(PRM\|1\|D)|(kpr)|(kdp)|(train st.+moving)|(\|lc)|(penalty))"</v>
      </c>
      <c r="AG212" s="245" t="str">
        <f>DetSubdiv(A212)</f>
        <v>Other</v>
      </c>
      <c r="AH212" s="237" t="str">
        <f t="shared" si="15"/>
        <v>"%USERPROFILE%\Documents\GitHub\eaglep3\Utilities\RefineRTDCRunTimes.py" --tripid 303-24 --locoid 4050 --swversion DE.1.0.9.0 --startMP 204:557 --initTime 2017-11-24T19:06:48 --startdatetime 2017-11-24T19:14:49 --delay 54 --endMP 300:23304 --enddatetime 2017-11-24T19:25:25 --enforcementcount 0 &gt;&gt;%USERPROFILE%\Documents\GitHub\eaglep3-reporting\EC\2017-11-24-refined-times.txt</v>
      </c>
      <c r="AI212" s="239" t="str">
        <f t="shared" si="16"/>
        <v>echo {"issue":{"subject":"","project_id":79,"tracker_id":40,"status_id":1,"priority_id":2,"assigned_to_id":338,"start_date":"2017-11-24","description":"","custom_fields":[{"id":1,"name":"Subdivision","value":"Other"},{"id":4,"name":"Milepost","value":"2.3304"},{"id":17,"name":"Train ID","value":"303-24"},{"id":16,"name":"Locomotive ID","value":"4050"},{"id":130,"name":"Impact","value":""},{"id":150,"name":"Time of Event (Mountain Time)","value":"19:25:25"},{"id":151,"name":"Denver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4"/>
      <c r="AK212" s="232"/>
      <c r="AL212" s="232"/>
      <c r="AM212" s="241" t="str">
        <f t="shared" si="17"/>
        <v>start /low /b %USERPROFILE%\Documents\GitHub\eaglep3\Utilities\DownloadLogsFromS3.py --loco 4050 --day 2017-11-24</v>
      </c>
      <c r="AN212" s="242" t="str">
        <f t="shared" si="18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02:25:25"},{"id":29,"name":"Sharepoint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1" t="str">
        <f t="shared" si="19"/>
        <v>https://d0f6bd738d7f1b3e5a7ca70fe4ff75f0.us-east-1.aws.found.io/app/kibana#/discover/Steve-Slow-Train-Analysis-(2080s-and-2083s)?_g=(refreshInterval:(display:Off,pause:!f,section:0,value:0),time:(from:'2017-11-24T18:06:48-0700',mode:absolute,to:'2017-11-24T20:25:25-0700'))&amp;_a=(columns:!('Message%20ID',Summary),filters:!(),index:'emp_*',interval:auto,query:(query_string:(analyze_wildcard:!t,query:'%22rtdc.l.rtdc.4050%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30" t="s">
        <v>698</v>
      </c>
      <c r="B213" s="226">
        <v>4009</v>
      </c>
      <c r="C213" s="228" t="s">
        <v>192</v>
      </c>
      <c r="D213" s="228" t="s">
        <v>1045</v>
      </c>
      <c r="E213" s="227">
        <v>43063.160416666666</v>
      </c>
      <c r="F213" s="227">
        <v>43063.165706018517</v>
      </c>
      <c r="G213" s="226">
        <v>106</v>
      </c>
      <c r="H213" s="228" t="s">
        <v>628</v>
      </c>
      <c r="I213" s="227">
        <v>43063.171215277776</v>
      </c>
      <c r="J213" s="226">
        <v>0</v>
      </c>
      <c r="K213" s="238" t="str">
        <f>IF(ISEVEN(B213),(B213-1)&amp;"/"&amp;B213,B213&amp;"/"&amp;(B213+1))</f>
        <v>4009/4010</v>
      </c>
      <c r="L213" s="246" t="str">
        <f>VLOOKUP(A213,'Trips&amp;Operators'!$C$1:$G$99911,5,FALSE)</f>
        <v>STARKS ANGELINA</v>
      </c>
      <c r="M213" s="225">
        <f>I213-F213</f>
        <v>5.5092592592700385E-3</v>
      </c>
      <c r="N213" s="226">
        <f>24*60*SUM($M213:$M213)</f>
        <v>7.9333333333488554</v>
      </c>
      <c r="O213" s="226"/>
      <c r="P213" s="226"/>
      <c r="Q213" s="229"/>
      <c r="R213" s="243"/>
      <c r="S213" s="250">
        <f>1/IF(AG213="EC",12,1)*SUM(U213:U213)</f>
        <v>1</v>
      </c>
      <c r="T213" s="243" t="str">
        <f>IF(ISEVEN(LEFT(AD213,4)),"Southbound","NorthBound")</f>
        <v>Southbound</v>
      </c>
      <c r="U213" s="24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9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-11-24T02:51:00-0700',mode:absolute,to:'2017-11-24T05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3" s="248" t="str">
        <f>IF(AA213&lt;VLOOKUP(AG213,Variables!$AC$3:$AD$8,2,FALSE),"Y","N")</f>
        <v>Y</v>
      </c>
      <c r="X213" s="248">
        <f>VALUE(LEFT(AD213,4))-VALUE(LEFT(AD212,4))</f>
        <v>1</v>
      </c>
      <c r="Y213" s="248">
        <f>RIGHT(D213,LEN(D213)-4)/10000</f>
        <v>2.0116000000000001</v>
      </c>
      <c r="Z213" s="248">
        <f>RIGHT(H213,LEN(H213)-4)/10000</f>
        <v>1.49E-2</v>
      </c>
      <c r="AA213" s="248">
        <f>ABS(Z213-Y213)</f>
        <v>1.9967000000000001</v>
      </c>
      <c r="AB213" s="234" t="e">
        <f>VLOOKUP(A213,Enforcements!$C$7:$K$9,8,0)</f>
        <v>#N/A</v>
      </c>
      <c r="AC213" s="233" t="e">
        <f>VLOOKUP(A213,Enforcements!$C$7:$E$9,3,0)</f>
        <v>#N/A</v>
      </c>
      <c r="AD213" s="244">
        <f>VALUE(LEFT(A213,LEN(A213)-3))</f>
        <v>304</v>
      </c>
      <c r="AE213" s="236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s3://rtdc.mdm.uploadarchive.raw/RTDC4009/ "%USERPROFILE%\AppData\Local\Temp\OnboardLogs"\RTDC4009\2017-11-24 --exclude "*" --recursive --include "*20171124*" &amp; "%USERPROFILE%\Documents\GitHub\mrs-test-scripts\Headless Mode &amp; Sideloading\WalkAndUnGZ.bat" "%USERPROFILE%\AppData\Local\Temp\OnboardLogs"\RTDC4009\2017-11-24 &amp; aws s3 cp s3://rtdc.mdm.uploadarchive.raw/RTDC4009/ "%USERPROFILE%\AppData\Local\Temp\OnboardLogs"\RTDC4009\2017-11-25 --exclude "*" --recursive --include "*20171125*" &amp; "%USERPROFILE%\Documents\GitHub\mrs-test-scripts\Headless Mode &amp; Sideloading\WalkAndUnGZ.bat" "%USERPROFILE%\AppData\Local\Temp\OnboardLogs"\RTDC4009\2017-11-25</v>
      </c>
      <c r="AF213" s="235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/stypes="app*4009*20171124*" /stext=" 11:.+((SYSTEM_STATE.+slice.+state.+changed )|(ment ac)|(multiple cpu faults)|(system.+state.+changed )|(\[timeout)|(PRM\|1\|D)|(kpr)|(kdp)|(train st.+moving)|(\|lc)|(penalty))"</v>
      </c>
      <c r="AG213" s="245" t="str">
        <f>DetSubdiv(A213)</f>
        <v>Other</v>
      </c>
      <c r="AH213" s="237" t="str">
        <f t="shared" ref="AH213:AH234" si="64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304-24 --locoid 4009 --swversion DE.1.0.9.0 --startMP 300:20116 --initTime 2017-11-24T03:51:00 --startdatetime 2017-11-24T03:58:37 --delay 106 --endMP 204:149 --enddatetime 2017-11-24T04:06:33 --enforcementcount 0 &gt;&gt;%USERPROFILE%\Documents\GitHub\eaglep3-reporting\EC\2017-11-24-refined-times.txt</v>
      </c>
      <c r="AI213" s="239" t="str">
        <f t="shared" ref="AI213:AI234" si="65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{"issue":{"subject":"","project_id":79,"tracker_id":40,"status_id":1,"priority_id":2,"assigned_to_id":338,"start_date":"2017-11-24","description":"","custom_fields":[{"id":1,"name":"Subdivision","value":"Other"},{"id":4,"name":"Milepost","value":"0.0149"},{"id":17,"name":"Train ID","value":"304-24"},{"id":16,"name":"Locomotive ID","value":"4009"},{"id":130,"name":"Impact","value":""},{"id":150,"name":"Time of Event (Mountain Time)","value":"04:06:33"},{"id":151,"name":"Denver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4"/>
      <c r="AK213" s="232"/>
      <c r="AL213" s="232"/>
      <c r="AM213" s="241" t="str">
        <f t="shared" ref="AM213:AM234" si="66">"start /low /b "&amp;dls3logs&amp;" --loco "&amp;B213&amp;" --day "&amp;TEXT(F213,"YYYY-MM-DD")</f>
        <v>start /low /b %USERPROFILE%\Documents\GitHub\eaglep3\Utilities\DownloadLogsFromS3.py --loco 4009 --day 2017-11-24</v>
      </c>
      <c r="AN213" s="242" t="str">
        <f t="shared" ref="AN213:AN234" si="67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11:06:33"},{"id":29,"name":"Sharepoint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1" t="str">
        <f t="shared" ref="AO213:AO234" si="68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-11-24T02:51:00-0700',mode:absolute,to:'2017-11-24T05:06:33-0700'))&amp;_a=(columns:!('Message%20ID',Summary),filters:!(),index:'emp_*',interval:auto,query:(query_string:(analyze_wildcard:!t,query:'%22rtdc.l.rtdc.4009%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30" t="s">
        <v>888</v>
      </c>
      <c r="B214" s="226">
        <v>4064</v>
      </c>
      <c r="C214" s="228" t="s">
        <v>192</v>
      </c>
      <c r="D214" s="228" t="s">
        <v>988</v>
      </c>
      <c r="E214" s="227">
        <v>43063.819039351853</v>
      </c>
      <c r="F214" s="227">
        <v>43063.820717592593</v>
      </c>
      <c r="G214" s="226">
        <v>58</v>
      </c>
      <c r="H214" s="228" t="s">
        <v>520</v>
      </c>
      <c r="I214" s="227">
        <v>43063.828912037039</v>
      </c>
      <c r="J214" s="226">
        <v>0</v>
      </c>
      <c r="K214" s="238" t="str">
        <f>IF(ISEVEN(B214),(B214-1)&amp;"/"&amp;B214,B214&amp;"/"&amp;(B214+1))</f>
        <v>4063/4064</v>
      </c>
      <c r="L214" s="246" t="str">
        <f>VLOOKUP(A214,'Trips&amp;Operators'!$C$1:$G$99911,5,FALSE)</f>
        <v>AUSTIN THOMPSON</v>
      </c>
      <c r="M214" s="225">
        <f>I214-F214</f>
        <v>8.1944444464170374E-3</v>
      </c>
      <c r="N214" s="226">
        <f>24*60*SUM($M214:$M214)</f>
        <v>11.800000002840534</v>
      </c>
      <c r="O214" s="226"/>
      <c r="P214" s="226"/>
      <c r="Q214" s="229"/>
      <c r="R214" s="243"/>
      <c r="S214" s="250">
        <f>1/IF(AG214="EC",12,1)*SUM(U214:U214)</f>
        <v>1</v>
      </c>
      <c r="T214" s="243" t="str">
        <f>IF(ISEVEN(LEFT(AD214,4)),"Southbound","NorthBound")</f>
        <v>NorthBound</v>
      </c>
      <c r="U214" s="24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9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-11-24T18:39:25-0700',mode:absolute,to:'2017-11-24T20:53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4" s="248" t="str">
        <f>IF(AA214&lt;VLOOKUP(AG214,Variables!$AC$3:$AD$8,2,FALSE),"Y","N")</f>
        <v>Y</v>
      </c>
      <c r="X214" s="248">
        <f>VALUE(LEFT(AD214,4))-VALUE(LEFT(AD213,4))</f>
        <v>1</v>
      </c>
      <c r="Y214" s="248">
        <f>RIGHT(D214,LEN(D214)-4)/10000</f>
        <v>5.5500000000000001E-2</v>
      </c>
      <c r="Z214" s="248">
        <f>RIGHT(H214,LEN(H214)-4)/10000</f>
        <v>2.3302</v>
      </c>
      <c r="AA214" s="248">
        <f>ABS(Z214-Y214)</f>
        <v>2.2747000000000002</v>
      </c>
      <c r="AB214" s="234" t="e">
        <f>VLOOKUP(A214,Enforcements!$C$7:$K$9,8,0)</f>
        <v>#N/A</v>
      </c>
      <c r="AC214" s="233" t="e">
        <f>VLOOKUP(A214,Enforcements!$C$7:$E$9,3,0)</f>
        <v>#N/A</v>
      </c>
      <c r="AD214" s="244">
        <f>VALUE(LEFT(A214,LEN(A214)-3))</f>
        <v>305</v>
      </c>
      <c r="AE214" s="236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s3://rtdc.mdm.uploadarchive.raw/RTDC4064/ "%USERPROFILE%\AppData\Local\Temp\OnboardLogs"\RTDC4064\2017-11-24 --exclude "*" --recursive --include "*20171124*" &amp; "%USERPROFILE%\Documents\GitHub\mrs-test-scripts\Headless Mode &amp; Sideloading\WalkAndUnGZ.bat" "%USERPROFILE%\AppData\Local\Temp\OnboardLogs"\RTDC4064\2017-11-24 &amp; aws s3 cp s3://rtdc.mdm.uploadarchive.raw/RTDC4064/ "%USERPROFILE%\AppData\Local\Temp\OnboardLogs"\RTDC4064\2017-11-25 --exclude "*" --recursive --include "*20171125*" &amp; "%USERPROFILE%\Documents\GitHub\mrs-test-scripts\Headless Mode &amp; Sideloading\WalkAndUnGZ.bat" "%USERPROFILE%\AppData\Local\Temp\OnboardLogs"\RTDC4064\2017-11-25</v>
      </c>
      <c r="AF214" s="235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/stypes="app*4064*20171125*" /stext=" 02:.+((SYSTEM_STATE.+slice.+state.+changed )|(ment ac)|(multiple cpu faults)|(system.+state.+changed )|(\[timeout)|(PRM\|1\|D)|(kpr)|(kdp)|(train st.+moving)|(\|lc)|(penalty))"</v>
      </c>
      <c r="AG214" s="245" t="str">
        <f>DetSubdiv(A214)</f>
        <v>Other</v>
      </c>
      <c r="AH214" s="237" t="str">
        <f t="shared" si="64"/>
        <v>"%USERPROFILE%\Documents\GitHub\eaglep3\Utilities\RefineRTDCRunTimes.py" --tripid 305-24 --locoid 4064 --swversion DE.1.0.9.0 --startMP 204:555 --initTime 2017-11-24T19:39:25 --startdatetime 2017-11-24T19:41:50 --delay 58 --endMP 300:23302 --enddatetime 2017-11-24T19:53:38 --enforcementcount 0 &gt;&gt;%USERPROFILE%\Documents\GitHub\eaglep3-reporting\EC\2017-11-24-refined-times.txt</v>
      </c>
      <c r="AI214" s="239" t="str">
        <f t="shared" si="65"/>
        <v>echo {"issue":{"subject":"","project_id":79,"tracker_id":40,"status_id":1,"priority_id":2,"assigned_to_id":338,"start_date":"2017-11-24","description":"","custom_fields":[{"id":1,"name":"Subdivision","value":"Other"},{"id":4,"name":"Milepost","value":"2.3302"},{"id":17,"name":"Train ID","value":"305-24"},{"id":16,"name":"Locomotive ID","value":"4064"},{"id":130,"name":"Impact","value":""},{"id":150,"name":"Time of Event (Mountain Time)","value":"19:53:38"},{"id":151,"name":"Denver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4"/>
      <c r="AK214" s="232"/>
      <c r="AL214" s="232"/>
      <c r="AM214" s="241" t="str">
        <f t="shared" si="66"/>
        <v>start /low /b %USERPROFILE%\Documents\GitHub\eaglep3\Utilities\DownloadLogsFromS3.py --loco 4064 --day 2017-11-24</v>
      </c>
      <c r="AN214" s="242" t="str">
        <f t="shared" si="67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02:53:38"},{"id":29,"name":"Sharepoint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1" t="str">
        <f t="shared" si="68"/>
        <v>https://d0f6bd738d7f1b3e5a7ca70fe4ff75f0.us-east-1.aws.found.io/app/kibana#/discover/Steve-Slow-Train-Analysis-(2080s-and-2083s)?_g=(refreshInterval:(display:Off,pause:!f,section:0,value:0),time:(from:'2017-11-24T18:39:25-0700',mode:absolute,to:'2017-11-24T20:53:38-0700'))&amp;_a=(columns:!('Message%20ID',Summary),filters:!(),index:'emp_*',interval:auto,query:(query_string:(analyze_wildcard:!t,query:'%22rtdc.l.rtdc.4064%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30" t="s">
        <v>699</v>
      </c>
      <c r="B215" s="226">
        <v>4035</v>
      </c>
      <c r="C215" s="228" t="s">
        <v>192</v>
      </c>
      <c r="D215" s="228" t="s">
        <v>1046</v>
      </c>
      <c r="E215" s="227">
        <v>43063.169814814813</v>
      </c>
      <c r="F215" s="227">
        <v>43063.172534722224</v>
      </c>
      <c r="G215" s="226">
        <v>81</v>
      </c>
      <c r="H215" s="228" t="s">
        <v>1047</v>
      </c>
      <c r="I215" s="227">
        <v>43063.178101851852</v>
      </c>
      <c r="J215" s="226">
        <v>0</v>
      </c>
      <c r="K215" s="238" t="str">
        <f>IF(ISEVEN(B215),(B215-1)&amp;"/"&amp;B215,B215&amp;"/"&amp;(B215+1))</f>
        <v>4035/4036</v>
      </c>
      <c r="L215" s="246" t="str">
        <f>VLOOKUP(A215,'Trips&amp;Operators'!$C$1:$G$99911,5,FALSE)</f>
        <v>LONG FULLER</v>
      </c>
      <c r="M215" s="225">
        <f>I215-F215</f>
        <v>5.5671296286163852E-3</v>
      </c>
      <c r="N215" s="226">
        <f>24*60*SUM($M215:$M215)</f>
        <v>8.0166666652075946</v>
      </c>
      <c r="O215" s="226"/>
      <c r="P215" s="226"/>
      <c r="Q215" s="229"/>
      <c r="R215" s="243"/>
      <c r="S215" s="250">
        <f>1/IF(AG215="EC",12,1)*SUM(U215:U215)</f>
        <v>1</v>
      </c>
      <c r="T215" s="243" t="str">
        <f>IF(ISEVEN(LEFT(AD215,4)),"Southbound","NorthBound")</f>
        <v>Southbound</v>
      </c>
      <c r="U215" s="24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9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-11-24T03:04:32-0700',mode:absolute,to:'2017-11-24T05:16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5" s="248" t="str">
        <f>IF(AA215&lt;VLOOKUP(AG215,Variables!$AC$3:$AD$8,2,FALSE),"Y","N")</f>
        <v>Y</v>
      </c>
      <c r="X215" s="248">
        <f>VALUE(LEFT(AD215,4))-VALUE(LEFT(AD214,4))</f>
        <v>1</v>
      </c>
      <c r="Y215" s="248">
        <f>RIGHT(D215,LEN(D215)-4)/10000</f>
        <v>2.3266</v>
      </c>
      <c r="Z215" s="248">
        <f>RIGHT(H215,LEN(H215)-4)/10000</f>
        <v>1.5599999999999999E-2</v>
      </c>
      <c r="AA215" s="248">
        <f>ABS(Z215-Y215)</f>
        <v>2.3109999999999999</v>
      </c>
      <c r="AB215" s="234" t="e">
        <f>VLOOKUP(A215,Enforcements!$C$7:$K$9,8,0)</f>
        <v>#N/A</v>
      </c>
      <c r="AC215" s="233" t="e">
        <f>VLOOKUP(A215,Enforcements!$C$7:$E$9,3,0)</f>
        <v>#N/A</v>
      </c>
      <c r="AD215" s="244">
        <f>VALUE(LEFT(A215,LEN(A215)-3))</f>
        <v>306</v>
      </c>
      <c r="AE215" s="236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s3://rtdc.mdm.uploadarchive.raw/RTDC4035/ "%USERPROFILE%\AppData\Local\Temp\OnboardLogs"\RTDC4035\2017-11-24 --exclude "*" --recursive --include "*20171124*" &amp; "%USERPROFILE%\Documents\GitHub\mrs-test-scripts\Headless Mode &amp; Sideloading\WalkAndUnGZ.bat" "%USERPROFILE%\AppData\Local\Temp\OnboardLogs"\RTDC4035\2017-11-24 &amp; aws s3 cp s3://rtdc.mdm.uploadarchive.raw/RTDC4035/ "%USERPROFILE%\AppData\Local\Temp\OnboardLogs"\RTDC4035\2017-11-25 --exclude "*" --recursive --include "*20171125*" &amp; "%USERPROFILE%\Documents\GitHub\mrs-test-scripts\Headless Mode &amp; Sideloading\WalkAndUnGZ.bat" "%USERPROFILE%\AppData\Local\Temp\OnboardLogs"\RTDC4035\2017-11-25</v>
      </c>
      <c r="AF215" s="235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/stypes="app*4035*20171124*" /stext=" 11:.+((SYSTEM_STATE.+slice.+state.+changed )|(ment ac)|(multiple cpu faults)|(system.+state.+changed )|(\[timeout)|(PRM\|1\|D)|(kpr)|(kdp)|(train st.+moving)|(\|lc)|(penalty))"</v>
      </c>
      <c r="AG215" s="245" t="str">
        <f>DetSubdiv(A215)</f>
        <v>Other</v>
      </c>
      <c r="AH215" s="237" t="str">
        <f t="shared" si="64"/>
        <v>"%USERPROFILE%\Documents\GitHub\eaglep3\Utilities\RefineRTDCRunTimes.py" --tripid 306-24 --locoid 4035 --swversion DE.1.0.9.0 --startMP 300:23266 --initTime 2017-11-24T04:04:32 --startdatetime 2017-11-24T04:08:27 --delay 81 --endMP 204:156 --enddatetime 2017-11-24T04:16:28 --enforcementcount 0 &gt;&gt;%USERPROFILE%\Documents\GitHub\eaglep3-reporting\EC\2017-11-24-refined-times.txt</v>
      </c>
      <c r="AI215" s="239" t="str">
        <f t="shared" si="65"/>
        <v>echo {"issue":{"subject":"","project_id":79,"tracker_id":40,"status_id":1,"priority_id":2,"assigned_to_id":338,"start_date":"2017-11-24","description":"","custom_fields":[{"id":1,"name":"Subdivision","value":"Other"},{"id":4,"name":"Milepost","value":"0.0156"},{"id":17,"name":"Train ID","value":"306-24"},{"id":16,"name":"Locomotive ID","value":"4035"},{"id":130,"name":"Impact","value":""},{"id":150,"name":"Time of Event (Mountain Time)","value":"04:16:28"},{"id":151,"name":"Denver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4"/>
      <c r="AK215" s="232"/>
      <c r="AL215" s="232"/>
      <c r="AM215" s="241" t="str">
        <f t="shared" si="66"/>
        <v>start /low /b %USERPROFILE%\Documents\GitHub\eaglep3\Utilities\DownloadLogsFromS3.py --loco 4035 --day 2017-11-24</v>
      </c>
      <c r="AN215" s="242" t="str">
        <f t="shared" si="6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11:16:28"},{"id":29,"name":"Sharepoint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1" t="str">
        <f t="shared" si="68"/>
        <v>https://d0f6bd738d7f1b3e5a7ca70fe4ff75f0.us-east-1.aws.found.io/app/kibana#/discover/Steve-Slow-Train-Analysis-(2080s-and-2083s)?_g=(refreshInterval:(display:Off,pause:!f,section:0,value:0),time:(from:'2017-11-24T03:04:32-0700',mode:absolute,to:'2017-11-24T05:16:28-0700'))&amp;_a=(columns:!('Message%20ID',Summary),filters:!(),index:'emp_*',interval:auto,query:(query_string:(analyze_wildcard:!t,query:'%22rtdc.l.rtdc.4035%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30" t="s">
        <v>676</v>
      </c>
      <c r="B216" s="226">
        <v>4006</v>
      </c>
      <c r="C216" s="228" t="s">
        <v>192</v>
      </c>
      <c r="D216" s="228" t="s">
        <v>1016</v>
      </c>
      <c r="E216" s="227">
        <v>43064.047673611109</v>
      </c>
      <c r="F216" s="227">
        <v>43064.049143518518</v>
      </c>
      <c r="G216" s="226">
        <v>50</v>
      </c>
      <c r="H216" s="228" t="s">
        <v>1048</v>
      </c>
      <c r="I216" s="227">
        <v>43064.055069444446</v>
      </c>
      <c r="J216" s="226">
        <v>0</v>
      </c>
      <c r="K216" s="238" t="str">
        <f>IF(ISEVEN(B216),(B216-1)&amp;"/"&amp;B216,B216&amp;"/"&amp;(B216+1))</f>
        <v>4005/4006</v>
      </c>
      <c r="L216" s="246" t="str">
        <f>VLOOKUP(A216,'Trips&amp;Operators'!$C$1:$G$99911,5,FALSE)</f>
        <v>DAVIDSON DAVID</v>
      </c>
      <c r="M216" s="225">
        <f>I216-F216</f>
        <v>5.9259259287500754E-3</v>
      </c>
      <c r="N216" s="226">
        <f>24*60*SUM($M216:$M216)</f>
        <v>8.5333333374001086</v>
      </c>
      <c r="O216" s="226"/>
      <c r="P216" s="226"/>
      <c r="Q216" s="229"/>
      <c r="R216" s="243"/>
      <c r="S216" s="250">
        <f>1/IF(AG216="EC",12,1)*SUM(U216:U216)</f>
        <v>1</v>
      </c>
      <c r="T216" s="243" t="str">
        <f>IF(ISEVEN(LEFT(AD216,4)),"Southbound","NorthBound")</f>
        <v>NorthBound</v>
      </c>
      <c r="U216" s="24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9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-11-25T00:08:39-0700',mode:absolute,to:'2017-11-25T02:19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6" s="248" t="str">
        <f>IF(AA216&lt;VLOOKUP(AG216,Variables!$AC$3:$AD$8,2,FALSE),"Y","N")</f>
        <v>Y</v>
      </c>
      <c r="X216" s="248">
        <f>VALUE(LEFT(AD216,4))-VALUE(LEFT(AD215,4))</f>
        <v>1</v>
      </c>
      <c r="Y216" s="248">
        <f>RIGHT(D216,LEN(D216)-4)/10000</f>
        <v>5.3900000000000003E-2</v>
      </c>
      <c r="Z216" s="248">
        <f>RIGHT(H216,LEN(H216)-4)/10000</f>
        <v>2.2622</v>
      </c>
      <c r="AA216" s="248">
        <f>ABS(Z216-Y216)</f>
        <v>2.2082999999999999</v>
      </c>
      <c r="AB216" s="234" t="e">
        <f>VLOOKUP(A216,Enforcements!$C$7:$K$9,8,0)</f>
        <v>#N/A</v>
      </c>
      <c r="AC216" s="233" t="e">
        <f>VLOOKUP(A216,Enforcements!$C$7:$E$9,3,0)</f>
        <v>#N/A</v>
      </c>
      <c r="AD216" s="244">
        <f>VALUE(LEFT(A216,LEN(A216)-3))</f>
        <v>307</v>
      </c>
      <c r="AE216" s="236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s3://rtdc.mdm.uploadarchive.raw/RTDC4006/ "%USERPROFILE%\AppData\Local\Temp\OnboardLogs"\RTDC4006\2017-11-25 --exclude "*" --recursive --include "*20171125*" &amp; "%USERPROFILE%\Documents\GitHub\mrs-test-scripts\Headless Mode &amp; Sideloading\WalkAndUnGZ.bat" "%USERPROFILE%\AppData\Local\Temp\OnboardLogs"\RTDC4006\2017-11-25 &amp; aws s3 cp s3://rtdc.mdm.uploadarchive.raw/RTDC4006/ "%USERPROFILE%\AppData\Local\Temp\OnboardLogs"\RTDC4006\2017-11-26 --exclude "*" --recursive --include "*20171126*" &amp; "%USERPROFILE%\Documents\GitHub\mrs-test-scripts\Headless Mode &amp; Sideloading\WalkAndUnGZ.bat" "%USERPROFILE%\AppData\Local\Temp\OnboardLogs"\RTDC4006\2017-11-26</v>
      </c>
      <c r="AF216" s="235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/stypes="app*4006*20171125*" /stext=" 08:.+((SYSTEM_STATE.+slice.+state.+changed )|(ment ac)|(multiple cpu faults)|(system.+state.+changed )|(\[timeout)|(PRM\|1\|D)|(kpr)|(kdp)|(train st.+moving)|(\|lc)|(penalty))"</v>
      </c>
      <c r="AG216" s="245" t="str">
        <f>DetSubdiv(A216)</f>
        <v>Other</v>
      </c>
      <c r="AH216" s="237" t="str">
        <f t="shared" si="64"/>
        <v>"%USERPROFILE%\Documents\GitHub\eaglep3\Utilities\RefineRTDCRunTimes.py" --tripid 307-24 --locoid 4006 --swversion DE.1.0.9.0 --startMP 204:539 --initTime 2017-11-25T01:08:39 --startdatetime 2017-11-25T01:10:46 --delay 50 --endMP 300:22622 --enddatetime 2017-11-25T01:19:18 --enforcementcount 0 &gt;&gt;%USERPROFILE%\Documents\GitHub\eaglep3-reporting\EC\2017-11-24-refined-times.txt</v>
      </c>
      <c r="AI216" s="239" t="str">
        <f t="shared" si="65"/>
        <v>echo {"issue":{"subject":"","project_id":79,"tracker_id":40,"status_id":1,"priority_id":2,"assigned_to_id":338,"start_date":"2017-11-25","description":"","custom_fields":[{"id":1,"name":"Subdivision","value":"Other"},{"id":4,"name":"Milepost","value":"2.2622"},{"id":17,"name":"Train ID","value":"307-24"},{"id":16,"name":"Locomotive ID","value":"4006"},{"id":130,"name":"Impact","value":""},{"id":150,"name":"Time of Event (Mountain Time)","value":"01:19:18"},{"id":151,"name":"Denver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4"/>
      <c r="AK216" s="232"/>
      <c r="AL216" s="232"/>
      <c r="AM216" s="241" t="str">
        <f t="shared" si="66"/>
        <v>start /low /b %USERPROFILE%\Documents\GitHub\eaglep3\Utilities\DownloadLogsFromS3.py --loco 4006 --day 2017-11-25</v>
      </c>
      <c r="AN216" s="242" t="str">
        <f t="shared" si="67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08:19:18"},{"id":29,"name":"Sharepoint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1" t="str">
        <f t="shared" si="68"/>
        <v>https://d0f6bd738d7f1b3e5a7ca70fe4ff75f0.us-east-1.aws.found.io/app/kibana#/discover/Steve-Slow-Train-Analysis-(2080s-and-2083s)?_g=(refreshInterval:(display:Off,pause:!f,section:0,value:0),time:(from:'2017-11-25T00:08:39-0700',mode:absolute,to:'2017-11-25T02:19:18-0700'))&amp;_a=(columns:!('Message%20ID',Summary),filters:!(),index:'emp_*',interval:auto,query:(query_string:(analyze_wildcard:!t,query:'%22rtdc.l.rtdc.4006%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30" t="s">
        <v>706</v>
      </c>
      <c r="B217" s="226">
        <v>4001</v>
      </c>
      <c r="C217" s="228" t="s">
        <v>192</v>
      </c>
      <c r="D217" s="228" t="s">
        <v>1049</v>
      </c>
      <c r="E217" s="227">
        <v>43063.180243055554</v>
      </c>
      <c r="F217" s="227">
        <v>43063.184212962966</v>
      </c>
      <c r="G217" s="226">
        <v>200</v>
      </c>
      <c r="H217" s="228" t="s">
        <v>632</v>
      </c>
      <c r="I217" s="227">
        <v>43063.19127314815</v>
      </c>
      <c r="J217" s="226">
        <v>0</v>
      </c>
      <c r="K217" s="238" t="str">
        <f>IF(ISEVEN(B217),(B217-1)&amp;"/"&amp;B217,B217&amp;"/"&amp;(B217+1))</f>
        <v>4001/4002</v>
      </c>
      <c r="L217" s="246" t="str">
        <f>VLOOKUP(A217,'Trips&amp;Operators'!$C$1:$G$99911,5,FALSE)</f>
        <v>HUFFSMITH MONTY</v>
      </c>
      <c r="M217" s="225">
        <f>I217-F217</f>
        <v>7.0601851839455776E-3</v>
      </c>
      <c r="N217" s="226">
        <f>24*60*SUM($M217:$M217)</f>
        <v>10.166666664881632</v>
      </c>
      <c r="O217" s="226"/>
      <c r="P217" s="226"/>
      <c r="Q217" s="229"/>
      <c r="R217" s="243"/>
      <c r="S217" s="250">
        <f>1/IF(AG217="EC",12,1)*SUM(U217:U217)</f>
        <v>1</v>
      </c>
      <c r="T217" s="243" t="str">
        <f>IF(ISEVEN(LEFT(AD217,4)),"Southbound","NorthBound")</f>
        <v>Southbound</v>
      </c>
      <c r="U217" s="24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9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-11-24T03:19:33-0700',mode:absolute,to:'2017-11-24T05:35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7" s="248" t="str">
        <f>IF(AA217&lt;VLOOKUP(AG217,Variables!$AC$3:$AD$8,2,FALSE),"Y","N")</f>
        <v>Y</v>
      </c>
      <c r="X217" s="248">
        <f>VALUE(LEFT(AD217,4))-VALUE(LEFT(AD216,4))</f>
        <v>1</v>
      </c>
      <c r="Y217" s="248">
        <f>RIGHT(D217,LEN(D217)-4)/10000</f>
        <v>2.3580000000000001</v>
      </c>
      <c r="Z217" s="248">
        <f>RIGHT(H217,LEN(H217)-4)/10000</f>
        <v>1.38E-2</v>
      </c>
      <c r="AA217" s="248">
        <f>ABS(Z217-Y217)</f>
        <v>2.3442000000000003</v>
      </c>
      <c r="AB217" s="234" t="e">
        <f>VLOOKUP(A217,Enforcements!$C$7:$K$9,8,0)</f>
        <v>#N/A</v>
      </c>
      <c r="AC217" s="233" t="e">
        <f>VLOOKUP(A217,Enforcements!$C$7:$E$9,3,0)</f>
        <v>#N/A</v>
      </c>
      <c r="AD217" s="244">
        <f>VALUE(LEFT(A217,LEN(A217)-3))</f>
        <v>308</v>
      </c>
      <c r="AE217" s="236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s3://rtdc.mdm.uploadarchive.raw/RTDC4001/ "%USERPROFILE%\AppData\Local\Temp\OnboardLogs"\RTDC4001\2017-11-24 --exclude "*" --recursive --include "*20171124*" &amp; "%USERPROFILE%\Documents\GitHub\mrs-test-scripts\Headless Mode &amp; Sideloading\WalkAndUnGZ.bat" "%USERPROFILE%\AppData\Local\Temp\OnboardLogs"\RTDC4001\2017-11-24 &amp; aws s3 cp s3://rtdc.mdm.uploadarchive.raw/RTDC4001/ "%USERPROFILE%\AppData\Local\Temp\OnboardLogs"\RTDC4001\2017-11-25 --exclude "*" --recursive --include "*20171125*" &amp; "%USERPROFILE%\Documents\GitHub\mrs-test-scripts\Headless Mode &amp; Sideloading\WalkAndUnGZ.bat" "%USERPROFILE%\AppData\Local\Temp\OnboardLogs"\RTDC4001\2017-11-25</v>
      </c>
      <c r="AF217" s="235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/stypes="app*4001*20171124*" /stext=" 11:.+((SYSTEM_STATE.+slice.+state.+changed )|(ment ac)|(multiple cpu faults)|(system.+state.+changed )|(\[timeout)|(PRM\|1\|D)|(kpr)|(kdp)|(train st.+moving)|(\|lc)|(penalty))"</v>
      </c>
      <c r="AG217" s="245" t="str">
        <f>DetSubdiv(A217)</f>
        <v>Other</v>
      </c>
      <c r="AH217" s="237" t="str">
        <f t="shared" si="64"/>
        <v>"%USERPROFILE%\Documents\GitHub\eaglep3\Utilities\RefineRTDCRunTimes.py" --tripid 308-24 --locoid 4001 --swversion DE.1.0.9.0 --startMP 300:23580 --initTime 2017-11-24T04:19:33 --startdatetime 2017-11-24T04:25:16 --delay 200 --endMP 204:138 --enddatetime 2017-11-24T04:35:26 --enforcementcount 0 &gt;&gt;%USERPROFILE%\Documents\GitHub\eaglep3-reporting\EC\2017-11-24-refined-times.txt</v>
      </c>
      <c r="AI217" s="239" t="str">
        <f t="shared" si="65"/>
        <v>echo {"issue":{"subject":"","project_id":79,"tracker_id":40,"status_id":1,"priority_id":2,"assigned_to_id":338,"start_date":"2017-11-24","description":"","custom_fields":[{"id":1,"name":"Subdivision","value":"Other"},{"id":4,"name":"Milepost","value":"0.0138"},{"id":17,"name":"Train ID","value":"308-24"},{"id":16,"name":"Locomotive ID","value":"4001"},{"id":130,"name":"Impact","value":""},{"id":150,"name":"Time of Event (Mountain Time)","value":"04:35:26"},{"id":151,"name":"Denver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4"/>
      <c r="AK217" s="232"/>
      <c r="AL217" s="232"/>
      <c r="AM217" s="241" t="str">
        <f t="shared" si="66"/>
        <v>start /low /b %USERPROFILE%\Documents\GitHub\eaglep3\Utilities\DownloadLogsFromS3.py --loco 4001 --day 2017-11-24</v>
      </c>
      <c r="AN217" s="242" t="str">
        <f t="shared" si="6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1" t="str">
        <f t="shared" si="68"/>
        <v>https://d0f6bd738d7f1b3e5a7ca70fe4ff75f0.us-east-1.aws.found.io/app/kibana#/discover/Steve-Slow-Train-Analysis-(2080s-and-2083s)?_g=(refreshInterval:(display:Off,pause:!f,section:0,value:0),time:(from:'2017-11-24T03:19:33-0700',mode:absolute,to:'2017-11-24T05:35:26-0700'))&amp;_a=(columns:!('Message%20ID',Summary),filters:!(),index:'emp_*',interval:auto,query:(query_string:(analyze_wildcard:!t,query:'%22rtdc.l.rtdc.4001%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4" customFormat="1" x14ac:dyDescent="0.25">
      <c r="A218" s="230" t="s">
        <v>917</v>
      </c>
      <c r="B218" s="226">
        <v>4010</v>
      </c>
      <c r="C218" s="228" t="s">
        <v>192</v>
      </c>
      <c r="D218" s="228" t="s">
        <v>1050</v>
      </c>
      <c r="E218" s="227">
        <v>43064.065555555557</v>
      </c>
      <c r="F218" s="227">
        <v>43064.06758101852</v>
      </c>
      <c r="G218" s="226">
        <v>47</v>
      </c>
      <c r="H218" s="228" t="s">
        <v>1043</v>
      </c>
      <c r="I218" s="227">
        <v>43064.112187500003</v>
      </c>
      <c r="J218" s="226">
        <v>0</v>
      </c>
      <c r="K218" s="238" t="str">
        <f>IF(ISEVEN(B218),(B218-1)&amp;"/"&amp;B218,B218&amp;"/"&amp;(B218+1))</f>
        <v>4009/4010</v>
      </c>
      <c r="L218" s="246" t="str">
        <f>VLOOKUP(A218,'Trips&amp;Operators'!$C$1:$G$99911,5,FALSE)</f>
        <v>MCREYNOLDS KYLE</v>
      </c>
      <c r="M218" s="225">
        <f>I218-F218</f>
        <v>4.4606481482333038E-2</v>
      </c>
      <c r="N218" s="226">
        <f>24*60*SUM($M218:$M218)</f>
        <v>64.233333334559575</v>
      </c>
      <c r="O218" s="226"/>
      <c r="P218" s="226"/>
      <c r="Q218" s="229"/>
      <c r="R218" s="243"/>
      <c r="S218" s="250">
        <f>1/IF(AG218="EC",12,1)*SUM(U218:U218)</f>
        <v>1</v>
      </c>
      <c r="T218" s="243" t="str">
        <f>IF(ISEVEN(LEFT(AD218,4)),"Southbound","NorthBound")</f>
        <v>NorthBound</v>
      </c>
      <c r="U218" s="24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9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-11-25T00:34:24-0700',mode:absolute,to:'2017-11-25T03:41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8" s="248" t="str">
        <f>IF(AA218&lt;VLOOKUP(AG218,Variables!$AC$3:$AD$8,2,FALSE),"Y","N")</f>
        <v>Y</v>
      </c>
      <c r="X218" s="248">
        <f>VALUE(LEFT(AD218,4))-VALUE(LEFT(AD217,4))</f>
        <v>1</v>
      </c>
      <c r="Y218" s="248">
        <f>RIGHT(D218,LEN(D218)-4)/10000</f>
        <v>5.5899999999999998E-2</v>
      </c>
      <c r="Z218" s="248">
        <f>RIGHT(H218,LEN(H218)-4)/10000</f>
        <v>2.3346</v>
      </c>
      <c r="AA218" s="248">
        <f>ABS(Z218-Y218)</f>
        <v>2.2787000000000002</v>
      </c>
      <c r="AB218" s="234" t="e">
        <f>VLOOKUP(A218,Enforcements!$C$7:$K$9,8,0)</f>
        <v>#N/A</v>
      </c>
      <c r="AC218" s="233" t="e">
        <f>VLOOKUP(A218,Enforcements!$C$7:$E$9,3,0)</f>
        <v>#N/A</v>
      </c>
      <c r="AD218" s="244">
        <f>VALUE(LEFT(A218,LEN(A218)-3))</f>
        <v>309</v>
      </c>
      <c r="AE218" s="236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s3://rtdc.mdm.uploadarchive.raw/RTDC4010/ "%USERPROFILE%\AppData\Local\Temp\OnboardLogs"\RTDC4010\2017-11-25 --exclude "*" --recursive --include "*20171125*" &amp; "%USERPROFILE%\Documents\GitHub\mrs-test-scripts\Headless Mode &amp; Sideloading\WalkAndUnGZ.bat" "%USERPROFILE%\AppData\Local\Temp\OnboardLogs"\RTDC4010\2017-11-25 &amp; aws s3 cp s3://rtdc.mdm.uploadarchive.raw/RTDC4010/ "%USERPROFILE%\AppData\Local\Temp\OnboardLogs"\RTDC4010\2017-11-26 --exclude "*" --recursive --include "*20171126*" &amp; "%USERPROFILE%\Documents\GitHub\mrs-test-scripts\Headless Mode &amp; Sideloading\WalkAndUnGZ.bat" "%USERPROFILE%\AppData\Local\Temp\OnboardLogs"\RTDC4010\2017-11-26</v>
      </c>
      <c r="AF218" s="235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/stypes="app*4010*20171125*" /stext=" 09:.+((SYSTEM_STATE.+slice.+state.+changed )|(ment ac)|(multiple cpu faults)|(system.+state.+changed )|(\[timeout)|(PRM\|1\|D)|(kpr)|(kdp)|(train st.+moving)|(\|lc)|(penalty))"</v>
      </c>
      <c r="AG218" s="245" t="str">
        <f>DetSubdiv(A218)</f>
        <v>Other</v>
      </c>
      <c r="AH218" s="237" t="str">
        <f t="shared" si="64"/>
        <v>"%USERPROFILE%\Documents\GitHub\eaglep3\Utilities\RefineRTDCRunTimes.py" --tripid 309-24 --locoid 4010 --swversion DE.1.0.9.0 --startMP 204:559 --initTime 2017-11-25T01:34:24 --startdatetime 2017-11-25T01:37:19 --delay 47 --endMP 300:23346 --enddatetime 2017-11-25T02:41:33 --enforcementcount 0 &gt;&gt;%USERPROFILE%\Documents\GitHub\eaglep3-reporting\EC\2017-11-24-refined-times.txt</v>
      </c>
      <c r="AI218" s="239" t="str">
        <f t="shared" si="65"/>
        <v>echo {"issue":{"subject":"","project_id":79,"tracker_id":40,"status_id":1,"priority_id":2,"assigned_to_id":338,"start_date":"2017-11-25","description":"","custom_fields":[{"id":1,"name":"Subdivision","value":"Other"},{"id":4,"name":"Milepost","value":"2.3346"},{"id":17,"name":"Train ID","value":"309-24"},{"id":16,"name":"Locomotive ID","value":"4010"},{"id":130,"name":"Impact","value":""},{"id":150,"name":"Time of Event (Mountain Time)","value":"02:41:33"},{"id":151,"name":"Denver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2"/>
      <c r="AL218" s="232"/>
      <c r="AM218" s="241" t="str">
        <f t="shared" si="66"/>
        <v>start /low /b %USERPROFILE%\Documents\GitHub\eaglep3\Utilities\DownloadLogsFromS3.py --loco 4010 --day 2017-11-25</v>
      </c>
      <c r="AN218" s="242" t="str">
        <f t="shared" si="67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09:41:33"},{"id":29,"name":"Sharepoint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1" t="str">
        <f t="shared" si="68"/>
        <v>https://d0f6bd738d7f1b3e5a7ca70fe4ff75f0.us-east-1.aws.found.io/app/kibana#/discover/Steve-Slow-Train-Analysis-(2080s-and-2083s)?_g=(refreshInterval:(display:Off,pause:!f,section:0,value:0),time:(from:'2017-11-25T00:34:24-0700',mode:absolute,to:'2017-11-25T03:41:33-0700'))&amp;_a=(columns:!('Message%20ID',Summary),filters:!(),index:'emp_*',interval:auto,query:(query_string:(analyze_wildcard:!t,query:'%22rtdc.l.rtdc.4010%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30" t="s">
        <v>714</v>
      </c>
      <c r="B219" s="226">
        <v>4049</v>
      </c>
      <c r="C219" s="228" t="s">
        <v>192</v>
      </c>
      <c r="D219" s="228" t="s">
        <v>1051</v>
      </c>
      <c r="E219" s="227">
        <v>43063.201041666667</v>
      </c>
      <c r="F219" s="227">
        <v>43063.205358796295</v>
      </c>
      <c r="G219" s="226">
        <v>148</v>
      </c>
      <c r="H219" s="228" t="s">
        <v>452</v>
      </c>
      <c r="I219" s="227">
        <v>43063.211782407408</v>
      </c>
      <c r="J219" s="226">
        <v>0</v>
      </c>
      <c r="K219" s="238" t="str">
        <f>IF(ISEVEN(B219),(B219-1)&amp;"/"&amp;B219,B219&amp;"/"&amp;(B219+1))</f>
        <v>4049/4050</v>
      </c>
      <c r="L219" s="246" t="str">
        <f>VLOOKUP(A219,'Trips&amp;Operators'!$C$1:$G$99911,5,FALSE)</f>
        <v>MACDONALD THOMAS</v>
      </c>
      <c r="M219" s="225">
        <f>I219-F219</f>
        <v>6.4236111138598062E-3</v>
      </c>
      <c r="N219" s="226">
        <f>24*60*SUM($M219:$M219)</f>
        <v>9.2500000039581209</v>
      </c>
      <c r="O219" s="226"/>
      <c r="P219" s="226"/>
      <c r="Q219" s="229"/>
      <c r="R219" s="243"/>
      <c r="S219" s="250">
        <f>1/IF(AG219="EC",12,1)*SUM(U219:U219)</f>
        <v>1</v>
      </c>
      <c r="T219" s="243" t="str">
        <f>IF(ISEVEN(LEFT(AD219,4)),"Southbound","NorthBound")</f>
        <v>Southbound</v>
      </c>
      <c r="U219" s="24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9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-11-24T03:49:30-0700',mode:absolute,to:'2017-11-24T06:04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9" s="248" t="str">
        <f>IF(AA219&lt;VLOOKUP(AG219,Variables!$AC$3:$AD$8,2,FALSE),"Y","N")</f>
        <v>Y</v>
      </c>
      <c r="X219" s="248">
        <f>VALUE(LEFT(AD219,4))-VALUE(LEFT(AD218,4))</f>
        <v>1</v>
      </c>
      <c r="Y219" s="248">
        <f>RIGHT(D219,LEN(D219)-4)/10000</f>
        <v>2.3512</v>
      </c>
      <c r="Z219" s="248">
        <f>RIGHT(H219,LEN(H219)-4)/10000</f>
        <v>2.2700000000000001E-2</v>
      </c>
      <c r="AA219" s="248">
        <f>ABS(Z219-Y219)</f>
        <v>2.3285</v>
      </c>
      <c r="AB219" s="234" t="e">
        <f>VLOOKUP(A219,Enforcements!$C$7:$K$9,8,0)</f>
        <v>#N/A</v>
      </c>
      <c r="AC219" s="233" t="e">
        <f>VLOOKUP(A219,Enforcements!$C$7:$E$9,3,0)</f>
        <v>#N/A</v>
      </c>
      <c r="AD219" s="244">
        <f>VALUE(LEFT(A219,LEN(A219)-3))</f>
        <v>310</v>
      </c>
      <c r="AE219" s="236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s3://rtdc.mdm.uploadarchive.raw/RTDC4049/ "%USERPROFILE%\AppData\Local\Temp\OnboardLogs"\RTDC4049\2017-11-24 --exclude "*" --recursive --include "*20171124*" &amp; "%USERPROFILE%\Documents\GitHub\mrs-test-scripts\Headless Mode &amp; Sideloading\WalkAndUnGZ.bat" "%USERPROFILE%\AppData\Local\Temp\OnboardLogs"\RTDC4049\2017-11-24 &amp; aws s3 cp s3://rtdc.mdm.uploadarchive.raw/RTDC4049/ "%USERPROFILE%\AppData\Local\Temp\OnboardLogs"\RTDC4049\2017-11-25 --exclude "*" --recursive --include "*20171125*" &amp; "%USERPROFILE%\Documents\GitHub\mrs-test-scripts\Headless Mode &amp; Sideloading\WalkAndUnGZ.bat" "%USERPROFILE%\AppData\Local\Temp\OnboardLogs"\RTDC4049\2017-11-25</v>
      </c>
      <c r="AF219" s="235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/stypes="app*4049*20171124*" /stext=" 12:.+((SYSTEM_STATE.+slice.+state.+changed )|(ment ac)|(multiple cpu faults)|(system.+state.+changed )|(\[timeout)|(PRM\|1\|D)|(kpr)|(kdp)|(train st.+moving)|(\|lc)|(penalty))"</v>
      </c>
      <c r="AG219" s="245" t="str">
        <f>DetSubdiv(A219)</f>
        <v>Other</v>
      </c>
      <c r="AH219" s="237" t="str">
        <f t="shared" si="64"/>
        <v>"%USERPROFILE%\Documents\GitHub\eaglep3\Utilities\RefineRTDCRunTimes.py" --tripid 310-24 --locoid 4049 --swversion DE.1.0.9.0 --startMP 300:23512 --initTime 2017-11-24T04:49:30 --startdatetime 2017-11-24T04:55:43 --delay 148 --endMP 204:227 --enddatetime 2017-11-24T05:04:58 --enforcementcount 0 &gt;&gt;%USERPROFILE%\Documents\GitHub\eaglep3-reporting\EC\2017-11-24-refined-times.txt</v>
      </c>
      <c r="AI219" s="239" t="str">
        <f t="shared" si="65"/>
        <v>echo {"issue":{"subject":"","project_id":79,"tracker_id":40,"status_id":1,"priority_id":2,"assigned_to_id":338,"start_date":"2017-11-24","description":"","custom_fields":[{"id":1,"name":"Subdivision","value":"Other"},{"id":4,"name":"Milepost","value":"0.0227"},{"id":17,"name":"Train ID","value":"310-24"},{"id":16,"name":"Locomotive ID","value":"4049"},{"id":130,"name":"Impact","value":""},{"id":150,"name":"Time of Event (Mountain Time)","value":"05:04:58"},{"id":151,"name":"Denver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4"/>
      <c r="AK219" s="232"/>
      <c r="AL219" s="232"/>
      <c r="AM219" s="241" t="str">
        <f t="shared" si="66"/>
        <v>start /low /b %USERPROFILE%\Documents\GitHub\eaglep3\Utilities\DownloadLogsFromS3.py --loco 4049 --day 2017-11-24</v>
      </c>
      <c r="AN219" s="242" t="str">
        <f t="shared" si="6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12:04:58"},{"id":29,"name":"Sharepoint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1" t="str">
        <f t="shared" si="68"/>
        <v>https://d0f6bd738d7f1b3e5a7ca70fe4ff75f0.us-east-1.aws.found.io/app/kibana#/discover/Steve-Slow-Train-Analysis-(2080s-and-2083s)?_g=(refreshInterval:(display:Off,pause:!f,section:0,value:0),time:(from:'2017-11-24T03:49:30-0700',mode:absolute,to:'2017-11-24T06:04:58-0700'))&amp;_a=(columns:!('Message%20ID',Summary),filters:!(),index:'emp_*',interval:auto,query:(query_string:(analyze_wildcard:!t,query:'%22rtdc.l.rtdc.4049%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30" t="s">
        <v>919</v>
      </c>
      <c r="B220" s="226">
        <v>4036</v>
      </c>
      <c r="C220" s="228" t="s">
        <v>192</v>
      </c>
      <c r="D220" s="228" t="s">
        <v>985</v>
      </c>
      <c r="E220" s="227">
        <v>43064.08666666667</v>
      </c>
      <c r="F220" s="227">
        <v>43064.088217592594</v>
      </c>
      <c r="G220" s="226">
        <v>51</v>
      </c>
      <c r="H220" s="228" t="s">
        <v>1052</v>
      </c>
      <c r="I220" s="227">
        <v>43064.097395833334</v>
      </c>
      <c r="J220" s="226">
        <v>0</v>
      </c>
      <c r="K220" s="238" t="str">
        <f>IF(ISEVEN(B220),(B220-1)&amp;"/"&amp;B220,B220&amp;"/"&amp;(B220+1))</f>
        <v>4035/4036</v>
      </c>
      <c r="L220" s="246" t="str">
        <f>VLOOKUP(A220,'Trips&amp;Operators'!$C$1:$G$99911,5,FALSE)</f>
        <v>ELBAUM MIKE</v>
      </c>
      <c r="M220" s="225">
        <f>I220-F220</f>
        <v>9.1782407398568466E-3</v>
      </c>
      <c r="N220" s="226">
        <f>24*60*SUM($M220:$M220)</f>
        <v>13.216666665393859</v>
      </c>
      <c r="O220" s="226"/>
      <c r="P220" s="226"/>
      <c r="Q220" s="229"/>
      <c r="R220" s="243"/>
      <c r="S220" s="250">
        <f>1/IF(AG220="EC",12,1)*SUM(U220:U220)</f>
        <v>1</v>
      </c>
      <c r="T220" s="243" t="str">
        <f>IF(ISEVEN(LEFT(AD220,4)),"Southbound","NorthBound")</f>
        <v>NorthBound</v>
      </c>
      <c r="U220" s="24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9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-11-25T01:04:48-0700',mode:absolute,to:'2017-11-25T03:20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20" s="248" t="str">
        <f>IF(AA220&lt;VLOOKUP(AG220,Variables!$AC$3:$AD$8,2,FALSE),"Y","N")</f>
        <v>Y</v>
      </c>
      <c r="X220" s="248">
        <f>VALUE(LEFT(AD220,4))-VALUE(LEFT(AD219,4))</f>
        <v>1</v>
      </c>
      <c r="Y220" s="248">
        <f>RIGHT(D220,LEN(D220)-4)/10000</f>
        <v>5.7000000000000002E-2</v>
      </c>
      <c r="Z220" s="248">
        <f>RIGHT(H220,LEN(H220)-4)/10000</f>
        <v>2.331</v>
      </c>
      <c r="AA220" s="248">
        <f>ABS(Z220-Y220)</f>
        <v>2.274</v>
      </c>
      <c r="AB220" s="234" t="e">
        <f>VLOOKUP(A220,Enforcements!$C$7:$K$9,8,0)</f>
        <v>#N/A</v>
      </c>
      <c r="AC220" s="233" t="e">
        <f>VLOOKUP(A220,Enforcements!$C$7:$E$9,3,0)</f>
        <v>#N/A</v>
      </c>
      <c r="AD220" s="244">
        <f>VALUE(LEFT(A220,LEN(A220)-3))</f>
        <v>311</v>
      </c>
      <c r="AE220" s="236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s3://rtdc.mdm.uploadarchive.raw/RTDC4036/ "%USERPROFILE%\AppData\Local\Temp\OnboardLogs"\RTDC4036\2017-11-25 --exclude "*" --recursive --include "*20171125*" &amp; "%USERPROFILE%\Documents\GitHub\mrs-test-scripts\Headless Mode &amp; Sideloading\WalkAndUnGZ.bat" "%USERPROFILE%\AppData\Local\Temp\OnboardLogs"\RTDC4036\2017-11-25 &amp; aws s3 cp s3://rtdc.mdm.uploadarchive.raw/RTDC4036/ "%USERPROFILE%\AppData\Local\Temp\OnboardLogs"\RTDC4036\2017-11-26 --exclude "*" --recursive --include "*20171126*" &amp; "%USERPROFILE%\Documents\GitHub\mrs-test-scripts\Headless Mode &amp; Sideloading\WalkAndUnGZ.bat" "%USERPROFILE%\AppData\Local\Temp\OnboardLogs"\RTDC4036\2017-11-26</v>
      </c>
      <c r="AF220" s="235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/stypes="app*4036*20171125*" /stext=" 09:.+((SYSTEM_STATE.+slice.+state.+changed )|(ment ac)|(multiple cpu faults)|(system.+state.+changed )|(\[timeout)|(PRM\|1\|D)|(kpr)|(kdp)|(train st.+moving)|(\|lc)|(penalty))"</v>
      </c>
      <c r="AG220" s="245" t="str">
        <f>DetSubdiv(A220)</f>
        <v>Other</v>
      </c>
      <c r="AH220" s="237" t="str">
        <f t="shared" si="64"/>
        <v>"%USERPROFILE%\Documents\GitHub\eaglep3\Utilities\RefineRTDCRunTimes.py" --tripid 311-24 --locoid 4036 --swversion DE.1.0.9.0 --startMP 204:570 --initTime 2017-11-25T02:04:48 --startdatetime 2017-11-25T02:07:02 --delay 51 --endMP 300:23310 --enddatetime 2017-11-25T02:20:15 --enforcementcount 0 &gt;&gt;%USERPROFILE%\Documents\GitHub\eaglep3-reporting\EC\2017-11-24-refined-times.txt</v>
      </c>
      <c r="AI220" s="239" t="str">
        <f t="shared" si="65"/>
        <v>echo {"issue":{"subject":"","project_id":79,"tracker_id":40,"status_id":1,"priority_id":2,"assigned_to_id":338,"start_date":"2017-11-25","description":"","custom_fields":[{"id":1,"name":"Subdivision","value":"Other"},{"id":4,"name":"Milepost","value":"2.331"},{"id":17,"name":"Train ID","value":"311-24"},{"id":16,"name":"Locomotive ID","value":"4036"},{"id":130,"name":"Impact","value":""},{"id":150,"name":"Time of Event (Mountain Time)","value":"02:20:15"},{"id":151,"name":"Denver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4"/>
      <c r="AK220" s="232"/>
      <c r="AL220" s="232"/>
      <c r="AM220" s="241" t="str">
        <f t="shared" si="66"/>
        <v>start /low /b %USERPROFILE%\Documents\GitHub\eaglep3\Utilities\DownloadLogsFromS3.py --loco 4036 --day 2017-11-25</v>
      </c>
      <c r="AN220" s="242" t="str">
        <f t="shared" si="67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09:20:15"},{"id":29,"name":"Sharepoint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1" t="str">
        <f t="shared" si="68"/>
        <v>https://d0f6bd738d7f1b3e5a7ca70fe4ff75f0.us-east-1.aws.found.io/app/kibana#/discover/Steve-Slow-Train-Analysis-(2080s-and-2083s)?_g=(refreshInterval:(display:Off,pause:!f,section:0,value:0),time:(from:'2017-11-25T01:04:48-0700',mode:absolute,to:'2017-11-25T03:20:15-0700'))&amp;_a=(columns:!('Message%20ID',Summary),filters:!(),index:'emp_*',interval:auto,query:(query_string:(analyze_wildcard:!t,query:'%22rtdc.l.rtdc.4036%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30" t="s">
        <v>724</v>
      </c>
      <c r="B221" s="226">
        <v>4033</v>
      </c>
      <c r="C221" s="228" t="s">
        <v>192</v>
      </c>
      <c r="D221" s="228" t="s">
        <v>1053</v>
      </c>
      <c r="E221" s="227">
        <v>43063.223194444443</v>
      </c>
      <c r="F221" s="227">
        <v>43063.226747685185</v>
      </c>
      <c r="G221" s="226">
        <v>148</v>
      </c>
      <c r="H221" s="228" t="s">
        <v>602</v>
      </c>
      <c r="I221" s="227">
        <v>43063.232812499999</v>
      </c>
      <c r="J221" s="226">
        <v>0</v>
      </c>
      <c r="K221" s="238" t="str">
        <f>IF(ISEVEN(B221),(B221-1)&amp;"/"&amp;B221,B221&amp;"/"&amp;(B221+1))</f>
        <v>4033/4034</v>
      </c>
      <c r="L221" s="246" t="str">
        <f>VLOOKUP(A221,'Trips&amp;Operators'!$C$1:$G$99911,5,FALSE)</f>
        <v>NICHOLAS PLOYSA</v>
      </c>
      <c r="M221" s="225">
        <f>I221-F221</f>
        <v>6.064814813726116E-3</v>
      </c>
      <c r="N221" s="226">
        <f>24*60*SUM($M221:$M221)</f>
        <v>8.733333331765607</v>
      </c>
      <c r="O221" s="226"/>
      <c r="P221" s="226"/>
      <c r="Q221" s="229"/>
      <c r="R221" s="243"/>
      <c r="S221" s="250">
        <f>1/IF(AG221="EC",12,1)*SUM(U221:U221)</f>
        <v>1</v>
      </c>
      <c r="T221" s="243" t="str">
        <f>IF(ISEVEN(LEFT(AD221,4)),"Southbound","NorthBound")</f>
        <v>Southbound</v>
      </c>
      <c r="U221" s="24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9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-11-24T04:21:24-0700',mode:absolute,to:'2017-11-24T06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1" s="248" t="str">
        <f>IF(AA221&lt;VLOOKUP(AG221,Variables!$AC$3:$AD$8,2,FALSE),"Y","N")</f>
        <v>Y</v>
      </c>
      <c r="X221" s="248">
        <f>VALUE(LEFT(AD221,4))-VALUE(LEFT(AD220,4))</f>
        <v>1</v>
      </c>
      <c r="Y221" s="248">
        <f>RIGHT(D221,LEN(D221)-4)/10000</f>
        <v>2.3677000000000001</v>
      </c>
      <c r="Z221" s="248">
        <f>RIGHT(H221,LEN(H221)-4)/10000</f>
        <v>2.18E-2</v>
      </c>
      <c r="AA221" s="248">
        <f>ABS(Z221-Y221)</f>
        <v>2.3459000000000003</v>
      </c>
      <c r="AB221" s="234" t="e">
        <f>VLOOKUP(A221,Enforcements!$C$7:$K$9,8,0)</f>
        <v>#N/A</v>
      </c>
      <c r="AC221" s="233" t="e">
        <f>VLOOKUP(A221,Enforcements!$C$7:$E$9,3,0)</f>
        <v>#N/A</v>
      </c>
      <c r="AD221" s="244">
        <f>VALUE(LEFT(A221,LEN(A221)-3))</f>
        <v>312</v>
      </c>
      <c r="AE221" s="236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s3://rtdc.mdm.uploadarchive.raw/RTDC4033/ "%USERPROFILE%\AppData\Local\Temp\OnboardLogs"\RTDC4033\2017-11-24 --exclude "*" --recursive --include "*20171124*" &amp; "%USERPROFILE%\Documents\GitHub\mrs-test-scripts\Headless Mode &amp; Sideloading\WalkAndUnGZ.bat" "%USERPROFILE%\AppData\Local\Temp\OnboardLogs"\RTDC4033\2017-11-24 &amp; aws s3 cp s3://rtdc.mdm.uploadarchive.raw/RTDC4033/ "%USERPROFILE%\AppData\Local\Temp\OnboardLogs"\RTDC4033\2017-11-25 --exclude "*" --recursive --include "*20171125*" &amp; "%USERPROFILE%\Documents\GitHub\mrs-test-scripts\Headless Mode &amp; Sideloading\WalkAndUnGZ.bat" "%USERPROFILE%\AppData\Local\Temp\OnboardLogs"\RTDC4033\2017-11-25</v>
      </c>
      <c r="AF221" s="235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/stypes="app*4033*20171124*" /stext=" 12:.+((SYSTEM_STATE.+slice.+state.+changed )|(ment ac)|(multiple cpu faults)|(system.+state.+changed )|(\[timeout)|(PRM\|1\|D)|(kpr)|(kdp)|(train st.+moving)|(\|lc)|(penalty))"</v>
      </c>
      <c r="AG221" s="245" t="str">
        <f>DetSubdiv(A221)</f>
        <v>Other</v>
      </c>
      <c r="AH221" s="237" t="str">
        <f t="shared" si="64"/>
        <v>"%USERPROFILE%\Documents\GitHub\eaglep3\Utilities\RefineRTDCRunTimes.py" --tripid 312-24 --locoid 4033 --swversion DE.1.0.9.0 --startMP 300:23677 --initTime 2017-11-24T05:21:24 --startdatetime 2017-11-24T05:26:31 --delay 148 --endMP 204:218 --enddatetime 2017-11-24T05:35:15 --enforcementcount 0 &gt;&gt;%USERPROFILE%\Documents\GitHub\eaglep3-reporting\EC\2017-11-24-refined-times.txt</v>
      </c>
      <c r="AI221" s="239" t="str">
        <f t="shared" si="65"/>
        <v>echo {"issue":{"subject":"","project_id":79,"tracker_id":40,"status_id":1,"priority_id":2,"assigned_to_id":338,"start_date":"2017-11-24","description":"","custom_fields":[{"id":1,"name":"Subdivision","value":"Other"},{"id":4,"name":"Milepost","value":"0.0218"},{"id":17,"name":"Train ID","value":"312-24"},{"id":16,"name":"Locomotive ID","value":"4033"},{"id":130,"name":"Impact","value":""},{"id":150,"name":"Time of Event (Mountain Time)","value":"05:35:15"},{"id":151,"name":"Denver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4"/>
      <c r="AK221" s="232"/>
      <c r="AL221" s="232"/>
      <c r="AM221" s="241" t="str">
        <f t="shared" si="66"/>
        <v>start /low /b %USERPROFILE%\Documents\GitHub\eaglep3\Utilities\DownloadLogsFromS3.py --loco 4033 --day 2017-11-24</v>
      </c>
      <c r="AN221" s="242" t="str">
        <f t="shared" si="6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12:35:15"},{"id":29,"name":"Sharepoint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1" t="str">
        <f t="shared" si="68"/>
        <v>https://d0f6bd738d7f1b3e5a7ca70fe4ff75f0.us-east-1.aws.found.io/app/kibana#/discover/Steve-Slow-Train-Analysis-(2080s-and-2083s)?_g=(refreshInterval:(display:Off,pause:!f,section:0,value:0),time:(from:'2017-11-24T04:21:24-0700',mode:absolute,to:'2017-11-24T06:35:15-0700'))&amp;_a=(columns:!('Message%20ID',Summary),filters:!(),index:'emp_*',interval:auto,query:(query_string:(analyze_wildcard:!t,query:'%22rtdc.l.rtdc.4033%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30" t="s">
        <v>712</v>
      </c>
      <c r="B222" s="226">
        <v>4040</v>
      </c>
      <c r="C222" s="228" t="s">
        <v>192</v>
      </c>
      <c r="D222" s="228" t="s">
        <v>1107</v>
      </c>
      <c r="E222" s="227">
        <v>43063.193483796298</v>
      </c>
      <c r="F222" s="227">
        <v>43063.199849537035</v>
      </c>
      <c r="G222" s="226">
        <v>167</v>
      </c>
      <c r="H222" s="228" t="s">
        <v>521</v>
      </c>
      <c r="I222" s="227">
        <v>43063.205763888887</v>
      </c>
      <c r="J222" s="226">
        <v>0</v>
      </c>
      <c r="K222" s="238" t="str">
        <f>IF(ISEVEN(B222),(B222-1)&amp;"/"&amp;B222,B222&amp;"/"&amp;(B222+1))</f>
        <v>4039/4040</v>
      </c>
      <c r="L222" s="246" t="str">
        <f>VLOOKUP(A222,'Trips&amp;Operators'!$C$1:$G$99911,5,FALSE)</f>
        <v>WILLIAMS DONTE</v>
      </c>
      <c r="M222" s="225">
        <f>I222-F222</f>
        <v>5.914351851970423E-3</v>
      </c>
      <c r="N222" s="226">
        <f>24*60*SUM($M222:$M222)</f>
        <v>8.5166666668374091</v>
      </c>
      <c r="O222" s="226"/>
      <c r="P222" s="226"/>
      <c r="Q222" s="229"/>
      <c r="R222" s="243"/>
      <c r="S222" s="250">
        <f>1/IF(AG222="EC",12,1)*SUM(U222:U222)</f>
        <v>0</v>
      </c>
      <c r="T222" s="243" t="str">
        <f>IF(ISEVEN(LEFT(AD222,4)),"Southbound","NorthBound")</f>
        <v>NorthBound</v>
      </c>
      <c r="U222" s="24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49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-11-24T03:38:37-0700',mode:absolute,to:'2017-11-24T05:56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2" s="248" t="str">
        <f>IF(AA222&lt;VLOOKUP(AG222,Variables!$AC$3:$AD$8,2,FALSE),"Y","N")</f>
        <v>Y</v>
      </c>
      <c r="X222" s="248">
        <f>VALUE(LEFT(AD222,4))-VALUE(LEFT(AD221,4))</f>
        <v>589</v>
      </c>
      <c r="Y222" s="248">
        <f>RIGHT(D222,LEN(D222)-4)/10000</f>
        <v>3.0224000000000002</v>
      </c>
      <c r="Z222" s="248">
        <f>RIGHT(H222,LEN(H222)-4)/10000</f>
        <v>5.8949999999999996</v>
      </c>
      <c r="AA222" s="248">
        <f>ABS(Z222-Y222)</f>
        <v>2.8725999999999994</v>
      </c>
      <c r="AB222" s="234" t="e">
        <f>VLOOKUP(A222,Enforcements!$C$7:$K$9,8,0)</f>
        <v>#N/A</v>
      </c>
      <c r="AC222" s="233" t="e">
        <f>VLOOKUP(A222,Enforcements!$C$7:$E$9,3,0)</f>
        <v>#N/A</v>
      </c>
      <c r="AD222" s="244">
        <f>VALUE(LEFT(A222,LEN(A222)-3))</f>
        <v>901</v>
      </c>
      <c r="AE222" s="236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s3://rtdc.mdm.uploadarchive.raw/RTDC4040/ "%USERPROFILE%\AppData\Local\Temp\OnboardLogs"\RTDC4040\2017-11-24 --exclude "*" --recursive --include "*20171124*" &amp; "%USERPROFILE%\Documents\GitHub\mrs-test-scripts\Headless Mode &amp; Sideloading\WalkAndUnGZ.bat" "%USERPROFILE%\AppData\Local\Temp\OnboardLogs"\RTDC4040\2017-11-24 &amp; aws s3 cp s3://rtdc.mdm.uploadarchive.raw/RTDC4040/ "%USERPROFILE%\AppData\Local\Temp\OnboardLogs"\RTDC4040\2017-11-25 --exclude "*" --recursive --include "*20171125*" &amp; "%USERPROFILE%\Documents\GitHub\mrs-test-scripts\Headless Mode &amp; Sideloading\WalkAndUnGZ.bat" "%USERPROFILE%\AppData\Local\Temp\OnboardLogs"\RTDC4040\2017-11-25</v>
      </c>
      <c r="AF222" s="235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/stypes="app*4040*20171124*" /stext=" 11:.+((SYSTEM_STATE.+slice.+state.+changed )|(ment ac)|(multiple cpu faults)|(system.+state.+changed )|(\[timeout)|(PRM\|1\|D)|(kpr)|(kdp)|(train st.+moving)|(\|lc)|(penalty))"</v>
      </c>
      <c r="AG222" s="245" t="str">
        <f>DetSubdiv(A222)</f>
        <v>Other</v>
      </c>
      <c r="AH222" s="237" t="str">
        <f t="shared" si="64"/>
        <v>"%USERPROFILE%\Documents\GitHub\eaglep3\Utilities\RefineRTDCRunTimes.py" --tripid 901-24 --locoid 4040 --swversion DE.1.0.9.0 --startMP 300:30224 --initTime 2017-11-24T04:38:37 --startdatetime 2017-11-24T04:47:47 --delay 167 --endMP 300:58950 --enddatetime 2017-11-24T04:56:18 --enforcementcount 0 &gt;&gt;%USERPROFILE%\Documents\GitHub\eaglep3-reporting\EC\2017-11-24-refined-times.txt</v>
      </c>
      <c r="AI222" s="239" t="str">
        <f t="shared" si="65"/>
        <v>echo {"issue":{"subject":"","project_id":79,"tracker_id":40,"status_id":1,"priority_id":2,"assigned_to_id":338,"start_date":"2017-11-24","description":"","custom_fields":[{"id":1,"name":"Subdivision","value":"Other"},{"id":4,"name":"Milepost","value":"5.895"},{"id":17,"name":"Train ID","value":"901-24"},{"id":16,"name":"Locomotive ID","value":"4040"},{"id":130,"name":"Impact","value":""},{"id":150,"name":"Time of Event (Mountain Time)","value":"04:56:18"},{"id":151,"name":"Denver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4"/>
      <c r="AK222" s="232"/>
      <c r="AL222" s="232"/>
      <c r="AM222" s="241" t="str">
        <f t="shared" si="66"/>
        <v>start /low /b %USERPROFILE%\Documents\GitHub\eaglep3\Utilities\DownloadLogsFromS3.py --loco 4040 --day 2017-11-24</v>
      </c>
      <c r="AN222" s="242" t="str">
        <f t="shared" si="6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11:56:18"},{"id":29,"name":"Sharepoint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1" t="str">
        <f t="shared" si="68"/>
        <v>https://d0f6bd738d7f1b3e5a7ca70fe4ff75f0.us-east-1.aws.found.io/app/kibana#/discover/Steve-Slow-Train-Analysis-(2080s-and-2083s)?_g=(refreshInterval:(display:Off,pause:!f,section:0,value:0),time:(from:'2017-11-24T03:38:37-0700',mode:absolute,to:'2017-11-24T05:56:18-0700'))&amp;_a=(columns:!('Message%20ID',Summary),filters:!(),index:'emp_*',interval:auto,query:(query_string:(analyze_wildcard:!t,query:'%22rtdc.l.rtdc.4040%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4" customFormat="1" x14ac:dyDescent="0.25">
      <c r="A223" s="230" t="s">
        <v>728</v>
      </c>
      <c r="B223" s="226">
        <v>4059</v>
      </c>
      <c r="C223" s="228" t="s">
        <v>192</v>
      </c>
      <c r="D223" s="228" t="s">
        <v>1108</v>
      </c>
      <c r="E223" s="227">
        <v>43063.241574074076</v>
      </c>
      <c r="F223" s="227">
        <v>43063.24496527778</v>
      </c>
      <c r="G223" s="226">
        <v>94</v>
      </c>
      <c r="H223" s="228" t="s">
        <v>652</v>
      </c>
      <c r="I223" s="227">
        <v>43063.249131944445</v>
      </c>
      <c r="J223" s="226">
        <v>0</v>
      </c>
      <c r="K223" s="238" t="str">
        <f>IF(ISEVEN(B223),(B223-1)&amp;"/"&amp;B223,B223&amp;"/"&amp;(B223+1))</f>
        <v>4059/4060</v>
      </c>
      <c r="L223" s="246" t="str">
        <f>VLOOKUP(A223,'Trips&amp;Operators'!$C$1:$G$99911,5,FALSE)</f>
        <v>BEAM ROSS</v>
      </c>
      <c r="M223" s="225">
        <f>I223-F223</f>
        <v>4.166666665696539E-3</v>
      </c>
      <c r="N223" s="226">
        <f>24*60*SUM($M223:$M223)</f>
        <v>5.9999999986030161</v>
      </c>
      <c r="O223" s="226"/>
      <c r="P223" s="226"/>
      <c r="Q223" s="229"/>
      <c r="R223" s="243"/>
      <c r="S223" s="250">
        <f>1/IF(AG223="EC",12,1)*SUM(U223:U223)</f>
        <v>1</v>
      </c>
      <c r="T223" s="243" t="str">
        <f>IF(ISEVEN(LEFT(AD223,4)),"Southbound","NorthBound")</f>
        <v>Southbound</v>
      </c>
      <c r="U223" s="24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9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-11-24T04:47:52-0700',mode:absolute,to:'2017-11-24T06:58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3" s="248" t="str">
        <f>IF(AA223&lt;VLOOKUP(AG223,Variables!$AC$3:$AD$8,2,FALSE),"Y","N")</f>
        <v>Y</v>
      </c>
      <c r="X223" s="248">
        <f>VALUE(LEFT(AD223,4))-VALUE(LEFT(AD222,4))</f>
        <v>1</v>
      </c>
      <c r="Y223" s="248">
        <f>RIGHT(D223,LEN(D223)-4)/10000</f>
        <v>2.1663000000000001</v>
      </c>
      <c r="Z223" s="248">
        <f>RIGHT(H223,LEN(H223)-4)/10000</f>
        <v>7.0099999999999996E-2</v>
      </c>
      <c r="AA223" s="248">
        <f>ABS(Z223-Y223)</f>
        <v>2.0962000000000001</v>
      </c>
      <c r="AB223" s="234" t="e">
        <f>VLOOKUP(A223,Enforcements!$C$7:$K$9,8,0)</f>
        <v>#N/A</v>
      </c>
      <c r="AC223" s="233" t="e">
        <f>VLOOKUP(A223,Enforcements!$C$7:$E$9,3,0)</f>
        <v>#N/A</v>
      </c>
      <c r="AD223" s="244">
        <f>VALUE(LEFT(A223,LEN(A223)-3))</f>
        <v>902</v>
      </c>
      <c r="AE223" s="236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AF223" s="235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/stypes="app*4059*20171124*" /stext=" 12:.+((SYSTEM_STATE.+slice.+state.+changed )|(ment ac)|(multiple cpu faults)|(system.+state.+changed )|(\[timeout)|(PRM\|1\|D)|(kpr)|(kdp)|(train st.+moving)|(\|lc)|(penalty))"</v>
      </c>
      <c r="AG223" s="245" t="str">
        <f>DetSubdiv(A223)</f>
        <v>Other</v>
      </c>
      <c r="AH223" s="237" t="str">
        <f t="shared" si="64"/>
        <v>"%USERPROFILE%\Documents\GitHub\eaglep3\Utilities\RefineRTDCRunTimes.py" --tripid 902-24 --locoid 4059 --swversion DE.1.0.9.0 --startMP 300:21663 --initTime 2017-11-24T05:47:52 --startdatetime 2017-11-24T05:52:45 --delay 94 --endMP 204:701 --enddatetime 2017-11-24T05:58:45 --enforcementcount 0 &gt;&gt;%USERPROFILE%\Documents\GitHub\eaglep3-reporting\EC\2017-11-24-refined-times.txt</v>
      </c>
      <c r="AI223" s="239" t="str">
        <f t="shared" si="65"/>
        <v>echo {"issue":{"subject":"","project_id":79,"tracker_id":40,"status_id":1,"priority_id":2,"assigned_to_id":338,"start_date":"2017-11-24","description":"","custom_fields":[{"id":1,"name":"Subdivision","value":"Other"},{"id":4,"name":"Milepost","value":"0.0701"},{"id":17,"name":"Train ID","value":"902-24"},{"id":16,"name":"Locomotive ID","value":"4059"},{"id":130,"name":"Impact","value":""},{"id":150,"name":"Time of Event (Mountain Time)","value":"05:58:45"},{"id":151,"name":"Denver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232"/>
      <c r="AL223" s="232"/>
      <c r="AM223" s="241" t="str">
        <f t="shared" si="66"/>
        <v>start /low /b %USERPROFILE%\Documents\GitHub\eaglep3\Utilities\DownloadLogsFromS3.py --loco 4059 --day 2017-11-24</v>
      </c>
      <c r="AN223" s="242" t="str">
        <f t="shared" si="6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12:58:45"},{"id":29,"name":"Sharepoint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1" t="str">
        <f t="shared" si="68"/>
        <v>https://d0f6bd738d7f1b3e5a7ca70fe4ff75f0.us-east-1.aws.found.io/app/kibana#/discover/Steve-Slow-Train-Analysis-(2080s-and-2083s)?_g=(refreshInterval:(display:Off,pause:!f,section:0,value:0),time:(from:'2017-11-24T04:47:52-0700',mode:absolute,to:'2017-11-24T06:58:45-0700'))&amp;_a=(columns:!('Message%20ID',Summary),filters:!(),index:'emp_*',interval:auto,query:(query_string:(analyze_wildcard:!t,query:'%22rtdc.l.rtdc.4059%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30" t="s">
        <v>762</v>
      </c>
      <c r="B224" s="226">
        <v>4040</v>
      </c>
      <c r="C224" s="228" t="s">
        <v>192</v>
      </c>
      <c r="D224" s="228" t="s">
        <v>1109</v>
      </c>
      <c r="E224" s="227">
        <v>43063.354594907411</v>
      </c>
      <c r="F224" s="227">
        <v>43063.356469907405</v>
      </c>
      <c r="G224" s="226">
        <v>71</v>
      </c>
      <c r="H224" s="228" t="s">
        <v>1110</v>
      </c>
      <c r="I224" s="227">
        <v>43063.361921296295</v>
      </c>
      <c r="J224" s="226">
        <v>0</v>
      </c>
      <c r="K224" s="238" t="str">
        <f>IF(ISEVEN(B224),(B224-1)&amp;"/"&amp;B224,B224&amp;"/"&amp;(B224+1))</f>
        <v>4039/4040</v>
      </c>
      <c r="L224" s="246" t="str">
        <f>VLOOKUP(A224,'Trips&amp;Operators'!$C$1:$G$99911,5,FALSE)</f>
        <v>WILLIAMS DONTE</v>
      </c>
      <c r="M224" s="225">
        <f>I224-F224</f>
        <v>5.4513888899236917E-3</v>
      </c>
      <c r="N224" s="226">
        <f>24*60*SUM($M224:$M224)</f>
        <v>7.8500000014901161</v>
      </c>
      <c r="O224" s="226"/>
      <c r="P224" s="226"/>
      <c r="Q224" s="229"/>
      <c r="R224" s="243"/>
      <c r="S224" s="250">
        <f>1/IF(AG224="EC",12,1)*SUM(U224:U224)</f>
        <v>1</v>
      </c>
      <c r="T224" s="243" t="str">
        <f>IF(ISEVEN(LEFT(AD224,4)),"Southbound","NorthBound")</f>
        <v>NorthBound</v>
      </c>
      <c r="U224" s="24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9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-11-24T07:30:37-0700',mode:absolute,to:'2017-11-24T09:41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4" s="248" t="str">
        <f>IF(AA224&lt;VLOOKUP(AG224,Variables!$AC$3:$AD$8,2,FALSE),"Y","N")</f>
        <v>Y</v>
      </c>
      <c r="X224" s="248">
        <f>VALUE(LEFT(AD224,4))-VALUE(LEFT(AD223,4))</f>
        <v>1</v>
      </c>
      <c r="Y224" s="248">
        <f>RIGHT(D224,LEN(D224)-4)/10000</f>
        <v>0.14169999999999999</v>
      </c>
      <c r="Z224" s="248">
        <f>RIGHT(H224,LEN(H224)-4)/10000</f>
        <v>2.4220000000000002</v>
      </c>
      <c r="AA224" s="248">
        <f>ABS(Z224-Y224)</f>
        <v>2.2803</v>
      </c>
      <c r="AB224" s="234" t="e">
        <f>VLOOKUP(A224,Enforcements!$C$7:$K$9,8,0)</f>
        <v>#N/A</v>
      </c>
      <c r="AC224" s="233" t="e">
        <f>VLOOKUP(A224,Enforcements!$C$7:$E$9,3,0)</f>
        <v>#N/A</v>
      </c>
      <c r="AD224" s="244">
        <f>VALUE(LEFT(A224,LEN(A224)-3))</f>
        <v>903</v>
      </c>
      <c r="AE224" s="236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s3://rtdc.mdm.uploadarchive.raw/RTDC4040/ "%USERPROFILE%\AppData\Local\Temp\OnboardLogs"\RTDC4040\2017-11-24 --exclude "*" --recursive --include "*20171124*" &amp; "%USERPROFILE%\Documents\GitHub\mrs-test-scripts\Headless Mode &amp; Sideloading\WalkAndUnGZ.bat" "%USERPROFILE%\AppData\Local\Temp\OnboardLogs"\RTDC4040\2017-11-24 &amp; aws s3 cp s3://rtdc.mdm.uploadarchive.raw/RTDC4040/ "%USERPROFILE%\AppData\Local\Temp\OnboardLogs"\RTDC4040\2017-11-25 --exclude "*" --recursive --include "*20171125*" &amp; "%USERPROFILE%\Documents\GitHub\mrs-test-scripts\Headless Mode &amp; Sideloading\WalkAndUnGZ.bat" "%USERPROFILE%\AppData\Local\Temp\OnboardLogs"\RTDC4040\2017-11-25</v>
      </c>
      <c r="AF224" s="235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/stypes="app*4040*20171124*" /stext=" 15:.+((SYSTEM_STATE.+slice.+state.+changed )|(ment ac)|(multiple cpu faults)|(system.+state.+changed )|(\[timeout)|(PRM\|1\|D)|(kpr)|(kdp)|(train st.+moving)|(\|lc)|(penalty))"</v>
      </c>
      <c r="AG224" s="245" t="str">
        <f>DetSubdiv(A224)</f>
        <v>Other</v>
      </c>
      <c r="AH224" s="237" t="str">
        <f t="shared" si="64"/>
        <v>"%USERPROFILE%\Documents\GitHub\eaglep3\Utilities\RefineRTDCRunTimes.py" --tripid 903-24 --locoid 4040 --swversion DE.1.0.9.0 --startMP 204:1417 --initTime 2017-11-24T08:30:37 --startdatetime 2017-11-24T08:33:19 --delay 71 --endMP 300:24220 --enddatetime 2017-11-24T08:41:10 --enforcementcount 0 &gt;&gt;%USERPROFILE%\Documents\GitHub\eaglep3-reporting\EC\2017-11-24-refined-times.txt</v>
      </c>
      <c r="AI224" s="239" t="str">
        <f t="shared" si="65"/>
        <v>echo {"issue":{"subject":"","project_id":79,"tracker_id":40,"status_id":1,"priority_id":2,"assigned_to_id":338,"start_date":"2017-11-24","description":"","custom_fields":[{"id":1,"name":"Subdivision","value":"Other"},{"id":4,"name":"Milepost","value":"2.422"},{"id":17,"name":"Train ID","value":"903-24"},{"id":16,"name":"Locomotive ID","value":"4040"},{"id":130,"name":"Impact","value":""},{"id":150,"name":"Time of Event (Mountain Time)","value":"08:41:10"},{"id":151,"name":"Denver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4"/>
      <c r="AK224" s="232"/>
      <c r="AL224" s="232"/>
      <c r="AM224" s="241" t="str">
        <f t="shared" si="66"/>
        <v>start /low /b %USERPROFILE%\Documents\GitHub\eaglep3\Utilities\DownloadLogsFromS3.py --loco 4040 --day 2017-11-24</v>
      </c>
      <c r="AN224" s="242" t="str">
        <f t="shared" si="6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15:41:10"},{"id":29,"name":"Sharepoint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1" t="str">
        <f t="shared" si="68"/>
        <v>https://d0f6bd738d7f1b3e5a7ca70fe4ff75f0.us-east-1.aws.found.io/app/kibana#/discover/Steve-Slow-Train-Analysis-(2080s-and-2083s)?_g=(refreshInterval:(display:Off,pause:!f,section:0,value:0),time:(from:'2017-11-24T07:30:37-0700',mode:absolute,to:'2017-11-24T09:41:10-0700'))&amp;_a=(columns:!('Message%20ID',Summary),filters:!(),index:'emp_*',interval:auto,query:(query_string:(analyze_wildcard:!t,query:'%22rtdc.l.rtdc.4040%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30" t="s">
        <v>836</v>
      </c>
      <c r="B225" s="226">
        <v>4039</v>
      </c>
      <c r="C225" s="228" t="s">
        <v>192</v>
      </c>
      <c r="D225" s="228" t="s">
        <v>1111</v>
      </c>
      <c r="E225" s="227">
        <v>43063.63821759259</v>
      </c>
      <c r="F225" s="227">
        <v>43063.641701388886</v>
      </c>
      <c r="G225" s="226">
        <v>86</v>
      </c>
      <c r="H225" s="228" t="s">
        <v>1112</v>
      </c>
      <c r="I225" s="227">
        <v>43063.646909722222</v>
      </c>
      <c r="J225" s="226">
        <v>0</v>
      </c>
      <c r="K225" s="238" t="str">
        <f>IF(ISEVEN(B225),(B225-1)&amp;"/"&amp;B225,B225&amp;"/"&amp;(B225+1))</f>
        <v>4039/4040</v>
      </c>
      <c r="L225" s="246" t="str">
        <f>VLOOKUP(A225,'Trips&amp;Operators'!$C$1:$G$99911,5,FALSE)</f>
        <v>HAMMOND JUSTYNN</v>
      </c>
      <c r="M225" s="225">
        <f>I225-F225</f>
        <v>5.2083333357586525E-3</v>
      </c>
      <c r="N225" s="226">
        <f>24*60*SUM($M225:$M225)</f>
        <v>7.5000000034924597</v>
      </c>
      <c r="O225" s="226"/>
      <c r="P225" s="226"/>
      <c r="Q225" s="229"/>
      <c r="R225" s="243"/>
      <c r="S225" s="250">
        <f>1/IF(AG225="EC",12,1)*SUM(U225:U225)</f>
        <v>1</v>
      </c>
      <c r="T225" s="243" t="str">
        <f>IF(ISEVEN(LEFT(AD225,4)),"Southbound","NorthBound")</f>
        <v>Southbound</v>
      </c>
      <c r="U225" s="24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49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-11-24T14:19:02-0700',mode:absolute,to:'2017-11-24T16:31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5" s="248" t="str">
        <f>IF(AA225&lt;VLOOKUP(AG225,Variables!$AC$3:$AD$8,2,FALSE),"Y","N")</f>
        <v>Y</v>
      </c>
      <c r="X225" s="248">
        <f>VALUE(LEFT(AD225,4))-VALUE(LEFT(AD224,4))</f>
        <v>1</v>
      </c>
      <c r="Y225" s="248">
        <f>RIGHT(D225,LEN(D225)-4)/10000</f>
        <v>2.3328000000000002</v>
      </c>
      <c r="Z225" s="248">
        <f>RIGHT(H225,LEN(H225)-4)/10000</f>
        <v>7.6200000000000004E-2</v>
      </c>
      <c r="AA225" s="248">
        <f>ABS(Z225-Y225)</f>
        <v>2.2566000000000002</v>
      </c>
      <c r="AB225" s="234" t="e">
        <f>VLOOKUP(A225,Enforcements!$C$7:$K$9,8,0)</f>
        <v>#N/A</v>
      </c>
      <c r="AC225" s="233" t="e">
        <f>VLOOKUP(A225,Enforcements!$C$7:$E$9,3,0)</f>
        <v>#N/A</v>
      </c>
      <c r="AD225" s="244">
        <f>VALUE(LEFT(A225,LEN(A225)-3))</f>
        <v>904</v>
      </c>
      <c r="AE225" s="236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s3://rtdc.mdm.uploadarchive.raw/RTDC4039/ "%USERPROFILE%\AppData\Local\Temp\OnboardLogs"\RTDC4039\2017-11-24 --exclude "*" --recursive --include "*20171124*" &amp; "%USERPROFILE%\Documents\GitHub\mrs-test-scripts\Headless Mode &amp; Sideloading\WalkAndUnGZ.bat" "%USERPROFILE%\AppData\Local\Temp\OnboardLogs"\RTDC4039\2017-11-24 &amp; aws s3 cp s3://rtdc.mdm.uploadarchive.raw/RTDC4039/ "%USERPROFILE%\AppData\Local\Temp\OnboardLogs"\RTDC4039\2017-11-25 --exclude "*" --recursive --include "*20171125*" &amp; "%USERPROFILE%\Documents\GitHub\mrs-test-scripts\Headless Mode &amp; Sideloading\WalkAndUnGZ.bat" "%USERPROFILE%\AppData\Local\Temp\OnboardLogs"\RTDC4039\2017-11-25</v>
      </c>
      <c r="AF225" s="235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/stypes="app*4039*20171124*" /stext=" 22:.+((SYSTEM_STATE.+slice.+state.+changed )|(ment ac)|(multiple cpu faults)|(system.+state.+changed )|(\[timeout)|(PRM\|1\|D)|(kpr)|(kdp)|(train st.+moving)|(\|lc)|(penalty))"</v>
      </c>
      <c r="AG225" s="245" t="str">
        <f>DetSubdiv(A225)</f>
        <v>Other</v>
      </c>
      <c r="AH225" s="237" t="str">
        <f t="shared" si="64"/>
        <v>"%USERPROFILE%\Documents\GitHub\eaglep3\Utilities\RefineRTDCRunTimes.py" --tripid 904-24 --locoid 4039 --swversion DE.1.0.9.0 --startMP 300:23328 --initTime 2017-11-24T15:19:02 --startdatetime 2017-11-24T15:24:03 --delay 86 --endMP 204:762 --enddatetime 2017-11-24T15:31:33 --enforcementcount 0 &gt;&gt;%USERPROFILE%\Documents\GitHub\eaglep3-reporting\EC\2017-11-24-refined-times.txt</v>
      </c>
      <c r="AI225" s="239" t="str">
        <f t="shared" si="65"/>
        <v>echo {"issue":{"subject":"","project_id":79,"tracker_id":40,"status_id":1,"priority_id":2,"assigned_to_id":338,"start_date":"2017-11-24","description":"","custom_fields":[{"id":1,"name":"Subdivision","value":"Other"},{"id":4,"name":"Milepost","value":"0.0762"},{"id":17,"name":"Train ID","value":"904-24"},{"id":16,"name":"Locomotive ID","value":"4039"},{"id":130,"name":"Impact","value":""},{"id":150,"name":"Time of Event (Mountain Time)","value":"15:31:33"},{"id":151,"name":"Denver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4"/>
      <c r="AK225" s="232"/>
      <c r="AL225" s="232"/>
      <c r="AM225" s="241" t="str">
        <f t="shared" si="66"/>
        <v>start /low /b %USERPROFILE%\Documents\GitHub\eaglep3\Utilities\DownloadLogsFromS3.py --loco 4039 --day 2017-11-24</v>
      </c>
      <c r="AN225" s="242" t="str">
        <f t="shared" si="6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22:31:33"},{"id":29,"name":"Sharepoint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1" t="str">
        <f t="shared" si="68"/>
        <v>https://d0f6bd738d7f1b3e5a7ca70fe4ff75f0.us-east-1.aws.found.io/app/kibana#/discover/Steve-Slow-Train-Analysis-(2080s-and-2083s)?_g=(refreshInterval:(display:Off,pause:!f,section:0,value:0),time:(from:'2017-11-24T14:19:02-0700',mode:absolute,to:'2017-11-24T16:31:33-0700'))&amp;_a=(columns:!('Message%20ID',Summary),filters:!(),index:'emp_*',interval:auto,query:(query_string:(analyze_wildcard:!t,query:'%22rtdc.l.rtdc.4039%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30" t="s">
        <v>881</v>
      </c>
      <c r="B226" s="226">
        <v>4039</v>
      </c>
      <c r="C226" s="228" t="s">
        <v>192</v>
      </c>
      <c r="D226" s="228" t="s">
        <v>649</v>
      </c>
      <c r="E226" s="227">
        <v>43063.789189814815</v>
      </c>
      <c r="F226" s="227">
        <v>43063.790925925925</v>
      </c>
      <c r="G226" s="226">
        <v>61</v>
      </c>
      <c r="H226" s="228" t="s">
        <v>1113</v>
      </c>
      <c r="I226" s="227">
        <v>43063.799189814818</v>
      </c>
      <c r="J226" s="226">
        <v>0</v>
      </c>
      <c r="K226" s="238" t="str">
        <f>IF(ISEVEN(B226),(B226-1)&amp;"/"&amp;B226,B226&amp;"/"&amp;(B226+1))</f>
        <v>4039/4040</v>
      </c>
      <c r="L226" s="246" t="str">
        <f>VLOOKUP(A226,'Trips&amp;Operators'!$C$1:$G$99911,5,FALSE)</f>
        <v>HAMMOND JUSTYNN</v>
      </c>
      <c r="M226" s="225">
        <f>I226-F226</f>
        <v>8.2638888925430365E-3</v>
      </c>
      <c r="N226" s="226">
        <f>24*60*SUM($M226:$M226)</f>
        <v>11.900000005261973</v>
      </c>
      <c r="O226" s="226"/>
      <c r="P226" s="226"/>
      <c r="Q226" s="229"/>
      <c r="R226" s="243"/>
      <c r="S226" s="250">
        <f>1/IF(AG226="EC",12,1)*SUM(U226:U226)</f>
        <v>0</v>
      </c>
      <c r="T226" s="243" t="str">
        <f>IF(ISEVEN(LEFT(AD226,4)),"Southbound","NorthBound")</f>
        <v>Southbound</v>
      </c>
      <c r="U226" s="24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9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-11-24T17:56:26-0700',mode:absolute,to:'2017-11-24T20:10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6" s="248" t="str">
        <f>IF(AA226&lt;VLOOKUP(AG226,Variables!$AC$3:$AD$8,2,FALSE),"Y","N")</f>
        <v>Y</v>
      </c>
      <c r="X226" s="248">
        <f>VALUE(LEFT(AD226,4))-VALUE(LEFT(AD225,4))</f>
        <v>2</v>
      </c>
      <c r="Y226" s="248">
        <f>RIGHT(D226,LEN(D226)-4)/10000</f>
        <v>5.8613</v>
      </c>
      <c r="Z226" s="248">
        <f>RIGHT(H226,LEN(H226)-4)/10000</f>
        <v>2.8791000000000002</v>
      </c>
      <c r="AA226" s="248">
        <f>ABS(Z226-Y226)</f>
        <v>2.9821999999999997</v>
      </c>
      <c r="AB226" s="234" t="e">
        <f>VLOOKUP(A226,Enforcements!$C$7:$K$9,8,0)</f>
        <v>#N/A</v>
      </c>
      <c r="AC226" s="233" t="e">
        <f>VLOOKUP(A226,Enforcements!$C$7:$E$9,3,0)</f>
        <v>#N/A</v>
      </c>
      <c r="AD226" s="244">
        <f>VALUE(LEFT(A226,LEN(A226)-3))</f>
        <v>906</v>
      </c>
      <c r="AE226" s="236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s3://rtdc.mdm.uploadarchive.raw/RTDC4039/ "%USERPROFILE%\AppData\Local\Temp\OnboardLogs"\RTDC4039\2017-11-24 --exclude "*" --recursive --include "*20171124*" &amp; "%USERPROFILE%\Documents\GitHub\mrs-test-scripts\Headless Mode &amp; Sideloading\WalkAndUnGZ.bat" "%USERPROFILE%\AppData\Local\Temp\OnboardLogs"\RTDC4039\2017-11-24 &amp; aws s3 cp s3://rtdc.mdm.uploadarchive.raw/RTDC4039/ "%USERPROFILE%\AppData\Local\Temp\OnboardLogs"\RTDC4039\2017-11-25 --exclude "*" --recursive --include "*20171125*" &amp; "%USERPROFILE%\Documents\GitHub\mrs-test-scripts\Headless Mode &amp; Sideloading\WalkAndUnGZ.bat" "%USERPROFILE%\AppData\Local\Temp\OnboardLogs"\RTDC4039\2017-11-25</v>
      </c>
      <c r="AF226" s="235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/stypes="app*4039*20171125*" /stext=" 02:.+((SYSTEM_STATE.+slice.+state.+changed )|(ment ac)|(multiple cpu faults)|(system.+state.+changed )|(\[timeout)|(PRM\|1\|D)|(kpr)|(kdp)|(train st.+moving)|(\|lc)|(penalty))"</v>
      </c>
      <c r="AG226" s="245" t="str">
        <f>DetSubdiv(A226)</f>
        <v>Other</v>
      </c>
      <c r="AH226" s="237" t="str">
        <f t="shared" si="64"/>
        <v>"%USERPROFILE%\Documents\GitHub\eaglep3\Utilities\RefineRTDCRunTimes.py" --tripid 906-24 --locoid 4039 --swversion DE.1.0.9.0 --startMP 300:58613 --initTime 2017-11-24T18:56:26 --startdatetime 2017-11-24T18:58:56 --delay 61 --endMP 300:28791 --enddatetime 2017-11-24T19:10:50 --enforcementcount 0 &gt;&gt;%USERPROFILE%\Documents\GitHub\eaglep3-reporting\EC\2017-11-24-refined-times.txt</v>
      </c>
      <c r="AI226" s="239" t="str">
        <f t="shared" si="65"/>
        <v>echo {"issue":{"subject":"","project_id":79,"tracker_id":40,"status_id":1,"priority_id":2,"assigned_to_id":338,"start_date":"2017-11-24","description":"","custom_fields":[{"id":1,"name":"Subdivision","value":"Other"},{"id":4,"name":"Milepost","value":"2.8791"},{"id":17,"name":"Train ID","value":"906-24"},{"id":16,"name":"Locomotive ID","value":"4039"},{"id":130,"name":"Impact","value":""},{"id":150,"name":"Time of Event (Mountain Time)","value":"19:10:50"},{"id":151,"name":"Denver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4"/>
      <c r="AK226" s="232"/>
      <c r="AL226" s="232"/>
      <c r="AM226" s="241" t="str">
        <f t="shared" si="66"/>
        <v>start /low /b %USERPROFILE%\Documents\GitHub\eaglep3\Utilities\DownloadLogsFromS3.py --loco 4039 --day 2017-11-24</v>
      </c>
      <c r="AN226" s="242" t="str">
        <f t="shared" si="67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02:10:50"},{"id":29,"name":"Sharepoint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1" t="str">
        <f t="shared" si="68"/>
        <v>https://d0f6bd738d7f1b3e5a7ca70fe4ff75f0.us-east-1.aws.found.io/app/kibana#/discover/Steve-Slow-Train-Analysis-(2080s-and-2083s)?_g=(refreshInterval:(display:Off,pause:!f,section:0,value:0),time:(from:'2017-11-24T17:56:26-0700',mode:absolute,to:'2017-11-24T20:10:50-0700'))&amp;_a=(columns:!('Message%20ID',Summary),filters:!(),index:'emp_*',interval:auto,query:(query_string:(analyze_wildcard:!t,query:'%22rtdc.l.rtdc.4039%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230" t="s">
        <v>774</v>
      </c>
      <c r="B227" s="226">
        <v>4017</v>
      </c>
      <c r="C227" s="228" t="s">
        <v>192</v>
      </c>
      <c r="D227" s="228" t="s">
        <v>1054</v>
      </c>
      <c r="E227" s="227">
        <v>43063.412222222221</v>
      </c>
      <c r="F227" s="227">
        <v>43063.415520833332</v>
      </c>
      <c r="G227" s="226">
        <v>65</v>
      </c>
      <c r="H227" s="228" t="s">
        <v>1055</v>
      </c>
      <c r="I227" s="227">
        <v>43063.424525462964</v>
      </c>
      <c r="J227" s="226">
        <v>0</v>
      </c>
      <c r="K227" s="238" t="str">
        <f>IF(ISEVEN(B227),(B227-1)&amp;"/"&amp;B227,B227&amp;"/"&amp;(B227+1))</f>
        <v>4017/4018</v>
      </c>
      <c r="L227" s="246" t="str">
        <f>VLOOKUP(A227,'Trips&amp;Operators'!$C$1:$G$99911,5,FALSE)</f>
        <v>SPECTOR MICHAEL</v>
      </c>
      <c r="M227" s="225">
        <f>I227-F227</f>
        <v>9.0046296318178065E-3</v>
      </c>
      <c r="N227" s="226">
        <f>24*60*SUM($M227:$M227)</f>
        <v>12.966666669817641</v>
      </c>
      <c r="O227" s="226"/>
      <c r="P227" s="226"/>
      <c r="Q227" s="229"/>
      <c r="R227" s="243"/>
      <c r="S227" s="250">
        <f>1/IF(AG227="EC",12,1)*SUM(U227:U227)</f>
        <v>1</v>
      </c>
      <c r="T227" s="243" t="str">
        <f>IF(ISEVEN(LEFT(AD227,4)),"Southbound","NorthBound")</f>
        <v>Southbound</v>
      </c>
      <c r="U227" s="24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49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-11-24T08:53:36-0700',mode:absolute,to:'2017-11-24T11:11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7" s="248" t="str">
        <f>IF(AA227&lt;VLOOKUP(AG227,Variables!$AC$3:$AD$8,2,FALSE),"Y","N")</f>
        <v>Y</v>
      </c>
      <c r="X227" s="248">
        <f>VALUE(LEFT(AD227,4))-VALUE(LEFT(AD226,4))</f>
        <v>-856</v>
      </c>
      <c r="Y227" s="248">
        <f>RIGHT(D227,LEN(D227)-4)/10000</f>
        <v>2.3355000000000001</v>
      </c>
      <c r="Z227" s="248">
        <f>RIGHT(H227,LEN(H227)-4)/10000</f>
        <v>9.3700000000000006E-2</v>
      </c>
      <c r="AA227" s="248">
        <f>ABS(Z227-Y227)</f>
        <v>2.2418</v>
      </c>
      <c r="AB227" s="234" t="e">
        <f>VLOOKUP(A227,Enforcements!$C$7:$K$9,8,0)</f>
        <v>#N/A</v>
      </c>
      <c r="AC227" s="233" t="e">
        <f>VLOOKUP(A227,Enforcements!$C$7:$E$9,3,0)</f>
        <v>#N/A</v>
      </c>
      <c r="AD227" s="244">
        <f>VALUE(LEFT(A227,LEN(A227)-3))</f>
        <v>50</v>
      </c>
      <c r="AE227" s="236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s3://rtdc.mdm.uploadarchive.raw/RTDC4017/ "%USERPROFILE%\AppData\Local\Temp\OnboardLogs"\RTDC4017\2017-11-24 --exclude "*" --recursive --include "*20171124*" &amp; "%USERPROFILE%\Documents\GitHub\mrs-test-scripts\Headless Mode &amp; Sideloading\WalkAndUnGZ.bat" "%USERPROFILE%\AppData\Local\Temp\OnboardLogs"\RTDC4017\2017-11-24 &amp; aws s3 cp s3://rtdc.mdm.uploadarchive.raw/RTDC4017/ "%USERPROFILE%\AppData\Local\Temp\OnboardLogs"\RTDC4017\2017-11-25 --exclude "*" --recursive --include "*20171125*" &amp; "%USERPROFILE%\Documents\GitHub\mrs-test-scripts\Headless Mode &amp; Sideloading\WalkAndUnGZ.bat" "%USERPROFILE%\AppData\Local\Temp\OnboardLogs"\RTDC4017\2017-11-25</v>
      </c>
      <c r="AF227" s="235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/stypes="app*4017*20171124*" /stext=" 17:.+((SYSTEM_STATE.+slice.+state.+changed )|(ment ac)|(multiple cpu faults)|(system.+state.+changed )|(\[timeout)|(PRM\|1\|D)|(kpr)|(kdp)|(train st.+moving)|(\|lc)|(penalty))"</v>
      </c>
      <c r="AG227" s="245" t="str">
        <f>DetSubdiv(A227)</f>
        <v>Shuttle/Test</v>
      </c>
      <c r="AH227" s="237" t="str">
        <f t="shared" si="64"/>
        <v>"%USERPROFILE%\Documents\GitHub\eaglep3\Utilities\RefineRTDCRunTimes.py" --tripid 50-24 --locoid 4017 --swversion DE.1.0.9.0 --startMP 300:23355 --initTime 2017-11-24T09:53:36 --startdatetime 2017-11-24T09:58:21 --delay 65 --endMP 204:937 --enddatetime 2017-11-24T10:11:19 --enforcementcount 0 &gt;&gt;%USERPROFILE%\Documents\GitHub\eaglep3-reporting\EC\2017-11-24-refined-times.txt</v>
      </c>
      <c r="AI227" s="239" t="str">
        <f t="shared" si="65"/>
        <v>echo {"issue":{"subject":"","project_id":79,"tracker_id":40,"status_id":1,"priority_id":2,"assigned_to_id":338,"start_date":"2017-11-24","description":"","custom_fields":[{"id":1,"name":"Subdivision","value":"Shuttle/Test"},{"id":4,"name":"Milepost","value":"0.0937"},{"id":17,"name":"Train ID","value":"50-24"},{"id":16,"name":"Locomotive ID","value":"4017"},{"id":130,"name":"Impact","value":""},{"id":150,"name":"Time of Event (Mountain Time)","value":"10:11:19"},{"id":151,"name":"Denver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4"/>
      <c r="AK227" s="232"/>
      <c r="AL227" s="232"/>
      <c r="AM227" s="241" t="str">
        <f t="shared" si="66"/>
        <v>start /low /b %USERPROFILE%\Documents\GitHub\eaglep3\Utilities\DownloadLogsFromS3.py --loco 4017 --day 2017-11-24</v>
      </c>
      <c r="AN227" s="242" t="str">
        <f t="shared" si="6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17:11:19"},{"id":29,"name":"Sharepoint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1" t="str">
        <f t="shared" si="68"/>
        <v>https://d0f6bd738d7f1b3e5a7ca70fe4ff75f0.us-east-1.aws.found.io/app/kibana#/discover/Steve-Slow-Train-Analysis-(2080s-and-2083s)?_g=(refreshInterval:(display:Off,pause:!f,section:0,value:0),time:(from:'2017-11-24T08:53:36-0700',mode:absolute,to:'2017-11-24T11:11:19-0700'))&amp;_a=(columns:!('Message%20ID',Summary),filters:!(),index:'emp_*',interval:auto,query:(query_string:(analyze_wildcard:!t,query:'%22rtdc.l.rtdc.4017%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230" t="s">
        <v>664</v>
      </c>
      <c r="B228" s="226">
        <v>4064</v>
      </c>
      <c r="C228" s="228" t="s">
        <v>192</v>
      </c>
      <c r="D228" s="228" t="s">
        <v>1056</v>
      </c>
      <c r="E228" s="227">
        <v>43063.370729166665</v>
      </c>
      <c r="F228" s="227">
        <v>43063.394699074073</v>
      </c>
      <c r="G228" s="226">
        <v>102</v>
      </c>
      <c r="H228" s="228" t="s">
        <v>1057</v>
      </c>
      <c r="I228" s="227">
        <v>43063.402673611112</v>
      </c>
      <c r="J228" s="226">
        <v>0</v>
      </c>
      <c r="K228" s="238" t="str">
        <f>IF(ISEVEN(B228),(B228-1)&amp;"/"&amp;B228,B228&amp;"/"&amp;(B228+1))</f>
        <v>4063/4064</v>
      </c>
      <c r="L228" s="246" t="str">
        <f>VLOOKUP(A228,'Trips&amp;Operators'!$C$1:$G$99911,5,FALSE)</f>
        <v>SPECTOR MICHAEL</v>
      </c>
      <c r="M228" s="225">
        <f>I228-F228</f>
        <v>7.9745370385353453E-3</v>
      </c>
      <c r="N228" s="226">
        <f>24*60*SUM($M228:$M228)</f>
        <v>11.483333335490897</v>
      </c>
      <c r="O228" s="226"/>
      <c r="P228" s="226"/>
      <c r="Q228" s="229"/>
      <c r="R228" s="243"/>
      <c r="S228" s="250">
        <f>1/IF(AG228="EC",12,1)*SUM(U228:U228)</f>
        <v>0</v>
      </c>
      <c r="T228" s="243" t="str">
        <f>IF(ISEVEN(LEFT(AD228,4)),"Southbound","NorthBound")</f>
        <v>NorthBound</v>
      </c>
      <c r="U228" s="24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9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-11-24T07:53:51-0700',mode:absolute,to:'2017-11-24T10:39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8" s="248" t="str">
        <f>IF(AA228&lt;VLOOKUP(AG228,Variables!$AC$3:$AD$8,2,FALSE),"Y","N")</f>
        <v>Y</v>
      </c>
      <c r="X228" s="248">
        <f>VALUE(LEFT(AD228,4))-VALUE(LEFT(AD227,4))</f>
        <v>1</v>
      </c>
      <c r="Y228" s="248">
        <f>RIGHT(D228,LEN(D228)-4)/10000</f>
        <v>0.15029999999999999</v>
      </c>
      <c r="Z228" s="248">
        <f>RIGHT(H228,LEN(H228)-4)/10000</f>
        <v>0.35499999999999998</v>
      </c>
      <c r="AA228" s="248">
        <f>ABS(Z228-Y228)</f>
        <v>0.20469999999999999</v>
      </c>
      <c r="AB228" s="234" t="e">
        <f>VLOOKUP(A228,Enforcements!$C$7:$K$9,8,0)</f>
        <v>#N/A</v>
      </c>
      <c r="AC228" s="233" t="e">
        <f>VLOOKUP(A228,Enforcements!$C$7:$E$9,3,0)</f>
        <v>#N/A</v>
      </c>
      <c r="AD228" s="244">
        <f>VALUE(LEFT(A228,LEN(A228)-3))</f>
        <v>51</v>
      </c>
      <c r="AE228" s="236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s3://rtdc.mdm.uploadarchive.raw/RTDC4064/ "%USERPROFILE%\AppData\Local\Temp\OnboardLogs"\RTDC4064\2017-11-24 --exclude "*" --recursive --include "*20171124*" &amp; "%USERPROFILE%\Documents\GitHub\mrs-test-scripts\Headless Mode &amp; Sideloading\WalkAndUnGZ.bat" "%USERPROFILE%\AppData\Local\Temp\OnboardLogs"\RTDC4064\2017-11-24 &amp; aws s3 cp s3://rtdc.mdm.uploadarchive.raw/RTDC4064/ "%USERPROFILE%\AppData\Local\Temp\OnboardLogs"\RTDC4064\2017-11-25 --exclude "*" --recursive --include "*20171125*" &amp; "%USERPROFILE%\Documents\GitHub\mrs-test-scripts\Headless Mode &amp; Sideloading\WalkAndUnGZ.bat" "%USERPROFILE%\AppData\Local\Temp\OnboardLogs"\RTDC4064\2017-11-25</v>
      </c>
      <c r="AF228" s="235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/stypes="app*4064*20171124*" /stext=" 16:.+((SYSTEM_STATE.+slice.+state.+changed )|(ment ac)|(multiple cpu faults)|(system.+state.+changed )|(\[timeout)|(PRM\|1\|D)|(kpr)|(kdp)|(train st.+moving)|(\|lc)|(penalty))"</v>
      </c>
      <c r="AG228" s="245" t="str">
        <f>DetSubdiv(A228)</f>
        <v>Shuttle/Test</v>
      </c>
      <c r="AH228" s="237" t="str">
        <f t="shared" si="64"/>
        <v>"%USERPROFILE%\Documents\GitHub\eaglep3\Utilities\RefineRTDCRunTimes.py" --tripid 51-24 --locoid 4064 --swversion DE.1.0.9.0 --startMP 204:1503 --initTime 2017-11-24T08:53:51 --startdatetime 2017-11-24T09:28:22 --delay 102 --endMP 204:3550 --enddatetime 2017-11-24T09:39:51 --enforcementcount 0 &gt;&gt;%USERPROFILE%\Documents\GitHub\eaglep3-reporting\EC\2017-11-24-refined-times.txt</v>
      </c>
      <c r="AI228" s="239" t="str">
        <f t="shared" si="65"/>
        <v>echo {"issue":{"subject":"","project_id":79,"tracker_id":40,"status_id":1,"priority_id":2,"assigned_to_id":338,"start_date":"2017-11-24","description":"","custom_fields":[{"id":1,"name":"Subdivision","value":"Shuttle/Test"},{"id":4,"name":"Milepost","value":"0.355"},{"id":17,"name":"Train ID","value":"51-24"},{"id":16,"name":"Locomotive ID","value":"4064"},{"id":130,"name":"Impact","value":""},{"id":150,"name":"Time of Event (Mountain Time)","value":"09:39:51"},{"id":151,"name":"Denver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4"/>
      <c r="AK228" s="232"/>
      <c r="AL228" s="232"/>
      <c r="AM228" s="241" t="str">
        <f t="shared" si="66"/>
        <v>start /low /b %USERPROFILE%\Documents\GitHub\eaglep3\Utilities\DownloadLogsFromS3.py --loco 4064 --day 2017-11-24</v>
      </c>
      <c r="AN228" s="242" t="str">
        <f t="shared" si="6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16:39:51"},{"id":29,"name":"Sharepoint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1" t="str">
        <f t="shared" si="68"/>
        <v>https://d0f6bd738d7f1b3e5a7ca70fe4ff75f0.us-east-1.aws.found.io/app/kibana#/discover/Steve-Slow-Train-Analysis-(2080s-and-2083s)?_g=(refreshInterval:(display:Off,pause:!f,section:0,value:0),time:(from:'2017-11-24T07:53:51-0700',mode:absolute,to:'2017-11-24T10:39:51-0700'))&amp;_a=(columns:!('Message%20ID',Summary),filters:!(),index:'emp_*',interval:auto,query:(query_string:(analyze_wildcard:!t,query:'%22rtdc.l.rtdc.4064%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30" t="s">
        <v>664</v>
      </c>
      <c r="B229" s="226">
        <v>4034</v>
      </c>
      <c r="C229" s="228" t="s">
        <v>192</v>
      </c>
      <c r="D229" s="228" t="s">
        <v>1058</v>
      </c>
      <c r="E229" s="227">
        <v>43063.393136574072</v>
      </c>
      <c r="F229" s="227">
        <v>43063.394699074073</v>
      </c>
      <c r="G229" s="226">
        <v>83</v>
      </c>
      <c r="H229" s="228" t="s">
        <v>1043</v>
      </c>
      <c r="I229" s="227">
        <v>43063.402673611112</v>
      </c>
      <c r="J229" s="226">
        <v>0</v>
      </c>
      <c r="K229" s="238" t="str">
        <f>IF(ISEVEN(B229),(B229-1)&amp;"/"&amp;B229,B229&amp;"/"&amp;(B229+1))</f>
        <v>4033/4034</v>
      </c>
      <c r="L229" s="246" t="str">
        <f>VLOOKUP(A229,'Trips&amp;Operators'!$C$1:$G$99911,5,FALSE)</f>
        <v>SPECTOR MICHAEL</v>
      </c>
      <c r="M229" s="225">
        <f>I229-F229</f>
        <v>7.9745370385353453E-3</v>
      </c>
      <c r="N229" s="226">
        <f>24*60*SUM($M229:$M229)</f>
        <v>11.483333335490897</v>
      </c>
      <c r="O229" s="226"/>
      <c r="P229" s="226"/>
      <c r="Q229" s="229"/>
      <c r="R229" s="243"/>
      <c r="S229" s="250">
        <f>1/IF(AG229="EC",12,1)*SUM(U229:U229)</f>
        <v>1</v>
      </c>
      <c r="T229" s="243" t="str">
        <f>IF(ISEVEN(LEFT(AD229,4)),"Southbound","NorthBound")</f>
        <v>NorthBound</v>
      </c>
      <c r="U229" s="24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49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-11-24T08:26:07-0700',mode:absolute,to:'2017-11-24T10:39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9" s="248" t="str">
        <f>IF(AA229&lt;VLOOKUP(AG229,Variables!$AC$3:$AD$8,2,FALSE),"Y","N")</f>
        <v>Y</v>
      </c>
      <c r="X229" s="248">
        <f>VALUE(LEFT(AD229,4))-VALUE(LEFT(AD228,4))</f>
        <v>0</v>
      </c>
      <c r="Y229" s="248">
        <f>RIGHT(D229,LEN(D229)-4)/10000</f>
        <v>0.15160000000000001</v>
      </c>
      <c r="Z229" s="248">
        <f>RIGHT(H229,LEN(H229)-4)/10000</f>
        <v>2.3346</v>
      </c>
      <c r="AA229" s="248">
        <f>ABS(Z229-Y229)</f>
        <v>2.1829999999999998</v>
      </c>
      <c r="AB229" s="234" t="e">
        <f>VLOOKUP(A229,Enforcements!$C$7:$K$9,8,0)</f>
        <v>#N/A</v>
      </c>
      <c r="AC229" s="233" t="e">
        <f>VLOOKUP(A229,Enforcements!$C$7:$E$9,3,0)</f>
        <v>#N/A</v>
      </c>
      <c r="AD229" s="244">
        <f>VALUE(LEFT(A229,LEN(A229)-3))</f>
        <v>51</v>
      </c>
      <c r="AE229" s="236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s3://rtdc.mdm.uploadarchive.raw/RTDC4034/ "%USERPROFILE%\AppData\Local\Temp\OnboardLogs"\RTDC4034\2017-11-24 --exclude "*" --recursive --include "*20171124*" &amp; "%USERPROFILE%\Documents\GitHub\mrs-test-scripts\Headless Mode &amp; Sideloading\WalkAndUnGZ.bat" "%USERPROFILE%\AppData\Local\Temp\OnboardLogs"\RTDC4034\2017-11-24 &amp; aws s3 cp s3://rtdc.mdm.uploadarchive.raw/RTDC4034/ "%USERPROFILE%\AppData\Local\Temp\OnboardLogs"\RTDC4034\2017-11-25 --exclude "*" --recursive --include "*20171125*" &amp; "%USERPROFILE%\Documents\GitHub\mrs-test-scripts\Headless Mode &amp; Sideloading\WalkAndUnGZ.bat" "%USERPROFILE%\AppData\Local\Temp\OnboardLogs"\RTDC4034\2017-11-25</v>
      </c>
      <c r="AF229" s="235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/stypes="app*4034*20171124*" /stext=" 16:.+((SYSTEM_STATE.+slice.+state.+changed )|(ment ac)|(multiple cpu faults)|(system.+state.+changed )|(\[timeout)|(PRM\|1\|D)|(kpr)|(kdp)|(train st.+moving)|(\|lc)|(penalty))"</v>
      </c>
      <c r="AG229" s="245" t="str">
        <f>DetSubdiv(A229)</f>
        <v>Shuttle/Test</v>
      </c>
      <c r="AH229" s="237" t="str">
        <f t="shared" si="64"/>
        <v>"%USERPROFILE%\Documents\GitHub\eaglep3\Utilities\RefineRTDCRunTimes.py" --tripid 51-24 --locoid 4034 --swversion DE.1.0.9.0 --startMP 204:1516 --initTime 2017-11-24T09:26:07 --startdatetime 2017-11-24T09:28:22 --delay 83 --endMP 300:23346 --enddatetime 2017-11-24T09:39:51 --enforcementcount 0 &gt;&gt;%USERPROFILE%\Documents\GitHub\eaglep3-reporting\EC\2017-11-24-refined-times.txt</v>
      </c>
      <c r="AI229" s="239" t="str">
        <f t="shared" si="65"/>
        <v>echo {"issue":{"subject":"","project_id":79,"tracker_id":40,"status_id":1,"priority_id":2,"assigned_to_id":338,"start_date":"2017-11-24","description":"","custom_fields":[{"id":1,"name":"Subdivision","value":"Shuttle/Test"},{"id":4,"name":"Milepost","value":"2.3346"},{"id":17,"name":"Train ID","value":"51-24"},{"id":16,"name":"Locomotive ID","value":"4034"},{"id":130,"name":"Impact","value":""},{"id":150,"name":"Time of Event (Mountain Time)","value":"09:39:51"},{"id":151,"name":"Denver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4"/>
      <c r="AK229" s="232"/>
      <c r="AL229" s="232"/>
      <c r="AM229" s="241" t="str">
        <f t="shared" si="66"/>
        <v>start /low /b %USERPROFILE%\Documents\GitHub\eaglep3\Utilities\DownloadLogsFromS3.py --loco 4034 --day 2017-11-24</v>
      </c>
      <c r="AN229" s="242" t="str">
        <f t="shared" si="6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16:39:51"},{"id":29,"name":"Sharepoint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1" t="str">
        <f t="shared" si="68"/>
        <v>https://d0f6bd738d7f1b3e5a7ca70fe4ff75f0.us-east-1.aws.found.io/app/kibana#/discover/Steve-Slow-Train-Analysis-(2080s-and-2083s)?_g=(refreshInterval:(display:Off,pause:!f,section:0,value:0),time:(from:'2017-11-24T08:26:07-0700',mode:absolute,to:'2017-11-24T10:39:51-0700'))&amp;_a=(columns:!('Message%20ID',Summary),filters:!(),index:'emp_*',interval:auto,query:(query_string:(analyze_wildcard:!t,query:'%22rtdc.l.rtdc.4034%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230" t="s">
        <v>791</v>
      </c>
      <c r="B230" s="226">
        <v>4017</v>
      </c>
      <c r="C230" s="228" t="s">
        <v>192</v>
      </c>
      <c r="D230" s="228" t="s">
        <v>1059</v>
      </c>
      <c r="E230" s="227">
        <v>43063.458124999997</v>
      </c>
      <c r="F230" s="227">
        <v>25568.708333333332</v>
      </c>
      <c r="G230" s="226">
        <v>58</v>
      </c>
      <c r="H230" s="228" t="s">
        <v>1060</v>
      </c>
      <c r="I230" s="227">
        <v>25568.708333333332</v>
      </c>
      <c r="J230" s="226">
        <v>0</v>
      </c>
      <c r="K230" s="238" t="str">
        <f>IF(ISEVEN(B230),(B230-1)&amp;"/"&amp;B230,B230&amp;"/"&amp;(B230+1))</f>
        <v>4017/4018</v>
      </c>
      <c r="L230" s="246" t="str">
        <f>VLOOKUP(A230,'Trips&amp;Operators'!$C$1:$G$99911,5,FALSE)</f>
        <v>DE LA ROSA ALEX</v>
      </c>
      <c r="M230" s="225">
        <f>I230-F230</f>
        <v>0</v>
      </c>
      <c r="N230" s="226">
        <f>24*60*SUM($M230:$M230)</f>
        <v>0</v>
      </c>
      <c r="O230" s="226"/>
      <c r="P230" s="226"/>
      <c r="Q230" s="229"/>
      <c r="R230" s="243"/>
      <c r="S230" s="250">
        <f>1/IF(AG230="EC",12,1)*SUM(U230:U230)</f>
        <v>0</v>
      </c>
      <c r="T230" s="243" t="str">
        <f>IF(ISEVEN(LEFT(AD230,4)),"Southbound","NorthBound")</f>
        <v>Southbound</v>
      </c>
      <c r="U230" s="24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9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-11-24T09:59:42-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0" s="248" t="str">
        <f>IF(AA230&lt;VLOOKUP(AG230,Variables!$AC$3:$AD$8,2,FALSE),"Y","N")</f>
        <v>Y</v>
      </c>
      <c r="X230" s="248">
        <f>VALUE(LEFT(AD230,4))-VALUE(LEFT(AD229,4))</f>
        <v>3</v>
      </c>
      <c r="Y230" s="248">
        <f>RIGHT(D230,LEN(D230)-4)/10000</f>
        <v>0.53720000000000001</v>
      </c>
      <c r="Z230" s="248">
        <f>RIGHT(H230,LEN(H230)-4)/10000</f>
        <v>0.53359999999999996</v>
      </c>
      <c r="AA230" s="248">
        <f>ABS(Z230-Y230)</f>
        <v>3.6000000000000476E-3</v>
      </c>
      <c r="AB230" s="234" t="e">
        <f>VLOOKUP(A230,Enforcements!$C$7:$K$9,8,0)</f>
        <v>#N/A</v>
      </c>
      <c r="AC230" s="233" t="e">
        <f>VLOOKUP(A230,Enforcements!$C$7:$E$9,3,0)</f>
        <v>#N/A</v>
      </c>
      <c r="AD230" s="244">
        <f>VALUE(LEFT(A230,LEN(A230)-3))</f>
        <v>54</v>
      </c>
      <c r="AE230" s="236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s3://rtdc.mdm.uploadarchive.raw/RTDC4017/ "%USERPROFILE%\AppData\Local\Temp\OnboardLogs"\RTDC4017\1969-12-31 --exclude "*" --recursive --include "*19691231*" &amp; "%USERPROFILE%\Documents\GitHub\mrs-test-scripts\Headless Mode &amp; Sideloading\WalkAndUnGZ.bat" "%USERPROFILE%\AppData\Local\Temp\OnboardLogs"\RTDC4017\1969-12-31 &amp; aws s3 cp s3://rtdc.mdm.uploadarchive.raw/RTDC4017/ "%USERPROFILE%\AppData\Local\Temp\OnboardLogs"\RTDC4017\1970-01-01 --exclude "*" --recursive --include "*19700101*" &amp; "%USERPROFILE%\Documents\GitHub\mrs-test-scripts\Headless Mode &amp; Sideloading\WalkAndUnGZ.bat" "%USERPROFILE%\AppData\Local\Temp\OnboardLogs"\RTDC4017\1970-01-01</v>
      </c>
      <c r="AF230" s="235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/stypes="app*4017*19700101*" /stext=" 00:.+((SYSTEM_STATE.+slice.+state.+changed )|(ment ac)|(multiple cpu faults)|(system.+state.+changed )|(\[timeout)|(PRM\|1\|D)|(kpr)|(kdp)|(train st.+moving)|(\|lc)|(penalty))"</v>
      </c>
      <c r="AG230" s="245" t="str">
        <f>DetSubdiv(A230)</f>
        <v>Shuttle/Test</v>
      </c>
      <c r="AH230" s="237" t="str">
        <f t="shared" si="64"/>
        <v>"%USERPROFILE%\Documents\GitHub\eaglep3\Utilities\RefineRTDCRunTimes.py" --tripid 54-24 --locoid 4017 --swversion DE.1.0.9.0 --startMP 300:5372 --initTime 2017-11-24T10:59:42 --startdatetime 1969-12-31T17:00:00 --delay 58 --endMP 300:5336 --enddatetime 1969-12-31T17:00:00 --enforcementcount 0 &gt;&gt;%USERPROFILE%\Documents\GitHub\eaglep3-reporting\EC\2017-11-24-refined-times.txt</v>
      </c>
      <c r="AI230" s="239" t="str">
        <f t="shared" si="65"/>
        <v>echo {"issue":{"subject":"","project_id":79,"tracker_id":40,"status_id":1,"priority_id":2,"assigned_to_id":338,"start_date":"1969-12-31","description":"","custom_fields":[{"id":1,"name":"Subdivision","value":"Shuttle/Test"},{"id":4,"name":"Milepost","value":"0.5336"},{"id":17,"name":"Train ID","value":"54-24"},{"id":16,"name":"Locomotive ID","value":"4017"},{"id":130,"name":"Impact","value":""},{"id":150,"name":"Time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4"/>
      <c r="AK230" s="232"/>
      <c r="AL230" s="232"/>
      <c r="AM230" s="241" t="str">
        <f t="shared" si="66"/>
        <v>start /low /b %USERPROFILE%\Documents\GitHub\eaglep3\Utilities\DownloadLogsFromS3.py --loco 4017 --day 1969-12-31</v>
      </c>
      <c r="AN230" s="242" t="str">
        <f t="shared" si="67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1" t="str">
        <f t="shared" si="68"/>
        <v>https://d0f6bd738d7f1b3e5a7ca70fe4ff75f0.us-east-1.aws.found.io/app/kibana#/discover/Steve-Slow-Train-Analysis-(2080s-and-2083s)?_g=(refreshInterval:(display:Off,pause:!f,section:0,value:0),time:(from:'2017-11-24T09:59:42-0700',mode:absolute,to:'1969-12-31T18:00:00-0700'))&amp;_a=(columns:!('Message%20ID',Summary),filters:!(),index:'emp_*',interval:auto,query:(query_string:(analyze_wildcard:!t,query:'%22rtdc.l.rtdc.4017%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230" t="s">
        <v>780</v>
      </c>
      <c r="B231" s="226">
        <v>4018</v>
      </c>
      <c r="C231" s="228" t="s">
        <v>192</v>
      </c>
      <c r="D231" s="228" t="s">
        <v>1061</v>
      </c>
      <c r="E231" s="227">
        <v>43063.450254629628</v>
      </c>
      <c r="F231" s="227">
        <v>43063.453425925924</v>
      </c>
      <c r="G231" s="226">
        <v>60</v>
      </c>
      <c r="H231" s="228" t="s">
        <v>1062</v>
      </c>
      <c r="I231" s="227">
        <v>43063.456782407404</v>
      </c>
      <c r="J231" s="226">
        <v>0</v>
      </c>
      <c r="K231" s="238" t="str">
        <f>IF(ISEVEN(B231),(B231-1)&amp;"/"&amp;B231,B231&amp;"/"&amp;(B231+1))</f>
        <v>4017/4018</v>
      </c>
      <c r="L231" s="246" t="str">
        <f>VLOOKUP(A231,'Trips&amp;Operators'!$C$1:$G$99911,5,FALSE)</f>
        <v>DE LA ROSA ALEX</v>
      </c>
      <c r="M231" s="225">
        <f>I231-F231</f>
        <v>3.3564814802957699E-3</v>
      </c>
      <c r="N231" s="226">
        <f>24*60*SUM($M231:$M231)</f>
        <v>4.8333333316259086</v>
      </c>
      <c r="O231" s="226"/>
      <c r="P231" s="226"/>
      <c r="Q231" s="229"/>
      <c r="R231" s="243"/>
      <c r="S231" s="250">
        <f>1/IF(AG231="EC",12,1)*SUM(U231:U231)</f>
        <v>0</v>
      </c>
      <c r="T231" s="243" t="str">
        <f>IF(ISEVEN(LEFT(AD231,4)),"Southbound","NorthBound")</f>
        <v>NorthBound</v>
      </c>
      <c r="U231" s="24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9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-11-24T09:48:22-0700',mode:absolute,to:'2017-11-24T11:57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1" s="248" t="str">
        <f>IF(AA231&lt;VLOOKUP(AG231,Variables!$AC$3:$AD$8,2,FALSE),"Y","N")</f>
        <v>Y</v>
      </c>
      <c r="X231" s="248">
        <f>VALUE(LEFT(AD231,4))-VALUE(LEFT(AD230,4))</f>
        <v>1</v>
      </c>
      <c r="Y231" s="248">
        <f>RIGHT(D231,LEN(D231)-4)/10000</f>
        <v>0.12590000000000001</v>
      </c>
      <c r="Z231" s="248">
        <f>RIGHT(H231,LEN(H231)-4)/10000</f>
        <v>0.54900000000000004</v>
      </c>
      <c r="AA231" s="248">
        <f>ABS(Z231-Y231)</f>
        <v>0.42310000000000003</v>
      </c>
      <c r="AB231" s="234" t="e">
        <f>VLOOKUP(A231,Enforcements!$C$7:$K$9,8,0)</f>
        <v>#N/A</v>
      </c>
      <c r="AC231" s="233" t="e">
        <f>VLOOKUP(A231,Enforcements!$C$7:$E$9,3,0)</f>
        <v>#N/A</v>
      </c>
      <c r="AD231" s="244">
        <f>VALUE(LEFT(A231,LEN(A231)-3))</f>
        <v>55</v>
      </c>
      <c r="AE231" s="236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s3://rtdc.mdm.uploadarchive.raw/RTDC4018/ "%USERPROFILE%\AppData\Local\Temp\OnboardLogs"\RTDC4018\2017-11-24 --exclude "*" --recursive --include "*20171124*" &amp; "%USERPROFILE%\Documents\GitHub\mrs-test-scripts\Headless Mode &amp; Sideloading\WalkAndUnGZ.bat" "%USERPROFILE%\AppData\Local\Temp\OnboardLogs"\RTDC4018\2017-11-24 &amp; aws s3 cp s3://rtdc.mdm.uploadarchive.raw/RTDC4018/ "%USERPROFILE%\AppData\Local\Temp\OnboardLogs"\RTDC4018\2017-11-25 --exclude "*" --recursive --include "*20171125*" &amp; "%USERPROFILE%\Documents\GitHub\mrs-test-scripts\Headless Mode &amp; Sideloading\WalkAndUnGZ.bat" "%USERPROFILE%\AppData\Local\Temp\OnboardLogs"\RTDC4018\2017-11-25</v>
      </c>
      <c r="AF231" s="235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/stypes="app*4018*20171124*" /stext=" 17:.+((SYSTEM_STATE.+slice.+state.+changed )|(ment ac)|(multiple cpu faults)|(system.+state.+changed )|(\[timeout)|(PRM\|1\|D)|(kpr)|(kdp)|(train st.+moving)|(\|lc)|(penalty))"</v>
      </c>
      <c r="AG231" s="245" t="str">
        <f>DetSubdiv(A231)</f>
        <v>Shuttle/Test</v>
      </c>
      <c r="AH231" s="237" t="str">
        <f t="shared" si="64"/>
        <v>"%USERPROFILE%\Documents\GitHub\eaglep3\Utilities\RefineRTDCRunTimes.py" --tripid 55-24 --locoid 4018 --swversion DE.1.0.9.0 --startMP 204:1259 --initTime 2017-11-24T10:48:22 --startdatetime 2017-11-24T10:52:56 --delay 60 --endMP 300:5490 --enddatetime 2017-11-24T10:57:46 --enforcementcount 0 &gt;&gt;%USERPROFILE%\Documents\GitHub\eaglep3-reporting\EC\2017-11-24-refined-times.txt</v>
      </c>
      <c r="AI231" s="239" t="str">
        <f t="shared" si="65"/>
        <v>echo {"issue":{"subject":"","project_id":79,"tracker_id":40,"status_id":1,"priority_id":2,"assigned_to_id":338,"start_date":"2017-11-24","description":"","custom_fields":[{"id":1,"name":"Subdivision","value":"Shuttle/Test"},{"id":4,"name":"Milepost","value":"0.549"},{"id":17,"name":"Train ID","value":"55-24"},{"id":16,"name":"Locomotive ID","value":"4018"},{"id":130,"name":"Impact","value":""},{"id":150,"name":"Time of Event (Mountain Time)","value":"10:57:46"},{"id":151,"name":"Denver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4"/>
      <c r="AK231" s="232"/>
      <c r="AL231" s="232"/>
      <c r="AM231" s="241" t="str">
        <f t="shared" si="66"/>
        <v>start /low /b %USERPROFILE%\Documents\GitHub\eaglep3\Utilities\DownloadLogsFromS3.py --loco 4018 --day 2017-11-24</v>
      </c>
      <c r="AN231" s="242" t="str">
        <f t="shared" si="6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17:57:46"},{"id":29,"name":"Sharepoint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1" t="str">
        <f t="shared" si="68"/>
        <v>https://d0f6bd738d7f1b3e5a7ca70fe4ff75f0.us-east-1.aws.found.io/app/kibana#/discover/Steve-Slow-Train-Analysis-(2080s-and-2083s)?_g=(refreshInterval:(display:Off,pause:!f,section:0,value:0),time:(from:'2017-11-24T09:48:22-0700',mode:absolute,to:'2017-11-24T11:57:46-0700'))&amp;_a=(columns:!('Message%20ID',Summary),filters:!(),index:'emp_*',interval:auto,query:(query_string:(analyze_wildcard:!t,query:'%22rtdc.l.rtdc.4018%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230" t="s">
        <v>780</v>
      </c>
      <c r="B232" s="226">
        <v>4008</v>
      </c>
      <c r="C232" s="228" t="s">
        <v>192</v>
      </c>
      <c r="D232" s="228" t="s">
        <v>538</v>
      </c>
      <c r="E232" s="227">
        <v>43063.435231481482</v>
      </c>
      <c r="F232" s="227">
        <v>43063.453425925924</v>
      </c>
      <c r="G232" s="226">
        <v>74</v>
      </c>
      <c r="H232" s="228" t="s">
        <v>1063</v>
      </c>
      <c r="I232" s="227">
        <v>43063.456782407404</v>
      </c>
      <c r="J232" s="226">
        <v>0</v>
      </c>
      <c r="K232" s="238" t="str">
        <f>IF(ISEVEN(B232),(B232-1)&amp;"/"&amp;B232,B232&amp;"/"&amp;(B232+1))</f>
        <v>4007/4008</v>
      </c>
      <c r="L232" s="246" t="str">
        <f>VLOOKUP(A232,'Trips&amp;Operators'!$C$1:$G$99911,5,FALSE)</f>
        <v>DE LA ROSA ALEX</v>
      </c>
      <c r="M232" s="225">
        <f>I232-F232</f>
        <v>3.3564814802957699E-3</v>
      </c>
      <c r="N232" s="226">
        <f>24*60*SUM($M232:$M232)</f>
        <v>4.8333333316259086</v>
      </c>
      <c r="O232" s="226"/>
      <c r="P232" s="226"/>
      <c r="Q232" s="229"/>
      <c r="R232" s="243"/>
      <c r="S232" s="250">
        <f>1/IF(AG232="EC",12,1)*SUM(U232:U232)</f>
        <v>0</v>
      </c>
      <c r="T232" s="243" t="str">
        <f>IF(ISEVEN(LEFT(AD232,4)),"Southbound","NorthBound")</f>
        <v>NorthBound</v>
      </c>
      <c r="U232" s="24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9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-11-24T09:26:44-0700',mode:absolute,to:'2017-11-24T11:57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2" s="248" t="str">
        <f>IF(AA232&lt;VLOOKUP(AG232,Variables!$AC$3:$AD$8,2,FALSE),"Y","N")</f>
        <v>Y</v>
      </c>
      <c r="X232" s="248">
        <f>VALUE(LEFT(AD232,4))-VALUE(LEFT(AD231,4))</f>
        <v>0</v>
      </c>
      <c r="Y232" s="248">
        <f>RIGHT(D232,LEN(D232)-4)/10000</f>
        <v>0.11559999999999999</v>
      </c>
      <c r="Z232" s="248">
        <f>RIGHT(H232,LEN(H232)-4)/10000</f>
        <v>0.36470000000000002</v>
      </c>
      <c r="AA232" s="248">
        <f>ABS(Z232-Y232)</f>
        <v>0.24910000000000004</v>
      </c>
      <c r="AB232" s="234" t="e">
        <f>VLOOKUP(A232,Enforcements!$C$7:$K$9,8,0)</f>
        <v>#N/A</v>
      </c>
      <c r="AC232" s="233" t="e">
        <f>VLOOKUP(A232,Enforcements!$C$7:$E$9,3,0)</f>
        <v>#N/A</v>
      </c>
      <c r="AD232" s="244">
        <f>VALUE(LEFT(A232,LEN(A232)-3))</f>
        <v>55</v>
      </c>
      <c r="AE232" s="236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s3://rtdc.mdm.uploadarchive.raw/RTDC4008/ "%USERPROFILE%\AppData\Local\Temp\OnboardLogs"\RTDC4008\2017-11-24 --exclude "*" --recursive --include "*20171124*" &amp; "%USERPROFILE%\Documents\GitHub\mrs-test-scripts\Headless Mode &amp; Sideloading\WalkAndUnGZ.bat" "%USERPROFILE%\AppData\Local\Temp\OnboardLogs"\RTDC4008\2017-11-24 &amp; 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</v>
      </c>
      <c r="AF232" s="235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/stypes="app*4008*20171124*" /stext=" 17:.+((SYSTEM_STATE.+slice.+state.+changed )|(ment ac)|(multiple cpu faults)|(system.+state.+changed )|(\[timeout)|(PRM\|1\|D)|(kpr)|(kdp)|(train st.+moving)|(\|lc)|(penalty))"</v>
      </c>
      <c r="AG232" s="245" t="str">
        <f>DetSubdiv(A232)</f>
        <v>Shuttle/Test</v>
      </c>
      <c r="AH232" s="237" t="str">
        <f t="shared" si="64"/>
        <v>"%USERPROFILE%\Documents\GitHub\eaglep3\Utilities\RefineRTDCRunTimes.py" --tripid 55-24 --locoid 4008 --swversion DE.1.0.9.0 --startMP 204:1156 --initTime 2017-11-24T10:26:44 --startdatetime 2017-11-24T10:52:56 --delay 74 --endMP 204:3647 --enddatetime 2017-11-24T10:57:46 --enforcementcount 0 &gt;&gt;%USERPROFILE%\Documents\GitHub\eaglep3-reporting\EC\2017-11-24-refined-times.txt</v>
      </c>
      <c r="AI232" s="239" t="str">
        <f t="shared" si="65"/>
        <v>echo {"issue":{"subject":"","project_id":79,"tracker_id":40,"status_id":1,"priority_id":2,"assigned_to_id":338,"start_date":"2017-11-24","description":"","custom_fields":[{"id":1,"name":"Subdivision","value":"Shuttle/Test"},{"id":4,"name":"Milepost","value":"0.3647"},{"id":17,"name":"Train ID","value":"55-24"},{"id":16,"name":"Locomotive ID","value":"4008"},{"id":130,"name":"Impact","value":""},{"id":150,"name":"Time of Event (Mountain Time)","value":"10:57:46"},{"id":151,"name":"Denver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4"/>
      <c r="AK232" s="232"/>
      <c r="AL232" s="232"/>
      <c r="AM232" s="241" t="str">
        <f t="shared" si="66"/>
        <v>start /low /b %USERPROFILE%\Documents\GitHub\eaglep3\Utilities\DownloadLogsFromS3.py --loco 4008 --day 2017-11-24</v>
      </c>
      <c r="AN232" s="242" t="str">
        <f t="shared" si="6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17:57:46"},{"id":29,"name":"Sharepoint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1" t="str">
        <f t="shared" si="68"/>
        <v>https://d0f6bd738d7f1b3e5a7ca70fe4ff75f0.us-east-1.aws.found.io/app/kibana#/discover/Steve-Slow-Train-Analysis-(2080s-and-2083s)?_g=(refreshInterval:(display:Off,pause:!f,section:0,value:0),time:(from:'2017-11-24T09:26:44-0700',mode:absolute,to:'2017-11-24T11:57:46-0700'))&amp;_a=(columns:!('Message%20ID',Summary),filters:!(),index:'emp_*',interval:auto,query:(query_string:(analyze_wildcard:!t,query:'%22rtdc.l.rtdc.4008%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230" t="s">
        <v>794</v>
      </c>
      <c r="B233" s="226">
        <v>4008</v>
      </c>
      <c r="C233" s="228" t="s">
        <v>192</v>
      </c>
      <c r="D233" s="228" t="s">
        <v>1064</v>
      </c>
      <c r="E233" s="227">
        <v>43063.465555555558</v>
      </c>
      <c r="F233" s="227">
        <v>43063.526087962964</v>
      </c>
      <c r="G233" s="226">
        <v>55</v>
      </c>
      <c r="H233" s="228" t="s">
        <v>1065</v>
      </c>
      <c r="I233" s="227">
        <v>43063.527106481481</v>
      </c>
      <c r="J233" s="226">
        <v>0</v>
      </c>
      <c r="K233" s="238" t="str">
        <f>IF(ISEVEN(B233),(B233-1)&amp;"/"&amp;B233,B233&amp;"/"&amp;(B233+1))</f>
        <v>4007/4008</v>
      </c>
      <c r="L233" s="246" t="str">
        <f>VLOOKUP(A233,'Trips&amp;Operators'!$C$1:$G$99911,5,FALSE)</f>
        <v>MOSES BRADLEY</v>
      </c>
      <c r="M233" s="225">
        <f>I233-F233</f>
        <v>1.0185185165028088E-3</v>
      </c>
      <c r="N233" s="226">
        <f>24*60*SUM($M233:$M233)</f>
        <v>1.4666666637640446</v>
      </c>
      <c r="O233" s="226"/>
      <c r="P233" s="226"/>
      <c r="Q233" s="229"/>
      <c r="R233" s="243"/>
      <c r="S233" s="250">
        <f>1/IF(AG233="EC",12,1)*SUM(U233:U233)</f>
        <v>0</v>
      </c>
      <c r="T233" s="243" t="str">
        <f>IF(ISEVEN(LEFT(AD233,4)),"Southbound","NorthBound")</f>
        <v>NorthBound</v>
      </c>
      <c r="U233" s="247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9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-11-24T10:10:24-0700',mode:absolute,to:'2017-11-24T13:39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3" s="248" t="str">
        <f>IF(AA233&lt;VLOOKUP(AG233,Variables!$AC$3:$AD$8,2,FALSE),"Y","N")</f>
        <v>Y</v>
      </c>
      <c r="X233" s="248">
        <f>VALUE(LEFT(AD233,4))-VALUE(LEFT(AD232,4))</f>
        <v>6</v>
      </c>
      <c r="Y233" s="248">
        <f>RIGHT(D233,LEN(D233)-4)/10000</f>
        <v>3.2199999999999999E-2</v>
      </c>
      <c r="Z233" s="248">
        <f>RIGHT(H233,LEN(H233)-4)/10000</f>
        <v>0.36699999999999999</v>
      </c>
      <c r="AA233" s="248">
        <f>ABS(Z233-Y233)</f>
        <v>0.33479999999999999</v>
      </c>
      <c r="AB233" s="234" t="e">
        <f>VLOOKUP(A233,Enforcements!$C$7:$K$9,8,0)</f>
        <v>#N/A</v>
      </c>
      <c r="AC233" s="233" t="e">
        <f>VLOOKUP(A233,Enforcements!$C$7:$E$9,3,0)</f>
        <v>#N/A</v>
      </c>
      <c r="AD233" s="244">
        <f>VALUE(LEFT(A233,LEN(A233)-3))</f>
        <v>61</v>
      </c>
      <c r="AE233" s="236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s3://rtdc.mdm.uploadarchive.raw/RTDC4008/ "%USERPROFILE%\AppData\Local\Temp\OnboardLogs"\RTDC4008\2017-11-24 --exclude "*" --recursive --include "*20171124*" &amp; "%USERPROFILE%\Documents\GitHub\mrs-test-scripts\Headless Mode &amp; Sideloading\WalkAndUnGZ.bat" "%USERPROFILE%\AppData\Local\Temp\OnboardLogs"\RTDC4008\2017-11-24 &amp; 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</v>
      </c>
      <c r="AF233" s="235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/stypes="app*4008*20171124*" /stext=" 19:.+((SYSTEM_STATE.+slice.+state.+changed )|(ment ac)|(multiple cpu faults)|(system.+state.+changed )|(\[timeout)|(PRM\|1\|D)|(kpr)|(kdp)|(train st.+moving)|(\|lc)|(penalty))"</v>
      </c>
      <c r="AG233" s="245" t="str">
        <f>DetSubdiv(A233)</f>
        <v>Shuttle/Test</v>
      </c>
      <c r="AH233" s="237" t="str">
        <f t="shared" si="64"/>
        <v>"%USERPROFILE%\Documents\GitHub\eaglep3\Utilities\RefineRTDCRunTimes.py" --tripid 61-24 --locoid 4008 --swversion DE.1.0.9.0 --startMP 204:322 --initTime 2017-11-24T11:10:24 --startdatetime 2017-11-24T12:37:34 --delay 55 --endMP 204:3670 --enddatetime 2017-11-24T12:39:02 --enforcementcount 0 &gt;&gt;%USERPROFILE%\Documents\GitHub\eaglep3-reporting\EC\2017-11-24-refined-times.txt</v>
      </c>
      <c r="AI233" s="239" t="str">
        <f t="shared" si="65"/>
        <v>echo {"issue":{"subject":"","project_id":79,"tracker_id":40,"status_id":1,"priority_id":2,"assigned_to_id":338,"start_date":"2017-11-24","description":"","custom_fields":[{"id":1,"name":"Subdivision","value":"Shuttle/Test"},{"id":4,"name":"Milepost","value":"0.367"},{"id":17,"name":"Train ID","value":"61-24"},{"id":16,"name":"Locomotive ID","value":"4008"},{"id":130,"name":"Impact","value":""},{"id":150,"name":"Time of Event (Mountain Time)","value":"12:39:02"},{"id":151,"name":"Denver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4"/>
      <c r="AK233" s="232"/>
      <c r="AL233" s="232"/>
      <c r="AM233" s="241" t="str">
        <f t="shared" si="66"/>
        <v>start /low /b %USERPROFILE%\Documents\GitHub\eaglep3\Utilities\DownloadLogsFromS3.py --loco 4008 --day 2017-11-24</v>
      </c>
      <c r="AN233" s="242" t="str">
        <f t="shared" si="6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19:39:02"},{"id":29,"name":"Sharepoint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1" t="str">
        <f t="shared" si="68"/>
        <v>https://d0f6bd738d7f1b3e5a7ca70fe4ff75f0.us-east-1.aws.found.io/app/kibana#/discover/Steve-Slow-Train-Analysis-(2080s-and-2083s)?_g=(refreshInterval:(display:Off,pause:!f,section:0,value:0),time:(from:'2017-11-24T10:10:24-0700',mode:absolute,to:'2017-11-24T13:39:02-0700'))&amp;_a=(columns:!('Message%20ID',Summary),filters:!(),index:'emp_*',interval:auto,query:(query_string:(analyze_wildcard:!t,query:'%22rtdc.l.rtdc.4008%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230" t="s">
        <v>690</v>
      </c>
      <c r="B234" s="226">
        <v>4064</v>
      </c>
      <c r="C234" s="228" t="s">
        <v>192</v>
      </c>
      <c r="D234" s="228" t="s">
        <v>1066</v>
      </c>
      <c r="E234" s="227">
        <v>43063.130694444444</v>
      </c>
      <c r="F234" s="227">
        <v>43063.137731481482</v>
      </c>
      <c r="G234" s="226">
        <v>118</v>
      </c>
      <c r="H234" s="228" t="s">
        <v>1067</v>
      </c>
      <c r="I234" s="227">
        <v>43063.139074074075</v>
      </c>
      <c r="J234" s="226">
        <v>0</v>
      </c>
      <c r="K234" s="238" t="str">
        <f>IF(ISEVEN(B234),(B234-1)&amp;"/"&amp;B234,B234&amp;"/"&amp;(B234+1))</f>
        <v>4063/4064</v>
      </c>
      <c r="L234" s="246" t="str">
        <f>VLOOKUP(A234,'Trips&amp;Operators'!$C$1:$G$99911,5,FALSE)</f>
        <v>SPECTOR MICHAEL</v>
      </c>
      <c r="M234" s="225">
        <f>I234-F234</f>
        <v>1.3425925935734995E-3</v>
      </c>
      <c r="N234" s="226">
        <f>24*60*SUM($M234:$M234)</f>
        <v>1.9333333347458392</v>
      </c>
      <c r="O234" s="226"/>
      <c r="P234" s="226"/>
      <c r="Q234" s="229"/>
      <c r="R234" s="243"/>
      <c r="S234" s="250">
        <f>1/IF(AG234="EC",12,1)*SUM(U234:U234)</f>
        <v>0</v>
      </c>
      <c r="T234" s="243" t="str">
        <f>IF(ISEVEN(LEFT(AD234,4)),"Southbound","NorthBound")</f>
        <v>NorthBound</v>
      </c>
      <c r="U234" s="247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9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-11-24T02:08:12-0700',mode:absolute,to:'2017-11-24T04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4" s="248" t="str">
        <f>IF(AA234&lt;VLOOKUP(AG234,Variables!$AC$3:$AD$8,2,FALSE),"Y","N")</f>
        <v>Y</v>
      </c>
      <c r="X234" s="248">
        <f>VALUE(LEFT(AD234,4))-VALUE(LEFT(AD233,4))</f>
        <v>4</v>
      </c>
      <c r="Y234" s="248">
        <f>RIGHT(D234,LEN(D234)-4)/10000</f>
        <v>4.0599999999999997E-2</v>
      </c>
      <c r="Z234" s="248">
        <f>RIGHT(H234,LEN(H234)-4)/10000</f>
        <v>0.35520000000000002</v>
      </c>
      <c r="AA234" s="248">
        <f>ABS(Z234-Y234)</f>
        <v>0.31459999999999999</v>
      </c>
      <c r="AB234" s="234" t="e">
        <f>VLOOKUP(A234,Enforcements!$C$7:$K$9,8,0)</f>
        <v>#N/A</v>
      </c>
      <c r="AC234" s="233" t="e">
        <f>VLOOKUP(A234,Enforcements!$C$7:$E$9,3,0)</f>
        <v>#N/A</v>
      </c>
      <c r="AD234" s="244">
        <f>VALUE(LEFT(A234,LEN(A234)-3))</f>
        <v>65</v>
      </c>
      <c r="AE234" s="236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s3://rtdc.mdm.uploadarchive.raw/RTDC4064/ "%USERPROFILE%\AppData\Local\Temp\OnboardLogs"\RTDC4064\2017-11-24 --exclude "*" --recursive --include "*20171124*" &amp; "%USERPROFILE%\Documents\GitHub\mrs-test-scripts\Headless Mode &amp; Sideloading\WalkAndUnGZ.bat" "%USERPROFILE%\AppData\Local\Temp\OnboardLogs"\RTDC4064\2017-11-24 &amp; aws s3 cp s3://rtdc.mdm.uploadarchive.raw/RTDC4064/ "%USERPROFILE%\AppData\Local\Temp\OnboardLogs"\RTDC4064\2017-11-25 --exclude "*" --recursive --include "*20171125*" &amp; "%USERPROFILE%\Documents\GitHub\mrs-test-scripts\Headless Mode &amp; Sideloading\WalkAndUnGZ.bat" "%USERPROFILE%\AppData\Local\Temp\OnboardLogs"\RTDC4064\2017-11-25</v>
      </c>
      <c r="AF234" s="235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/stypes="app*4064*20171124*" /stext=" 10:.+((SYSTEM_STATE.+slice.+state.+changed )|(ment ac)|(multiple cpu faults)|(system.+state.+changed )|(\[timeout)|(PRM\|1\|D)|(kpr)|(kdp)|(train st.+moving)|(\|lc)|(penalty))"</v>
      </c>
      <c r="AG234" s="245" t="str">
        <f>DetSubdiv(A234)</f>
        <v>Shuttle/Test</v>
      </c>
      <c r="AH234" s="237" t="str">
        <f t="shared" si="64"/>
        <v>"%USERPROFILE%\Documents\GitHub\eaglep3\Utilities\RefineRTDCRunTimes.py" --tripid 65-24 --locoid 4064 --swversion DE.1.0.9.0 --startMP 204:406 --initTime 2017-11-24T03:08:12 --startdatetime 2017-11-24T03:18:20 --delay 118 --endMP 204:3552 --enddatetime 2017-11-24T03:20:16 --enforcementcount 0 &gt;&gt;%USERPROFILE%\Documents\GitHub\eaglep3-reporting\EC\2017-11-24-refined-times.txt</v>
      </c>
      <c r="AI234" s="239" t="str">
        <f t="shared" si="65"/>
        <v>echo {"issue":{"subject":"","project_id":79,"tracker_id":40,"status_id":1,"priority_id":2,"assigned_to_id":338,"start_date":"2017-11-24","description":"","custom_fields":[{"id":1,"name":"Subdivision","value":"Shuttle/Test"},{"id":4,"name":"Milepost","value":"0.3552"},{"id":17,"name":"Train ID","value":"65-24"},{"id":16,"name":"Locomotive ID","value":"4064"},{"id":130,"name":"Impact","value":""},{"id":150,"name":"Time of Event (Mountain Time)","value":"03:20:16"},{"id":151,"name":"Denver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4"/>
      <c r="AK234" s="232"/>
      <c r="AL234" s="232"/>
      <c r="AM234" s="241" t="str">
        <f t="shared" si="66"/>
        <v>start /low /b %USERPROFILE%\Documents\GitHub\eaglep3\Utilities\DownloadLogsFromS3.py --loco 4064 --day 2017-11-24</v>
      </c>
      <c r="AN234" s="242" t="str">
        <f t="shared" si="67"/>
        <v>echo {"issue":{"subject":"","project_id":30,"tracker_id":4,"status_id":1,"priority_id":1,"assigned_to_id":10,"start_date":"2017-11-24","description":"","custom_fields":[{"id":30,"name":"Category","value":"Issue"},{"id":3,"name":"Functional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UTC","value":"2017-11-24 10:20:16"},{"id":29,"name":"Sharepoint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1" t="str">
        <f t="shared" si="68"/>
        <v>https://d0f6bd738d7f1b3e5a7ca70fe4ff75f0.us-east-1.aws.found.io/app/kibana#/discover/Steve-Slow-Train-Analysis-(2080s-and-2083s)?_g=(refreshInterval:(display:Off,pause:!f,section:0,value:0),time:(from:'2017-11-24T02:08:12-0700',mode:absolute,to:'2017-11-24T04:20:16-0700'))&amp;_a=(columns:!('Message%20ID',Summary),filters:!(),index:'emp_*',interval:auto,query:(query_string:(analyze_wildcard:!t,query:'%22rtdc.l.rtdc.4064%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s="2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s="20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4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</sheetData>
  <autoFilter ref="A12:AG498">
    <sortState ref="A13:AG498">
      <sortCondition ref="AG13:AG234"/>
      <sortCondition ref="AD13:AD234"/>
    </sortState>
  </autoFilter>
  <sortState ref="A13:AN403">
    <sortCondition ref="AG13:AG403"/>
    <sortCondition ref="AD13:AD403"/>
  </sortState>
  <mergeCells count="1">
    <mergeCell ref="A11:P11"/>
  </mergeCells>
  <conditionalFormatting sqref="W11:W12 W504:X1048576 W13:X234">
    <cfRule type="cellIs" dxfId="10" priority="465" operator="equal">
      <formula>"Y"</formula>
    </cfRule>
  </conditionalFormatting>
  <conditionalFormatting sqref="X504:X1048576 X13:X234">
    <cfRule type="cellIs" dxfId="9" priority="448" operator="greaterThan">
      <formula>1</formula>
    </cfRule>
  </conditionalFormatting>
  <conditionalFormatting sqref="X504:X1048576 X12:X234">
    <cfRule type="cellIs" dxfId="8" priority="445" operator="equal">
      <formula>0</formula>
    </cfRule>
  </conditionalFormatting>
  <conditionalFormatting sqref="A13:S234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Values'!$C$2:$C$15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1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COUNTIF($O$7:$O$191,"=Y")</f>
        <v>3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COUNTA($O$7:$O$191)-O2</f>
        <v>12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1" t="str">
        <f>"Eagle P3 Braking Events - "&amp;TEXT(Variables!$A$2,"YYYY-mm-dd")</f>
        <v>Eagle P3 Braking Events - 2017-11-24</v>
      </c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43063.457696759258</v>
      </c>
      <c r="B7" s="30" t="s">
        <v>444</v>
      </c>
      <c r="C7" s="30" t="s">
        <v>665</v>
      </c>
      <c r="D7" s="30" t="s">
        <v>49</v>
      </c>
      <c r="E7" s="30" t="s">
        <v>183</v>
      </c>
      <c r="F7" s="42">
        <v>0</v>
      </c>
      <c r="G7" s="42">
        <v>152</v>
      </c>
      <c r="H7" s="42">
        <v>31050</v>
      </c>
      <c r="I7" s="42">
        <v>30878</v>
      </c>
      <c r="J7" s="30" t="s">
        <v>184</v>
      </c>
      <c r="K7" s="42">
        <v>30970</v>
      </c>
      <c r="L7" s="131" t="s">
        <v>51</v>
      </c>
      <c r="M7" s="132">
        <f>CONVERT((I7-K7)/10000,"mi","ft")*IF(L7="Increasing Mileposts (1)",-1,1)</f>
        <v>-48.576000000000001</v>
      </c>
      <c r="N7" s="133" t="str">
        <f>VLOOKUP(C7,'Trips&amp;Operators'!$C$1:$G$99911,5,FALSE)</f>
        <v>STARKS ANGELINA</v>
      </c>
      <c r="O7" s="175" t="s">
        <v>178</v>
      </c>
      <c r="P7" s="240" t="s">
        <v>344</v>
      </c>
      <c r="Q7" s="30"/>
      <c r="R7" s="81" t="str">
        <f>VLOOKUP(C7,'Train Runs'!$A$13:$AE$10157,31,0)</f>
        <v>aws s3 cp s3://rtdc.mdm.uploadarchive.raw/RTDC4009/ "%USERPROFILE%\AppData\Local\Temp\OnboardLogs"\RTDC4009\2017-11-24 --exclude "*" --recursive --include "*20171124*" &amp; "%USERPROFILE%\Documents\GitHub\mrs-test-scripts\Headless Mode &amp; Sideloading\WalkAndUnGZ.bat" "%USERPROFILE%\AppData\Local\Temp\OnboardLogs"\RTDC4009\2017-11-24 &amp; aws s3 cp s3://rtdc.mdm.uploadarchive.raw/RTDC4009/ "%USERPROFILE%\AppData\Local\Temp\OnboardLogs"\RTDC4009\2017-11-25 --exclude "*" --recursive --include "*20171125*" &amp; "%USERPROFILE%\Documents\GitHub\mrs-test-scripts\Headless Mode &amp; Sideloading\WalkAndUnGZ.bat" "%USERPROFILE%\AppData\Local\Temp\OnboardLogs"\RTDC4009\2017-11-25</v>
      </c>
      <c r="S7" s="84" t="str">
        <f>VLOOKUP(C7,'Train Runs'!$A$13:$AE$10157,22,0)</f>
        <v>https://d0f6bd738d7f1b3e5a7ca70fe4ff75f0.us-east-1.aws.found.io/app/kibana#/discover/Steve-Slow-Train-Analysis-(2080s-and-2083s)?_g=(refreshInterval:(display:Off,pause:!f,section:0,value:0),time:(from:'2017-11-24T09:25:02-0700',mode:absolute,to:'2017-11-24T12:11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/stypes="*4009*201711241*" /stext=" 17:.+((SYSTEM_STATE.+slice.+state.+changed )|(ment ac)|(multiple cpu faults)|(system.+state.+changed )|(\[timeout)|(PRM\|1\|D)|(kpr)|(kdp)|(train st.+moving)|(\|lc)|(penalty))"</v>
      </c>
      <c r="U7" s="9" t="str">
        <f>MID(B7,13,4)</f>
        <v>4009</v>
      </c>
      <c r="V7" s="31">
        <f>A7-utc_offset/24</f>
        <v>43063.749363425923</v>
      </c>
      <c r="W7" s="45" t="str">
        <f>DetSubdiv(C7)</f>
        <v>EC</v>
      </c>
      <c r="X7" s="22">
        <f>VALUE(LEFT(C7,LEN(C7)-3))</f>
        <v>148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Arrival","project_id":79,"tracker_id":40,"status_id":1,"priority_id":2,"assigned_to_id":338,"start_date":"2017-11-24","description":"","custom_fields":[{"id":1,"name":"Subdivision","value":"EC"},{"id":4,"name":"Milepost","value":"3.097"},{"id":17,"name":"Train ID","value":"148-24"},{"id":16,"name":"Locomotive ID","value":"4009"},{"id":130,"name":"Impact","value":""},{"id":150,"name":"Time of Event (Mountain Time)","value":"10:59:05"},{"id":151,"name":"Denver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/c/Users/stu/AppData/Local/Temp/OnboardLogs/RTDC4009 --include="*4009*201711241*"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"%USERPROFILE%\AppData\Local\Temp\OnboardLogs"\RTDC4009\*4009*201711241* &gt;&gt; 2017-11-24-SliceDisagreementCheck.txt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4009 --day 2017-11-24</v>
      </c>
    </row>
    <row r="8" spans="1:32" s="1" customFormat="1" x14ac:dyDescent="0.25">
      <c r="A8" s="31">
        <v>43063.391689814816</v>
      </c>
      <c r="B8" s="30" t="s">
        <v>555</v>
      </c>
      <c r="C8" s="30" t="s">
        <v>662</v>
      </c>
      <c r="D8" s="30" t="s">
        <v>49</v>
      </c>
      <c r="E8" s="30" t="s">
        <v>183</v>
      </c>
      <c r="F8" s="42">
        <v>0</v>
      </c>
      <c r="G8" s="42">
        <v>357</v>
      </c>
      <c r="H8" s="42">
        <v>32747</v>
      </c>
      <c r="I8" s="42">
        <v>33227</v>
      </c>
      <c r="J8" s="30" t="s">
        <v>184</v>
      </c>
      <c r="K8" s="42">
        <v>33137</v>
      </c>
      <c r="L8" s="131" t="s">
        <v>50</v>
      </c>
      <c r="M8" s="132">
        <f>CONVERT((I8-K8)/10000,"mi","ft")*IF(L8="Increasing Mileposts (1)",-1,1)</f>
        <v>-47.52</v>
      </c>
      <c r="N8" s="133" t="str">
        <f>VLOOKUP(C8,'Trips&amp;Operators'!$C$1:$G$99911,5,FALSE)</f>
        <v>NICHOLAS PLOYSA</v>
      </c>
      <c r="O8" s="175" t="s">
        <v>178</v>
      </c>
      <c r="P8" s="240" t="s">
        <v>344</v>
      </c>
      <c r="Q8" s="30"/>
      <c r="R8" s="81" t="str">
        <f>VLOOKUP(C8,'Train Runs'!$A$13:$AE$10157,31,0)</f>
        <v>aws s3 cp s3://rtdc.mdm.uploadarchive.raw/RTDC4064/ "%USERPROFILE%\AppData\Local\Temp\OnboardLogs"\RTDC4064\2017-11-24 --exclude "*" --recursive --include "*20171124*" &amp; "%USERPROFILE%\Documents\GitHub\mrs-test-scripts\Headless Mode &amp; Sideloading\WalkAndUnGZ.bat" "%USERPROFILE%\AppData\Local\Temp\OnboardLogs"\RTDC4064\2017-11-24 &amp; aws s3 cp s3://rtdc.mdm.uploadarchive.raw/RTDC4064/ "%USERPROFILE%\AppData\Local\Temp\OnboardLogs"\RTDC4064\2017-11-25 --exclude "*" --recursive --include "*20171125*" &amp; "%USERPROFILE%\Documents\GitHub\mrs-test-scripts\Headless Mode &amp; Sideloading\WalkAndUnGZ.bat" "%USERPROFILE%\AppData\Local\Temp\OnboardLogs"\RTDC4064\2017-11-25</v>
      </c>
      <c r="S8" s="84" t="str">
        <f>VLOOKUP(C8,'Train Runs'!$A$13:$AE$10157,22,0)</f>
        <v>https://d0f6bd738d7f1b3e5a7ca70fe4ff75f0.us-east-1.aws.found.io/app/kibana#/discover/Steve-Slow-Train-Analysis-(2080s-and-2083s)?_g=(refreshInterval:(display:Off,pause:!f,section:0,value:0),time:(from:'2017-11-24T08:13:52-0700',mode:absolute,to:'2017-11-24T10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/stypes="*4064*201711241*" /stext=" 16:.+((SYSTEM_STATE.+slice.+state.+changed )|(ment ac)|(multiple cpu faults)|(system.+state.+changed )|(\[timeout)|(PRM\|1\|D)|(kpr)|(kdp)|(train st.+moving)|(\|lc)|(penalty))"</v>
      </c>
      <c r="U8" s="9" t="str">
        <f>MID(B8,13,4)</f>
        <v>4064</v>
      </c>
      <c r="V8" s="31">
        <f>A8-utc_offset/24</f>
        <v>43063.683356481481</v>
      </c>
      <c r="W8" s="45" t="str">
        <f>DetSubdiv(C8)</f>
        <v>EC</v>
      </c>
      <c r="X8" s="229">
        <f>VALUE(LEFT(C8,LEN(C8)-3))</f>
        <v>145</v>
      </c>
      <c r="Y8" s="23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Arrival","project_id":79,"tracker_id":40,"status_id":1,"priority_id":2,"assigned_to_id":338,"start_date":"2017-11-24","description":"","custom_fields":[{"id":1,"name":"Subdivision","value":"EC"},{"id":4,"name":"Milepost","value":"3.3137"},{"id":17,"name":"Train ID","value":"145-24"},{"id":16,"name":"Locomotive ID","value":"4064"},{"id":130,"name":"Impact","value":""},{"id":150,"name":"Time of Event (Mountain Time)","value":"09:24:02"},{"id":151,"name":"Denver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2"/>
      <c r="AB8" s="232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/c/Users/stu/AppData/Local/Temp/OnboardLogs/RTDC4064 --include="*4064*201711241*"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"%USERPROFILE%\AppData\Local\Temp\OnboardLogs"\RTDC4064\*4064*201711241* &gt;&gt; 2017-11-24-SliceDisagreementCheck.txt</v>
      </c>
      <c r="AE8" s="144" t="str">
        <f t="shared" ref="AE8:AE21" si="1">"start /low /b "&amp;dls3logs&amp;" --loco "&amp;U8&amp;" --day "&amp;TEXT(V8,"YYYY-MM-DD")</f>
        <v>start /low /b %USERPROFILE%\Documents\GitHub\eaglep3\Utilities\DownloadLogsFromS3.py --loco 4064 --day 2017-11-24</v>
      </c>
    </row>
    <row r="9" spans="1:32" s="1" customFormat="1" x14ac:dyDescent="0.25">
      <c r="A9" s="31">
        <v>43063.715474537035</v>
      </c>
      <c r="B9" s="30" t="s">
        <v>447</v>
      </c>
      <c r="C9" s="30" t="s">
        <v>673</v>
      </c>
      <c r="D9" s="30" t="s">
        <v>49</v>
      </c>
      <c r="E9" s="30" t="s">
        <v>183</v>
      </c>
      <c r="F9" s="42">
        <v>170</v>
      </c>
      <c r="G9" s="42">
        <v>250</v>
      </c>
      <c r="H9" s="42">
        <v>34700</v>
      </c>
      <c r="I9" s="42">
        <v>34218</v>
      </c>
      <c r="J9" s="30" t="s">
        <v>184</v>
      </c>
      <c r="K9" s="42">
        <v>33257</v>
      </c>
      <c r="L9" s="131" t="s">
        <v>51</v>
      </c>
      <c r="M9" s="132">
        <f>CONVERT((I9-K9)/10000,"mi","ft")*IF(L9="Increasing Mileposts (1)",-1,1)</f>
        <v>507.40800000000002</v>
      </c>
      <c r="N9" s="133" t="str">
        <f>VLOOKUP(C9,'Trips&amp;Operators'!$C$1:$G$99911,5,FALSE)</f>
        <v>GONZALEZ ARMANDO</v>
      </c>
      <c r="O9" s="175" t="s">
        <v>178</v>
      </c>
      <c r="P9" s="240" t="s">
        <v>344</v>
      </c>
      <c r="Q9" s="30"/>
      <c r="R9" s="81" t="str">
        <f>VLOOKUP(C9,'Train Runs'!$A$13:$AE$10157,31,0)</f>
        <v>aws s3 cp s3://rtdc.mdm.uploadarchive.raw/RTDC4049/ "%USERPROFILE%\AppData\Local\Temp\OnboardLogs"\RTDC4049\2017-11-24 --exclude "*" --recursive --include "*20171124*" &amp; "%USERPROFILE%\Documents\GitHub\mrs-test-scripts\Headless Mode &amp; Sideloading\WalkAndUnGZ.bat" "%USERPROFILE%\AppData\Local\Temp\OnboardLogs"\RTDC4049\2017-11-24 &amp; aws s3 cp s3://rtdc.mdm.uploadarchive.raw/RTDC4049/ "%USERPROFILE%\AppData\Local\Temp\OnboardLogs"\RTDC4049\2017-11-25 --exclude "*" --recursive --include "*20171125*" &amp; "%USERPROFILE%\Documents\GitHub\mrs-test-scripts\Headless Mode &amp; Sideloading\WalkAndUnGZ.bat" "%USERPROFILE%\AppData\Local\Temp\OnboardLogs"\RTDC4049\2017-11-25</v>
      </c>
      <c r="S9" s="84" t="str">
        <f>VLOOKUP(C9,'Train Runs'!$A$13:$AE$10157,22,0)</f>
        <v>https://d0f6bd738d7f1b3e5a7ca70fe4ff75f0.us-east-1.aws.found.io/app/kibana#/discover/Steve-Slow-Train-Analysis-(2080s-and-2083s)?_g=(refreshInterval:(display:Off,pause:!f,section:0,value:0),time:(from:'2017-11-24T15:32:10-0700',mode:absolute,to:'2017-11-24T18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/stypes="*4049*201711250*" /stext=" 00:.+((SYSTEM_STATE.+slice.+state.+changed )|(ment ac)|(multiple cpu faults)|(system.+state.+changed )|(\[timeout)|(PRM\|1\|D)|(kpr)|(kdp)|(train st.+moving)|(\|lc)|(penalty))"</v>
      </c>
      <c r="U9" s="9" t="str">
        <f>MID(B9,13,4)</f>
        <v>4049</v>
      </c>
      <c r="V9" s="31">
        <f>A9-utc_offset/24</f>
        <v>43064.0071412037</v>
      </c>
      <c r="W9" s="45" t="str">
        <f>DetSubdiv(C9)</f>
        <v>EC</v>
      </c>
      <c r="X9" s="229">
        <f>VALUE(LEFT(C9,LEN(C9)-3))</f>
        <v>198</v>
      </c>
      <c r="Y9" s="23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Arrival","project_id":79,"tracker_id":40,"status_id":1,"priority_id":2,"assigned_to_id":338,"start_date":"2017-11-24","description":"","custom_fields":[{"id":1,"name":"Subdivision","value":"EC"},{"id":4,"name":"Milepost","value":"3.3257"},{"id":17,"name":"Train ID","value":"198-24"},{"id":16,"name":"Locomotive ID","value":"4049"},{"id":130,"name":"Impact","value":""},{"id":150,"name":"Time of Event (Mountain Time)","value":"17:10:17"},{"id":151,"name":"Denver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2"/>
      <c r="AB9" s="232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/c/Users/stu/AppData/Local/Temp/OnboardLogs/RTDC4049 --include="*4049*201711250*"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"%USERPROFILE%\AppData\Local\Temp\OnboardLogs"\RTDC4049\*4049*201711250* &gt;&gt; 2017-11-24-SliceDisagreementCheck.txt</v>
      </c>
      <c r="AE9" s="144" t="str">
        <f t="shared" si="1"/>
        <v>start /low /b %USERPROFILE%\Documents\GitHub\eaglep3\Utilities\DownloadLogsFromS3.py --loco 4049 --day 2017-11-25</v>
      </c>
    </row>
    <row r="10" spans="1:32" x14ac:dyDescent="0.25">
      <c r="A10" s="31">
        <v>43064.079155092593</v>
      </c>
      <c r="B10" s="30" t="s">
        <v>368</v>
      </c>
      <c r="C10" s="30" t="s">
        <v>677</v>
      </c>
      <c r="D10" s="30" t="s">
        <v>49</v>
      </c>
      <c r="E10" s="30" t="s">
        <v>183</v>
      </c>
      <c r="F10" s="42">
        <v>270</v>
      </c>
      <c r="G10" s="42">
        <v>321</v>
      </c>
      <c r="H10" s="42">
        <v>35989</v>
      </c>
      <c r="I10" s="42">
        <v>35257</v>
      </c>
      <c r="J10" s="30" t="s">
        <v>184</v>
      </c>
      <c r="K10" s="42">
        <v>33257</v>
      </c>
      <c r="L10" s="131" t="s">
        <v>51</v>
      </c>
      <c r="M10" s="132">
        <f>CONVERT((I10-K10)/10000,"mi","ft")*IF(L10="Increasing Mileposts (1)",-1,1)</f>
        <v>1056</v>
      </c>
      <c r="N10" s="133" t="str">
        <f>VLOOKUP(C10,'Trips&amp;Operators'!$C$1:$G$99911,5,FALSE)</f>
        <v>ELBAUM MIKE</v>
      </c>
      <c r="O10" s="175" t="s">
        <v>178</v>
      </c>
      <c r="P10" s="240" t="s">
        <v>344</v>
      </c>
      <c r="Q10" s="30"/>
      <c r="R10" s="81" t="str">
        <f>VLOOKUP(C10,'Train Runs'!$A$13:$AE$10157,31,0)</f>
        <v>aws s3 cp s3://rtdc.mdm.uploadarchive.raw/RTDC4035/ "%USERPROFILE%\AppData\Local\Temp\OnboardLogs"\RTDC4035\2017-11-25 --exclude "*" --recursive --include "*20171125*" &amp; "%USERPROFILE%\Documents\GitHub\mrs-test-scripts\Headless Mode &amp; Sideloading\WalkAndUnGZ.bat" "%USERPROFILE%\AppData\Local\Temp\OnboardLogs"\RTDC4035\2017-11-25 &amp; aws s3 cp s3://rtdc.mdm.uploadarchive.raw/RTDC4035/ "%USERPROFILE%\AppData\Local\Temp\OnboardLogs"\RTDC4035\2017-11-26 --exclude "*" --recursive --include "*20171126*" &amp; "%USERPROFILE%\Documents\GitHub\mrs-test-scripts\Headless Mode &amp; Sideloading\WalkAndUnGZ.bat" "%USERPROFILE%\AppData\Local\Temp\OnboardLogs"\RTDC4035\2017-11-26</v>
      </c>
      <c r="S10" s="84" t="str">
        <f>VLOOKUP(C10,'Train Runs'!$A$13:$AE$10157,22,0)</f>
        <v>https://d0f6bd738d7f1b3e5a7ca70fe4ff75f0.us-east-1.aws.found.io/app/kibana#/discover/Steve-Slow-Train-Analysis-(2080s-and-2083s)?_g=(refreshInterval:(display:Off,pause:!f,section:0,value:0),time:(from:'2017-11-25T00:06:23-0700',mode:absolute,to:'2017-11-25T03:03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/stypes="*4035*201711250*" /stext=" 08:.+((SYSTEM_STATE.+slice.+state.+changed )|(ment ac)|(multiple cpu faults)|(system.+state.+changed )|(\[timeout)|(PRM\|1\|D)|(kpr)|(kdp)|(train st.+moving)|(\|lc)|(penalty))"</v>
      </c>
      <c r="U10" s="9" t="str">
        <f>MID(B10,13,4)</f>
        <v>4035</v>
      </c>
      <c r="V10" s="31">
        <f>A10-utc_offset/24</f>
        <v>43064.370821759258</v>
      </c>
      <c r="W10" s="45" t="str">
        <f>DetSubdiv(C10)</f>
        <v>EC</v>
      </c>
      <c r="X10" s="229">
        <f>VALUE(LEFT(C10,LEN(C10)-3))</f>
        <v>244</v>
      </c>
      <c r="Y10" s="23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Arrival","project_id":79,"tracker_id":40,"status_id":1,"priority_id":2,"assigned_to_id":338,"start_date":"2017-11-25","description":"","custom_fields":[{"id":1,"name":"Subdivision","value":"EC"},{"id":4,"name":"Milepost","value":"3.3257"},{"id":17,"name":"Train ID","value":"244-24"},{"id":16,"name":"Locomotive ID","value":"4035"},{"id":130,"name":"Impact","value":""},{"id":150,"name":"Time of Event (Mountain Time)","value":"01:53:59"},{"id":151,"name":"Denver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2"/>
      <c r="AB10" s="232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/c/Users/stu/AppData/Local/Temp/OnboardLogs/RTDC4035 --include="*4035*201711250*"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"%USERPROFILE%\AppData\Local\Temp\OnboardLogs"\RTDC4035\*4035*201711250* &gt;&gt; 2017-11-24-SliceDisagreementCheck.txt</v>
      </c>
      <c r="AE10" s="144" t="str">
        <f t="shared" si="1"/>
        <v>start /low /b %USERPROFILE%\Documents\GitHub\eaglep3\Utilities\DownloadLogsFromS3.py --loco 4035 --day 2017-11-25</v>
      </c>
      <c r="AF10" s="1"/>
    </row>
    <row r="11" spans="1:32" x14ac:dyDescent="0.25">
      <c r="A11" s="31">
        <v>43063.517557870371</v>
      </c>
      <c r="B11" s="30" t="s">
        <v>554</v>
      </c>
      <c r="C11" s="30" t="s">
        <v>669</v>
      </c>
      <c r="D11" s="30" t="s">
        <v>49</v>
      </c>
      <c r="E11" s="30" t="s">
        <v>183</v>
      </c>
      <c r="F11" s="42">
        <v>490</v>
      </c>
      <c r="G11" s="42">
        <v>583</v>
      </c>
      <c r="H11" s="42">
        <v>49143</v>
      </c>
      <c r="I11" s="42">
        <v>47177</v>
      </c>
      <c r="J11" s="30" t="s">
        <v>184</v>
      </c>
      <c r="K11" s="42">
        <v>48048</v>
      </c>
      <c r="L11" s="131" t="s">
        <v>51</v>
      </c>
      <c r="M11" s="132">
        <f>CONVERT((I11-K11)/10000,"mi","ft")*IF(L11="Increasing Mileposts (1)",-1,1)</f>
        <v>-459.88799999999998</v>
      </c>
      <c r="N11" s="133" t="str">
        <f>VLOOKUP(C11,'Trips&amp;Operators'!$C$1:$G$99911,5,FALSE)</f>
        <v>NICHOLAS PLOYSA</v>
      </c>
      <c r="O11" s="175" t="s">
        <v>178</v>
      </c>
      <c r="P11" s="240" t="s">
        <v>344</v>
      </c>
      <c r="Q11" s="30"/>
      <c r="R11" s="81" t="str">
        <f>VLOOKUP(C11,'Train Runs'!$A$13:$AE$10157,31,0)</f>
        <v>aws s3 cp s3://rtdc.mdm.uploadarchive.raw/RTDC4063/ "%USERPROFILE%\AppData\Local\Temp\OnboardLogs"\RTDC4063\2017-11-24 --exclude "*" --recursive --include "*20171124*" &amp; "%USERPROFILE%\Documents\GitHub\mrs-test-scripts\Headless Mode &amp; Sideloading\WalkAndUnGZ.bat" "%USERPROFILE%\AppData\Local\Temp\OnboardLogs"\RTDC4063\2017-11-24 &amp; aws s3 cp s3://rtdc.mdm.uploadarchive.raw/RTDC4063/ "%USERPROFILE%\AppData\Local\Temp\OnboardLogs"\RTDC4063\2017-11-25 --exclude "*" --recursive --include "*20171125*" &amp; "%USERPROFILE%\Documents\GitHub\mrs-test-scripts\Headless Mode &amp; Sideloading\WalkAndUnGZ.bat" "%USERPROFILE%\AppData\Local\Temp\OnboardLogs"\RTDC4063\2017-11-25</v>
      </c>
      <c r="S11" s="84" t="str">
        <f>VLOOKUP(C11,'Train Runs'!$A$13:$AE$10157,22,0)</f>
        <v>https://d0f6bd738d7f1b3e5a7ca70fe4ff75f0.us-east-1.aws.found.io/app/kibana#/discover/Steve-Slow-Train-Analysis-(2080s-and-2083s)?_g=(refreshInterval:(display:Off,pause:!f,section:0,value:0),time:(from:'2017-11-24T10:37:43-0700',mode:absolute,to:'2017-11-24T13:37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/stypes="*4063*201711241*" /stext=" 19:.+((SYSTEM_STATE.+slice.+state.+changed )|(ment ac)|(multiple cpu faults)|(system.+state.+changed )|(\[timeout)|(PRM\|1\|D)|(kpr)|(kdp)|(train st.+moving)|(\|lc)|(penalty))"</v>
      </c>
      <c r="U11" s="9" t="str">
        <f>MID(B11,13,4)</f>
        <v>4063</v>
      </c>
      <c r="V11" s="31">
        <f>A11-utc_offset/24</f>
        <v>43063.809224537035</v>
      </c>
      <c r="W11" s="45" t="str">
        <f>DetSubdiv(C11)</f>
        <v>EC</v>
      </c>
      <c r="X11" s="229">
        <f>VALUE(LEFT(C11,LEN(C11)-3))</f>
        <v>160</v>
      </c>
      <c r="Y11" s="23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Arrival","project_id":79,"tracker_id":40,"status_id":1,"priority_id":2,"assigned_to_id":338,"start_date":"2017-11-24","description":"","custom_fields":[{"id":1,"name":"Subdivision","value":"EC"},{"id":4,"name":"Milepost","value":"4.8048"},{"id":17,"name":"Train ID","value":"160-24"},{"id":16,"name":"Locomotive ID","value":"4063"},{"id":130,"name":"Impact","value":""},{"id":150,"name":"Time of Event (Mountain Time)","value":"12:25:17"},{"id":151,"name":"Denver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2"/>
      <c r="AB11" s="232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/c/Users/stu/AppData/Local/Temp/OnboardLogs/RTDC4063 --include="*4063*201711241*"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"%USERPROFILE%\AppData\Local\Temp\OnboardLogs"\RTDC4063\*4063*201711241* &gt;&gt; 2017-11-24-SliceDisagreementCheck.txt</v>
      </c>
      <c r="AE11" s="144" t="str">
        <f t="shared" si="1"/>
        <v>start /low /b %USERPROFILE%\Documents\GitHub\eaglep3\Utilities\DownloadLogsFromS3.py --loco 4063 --day 2017-11-24</v>
      </c>
      <c r="AF11" s="1"/>
    </row>
    <row r="12" spans="1:32" x14ac:dyDescent="0.25">
      <c r="A12" s="31">
        <v>43063.531863425924</v>
      </c>
      <c r="B12" s="30" t="s">
        <v>670</v>
      </c>
      <c r="C12" s="30" t="s">
        <v>671</v>
      </c>
      <c r="D12" s="30" t="s">
        <v>49</v>
      </c>
      <c r="E12" s="30" t="s">
        <v>183</v>
      </c>
      <c r="F12" s="42">
        <v>520</v>
      </c>
      <c r="G12" s="42">
        <v>578</v>
      </c>
      <c r="H12" s="42">
        <v>57123</v>
      </c>
      <c r="I12" s="42">
        <v>59143</v>
      </c>
      <c r="J12" s="30" t="s">
        <v>184</v>
      </c>
      <c r="K12" s="42">
        <v>58783</v>
      </c>
      <c r="L12" s="131" t="s">
        <v>50</v>
      </c>
      <c r="M12" s="132">
        <f>CONVERT((I12-K12)/10000,"mi","ft")*IF(L12="Increasing Mileposts (1)",-1,1)</f>
        <v>-190.08</v>
      </c>
      <c r="N12" s="133" t="str">
        <f>VLOOKUP(C12,'Trips&amp;Operators'!$C$1:$G$99911,5,FALSE)</f>
        <v>BADERTSCHER DIANE</v>
      </c>
      <c r="O12" s="175" t="s">
        <v>178</v>
      </c>
      <c r="P12" s="240" t="s">
        <v>344</v>
      </c>
      <c r="Q12" s="30"/>
      <c r="R12" s="81" t="str">
        <f>VLOOKUP(C12,'Train Runs'!$A$13:$AE$10157,31,0)</f>
        <v>aws s3 cp s3://rtdc.mdm.uploadarchive.raw/RTDC4006/ "%USERPROFILE%\AppData\Local\Temp\OnboardLogs"\RTDC4006\2017-11-24 --exclude "*" --recursive --include "*20171124*" &amp; "%USERPROFILE%\Documents\GitHub\mrs-test-scripts\Headless Mode &amp; Sideloading\WalkAndUnGZ.bat" "%USERPROFILE%\AppData\Local\Temp\OnboardLogs"\RTDC4006\2017-11-24 &amp; aws s3 cp s3://rtdc.mdm.uploadarchive.raw/RTDC4006/ "%USERPROFILE%\AppData\Local\Temp\OnboardLogs"\RTDC4006\2017-11-25 --exclude "*" --recursive --include "*20171125*" &amp; "%USERPROFILE%\Documents\GitHub\mrs-test-scripts\Headless Mode &amp; Sideloading\WalkAndUnGZ.bat" "%USERPROFILE%\AppData\Local\Temp\OnboardLogs"\RTDC4006\2017-11-25</v>
      </c>
      <c r="S12" s="84" t="str">
        <f>VLOOKUP(C12,'Train Runs'!$A$13:$AE$10157,22,0)</f>
        <v>https://d0f6bd738d7f1b3e5a7ca70fe4ff75f0.us-east-1.aws.found.io/app/kibana#/discover/Steve-Slow-Train-Analysis-(2080s-and-2083s)?_g=(refreshInterval:(display:Off,pause:!f,section:0,value:0),time:(from:'2017-11-24T11:27:01-0700',mode:absolute,to:'2017-11-24T14:10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/stypes="*4006*201711241*" /stext=" 19:.+((SYSTEM_STATE.+slice.+state.+changed )|(ment ac)|(multiple cpu faults)|(system.+state.+changed )|(\[timeout)|(PRM\|1\|D)|(kpr)|(kdp)|(train st.+moving)|(\|lc)|(penalty))"</v>
      </c>
      <c r="U12" s="9" t="str">
        <f>MID(B12,13,4)</f>
        <v>4006</v>
      </c>
      <c r="V12" s="31">
        <f>A12-utc_offset/24</f>
        <v>43063.823530092588</v>
      </c>
      <c r="W12" s="45" t="str">
        <f>DetSubdiv(C12)</f>
        <v>EC</v>
      </c>
      <c r="X12" s="229">
        <f>VALUE(LEFT(C12,LEN(C12)-3))</f>
        <v>171</v>
      </c>
      <c r="Y12" s="23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Arrival","project_id":79,"tracker_id":40,"status_id":1,"priority_id":2,"assigned_to_id":338,"start_date":"2017-11-24","description":"","custom_fields":[{"id":1,"name":"Subdivision","value":"EC"},{"id":4,"name":"Milepost","value":"5.8783"},{"id":17,"name":"Train ID","value":"171-24"},{"id":16,"name":"Locomotive ID","value":"4006"},{"id":130,"name":"Impact","value":""},{"id":150,"name":"Time of Event (Mountain Time)","value":"12:45:53"},{"id":151,"name":"Denver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2"/>
      <c r="AB12" s="232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/c/Users/stu/AppData/Local/Temp/OnboardLogs/RTDC4006 --include="*4006*201711241*"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"%USERPROFILE%\AppData\Local\Temp\OnboardLogs"\RTDC4006\*4006*201711241* &gt;&gt; 2017-11-24-SliceDisagreementCheck.txt</v>
      </c>
      <c r="AE12" s="144" t="str">
        <f t="shared" si="1"/>
        <v>start /low /b %USERPROFILE%\Documents\GitHub\eaglep3\Utilities\DownloadLogsFromS3.py --loco 4006 --day 2017-11-24</v>
      </c>
      <c r="AF12" s="1"/>
    </row>
    <row r="13" spans="1:32" x14ac:dyDescent="0.25">
      <c r="A13" s="31">
        <v>43063.500138888892</v>
      </c>
      <c r="B13" s="30" t="s">
        <v>667</v>
      </c>
      <c r="C13" s="30" t="s">
        <v>668</v>
      </c>
      <c r="D13" s="30" t="s">
        <v>49</v>
      </c>
      <c r="E13" s="30" t="s">
        <v>183</v>
      </c>
      <c r="F13" s="42">
        <v>0</v>
      </c>
      <c r="G13" s="42">
        <v>375</v>
      </c>
      <c r="H13" s="42">
        <v>109511</v>
      </c>
      <c r="I13" s="42">
        <v>108784</v>
      </c>
      <c r="J13" s="30" t="s">
        <v>184</v>
      </c>
      <c r="K13" s="42">
        <v>109135</v>
      </c>
      <c r="L13" s="131" t="s">
        <v>51</v>
      </c>
      <c r="M13" s="132">
        <f>CONVERT((I13-K13)/10000,"mi","ft")*IF(L13="Increasing Mileposts (1)",-1,1)</f>
        <v>-185.328</v>
      </c>
      <c r="N13" s="133" t="str">
        <f>VLOOKUP(C13,'Trips&amp;Operators'!$C$1:$G$99911,5,FALSE)</f>
        <v>BADERTSCHER DIANE</v>
      </c>
      <c r="O13" s="175" t="s">
        <v>178</v>
      </c>
      <c r="P13" s="240" t="s">
        <v>344</v>
      </c>
      <c r="Q13" s="30"/>
      <c r="R13" s="81" t="str">
        <f>VLOOKUP(C13,'Train Runs'!$A$13:$AE$10157,31,0)</f>
        <v>aws s3 cp s3://rtdc.mdm.uploadarchive.raw/RTDC4005/ "%USERPROFILE%\AppData\Local\Temp\OnboardLogs"\RTDC4005\2017-11-24 --exclude "*" --recursive --include "*20171124*" &amp; "%USERPROFILE%\Documents\GitHub\mrs-test-scripts\Headless Mode &amp; Sideloading\WalkAndUnGZ.bat" "%USERPROFILE%\AppData\Local\Temp\OnboardLogs"\RTDC4005\2017-11-24 &amp; aws s3 cp s3://rtdc.mdm.uploadarchive.raw/RTDC4005/ "%USERPROFILE%\AppData\Local\Temp\OnboardLogs"\RTDC4005\2017-11-25 --exclude "*" --recursive --include "*20171125*" &amp; "%USERPROFILE%\Documents\GitHub\mrs-test-scripts\Headless Mode &amp; Sideloading\WalkAndUnGZ.bat" "%USERPROFILE%\AppData\Local\Temp\OnboardLogs"\RTDC4005\2017-11-25</v>
      </c>
      <c r="S13" s="84" t="str">
        <f>VLOOKUP(C13,'Train Runs'!$A$13:$AE$10157,22,0)</f>
        <v>https://d0f6bd738d7f1b3e5a7ca70fe4ff75f0.us-east-1.aws.found.io/app/kibana#/discover/Steve-Slow-Train-Analysis-(2080s-and-2083s)?_g=(refreshInterval:(display:Off,pause:!f,section:0,value:0),time:(from:'2017-11-24T10:34:11-0700',mode:absolute,to:'2017-11-24T13:24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/stypes="*4005*201711241*" /stext=" 19:.+((SYSTEM_STATE.+slice.+state.+changed )|(ment ac)|(multiple cpu faults)|(system.+state.+changed )|(\[timeout)|(PRM\|1\|D)|(kpr)|(kdp)|(train st.+moving)|(\|lc)|(penalty))"</v>
      </c>
      <c r="U13" s="9" t="str">
        <f>MID(B13,13,4)</f>
        <v>4005</v>
      </c>
      <c r="V13" s="31">
        <f>A13-utc_offset/24</f>
        <v>43063.791805555556</v>
      </c>
      <c r="W13" s="45" t="str">
        <f>DetSubdiv(C13)</f>
        <v>EC</v>
      </c>
      <c r="X13" s="229">
        <f>VALUE(LEFT(C13,LEN(C13)-3))</f>
        <v>158</v>
      </c>
      <c r="Y13" s="23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Arrival","project_id":79,"tracker_id":40,"status_id":1,"priority_id":2,"assigned_to_id":338,"start_date":"2017-11-24","description":"","custom_fields":[{"id":1,"name":"Subdivision","value":"EC"},{"id":4,"name":"Milepost","value":"10.9135"},{"id":17,"name":"Train ID","value":"158-24"},{"id":16,"name":"Locomotive ID","value":"4005"},{"id":130,"name":"Impact","value":""},{"id":150,"name":"Time of Event (Mountain Time)","value":"12:00:12"},{"id":151,"name":"Denver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2"/>
      <c r="AB13" s="232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/c/Users/stu/AppData/Local/Temp/OnboardLogs/RTDC4005 --include="*4005*201711241*"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"%USERPROFILE%\AppData\Local\Temp\OnboardLogs"\RTDC4005\*4005*201711241* &gt;&gt; 2017-11-24-SliceDisagreementCheck.txt</v>
      </c>
      <c r="AE13" s="144" t="str">
        <f t="shared" si="1"/>
        <v>start /low /b %USERPROFILE%\Documents\GitHub\eaglep3\Utilities\DownloadLogsFromS3.py --loco 4005 --day 2017-11-24</v>
      </c>
      <c r="AF13" s="1"/>
    </row>
    <row r="14" spans="1:32" x14ac:dyDescent="0.25">
      <c r="A14" s="31">
        <v>43063.317175925928</v>
      </c>
      <c r="B14" s="30" t="s">
        <v>660</v>
      </c>
      <c r="C14" s="30" t="s">
        <v>661</v>
      </c>
      <c r="D14" s="30" t="s">
        <v>95</v>
      </c>
      <c r="E14" s="30" t="s">
        <v>190</v>
      </c>
      <c r="F14" s="42">
        <v>300</v>
      </c>
      <c r="G14" s="42">
        <v>364</v>
      </c>
      <c r="H14" s="42">
        <v>20392</v>
      </c>
      <c r="I14" s="42">
        <v>21534</v>
      </c>
      <c r="J14" s="30" t="s">
        <v>191</v>
      </c>
      <c r="K14" s="42">
        <v>20338</v>
      </c>
      <c r="L14" s="131" t="s">
        <v>50</v>
      </c>
      <c r="M14" s="132">
        <f>CONVERT((I14-K14)/10000,"mi","ft")*IF(L14="Increasing Mileposts (1)",-1,1)</f>
        <v>-631.48800000000006</v>
      </c>
      <c r="N14" s="133" t="str">
        <f>VLOOKUP(C14,'Trips&amp;Operators'!$C$1:$G$99911,5,FALSE)</f>
        <v>NICHOLAS PLOYSA</v>
      </c>
      <c r="O14" s="175" t="s">
        <v>178</v>
      </c>
      <c r="P14" s="240"/>
      <c r="Q14" s="30"/>
      <c r="R14" s="81" t="str">
        <f>VLOOKUP(C14,'Train Runs'!$A$13:$AE$10157,31,0)</f>
        <v>aws s3 cp s3://rtdc.mdm.uploadarchive.raw/RTDC4034/ "%USERPROFILE%\AppData\Local\Temp\OnboardLogs"\RTDC4034\2017-11-24 --exclude "*" --recursive --include "*20171124*" &amp; "%USERPROFILE%\Documents\GitHub\mrs-test-scripts\Headless Mode &amp; Sideloading\WalkAndUnGZ.bat" "%USERPROFILE%\AppData\Local\Temp\OnboardLogs"\RTDC4034\2017-11-24 &amp; aws s3 cp s3://rtdc.mdm.uploadarchive.raw/RTDC4034/ "%USERPROFILE%\AppData\Local\Temp\OnboardLogs"\RTDC4034\2017-11-25 --exclude "*" --recursive --include "*20171125*" &amp; "%USERPROFILE%\Documents\GitHub\mrs-test-scripts\Headless Mode &amp; Sideloading\WalkAndUnGZ.bat" "%USERPROFILE%\AppData\Local\Temp\OnboardLogs"\RTDC4034\2017-11-25</v>
      </c>
      <c r="S14" s="84" t="str">
        <f>VLOOKUP(C14,'Train Runs'!$A$13:$AE$10157,22,0)</f>
        <v>https://d0f6bd738d7f1b3e5a7ca70fe4ff75f0.us-east-1.aws.found.io/app/kibana#/discover/Steve-Slow-Train-Analysis-(2080s-and-2083s)?_g=(refreshInterval:(display:Off,pause:!f,section:0,value:0),time:(from:'2017-11-24T06:20:49-0700',mode:absolute,to:'2017-11-24T09:07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/stypes="*4034*201711241*" /stext=" 14:.+((SYSTEM_STATE.+slice.+state.+changed )|(ment ac)|(multiple cpu faults)|(system.+state.+changed )|(\[timeout)|(PRM\|1\|D)|(kpr)|(kdp)|(train st.+moving)|(\|lc)|(penalty))"</v>
      </c>
      <c r="U14" s="9" t="str">
        <f>MID(B14,13,4)</f>
        <v>4034</v>
      </c>
      <c r="V14" s="31">
        <f>A14-utc_offset/24</f>
        <v>43063.608842592592</v>
      </c>
      <c r="W14" s="45" t="str">
        <f>DetSubdiv(C14)</f>
        <v>EC</v>
      </c>
      <c r="X14" s="229">
        <f>VALUE(LEFT(C14,LEN(C14)-3))</f>
        <v>131</v>
      </c>
      <c r="Y14" s="23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{"issue":{"subject":"","project_id":79,"tracker_id":40,"status_id":1,"priority_id":2,"assigned_to_id":338,"start_date":"2017-11-24","description":"","custom_fields":[{"id":1,"name":"Subdivision","value":"EC"},{"id":4,"name":"Milepost","value":"2.0338"},{"id":17,"name":"Train ID","value":"131-24"},{"id":16,"name":"Locomotive ID","value":"4034"},{"id":130,"name":"Impact","value":""},{"id":150,"name":"Time of Event (Mountain Time)","value":"07:36:44"},{"id":151,"name":"Denver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2"/>
      <c r="AB14" s="232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/c/Users/stu/AppData/Local/Temp/OnboardLogs/RTDC4034 --include="*4034*201711241*"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"%USERPROFILE%\AppData\Local\Temp\OnboardLogs"\RTDC4034\*4034*201711241* &gt;&gt; 2017-11-24-SliceDisagreementCheck.txt</v>
      </c>
      <c r="AE14" s="144" t="str">
        <f t="shared" si="1"/>
        <v>start /low /b %USERPROFILE%\Documents\GitHub\eaglep3\Utilities\DownloadLogsFromS3.py --loco 4034 --day 2017-11-24</v>
      </c>
      <c r="AF14" s="1"/>
    </row>
    <row r="15" spans="1:32" x14ac:dyDescent="0.25">
      <c r="A15" s="31">
        <v>43063.258402777778</v>
      </c>
      <c r="B15" s="30" t="s">
        <v>658</v>
      </c>
      <c r="C15" s="30" t="s">
        <v>659</v>
      </c>
      <c r="D15" s="30" t="s">
        <v>49</v>
      </c>
      <c r="E15" s="30" t="s">
        <v>190</v>
      </c>
      <c r="F15" s="42">
        <v>400</v>
      </c>
      <c r="G15" s="42">
        <v>481</v>
      </c>
      <c r="H15" s="42">
        <v>121069</v>
      </c>
      <c r="I15" s="42">
        <v>119864</v>
      </c>
      <c r="J15" s="30" t="s">
        <v>191</v>
      </c>
      <c r="K15" s="42">
        <v>119716</v>
      </c>
      <c r="L15" s="131" t="s">
        <v>51</v>
      </c>
      <c r="M15" s="132">
        <f>CONVERT((I15-K15)/10000,"mi","ft")*IF(L15="Increasing Mileposts (1)",-1,1)</f>
        <v>78.144000000000005</v>
      </c>
      <c r="N15" s="133" t="str">
        <f>VLOOKUP(C15,'Trips&amp;Operators'!$C$1:$G$99911,5,FALSE)</f>
        <v>ROCHA YAOTL</v>
      </c>
      <c r="O15" s="175" t="s">
        <v>178</v>
      </c>
      <c r="P15" s="240"/>
      <c r="Q15" s="30"/>
      <c r="R15" s="81" t="str">
        <f>VLOOKUP(C15,'Train Runs'!$A$13:$AE$10157,31,0)</f>
        <v>aws s3 cp s3://rtdc.mdm.uploadarchive.raw/RTDC4015/ "%USERPROFILE%\AppData\Local\Temp\OnboardLogs"\RTDC4015\2017-11-24 --exclude "*" --recursive --include "*20171124*" &amp; "%USERPROFILE%\Documents\GitHub\mrs-test-scripts\Headless Mode &amp; Sideloading\WalkAndUnGZ.bat" "%USERPROFILE%\AppData\Local\Temp\OnboardLogs"\RTDC4015\2017-11-24 &amp; aws s3 cp s3://rtdc.mdm.uploadarchive.raw/RTDC4015/ "%USERPROFILE%\AppData\Local\Temp\OnboardLogs"\RTDC4015\2017-11-25 --exclude "*" --recursive --include "*20171125*" &amp; "%USERPROFILE%\Documents\GitHub\mrs-test-scripts\Headless Mode &amp; Sideloading\WalkAndUnGZ.bat" "%USERPROFILE%\AppData\Local\Temp\OnboardLogs"\RTDC4015\2017-11-25</v>
      </c>
      <c r="S15" s="84" t="str">
        <f>VLOOKUP(C15,'Train Runs'!$A$13:$AE$10157,22,0)</f>
        <v>https://d0f6bd738d7f1b3e5a7ca70fe4ff75f0.us-east-1.aws.found.io/app/kibana#/discover/Steve-Slow-Train-Analysis-(2080s-and-2083s)?_g=(refreshInterval:(display:Off,pause:!f,section:0,value:0),time:(from:'2017-11-24T04:55:34-0700',mode:absolute,to:'2017-11-24T07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/stypes="*4015*201711241*" /stext=" 13:.+((SYSTEM_STATE.+slice.+state.+changed )|(ment ac)|(multiple cpu faults)|(system.+state.+changed )|(\[timeout)|(PRM\|1\|D)|(kpr)|(kdp)|(train st.+moving)|(\|lc)|(penalty))"</v>
      </c>
      <c r="U15" s="9" t="str">
        <f>MID(B15,13,4)</f>
        <v>4015</v>
      </c>
      <c r="V15" s="31">
        <f>A15-utc_offset/24</f>
        <v>43063.550069444442</v>
      </c>
      <c r="W15" s="45" t="str">
        <f>DetSubdiv(C15)</f>
        <v>EC</v>
      </c>
      <c r="X15" s="229">
        <f>VALUE(LEFT(C15,LEN(C15)-3))</f>
        <v>112</v>
      </c>
      <c r="Y15" s="23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{"issue":{"subject":"","project_id":79,"tracker_id":40,"status_id":1,"priority_id":2,"assigned_to_id":338,"start_date":"2017-11-24","description":"","custom_fields":[{"id":1,"name":"Subdivision","value":"EC"},{"id":4,"name":"Milepost","value":"11.9716"},{"id":17,"name":"Train ID","value":"112-24"},{"id":16,"name":"Locomotive ID","value":"4015"},{"id":130,"name":"Impact","value":""},{"id":150,"name":"Time of Event (Mountain Time)","value":"06:12:06"},{"id":151,"name":"Denver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2"/>
      <c r="AB15" s="232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/c/Users/stu/AppData/Local/Temp/OnboardLogs/RTDC4015 --include="*4015*201711241*"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"%USERPROFILE%\AppData\Local\Temp\OnboardLogs"\RTDC4015\*4015*201711241* &gt;&gt; 2017-11-24-SliceDisagreementCheck.txt</v>
      </c>
      <c r="AE15" s="144" t="str">
        <f t="shared" si="1"/>
        <v>start /low /b %USERPROFILE%\Documents\GitHub\eaglep3\Utilities\DownloadLogsFromS3.py --loco 4015 --day 2017-11-24</v>
      </c>
      <c r="AF15" s="1"/>
    </row>
    <row r="16" spans="1:32" x14ac:dyDescent="0.25">
      <c r="A16" s="31">
        <v>43063.396354166667</v>
      </c>
      <c r="B16" s="30" t="s">
        <v>445</v>
      </c>
      <c r="C16" s="30" t="s">
        <v>663</v>
      </c>
      <c r="D16" s="30" t="s">
        <v>49</v>
      </c>
      <c r="E16" s="30" t="s">
        <v>355</v>
      </c>
      <c r="F16" s="42">
        <v>0</v>
      </c>
      <c r="G16" s="42">
        <v>68</v>
      </c>
      <c r="H16" s="42">
        <v>919</v>
      </c>
      <c r="I16" s="42">
        <v>1047</v>
      </c>
      <c r="J16" s="30" t="s">
        <v>356</v>
      </c>
      <c r="K16" s="42">
        <v>1692</v>
      </c>
      <c r="L16" s="131" t="s">
        <v>50</v>
      </c>
      <c r="M16" s="132">
        <f>CONVERT((I16-K16)/10000,"mi","ft")*IF(L16="Increasing Mileposts (1)",-1,1)</f>
        <v>340.56</v>
      </c>
      <c r="N16" s="133" t="str">
        <f>VLOOKUP(C16,'Trips&amp;Operators'!$C$1:$G$99911,5,FALSE)</f>
        <v>STARKS ANGELINA</v>
      </c>
      <c r="O16" s="175" t="s">
        <v>178</v>
      </c>
      <c r="P16" s="240" t="s">
        <v>657</v>
      </c>
      <c r="Q16" s="30"/>
      <c r="R16" s="81" t="str">
        <f>VLOOKUP(C16,'Train Runs'!$A$13:$AE$10157,31,0)</f>
        <v>aws s3 cp s3://rtdc.mdm.uploadarchive.raw/RTDC4010/ "%USERPROFILE%\AppData\Local\Temp\OnboardLogs"\RTDC4010\2017-11-24 --exclude "*" --recursive --include "*20171124*" &amp; "%USERPROFILE%\Documents\GitHub\mrs-test-scripts\Headless Mode &amp; Sideloading\WalkAndUnGZ.bat" "%USERPROFILE%\AppData\Local\Temp\OnboardLogs"\RTDC4010\2017-11-24 &amp; aws s3 cp s3://rtdc.mdm.uploadarchive.raw/RTDC4010/ "%USERPROFILE%\AppData\Local\Temp\OnboardLogs"\RTDC4010\2017-11-25 --exclude "*" --recursive --include "*20171125*" &amp; "%USERPROFILE%\Documents\GitHub\mrs-test-scripts\Headless Mode &amp; Sideloading\WalkAndUnGZ.bat" "%USERPROFILE%\AppData\Local\Temp\OnboardLogs"\RTDC4010\2017-11-25</v>
      </c>
      <c r="S16" s="84" t="str">
        <f>VLOOKUP(C16,'Train Runs'!$A$13:$AE$10157,22,0)</f>
        <v>https://d0f6bd738d7f1b3e5a7ca70fe4ff75f0.us-east-1.aws.found.io/app/kibana#/discover/Steve-Slow-Train-Analysis-(2080s-and-2083s)?_g=(refreshInterval:(display:Off,pause:!f,section:0,value:0),time:(from:'2017-11-24T08:27:22-0700',mode:absolute,to:'2017-11-24T11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/stypes="*4010*201711241*" /stext=" 16:.+((SYSTEM_STATE.+slice.+state.+changed )|(ment ac)|(multiple cpu faults)|(system.+state.+changed )|(\[timeout)|(PRM\|1\|D)|(kpr)|(kdp)|(train st.+moving)|(\|lc)|(penalty))"</v>
      </c>
      <c r="U16" s="9" t="str">
        <f>MID(B16,13,4)</f>
        <v>4010</v>
      </c>
      <c r="V16" s="31">
        <f>A16-utc_offset/24</f>
        <v>43063.688020833331</v>
      </c>
      <c r="W16" s="45" t="str">
        <f>DetSubdiv(C16)</f>
        <v>EC</v>
      </c>
      <c r="X16" s="229">
        <f>VALUE(LEFT(C16,LEN(C16)-3))</f>
        <v>147</v>
      </c>
      <c r="Y16" s="23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{"issue":{"subject":"Selected wrong track","project_id":79,"tracker_id":40,"status_id":1,"priority_id":2,"assigned_to_id":338,"start_date":"2017-11-24","description":"","custom_fields":[{"id":1,"name":"Subdivision","value":"EC"},{"id":4,"name":"Milepost","value":"0.1692"},{"id":17,"name":"Train ID","value":"147-24"},{"id":16,"name":"Locomotive ID","value":"4010"},{"id":130,"name":"Impact","value":""},{"id":150,"name":"Time of Event (Mountain Time)","value":"09:30:45"},{"id":151,"name":"Denver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2"/>
      <c r="AB16" s="232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/c/Users/stu/AppData/Local/Temp/OnboardLogs/RTDC4010 --include="*4010*201711241*"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"%USERPROFILE%\AppData\Local\Temp\OnboardLogs"\RTDC4010\*4010*201711241* &gt;&gt; 2017-11-24-SliceDisagreementCheck.txt</v>
      </c>
      <c r="AE16" s="144" t="str">
        <f t="shared" si="1"/>
        <v>start /low /b %USERPROFILE%\Documents\GitHub\eaglep3\Utilities\DownloadLogsFromS3.py --loco 4010 --day 2017-11-24</v>
      </c>
      <c r="AF16" s="1"/>
    </row>
    <row r="17" spans="1:32" x14ac:dyDescent="0.25">
      <c r="A17" s="31">
        <v>43063.953252314815</v>
      </c>
      <c r="B17" s="30" t="s">
        <v>367</v>
      </c>
      <c r="C17" s="30" t="s">
        <v>675</v>
      </c>
      <c r="D17" s="30" t="s">
        <v>49</v>
      </c>
      <c r="E17" s="30" t="s">
        <v>454</v>
      </c>
      <c r="F17" s="42">
        <v>0</v>
      </c>
      <c r="G17" s="42">
        <v>498</v>
      </c>
      <c r="H17" s="42">
        <v>124437</v>
      </c>
      <c r="I17" s="42">
        <v>0</v>
      </c>
      <c r="J17" s="30" t="s">
        <v>455</v>
      </c>
      <c r="K17" s="42">
        <v>126678</v>
      </c>
      <c r="L17" s="131" t="s">
        <v>50</v>
      </c>
      <c r="M17" s="132">
        <f>CONVERT((I17-K17)/10000,"mi","ft")*IF(L17="Increasing Mileposts (1)",-1,1)</f>
        <v>66885.983999999997</v>
      </c>
      <c r="N17" s="133" t="str">
        <f>VLOOKUP(C17,'Trips&amp;Operators'!$C$1:$G$99911,5,FALSE)</f>
        <v>ELBAUM MIKE</v>
      </c>
      <c r="O17" s="175" t="s">
        <v>349</v>
      </c>
      <c r="P17" s="240" t="s">
        <v>504</v>
      </c>
      <c r="Q17" s="30"/>
      <c r="R17" s="81" t="str">
        <f>VLOOKUP(C17,'Train Runs'!$A$13:$AE$10157,31,0)</f>
        <v>aws s3 cp s3://rtdc.mdm.uploadarchive.raw/RTDC4036/ "%USERPROFILE%\AppData\Local\Temp\OnboardLogs"\RTDC4036\2017-11-24 --exclude "*" --recursive --include "*20171124*" &amp; "%USERPROFILE%\Documents\GitHub\mrs-test-scripts\Headless Mode &amp; Sideloading\WalkAndUnGZ.bat" "%USERPROFILE%\AppData\Local\Temp\OnboardLogs"\RTDC4036\2017-11-24 &amp; aws s3 cp s3://rtdc.mdm.uploadarchive.raw/RTDC4036/ "%USERPROFILE%\AppData\Local\Temp\OnboardLogs"\RTDC4036\2017-11-25 --exclude "*" --recursive --include "*20171125*" &amp; "%USERPROFILE%\Documents\GitHub\mrs-test-scripts\Headless Mode &amp; Sideloading\WalkAndUnGZ.bat" "%USERPROFILE%\AppData\Local\Temp\OnboardLogs"\RTDC4036\2017-11-25</v>
      </c>
      <c r="S17" s="84" t="str">
        <f>VLOOKUP(C17,'Train Runs'!$A$13:$AE$10157,22,0)</f>
        <v>https://d0f6bd738d7f1b3e5a7ca70fe4ff75f0.us-east-1.aws.found.io/app/kibana#/discover/Steve-Slow-Train-Analysis-(2080s-and-2083s)?_g=(refreshInterval:(display:Off,pause:!f,section:0,value:0),time:(from:'2017-11-24T21:05:01-0700',mode:absolute,to:'2017-11-24T23:52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/stypes="*4036*201711250*" /stext=" 05:.+((SYSTEM_STATE.+slice.+state.+changed )|(ment ac)|(multiple cpu faults)|(system.+state.+changed )|(\[timeout)|(PRM\|1\|D)|(kpr)|(kdp)|(train st.+moving)|(\|lc)|(penalty))"</v>
      </c>
      <c r="U17" s="9" t="str">
        <f>MID(B17,13,4)</f>
        <v>4036</v>
      </c>
      <c r="V17" s="31">
        <f>A17-utc_offset/24</f>
        <v>43064.24491898148</v>
      </c>
      <c r="W17" s="45" t="str">
        <f>DetSubdiv(C17)</f>
        <v>EC</v>
      </c>
      <c r="X17" s="229">
        <f>VALUE(LEFT(C17,LEN(C17)-3))</f>
        <v>235</v>
      </c>
      <c r="Y17" s="23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drop","project_id":79,"tracker_id":40,"status_id":1,"priority_id":2,"assigned_to_id":338,"start_date":"2017-11-24","description":"","custom_fields":[{"id":1,"name":"Subdivision","value":"EC"},{"id":4,"name":"Milepost","value":"12.6678"},{"id":17,"name":"Train ID","value":"235-24"},{"id":16,"name":"Locomotive ID","value":"4036"},{"id":130,"name":"Impact","value":""},{"id":150,"name":"Time of Event (Mountain Time)","value":"22:52:41"},{"id":151,"name":"Denver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2"/>
      <c r="AB17" s="232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/c/Users/stu/AppData/Local/Temp/OnboardLogs/RTDC4036 --include="*4036*201711250*"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"%USERPROFILE%\AppData\Local\Temp\OnboardLogs"\RTDC4036\*4036*201711250* &gt;&gt; 2017-11-24-SliceDisagreementCheck.txt</v>
      </c>
      <c r="AE17" s="144" t="str">
        <f t="shared" si="1"/>
        <v>start /low /b %USERPROFILE%\Documents\GitHub\eaglep3\Utilities\DownloadLogsFromS3.py --loco 4036 --day 2017-11-25</v>
      </c>
      <c r="AF17" s="1"/>
    </row>
    <row r="18" spans="1:32" x14ac:dyDescent="0.25">
      <c r="A18" s="31">
        <v>43063.495775462965</v>
      </c>
      <c r="B18" s="30" t="s">
        <v>391</v>
      </c>
      <c r="C18" s="30" t="s">
        <v>666</v>
      </c>
      <c r="D18" s="30" t="s">
        <v>95</v>
      </c>
      <c r="E18" s="30" t="s">
        <v>355</v>
      </c>
      <c r="F18" s="42">
        <v>0</v>
      </c>
      <c r="G18" s="42">
        <v>85</v>
      </c>
      <c r="H18" s="42">
        <v>4796</v>
      </c>
      <c r="I18" s="42">
        <v>4662</v>
      </c>
      <c r="J18" s="30" t="s">
        <v>356</v>
      </c>
      <c r="K18" s="42">
        <v>4798</v>
      </c>
      <c r="L18" s="131" t="s">
        <v>51</v>
      </c>
      <c r="M18" s="132">
        <f>CONVERT((I18-K18)/10000,"mi","ft")*IF(L18="Increasing Mileposts (1)",-1,1)</f>
        <v>-71.808000000000007</v>
      </c>
      <c r="N18" s="133" t="str">
        <f>VLOOKUP(C18,'Trips&amp;Operators'!$C$1:$G$99911,5,FALSE)</f>
        <v>SNYDER PETER</v>
      </c>
      <c r="O18" s="175" t="s">
        <v>349</v>
      </c>
      <c r="P18" s="240" t="s">
        <v>1130</v>
      </c>
      <c r="Q18" s="30"/>
      <c r="R18" s="81" t="str">
        <f>VLOOKUP(C18,'Train Runs'!$A$13:$AE$10157,31,0)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S18" s="84" t="str">
        <f>VLOOKUP(C18,'Train Runs'!$A$13:$AE$10157,22,0)</f>
        <v>https://d0f6bd738d7f1b3e5a7ca70fe4ff75f0.us-east-1.aws.found.io/app/kibana#/discover/Steve-Slow-Train-Analysis-(2080s-and-2083s)?_g=(refreshInterval:(display:Off,pause:!f,section:0,value:0),time:(from:'2017-11-24T10:28:45-0700',mode:absolute,to:'2017-11-24T12:53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/stypes="*4059*201711241*" /stext=" 18:.+((SYSTEM_STATE.+slice.+state.+changed )|(ment ac)|(multiple cpu faults)|(system.+state.+changed )|(\[timeout)|(PRM\|1\|D)|(kpr)|(kdp)|(train st.+moving)|(\|lc)|(penalty))"</v>
      </c>
      <c r="U18" s="9" t="str">
        <f>MID(B18,13,4)</f>
        <v>4059</v>
      </c>
      <c r="V18" s="31">
        <f>A18-utc_offset/24</f>
        <v>43063.787442129629</v>
      </c>
      <c r="W18" s="45" t="str">
        <f>DetSubdiv(C18)</f>
        <v>NW</v>
      </c>
      <c r="X18" s="229">
        <f>VALUE(LEFT(C18,LEN(C18)-3))</f>
        <v>818</v>
      </c>
      <c r="Y18" s="23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{"issue":{"subject":"Poor GPS @ Wewatta","project_id":79,"tracker_id":40,"status_id":1,"priority_id":2,"assigned_to_id":338,"start_date":"2017-11-24","description":"","custom_fields":[{"id":1,"name":"Subdivision","value":"NW"},{"id":4,"name":"Milepost","value":"0.4798"},{"id":17,"name":"Train ID","value":"818-24"},{"id":16,"name":"Locomotive ID","value":"4059"},{"id":130,"name":"Impact","value":""},{"id":150,"name":"Time of Event (Mountain Time)","value":"11:53:55"},{"id":151,"name":"Denver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2"/>
      <c r="AB18" s="232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/c/Users/stu/AppData/Local/Temp/OnboardLogs/RTDC4059 --include="*4059*201711241*"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"%USERPROFILE%\AppData\Local\Temp\OnboardLogs"\RTDC4059\*4059*201711241* &gt;&gt; 2017-11-24-SliceDisagreementCheck.txt</v>
      </c>
      <c r="AE18" s="144" t="str">
        <f t="shared" si="1"/>
        <v>start /low /b %USERPROFILE%\Documents\GitHub\eaglep3\Utilities\DownloadLogsFromS3.py --loco 4059 --day 2017-11-24</v>
      </c>
      <c r="AF18" s="1"/>
    </row>
    <row r="19" spans="1:32" x14ac:dyDescent="0.25">
      <c r="A19" s="31">
        <v>43063.950289351851</v>
      </c>
      <c r="B19" s="30" t="s">
        <v>391</v>
      </c>
      <c r="C19" s="30" t="s">
        <v>674</v>
      </c>
      <c r="D19" s="30" t="s">
        <v>49</v>
      </c>
      <c r="E19" s="30" t="s">
        <v>454</v>
      </c>
      <c r="F19" s="42">
        <v>0</v>
      </c>
      <c r="G19" s="42">
        <v>415</v>
      </c>
      <c r="H19" s="42">
        <v>25106</v>
      </c>
      <c r="I19" s="42">
        <v>24017</v>
      </c>
      <c r="J19" s="30" t="s">
        <v>455</v>
      </c>
      <c r="K19" s="42">
        <v>24193</v>
      </c>
      <c r="L19" s="131" t="s">
        <v>51</v>
      </c>
      <c r="M19" s="132">
        <f>CONVERT((I19-K19)/10000,"mi","ft")*IF(L19="Increasing Mileposts (1)",-1,1)</f>
        <v>-92.927999999999997</v>
      </c>
      <c r="N19" s="133" t="str">
        <f>VLOOKUP(C19,'Trips&amp;Operators'!$C$1:$G$99911,5,FALSE)</f>
        <v>HAMMOND JUSTYNN</v>
      </c>
      <c r="O19" s="175" t="s">
        <v>349</v>
      </c>
      <c r="P19" s="240" t="s">
        <v>504</v>
      </c>
      <c r="Q19" s="30"/>
      <c r="R19" s="81" t="str">
        <f>VLOOKUP(C19,'Train Runs'!$A$13:$AE$10157,31,0)</f>
        <v>aws s3 cp s3://rtdc.mdm.uploadarchive.raw/RTDC4059/ "%USERPROFILE%\AppData\Local\Temp\OnboardLogs"\RTDC4059\2017-11-24 --exclude "*" --recursive --include "*20171124*" &amp; "%USERPROFILE%\Documents\GitHub\mrs-test-scripts\Headless Mode &amp; Sideloading\WalkAndUnGZ.bat" "%USERPROFILE%\AppData\Local\Temp\OnboardLogs"\RTDC4059\2017-11-24 &amp; aws s3 cp s3://rtdc.mdm.uploadarchive.raw/RTDC4059/ "%USERPROFILE%\AppData\Local\Temp\OnboardLogs"\RTDC4059\2017-11-25 --exclude "*" --recursive --include "*20171125*" &amp; "%USERPROFILE%\Documents\GitHub\mrs-test-scripts\Headless Mode &amp; Sideloading\WalkAndUnGZ.bat" "%USERPROFILE%\AppData\Local\Temp\OnboardLogs"\RTDC4059\2017-11-25</v>
      </c>
      <c r="S19" s="84" t="str">
        <f>VLOOKUP(C19,'Train Runs'!$A$13:$AE$10157,22,0)</f>
        <v>https://d0f6bd738d7f1b3e5a7ca70fe4ff75f0.us-east-1.aws.found.io/app/kibana#/discover/Steve-Slow-Train-Analysis-(2080s-and-2083s)?_g=(refreshInterval:(display:Off,pause:!f,section:0,value:0),time:(from:'2017-11-24T21:26:00-0700',mode:absolute,to:'2017-11-24T23:48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/stypes="*4059*201711250*" /stext=" 05:.+((SYSTEM_STATE.+slice.+state.+changed )|(ment ac)|(multiple cpu faults)|(system.+state.+changed )|(\[timeout)|(PRM\|1\|D)|(kpr)|(kdp)|(train st.+moving)|(\|lc)|(penalty))"</v>
      </c>
      <c r="U19" s="9" t="str">
        <f>MID(B19,13,4)</f>
        <v>4059</v>
      </c>
      <c r="V19" s="31">
        <f>A19-utc_offset/24</f>
        <v>43064.241956018515</v>
      </c>
      <c r="W19" s="45" t="str">
        <f>DetSubdiv(C19)</f>
        <v>NW</v>
      </c>
      <c r="X19" s="229">
        <f>VALUE(LEFT(C19,LEN(C19)-3))</f>
        <v>846</v>
      </c>
      <c r="Y19" s="23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drop","project_id":79,"tracker_id":40,"status_id":1,"priority_id":2,"assigned_to_id":338,"start_date":"2017-11-24","description":"","custom_fields":[{"id":1,"name":"Subdivision","value":"NW"},{"id":4,"name":"Milepost","value":"2.4193"},{"id":17,"name":"Train ID","value":"846-24"},{"id":16,"name":"Locomotive ID","value":"4059"},{"id":130,"name":"Impact","value":""},{"id":150,"name":"Time of Event (Mountain Time)","value":"22:48:25"},{"id":151,"name":"Denver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2"/>
      <c r="AB19" s="232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/c/Users/stu/AppData/Local/Temp/OnboardLogs/RTDC4059 --include="*4059*201711250*"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"%USERPROFILE%\AppData\Local\Temp\OnboardLogs"\RTDC4059\*4059*201711250* &gt;&gt; 2017-11-24-SliceDisagreementCheck.txt</v>
      </c>
      <c r="AE19" s="144" t="str">
        <f t="shared" si="1"/>
        <v>start /low /b %USERPROFILE%\Documents\GitHub\eaglep3\Utilities\DownloadLogsFromS3.py --loco 4059 --day 2017-11-25</v>
      </c>
      <c r="AF19" s="1"/>
    </row>
    <row r="20" spans="1:32" x14ac:dyDescent="0.25">
      <c r="A20" s="31">
        <v>43064.055069444446</v>
      </c>
      <c r="B20" s="30" t="s">
        <v>670</v>
      </c>
      <c r="C20" s="30" t="s">
        <v>676</v>
      </c>
      <c r="D20" s="30" t="s">
        <v>95</v>
      </c>
      <c r="E20" s="30" t="s">
        <v>355</v>
      </c>
      <c r="F20" s="42">
        <v>0</v>
      </c>
      <c r="G20" s="42">
        <v>11</v>
      </c>
      <c r="H20" s="42">
        <v>22620</v>
      </c>
      <c r="I20" s="42">
        <v>22656</v>
      </c>
      <c r="J20" s="30" t="s">
        <v>356</v>
      </c>
      <c r="K20" s="42">
        <v>22314</v>
      </c>
      <c r="L20" s="131" t="s">
        <v>50</v>
      </c>
      <c r="M20" s="132">
        <f>CONVERT((I20-K20)/10000,"mi","ft")*IF(L20="Increasing Mileposts (1)",-1,1)</f>
        <v>-180.57599999999999</v>
      </c>
      <c r="N20" s="133" t="str">
        <f>VLOOKUP(C20,'Trips&amp;Operators'!$C$1:$G$99911,5,FALSE)</f>
        <v>DAVIDSON DAVID</v>
      </c>
      <c r="O20" s="175" t="s">
        <v>178</v>
      </c>
      <c r="P20" s="240"/>
      <c r="Q20" s="30"/>
      <c r="R20" s="81" t="str">
        <f>VLOOKUP(C20,'Train Runs'!$A$13:$AE$10157,31,0)</f>
        <v>aws s3 cp s3://rtdc.mdm.uploadarchive.raw/RTDC4006/ "%USERPROFILE%\AppData\Local\Temp\OnboardLogs"\RTDC4006\2017-11-25 --exclude "*" --recursive --include "*20171125*" &amp; "%USERPROFILE%\Documents\GitHub\mrs-test-scripts\Headless Mode &amp; Sideloading\WalkAndUnGZ.bat" "%USERPROFILE%\AppData\Local\Temp\OnboardLogs"\RTDC4006\2017-11-25 &amp; aws s3 cp s3://rtdc.mdm.uploadarchive.raw/RTDC4006/ "%USERPROFILE%\AppData\Local\Temp\OnboardLogs"\RTDC4006\2017-11-26 --exclude "*" --recursive --include "*20171126*" &amp; "%USERPROFILE%\Documents\GitHub\mrs-test-scripts\Headless Mode &amp; Sideloading\WalkAndUnGZ.bat" "%USERPROFILE%\AppData\Local\Temp\OnboardLogs"\RTDC4006\2017-11-26</v>
      </c>
      <c r="S20" s="84" t="str">
        <f>VLOOKUP(C20,'Train Runs'!$A$13:$AE$10157,22,0)</f>
        <v>https://d0f6bd738d7f1b3e5a7ca70fe4ff75f0.us-east-1.aws.found.io/app/kibana#/discover/Steve-Slow-Train-Analysis-(2080s-and-2083s)?_g=(refreshInterval:(display:Off,pause:!f,section:0,value:0),time:(from:'2017-11-25T00:08:39-0700',mode:absolute,to:'2017-11-25T02:19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/stypes="*4006*201711250*" /stext=" 08:.+((SYSTEM_STATE.+slice.+state.+changed )|(ment ac)|(multiple cpu faults)|(system.+state.+changed )|(\[timeout)|(PRM\|1\|D)|(kpr)|(kdp)|(train st.+moving)|(\|lc)|(penalty))"</v>
      </c>
      <c r="U20" s="9" t="str">
        <f>MID(B20,13,4)</f>
        <v>4006</v>
      </c>
      <c r="V20" s="31">
        <f>A20-utc_offset/24</f>
        <v>43064.346736111111</v>
      </c>
      <c r="W20" s="45" t="str">
        <f>DetSubdiv(C20)</f>
        <v>Other</v>
      </c>
      <c r="X20" s="229">
        <f>VALUE(LEFT(C20,LEN(C20)-3))</f>
        <v>307</v>
      </c>
      <c r="Y20" s="23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{"issue":{"subject":"","project_id":79,"tracker_id":40,"status_id":1,"priority_id":2,"assigned_to_id":338,"start_date":"2017-11-25","description":"","custom_fields":[{"id":1,"name":"Subdivision","value":"Other"},{"id":4,"name":"Milepost","value":"2.2314"},{"id":17,"name":"Train ID","value":"307-24"},{"id":16,"name":"Locomotive ID","value":"4006"},{"id":130,"name":"Impact","value":""},{"id":150,"name":"Time of Event (Mountain Time)","value":"01:19:18"},{"id":151,"name":"Denver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2"/>
      <c r="AB20" s="232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/c/Users/stu/AppData/Local/Temp/OnboardLogs/RTDC4006 --include="*4006*201711250*"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"%USERPROFILE%\AppData\Local\Temp\OnboardLogs"\RTDC4006\*4006*201711250* &gt;&gt; 2017-11-24-SliceDisagreementCheck.txt</v>
      </c>
      <c r="AE20" s="144" t="str">
        <f t="shared" si="1"/>
        <v>start /low /b %USERPROFILE%\Documents\GitHub\eaglep3\Utilities\DownloadLogsFromS3.py --loco 4006 --day 2017-11-25</v>
      </c>
      <c r="AF20" s="1"/>
    </row>
    <row r="21" spans="1:32" x14ac:dyDescent="0.25">
      <c r="A21" s="31">
        <v>43063.39675925926</v>
      </c>
      <c r="B21" s="30" t="s">
        <v>660</v>
      </c>
      <c r="C21" s="30" t="s">
        <v>664</v>
      </c>
      <c r="D21" s="30" t="s">
        <v>49</v>
      </c>
      <c r="E21" s="30" t="s">
        <v>183</v>
      </c>
      <c r="F21" s="42">
        <v>190</v>
      </c>
      <c r="G21" s="42">
        <v>278</v>
      </c>
      <c r="H21" s="42">
        <v>9976</v>
      </c>
      <c r="I21" s="42">
        <v>10754</v>
      </c>
      <c r="J21" s="30" t="s">
        <v>184</v>
      </c>
      <c r="K21" s="42">
        <v>10716</v>
      </c>
      <c r="L21" s="131" t="s">
        <v>50</v>
      </c>
      <c r="M21" s="132">
        <f>CONVERT((I21-K21)/10000,"mi","ft")*IF(L21="Increasing Mileposts (1)",-1,1)</f>
        <v>-20.064</v>
      </c>
      <c r="N21" s="133" t="str">
        <f>VLOOKUP(C21,'Trips&amp;Operators'!$C$1:$G$99911,5,FALSE)</f>
        <v>SPECTOR MICHAEL</v>
      </c>
      <c r="O21" s="175" t="s">
        <v>178</v>
      </c>
      <c r="P21" s="240" t="s">
        <v>344</v>
      </c>
      <c r="Q21" s="30"/>
      <c r="R21" s="81" t="str">
        <f>VLOOKUP(C21,'Train Runs'!$A$13:$AE$10157,31,0)</f>
        <v>aws s3 cp s3://rtdc.mdm.uploadarchive.raw/RTDC4064/ "%USERPROFILE%\AppData\Local\Temp\OnboardLogs"\RTDC4064\2017-11-24 --exclude "*" --recursive --include "*20171124*" &amp; "%USERPROFILE%\Documents\GitHub\mrs-test-scripts\Headless Mode &amp; Sideloading\WalkAndUnGZ.bat" "%USERPROFILE%\AppData\Local\Temp\OnboardLogs"\RTDC4064\2017-11-24 &amp; aws s3 cp s3://rtdc.mdm.uploadarchive.raw/RTDC4064/ "%USERPROFILE%\AppData\Local\Temp\OnboardLogs"\RTDC4064\2017-11-25 --exclude "*" --recursive --include "*20171125*" &amp; "%USERPROFILE%\Documents\GitHub\mrs-test-scripts\Headless Mode &amp; Sideloading\WalkAndUnGZ.bat" "%USERPROFILE%\AppData\Local\Temp\OnboardLogs"\RTDC4064\2017-11-25</v>
      </c>
      <c r="S21" s="84" t="str">
        <f>VLOOKUP(C21,'Train Runs'!$A$13:$AE$10157,22,0)</f>
        <v>https://d0f6bd738d7f1b3e5a7ca70fe4ff75f0.us-east-1.aws.found.io/app/kibana#/discover/Steve-Slow-Train-Analysis-(2080s-and-2083s)?_g=(refreshInterval:(display:Off,pause:!f,section:0,value:0),time:(from:'2017-11-24T07:53:51-0700',mode:absolute,to:'2017-11-24T10:39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/stypes="*4034*201711241*" /stext=" 16:.+((SYSTEM_STATE.+slice.+state.+changed )|(ment ac)|(multiple cpu faults)|(system.+state.+changed )|(\[timeout)|(PRM\|1\|D)|(kpr)|(kdp)|(train st.+moving)|(\|lc)|(penalty))"</v>
      </c>
      <c r="U21" s="9" t="str">
        <f>MID(B21,13,4)</f>
        <v>4034</v>
      </c>
      <c r="V21" s="31">
        <f>A21-utc_offset/24</f>
        <v>43063.688425925924</v>
      </c>
      <c r="W21" s="45" t="str">
        <f>DetSubdiv(C21)</f>
        <v>Shuttle/Test</v>
      </c>
      <c r="X21" s="229">
        <f>VALUE(LEFT(C21,LEN(C21)-3))</f>
        <v>51</v>
      </c>
      <c r="Y21" s="23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Arrival","project_id":79,"tracker_id":40,"status_id":1,"priority_id":2,"assigned_to_id":338,"start_date":"2017-11-24","description":"","custom_fields":[{"id":1,"name":"Subdivision","value":"Shuttle/Test"},{"id":4,"name":"Milepost","value":"1.0716"},{"id":17,"name":"Train ID","value":"51-24"},{"id":16,"name":"Locomotive ID","value":"4034"},{"id":130,"name":"Impact","value":""},{"id":150,"name":"Time of Event (Mountain Time)","value":"09:31:20"},{"id":151,"name":"Denver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2"/>
      <c r="AB21" s="232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/c/Users/stu/AppData/Local/Temp/OnboardLogs/RTDC4034 --include="*4034*201711241*"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"%USERPROFILE%\AppData\Local\Temp\OnboardLogs"\RTDC4034\*4034*201711241* &gt;&gt; 2017-11-24-SliceDisagreementCheck.txt</v>
      </c>
      <c r="AE21" s="144" t="str">
        <f t="shared" si="1"/>
        <v>start /low /b %USERPROFILE%\Documents\GitHub\eaglep3\Utilities\DownloadLogsFromS3.py --loco 4034 --day 2017-11-24</v>
      </c>
      <c r="AF21" s="1"/>
    </row>
    <row r="22" spans="1:32" x14ac:dyDescent="0.25">
      <c r="A22"/>
      <c r="D22"/>
      <c r="E22"/>
      <c r="F22"/>
      <c r="G22"/>
      <c r="H22"/>
      <c r="I22"/>
      <c r="J22"/>
      <c r="K22"/>
      <c r="L22"/>
      <c r="M22"/>
      <c r="N22"/>
      <c r="O22"/>
      <c r="P22"/>
      <c r="R22"/>
      <c r="S22"/>
      <c r="T22"/>
      <c r="V22"/>
      <c r="X22"/>
      <c r="Z22"/>
      <c r="AC22"/>
      <c r="AE22"/>
    </row>
    <row r="23" spans="1:32" x14ac:dyDescent="0.25">
      <c r="A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V23"/>
      <c r="X23"/>
      <c r="Z23"/>
      <c r="AC23"/>
      <c r="AE23"/>
    </row>
    <row r="24" spans="1:32" x14ac:dyDescent="0.25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</sheetData>
  <autoFilter ref="A6:AC18">
    <sortState ref="A7:AC21">
      <sortCondition ref="W7:W21"/>
      <sortCondition ref="E7:E21"/>
      <sortCondition ref="K7:K21"/>
      <sortCondition ref="F7:F21"/>
    </sortState>
  </autoFilter>
  <sortState ref="A7:AE17">
    <sortCondition ref="W7:W17"/>
    <sortCondition ref="E7:E17"/>
    <sortCondition ref="K7:K17"/>
    <sortCondition ref="C7:C17"/>
    <sortCondition ref="F7:F17"/>
  </sortState>
  <mergeCells count="1">
    <mergeCell ref="A5:O5"/>
  </mergeCells>
  <conditionalFormatting sqref="O6:P6 R6 O32:O1048576 O7:O21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1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AA7:AA21</xm:sqref>
        </x14:dataValidation>
        <x14:dataValidation type="list" allowBlank="1" showInputMessage="1" showErrorMessage="1">
          <x14:formula1>
            <xm:f>'Redmine List Values'!$C$2:$C$15</xm:f>
          </x14:formula1>
          <xm:sqref>AB7:AB21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2" t="str">
        <f>"Trips that did not appear in PTC Data "&amp;TEXT(Variables!$A$2,"YYYY-mm-dd")</f>
        <v>Trips that did not appear in PTC Data 2017-11-24</v>
      </c>
      <c r="C1" s="252"/>
      <c r="D1" s="252"/>
      <c r="E1" s="252"/>
      <c r="F1" s="252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-24</v>
      </c>
      <c r="C3" s="134"/>
      <c r="D3" s="22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" s="30" t="e">
        <f>VLOOKUP(B3,'Train Runs'!$A$13:$A$100154,1,FALSE)</f>
        <v>#N/A</v>
      </c>
    </row>
    <row r="4" spans="1:10" x14ac:dyDescent="0.25">
      <c r="A4" s="197"/>
      <c r="B4" s="42" t="str">
        <f>A4&amp;"-"&amp;IF(DAY(Variables!$A$2)&lt;10,0,"")&amp;DAY(Variables!$A$2)</f>
        <v>-24</v>
      </c>
      <c r="C4" s="134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" s="30" t="e">
        <f>VLOOKUP(B4,'Train Runs'!$A$13:$A$100154,1,FALSE)</f>
        <v>#N/A</v>
      </c>
    </row>
    <row r="5" spans="1:10" x14ac:dyDescent="0.25">
      <c r="A5" s="197"/>
      <c r="B5" s="42" t="str">
        <f>A5&amp;"-"&amp;IF(DAY(Variables!$A$2)&lt;10,0,"")&amp;DAY(Variables!$A$2)</f>
        <v>-24</v>
      </c>
      <c r="C5" s="134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" s="30" t="e">
        <f>VLOOKUP(B5,'Train Runs'!$A$13:$A$100154,1,FALSE)</f>
        <v>#N/A</v>
      </c>
    </row>
    <row r="6" spans="1:10" x14ac:dyDescent="0.25">
      <c r="A6" s="197"/>
      <c r="B6" s="42" t="str">
        <f>A6&amp;"-"&amp;IF(DAY(Variables!$A$2)&lt;10,0,"")&amp;DAY(Variables!$A$2)</f>
        <v>-24</v>
      </c>
      <c r="C6" s="134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" s="30" t="e">
        <f>VLOOKUP(B6,'Train Runs'!$A$13:$A$100154,1,FALSE)</f>
        <v>#N/A</v>
      </c>
    </row>
    <row r="7" spans="1:10" x14ac:dyDescent="0.25">
      <c r="A7" s="197"/>
      <c r="B7" s="42" t="str">
        <f>A7&amp;"-"&amp;IF(DAY(Variables!$A$2)&lt;10,0,"")&amp;DAY(Variables!$A$2)</f>
        <v>-24</v>
      </c>
      <c r="C7" s="134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" s="30" t="e">
        <f>VLOOKUP(B7,'Train Runs'!$A$13:$A$100154,1,FALSE)</f>
        <v>#N/A</v>
      </c>
    </row>
    <row r="8" spans="1:10" x14ac:dyDescent="0.25">
      <c r="A8" s="197"/>
      <c r="B8" s="42" t="str">
        <f>A8&amp;"-"&amp;IF(DAY(Variables!$A$2)&lt;10,0,"")&amp;DAY(Variables!$A$2)</f>
        <v>-24</v>
      </c>
      <c r="C8" s="134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" s="30" t="e">
        <f>VLOOKUP(B8,'Train Runs'!$A$13:$A$100154,1,FALSE)</f>
        <v>#N/A</v>
      </c>
    </row>
    <row r="9" spans="1:10" x14ac:dyDescent="0.25">
      <c r="A9" s="197"/>
      <c r="B9" s="42" t="str">
        <f>A9&amp;"-"&amp;IF(DAY(Variables!$A$2)&lt;10,0,"")&amp;DAY(Variables!$A$2)</f>
        <v>-24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" s="30" t="e">
        <f>VLOOKUP(B9,'Train Runs'!$A$13:$A$100154,1,FALSE)</f>
        <v>#N/A</v>
      </c>
    </row>
    <row r="10" spans="1:10" x14ac:dyDescent="0.25">
      <c r="A10" s="197"/>
      <c r="B10" s="42" t="str">
        <f>A10&amp;"-"&amp;IF(DAY(Variables!$A$2)&lt;10,0,"")&amp;DAY(Variables!$A$2)</f>
        <v>-24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" s="30" t="e">
        <f>VLOOKUP(B10,'Train Runs'!$A$13:$A$100154,1,FALSE)</f>
        <v>#N/A</v>
      </c>
    </row>
    <row r="11" spans="1:10" x14ac:dyDescent="0.25">
      <c r="A11" s="197"/>
      <c r="B11" s="42" t="str">
        <f>A11&amp;"-"&amp;IF(DAY(Variables!$A$2)&lt;10,0,"")&amp;DAY(Variables!$A$2)</f>
        <v>-24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" s="30" t="e">
        <f>VLOOKUP(B11,'Train Runs'!$A$13:$A$100154,1,FALSE)</f>
        <v>#N/A</v>
      </c>
    </row>
    <row r="12" spans="1:10" x14ac:dyDescent="0.25">
      <c r="A12" s="197"/>
      <c r="B12" s="42" t="str">
        <f>A12&amp;"-"&amp;IF(DAY(Variables!$A$2)&lt;10,0,"")&amp;DAY(Variables!$A$2)</f>
        <v>-24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" s="30" t="e">
        <f>VLOOKUP(B12,'Train Runs'!$A$13:$A$100154,1,FALSE)</f>
        <v>#N/A</v>
      </c>
    </row>
    <row r="13" spans="1:10" x14ac:dyDescent="0.25">
      <c r="A13" s="197"/>
      <c r="B13" s="42" t="str">
        <f>A13&amp;"-"&amp;IF(DAY(Variables!$A$2)&lt;10,0,"")&amp;DAY(Variables!$A$2)</f>
        <v>-24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3" s="30" t="e">
        <f>VLOOKUP(B13,'Train Runs'!$A$13:$A$100154,1,FALSE)</f>
        <v>#N/A</v>
      </c>
    </row>
    <row r="14" spans="1:10" x14ac:dyDescent="0.25">
      <c r="A14" s="197"/>
      <c r="B14" s="42" t="str">
        <f>A14&amp;"-"&amp;IF(DAY(Variables!$A$2)&lt;10,0,"")&amp;DAY(Variables!$A$2)</f>
        <v>-24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4" s="30" t="e">
        <f>VLOOKUP(B14,'Train Runs'!$A$13:$A$100154,1,FALSE)</f>
        <v>#N/A</v>
      </c>
    </row>
    <row r="15" spans="1:10" x14ac:dyDescent="0.25">
      <c r="A15" s="197"/>
      <c r="B15" s="42" t="str">
        <f>A15&amp;"-"&amp;IF(DAY(Variables!$A$2)&lt;10,0,"")&amp;DAY(Variables!$A$2)</f>
        <v>-24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5" s="30" t="e">
        <f>VLOOKUP(B15,'Train Runs'!$A$13:$A$100154,1,FALSE)</f>
        <v>#N/A</v>
      </c>
    </row>
    <row r="16" spans="1:10" x14ac:dyDescent="0.25">
      <c r="A16" s="197"/>
      <c r="B16" s="42" t="str">
        <f>A16&amp;"-"&amp;IF(DAY(Variables!$A$2)&lt;10,0,"")&amp;DAY(Variables!$A$2)</f>
        <v>-24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6" s="30" t="e">
        <f>VLOOKUP(B16,'Train Runs'!$A$13:$A$100154,1,FALSE)</f>
        <v>#N/A</v>
      </c>
    </row>
    <row r="17" spans="1:10" x14ac:dyDescent="0.25">
      <c r="A17" s="197"/>
      <c r="B17" s="42" t="str">
        <f>A17&amp;"-"&amp;IF(DAY(Variables!$A$2)&lt;10,0,"")&amp;DAY(Variables!$A$2)</f>
        <v>-24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7" s="30" t="e">
        <f>VLOOKUP(B17,'Train Runs'!$A$13:$A$100154,1,FALSE)</f>
        <v>#N/A</v>
      </c>
    </row>
    <row r="18" spans="1:10" x14ac:dyDescent="0.25">
      <c r="A18" s="197"/>
      <c r="B18" s="42" t="str">
        <f>A18&amp;"-"&amp;IF(DAY(Variables!$A$2)&lt;10,0,"")&amp;DAY(Variables!$A$2)</f>
        <v>-24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8" s="30" t="e">
        <f>VLOOKUP(B18,'Train Runs'!$A$13:$A$100154,1,FALSE)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43063.037152777775</v>
      </c>
      <c r="B2" s="20" t="s">
        <v>678</v>
      </c>
      <c r="C2" s="20" t="s">
        <v>679</v>
      </c>
      <c r="D2" s="137">
        <v>3680000</v>
      </c>
      <c r="E2" s="20" t="s">
        <v>507</v>
      </c>
      <c r="F2" s="20" t="s">
        <v>508</v>
      </c>
      <c r="G2" s="8" t="str">
        <f>E2&amp;" "&amp;F2</f>
        <v>HAMMOND JUSTYNN</v>
      </c>
      <c r="H2" t="str">
        <f>MID(B2,13,4)</f>
        <v>4031</v>
      </c>
    </row>
    <row r="3" spans="1:8" x14ac:dyDescent="0.25">
      <c r="A3" s="8">
        <v>43063.047037037039</v>
      </c>
      <c r="B3" s="20" t="s">
        <v>523</v>
      </c>
      <c r="C3" s="20" t="s">
        <v>680</v>
      </c>
      <c r="D3" s="137">
        <v>2610000</v>
      </c>
      <c r="E3" s="20" t="s">
        <v>381</v>
      </c>
      <c r="F3" s="20" t="s">
        <v>382</v>
      </c>
      <c r="G3" s="8" t="str">
        <f t="shared" ref="G3:G66" si="0">E3&amp;" "&amp;F3</f>
        <v>MAGEE KENYA</v>
      </c>
      <c r="H3" s="20" t="str">
        <f t="shared" ref="H3:H66" si="1">MID(B3,13,4)</f>
        <v>4056</v>
      </c>
    </row>
    <row r="4" spans="1:8" x14ac:dyDescent="0.25">
      <c r="A4" s="8">
        <v>43063.049768518518</v>
      </c>
      <c r="B4" s="20" t="s">
        <v>681</v>
      </c>
      <c r="C4" s="20" t="s">
        <v>682</v>
      </c>
      <c r="D4" s="137">
        <v>3490000</v>
      </c>
      <c r="E4" s="20" t="s">
        <v>566</v>
      </c>
      <c r="F4" s="20" t="s">
        <v>567</v>
      </c>
      <c r="G4" s="8" t="str">
        <f t="shared" si="0"/>
        <v>WEST BRYAN</v>
      </c>
      <c r="H4" s="20" t="str">
        <f t="shared" si="1"/>
        <v>4023</v>
      </c>
    </row>
    <row r="5" spans="1:8" x14ac:dyDescent="0.25">
      <c r="A5" s="8">
        <v>43063.06863425926</v>
      </c>
      <c r="B5" s="20" t="s">
        <v>683</v>
      </c>
      <c r="C5" s="20" t="s">
        <v>684</v>
      </c>
      <c r="D5" s="137">
        <v>3680000</v>
      </c>
      <c r="E5" s="20" t="s">
        <v>507</v>
      </c>
      <c r="F5" s="20" t="s">
        <v>508</v>
      </c>
      <c r="G5" s="8" t="str">
        <f t="shared" si="0"/>
        <v>HAMMOND JUSTYNN</v>
      </c>
      <c r="H5" s="20" t="str">
        <f t="shared" si="1"/>
        <v>4032</v>
      </c>
    </row>
    <row r="6" spans="1:8" x14ac:dyDescent="0.25">
      <c r="A6" s="8">
        <v>43063.088784722226</v>
      </c>
      <c r="B6" s="20" t="s">
        <v>685</v>
      </c>
      <c r="C6" s="20" t="s">
        <v>686</v>
      </c>
      <c r="D6" s="137">
        <v>3490000</v>
      </c>
      <c r="E6" s="20" t="s">
        <v>566</v>
      </c>
      <c r="F6" s="20" t="s">
        <v>567</v>
      </c>
      <c r="G6" s="8" t="str">
        <f t="shared" si="0"/>
        <v>WEST BRYAN</v>
      </c>
      <c r="H6" s="20" t="str">
        <f t="shared" si="1"/>
        <v>4024</v>
      </c>
    </row>
    <row r="7" spans="1:8" x14ac:dyDescent="0.25">
      <c r="A7" s="8">
        <v>43063.120486111111</v>
      </c>
      <c r="B7" s="20" t="s">
        <v>554</v>
      </c>
      <c r="C7" s="20" t="s">
        <v>687</v>
      </c>
      <c r="D7" s="137">
        <v>900000</v>
      </c>
      <c r="E7" s="20" t="s">
        <v>688</v>
      </c>
      <c r="F7" s="20" t="s">
        <v>689</v>
      </c>
      <c r="G7" s="8" t="str">
        <f t="shared" si="0"/>
        <v>ROCHA YAOTL</v>
      </c>
      <c r="H7" s="20" t="str">
        <f t="shared" si="1"/>
        <v>4063</v>
      </c>
    </row>
    <row r="8" spans="1:8" x14ac:dyDescent="0.25">
      <c r="A8" s="8">
        <v>43063.121539351851</v>
      </c>
      <c r="B8" s="20" t="s">
        <v>554</v>
      </c>
      <c r="C8" s="20" t="s">
        <v>687</v>
      </c>
      <c r="D8" s="137">
        <v>900000</v>
      </c>
      <c r="E8" s="20" t="s">
        <v>688</v>
      </c>
      <c r="F8" s="20" t="s">
        <v>689</v>
      </c>
      <c r="G8" s="8" t="str">
        <f t="shared" si="0"/>
        <v>ROCHA YAOTL</v>
      </c>
      <c r="H8" s="20" t="str">
        <f t="shared" si="1"/>
        <v>4063</v>
      </c>
    </row>
    <row r="9" spans="1:8" ht="15.75" thickBot="1" x14ac:dyDescent="0.3">
      <c r="A9" s="24">
        <v>43063.131631944445</v>
      </c>
      <c r="B9" s="20" t="s">
        <v>555</v>
      </c>
      <c r="C9" s="20" t="s">
        <v>690</v>
      </c>
      <c r="D9" s="137">
        <v>1090000</v>
      </c>
      <c r="E9" s="20" t="s">
        <v>556</v>
      </c>
      <c r="F9" s="20" t="s">
        <v>353</v>
      </c>
      <c r="G9" s="8" t="str">
        <f t="shared" si="0"/>
        <v>SPECTOR MICHAEL</v>
      </c>
      <c r="H9" s="20" t="str">
        <f t="shared" si="1"/>
        <v>4064</v>
      </c>
    </row>
    <row r="10" spans="1:8" x14ac:dyDescent="0.25">
      <c r="A10" s="8">
        <v>43063.13244212963</v>
      </c>
      <c r="B10" s="20" t="s">
        <v>691</v>
      </c>
      <c r="C10" s="20" t="s">
        <v>692</v>
      </c>
      <c r="D10" s="137">
        <v>900000</v>
      </c>
      <c r="E10" s="20" t="s">
        <v>688</v>
      </c>
      <c r="F10" s="20" t="s">
        <v>689</v>
      </c>
      <c r="G10" s="8" t="str">
        <f t="shared" si="0"/>
        <v>ROCHA YAOTL</v>
      </c>
      <c r="H10" s="20" t="str">
        <f t="shared" si="1"/>
        <v>4016</v>
      </c>
    </row>
    <row r="11" spans="1:8" x14ac:dyDescent="0.25">
      <c r="A11" s="8">
        <v>43063.140902777777</v>
      </c>
      <c r="B11" s="20" t="s">
        <v>554</v>
      </c>
      <c r="C11" s="20" t="s">
        <v>693</v>
      </c>
      <c r="D11" s="137">
        <v>1090000</v>
      </c>
      <c r="E11" s="20" t="s">
        <v>556</v>
      </c>
      <c r="F11" s="20" t="s">
        <v>353</v>
      </c>
      <c r="G11" s="8" t="str">
        <f t="shared" si="0"/>
        <v>SPECTOR MICHAEL</v>
      </c>
      <c r="H11" s="20" t="str">
        <f t="shared" si="1"/>
        <v>4063</v>
      </c>
    </row>
    <row r="12" spans="1:8" x14ac:dyDescent="0.25">
      <c r="A12" s="8">
        <v>43063.141111111108</v>
      </c>
      <c r="B12" s="20" t="s">
        <v>667</v>
      </c>
      <c r="C12" s="20" t="s">
        <v>694</v>
      </c>
      <c r="D12" s="137">
        <v>2010000</v>
      </c>
      <c r="E12" s="20" t="s">
        <v>695</v>
      </c>
      <c r="F12" s="20" t="s">
        <v>696</v>
      </c>
      <c r="G12" s="8" t="str">
        <f t="shared" si="0"/>
        <v>MAELZER KURT</v>
      </c>
      <c r="H12" s="20" t="str">
        <f t="shared" si="1"/>
        <v>4005</v>
      </c>
    </row>
    <row r="13" spans="1:8" x14ac:dyDescent="0.25">
      <c r="A13" s="8">
        <v>43063.153831018521</v>
      </c>
      <c r="B13" s="20" t="s">
        <v>670</v>
      </c>
      <c r="C13" s="20" t="s">
        <v>697</v>
      </c>
      <c r="D13" s="137">
        <v>2010000</v>
      </c>
      <c r="E13" s="20" t="s">
        <v>695</v>
      </c>
      <c r="F13" s="20" t="s">
        <v>696</v>
      </c>
      <c r="G13" s="8" t="str">
        <f t="shared" si="0"/>
        <v>MAELZER KURT</v>
      </c>
      <c r="H13" s="20" t="str">
        <f t="shared" si="1"/>
        <v>4006</v>
      </c>
    </row>
    <row r="14" spans="1:8" x14ac:dyDescent="0.25">
      <c r="A14" s="8">
        <v>43063.161435185182</v>
      </c>
      <c r="B14" s="20" t="s">
        <v>444</v>
      </c>
      <c r="C14" s="20" t="s">
        <v>698</v>
      </c>
      <c r="D14" s="137">
        <v>1110000</v>
      </c>
      <c r="E14" s="20" t="s">
        <v>557</v>
      </c>
      <c r="F14" s="20" t="s">
        <v>558</v>
      </c>
      <c r="G14" s="8" t="str">
        <f t="shared" si="0"/>
        <v>STARKS ANGELINA</v>
      </c>
      <c r="H14" s="20" t="str">
        <f t="shared" si="1"/>
        <v>4009</v>
      </c>
    </row>
    <row r="15" spans="1:8" x14ac:dyDescent="0.25">
      <c r="A15" s="8">
        <v>43063.17046296296</v>
      </c>
      <c r="B15" s="20" t="s">
        <v>368</v>
      </c>
      <c r="C15" s="20" t="s">
        <v>699</v>
      </c>
      <c r="D15" s="137">
        <v>3840000</v>
      </c>
      <c r="E15" s="20" t="s">
        <v>700</v>
      </c>
      <c r="F15" s="20" t="s">
        <v>701</v>
      </c>
      <c r="G15" s="8" t="str">
        <f t="shared" si="0"/>
        <v>LONG FULLER</v>
      </c>
      <c r="H15" s="20" t="str">
        <f t="shared" si="1"/>
        <v>4035</v>
      </c>
    </row>
    <row r="16" spans="1:8" x14ac:dyDescent="0.25">
      <c r="A16" s="8">
        <v>43063.173634259256</v>
      </c>
      <c r="B16" s="20" t="s">
        <v>658</v>
      </c>
      <c r="C16" s="20" t="s">
        <v>702</v>
      </c>
      <c r="D16" s="137">
        <v>900000</v>
      </c>
      <c r="E16" s="20" t="s">
        <v>688</v>
      </c>
      <c r="F16" s="20" t="s">
        <v>689</v>
      </c>
      <c r="G16" s="8" t="str">
        <f t="shared" si="0"/>
        <v>ROCHA YAOTL</v>
      </c>
      <c r="H16" s="20" t="str">
        <f t="shared" si="1"/>
        <v>4015</v>
      </c>
    </row>
    <row r="17" spans="1:8" x14ac:dyDescent="0.25">
      <c r="A17" s="8">
        <v>43063.174583333333</v>
      </c>
      <c r="B17" s="20" t="s">
        <v>445</v>
      </c>
      <c r="C17" s="20" t="s">
        <v>703</v>
      </c>
      <c r="D17" s="137">
        <v>1110000</v>
      </c>
      <c r="E17" s="20" t="s">
        <v>557</v>
      </c>
      <c r="F17" s="20" t="s">
        <v>558</v>
      </c>
      <c r="G17" s="8" t="str">
        <f t="shared" si="0"/>
        <v>STARKS ANGELINA</v>
      </c>
      <c r="H17" s="20" t="str">
        <f t="shared" si="1"/>
        <v>4010</v>
      </c>
    </row>
    <row r="18" spans="1:8" x14ac:dyDescent="0.25">
      <c r="A18" s="8">
        <v>43063.182071759256</v>
      </c>
      <c r="B18" s="20" t="s">
        <v>367</v>
      </c>
      <c r="C18" s="20" t="s">
        <v>704</v>
      </c>
      <c r="D18" s="137">
        <v>3840000</v>
      </c>
      <c r="E18" s="20" t="s">
        <v>700</v>
      </c>
      <c r="F18" s="20" t="s">
        <v>701</v>
      </c>
      <c r="G18" s="8" t="str">
        <f t="shared" si="0"/>
        <v>LONG FULLER</v>
      </c>
      <c r="H18" s="20" t="str">
        <f t="shared" si="1"/>
        <v>4036</v>
      </c>
    </row>
    <row r="19" spans="1:8" x14ac:dyDescent="0.25">
      <c r="A19" s="8">
        <v>43063.182337962964</v>
      </c>
      <c r="B19" s="20" t="s">
        <v>705</v>
      </c>
      <c r="C19" s="20" t="s">
        <v>706</v>
      </c>
      <c r="D19" s="137">
        <v>3180000</v>
      </c>
      <c r="E19" s="20" t="s">
        <v>707</v>
      </c>
      <c r="F19" s="20" t="s">
        <v>708</v>
      </c>
      <c r="G19" s="8" t="str">
        <f t="shared" si="0"/>
        <v>HUFFSMITH MONTY</v>
      </c>
      <c r="H19" s="20" t="str">
        <f t="shared" si="1"/>
        <v>4001</v>
      </c>
    </row>
    <row r="20" spans="1:8" x14ac:dyDescent="0.25">
      <c r="A20" s="8">
        <v>43063.193344907406</v>
      </c>
      <c r="B20" s="20" t="s">
        <v>667</v>
      </c>
      <c r="C20" s="20" t="s">
        <v>709</v>
      </c>
      <c r="D20" s="137">
        <v>2010000</v>
      </c>
      <c r="E20" s="20" t="s">
        <v>695</v>
      </c>
      <c r="F20" s="20" t="s">
        <v>696</v>
      </c>
      <c r="G20" s="8" t="str">
        <f t="shared" si="0"/>
        <v>MAELZER KURT</v>
      </c>
      <c r="H20" s="20" t="str">
        <f t="shared" si="1"/>
        <v>4005</v>
      </c>
    </row>
    <row r="21" spans="1:8" x14ac:dyDescent="0.25">
      <c r="A21" s="8">
        <v>43063.193425925929</v>
      </c>
      <c r="B21" s="20" t="s">
        <v>710</v>
      </c>
      <c r="C21" s="20" t="s">
        <v>711</v>
      </c>
      <c r="D21" s="137">
        <v>3180000</v>
      </c>
      <c r="E21" s="20" t="s">
        <v>707</v>
      </c>
      <c r="F21" s="20" t="s">
        <v>708</v>
      </c>
      <c r="G21" s="8" t="str">
        <f t="shared" si="0"/>
        <v>HUFFSMITH MONTY</v>
      </c>
      <c r="H21" s="20" t="str">
        <f t="shared" si="1"/>
        <v>4002</v>
      </c>
    </row>
    <row r="22" spans="1:8" x14ac:dyDescent="0.25">
      <c r="A22" s="26">
        <v>43063.195104166669</v>
      </c>
      <c r="B22" s="20" t="s">
        <v>547</v>
      </c>
      <c r="C22" s="20" t="s">
        <v>712</v>
      </c>
      <c r="D22" s="137">
        <v>3040000</v>
      </c>
      <c r="E22" s="20" t="s">
        <v>369</v>
      </c>
      <c r="F22" s="20" t="s">
        <v>713</v>
      </c>
      <c r="G22" s="8" t="str">
        <f t="shared" si="0"/>
        <v>WILLIAMS DONTE</v>
      </c>
      <c r="H22" s="20" t="str">
        <f t="shared" si="1"/>
        <v>4040</v>
      </c>
    </row>
    <row r="23" spans="1:8" x14ac:dyDescent="0.25">
      <c r="A23" s="8">
        <v>43063.201689814814</v>
      </c>
      <c r="B23" s="20" t="s">
        <v>447</v>
      </c>
      <c r="C23" s="20" t="s">
        <v>714</v>
      </c>
      <c r="D23" s="137">
        <v>2560000</v>
      </c>
      <c r="E23" s="20" t="s">
        <v>479</v>
      </c>
      <c r="F23" s="20" t="s">
        <v>480</v>
      </c>
      <c r="G23" s="8" t="str">
        <f t="shared" si="0"/>
        <v>MACDONALD THOMAS</v>
      </c>
      <c r="H23" s="20" t="str">
        <f t="shared" si="1"/>
        <v>4049</v>
      </c>
    </row>
    <row r="24" spans="1:8" x14ac:dyDescent="0.25">
      <c r="A24" s="8">
        <v>43063.203043981484</v>
      </c>
      <c r="B24" s="20" t="s">
        <v>691</v>
      </c>
      <c r="C24" s="20" t="s">
        <v>715</v>
      </c>
      <c r="D24" s="137">
        <v>900000</v>
      </c>
      <c r="E24" s="20" t="s">
        <v>688</v>
      </c>
      <c r="F24" s="20" t="s">
        <v>689</v>
      </c>
      <c r="G24" s="8" t="str">
        <f t="shared" si="0"/>
        <v>ROCHA YAOTL</v>
      </c>
      <c r="H24" s="20" t="str">
        <f t="shared" si="1"/>
        <v>4016</v>
      </c>
    </row>
    <row r="25" spans="1:8" x14ac:dyDescent="0.25">
      <c r="A25" s="8">
        <v>43063.206273148149</v>
      </c>
      <c r="B25" s="20" t="s">
        <v>444</v>
      </c>
      <c r="C25" s="20" t="s">
        <v>716</v>
      </c>
      <c r="D25" s="137">
        <v>1110000</v>
      </c>
      <c r="E25" s="20" t="s">
        <v>557</v>
      </c>
      <c r="F25" s="20" t="s">
        <v>558</v>
      </c>
      <c r="G25" s="8" t="str">
        <f t="shared" si="0"/>
        <v>STARKS ANGELINA</v>
      </c>
      <c r="H25" s="20" t="str">
        <f t="shared" si="1"/>
        <v>4009</v>
      </c>
    </row>
    <row r="26" spans="1:8" x14ac:dyDescent="0.25">
      <c r="A26" s="8">
        <v>43063.207881944443</v>
      </c>
      <c r="B26" s="20" t="s">
        <v>548</v>
      </c>
      <c r="C26" s="20" t="s">
        <v>717</v>
      </c>
      <c r="D26" s="137">
        <v>3040000</v>
      </c>
      <c r="E26" s="20" t="s">
        <v>369</v>
      </c>
      <c r="F26" s="20" t="s">
        <v>713</v>
      </c>
      <c r="G26" s="8" t="str">
        <f t="shared" si="0"/>
        <v>WILLIAMS DONTE</v>
      </c>
      <c r="H26" s="20" t="str">
        <f t="shared" si="1"/>
        <v>4039</v>
      </c>
    </row>
    <row r="27" spans="1:8" x14ac:dyDescent="0.25">
      <c r="A27" s="8">
        <v>43063.214884259258</v>
      </c>
      <c r="B27" s="20" t="s">
        <v>448</v>
      </c>
      <c r="C27" s="20" t="s">
        <v>718</v>
      </c>
      <c r="D27" s="137">
        <v>2560000</v>
      </c>
      <c r="E27" s="20" t="s">
        <v>479</v>
      </c>
      <c r="F27" s="20" t="s">
        <v>480</v>
      </c>
      <c r="G27" s="8" t="str">
        <f t="shared" si="0"/>
        <v>MACDONALD THOMAS</v>
      </c>
      <c r="H27" s="20" t="str">
        <f t="shared" si="1"/>
        <v>4050</v>
      </c>
    </row>
    <row r="28" spans="1:8" x14ac:dyDescent="0.25">
      <c r="A28" s="8">
        <v>43063.221296296295</v>
      </c>
      <c r="B28" s="20" t="s">
        <v>719</v>
      </c>
      <c r="C28" s="20" t="s">
        <v>720</v>
      </c>
      <c r="D28" s="137">
        <v>3790000</v>
      </c>
      <c r="E28" s="20" t="s">
        <v>721</v>
      </c>
      <c r="F28" s="20" t="s">
        <v>722</v>
      </c>
      <c r="G28" s="8" t="str">
        <f t="shared" si="0"/>
        <v>NICHOLAS PLOYSA</v>
      </c>
      <c r="H28" s="20" t="str">
        <f t="shared" si="1"/>
        <v>4033</v>
      </c>
    </row>
    <row r="29" spans="1:8" x14ac:dyDescent="0.25">
      <c r="A29" s="8">
        <v>43063.221909722219</v>
      </c>
      <c r="B29" s="20" t="s">
        <v>368</v>
      </c>
      <c r="C29" s="20" t="s">
        <v>723</v>
      </c>
      <c r="D29" s="137">
        <v>3840000</v>
      </c>
      <c r="E29" s="20" t="s">
        <v>700</v>
      </c>
      <c r="F29" s="20" t="s">
        <v>701</v>
      </c>
      <c r="G29" s="8" t="str">
        <f t="shared" si="0"/>
        <v>LONG FULLER</v>
      </c>
      <c r="H29" s="20" t="str">
        <f t="shared" si="1"/>
        <v>4035</v>
      </c>
    </row>
    <row r="30" spans="1:8" x14ac:dyDescent="0.25">
      <c r="A30" s="8">
        <v>43063.224687499998</v>
      </c>
      <c r="B30" s="20" t="s">
        <v>719</v>
      </c>
      <c r="C30" s="20" t="s">
        <v>724</v>
      </c>
      <c r="D30" s="137">
        <v>3790000</v>
      </c>
      <c r="E30" s="20" t="s">
        <v>721</v>
      </c>
      <c r="F30" s="20" t="s">
        <v>722</v>
      </c>
      <c r="G30" s="8" t="str">
        <f t="shared" si="0"/>
        <v>NICHOLAS PLOYSA</v>
      </c>
      <c r="H30" s="20" t="str">
        <f t="shared" si="1"/>
        <v>4033</v>
      </c>
    </row>
    <row r="31" spans="1:8" x14ac:dyDescent="0.25">
      <c r="A31" s="8">
        <v>43063.224710648145</v>
      </c>
      <c r="B31" s="20" t="s">
        <v>670</v>
      </c>
      <c r="C31" s="20" t="s">
        <v>725</v>
      </c>
      <c r="D31" s="137">
        <v>2010000</v>
      </c>
      <c r="E31" s="20" t="s">
        <v>695</v>
      </c>
      <c r="F31" s="20" t="s">
        <v>696</v>
      </c>
      <c r="G31" s="8" t="str">
        <f t="shared" si="0"/>
        <v>MAELZER KURT</v>
      </c>
      <c r="H31" s="20" t="str">
        <f t="shared" si="1"/>
        <v>4006</v>
      </c>
    </row>
    <row r="32" spans="1:8" x14ac:dyDescent="0.25">
      <c r="A32" s="8">
        <v>43063.228854166664</v>
      </c>
      <c r="B32" s="20" t="s">
        <v>547</v>
      </c>
      <c r="C32" s="20" t="s">
        <v>726</v>
      </c>
      <c r="D32" s="137">
        <v>3040000</v>
      </c>
      <c r="E32" s="20" t="s">
        <v>369</v>
      </c>
      <c r="F32" s="20" t="s">
        <v>713</v>
      </c>
      <c r="G32" s="8" t="str">
        <f t="shared" si="0"/>
        <v>WILLIAMS DONTE</v>
      </c>
      <c r="H32" s="20" t="str">
        <f t="shared" si="1"/>
        <v>4040</v>
      </c>
    </row>
    <row r="33" spans="1:8" x14ac:dyDescent="0.25">
      <c r="A33" s="8">
        <v>43063.23238425926</v>
      </c>
      <c r="B33" s="20" t="s">
        <v>705</v>
      </c>
      <c r="C33" s="20" t="s">
        <v>727</v>
      </c>
      <c r="D33" s="137">
        <v>3180000</v>
      </c>
      <c r="E33" s="20" t="s">
        <v>707</v>
      </c>
      <c r="F33" s="20" t="s">
        <v>708</v>
      </c>
      <c r="G33" s="8" t="str">
        <f t="shared" si="0"/>
        <v>HUFFSMITH MONTY</v>
      </c>
      <c r="H33" s="20" t="str">
        <f t="shared" si="1"/>
        <v>4001</v>
      </c>
    </row>
    <row r="34" spans="1:8" x14ac:dyDescent="0.25">
      <c r="A34" s="8">
        <v>43063.235833333332</v>
      </c>
      <c r="B34" s="20" t="s">
        <v>660</v>
      </c>
      <c r="C34" s="20" t="s">
        <v>720</v>
      </c>
      <c r="D34" s="137">
        <v>3790000</v>
      </c>
      <c r="E34" s="20" t="s">
        <v>721</v>
      </c>
      <c r="F34" s="20" t="s">
        <v>722</v>
      </c>
      <c r="G34" s="8" t="str">
        <f t="shared" si="0"/>
        <v>NICHOLAS PLOYSA</v>
      </c>
      <c r="H34" s="20" t="str">
        <f t="shared" si="1"/>
        <v>4034</v>
      </c>
    </row>
    <row r="35" spans="1:8" x14ac:dyDescent="0.25">
      <c r="A35" s="8">
        <v>43063.242442129631</v>
      </c>
      <c r="B35" s="20" t="s">
        <v>391</v>
      </c>
      <c r="C35" s="20" t="s">
        <v>728</v>
      </c>
      <c r="D35" s="137">
        <v>1340000</v>
      </c>
      <c r="E35" s="20" t="s">
        <v>729</v>
      </c>
      <c r="F35" s="20" t="s">
        <v>730</v>
      </c>
      <c r="G35" s="8" t="str">
        <f t="shared" si="0"/>
        <v>BEAM ROSS</v>
      </c>
      <c r="H35" s="20" t="str">
        <f t="shared" si="1"/>
        <v>4059</v>
      </c>
    </row>
    <row r="36" spans="1:8" x14ac:dyDescent="0.25">
      <c r="A36" s="8">
        <v>43063.246041666665</v>
      </c>
      <c r="B36" s="20" t="s">
        <v>445</v>
      </c>
      <c r="C36" s="20" t="s">
        <v>731</v>
      </c>
      <c r="D36" s="137">
        <v>1110000</v>
      </c>
      <c r="E36" s="20" t="s">
        <v>557</v>
      </c>
      <c r="F36" s="20" t="s">
        <v>558</v>
      </c>
      <c r="G36" s="8" t="str">
        <f t="shared" si="0"/>
        <v>STARKS ANGELINA</v>
      </c>
      <c r="H36" s="20" t="str">
        <f t="shared" si="1"/>
        <v>4010</v>
      </c>
    </row>
    <row r="37" spans="1:8" x14ac:dyDescent="0.25">
      <c r="A37" s="8">
        <v>43063.247245370374</v>
      </c>
      <c r="B37" s="20" t="s">
        <v>658</v>
      </c>
      <c r="C37" s="20" t="s">
        <v>659</v>
      </c>
      <c r="D37" s="137">
        <v>900000</v>
      </c>
      <c r="E37" s="20" t="s">
        <v>688</v>
      </c>
      <c r="F37" s="20" t="s">
        <v>689</v>
      </c>
      <c r="G37" s="8" t="str">
        <f t="shared" si="0"/>
        <v>ROCHA YAOTL</v>
      </c>
      <c r="H37" s="20" t="str">
        <f t="shared" si="1"/>
        <v>4015</v>
      </c>
    </row>
    <row r="38" spans="1:8" x14ac:dyDescent="0.25">
      <c r="A38" s="8">
        <v>43063.248900462961</v>
      </c>
      <c r="B38" s="20" t="s">
        <v>548</v>
      </c>
      <c r="C38" s="20" t="s">
        <v>732</v>
      </c>
      <c r="D38" s="137">
        <v>3040000</v>
      </c>
      <c r="E38" s="20" t="s">
        <v>369</v>
      </c>
      <c r="F38" s="20" t="s">
        <v>713</v>
      </c>
      <c r="G38" s="8" t="str">
        <f t="shared" si="0"/>
        <v>WILLIAMS DONTE</v>
      </c>
      <c r="H38" s="20" t="str">
        <f t="shared" si="1"/>
        <v>4039</v>
      </c>
    </row>
    <row r="39" spans="1:8" x14ac:dyDescent="0.25">
      <c r="A39" s="8">
        <v>43063.25236111111</v>
      </c>
      <c r="B39" s="20" t="s">
        <v>358</v>
      </c>
      <c r="C39" s="20" t="s">
        <v>733</v>
      </c>
      <c r="D39" s="137">
        <v>1340000</v>
      </c>
      <c r="E39" s="20" t="s">
        <v>729</v>
      </c>
      <c r="F39" s="20" t="s">
        <v>730</v>
      </c>
      <c r="G39" s="8" t="str">
        <f t="shared" si="0"/>
        <v>BEAM ROSS</v>
      </c>
      <c r="H39" s="20" t="str">
        <f t="shared" si="1"/>
        <v>4060</v>
      </c>
    </row>
    <row r="40" spans="1:8" x14ac:dyDescent="0.25">
      <c r="A40" s="8">
        <v>43063.252453703702</v>
      </c>
      <c r="B40" s="25" t="s">
        <v>447</v>
      </c>
      <c r="C40" s="20" t="s">
        <v>734</v>
      </c>
      <c r="D40" s="137">
        <v>2560000</v>
      </c>
      <c r="E40" s="20" t="s">
        <v>479</v>
      </c>
      <c r="F40" s="20" t="s">
        <v>480</v>
      </c>
      <c r="G40" s="8" t="str">
        <f t="shared" si="0"/>
        <v>MACDONALD THOMAS</v>
      </c>
      <c r="H40" s="20" t="str">
        <f t="shared" si="1"/>
        <v>4049</v>
      </c>
    </row>
    <row r="41" spans="1:8" x14ac:dyDescent="0.25">
      <c r="A41" s="8">
        <v>43063.256608796299</v>
      </c>
      <c r="B41" s="20" t="s">
        <v>367</v>
      </c>
      <c r="C41" s="20" t="s">
        <v>735</v>
      </c>
      <c r="D41" s="137">
        <v>3840000</v>
      </c>
      <c r="E41" s="20" t="s">
        <v>700</v>
      </c>
      <c r="F41" s="20" t="s">
        <v>701</v>
      </c>
      <c r="G41" s="8" t="str">
        <f t="shared" si="0"/>
        <v>LONG FULLER</v>
      </c>
      <c r="H41" s="20" t="str">
        <f t="shared" si="1"/>
        <v>4036</v>
      </c>
    </row>
    <row r="42" spans="1:8" x14ac:dyDescent="0.25">
      <c r="A42" s="8">
        <v>43063.263344907406</v>
      </c>
      <c r="B42" s="20" t="s">
        <v>667</v>
      </c>
      <c r="C42" s="20" t="s">
        <v>736</v>
      </c>
      <c r="D42" s="137">
        <v>2010000</v>
      </c>
      <c r="E42" s="20" t="s">
        <v>695</v>
      </c>
      <c r="F42" s="20" t="s">
        <v>696</v>
      </c>
      <c r="G42" s="8" t="str">
        <f t="shared" si="0"/>
        <v>MAELZER KURT</v>
      </c>
      <c r="H42" s="20" t="str">
        <f t="shared" si="1"/>
        <v>4005</v>
      </c>
    </row>
    <row r="43" spans="1:8" x14ac:dyDescent="0.25">
      <c r="A43" s="8">
        <v>43063.266527777778</v>
      </c>
      <c r="B43" s="20" t="s">
        <v>710</v>
      </c>
      <c r="C43" s="20" t="s">
        <v>737</v>
      </c>
      <c r="D43" s="137">
        <v>3180000</v>
      </c>
      <c r="E43" s="20" t="s">
        <v>707</v>
      </c>
      <c r="F43" s="20" t="s">
        <v>708</v>
      </c>
      <c r="G43" s="8" t="str">
        <f t="shared" si="0"/>
        <v>HUFFSMITH MONTY</v>
      </c>
      <c r="H43" s="20" t="str">
        <f t="shared" si="1"/>
        <v>4002</v>
      </c>
    </row>
    <row r="44" spans="1:8" x14ac:dyDescent="0.25">
      <c r="A44" s="8">
        <v>43063.266562500001</v>
      </c>
      <c r="B44" s="20" t="s">
        <v>719</v>
      </c>
      <c r="C44" s="20" t="s">
        <v>738</v>
      </c>
      <c r="D44" s="137">
        <v>3790000</v>
      </c>
      <c r="E44" s="20" t="s">
        <v>721</v>
      </c>
      <c r="F44" s="20" t="s">
        <v>722</v>
      </c>
      <c r="G44" s="8" t="str">
        <f t="shared" si="0"/>
        <v>NICHOLAS PLOYSA</v>
      </c>
      <c r="H44" s="20" t="str">
        <f t="shared" si="1"/>
        <v>4033</v>
      </c>
    </row>
    <row r="45" spans="1:8" x14ac:dyDescent="0.25">
      <c r="A45" s="8">
        <v>43063.268460648149</v>
      </c>
      <c r="B45" s="20" t="s">
        <v>391</v>
      </c>
      <c r="C45" s="20" t="s">
        <v>739</v>
      </c>
      <c r="D45" s="137">
        <v>1340000</v>
      </c>
      <c r="E45" s="20" t="s">
        <v>729</v>
      </c>
      <c r="F45" s="20" t="s">
        <v>730</v>
      </c>
      <c r="G45" s="8" t="str">
        <f t="shared" si="0"/>
        <v>BEAM ROSS</v>
      </c>
      <c r="H45" s="20" t="str">
        <f t="shared" si="1"/>
        <v>4059</v>
      </c>
    </row>
    <row r="46" spans="1:8" x14ac:dyDescent="0.25">
      <c r="A46" s="8">
        <v>43063.275416666664</v>
      </c>
      <c r="B46" s="20" t="s">
        <v>547</v>
      </c>
      <c r="C46" s="20" t="s">
        <v>740</v>
      </c>
      <c r="D46" s="137">
        <v>3040000</v>
      </c>
      <c r="E46" s="20" t="s">
        <v>369</v>
      </c>
      <c r="F46" s="20" t="s">
        <v>713</v>
      </c>
      <c r="G46" s="8" t="str">
        <f t="shared" si="0"/>
        <v>WILLIAMS DONTE</v>
      </c>
      <c r="H46" s="20" t="str">
        <f t="shared" si="1"/>
        <v>4040</v>
      </c>
    </row>
    <row r="47" spans="1:8" x14ac:dyDescent="0.25">
      <c r="A47" s="8">
        <v>43063.280185185184</v>
      </c>
      <c r="B47" s="20" t="s">
        <v>691</v>
      </c>
      <c r="C47" s="20" t="s">
        <v>741</v>
      </c>
      <c r="D47" s="137">
        <v>900000</v>
      </c>
      <c r="E47" s="20" t="s">
        <v>688</v>
      </c>
      <c r="F47" s="20" t="s">
        <v>689</v>
      </c>
      <c r="G47" s="8" t="str">
        <f t="shared" si="0"/>
        <v>ROCHA YAOTL</v>
      </c>
      <c r="H47" s="20" t="str">
        <f t="shared" si="1"/>
        <v>4016</v>
      </c>
    </row>
    <row r="48" spans="1:8" x14ac:dyDescent="0.25">
      <c r="A48" s="8">
        <v>43063.286736111113</v>
      </c>
      <c r="B48" s="20" t="s">
        <v>444</v>
      </c>
      <c r="C48" s="20" t="s">
        <v>742</v>
      </c>
      <c r="D48" s="137">
        <v>1110000</v>
      </c>
      <c r="E48" s="20" t="s">
        <v>557</v>
      </c>
      <c r="F48" s="20" t="s">
        <v>558</v>
      </c>
      <c r="G48" s="8" t="str">
        <f t="shared" si="0"/>
        <v>STARKS ANGELINA</v>
      </c>
      <c r="H48" s="20" t="str">
        <f t="shared" si="1"/>
        <v>4009</v>
      </c>
    </row>
    <row r="49" spans="1:8" x14ac:dyDescent="0.25">
      <c r="A49" s="8">
        <v>43063.286747685182</v>
      </c>
      <c r="B49" s="20" t="s">
        <v>448</v>
      </c>
      <c r="C49" s="20" t="s">
        <v>743</v>
      </c>
      <c r="D49" s="137">
        <v>2560000</v>
      </c>
      <c r="E49" s="20" t="s">
        <v>479</v>
      </c>
      <c r="F49" s="20" t="s">
        <v>480</v>
      </c>
      <c r="G49" s="8" t="str">
        <f t="shared" si="0"/>
        <v>MACDONALD THOMAS</v>
      </c>
      <c r="H49" s="20" t="str">
        <f t="shared" si="1"/>
        <v>4050</v>
      </c>
    </row>
    <row r="50" spans="1:8" x14ac:dyDescent="0.25">
      <c r="A50" s="8">
        <v>43063.289212962962</v>
      </c>
      <c r="B50" s="20" t="s">
        <v>358</v>
      </c>
      <c r="C50" s="20" t="s">
        <v>744</v>
      </c>
      <c r="D50" s="137">
        <v>1340000</v>
      </c>
      <c r="E50" s="20" t="s">
        <v>729</v>
      </c>
      <c r="F50" s="20" t="s">
        <v>730</v>
      </c>
      <c r="G50" s="8" t="str">
        <f t="shared" si="0"/>
        <v>BEAM ROSS</v>
      </c>
      <c r="H50" s="20" t="str">
        <f t="shared" si="1"/>
        <v>4060</v>
      </c>
    </row>
    <row r="51" spans="1:8" x14ac:dyDescent="0.25">
      <c r="A51" s="8">
        <v>43063.290243055555</v>
      </c>
      <c r="B51" s="20" t="s">
        <v>548</v>
      </c>
      <c r="C51" s="20" t="s">
        <v>745</v>
      </c>
      <c r="D51" s="137">
        <v>3040000</v>
      </c>
      <c r="E51" s="20" t="s">
        <v>369</v>
      </c>
      <c r="F51" s="20" t="s">
        <v>713</v>
      </c>
      <c r="G51" s="8" t="str">
        <f t="shared" si="0"/>
        <v>WILLIAMS DONTE</v>
      </c>
      <c r="H51" s="20" t="str">
        <f t="shared" si="1"/>
        <v>4039</v>
      </c>
    </row>
    <row r="52" spans="1:8" x14ac:dyDescent="0.25">
      <c r="A52" s="8">
        <v>43063.294768518521</v>
      </c>
      <c r="B52" s="20" t="s">
        <v>368</v>
      </c>
      <c r="C52" s="20" t="s">
        <v>746</v>
      </c>
      <c r="D52" s="137">
        <v>3840000</v>
      </c>
      <c r="E52" s="20" t="s">
        <v>700</v>
      </c>
      <c r="F52" s="20" t="s">
        <v>701</v>
      </c>
      <c r="G52" s="8" t="str">
        <f t="shared" si="0"/>
        <v>LONG FULLER</v>
      </c>
      <c r="H52" s="20" t="str">
        <f t="shared" si="1"/>
        <v>4035</v>
      </c>
    </row>
    <row r="53" spans="1:8" x14ac:dyDescent="0.25">
      <c r="A53" s="8">
        <v>43063.298009259262</v>
      </c>
      <c r="B53" s="20" t="s">
        <v>670</v>
      </c>
      <c r="C53" s="20" t="s">
        <v>747</v>
      </c>
      <c r="D53" s="137">
        <v>2010000</v>
      </c>
      <c r="E53" s="20" t="s">
        <v>695</v>
      </c>
      <c r="F53" s="20" t="s">
        <v>696</v>
      </c>
      <c r="G53" s="8" t="str">
        <f t="shared" si="0"/>
        <v>MAELZER KURT</v>
      </c>
      <c r="H53" s="20" t="str">
        <f t="shared" si="1"/>
        <v>4006</v>
      </c>
    </row>
    <row r="54" spans="1:8" x14ac:dyDescent="0.25">
      <c r="A54" s="8">
        <v>43063.298495370371</v>
      </c>
      <c r="B54" s="20" t="s">
        <v>705</v>
      </c>
      <c r="C54" s="20" t="s">
        <v>748</v>
      </c>
      <c r="D54" s="137">
        <v>3180000</v>
      </c>
      <c r="E54" s="20" t="s">
        <v>707</v>
      </c>
      <c r="F54" s="20" t="s">
        <v>708</v>
      </c>
      <c r="G54" s="8" t="str">
        <f t="shared" si="0"/>
        <v>HUFFSMITH MONTY</v>
      </c>
      <c r="H54" s="20" t="str">
        <f t="shared" si="1"/>
        <v>4001</v>
      </c>
    </row>
    <row r="55" spans="1:8" x14ac:dyDescent="0.25">
      <c r="A55" s="8">
        <v>43063.307314814818</v>
      </c>
      <c r="B55" s="20" t="s">
        <v>660</v>
      </c>
      <c r="C55" s="20" t="s">
        <v>661</v>
      </c>
      <c r="D55" s="137">
        <v>3790000</v>
      </c>
      <c r="E55" s="20" t="s">
        <v>721</v>
      </c>
      <c r="F55" s="20" t="s">
        <v>722</v>
      </c>
      <c r="G55" s="8" t="str">
        <f t="shared" si="0"/>
        <v>NICHOLAS PLOYSA</v>
      </c>
      <c r="H55" s="20" t="str">
        <f t="shared" si="1"/>
        <v>4034</v>
      </c>
    </row>
    <row r="56" spans="1:8" x14ac:dyDescent="0.25">
      <c r="A56" s="8">
        <v>43063.309606481482</v>
      </c>
      <c r="B56" s="20" t="s">
        <v>391</v>
      </c>
      <c r="C56" s="20" t="s">
        <v>749</v>
      </c>
      <c r="D56" s="137">
        <v>1340000</v>
      </c>
      <c r="E56" s="20" t="s">
        <v>729</v>
      </c>
      <c r="F56" s="20" t="s">
        <v>730</v>
      </c>
      <c r="G56" s="8" t="str">
        <f t="shared" si="0"/>
        <v>BEAM ROSS</v>
      </c>
      <c r="H56" s="20" t="str">
        <f t="shared" si="1"/>
        <v>4059</v>
      </c>
    </row>
    <row r="57" spans="1:8" x14ac:dyDescent="0.25">
      <c r="A57" s="8">
        <v>43063.317164351851</v>
      </c>
      <c r="B57" s="20" t="s">
        <v>547</v>
      </c>
      <c r="C57" s="20" t="s">
        <v>750</v>
      </c>
      <c r="D57" s="137">
        <v>3040000</v>
      </c>
      <c r="E57" s="20" t="s">
        <v>369</v>
      </c>
      <c r="F57" s="20" t="s">
        <v>713</v>
      </c>
      <c r="G57" s="8" t="str">
        <f t="shared" si="0"/>
        <v>WILLIAMS DONTE</v>
      </c>
      <c r="H57" s="20" t="str">
        <f t="shared" si="1"/>
        <v>4040</v>
      </c>
    </row>
    <row r="58" spans="1:8" x14ac:dyDescent="0.25">
      <c r="A58" s="8">
        <v>43063.319421296299</v>
      </c>
      <c r="B58" s="20" t="s">
        <v>658</v>
      </c>
      <c r="C58" s="20" t="s">
        <v>751</v>
      </c>
      <c r="D58" s="137">
        <v>900000</v>
      </c>
      <c r="E58" s="20" t="s">
        <v>688</v>
      </c>
      <c r="F58" s="20" t="s">
        <v>689</v>
      </c>
      <c r="G58" s="8" t="str">
        <f t="shared" si="0"/>
        <v>ROCHA YAOTL</v>
      </c>
      <c r="H58" s="20" t="str">
        <f t="shared" si="1"/>
        <v>4015</v>
      </c>
    </row>
    <row r="59" spans="1:8" x14ac:dyDescent="0.25">
      <c r="A59" s="8">
        <v>43063.319687499999</v>
      </c>
      <c r="B59" s="20" t="s">
        <v>445</v>
      </c>
      <c r="C59" s="20" t="s">
        <v>752</v>
      </c>
      <c r="D59" s="137">
        <v>1110000</v>
      </c>
      <c r="E59" s="20" t="s">
        <v>557</v>
      </c>
      <c r="F59" s="20" t="s">
        <v>558</v>
      </c>
      <c r="G59" s="8" t="str">
        <f t="shared" si="0"/>
        <v>STARKS ANGELINA</v>
      </c>
      <c r="H59" s="20" t="str">
        <f t="shared" si="1"/>
        <v>4010</v>
      </c>
    </row>
    <row r="60" spans="1:8" x14ac:dyDescent="0.25">
      <c r="A60" s="8">
        <v>43063.329293981478</v>
      </c>
      <c r="B60" s="20" t="s">
        <v>367</v>
      </c>
      <c r="C60" s="20" t="s">
        <v>753</v>
      </c>
      <c r="D60" s="137">
        <v>3840000</v>
      </c>
      <c r="E60" s="20" t="s">
        <v>700</v>
      </c>
      <c r="F60" s="20" t="s">
        <v>701</v>
      </c>
      <c r="G60" s="8" t="str">
        <f t="shared" si="0"/>
        <v>LONG FULLER</v>
      </c>
      <c r="H60" s="20" t="str">
        <f t="shared" si="1"/>
        <v>4036</v>
      </c>
    </row>
    <row r="61" spans="1:8" x14ac:dyDescent="0.25">
      <c r="A61" s="8">
        <v>43063.329629629632</v>
      </c>
      <c r="B61" s="20" t="s">
        <v>447</v>
      </c>
      <c r="C61" s="20" t="s">
        <v>754</v>
      </c>
      <c r="D61" s="137">
        <v>2560000</v>
      </c>
      <c r="E61" s="20" t="s">
        <v>479</v>
      </c>
      <c r="F61" s="20" t="s">
        <v>480</v>
      </c>
      <c r="G61" s="8" t="str">
        <f t="shared" si="0"/>
        <v>MACDONALD THOMAS</v>
      </c>
      <c r="H61" s="20" t="str">
        <f t="shared" si="1"/>
        <v>4049</v>
      </c>
    </row>
    <row r="62" spans="1:8" x14ac:dyDescent="0.25">
      <c r="A62" s="8">
        <v>43063.330937500003</v>
      </c>
      <c r="B62" s="20" t="s">
        <v>358</v>
      </c>
      <c r="C62" s="20" t="s">
        <v>755</v>
      </c>
      <c r="D62" s="137">
        <v>1340000</v>
      </c>
      <c r="E62" s="20" t="s">
        <v>729</v>
      </c>
      <c r="F62" s="20" t="s">
        <v>730</v>
      </c>
      <c r="G62" s="8" t="str">
        <f t="shared" si="0"/>
        <v>BEAM ROSS</v>
      </c>
      <c r="H62" s="20" t="str">
        <f t="shared" si="1"/>
        <v>4060</v>
      </c>
    </row>
    <row r="63" spans="1:8" x14ac:dyDescent="0.25">
      <c r="A63" s="8">
        <v>43063.333379629628</v>
      </c>
      <c r="B63" s="20" t="s">
        <v>667</v>
      </c>
      <c r="C63" s="20" t="s">
        <v>756</v>
      </c>
      <c r="D63" s="137">
        <v>2010000</v>
      </c>
      <c r="E63" s="20" t="s">
        <v>695</v>
      </c>
      <c r="F63" s="20" t="s">
        <v>696</v>
      </c>
      <c r="G63" s="8" t="str">
        <f t="shared" si="0"/>
        <v>MAELZER KURT</v>
      </c>
      <c r="H63" s="20" t="str">
        <f t="shared" si="1"/>
        <v>4005</v>
      </c>
    </row>
    <row r="64" spans="1:8" x14ac:dyDescent="0.25">
      <c r="A64" s="26">
        <v>43063.338194444441</v>
      </c>
      <c r="B64" s="20" t="s">
        <v>548</v>
      </c>
      <c r="C64" s="20" t="s">
        <v>757</v>
      </c>
      <c r="D64" s="137">
        <v>3040000</v>
      </c>
      <c r="E64" s="20" t="s">
        <v>369</v>
      </c>
      <c r="F64" s="20" t="s">
        <v>713</v>
      </c>
      <c r="G64" s="8" t="str">
        <f t="shared" si="0"/>
        <v>WILLIAMS DONTE</v>
      </c>
      <c r="H64" s="20" t="str">
        <f t="shared" si="1"/>
        <v>4039</v>
      </c>
    </row>
    <row r="65" spans="1:8" x14ac:dyDescent="0.25">
      <c r="A65" s="8">
        <v>43063.340671296297</v>
      </c>
      <c r="B65" s="20" t="s">
        <v>719</v>
      </c>
      <c r="C65" s="20" t="s">
        <v>758</v>
      </c>
      <c r="D65" s="137">
        <v>3790000</v>
      </c>
      <c r="E65" s="20" t="s">
        <v>721</v>
      </c>
      <c r="F65" s="20" t="s">
        <v>722</v>
      </c>
      <c r="G65" s="8" t="str">
        <f t="shared" si="0"/>
        <v>NICHOLAS PLOYSA</v>
      </c>
      <c r="H65" s="20" t="str">
        <f t="shared" si="1"/>
        <v>4033</v>
      </c>
    </row>
    <row r="66" spans="1:8" x14ac:dyDescent="0.25">
      <c r="A66" s="8">
        <v>43063.342175925929</v>
      </c>
      <c r="B66" s="20" t="s">
        <v>710</v>
      </c>
      <c r="C66" s="20" t="s">
        <v>759</v>
      </c>
      <c r="D66" s="137">
        <v>3670000</v>
      </c>
      <c r="E66" s="20" t="s">
        <v>383</v>
      </c>
      <c r="F66" s="20" t="s">
        <v>369</v>
      </c>
      <c r="G66" s="8" t="str">
        <f t="shared" si="0"/>
        <v>ANDREA WILLIAMS</v>
      </c>
      <c r="H66" s="20" t="str">
        <f t="shared" si="1"/>
        <v>4002</v>
      </c>
    </row>
    <row r="67" spans="1:8" x14ac:dyDescent="0.25">
      <c r="A67" s="8">
        <v>43063.349803240744</v>
      </c>
      <c r="B67" s="20" t="s">
        <v>691</v>
      </c>
      <c r="C67" s="20" t="s">
        <v>760</v>
      </c>
      <c r="D67" s="137">
        <v>900000</v>
      </c>
      <c r="E67" s="20" t="s">
        <v>688</v>
      </c>
      <c r="F67" s="20" t="s">
        <v>689</v>
      </c>
      <c r="G67" s="8" t="str">
        <f t="shared" ref="G67:G130" si="2">E67&amp;" "&amp;F67</f>
        <v>ROCHA YAOTL</v>
      </c>
      <c r="H67" s="20" t="str">
        <f t="shared" ref="H67:H130" si="3">MID(B67,13,4)</f>
        <v>4016</v>
      </c>
    </row>
    <row r="68" spans="1:8" x14ac:dyDescent="0.25">
      <c r="A68" s="8">
        <v>43063.351851851854</v>
      </c>
      <c r="B68" s="20" t="s">
        <v>391</v>
      </c>
      <c r="C68" s="20" t="s">
        <v>761</v>
      </c>
      <c r="D68" s="137">
        <v>1340000</v>
      </c>
      <c r="E68" s="20" t="s">
        <v>729</v>
      </c>
      <c r="F68" s="20" t="s">
        <v>730</v>
      </c>
      <c r="G68" s="8" t="str">
        <f t="shared" si="2"/>
        <v>BEAM ROSS</v>
      </c>
      <c r="H68" s="20" t="str">
        <f t="shared" si="3"/>
        <v>4059</v>
      </c>
    </row>
    <row r="69" spans="1:8" x14ac:dyDescent="0.25">
      <c r="A69" s="8">
        <v>43063.355185185188</v>
      </c>
      <c r="B69" s="20" t="s">
        <v>547</v>
      </c>
      <c r="C69" s="20" t="s">
        <v>762</v>
      </c>
      <c r="D69" s="137">
        <v>3040000</v>
      </c>
      <c r="E69" s="20" t="s">
        <v>369</v>
      </c>
      <c r="F69" s="20" t="s">
        <v>713</v>
      </c>
      <c r="G69" s="8" t="str">
        <f t="shared" si="2"/>
        <v>WILLIAMS DONTE</v>
      </c>
      <c r="H69" s="20" t="str">
        <f t="shared" si="3"/>
        <v>4040</v>
      </c>
    </row>
    <row r="70" spans="1:8" x14ac:dyDescent="0.25">
      <c r="A70" s="8">
        <v>43063.359120370369</v>
      </c>
      <c r="B70" s="20" t="s">
        <v>444</v>
      </c>
      <c r="C70" s="20" t="s">
        <v>763</v>
      </c>
      <c r="D70" s="137">
        <v>1110000</v>
      </c>
      <c r="E70" s="20" t="s">
        <v>557</v>
      </c>
      <c r="F70" s="20" t="s">
        <v>558</v>
      </c>
      <c r="G70" s="8" t="str">
        <f t="shared" si="2"/>
        <v>STARKS ANGELINA</v>
      </c>
      <c r="H70" s="20" t="str">
        <f t="shared" si="3"/>
        <v>4009</v>
      </c>
    </row>
    <row r="71" spans="1:8" x14ac:dyDescent="0.25">
      <c r="A71" s="8">
        <v>43063.362581018519</v>
      </c>
      <c r="B71" s="20" t="s">
        <v>448</v>
      </c>
      <c r="C71" s="20" t="s">
        <v>764</v>
      </c>
      <c r="D71" s="137">
        <v>2560000</v>
      </c>
      <c r="E71" s="20" t="s">
        <v>479</v>
      </c>
      <c r="F71" s="20" t="s">
        <v>480</v>
      </c>
      <c r="G71" s="8" t="str">
        <f t="shared" si="2"/>
        <v>MACDONALD THOMAS</v>
      </c>
      <c r="H71" s="20" t="str">
        <f t="shared" si="3"/>
        <v>4050</v>
      </c>
    </row>
    <row r="72" spans="1:8" x14ac:dyDescent="0.25">
      <c r="A72" s="8">
        <v>43063.366365740738</v>
      </c>
      <c r="B72" s="20" t="s">
        <v>368</v>
      </c>
      <c r="C72" s="20" t="s">
        <v>765</v>
      </c>
      <c r="D72" s="137">
        <v>3840000</v>
      </c>
      <c r="E72" s="20" t="s">
        <v>700</v>
      </c>
      <c r="F72" s="20" t="s">
        <v>701</v>
      </c>
      <c r="G72" s="8" t="str">
        <f t="shared" si="2"/>
        <v>LONG FULLER</v>
      </c>
      <c r="H72" s="20" t="str">
        <f t="shared" si="3"/>
        <v>4035</v>
      </c>
    </row>
    <row r="73" spans="1:8" x14ac:dyDescent="0.25">
      <c r="A73" s="8">
        <v>43063.370150462964</v>
      </c>
      <c r="B73" s="20" t="s">
        <v>670</v>
      </c>
      <c r="C73" s="20" t="s">
        <v>766</v>
      </c>
      <c r="D73" s="137">
        <v>2010000</v>
      </c>
      <c r="E73" s="20" t="s">
        <v>695</v>
      </c>
      <c r="F73" s="20" t="s">
        <v>696</v>
      </c>
      <c r="G73" s="8" t="str">
        <f t="shared" si="2"/>
        <v>MAELZER KURT</v>
      </c>
      <c r="H73" s="20" t="str">
        <f t="shared" si="3"/>
        <v>4006</v>
      </c>
    </row>
    <row r="74" spans="1:8" x14ac:dyDescent="0.25">
      <c r="A74" s="8">
        <v>43063.371458333335</v>
      </c>
      <c r="B74" s="20" t="s">
        <v>555</v>
      </c>
      <c r="C74" s="20" t="s">
        <v>664</v>
      </c>
      <c r="D74" s="137">
        <v>1090000</v>
      </c>
      <c r="E74" s="20" t="s">
        <v>556</v>
      </c>
      <c r="F74" s="20" t="s">
        <v>353</v>
      </c>
      <c r="G74" s="8" t="str">
        <f t="shared" si="2"/>
        <v>SPECTOR MICHAEL</v>
      </c>
      <c r="H74" s="20" t="str">
        <f t="shared" si="3"/>
        <v>4064</v>
      </c>
    </row>
    <row r="75" spans="1:8" x14ac:dyDescent="0.25">
      <c r="A75" s="8">
        <v>43063.372430555559</v>
      </c>
      <c r="B75" s="20" t="s">
        <v>705</v>
      </c>
      <c r="C75" s="20" t="s">
        <v>767</v>
      </c>
      <c r="D75" s="137">
        <v>3670000</v>
      </c>
      <c r="E75" s="20" t="s">
        <v>383</v>
      </c>
      <c r="F75" s="20" t="s">
        <v>369</v>
      </c>
      <c r="G75" s="8" t="str">
        <f t="shared" si="2"/>
        <v>ANDREA WILLIAMS</v>
      </c>
      <c r="H75" s="20" t="str">
        <f t="shared" si="3"/>
        <v>4001</v>
      </c>
    </row>
    <row r="76" spans="1:8" x14ac:dyDescent="0.25">
      <c r="A76" s="8">
        <v>43063.379259259258</v>
      </c>
      <c r="B76" s="20" t="s">
        <v>358</v>
      </c>
      <c r="C76" s="20" t="s">
        <v>768</v>
      </c>
      <c r="D76" s="137">
        <v>1340000</v>
      </c>
      <c r="E76" s="20" t="s">
        <v>729</v>
      </c>
      <c r="F76" s="20" t="s">
        <v>730</v>
      </c>
      <c r="G76" s="8" t="str">
        <f t="shared" si="2"/>
        <v>BEAM ROSS</v>
      </c>
      <c r="H76" s="20" t="str">
        <f t="shared" si="3"/>
        <v>4060</v>
      </c>
    </row>
    <row r="77" spans="1:8" x14ac:dyDescent="0.25">
      <c r="A77" s="8">
        <v>43063.385300925926</v>
      </c>
      <c r="B77" s="20" t="s">
        <v>555</v>
      </c>
      <c r="C77" s="20" t="s">
        <v>662</v>
      </c>
      <c r="D77" s="137">
        <v>3790000</v>
      </c>
      <c r="E77" s="20" t="s">
        <v>721</v>
      </c>
      <c r="F77" s="20" t="s">
        <v>722</v>
      </c>
      <c r="G77" s="8" t="str">
        <f t="shared" si="2"/>
        <v>NICHOLAS PLOYSA</v>
      </c>
      <c r="H77" s="20" t="str">
        <f t="shared" si="3"/>
        <v>4064</v>
      </c>
    </row>
    <row r="78" spans="1:8" x14ac:dyDescent="0.25">
      <c r="A78" s="8">
        <v>43063.392928240741</v>
      </c>
      <c r="B78" s="20" t="s">
        <v>391</v>
      </c>
      <c r="C78" s="20" t="s">
        <v>769</v>
      </c>
      <c r="D78" s="137">
        <v>1340000</v>
      </c>
      <c r="E78" s="20" t="s">
        <v>729</v>
      </c>
      <c r="F78" s="20" t="s">
        <v>730</v>
      </c>
      <c r="G78" s="8" t="str">
        <f t="shared" si="2"/>
        <v>BEAM ROSS</v>
      </c>
      <c r="H78" s="20" t="str">
        <f t="shared" si="3"/>
        <v>4059</v>
      </c>
    </row>
    <row r="79" spans="1:8" x14ac:dyDescent="0.25">
      <c r="A79" s="8">
        <v>43063.393750000003</v>
      </c>
      <c r="B79" s="20" t="s">
        <v>658</v>
      </c>
      <c r="C79" s="20" t="s">
        <v>770</v>
      </c>
      <c r="D79" s="137">
        <v>900000</v>
      </c>
      <c r="E79" s="20" t="s">
        <v>688</v>
      </c>
      <c r="F79" s="20" t="s">
        <v>689</v>
      </c>
      <c r="G79" s="8" t="str">
        <f t="shared" si="2"/>
        <v>ROCHA YAOTL</v>
      </c>
      <c r="H79" s="20" t="str">
        <f t="shared" si="3"/>
        <v>4015</v>
      </c>
    </row>
    <row r="80" spans="1:8" x14ac:dyDescent="0.25">
      <c r="A80" s="8">
        <v>43063.393819444442</v>
      </c>
      <c r="B80" s="20" t="s">
        <v>660</v>
      </c>
      <c r="C80" s="20" t="s">
        <v>664</v>
      </c>
      <c r="D80" s="137">
        <v>1090000</v>
      </c>
      <c r="E80" s="20" t="s">
        <v>556</v>
      </c>
      <c r="F80" s="20" t="s">
        <v>353</v>
      </c>
      <c r="G80" s="8" t="str">
        <f t="shared" si="2"/>
        <v>SPECTOR MICHAEL</v>
      </c>
      <c r="H80" s="20" t="str">
        <f t="shared" si="3"/>
        <v>4034</v>
      </c>
    </row>
    <row r="81" spans="1:8" x14ac:dyDescent="0.25">
      <c r="A81" s="8">
        <v>43063.394571759258</v>
      </c>
      <c r="B81" s="20" t="s">
        <v>445</v>
      </c>
      <c r="C81" s="20" t="s">
        <v>663</v>
      </c>
      <c r="D81" s="137">
        <v>1110000</v>
      </c>
      <c r="E81" s="20" t="s">
        <v>557</v>
      </c>
      <c r="F81" s="20" t="s">
        <v>558</v>
      </c>
      <c r="G81" s="8" t="str">
        <f t="shared" si="2"/>
        <v>STARKS ANGELINA</v>
      </c>
      <c r="H81" s="20" t="str">
        <f t="shared" si="3"/>
        <v>4010</v>
      </c>
    </row>
    <row r="82" spans="1:8" x14ac:dyDescent="0.25">
      <c r="A82" s="8">
        <v>43063.402453703704</v>
      </c>
      <c r="B82" s="20" t="s">
        <v>367</v>
      </c>
      <c r="C82" s="20" t="s">
        <v>771</v>
      </c>
      <c r="D82" s="137">
        <v>3840000</v>
      </c>
      <c r="E82" s="20" t="s">
        <v>700</v>
      </c>
      <c r="F82" s="20" t="s">
        <v>701</v>
      </c>
      <c r="G82" s="8" t="str">
        <f t="shared" si="2"/>
        <v>LONG FULLER</v>
      </c>
      <c r="H82" s="20" t="str">
        <f t="shared" si="3"/>
        <v>4036</v>
      </c>
    </row>
    <row r="83" spans="1:8" x14ac:dyDescent="0.25">
      <c r="A83" s="8">
        <v>43063.403321759259</v>
      </c>
      <c r="B83" s="20" t="s">
        <v>447</v>
      </c>
      <c r="C83" s="20" t="s">
        <v>772</v>
      </c>
      <c r="D83" s="137">
        <v>2560000</v>
      </c>
      <c r="E83" s="20" t="s">
        <v>479</v>
      </c>
      <c r="F83" s="20" t="s">
        <v>480</v>
      </c>
      <c r="G83" s="8" t="str">
        <f t="shared" si="2"/>
        <v>MACDONALD THOMAS</v>
      </c>
      <c r="H83" s="20" t="str">
        <f t="shared" si="3"/>
        <v>4049</v>
      </c>
    </row>
    <row r="84" spans="1:8" x14ac:dyDescent="0.25">
      <c r="A84" s="8">
        <v>43063.406712962962</v>
      </c>
      <c r="B84" s="20" t="s">
        <v>667</v>
      </c>
      <c r="C84" s="20" t="s">
        <v>773</v>
      </c>
      <c r="D84" s="137">
        <v>2010000</v>
      </c>
      <c r="E84" s="20" t="s">
        <v>695</v>
      </c>
      <c r="F84" s="20" t="s">
        <v>696</v>
      </c>
      <c r="G84" s="8" t="str">
        <f t="shared" si="2"/>
        <v>MAELZER KURT</v>
      </c>
      <c r="H84" s="20" t="str">
        <f t="shared" si="3"/>
        <v>4005</v>
      </c>
    </row>
    <row r="85" spans="1:8" x14ac:dyDescent="0.25">
      <c r="A85" s="8">
        <v>43063.412754629629</v>
      </c>
      <c r="B85" s="20" t="s">
        <v>363</v>
      </c>
      <c r="C85" s="20" t="s">
        <v>774</v>
      </c>
      <c r="D85" s="137">
        <v>1090000</v>
      </c>
      <c r="E85" s="20" t="s">
        <v>556</v>
      </c>
      <c r="F85" s="20" t="s">
        <v>353</v>
      </c>
      <c r="G85" s="8" t="str">
        <f t="shared" si="2"/>
        <v>SPECTOR MICHAEL</v>
      </c>
      <c r="H85" s="20" t="str">
        <f t="shared" si="3"/>
        <v>4017</v>
      </c>
    </row>
    <row r="86" spans="1:8" x14ac:dyDescent="0.25">
      <c r="A86" s="8">
        <v>43063.413124999999</v>
      </c>
      <c r="B86" s="20" t="s">
        <v>710</v>
      </c>
      <c r="C86" s="20" t="s">
        <v>775</v>
      </c>
      <c r="D86" s="137">
        <v>3670000</v>
      </c>
      <c r="E86" s="20" t="s">
        <v>383</v>
      </c>
      <c r="F86" s="20" t="s">
        <v>369</v>
      </c>
      <c r="G86" s="8" t="str">
        <f t="shared" si="2"/>
        <v>ANDREA WILLIAMS</v>
      </c>
      <c r="H86" s="20" t="str">
        <f t="shared" si="3"/>
        <v>4002</v>
      </c>
    </row>
    <row r="87" spans="1:8" x14ac:dyDescent="0.25">
      <c r="A87" s="8">
        <v>43063.413252314815</v>
      </c>
      <c r="B87" s="20" t="s">
        <v>554</v>
      </c>
      <c r="C87" s="20" t="s">
        <v>776</v>
      </c>
      <c r="D87" s="137">
        <v>3790000</v>
      </c>
      <c r="E87" s="20" t="s">
        <v>721</v>
      </c>
      <c r="F87" s="20" t="s">
        <v>722</v>
      </c>
      <c r="G87" s="8" t="str">
        <f t="shared" si="2"/>
        <v>NICHOLAS PLOYSA</v>
      </c>
      <c r="H87" s="20" t="str">
        <f t="shared" si="3"/>
        <v>4063</v>
      </c>
    </row>
    <row r="88" spans="1:8" x14ac:dyDescent="0.25">
      <c r="A88" s="8">
        <v>43063.419791666667</v>
      </c>
      <c r="B88" s="20" t="s">
        <v>358</v>
      </c>
      <c r="C88" s="20" t="s">
        <v>777</v>
      </c>
      <c r="D88" s="137">
        <v>1340000</v>
      </c>
      <c r="E88" s="20" t="s">
        <v>729</v>
      </c>
      <c r="F88" s="20" t="s">
        <v>730</v>
      </c>
      <c r="G88" s="8" t="str">
        <f t="shared" si="2"/>
        <v>BEAM ROSS</v>
      </c>
      <c r="H88" s="20" t="str">
        <f t="shared" si="3"/>
        <v>4060</v>
      </c>
    </row>
    <row r="89" spans="1:8" x14ac:dyDescent="0.25">
      <c r="A89" s="8">
        <v>43063.423182870371</v>
      </c>
      <c r="B89" s="20" t="s">
        <v>691</v>
      </c>
      <c r="C89" s="20" t="s">
        <v>778</v>
      </c>
      <c r="D89" s="137">
        <v>1760000</v>
      </c>
      <c r="E89" s="20" t="s">
        <v>489</v>
      </c>
      <c r="F89" s="20" t="s">
        <v>490</v>
      </c>
      <c r="G89" s="8" t="str">
        <f t="shared" si="2"/>
        <v>STRICKLAND EVAN</v>
      </c>
      <c r="H89" s="20" t="str">
        <f t="shared" si="3"/>
        <v>4016</v>
      </c>
    </row>
    <row r="90" spans="1:8" x14ac:dyDescent="0.25">
      <c r="A90" s="8">
        <v>43063.434513888889</v>
      </c>
      <c r="B90" s="20" t="s">
        <v>444</v>
      </c>
      <c r="C90" s="20" t="s">
        <v>665</v>
      </c>
      <c r="D90" s="137">
        <v>1110000</v>
      </c>
      <c r="E90" s="20" t="s">
        <v>557</v>
      </c>
      <c r="F90" s="20" t="s">
        <v>558</v>
      </c>
      <c r="G90" s="8" t="str">
        <f t="shared" si="2"/>
        <v>STARKS ANGELINA</v>
      </c>
      <c r="H90" s="20" t="str">
        <f t="shared" si="3"/>
        <v>4009</v>
      </c>
    </row>
    <row r="91" spans="1:8" x14ac:dyDescent="0.25">
      <c r="A91" s="8">
        <v>43063.434791666667</v>
      </c>
      <c r="B91" s="20" t="s">
        <v>448</v>
      </c>
      <c r="C91" s="20" t="s">
        <v>779</v>
      </c>
      <c r="D91" s="137">
        <v>2560000</v>
      </c>
      <c r="E91" s="20" t="s">
        <v>479</v>
      </c>
      <c r="F91" s="20" t="s">
        <v>480</v>
      </c>
      <c r="G91" s="8" t="str">
        <f t="shared" si="2"/>
        <v>MACDONALD THOMAS</v>
      </c>
      <c r="H91" s="20" t="str">
        <f t="shared" si="3"/>
        <v>4050</v>
      </c>
    </row>
    <row r="92" spans="1:8" x14ac:dyDescent="0.25">
      <c r="A92" s="8">
        <v>43063.435856481483</v>
      </c>
      <c r="B92" s="20" t="s">
        <v>357</v>
      </c>
      <c r="C92" s="20" t="s">
        <v>780</v>
      </c>
      <c r="D92" s="137">
        <v>1780000</v>
      </c>
      <c r="E92" s="20" t="s">
        <v>564</v>
      </c>
      <c r="F92" s="20" t="s">
        <v>565</v>
      </c>
      <c r="G92" s="8" t="str">
        <f t="shared" si="2"/>
        <v>DE LA ROSA ALEX</v>
      </c>
      <c r="H92" s="20" t="str">
        <f t="shared" si="3"/>
        <v>4008</v>
      </c>
    </row>
    <row r="93" spans="1:8" x14ac:dyDescent="0.25">
      <c r="A93" s="8">
        <v>43063.436111111114</v>
      </c>
      <c r="B93" s="20" t="s">
        <v>391</v>
      </c>
      <c r="C93" s="20" t="s">
        <v>781</v>
      </c>
      <c r="D93" s="137">
        <v>310000</v>
      </c>
      <c r="E93" s="20" t="s">
        <v>782</v>
      </c>
      <c r="F93" s="20" t="s">
        <v>783</v>
      </c>
      <c r="G93" s="8" t="str">
        <f t="shared" si="2"/>
        <v>SNYDER PETER</v>
      </c>
      <c r="H93" s="20" t="str">
        <f t="shared" si="3"/>
        <v>4059</v>
      </c>
    </row>
    <row r="94" spans="1:8" x14ac:dyDescent="0.25">
      <c r="A94" s="8">
        <v>43063.439768518518</v>
      </c>
      <c r="B94" s="20" t="s">
        <v>368</v>
      </c>
      <c r="C94" s="20" t="s">
        <v>784</v>
      </c>
      <c r="D94" s="137">
        <v>3840000</v>
      </c>
      <c r="E94" s="20" t="s">
        <v>700</v>
      </c>
      <c r="F94" s="20" t="s">
        <v>701</v>
      </c>
      <c r="G94" s="8" t="str">
        <f t="shared" si="2"/>
        <v>LONG FULLER</v>
      </c>
      <c r="H94" s="20" t="str">
        <f t="shared" si="3"/>
        <v>4035</v>
      </c>
    </row>
    <row r="95" spans="1:8" x14ac:dyDescent="0.25">
      <c r="A95" s="8">
        <v>43063.444814814815</v>
      </c>
      <c r="B95" s="20" t="s">
        <v>705</v>
      </c>
      <c r="C95" s="20" t="s">
        <v>785</v>
      </c>
      <c r="D95" s="137">
        <v>3670000</v>
      </c>
      <c r="E95" s="20" t="s">
        <v>383</v>
      </c>
      <c r="F95" s="20" t="s">
        <v>369</v>
      </c>
      <c r="G95" s="8" t="str">
        <f t="shared" si="2"/>
        <v>ANDREA WILLIAMS</v>
      </c>
      <c r="H95" s="20" t="str">
        <f t="shared" si="3"/>
        <v>4001</v>
      </c>
    </row>
    <row r="96" spans="1:8" x14ac:dyDescent="0.25">
      <c r="A96" s="8">
        <v>43063.445729166669</v>
      </c>
      <c r="B96" s="20" t="s">
        <v>670</v>
      </c>
      <c r="C96" s="20" t="s">
        <v>786</v>
      </c>
      <c r="D96" s="137">
        <v>2550000</v>
      </c>
      <c r="E96" s="20" t="s">
        <v>787</v>
      </c>
      <c r="F96" s="20" t="s">
        <v>788</v>
      </c>
      <c r="G96" s="8" t="str">
        <f t="shared" si="2"/>
        <v>BADERTSCHER DIANE</v>
      </c>
      <c r="H96" s="20" t="str">
        <f t="shared" si="3"/>
        <v>4006</v>
      </c>
    </row>
    <row r="97" spans="1:8" x14ac:dyDescent="0.25">
      <c r="A97" s="8">
        <v>43063.450752314813</v>
      </c>
      <c r="B97" s="20" t="s">
        <v>361</v>
      </c>
      <c r="C97" s="20" t="s">
        <v>780</v>
      </c>
      <c r="D97" s="137">
        <v>1780000</v>
      </c>
      <c r="E97" s="20" t="s">
        <v>564</v>
      </c>
      <c r="F97" s="20" t="s">
        <v>565</v>
      </c>
      <c r="G97" s="8" t="str">
        <f t="shared" si="2"/>
        <v>DE LA ROSA ALEX</v>
      </c>
      <c r="H97" s="20" t="str">
        <f t="shared" si="3"/>
        <v>4018</v>
      </c>
    </row>
    <row r="98" spans="1:8" x14ac:dyDescent="0.25">
      <c r="A98" s="8">
        <v>43063.455335648148</v>
      </c>
      <c r="B98" s="20" t="s">
        <v>658</v>
      </c>
      <c r="C98" s="20" t="s">
        <v>789</v>
      </c>
      <c r="D98" s="137">
        <v>1760000</v>
      </c>
      <c r="E98" s="20" t="s">
        <v>489</v>
      </c>
      <c r="F98" s="20" t="s">
        <v>490</v>
      </c>
      <c r="G98" s="8" t="str">
        <f t="shared" si="2"/>
        <v>STRICKLAND EVAN</v>
      </c>
      <c r="H98" s="20" t="str">
        <f t="shared" si="3"/>
        <v>4015</v>
      </c>
    </row>
    <row r="99" spans="1:8" x14ac:dyDescent="0.25">
      <c r="A99" s="8">
        <v>43063.457245370373</v>
      </c>
      <c r="B99" s="20" t="s">
        <v>555</v>
      </c>
      <c r="C99" s="20" t="s">
        <v>790</v>
      </c>
      <c r="D99" s="137">
        <v>3790000</v>
      </c>
      <c r="E99" s="20" t="s">
        <v>721</v>
      </c>
      <c r="F99" s="20" t="s">
        <v>722</v>
      </c>
      <c r="G99" s="8" t="str">
        <f t="shared" si="2"/>
        <v>NICHOLAS PLOYSA</v>
      </c>
      <c r="H99" s="20" t="str">
        <f t="shared" si="3"/>
        <v>4064</v>
      </c>
    </row>
    <row r="100" spans="1:8" x14ac:dyDescent="0.25">
      <c r="A100" s="8">
        <v>43063.45857638889</v>
      </c>
      <c r="B100" s="20" t="s">
        <v>363</v>
      </c>
      <c r="C100" s="20" t="s">
        <v>791</v>
      </c>
      <c r="D100" s="137">
        <v>1780000</v>
      </c>
      <c r="E100" s="20" t="s">
        <v>564</v>
      </c>
      <c r="F100" s="20" t="s">
        <v>565</v>
      </c>
      <c r="G100" s="8" t="str">
        <f t="shared" si="2"/>
        <v>DE LA ROSA ALEX</v>
      </c>
      <c r="H100" s="20" t="str">
        <f t="shared" si="3"/>
        <v>4017</v>
      </c>
    </row>
    <row r="101" spans="1:8" x14ac:dyDescent="0.25">
      <c r="A101" s="8">
        <v>43063.459421296298</v>
      </c>
      <c r="B101" s="20" t="s">
        <v>358</v>
      </c>
      <c r="C101" s="20" t="s">
        <v>792</v>
      </c>
      <c r="D101" s="137">
        <v>310000</v>
      </c>
      <c r="E101" s="20" t="s">
        <v>782</v>
      </c>
      <c r="F101" s="20" t="s">
        <v>783</v>
      </c>
      <c r="G101" s="8" t="str">
        <f t="shared" si="2"/>
        <v>SNYDER PETER</v>
      </c>
      <c r="H101" s="20" t="str">
        <f t="shared" si="3"/>
        <v>4060</v>
      </c>
    </row>
    <row r="102" spans="1:8" x14ac:dyDescent="0.25">
      <c r="A102" s="8">
        <v>43063.465451388889</v>
      </c>
      <c r="B102" s="20" t="s">
        <v>357</v>
      </c>
      <c r="C102" s="20" t="s">
        <v>793</v>
      </c>
      <c r="D102" s="137">
        <v>2040000</v>
      </c>
      <c r="E102" s="20" t="s">
        <v>397</v>
      </c>
      <c r="F102" s="20" t="s">
        <v>398</v>
      </c>
      <c r="G102" s="8" t="str">
        <f t="shared" si="2"/>
        <v>MOSES BRADLEY</v>
      </c>
      <c r="H102" s="20" t="str">
        <f t="shared" si="3"/>
        <v>4008</v>
      </c>
    </row>
    <row r="103" spans="1:8" x14ac:dyDescent="0.25">
      <c r="A103" s="8">
        <v>43063.465960648151</v>
      </c>
      <c r="B103" s="20" t="s">
        <v>357</v>
      </c>
      <c r="C103" s="20" t="s">
        <v>794</v>
      </c>
      <c r="D103" s="137">
        <v>2040000</v>
      </c>
      <c r="E103" s="20" t="s">
        <v>397</v>
      </c>
      <c r="F103" s="20" t="s">
        <v>398</v>
      </c>
      <c r="G103" s="8" t="str">
        <f t="shared" si="2"/>
        <v>MOSES BRADLEY</v>
      </c>
      <c r="H103" s="20" t="str">
        <f t="shared" si="3"/>
        <v>4008</v>
      </c>
    </row>
    <row r="104" spans="1:8" x14ac:dyDescent="0.25">
      <c r="A104" s="8">
        <v>43063.469814814816</v>
      </c>
      <c r="B104" s="20" t="s">
        <v>445</v>
      </c>
      <c r="C104" s="20" t="s">
        <v>795</v>
      </c>
      <c r="D104" s="137">
        <v>1810000</v>
      </c>
      <c r="E104" s="20" t="s">
        <v>563</v>
      </c>
      <c r="F104" s="20" t="s">
        <v>396</v>
      </c>
      <c r="G104" s="8" t="str">
        <f t="shared" si="2"/>
        <v>NEWELL JAMES</v>
      </c>
      <c r="H104" s="20" t="str">
        <f t="shared" si="3"/>
        <v>4010</v>
      </c>
    </row>
    <row r="105" spans="1:8" x14ac:dyDescent="0.25">
      <c r="A105" s="8">
        <v>43063.475462962961</v>
      </c>
      <c r="B105" s="20" t="s">
        <v>447</v>
      </c>
      <c r="C105" s="20" t="s">
        <v>796</v>
      </c>
      <c r="D105" s="137">
        <v>2560000</v>
      </c>
      <c r="E105" s="20" t="s">
        <v>479</v>
      </c>
      <c r="F105" s="20" t="s">
        <v>480</v>
      </c>
      <c r="G105" s="8" t="str">
        <f t="shared" si="2"/>
        <v>MACDONALD THOMAS</v>
      </c>
      <c r="H105" s="20" t="str">
        <f t="shared" si="3"/>
        <v>4049</v>
      </c>
    </row>
    <row r="106" spans="1:8" x14ac:dyDescent="0.25">
      <c r="A106" s="8">
        <v>43063.476793981485</v>
      </c>
      <c r="B106" s="20" t="s">
        <v>367</v>
      </c>
      <c r="C106" s="20" t="s">
        <v>797</v>
      </c>
      <c r="D106" s="137">
        <v>1770000</v>
      </c>
      <c r="E106" s="20" t="s">
        <v>559</v>
      </c>
      <c r="F106" s="20" t="s">
        <v>560</v>
      </c>
      <c r="G106" s="8" t="str">
        <f t="shared" si="2"/>
        <v>BRUDER RICHARD</v>
      </c>
      <c r="H106" s="20" t="str">
        <f t="shared" si="3"/>
        <v>4036</v>
      </c>
    </row>
    <row r="107" spans="1:8" x14ac:dyDescent="0.25">
      <c r="A107" s="8">
        <v>43063.478773148148</v>
      </c>
      <c r="B107" s="20" t="s">
        <v>391</v>
      </c>
      <c r="C107" s="20" t="s">
        <v>666</v>
      </c>
      <c r="D107" s="137">
        <v>310000</v>
      </c>
      <c r="E107" s="20" t="s">
        <v>782</v>
      </c>
      <c r="F107" s="20" t="s">
        <v>783</v>
      </c>
      <c r="G107" s="8" t="str">
        <f t="shared" si="2"/>
        <v>SNYDER PETER</v>
      </c>
      <c r="H107" s="20" t="str">
        <f t="shared" si="3"/>
        <v>4059</v>
      </c>
    </row>
    <row r="108" spans="1:8" x14ac:dyDescent="0.25">
      <c r="A108" s="8">
        <v>43063.483067129629</v>
      </c>
      <c r="B108" s="20" t="s">
        <v>667</v>
      </c>
      <c r="C108" s="20" t="s">
        <v>668</v>
      </c>
      <c r="D108" s="137">
        <v>2550000</v>
      </c>
      <c r="E108" s="20" t="s">
        <v>787</v>
      </c>
      <c r="F108" s="20" t="s">
        <v>788</v>
      </c>
      <c r="G108" s="8" t="str">
        <f t="shared" si="2"/>
        <v>BADERTSCHER DIANE</v>
      </c>
      <c r="H108" s="20" t="str">
        <f t="shared" si="3"/>
        <v>4005</v>
      </c>
    </row>
    <row r="109" spans="1:8" x14ac:dyDescent="0.25">
      <c r="A109" s="8">
        <v>43063.485497685186</v>
      </c>
      <c r="B109" s="20" t="s">
        <v>554</v>
      </c>
      <c r="C109" s="20" t="s">
        <v>669</v>
      </c>
      <c r="D109" s="137">
        <v>3790000</v>
      </c>
      <c r="E109" s="20" t="s">
        <v>721</v>
      </c>
      <c r="F109" s="20" t="s">
        <v>722</v>
      </c>
      <c r="G109" s="8" t="str">
        <f t="shared" si="2"/>
        <v>NICHOLAS PLOYSA</v>
      </c>
      <c r="H109" s="20" t="str">
        <f t="shared" si="3"/>
        <v>4063</v>
      </c>
    </row>
    <row r="110" spans="1:8" x14ac:dyDescent="0.25">
      <c r="A110" s="8">
        <v>43063.486851851849</v>
      </c>
      <c r="B110" s="20" t="s">
        <v>710</v>
      </c>
      <c r="C110" s="20" t="s">
        <v>798</v>
      </c>
      <c r="D110" s="137">
        <v>3810000</v>
      </c>
      <c r="E110" s="20" t="s">
        <v>799</v>
      </c>
      <c r="F110" s="20" t="s">
        <v>800</v>
      </c>
      <c r="G110" s="8" t="str">
        <f t="shared" si="2"/>
        <v>LORI SANTOS</v>
      </c>
      <c r="H110" s="20" t="str">
        <f t="shared" si="3"/>
        <v>4002</v>
      </c>
    </row>
    <row r="111" spans="1:8" x14ac:dyDescent="0.25">
      <c r="A111" s="8">
        <v>43063.497731481482</v>
      </c>
      <c r="B111" s="20" t="s">
        <v>691</v>
      </c>
      <c r="C111" s="20" t="s">
        <v>801</v>
      </c>
      <c r="D111" s="137">
        <v>3000000</v>
      </c>
      <c r="E111" s="20" t="s">
        <v>505</v>
      </c>
      <c r="F111" s="20" t="s">
        <v>506</v>
      </c>
      <c r="G111" s="8" t="str">
        <f t="shared" si="2"/>
        <v>FORTUNATO FRANK</v>
      </c>
      <c r="H111" s="20" t="str">
        <f t="shared" si="3"/>
        <v>4016</v>
      </c>
    </row>
    <row r="112" spans="1:8" x14ac:dyDescent="0.25">
      <c r="A112" s="8">
        <v>43063.499594907407</v>
      </c>
      <c r="B112" s="20" t="s">
        <v>444</v>
      </c>
      <c r="C112" s="20" t="s">
        <v>802</v>
      </c>
      <c r="D112" s="137">
        <v>1810000</v>
      </c>
      <c r="E112" s="20" t="s">
        <v>563</v>
      </c>
      <c r="F112" s="20" t="s">
        <v>396</v>
      </c>
      <c r="G112" s="8" t="str">
        <f t="shared" si="2"/>
        <v>NEWELL JAMES</v>
      </c>
      <c r="H112" s="20" t="str">
        <f t="shared" si="3"/>
        <v>4009</v>
      </c>
    </row>
    <row r="113" spans="1:8" x14ac:dyDescent="0.25">
      <c r="A113" s="8">
        <v>43063.507650462961</v>
      </c>
      <c r="B113" s="20" t="s">
        <v>448</v>
      </c>
      <c r="C113" s="20" t="s">
        <v>803</v>
      </c>
      <c r="D113" s="137">
        <v>2140000</v>
      </c>
      <c r="E113" s="20" t="s">
        <v>561</v>
      </c>
      <c r="F113" s="20" t="s">
        <v>562</v>
      </c>
      <c r="G113" s="8" t="str">
        <f t="shared" si="2"/>
        <v>ROBINSON KADDIBA</v>
      </c>
      <c r="H113" s="20" t="str">
        <f t="shared" si="3"/>
        <v>4050</v>
      </c>
    </row>
    <row r="114" spans="1:8" x14ac:dyDescent="0.25">
      <c r="A114" s="8">
        <v>43063.516643518517</v>
      </c>
      <c r="B114" s="20" t="s">
        <v>391</v>
      </c>
      <c r="C114" s="20" t="s">
        <v>804</v>
      </c>
      <c r="D114" s="137">
        <v>1340000</v>
      </c>
      <c r="E114" s="20" t="s">
        <v>729</v>
      </c>
      <c r="F114" s="20" t="s">
        <v>730</v>
      </c>
      <c r="G114" s="8" t="str">
        <f t="shared" si="2"/>
        <v>BEAM ROSS</v>
      </c>
      <c r="H114" s="20" t="str">
        <f t="shared" si="3"/>
        <v>4059</v>
      </c>
    </row>
    <row r="115" spans="1:8" x14ac:dyDescent="0.25">
      <c r="A115" s="8">
        <v>43063.516956018517</v>
      </c>
      <c r="B115" s="20" t="s">
        <v>368</v>
      </c>
      <c r="C115" s="20" t="s">
        <v>805</v>
      </c>
      <c r="D115" s="137">
        <v>1770000</v>
      </c>
      <c r="E115" s="20" t="s">
        <v>559</v>
      </c>
      <c r="F115" s="20" t="s">
        <v>560</v>
      </c>
      <c r="G115" s="8" t="str">
        <f t="shared" si="2"/>
        <v>BRUDER RICHARD</v>
      </c>
      <c r="H115" s="20" t="str">
        <f t="shared" si="3"/>
        <v>4035</v>
      </c>
    </row>
    <row r="116" spans="1:8" x14ac:dyDescent="0.25">
      <c r="A116" s="8">
        <v>43063.519421296296</v>
      </c>
      <c r="B116" s="20" t="s">
        <v>670</v>
      </c>
      <c r="C116" s="20" t="s">
        <v>671</v>
      </c>
      <c r="D116" s="137">
        <v>2550000</v>
      </c>
      <c r="E116" s="20" t="s">
        <v>787</v>
      </c>
      <c r="F116" s="20" t="s">
        <v>788</v>
      </c>
      <c r="G116" s="8" t="str">
        <f t="shared" si="2"/>
        <v>BADERTSCHER DIANE</v>
      </c>
      <c r="H116" s="20" t="str">
        <f t="shared" si="3"/>
        <v>4006</v>
      </c>
    </row>
    <row r="117" spans="1:8" x14ac:dyDescent="0.25">
      <c r="A117" s="8">
        <v>43063.525023148148</v>
      </c>
      <c r="B117" s="20" t="s">
        <v>705</v>
      </c>
      <c r="C117" s="20" t="s">
        <v>806</v>
      </c>
      <c r="D117" s="137">
        <v>3810000</v>
      </c>
      <c r="E117" s="20" t="s">
        <v>799</v>
      </c>
      <c r="F117" s="20" t="s">
        <v>800</v>
      </c>
      <c r="G117" s="8" t="str">
        <f t="shared" si="2"/>
        <v>LORI SANTOS</v>
      </c>
      <c r="H117" s="20" t="str">
        <f t="shared" si="3"/>
        <v>4001</v>
      </c>
    </row>
    <row r="118" spans="1:8" x14ac:dyDescent="0.25">
      <c r="A118" s="8">
        <v>43063.527013888888</v>
      </c>
      <c r="B118" s="20" t="s">
        <v>658</v>
      </c>
      <c r="C118" s="20" t="s">
        <v>807</v>
      </c>
      <c r="D118" s="137">
        <v>3000000</v>
      </c>
      <c r="E118" s="20" t="s">
        <v>505</v>
      </c>
      <c r="F118" s="20" t="s">
        <v>506</v>
      </c>
      <c r="G118" s="8" t="str">
        <f t="shared" si="2"/>
        <v>FORTUNATO FRANK</v>
      </c>
      <c r="H118" s="20" t="str">
        <f t="shared" si="3"/>
        <v>4015</v>
      </c>
    </row>
    <row r="119" spans="1:8" x14ac:dyDescent="0.25">
      <c r="A119" s="8">
        <v>43063.528796296298</v>
      </c>
      <c r="B119" s="20" t="s">
        <v>555</v>
      </c>
      <c r="C119" s="20" t="s">
        <v>808</v>
      </c>
      <c r="D119" s="137">
        <v>3700000</v>
      </c>
      <c r="E119" s="20" t="s">
        <v>449</v>
      </c>
      <c r="F119" s="20" t="s">
        <v>370</v>
      </c>
      <c r="G119" s="8" t="str">
        <f t="shared" si="2"/>
        <v>AUSTIN THOMPSON</v>
      </c>
      <c r="H119" s="20" t="str">
        <f t="shared" si="3"/>
        <v>4064</v>
      </c>
    </row>
    <row r="120" spans="1:8" x14ac:dyDescent="0.25">
      <c r="A120" s="8">
        <v>43063.540416666663</v>
      </c>
      <c r="B120" s="20" t="s">
        <v>445</v>
      </c>
      <c r="C120" s="20" t="s">
        <v>809</v>
      </c>
      <c r="D120" s="137">
        <v>1810000</v>
      </c>
      <c r="E120" s="20" t="s">
        <v>563</v>
      </c>
      <c r="F120" s="20" t="s">
        <v>396</v>
      </c>
      <c r="G120" s="8" t="str">
        <f t="shared" si="2"/>
        <v>NEWELL JAMES</v>
      </c>
      <c r="H120" s="20" t="str">
        <f t="shared" si="3"/>
        <v>4010</v>
      </c>
    </row>
    <row r="121" spans="1:8" x14ac:dyDescent="0.25">
      <c r="A121" s="8">
        <v>43063.541620370372</v>
      </c>
      <c r="B121" s="20" t="s">
        <v>358</v>
      </c>
      <c r="C121" s="20" t="s">
        <v>810</v>
      </c>
      <c r="D121" s="137">
        <v>2350000</v>
      </c>
      <c r="E121" s="20" t="s">
        <v>811</v>
      </c>
      <c r="F121" s="20" t="s">
        <v>812</v>
      </c>
      <c r="G121" s="8" t="str">
        <f t="shared" si="2"/>
        <v>BERLING GARY</v>
      </c>
      <c r="H121" s="20" t="str">
        <f t="shared" si="3"/>
        <v>4060</v>
      </c>
    </row>
    <row r="122" spans="1:8" x14ac:dyDescent="0.25">
      <c r="A122" s="8">
        <v>43063.546990740739</v>
      </c>
      <c r="B122" s="25" t="s">
        <v>447</v>
      </c>
      <c r="C122" s="20" t="s">
        <v>813</v>
      </c>
      <c r="D122" s="137">
        <v>2140000</v>
      </c>
      <c r="E122" s="20" t="s">
        <v>561</v>
      </c>
      <c r="F122" s="20" t="s">
        <v>562</v>
      </c>
      <c r="G122" s="8" t="str">
        <f t="shared" si="2"/>
        <v>ROBINSON KADDIBA</v>
      </c>
      <c r="H122" s="20" t="str">
        <f t="shared" si="3"/>
        <v>4049</v>
      </c>
    </row>
    <row r="123" spans="1:8" x14ac:dyDescent="0.25">
      <c r="A123" s="8">
        <v>43063.549293981479</v>
      </c>
      <c r="B123" s="20" t="s">
        <v>367</v>
      </c>
      <c r="C123" s="20" t="s">
        <v>814</v>
      </c>
      <c r="D123" s="137">
        <v>1770000</v>
      </c>
      <c r="E123" s="20" t="s">
        <v>559</v>
      </c>
      <c r="F123" s="20" t="s">
        <v>560</v>
      </c>
      <c r="G123" s="8" t="str">
        <f t="shared" si="2"/>
        <v>BRUDER RICHARD</v>
      </c>
      <c r="H123" s="20" t="str">
        <f t="shared" si="3"/>
        <v>4036</v>
      </c>
    </row>
    <row r="124" spans="1:8" x14ac:dyDescent="0.25">
      <c r="A124" s="8">
        <v>43063.556805555556</v>
      </c>
      <c r="B124" s="20" t="s">
        <v>667</v>
      </c>
      <c r="C124" s="20" t="s">
        <v>815</v>
      </c>
      <c r="D124" s="137">
        <v>2550000</v>
      </c>
      <c r="E124" s="20" t="s">
        <v>787</v>
      </c>
      <c r="F124" s="20" t="s">
        <v>788</v>
      </c>
      <c r="G124" s="8" t="str">
        <f t="shared" si="2"/>
        <v>BADERTSCHER DIANE</v>
      </c>
      <c r="H124" s="20" t="str">
        <f t="shared" si="3"/>
        <v>4005</v>
      </c>
    </row>
    <row r="125" spans="1:8" x14ac:dyDescent="0.25">
      <c r="A125" s="8">
        <v>43063.559074074074</v>
      </c>
      <c r="B125" s="20" t="s">
        <v>710</v>
      </c>
      <c r="C125" s="20" t="s">
        <v>816</v>
      </c>
      <c r="D125" s="137">
        <v>3810000</v>
      </c>
      <c r="E125" s="20" t="s">
        <v>799</v>
      </c>
      <c r="F125" s="20" t="s">
        <v>800</v>
      </c>
      <c r="G125" s="8" t="str">
        <f t="shared" si="2"/>
        <v>LORI SANTOS</v>
      </c>
      <c r="H125" s="20" t="str">
        <f t="shared" si="3"/>
        <v>4002</v>
      </c>
    </row>
    <row r="126" spans="1:8" x14ac:dyDescent="0.25">
      <c r="A126" s="8">
        <v>43063.560624999998</v>
      </c>
      <c r="B126" s="20" t="s">
        <v>391</v>
      </c>
      <c r="C126" s="20" t="s">
        <v>817</v>
      </c>
      <c r="D126" s="137">
        <v>2350000</v>
      </c>
      <c r="E126" s="20" t="s">
        <v>811</v>
      </c>
      <c r="F126" s="20" t="s">
        <v>812</v>
      </c>
      <c r="G126" s="8" t="str">
        <f t="shared" si="2"/>
        <v>BERLING GARY</v>
      </c>
      <c r="H126" s="20" t="str">
        <f t="shared" si="3"/>
        <v>4059</v>
      </c>
    </row>
    <row r="127" spans="1:8" x14ac:dyDescent="0.25">
      <c r="A127" s="8">
        <v>43063.566770833335</v>
      </c>
      <c r="B127" s="20" t="s">
        <v>554</v>
      </c>
      <c r="C127" s="20" t="s">
        <v>818</v>
      </c>
      <c r="D127" s="137">
        <v>3700000</v>
      </c>
      <c r="E127" s="20" t="s">
        <v>449</v>
      </c>
      <c r="F127" s="20" t="s">
        <v>370</v>
      </c>
      <c r="G127" s="8" t="str">
        <f t="shared" si="2"/>
        <v>AUSTIN THOMPSON</v>
      </c>
      <c r="H127" s="20" t="str">
        <f t="shared" si="3"/>
        <v>4063</v>
      </c>
    </row>
    <row r="128" spans="1:8" x14ac:dyDescent="0.25">
      <c r="A128" s="8">
        <v>43063.568113425928</v>
      </c>
      <c r="B128" s="20" t="s">
        <v>444</v>
      </c>
      <c r="C128" s="20" t="s">
        <v>819</v>
      </c>
      <c r="D128" s="137">
        <v>1810000</v>
      </c>
      <c r="E128" s="20" t="s">
        <v>563</v>
      </c>
      <c r="F128" s="20" t="s">
        <v>396</v>
      </c>
      <c r="G128" s="8" t="str">
        <f t="shared" si="2"/>
        <v>NEWELL JAMES</v>
      </c>
      <c r="H128" s="20" t="str">
        <f t="shared" si="3"/>
        <v>4009</v>
      </c>
    </row>
    <row r="129" spans="1:8" x14ac:dyDescent="0.25">
      <c r="A129" s="8">
        <v>43063.569976851853</v>
      </c>
      <c r="B129" s="20" t="s">
        <v>691</v>
      </c>
      <c r="C129" s="20" t="s">
        <v>820</v>
      </c>
      <c r="D129" s="137">
        <v>3000000</v>
      </c>
      <c r="E129" s="20" t="s">
        <v>505</v>
      </c>
      <c r="F129" s="20" t="s">
        <v>506</v>
      </c>
      <c r="G129" s="8" t="str">
        <f t="shared" si="2"/>
        <v>FORTUNATO FRANK</v>
      </c>
      <c r="H129" s="20" t="str">
        <f t="shared" si="3"/>
        <v>4016</v>
      </c>
    </row>
    <row r="130" spans="1:8" x14ac:dyDescent="0.25">
      <c r="A130" s="8">
        <v>43063.577743055554</v>
      </c>
      <c r="B130" s="20" t="s">
        <v>448</v>
      </c>
      <c r="C130" s="20" t="s">
        <v>821</v>
      </c>
      <c r="D130" s="137">
        <v>3330000</v>
      </c>
      <c r="E130" s="20" t="s">
        <v>822</v>
      </c>
      <c r="F130" s="20" t="s">
        <v>823</v>
      </c>
      <c r="G130" s="8" t="str">
        <f t="shared" si="2"/>
        <v>GONZALEZ ARMANDO</v>
      </c>
      <c r="H130" s="20" t="str">
        <f t="shared" si="3"/>
        <v>4050</v>
      </c>
    </row>
    <row r="131" spans="1:8" x14ac:dyDescent="0.25">
      <c r="A131" s="8">
        <v>43063.585717592592</v>
      </c>
      <c r="B131" s="20" t="s">
        <v>358</v>
      </c>
      <c r="C131" s="20" t="s">
        <v>824</v>
      </c>
      <c r="D131" s="137">
        <v>2350000</v>
      </c>
      <c r="E131" s="20" t="s">
        <v>811</v>
      </c>
      <c r="F131" s="20" t="s">
        <v>812</v>
      </c>
      <c r="G131" s="8" t="str">
        <f t="shared" ref="G131:G194" si="4">E131&amp;" "&amp;F131</f>
        <v>BERLING GARY</v>
      </c>
      <c r="H131" s="20" t="str">
        <f t="shared" ref="H131:H194" si="5">MID(B131,13,4)</f>
        <v>4060</v>
      </c>
    </row>
    <row r="132" spans="1:8" x14ac:dyDescent="0.25">
      <c r="A132" s="8">
        <v>43063.588750000003</v>
      </c>
      <c r="B132" s="20" t="s">
        <v>368</v>
      </c>
      <c r="C132" s="20" t="s">
        <v>825</v>
      </c>
      <c r="D132" s="137">
        <v>1770000</v>
      </c>
      <c r="E132" s="20" t="s">
        <v>559</v>
      </c>
      <c r="F132" s="20" t="s">
        <v>560</v>
      </c>
      <c r="G132" s="8" t="str">
        <f t="shared" si="4"/>
        <v>BRUDER RICHARD</v>
      </c>
      <c r="H132" s="20" t="str">
        <f t="shared" si="5"/>
        <v>4035</v>
      </c>
    </row>
    <row r="133" spans="1:8" x14ac:dyDescent="0.25">
      <c r="A133" s="8">
        <v>43063.590740740743</v>
      </c>
      <c r="B133" s="20" t="s">
        <v>670</v>
      </c>
      <c r="C133" s="20" t="s">
        <v>826</v>
      </c>
      <c r="D133" s="137">
        <v>2550000</v>
      </c>
      <c r="E133" s="20" t="s">
        <v>787</v>
      </c>
      <c r="F133" s="20" t="s">
        <v>788</v>
      </c>
      <c r="G133" s="8" t="str">
        <f t="shared" si="4"/>
        <v>BADERTSCHER DIANE</v>
      </c>
      <c r="H133" s="20" t="str">
        <f t="shared" si="5"/>
        <v>4006</v>
      </c>
    </row>
    <row r="134" spans="1:8" x14ac:dyDescent="0.25">
      <c r="A134" s="8">
        <v>43063.597696759258</v>
      </c>
      <c r="B134" s="20" t="s">
        <v>705</v>
      </c>
      <c r="C134" s="20" t="s">
        <v>827</v>
      </c>
      <c r="D134" s="137">
        <v>3810000</v>
      </c>
      <c r="E134" s="20" t="s">
        <v>799</v>
      </c>
      <c r="F134" s="20" t="s">
        <v>800</v>
      </c>
      <c r="G134" s="8" t="str">
        <f t="shared" si="4"/>
        <v>LORI SANTOS</v>
      </c>
      <c r="H134" s="20" t="str">
        <f t="shared" si="5"/>
        <v>4001</v>
      </c>
    </row>
    <row r="135" spans="1:8" x14ac:dyDescent="0.25">
      <c r="A135" s="8">
        <v>43063.599456018521</v>
      </c>
      <c r="B135" s="20" t="s">
        <v>658</v>
      </c>
      <c r="C135" s="20" t="s">
        <v>828</v>
      </c>
      <c r="D135" s="137">
        <v>3000000</v>
      </c>
      <c r="E135" s="20" t="s">
        <v>505</v>
      </c>
      <c r="F135" s="20" t="s">
        <v>506</v>
      </c>
      <c r="G135" s="8" t="str">
        <f t="shared" si="4"/>
        <v>FORTUNATO FRANK</v>
      </c>
      <c r="H135" s="20" t="str">
        <f t="shared" si="5"/>
        <v>4015</v>
      </c>
    </row>
    <row r="136" spans="1:8" x14ac:dyDescent="0.25">
      <c r="A136" s="8">
        <v>43063.601446759261</v>
      </c>
      <c r="B136" s="20" t="s">
        <v>391</v>
      </c>
      <c r="C136" s="20" t="s">
        <v>829</v>
      </c>
      <c r="D136" s="137">
        <v>2350000</v>
      </c>
      <c r="E136" s="20" t="s">
        <v>811</v>
      </c>
      <c r="F136" s="20" t="s">
        <v>812</v>
      </c>
      <c r="G136" s="8" t="str">
        <f t="shared" si="4"/>
        <v>BERLING GARY</v>
      </c>
      <c r="H136" s="20" t="str">
        <f t="shared" si="5"/>
        <v>4059</v>
      </c>
    </row>
    <row r="137" spans="1:8" x14ac:dyDescent="0.25">
      <c r="A137" s="8">
        <v>43063.601921296293</v>
      </c>
      <c r="B137" s="20" t="s">
        <v>555</v>
      </c>
      <c r="C137" s="20" t="s">
        <v>672</v>
      </c>
      <c r="D137" s="137">
        <v>3700000</v>
      </c>
      <c r="E137" s="20" t="s">
        <v>449</v>
      </c>
      <c r="F137" s="20" t="s">
        <v>370</v>
      </c>
      <c r="G137" s="8" t="str">
        <f t="shared" si="4"/>
        <v>AUSTIN THOMPSON</v>
      </c>
      <c r="H137" s="20" t="str">
        <f t="shared" si="5"/>
        <v>4064</v>
      </c>
    </row>
    <row r="138" spans="1:8" x14ac:dyDescent="0.25">
      <c r="A138" s="8">
        <v>43063.609479166669</v>
      </c>
      <c r="B138" s="20" t="s">
        <v>445</v>
      </c>
      <c r="C138" s="20" t="s">
        <v>830</v>
      </c>
      <c r="D138" s="137">
        <v>1810000</v>
      </c>
      <c r="E138" s="20" t="s">
        <v>563</v>
      </c>
      <c r="F138" s="20" t="s">
        <v>396</v>
      </c>
      <c r="G138" s="8" t="str">
        <f t="shared" si="4"/>
        <v>NEWELL JAMES</v>
      </c>
      <c r="H138" s="20" t="str">
        <f t="shared" si="5"/>
        <v>4010</v>
      </c>
    </row>
    <row r="139" spans="1:8" x14ac:dyDescent="0.25">
      <c r="A139" s="8">
        <v>43063.617812500001</v>
      </c>
      <c r="B139" s="20" t="s">
        <v>447</v>
      </c>
      <c r="C139" s="20" t="s">
        <v>831</v>
      </c>
      <c r="D139" s="137">
        <v>3330000</v>
      </c>
      <c r="E139" s="20" t="s">
        <v>822</v>
      </c>
      <c r="F139" s="20" t="s">
        <v>823</v>
      </c>
      <c r="G139" s="8" t="str">
        <f t="shared" si="4"/>
        <v>GONZALEZ ARMANDO</v>
      </c>
      <c r="H139" s="20" t="str">
        <f t="shared" si="5"/>
        <v>4049</v>
      </c>
    </row>
    <row r="140" spans="1:8" x14ac:dyDescent="0.25">
      <c r="A140" s="8">
        <v>43063.622245370374</v>
      </c>
      <c r="B140" s="20" t="s">
        <v>367</v>
      </c>
      <c r="C140" s="20" t="s">
        <v>832</v>
      </c>
      <c r="D140" s="137">
        <v>1770000</v>
      </c>
      <c r="E140" s="20" t="s">
        <v>559</v>
      </c>
      <c r="F140" s="20" t="s">
        <v>560</v>
      </c>
      <c r="G140" s="8" t="str">
        <f t="shared" si="4"/>
        <v>BRUDER RICHARD</v>
      </c>
      <c r="H140" s="20" t="str">
        <f t="shared" si="5"/>
        <v>4036</v>
      </c>
    </row>
    <row r="141" spans="1:8" x14ac:dyDescent="0.25">
      <c r="A141" s="8">
        <v>43063.626597222225</v>
      </c>
      <c r="B141" s="20" t="s">
        <v>358</v>
      </c>
      <c r="C141" s="20" t="s">
        <v>833</v>
      </c>
      <c r="D141" s="137">
        <v>2350000</v>
      </c>
      <c r="E141" s="20" t="s">
        <v>811</v>
      </c>
      <c r="F141" s="20" t="s">
        <v>812</v>
      </c>
      <c r="G141" s="8" t="str">
        <f t="shared" si="4"/>
        <v>BERLING GARY</v>
      </c>
      <c r="H141" s="20" t="str">
        <f t="shared" si="5"/>
        <v>4060</v>
      </c>
    </row>
    <row r="142" spans="1:8" x14ac:dyDescent="0.25">
      <c r="A142" s="8">
        <v>43063.628101851849</v>
      </c>
      <c r="B142" s="20" t="s">
        <v>667</v>
      </c>
      <c r="C142" s="20" t="s">
        <v>834</v>
      </c>
      <c r="D142" s="137">
        <v>2550000</v>
      </c>
      <c r="E142" s="20" t="s">
        <v>787</v>
      </c>
      <c r="F142" s="20" t="s">
        <v>788</v>
      </c>
      <c r="G142" s="8" t="str">
        <f t="shared" si="4"/>
        <v>BADERTSCHER DIANE</v>
      </c>
      <c r="H142" s="20" t="str">
        <f t="shared" si="5"/>
        <v>4005</v>
      </c>
    </row>
    <row r="143" spans="1:8" x14ac:dyDescent="0.25">
      <c r="A143" s="8">
        <v>43063.632199074076</v>
      </c>
      <c r="B143" s="20" t="s">
        <v>710</v>
      </c>
      <c r="C143" s="20" t="s">
        <v>835</v>
      </c>
      <c r="D143" s="137">
        <v>3810000</v>
      </c>
      <c r="E143" s="20" t="s">
        <v>799</v>
      </c>
      <c r="F143" s="20" t="s">
        <v>800</v>
      </c>
      <c r="G143" s="8" t="str">
        <f t="shared" si="4"/>
        <v>LORI SANTOS</v>
      </c>
      <c r="H143" s="20" t="str">
        <f t="shared" si="5"/>
        <v>4002</v>
      </c>
    </row>
    <row r="144" spans="1:8" x14ac:dyDescent="0.25">
      <c r="A144" s="8">
        <v>43063.638935185183</v>
      </c>
      <c r="B144" s="20" t="s">
        <v>548</v>
      </c>
      <c r="C144" s="20" t="s">
        <v>836</v>
      </c>
      <c r="D144" s="137">
        <v>3680000</v>
      </c>
      <c r="E144" s="20" t="s">
        <v>507</v>
      </c>
      <c r="F144" s="20" t="s">
        <v>508</v>
      </c>
      <c r="G144" s="8" t="str">
        <f t="shared" si="4"/>
        <v>HAMMOND JUSTYNN</v>
      </c>
      <c r="H144" s="20" t="str">
        <f t="shared" si="5"/>
        <v>4039</v>
      </c>
    </row>
    <row r="145" spans="1:8" x14ac:dyDescent="0.25">
      <c r="A145" s="8">
        <v>43063.640879629631</v>
      </c>
      <c r="B145" s="20" t="s">
        <v>444</v>
      </c>
      <c r="C145" s="20" t="s">
        <v>837</v>
      </c>
      <c r="D145" s="137">
        <v>1810000</v>
      </c>
      <c r="E145" s="20" t="s">
        <v>563</v>
      </c>
      <c r="F145" s="20" t="s">
        <v>396</v>
      </c>
      <c r="G145" s="8" t="str">
        <f t="shared" si="4"/>
        <v>NEWELL JAMES</v>
      </c>
      <c r="H145" s="20" t="str">
        <f t="shared" si="5"/>
        <v>4009</v>
      </c>
    </row>
    <row r="146" spans="1:8" x14ac:dyDescent="0.25">
      <c r="A146" s="8">
        <v>43063.640879629631</v>
      </c>
      <c r="B146" s="20" t="s">
        <v>691</v>
      </c>
      <c r="C146" s="20" t="s">
        <v>838</v>
      </c>
      <c r="D146" s="137">
        <v>3000000</v>
      </c>
      <c r="E146" s="20" t="s">
        <v>505</v>
      </c>
      <c r="F146" s="20" t="s">
        <v>506</v>
      </c>
      <c r="G146" s="8" t="str">
        <f t="shared" si="4"/>
        <v>FORTUNATO FRANK</v>
      </c>
      <c r="H146" s="20" t="str">
        <f t="shared" si="5"/>
        <v>4016</v>
      </c>
    </row>
    <row r="147" spans="1:8" x14ac:dyDescent="0.25">
      <c r="A147" s="8">
        <v>43063.641956018517</v>
      </c>
      <c r="B147" s="20" t="s">
        <v>554</v>
      </c>
      <c r="C147" s="20" t="s">
        <v>839</v>
      </c>
      <c r="D147" s="137">
        <v>3700000</v>
      </c>
      <c r="E147" s="20" t="s">
        <v>449</v>
      </c>
      <c r="F147" s="20" t="s">
        <v>370</v>
      </c>
      <c r="G147" s="8" t="str">
        <f t="shared" si="4"/>
        <v>AUSTIN THOMPSON</v>
      </c>
      <c r="H147" s="20" t="str">
        <f t="shared" si="5"/>
        <v>4063</v>
      </c>
    </row>
    <row r="148" spans="1:8" x14ac:dyDescent="0.25">
      <c r="A148" s="8">
        <v>43063.644143518519</v>
      </c>
      <c r="B148" s="20" t="s">
        <v>391</v>
      </c>
      <c r="C148" s="20" t="s">
        <v>840</v>
      </c>
      <c r="D148" s="137">
        <v>2350000</v>
      </c>
      <c r="E148" s="20" t="s">
        <v>811</v>
      </c>
      <c r="F148" s="20" t="s">
        <v>812</v>
      </c>
      <c r="G148" s="8" t="str">
        <f t="shared" si="4"/>
        <v>BERLING GARY</v>
      </c>
      <c r="H148" s="20" t="str">
        <f t="shared" si="5"/>
        <v>4059</v>
      </c>
    </row>
    <row r="149" spans="1:8" x14ac:dyDescent="0.25">
      <c r="A149" s="8">
        <v>43063.649641203701</v>
      </c>
      <c r="B149" s="20" t="s">
        <v>547</v>
      </c>
      <c r="C149" s="20" t="s">
        <v>841</v>
      </c>
      <c r="D149" s="137">
        <v>3680000</v>
      </c>
      <c r="E149" s="20" t="s">
        <v>507</v>
      </c>
      <c r="F149" s="20" t="s">
        <v>508</v>
      </c>
      <c r="G149" s="8" t="str">
        <f t="shared" si="4"/>
        <v>HAMMOND JUSTYNN</v>
      </c>
      <c r="H149" s="20" t="str">
        <f t="shared" si="5"/>
        <v>4040</v>
      </c>
    </row>
    <row r="150" spans="1:8" x14ac:dyDescent="0.25">
      <c r="A150" s="8">
        <v>43063.652291666665</v>
      </c>
      <c r="B150" s="20" t="s">
        <v>448</v>
      </c>
      <c r="C150" s="20" t="s">
        <v>842</v>
      </c>
      <c r="D150" s="137">
        <v>2140000</v>
      </c>
      <c r="E150" s="20" t="s">
        <v>561</v>
      </c>
      <c r="F150" s="20" t="s">
        <v>562</v>
      </c>
      <c r="G150" s="8" t="str">
        <f t="shared" si="4"/>
        <v>ROBINSON KADDIBA</v>
      </c>
      <c r="H150" s="20" t="str">
        <f t="shared" si="5"/>
        <v>4050</v>
      </c>
    </row>
    <row r="151" spans="1:8" x14ac:dyDescent="0.25">
      <c r="A151" s="8">
        <v>43063.662118055552</v>
      </c>
      <c r="B151" s="20" t="s">
        <v>368</v>
      </c>
      <c r="C151" s="20" t="s">
        <v>843</v>
      </c>
      <c r="D151" s="137">
        <v>1770000</v>
      </c>
      <c r="E151" s="20" t="s">
        <v>559</v>
      </c>
      <c r="F151" s="20" t="s">
        <v>560</v>
      </c>
      <c r="G151" s="8" t="str">
        <f t="shared" si="4"/>
        <v>BRUDER RICHARD</v>
      </c>
      <c r="H151" s="20" t="str">
        <f t="shared" si="5"/>
        <v>4035</v>
      </c>
    </row>
    <row r="152" spans="1:8" x14ac:dyDescent="0.25">
      <c r="A152" s="8">
        <v>43063.66333333333</v>
      </c>
      <c r="B152" s="20" t="s">
        <v>670</v>
      </c>
      <c r="C152" s="20" t="s">
        <v>844</v>
      </c>
      <c r="D152" s="137">
        <v>2550000</v>
      </c>
      <c r="E152" s="20" t="s">
        <v>787</v>
      </c>
      <c r="F152" s="20" t="s">
        <v>788</v>
      </c>
      <c r="G152" s="8" t="str">
        <f t="shared" si="4"/>
        <v>BADERTSCHER DIANE</v>
      </c>
      <c r="H152" s="20" t="str">
        <f t="shared" si="5"/>
        <v>4006</v>
      </c>
    </row>
    <row r="153" spans="1:8" x14ac:dyDescent="0.25">
      <c r="A153" s="8">
        <v>43063.666620370372</v>
      </c>
      <c r="B153" s="20" t="s">
        <v>358</v>
      </c>
      <c r="C153" s="20" t="s">
        <v>845</v>
      </c>
      <c r="D153" s="137">
        <v>2350000</v>
      </c>
      <c r="E153" s="20" t="s">
        <v>811</v>
      </c>
      <c r="F153" s="20" t="s">
        <v>812</v>
      </c>
      <c r="G153" s="8" t="str">
        <f t="shared" si="4"/>
        <v>BERLING GARY</v>
      </c>
      <c r="H153" s="20" t="str">
        <f t="shared" si="5"/>
        <v>4060</v>
      </c>
    </row>
    <row r="154" spans="1:8" x14ac:dyDescent="0.25">
      <c r="A154" s="8">
        <v>43063.666886574072</v>
      </c>
      <c r="B154" s="20" t="s">
        <v>548</v>
      </c>
      <c r="C154" s="20" t="s">
        <v>846</v>
      </c>
      <c r="D154" s="137">
        <v>3680000</v>
      </c>
      <c r="E154" s="20" t="s">
        <v>507</v>
      </c>
      <c r="F154" s="20" t="s">
        <v>508</v>
      </c>
      <c r="G154" s="8" t="str">
        <f t="shared" si="4"/>
        <v>HAMMOND JUSTYNN</v>
      </c>
      <c r="H154" s="20" t="str">
        <f t="shared" si="5"/>
        <v>4039</v>
      </c>
    </row>
    <row r="155" spans="1:8" x14ac:dyDescent="0.25">
      <c r="A155" s="8">
        <v>43063.670902777776</v>
      </c>
      <c r="B155" s="20" t="s">
        <v>705</v>
      </c>
      <c r="C155" s="20" t="s">
        <v>847</v>
      </c>
      <c r="D155" s="137">
        <v>3810000</v>
      </c>
      <c r="E155" s="20" t="s">
        <v>799</v>
      </c>
      <c r="F155" s="20" t="s">
        <v>800</v>
      </c>
      <c r="G155" s="8" t="str">
        <f t="shared" si="4"/>
        <v>LORI SANTOS</v>
      </c>
      <c r="H155" s="20" t="str">
        <f t="shared" si="5"/>
        <v>4001</v>
      </c>
    </row>
    <row r="156" spans="1:8" x14ac:dyDescent="0.25">
      <c r="A156" s="8">
        <v>43063.673819444448</v>
      </c>
      <c r="B156" s="20" t="s">
        <v>555</v>
      </c>
      <c r="C156" s="20" t="s">
        <v>848</v>
      </c>
      <c r="D156" s="137">
        <v>3700000</v>
      </c>
      <c r="E156" s="20" t="s">
        <v>449</v>
      </c>
      <c r="F156" s="20" t="s">
        <v>370</v>
      </c>
      <c r="G156" s="8" t="str">
        <f t="shared" si="4"/>
        <v>AUSTIN THOMPSON</v>
      </c>
      <c r="H156" s="20" t="str">
        <f t="shared" si="5"/>
        <v>4064</v>
      </c>
    </row>
    <row r="157" spans="1:8" x14ac:dyDescent="0.25">
      <c r="A157" s="8">
        <v>43063.682349537034</v>
      </c>
      <c r="B157" s="20" t="s">
        <v>658</v>
      </c>
      <c r="C157" s="20" t="s">
        <v>849</v>
      </c>
      <c r="D157" s="137">
        <v>3000000</v>
      </c>
      <c r="E157" s="20" t="s">
        <v>505</v>
      </c>
      <c r="F157" s="20" t="s">
        <v>506</v>
      </c>
      <c r="G157" s="8" t="str">
        <f t="shared" si="4"/>
        <v>FORTUNATO FRANK</v>
      </c>
      <c r="H157" s="20" t="str">
        <f t="shared" si="5"/>
        <v>4015</v>
      </c>
    </row>
    <row r="158" spans="1:8" x14ac:dyDescent="0.25">
      <c r="A158" s="8">
        <v>43063.684374999997</v>
      </c>
      <c r="B158" s="20" t="s">
        <v>445</v>
      </c>
      <c r="C158" s="20" t="s">
        <v>850</v>
      </c>
      <c r="D158" s="137">
        <v>1810000</v>
      </c>
      <c r="E158" s="20" t="s">
        <v>563</v>
      </c>
      <c r="F158" s="20" t="s">
        <v>396</v>
      </c>
      <c r="G158" s="8" t="str">
        <f t="shared" si="4"/>
        <v>NEWELL JAMES</v>
      </c>
      <c r="H158" s="20" t="str">
        <f t="shared" si="5"/>
        <v>4010</v>
      </c>
    </row>
    <row r="159" spans="1:8" x14ac:dyDescent="0.25">
      <c r="A159" s="8">
        <v>43063.686180555553</v>
      </c>
      <c r="B159" s="20" t="s">
        <v>391</v>
      </c>
      <c r="C159" s="20" t="s">
        <v>851</v>
      </c>
      <c r="D159" s="137">
        <v>2350000</v>
      </c>
      <c r="E159" s="20" t="s">
        <v>811</v>
      </c>
      <c r="F159" s="20" t="s">
        <v>812</v>
      </c>
      <c r="G159" s="8" t="str">
        <f t="shared" si="4"/>
        <v>BERLING GARY</v>
      </c>
      <c r="H159" s="20" t="str">
        <f t="shared" si="5"/>
        <v>4059</v>
      </c>
    </row>
    <row r="160" spans="1:8" x14ac:dyDescent="0.25">
      <c r="A160" s="8">
        <v>43063.688055555554</v>
      </c>
      <c r="B160" s="20" t="s">
        <v>547</v>
      </c>
      <c r="C160" s="20" t="s">
        <v>852</v>
      </c>
      <c r="D160" s="137">
        <v>3680000</v>
      </c>
      <c r="E160" s="20" t="s">
        <v>507</v>
      </c>
      <c r="F160" s="20" t="s">
        <v>508</v>
      </c>
      <c r="G160" s="8" t="str">
        <f t="shared" si="4"/>
        <v>HAMMOND JUSTYNN</v>
      </c>
      <c r="H160" s="20" t="str">
        <f t="shared" si="5"/>
        <v>4040</v>
      </c>
    </row>
    <row r="161" spans="1:8" x14ac:dyDescent="0.25">
      <c r="A161" s="8">
        <v>43063.689606481479</v>
      </c>
      <c r="B161" s="20" t="s">
        <v>447</v>
      </c>
      <c r="C161" s="20" t="s">
        <v>673</v>
      </c>
      <c r="D161" s="137">
        <v>3330000</v>
      </c>
      <c r="E161" s="20" t="s">
        <v>822</v>
      </c>
      <c r="F161" s="20" t="s">
        <v>823</v>
      </c>
      <c r="G161" s="8" t="str">
        <f t="shared" si="4"/>
        <v>GONZALEZ ARMANDO</v>
      </c>
      <c r="H161" s="20" t="str">
        <f t="shared" si="5"/>
        <v>4049</v>
      </c>
    </row>
    <row r="162" spans="1:8" x14ac:dyDescent="0.25">
      <c r="A162" s="8">
        <v>43063.691886574074</v>
      </c>
      <c r="B162" s="20" t="s">
        <v>357</v>
      </c>
      <c r="C162" s="20" t="s">
        <v>853</v>
      </c>
      <c r="D162" s="137">
        <v>1780000</v>
      </c>
      <c r="E162" s="20" t="s">
        <v>564</v>
      </c>
      <c r="F162" s="20" t="s">
        <v>565</v>
      </c>
      <c r="G162" s="8" t="str">
        <f t="shared" si="4"/>
        <v>DE LA ROSA ALEX</v>
      </c>
      <c r="H162" s="20" t="str">
        <f t="shared" si="5"/>
        <v>4008</v>
      </c>
    </row>
    <row r="163" spans="1:8" x14ac:dyDescent="0.25">
      <c r="A163" s="8">
        <v>43063.694976851853</v>
      </c>
      <c r="B163" s="20" t="s">
        <v>367</v>
      </c>
      <c r="C163" s="20" t="s">
        <v>854</v>
      </c>
      <c r="D163" s="137">
        <v>1770000</v>
      </c>
      <c r="E163" s="20" t="s">
        <v>559</v>
      </c>
      <c r="F163" s="20" t="s">
        <v>560</v>
      </c>
      <c r="G163" s="8" t="str">
        <f t="shared" si="4"/>
        <v>BRUDER RICHARD</v>
      </c>
      <c r="H163" s="20" t="str">
        <f t="shared" si="5"/>
        <v>4036</v>
      </c>
    </row>
    <row r="164" spans="1:8" x14ac:dyDescent="0.25">
      <c r="A164" s="8">
        <v>43063.701874999999</v>
      </c>
      <c r="B164" s="20" t="s">
        <v>667</v>
      </c>
      <c r="C164" s="20" t="s">
        <v>855</v>
      </c>
      <c r="D164" s="137">
        <v>2550000</v>
      </c>
      <c r="E164" s="20" t="s">
        <v>787</v>
      </c>
      <c r="F164" s="20" t="s">
        <v>788</v>
      </c>
      <c r="G164" s="8" t="str">
        <f t="shared" si="4"/>
        <v>BADERTSCHER DIANE</v>
      </c>
      <c r="H164" s="20" t="str">
        <f t="shared" si="5"/>
        <v>4005</v>
      </c>
    </row>
    <row r="165" spans="1:8" x14ac:dyDescent="0.25">
      <c r="A165" s="8">
        <v>43063.705023148148</v>
      </c>
      <c r="B165" s="20" t="s">
        <v>710</v>
      </c>
      <c r="C165" s="20" t="s">
        <v>856</v>
      </c>
      <c r="D165" s="137">
        <v>3810000</v>
      </c>
      <c r="E165" s="20" t="s">
        <v>799</v>
      </c>
      <c r="F165" s="20" t="s">
        <v>800</v>
      </c>
      <c r="G165" s="8" t="str">
        <f t="shared" si="4"/>
        <v>LORI SANTOS</v>
      </c>
      <c r="H165" s="20" t="str">
        <f t="shared" si="5"/>
        <v>4002</v>
      </c>
    </row>
    <row r="166" spans="1:8" x14ac:dyDescent="0.25">
      <c r="A166" s="8">
        <v>43063.706817129627</v>
      </c>
      <c r="B166" s="20" t="s">
        <v>358</v>
      </c>
      <c r="C166" s="20" t="s">
        <v>857</v>
      </c>
      <c r="D166" s="137">
        <v>2350000</v>
      </c>
      <c r="E166" s="20" t="s">
        <v>811</v>
      </c>
      <c r="F166" s="20" t="s">
        <v>812</v>
      </c>
      <c r="G166" s="8" t="str">
        <f t="shared" si="4"/>
        <v>BERLING GARY</v>
      </c>
      <c r="H166" s="20" t="str">
        <f t="shared" si="5"/>
        <v>4060</v>
      </c>
    </row>
    <row r="167" spans="1:8" x14ac:dyDescent="0.25">
      <c r="A167" s="8">
        <v>43063.706909722219</v>
      </c>
      <c r="B167" s="20" t="s">
        <v>548</v>
      </c>
      <c r="C167" s="20" t="s">
        <v>858</v>
      </c>
      <c r="D167" s="137">
        <v>3680000</v>
      </c>
      <c r="E167" s="20" t="s">
        <v>507</v>
      </c>
      <c r="F167" s="20" t="s">
        <v>508</v>
      </c>
      <c r="G167" s="8" t="str">
        <f t="shared" si="4"/>
        <v>HAMMOND JUSTYNN</v>
      </c>
      <c r="H167" s="20" t="str">
        <f t="shared" si="5"/>
        <v>4039</v>
      </c>
    </row>
    <row r="168" spans="1:8" x14ac:dyDescent="0.25">
      <c r="A168" s="8">
        <v>43063.715081018519</v>
      </c>
      <c r="B168" s="20" t="s">
        <v>691</v>
      </c>
      <c r="C168" s="20" t="s">
        <v>859</v>
      </c>
      <c r="D168" s="137">
        <v>3000000</v>
      </c>
      <c r="E168" s="20" t="s">
        <v>505</v>
      </c>
      <c r="F168" s="20" t="s">
        <v>506</v>
      </c>
      <c r="G168" s="8" t="str">
        <f t="shared" si="4"/>
        <v>FORTUNATO FRANK</v>
      </c>
      <c r="H168" s="20" t="str">
        <f t="shared" si="5"/>
        <v>4016</v>
      </c>
    </row>
    <row r="169" spans="1:8" x14ac:dyDescent="0.25">
      <c r="A169" s="8">
        <v>43063.71534722222</v>
      </c>
      <c r="B169" s="20" t="s">
        <v>444</v>
      </c>
      <c r="C169" s="20" t="s">
        <v>860</v>
      </c>
      <c r="D169" s="137">
        <v>1810000</v>
      </c>
      <c r="E169" s="20" t="s">
        <v>563</v>
      </c>
      <c r="F169" s="20" t="s">
        <v>396</v>
      </c>
      <c r="G169" s="8" t="str">
        <f t="shared" si="4"/>
        <v>NEWELL JAMES</v>
      </c>
      <c r="H169" s="20" t="str">
        <f t="shared" si="5"/>
        <v>4009</v>
      </c>
    </row>
    <row r="170" spans="1:8" x14ac:dyDescent="0.25">
      <c r="A170" s="8">
        <v>43063.715543981481</v>
      </c>
      <c r="B170" s="20" t="s">
        <v>554</v>
      </c>
      <c r="C170" s="20" t="s">
        <v>861</v>
      </c>
      <c r="D170" s="137">
        <v>3700000</v>
      </c>
      <c r="E170" s="20" t="s">
        <v>449</v>
      </c>
      <c r="F170" s="20" t="s">
        <v>370</v>
      </c>
      <c r="G170" s="8" t="str">
        <f t="shared" si="4"/>
        <v>AUSTIN THOMPSON</v>
      </c>
      <c r="H170" s="20" t="str">
        <f t="shared" si="5"/>
        <v>4063</v>
      </c>
    </row>
    <row r="171" spans="1:8" x14ac:dyDescent="0.25">
      <c r="A171" s="8">
        <v>43063.726226851853</v>
      </c>
      <c r="B171" s="20" t="s">
        <v>448</v>
      </c>
      <c r="C171" s="20" t="s">
        <v>862</v>
      </c>
      <c r="D171" s="137">
        <v>2140000</v>
      </c>
      <c r="E171" s="20" t="s">
        <v>561</v>
      </c>
      <c r="F171" s="20" t="s">
        <v>562</v>
      </c>
      <c r="G171" s="8" t="str">
        <f t="shared" si="4"/>
        <v>ROBINSON KADDIBA</v>
      </c>
      <c r="H171" s="20" t="str">
        <f t="shared" si="5"/>
        <v>4050</v>
      </c>
    </row>
    <row r="172" spans="1:8" x14ac:dyDescent="0.25">
      <c r="A172" s="8">
        <v>43063.728125000001</v>
      </c>
      <c r="B172" s="20" t="s">
        <v>391</v>
      </c>
      <c r="C172" s="20" t="s">
        <v>863</v>
      </c>
      <c r="D172" s="137">
        <v>2350000</v>
      </c>
      <c r="E172" s="20" t="s">
        <v>811</v>
      </c>
      <c r="F172" s="20" t="s">
        <v>812</v>
      </c>
      <c r="G172" s="8" t="str">
        <f t="shared" si="4"/>
        <v>BERLING GARY</v>
      </c>
      <c r="H172" s="20" t="str">
        <f t="shared" si="5"/>
        <v>4059</v>
      </c>
    </row>
    <row r="173" spans="1:8" x14ac:dyDescent="0.25">
      <c r="A173" s="8">
        <v>43063.728703703702</v>
      </c>
      <c r="B173" s="20" t="s">
        <v>547</v>
      </c>
      <c r="C173" s="20" t="s">
        <v>864</v>
      </c>
      <c r="D173" s="137">
        <v>3680000</v>
      </c>
      <c r="E173" s="20" t="s">
        <v>507</v>
      </c>
      <c r="F173" s="20" t="s">
        <v>508</v>
      </c>
      <c r="G173" s="8" t="str">
        <f t="shared" si="4"/>
        <v>HAMMOND JUSTYNN</v>
      </c>
      <c r="H173" s="20" t="str">
        <f t="shared" si="5"/>
        <v>4040</v>
      </c>
    </row>
    <row r="174" spans="1:8" x14ac:dyDescent="0.25">
      <c r="A174" s="8">
        <v>43063.734513888892</v>
      </c>
      <c r="B174" s="20" t="s">
        <v>368</v>
      </c>
      <c r="C174" s="20" t="s">
        <v>865</v>
      </c>
      <c r="D174" s="137">
        <v>1770000</v>
      </c>
      <c r="E174" s="20" t="s">
        <v>559</v>
      </c>
      <c r="F174" s="20" t="s">
        <v>560</v>
      </c>
      <c r="G174" s="8" t="str">
        <f t="shared" si="4"/>
        <v>BRUDER RICHARD</v>
      </c>
      <c r="H174" s="20" t="str">
        <f t="shared" si="5"/>
        <v>4035</v>
      </c>
    </row>
    <row r="175" spans="1:8" x14ac:dyDescent="0.25">
      <c r="A175" s="8">
        <v>43063.737083333333</v>
      </c>
      <c r="B175" s="20" t="s">
        <v>670</v>
      </c>
      <c r="C175" s="20" t="s">
        <v>866</v>
      </c>
      <c r="D175" s="137">
        <v>2600000</v>
      </c>
      <c r="E175" s="20" t="s">
        <v>488</v>
      </c>
      <c r="F175" s="20" t="s">
        <v>481</v>
      </c>
      <c r="G175" s="8" t="str">
        <f t="shared" si="4"/>
        <v>DAVIDSON DAVID</v>
      </c>
      <c r="H175" s="20" t="str">
        <f t="shared" si="5"/>
        <v>4006</v>
      </c>
    </row>
    <row r="176" spans="1:8" x14ac:dyDescent="0.25">
      <c r="A176" s="8">
        <v>43063.743819444448</v>
      </c>
      <c r="B176" s="20" t="s">
        <v>705</v>
      </c>
      <c r="C176" s="20" t="s">
        <v>867</v>
      </c>
      <c r="D176" s="137">
        <v>3810000</v>
      </c>
      <c r="E176" s="20" t="s">
        <v>799</v>
      </c>
      <c r="F176" s="20" t="s">
        <v>800</v>
      </c>
      <c r="G176" s="8" t="str">
        <f t="shared" si="4"/>
        <v>LORI SANTOS</v>
      </c>
      <c r="H176" s="20" t="str">
        <f t="shared" si="5"/>
        <v>4001</v>
      </c>
    </row>
    <row r="177" spans="1:8" x14ac:dyDescent="0.25">
      <c r="A177" s="8">
        <v>43063.744791666664</v>
      </c>
      <c r="B177" s="20" t="s">
        <v>555</v>
      </c>
      <c r="C177" s="20" t="s">
        <v>868</v>
      </c>
      <c r="D177" s="137">
        <v>3700000</v>
      </c>
      <c r="E177" s="20" t="s">
        <v>449</v>
      </c>
      <c r="F177" s="20" t="s">
        <v>370</v>
      </c>
      <c r="G177" s="8" t="str">
        <f t="shared" si="4"/>
        <v>AUSTIN THOMPSON</v>
      </c>
      <c r="H177" s="20" t="str">
        <f t="shared" si="5"/>
        <v>4064</v>
      </c>
    </row>
    <row r="178" spans="1:8" x14ac:dyDescent="0.25">
      <c r="A178" s="8">
        <v>43063.745983796296</v>
      </c>
      <c r="B178" s="20" t="s">
        <v>658</v>
      </c>
      <c r="C178" s="20" t="s">
        <v>869</v>
      </c>
      <c r="D178" s="137">
        <v>3000000</v>
      </c>
      <c r="E178" s="20" t="s">
        <v>505</v>
      </c>
      <c r="F178" s="20" t="s">
        <v>506</v>
      </c>
      <c r="G178" s="8" t="str">
        <f t="shared" si="4"/>
        <v>FORTUNATO FRANK</v>
      </c>
      <c r="H178" s="20" t="str">
        <f t="shared" si="5"/>
        <v>4015</v>
      </c>
    </row>
    <row r="179" spans="1:8" x14ac:dyDescent="0.25">
      <c r="A179" s="8">
        <v>43063.748148148145</v>
      </c>
      <c r="B179" s="20" t="s">
        <v>548</v>
      </c>
      <c r="C179" s="20" t="s">
        <v>870</v>
      </c>
      <c r="D179" s="137">
        <v>3680000</v>
      </c>
      <c r="E179" s="20" t="s">
        <v>507</v>
      </c>
      <c r="F179" s="20" t="s">
        <v>508</v>
      </c>
      <c r="G179" s="8" t="str">
        <f t="shared" si="4"/>
        <v>HAMMOND JUSTYNN</v>
      </c>
      <c r="H179" s="20" t="str">
        <f t="shared" si="5"/>
        <v>4039</v>
      </c>
    </row>
    <row r="180" spans="1:8" x14ac:dyDescent="0.25">
      <c r="A180" s="8">
        <v>43063.753194444442</v>
      </c>
      <c r="B180" s="20" t="s">
        <v>358</v>
      </c>
      <c r="C180" s="20" t="s">
        <v>871</v>
      </c>
      <c r="D180" s="137">
        <v>2350000</v>
      </c>
      <c r="E180" s="20" t="s">
        <v>811</v>
      </c>
      <c r="F180" s="20" t="s">
        <v>812</v>
      </c>
      <c r="G180" s="8" t="str">
        <f t="shared" si="4"/>
        <v>BERLING GARY</v>
      </c>
      <c r="H180" s="20" t="str">
        <f t="shared" si="5"/>
        <v>4060</v>
      </c>
    </row>
    <row r="181" spans="1:8" x14ac:dyDescent="0.25">
      <c r="A181" s="8">
        <v>43063.75712962963</v>
      </c>
      <c r="B181" s="20" t="s">
        <v>445</v>
      </c>
      <c r="C181" s="20" t="s">
        <v>872</v>
      </c>
      <c r="D181" s="137">
        <v>2540000</v>
      </c>
      <c r="E181" s="20" t="s">
        <v>461</v>
      </c>
      <c r="F181" s="20" t="s">
        <v>462</v>
      </c>
      <c r="G181" s="8" t="str">
        <f t="shared" si="4"/>
        <v>MCREYNOLDS KYLE</v>
      </c>
      <c r="H181" s="20" t="str">
        <f t="shared" si="5"/>
        <v>4010</v>
      </c>
    </row>
    <row r="182" spans="1:8" x14ac:dyDescent="0.25">
      <c r="A182" s="8">
        <v>43063.765069444446</v>
      </c>
      <c r="B182" s="20" t="s">
        <v>367</v>
      </c>
      <c r="C182" s="20" t="s">
        <v>873</v>
      </c>
      <c r="D182" s="137">
        <v>3340000</v>
      </c>
      <c r="E182" s="20" t="s">
        <v>477</v>
      </c>
      <c r="F182" s="20" t="s">
        <v>478</v>
      </c>
      <c r="G182" s="8" t="str">
        <f t="shared" si="4"/>
        <v>ELBAUM MIKE</v>
      </c>
      <c r="H182" s="20" t="str">
        <f t="shared" si="5"/>
        <v>4036</v>
      </c>
    </row>
    <row r="183" spans="1:8" x14ac:dyDescent="0.25">
      <c r="A183" s="8">
        <v>43063.765682870369</v>
      </c>
      <c r="B183" s="20" t="s">
        <v>447</v>
      </c>
      <c r="C183" s="20" t="s">
        <v>874</v>
      </c>
      <c r="D183" s="137">
        <v>3330000</v>
      </c>
      <c r="E183" s="20" t="s">
        <v>822</v>
      </c>
      <c r="F183" s="20" t="s">
        <v>823</v>
      </c>
      <c r="G183" s="8" t="str">
        <f t="shared" si="4"/>
        <v>GONZALEZ ARMANDO</v>
      </c>
      <c r="H183" s="20" t="str">
        <f t="shared" si="5"/>
        <v>4049</v>
      </c>
    </row>
    <row r="184" spans="1:8" x14ac:dyDescent="0.25">
      <c r="A184" s="8">
        <v>43063.767118055555</v>
      </c>
      <c r="B184" s="20" t="s">
        <v>667</v>
      </c>
      <c r="C184" s="20" t="s">
        <v>875</v>
      </c>
      <c r="D184" s="137">
        <v>2600000</v>
      </c>
      <c r="E184" s="20" t="s">
        <v>488</v>
      </c>
      <c r="F184" s="20" t="s">
        <v>481</v>
      </c>
      <c r="G184" s="8" t="str">
        <f t="shared" si="4"/>
        <v>DAVIDSON DAVID</v>
      </c>
      <c r="H184" s="20" t="str">
        <f t="shared" si="5"/>
        <v>4005</v>
      </c>
    </row>
    <row r="185" spans="1:8" x14ac:dyDescent="0.25">
      <c r="A185" s="8">
        <v>43063.769849537035</v>
      </c>
      <c r="B185" s="20" t="s">
        <v>391</v>
      </c>
      <c r="C185" s="20" t="s">
        <v>876</v>
      </c>
      <c r="D185" s="137">
        <v>2350000</v>
      </c>
      <c r="E185" s="20" t="s">
        <v>811</v>
      </c>
      <c r="F185" s="20" t="s">
        <v>812</v>
      </c>
      <c r="G185" s="8" t="str">
        <f t="shared" si="4"/>
        <v>BERLING GARY</v>
      </c>
      <c r="H185" s="20" t="str">
        <f t="shared" si="5"/>
        <v>4059</v>
      </c>
    </row>
    <row r="186" spans="1:8" x14ac:dyDescent="0.25">
      <c r="A186" s="8">
        <v>43063.769953703704</v>
      </c>
      <c r="B186" s="20" t="s">
        <v>547</v>
      </c>
      <c r="C186" s="20" t="s">
        <v>877</v>
      </c>
      <c r="D186" s="137">
        <v>3680000</v>
      </c>
      <c r="E186" s="20" t="s">
        <v>507</v>
      </c>
      <c r="F186" s="20" t="s">
        <v>508</v>
      </c>
      <c r="G186" s="8" t="str">
        <f t="shared" si="4"/>
        <v>HAMMOND JUSTYNN</v>
      </c>
      <c r="H186" s="20" t="str">
        <f t="shared" si="5"/>
        <v>4040</v>
      </c>
    </row>
    <row r="187" spans="1:8" x14ac:dyDescent="0.25">
      <c r="A187" s="8">
        <v>43063.778043981481</v>
      </c>
      <c r="B187" s="20" t="s">
        <v>710</v>
      </c>
      <c r="C187" s="20" t="s">
        <v>878</v>
      </c>
      <c r="D187" s="137">
        <v>3810000</v>
      </c>
      <c r="E187" s="20" t="s">
        <v>799</v>
      </c>
      <c r="F187" s="20" t="s">
        <v>800</v>
      </c>
      <c r="G187" s="8" t="str">
        <f t="shared" si="4"/>
        <v>LORI SANTOS</v>
      </c>
      <c r="H187" s="20" t="str">
        <f t="shared" si="5"/>
        <v>4002</v>
      </c>
    </row>
    <row r="188" spans="1:8" x14ac:dyDescent="0.25">
      <c r="A188" s="8">
        <v>43063.78806712963</v>
      </c>
      <c r="B188" s="20" t="s">
        <v>691</v>
      </c>
      <c r="C188" s="20" t="s">
        <v>879</v>
      </c>
      <c r="D188" s="137">
        <v>3130000</v>
      </c>
      <c r="E188" s="20" t="s">
        <v>568</v>
      </c>
      <c r="F188" s="20" t="s">
        <v>569</v>
      </c>
      <c r="G188" s="8" t="str">
        <f t="shared" si="4"/>
        <v>ZEWDU DEREJE</v>
      </c>
      <c r="H188" s="20" t="str">
        <f t="shared" si="5"/>
        <v>4016</v>
      </c>
    </row>
    <row r="189" spans="1:8" x14ac:dyDescent="0.25">
      <c r="A189" s="8">
        <v>43063.788784722223</v>
      </c>
      <c r="B189" s="20" t="s">
        <v>554</v>
      </c>
      <c r="C189" s="20" t="s">
        <v>880</v>
      </c>
      <c r="D189" s="137">
        <v>3700000</v>
      </c>
      <c r="E189" s="20" t="s">
        <v>449</v>
      </c>
      <c r="F189" s="20" t="s">
        <v>370</v>
      </c>
      <c r="G189" s="8" t="str">
        <f t="shared" si="4"/>
        <v>AUSTIN THOMPSON</v>
      </c>
      <c r="H189" s="20" t="str">
        <f t="shared" si="5"/>
        <v>4063</v>
      </c>
    </row>
    <row r="190" spans="1:8" x14ac:dyDescent="0.25">
      <c r="A190" s="8">
        <v>43063.789525462962</v>
      </c>
      <c r="B190" s="20" t="s">
        <v>548</v>
      </c>
      <c r="C190" s="20" t="s">
        <v>881</v>
      </c>
      <c r="D190" s="137">
        <v>3680000</v>
      </c>
      <c r="E190" s="20" t="s">
        <v>507</v>
      </c>
      <c r="F190" s="20" t="s">
        <v>508</v>
      </c>
      <c r="G190" s="8" t="str">
        <f t="shared" si="4"/>
        <v>HAMMOND JUSTYNN</v>
      </c>
      <c r="H190" s="20" t="str">
        <f t="shared" si="5"/>
        <v>4039</v>
      </c>
    </row>
    <row r="191" spans="1:8" x14ac:dyDescent="0.25">
      <c r="A191" s="8">
        <v>43063.795300925929</v>
      </c>
      <c r="B191" s="20" t="s">
        <v>358</v>
      </c>
      <c r="C191" s="20" t="s">
        <v>882</v>
      </c>
      <c r="D191" s="137">
        <v>2350000</v>
      </c>
      <c r="E191" s="20" t="s">
        <v>811</v>
      </c>
      <c r="F191" s="20" t="s">
        <v>812</v>
      </c>
      <c r="G191" s="8" t="str">
        <f t="shared" si="4"/>
        <v>BERLING GARY</v>
      </c>
      <c r="H191" s="20" t="str">
        <f t="shared" si="5"/>
        <v>4060</v>
      </c>
    </row>
    <row r="192" spans="1:8" x14ac:dyDescent="0.25">
      <c r="A192" s="8">
        <v>43063.796064814815</v>
      </c>
      <c r="B192" s="20" t="s">
        <v>444</v>
      </c>
      <c r="C192" s="20" t="s">
        <v>883</v>
      </c>
      <c r="D192" s="137">
        <v>2540000</v>
      </c>
      <c r="E192" s="20" t="s">
        <v>461</v>
      </c>
      <c r="F192" s="20" t="s">
        <v>462</v>
      </c>
      <c r="G192" s="8" t="str">
        <f t="shared" si="4"/>
        <v>MCREYNOLDS KYLE</v>
      </c>
      <c r="H192" s="20" t="str">
        <f t="shared" si="5"/>
        <v>4009</v>
      </c>
    </row>
    <row r="193" spans="1:8" x14ac:dyDescent="0.25">
      <c r="A193" s="8">
        <v>43063.796793981484</v>
      </c>
      <c r="B193" s="20" t="s">
        <v>368</v>
      </c>
      <c r="C193" s="20" t="s">
        <v>884</v>
      </c>
      <c r="D193" s="137">
        <v>3340000</v>
      </c>
      <c r="E193" s="20" t="s">
        <v>477</v>
      </c>
      <c r="F193" s="20" t="s">
        <v>478</v>
      </c>
      <c r="G193" s="8" t="str">
        <f t="shared" si="4"/>
        <v>ELBAUM MIKE</v>
      </c>
      <c r="H193" s="20" t="str">
        <f t="shared" si="5"/>
        <v>4035</v>
      </c>
    </row>
    <row r="194" spans="1:8" x14ac:dyDescent="0.25">
      <c r="A194" s="8">
        <v>43063.796805555554</v>
      </c>
      <c r="B194" s="20" t="s">
        <v>448</v>
      </c>
      <c r="C194" s="20" t="s">
        <v>885</v>
      </c>
      <c r="D194" s="137">
        <v>2140000</v>
      </c>
      <c r="E194" s="20" t="s">
        <v>561</v>
      </c>
      <c r="F194" s="20" t="s">
        <v>562</v>
      </c>
      <c r="G194" s="8" t="str">
        <f t="shared" si="4"/>
        <v>ROBINSON KADDIBA</v>
      </c>
      <c r="H194" s="20" t="str">
        <f t="shared" si="5"/>
        <v>4050</v>
      </c>
    </row>
    <row r="195" spans="1:8" x14ac:dyDescent="0.25">
      <c r="A195" s="8">
        <v>43063.807719907411</v>
      </c>
      <c r="B195" s="20" t="s">
        <v>670</v>
      </c>
      <c r="C195" s="20" t="s">
        <v>886</v>
      </c>
      <c r="D195" s="137">
        <v>2600000</v>
      </c>
      <c r="E195" s="20" t="s">
        <v>488</v>
      </c>
      <c r="F195" s="20" t="s">
        <v>481</v>
      </c>
      <c r="G195" s="8" t="str">
        <f t="shared" ref="G195:G258" si="6">E195&amp;" "&amp;F195</f>
        <v>DAVIDSON DAVID</v>
      </c>
      <c r="H195" s="20" t="str">
        <f t="shared" ref="H195:H258" si="7">MID(B195,13,4)</f>
        <v>4006</v>
      </c>
    </row>
    <row r="196" spans="1:8" x14ac:dyDescent="0.25">
      <c r="A196" s="8">
        <v>43063.811122685183</v>
      </c>
      <c r="B196" s="20" t="s">
        <v>391</v>
      </c>
      <c r="C196" s="20" t="s">
        <v>887</v>
      </c>
      <c r="D196" s="137">
        <v>2350000</v>
      </c>
      <c r="E196" s="20" t="s">
        <v>811</v>
      </c>
      <c r="F196" s="20" t="s">
        <v>812</v>
      </c>
      <c r="G196" s="8" t="str">
        <f t="shared" si="6"/>
        <v>BERLING GARY</v>
      </c>
      <c r="H196" s="20" t="str">
        <f t="shared" si="7"/>
        <v>4059</v>
      </c>
    </row>
    <row r="197" spans="1:8" x14ac:dyDescent="0.25">
      <c r="A197" s="8">
        <v>43063.819490740738</v>
      </c>
      <c r="B197" s="20" t="s">
        <v>555</v>
      </c>
      <c r="C197" s="20" t="s">
        <v>888</v>
      </c>
      <c r="D197" s="137">
        <v>3700000</v>
      </c>
      <c r="E197" s="20" t="s">
        <v>449</v>
      </c>
      <c r="F197" s="20" t="s">
        <v>370</v>
      </c>
      <c r="G197" s="8" t="str">
        <f t="shared" si="6"/>
        <v>AUSTIN THOMPSON</v>
      </c>
      <c r="H197" s="20" t="str">
        <f t="shared" si="7"/>
        <v>4064</v>
      </c>
    </row>
    <row r="198" spans="1:8" x14ac:dyDescent="0.25">
      <c r="A198" s="8">
        <v>43063.828379629631</v>
      </c>
      <c r="B198" s="20" t="s">
        <v>445</v>
      </c>
      <c r="C198" s="20" t="s">
        <v>889</v>
      </c>
      <c r="D198" s="137">
        <v>2540000</v>
      </c>
      <c r="E198" s="20" t="s">
        <v>461</v>
      </c>
      <c r="F198" s="20" t="s">
        <v>462</v>
      </c>
      <c r="G198" s="8" t="str">
        <f t="shared" si="6"/>
        <v>MCREYNOLDS KYLE</v>
      </c>
      <c r="H198" s="20" t="str">
        <f t="shared" si="7"/>
        <v>4010</v>
      </c>
    </row>
    <row r="199" spans="1:8" x14ac:dyDescent="0.25">
      <c r="A199" s="8">
        <v>43063.828587962962</v>
      </c>
      <c r="B199" s="20" t="s">
        <v>658</v>
      </c>
      <c r="C199" s="20" t="s">
        <v>890</v>
      </c>
      <c r="D199" s="137">
        <v>3130000</v>
      </c>
      <c r="E199" s="20" t="s">
        <v>568</v>
      </c>
      <c r="F199" s="20" t="s">
        <v>569</v>
      </c>
      <c r="G199" s="8" t="str">
        <f t="shared" si="6"/>
        <v>ZEWDU DEREJE</v>
      </c>
      <c r="H199" s="20" t="str">
        <f t="shared" si="7"/>
        <v>4015</v>
      </c>
    </row>
    <row r="200" spans="1:8" x14ac:dyDescent="0.25">
      <c r="A200" s="8">
        <v>43063.831296296295</v>
      </c>
      <c r="B200" s="20" t="s">
        <v>391</v>
      </c>
      <c r="C200" s="20" t="s">
        <v>887</v>
      </c>
      <c r="D200" s="137">
        <v>2350000</v>
      </c>
      <c r="E200" s="20" t="s">
        <v>811</v>
      </c>
      <c r="F200" s="20" t="s">
        <v>812</v>
      </c>
      <c r="G200" s="8" t="str">
        <f t="shared" si="6"/>
        <v>BERLING GARY</v>
      </c>
      <c r="H200" s="20" t="str">
        <f t="shared" si="7"/>
        <v>4059</v>
      </c>
    </row>
    <row r="201" spans="1:8" x14ac:dyDescent="0.25">
      <c r="A201" s="8">
        <v>43063.837094907409</v>
      </c>
      <c r="B201" s="20" t="s">
        <v>367</v>
      </c>
      <c r="C201" s="20" t="s">
        <v>891</v>
      </c>
      <c r="D201" s="137">
        <v>3340000</v>
      </c>
      <c r="E201" s="20" t="s">
        <v>477</v>
      </c>
      <c r="F201" s="20" t="s">
        <v>478</v>
      </c>
      <c r="G201" s="8" t="str">
        <f t="shared" si="6"/>
        <v>ELBAUM MIKE</v>
      </c>
      <c r="H201" s="20" t="str">
        <f t="shared" si="7"/>
        <v>4036</v>
      </c>
    </row>
    <row r="202" spans="1:8" x14ac:dyDescent="0.25">
      <c r="A202" s="26">
        <v>43063.837488425925</v>
      </c>
      <c r="B202" s="20" t="s">
        <v>358</v>
      </c>
      <c r="C202" s="20" t="s">
        <v>892</v>
      </c>
      <c r="D202" s="137">
        <v>2350000</v>
      </c>
      <c r="E202" s="20" t="s">
        <v>811</v>
      </c>
      <c r="F202" s="20" t="s">
        <v>812</v>
      </c>
      <c r="G202" s="8" t="str">
        <f t="shared" si="6"/>
        <v>BERLING GARY</v>
      </c>
      <c r="H202" s="20" t="str">
        <f t="shared" si="7"/>
        <v>4060</v>
      </c>
    </row>
    <row r="203" spans="1:8" x14ac:dyDescent="0.25">
      <c r="A203" s="8">
        <v>43063.838263888887</v>
      </c>
      <c r="B203" s="20" t="s">
        <v>358</v>
      </c>
      <c r="C203" s="20" t="s">
        <v>893</v>
      </c>
      <c r="D203" s="137">
        <v>2350000</v>
      </c>
      <c r="E203" s="20" t="s">
        <v>811</v>
      </c>
      <c r="F203" s="20" t="s">
        <v>812</v>
      </c>
      <c r="G203" s="8" t="str">
        <f t="shared" si="6"/>
        <v>BERLING GARY</v>
      </c>
      <c r="H203" s="20" t="str">
        <f t="shared" si="7"/>
        <v>4060</v>
      </c>
    </row>
    <row r="204" spans="1:8" x14ac:dyDescent="0.25">
      <c r="A204" s="8">
        <v>43063.839733796296</v>
      </c>
      <c r="B204" s="20" t="s">
        <v>667</v>
      </c>
      <c r="C204" s="20" t="s">
        <v>894</v>
      </c>
      <c r="D204" s="137">
        <v>2600000</v>
      </c>
      <c r="E204" s="20" t="s">
        <v>488</v>
      </c>
      <c r="F204" s="20" t="s">
        <v>481</v>
      </c>
      <c r="G204" s="8" t="str">
        <f t="shared" si="6"/>
        <v>DAVIDSON DAVID</v>
      </c>
      <c r="H204" s="20" t="str">
        <f t="shared" si="7"/>
        <v>4005</v>
      </c>
    </row>
    <row r="205" spans="1:8" x14ac:dyDescent="0.25">
      <c r="A205" s="8">
        <v>43063.853668981479</v>
      </c>
      <c r="B205" s="20" t="s">
        <v>391</v>
      </c>
      <c r="C205" s="20" t="s">
        <v>892</v>
      </c>
      <c r="D205" s="137">
        <v>2350000</v>
      </c>
      <c r="E205" s="20" t="s">
        <v>811</v>
      </c>
      <c r="F205" s="20" t="s">
        <v>812</v>
      </c>
      <c r="G205" s="8" t="str">
        <f t="shared" si="6"/>
        <v>BERLING GARY</v>
      </c>
      <c r="H205" s="20" t="str">
        <f t="shared" si="7"/>
        <v>4059</v>
      </c>
    </row>
    <row r="206" spans="1:8" x14ac:dyDescent="0.25">
      <c r="A206" s="8">
        <v>43063.865219907406</v>
      </c>
      <c r="B206" s="20" t="s">
        <v>444</v>
      </c>
      <c r="C206" s="20" t="s">
        <v>895</v>
      </c>
      <c r="D206" s="137">
        <v>2540000</v>
      </c>
      <c r="E206" s="20" t="s">
        <v>461</v>
      </c>
      <c r="F206" s="20" t="s">
        <v>462</v>
      </c>
      <c r="G206" s="8" t="str">
        <f t="shared" si="6"/>
        <v>MCREYNOLDS KYLE</v>
      </c>
      <c r="H206" s="20" t="str">
        <f t="shared" si="7"/>
        <v>4009</v>
      </c>
    </row>
    <row r="207" spans="1:8" x14ac:dyDescent="0.25">
      <c r="A207" s="8">
        <v>43063.870891203704</v>
      </c>
      <c r="B207" s="20" t="s">
        <v>691</v>
      </c>
      <c r="C207" s="20" t="s">
        <v>896</v>
      </c>
      <c r="D207" s="137">
        <v>3130000</v>
      </c>
      <c r="E207" s="20" t="s">
        <v>568</v>
      </c>
      <c r="F207" s="20" t="s">
        <v>569</v>
      </c>
      <c r="G207" s="8" t="str">
        <f t="shared" si="6"/>
        <v>ZEWDU DEREJE</v>
      </c>
      <c r="H207" s="20" t="str">
        <f t="shared" si="7"/>
        <v>4016</v>
      </c>
    </row>
    <row r="208" spans="1:8" x14ac:dyDescent="0.25">
      <c r="A208" s="8">
        <v>43063.874039351853</v>
      </c>
      <c r="B208" s="20" t="s">
        <v>358</v>
      </c>
      <c r="C208" s="20" t="s">
        <v>897</v>
      </c>
      <c r="D208" s="137">
        <v>3680000</v>
      </c>
      <c r="E208" s="20" t="s">
        <v>507</v>
      </c>
      <c r="F208" s="20" t="s">
        <v>508</v>
      </c>
      <c r="G208" s="8" t="str">
        <f t="shared" si="6"/>
        <v>HAMMOND JUSTYNN</v>
      </c>
      <c r="H208" s="20" t="str">
        <f t="shared" si="7"/>
        <v>4060</v>
      </c>
    </row>
    <row r="209" spans="1:8" x14ac:dyDescent="0.25">
      <c r="A209" s="8">
        <v>43063.879918981482</v>
      </c>
      <c r="B209" s="20" t="s">
        <v>368</v>
      </c>
      <c r="C209" s="20" t="s">
        <v>898</v>
      </c>
      <c r="D209" s="137">
        <v>3340000</v>
      </c>
      <c r="E209" s="20" t="s">
        <v>477</v>
      </c>
      <c r="F209" s="20" t="s">
        <v>478</v>
      </c>
      <c r="G209" s="8" t="str">
        <f t="shared" si="6"/>
        <v>ELBAUM MIKE</v>
      </c>
      <c r="H209" s="20" t="str">
        <f t="shared" si="7"/>
        <v>4035</v>
      </c>
    </row>
    <row r="210" spans="1:8" x14ac:dyDescent="0.25">
      <c r="A210" s="8">
        <v>43063.881296296298</v>
      </c>
      <c r="B210" s="20" t="s">
        <v>670</v>
      </c>
      <c r="C210" s="20" t="s">
        <v>899</v>
      </c>
      <c r="D210" s="137">
        <v>2600000</v>
      </c>
      <c r="E210" s="20" t="s">
        <v>488</v>
      </c>
      <c r="F210" s="20" t="s">
        <v>481</v>
      </c>
      <c r="G210" s="8" t="str">
        <f t="shared" si="6"/>
        <v>DAVIDSON DAVID</v>
      </c>
      <c r="H210" s="20" t="str">
        <f t="shared" si="7"/>
        <v>4006</v>
      </c>
    </row>
    <row r="211" spans="1:8" x14ac:dyDescent="0.25">
      <c r="A211" s="8">
        <v>43063.894560185188</v>
      </c>
      <c r="B211" s="20" t="s">
        <v>391</v>
      </c>
      <c r="C211" s="20" t="s">
        <v>900</v>
      </c>
      <c r="D211" s="137">
        <v>3680000</v>
      </c>
      <c r="E211" s="20" t="s">
        <v>507</v>
      </c>
      <c r="F211" s="20" t="s">
        <v>508</v>
      </c>
      <c r="G211" s="8" t="str">
        <f t="shared" si="6"/>
        <v>HAMMOND JUSTYNN</v>
      </c>
      <c r="H211" s="20" t="str">
        <f t="shared" si="7"/>
        <v>4059</v>
      </c>
    </row>
    <row r="212" spans="1:8" x14ac:dyDescent="0.25">
      <c r="A212" s="8">
        <v>43063.901134259257</v>
      </c>
      <c r="B212" s="20" t="s">
        <v>445</v>
      </c>
      <c r="C212" s="20" t="s">
        <v>901</v>
      </c>
      <c r="D212" s="137">
        <v>2540000</v>
      </c>
      <c r="E212" s="20" t="s">
        <v>461</v>
      </c>
      <c r="F212" s="20" t="s">
        <v>462</v>
      </c>
      <c r="G212" s="8" t="str">
        <f t="shared" si="6"/>
        <v>MCREYNOLDS KYLE</v>
      </c>
      <c r="H212" s="20" t="str">
        <f t="shared" si="7"/>
        <v>4010</v>
      </c>
    </row>
    <row r="213" spans="1:8" x14ac:dyDescent="0.25">
      <c r="A213" s="8">
        <v>43063.909305555557</v>
      </c>
      <c r="B213" s="20" t="s">
        <v>658</v>
      </c>
      <c r="C213" s="20" t="s">
        <v>902</v>
      </c>
      <c r="D213" s="137">
        <v>3130000</v>
      </c>
      <c r="E213" s="20" t="s">
        <v>568</v>
      </c>
      <c r="F213" s="20" t="s">
        <v>569</v>
      </c>
      <c r="G213" s="8" t="str">
        <f t="shared" si="6"/>
        <v>ZEWDU DEREJE</v>
      </c>
      <c r="H213" s="20" t="str">
        <f t="shared" si="7"/>
        <v>4015</v>
      </c>
    </row>
    <row r="214" spans="1:8" x14ac:dyDescent="0.25">
      <c r="A214" s="8">
        <v>43063.915868055556</v>
      </c>
      <c r="B214" s="20" t="s">
        <v>358</v>
      </c>
      <c r="C214" s="20" t="s">
        <v>903</v>
      </c>
      <c r="D214" s="137">
        <v>3680000</v>
      </c>
      <c r="E214" s="20" t="s">
        <v>507</v>
      </c>
      <c r="F214" s="20" t="s">
        <v>508</v>
      </c>
      <c r="G214" s="8" t="str">
        <f t="shared" si="6"/>
        <v>HAMMOND JUSTYNN</v>
      </c>
      <c r="H214" s="20" t="str">
        <f t="shared" si="7"/>
        <v>4060</v>
      </c>
    </row>
    <row r="215" spans="1:8" x14ac:dyDescent="0.25">
      <c r="A215" s="8">
        <v>43063.920555555553</v>
      </c>
      <c r="B215" s="20" t="s">
        <v>367</v>
      </c>
      <c r="C215" s="20" t="s">
        <v>675</v>
      </c>
      <c r="D215" s="137">
        <v>3340000</v>
      </c>
      <c r="E215" s="20" t="s">
        <v>477</v>
      </c>
      <c r="F215" s="20" t="s">
        <v>478</v>
      </c>
      <c r="G215" s="8" t="str">
        <f t="shared" si="6"/>
        <v>ELBAUM MIKE</v>
      </c>
      <c r="H215" s="20" t="str">
        <f t="shared" si="7"/>
        <v>4036</v>
      </c>
    </row>
    <row r="216" spans="1:8" x14ac:dyDescent="0.25">
      <c r="A216" s="8">
        <v>43063.923310185186</v>
      </c>
      <c r="B216" s="20" t="s">
        <v>667</v>
      </c>
      <c r="C216" s="20" t="s">
        <v>904</v>
      </c>
      <c r="D216" s="137">
        <v>2600000</v>
      </c>
      <c r="E216" s="20" t="s">
        <v>488</v>
      </c>
      <c r="F216" s="20" t="s">
        <v>481</v>
      </c>
      <c r="G216" s="8" t="str">
        <f t="shared" si="6"/>
        <v>DAVIDSON DAVID</v>
      </c>
      <c r="H216" s="20" t="str">
        <f t="shared" si="7"/>
        <v>4005</v>
      </c>
    </row>
    <row r="217" spans="1:8" x14ac:dyDescent="0.25">
      <c r="A217" s="8">
        <v>43063.935335648152</v>
      </c>
      <c r="B217" s="20" t="s">
        <v>391</v>
      </c>
      <c r="C217" s="20" t="s">
        <v>674</v>
      </c>
      <c r="D217" s="137">
        <v>3680000</v>
      </c>
      <c r="E217" s="20" t="s">
        <v>507</v>
      </c>
      <c r="F217" s="20" t="s">
        <v>508</v>
      </c>
      <c r="G217" s="8" t="str">
        <f t="shared" si="6"/>
        <v>HAMMOND JUSTYNN</v>
      </c>
      <c r="H217" s="20" t="str">
        <f t="shared" si="7"/>
        <v>4059</v>
      </c>
    </row>
    <row r="218" spans="1:8" x14ac:dyDescent="0.25">
      <c r="A218" s="8">
        <v>43063.950023148151</v>
      </c>
      <c r="B218" s="20" t="s">
        <v>444</v>
      </c>
      <c r="C218" s="20" t="s">
        <v>905</v>
      </c>
      <c r="D218" s="137">
        <v>2540000</v>
      </c>
      <c r="E218" s="20" t="s">
        <v>461</v>
      </c>
      <c r="F218" s="20" t="s">
        <v>462</v>
      </c>
      <c r="G218" s="8" t="str">
        <f t="shared" si="6"/>
        <v>MCREYNOLDS KYLE</v>
      </c>
      <c r="H218" s="20" t="str">
        <f t="shared" si="7"/>
        <v>4009</v>
      </c>
    </row>
    <row r="219" spans="1:8" x14ac:dyDescent="0.25">
      <c r="A219" s="8">
        <v>43063.953726851854</v>
      </c>
      <c r="B219" s="20" t="s">
        <v>691</v>
      </c>
      <c r="C219" s="20" t="s">
        <v>906</v>
      </c>
      <c r="D219" s="137">
        <v>3130000</v>
      </c>
      <c r="E219" s="20" t="s">
        <v>568</v>
      </c>
      <c r="F219" s="20" t="s">
        <v>569</v>
      </c>
      <c r="G219" s="8" t="str">
        <f t="shared" si="6"/>
        <v>ZEWDU DEREJE</v>
      </c>
      <c r="H219" s="20" t="str">
        <f t="shared" si="7"/>
        <v>4016</v>
      </c>
    </row>
    <row r="220" spans="1:8" x14ac:dyDescent="0.25">
      <c r="A220" s="8">
        <v>43063.959085648145</v>
      </c>
      <c r="B220" s="20" t="s">
        <v>358</v>
      </c>
      <c r="C220" s="20" t="s">
        <v>907</v>
      </c>
      <c r="D220" s="137">
        <v>3680000</v>
      </c>
      <c r="E220" s="20" t="s">
        <v>507</v>
      </c>
      <c r="F220" s="20" t="s">
        <v>508</v>
      </c>
      <c r="G220" s="8" t="str">
        <f t="shared" si="6"/>
        <v>HAMMOND JUSTYNN</v>
      </c>
      <c r="H220" s="20" t="str">
        <f t="shared" si="7"/>
        <v>4060</v>
      </c>
    </row>
    <row r="221" spans="1:8" x14ac:dyDescent="0.25">
      <c r="A221" s="8">
        <v>43063.965729166666</v>
      </c>
      <c r="B221" s="20" t="s">
        <v>670</v>
      </c>
      <c r="C221" s="20" t="s">
        <v>908</v>
      </c>
      <c r="D221" s="137">
        <v>2600000</v>
      </c>
      <c r="E221" s="20" t="s">
        <v>488</v>
      </c>
      <c r="F221" s="20" t="s">
        <v>481</v>
      </c>
      <c r="G221" s="8" t="str">
        <f t="shared" si="6"/>
        <v>DAVIDSON DAVID</v>
      </c>
      <c r="H221" s="20" t="str">
        <f t="shared" si="7"/>
        <v>4006</v>
      </c>
    </row>
    <row r="222" spans="1:8" x14ac:dyDescent="0.25">
      <c r="A222" s="8">
        <v>43063.969583333332</v>
      </c>
      <c r="B222" s="20" t="s">
        <v>368</v>
      </c>
      <c r="C222" s="20" t="s">
        <v>909</v>
      </c>
      <c r="D222" s="137">
        <v>3340000</v>
      </c>
      <c r="E222" s="20" t="s">
        <v>477</v>
      </c>
      <c r="F222" s="20" t="s">
        <v>478</v>
      </c>
      <c r="G222" s="8" t="str">
        <f t="shared" si="6"/>
        <v>ELBAUM MIKE</v>
      </c>
      <c r="H222" s="20" t="str">
        <f t="shared" si="7"/>
        <v>4035</v>
      </c>
    </row>
    <row r="223" spans="1:8" x14ac:dyDescent="0.25">
      <c r="A223" s="8">
        <v>43063.977118055554</v>
      </c>
      <c r="B223" s="20" t="s">
        <v>391</v>
      </c>
      <c r="C223" s="20" t="s">
        <v>910</v>
      </c>
      <c r="D223" s="137">
        <v>3680000</v>
      </c>
      <c r="E223" s="20" t="s">
        <v>507</v>
      </c>
      <c r="F223" s="20" t="s">
        <v>508</v>
      </c>
      <c r="G223" s="8" t="str">
        <f t="shared" si="6"/>
        <v>HAMMOND JUSTYNN</v>
      </c>
      <c r="H223" s="20" t="str">
        <f t="shared" si="7"/>
        <v>4059</v>
      </c>
    </row>
    <row r="224" spans="1:8" x14ac:dyDescent="0.25">
      <c r="A224" s="8">
        <v>43063.99113425926</v>
      </c>
      <c r="B224" t="s">
        <v>445</v>
      </c>
      <c r="C224" t="s">
        <v>911</v>
      </c>
      <c r="D224" s="137">
        <v>2540000</v>
      </c>
      <c r="E224" t="s">
        <v>461</v>
      </c>
      <c r="F224" s="20" t="s">
        <v>462</v>
      </c>
      <c r="G224" s="8" t="str">
        <f t="shared" si="6"/>
        <v>MCREYNOLDS KYLE</v>
      </c>
      <c r="H224" s="20" t="str">
        <f t="shared" si="7"/>
        <v>4010</v>
      </c>
    </row>
    <row r="225" spans="1:8" x14ac:dyDescent="0.25">
      <c r="A225" s="8">
        <v>43063.995081018518</v>
      </c>
      <c r="B225" t="s">
        <v>658</v>
      </c>
      <c r="C225" t="s">
        <v>912</v>
      </c>
      <c r="D225" s="137">
        <v>3130000</v>
      </c>
      <c r="E225" t="s">
        <v>568</v>
      </c>
      <c r="F225" s="20" t="s">
        <v>569</v>
      </c>
      <c r="G225" s="8" t="str">
        <f t="shared" si="6"/>
        <v>ZEWDU DEREJE</v>
      </c>
      <c r="H225" s="20" t="str">
        <f t="shared" si="7"/>
        <v>4015</v>
      </c>
    </row>
    <row r="226" spans="1:8" x14ac:dyDescent="0.25">
      <c r="A226" s="8">
        <v>43064.007800925923</v>
      </c>
      <c r="B226" t="s">
        <v>367</v>
      </c>
      <c r="C226" t="s">
        <v>913</v>
      </c>
      <c r="D226" s="137">
        <v>3340000</v>
      </c>
      <c r="E226" t="s">
        <v>477</v>
      </c>
      <c r="F226" s="20" t="s">
        <v>478</v>
      </c>
      <c r="G226" s="8" t="str">
        <f t="shared" si="6"/>
        <v>ELBAUM MIKE</v>
      </c>
      <c r="H226" s="20" t="str">
        <f t="shared" si="7"/>
        <v>4036</v>
      </c>
    </row>
    <row r="227" spans="1:8" x14ac:dyDescent="0.25">
      <c r="A227" s="8">
        <v>43064.009212962963</v>
      </c>
      <c r="B227" t="s">
        <v>667</v>
      </c>
      <c r="C227" t="s">
        <v>914</v>
      </c>
      <c r="D227" s="137">
        <v>2600000</v>
      </c>
      <c r="E227" t="s">
        <v>488</v>
      </c>
      <c r="F227" s="20" t="s">
        <v>481</v>
      </c>
      <c r="G227" s="8" t="str">
        <f t="shared" si="6"/>
        <v>DAVIDSON DAVID</v>
      </c>
      <c r="H227" s="20" t="str">
        <f t="shared" si="7"/>
        <v>4005</v>
      </c>
    </row>
    <row r="228" spans="1:8" x14ac:dyDescent="0.25">
      <c r="A228" s="8">
        <v>43064.029166666667</v>
      </c>
      <c r="B228" t="s">
        <v>691</v>
      </c>
      <c r="C228" t="s">
        <v>915</v>
      </c>
      <c r="D228" s="137">
        <v>3130000</v>
      </c>
      <c r="E228" t="s">
        <v>568</v>
      </c>
      <c r="F228" s="20" t="s">
        <v>569</v>
      </c>
      <c r="G228" s="8" t="str">
        <f t="shared" si="6"/>
        <v>ZEWDU DEREJE</v>
      </c>
      <c r="H228" s="20" t="str">
        <f t="shared" si="7"/>
        <v>4016</v>
      </c>
    </row>
    <row r="229" spans="1:8" x14ac:dyDescent="0.25">
      <c r="A229" s="8">
        <v>43064.0315625</v>
      </c>
      <c r="B229" t="s">
        <v>444</v>
      </c>
      <c r="C229" t="s">
        <v>916</v>
      </c>
      <c r="D229" s="137">
        <v>2540000</v>
      </c>
      <c r="E229" t="s">
        <v>461</v>
      </c>
      <c r="F229" s="20" t="s">
        <v>462</v>
      </c>
      <c r="G229" s="8" t="str">
        <f t="shared" si="6"/>
        <v>MCREYNOLDS KYLE</v>
      </c>
      <c r="H229" s="20" t="str">
        <f t="shared" si="7"/>
        <v>4009</v>
      </c>
    </row>
    <row r="230" spans="1:8" x14ac:dyDescent="0.25">
      <c r="A230" s="8">
        <v>43064.0465625</v>
      </c>
      <c r="B230" t="s">
        <v>368</v>
      </c>
      <c r="C230" t="s">
        <v>677</v>
      </c>
      <c r="D230" s="137">
        <v>3340000</v>
      </c>
      <c r="E230" t="s">
        <v>477</v>
      </c>
      <c r="F230" s="20" t="s">
        <v>478</v>
      </c>
      <c r="G230" s="8" t="str">
        <f t="shared" si="6"/>
        <v>ELBAUM MIKE</v>
      </c>
      <c r="H230" s="20" t="str">
        <f t="shared" si="7"/>
        <v>4035</v>
      </c>
    </row>
    <row r="231" spans="1:8" x14ac:dyDescent="0.25">
      <c r="A231" s="8">
        <v>43064.048009259262</v>
      </c>
      <c r="B231" t="s">
        <v>670</v>
      </c>
      <c r="C231" t="s">
        <v>676</v>
      </c>
      <c r="D231" s="137">
        <v>2600000</v>
      </c>
      <c r="E231" t="s">
        <v>488</v>
      </c>
      <c r="F231" s="20" t="s">
        <v>481</v>
      </c>
      <c r="G231" s="8" t="str">
        <f t="shared" si="6"/>
        <v>DAVIDSON DAVID</v>
      </c>
      <c r="H231" s="20" t="str">
        <f t="shared" si="7"/>
        <v>4006</v>
      </c>
    </row>
    <row r="232" spans="1:8" x14ac:dyDescent="0.25">
      <c r="A232" s="8">
        <v>43064.065891203703</v>
      </c>
      <c r="B232" t="s">
        <v>445</v>
      </c>
      <c r="C232" t="s">
        <v>917</v>
      </c>
      <c r="D232" s="137">
        <v>2540000</v>
      </c>
      <c r="E232" t="s">
        <v>461</v>
      </c>
      <c r="F232" s="20" t="s">
        <v>462</v>
      </c>
      <c r="G232" s="8" t="str">
        <f t="shared" si="6"/>
        <v>MCREYNOLDS KYLE</v>
      </c>
      <c r="H232" s="20" t="str">
        <f t="shared" si="7"/>
        <v>4010</v>
      </c>
    </row>
    <row r="233" spans="1:8" x14ac:dyDescent="0.25">
      <c r="A233" s="8">
        <v>43064.076203703706</v>
      </c>
      <c r="B233" t="s">
        <v>658</v>
      </c>
      <c r="C233" t="s">
        <v>918</v>
      </c>
      <c r="D233" s="137">
        <v>3130000</v>
      </c>
      <c r="E233" t="s">
        <v>568</v>
      </c>
      <c r="F233" s="20" t="s">
        <v>569</v>
      </c>
      <c r="G233" s="8" t="str">
        <f t="shared" si="6"/>
        <v>ZEWDU DEREJE</v>
      </c>
      <c r="H233" s="20" t="str">
        <f t="shared" si="7"/>
        <v>4015</v>
      </c>
    </row>
    <row r="234" spans="1:8" x14ac:dyDescent="0.25">
      <c r="A234" s="8">
        <v>43064.087037037039</v>
      </c>
      <c r="B234" t="s">
        <v>367</v>
      </c>
      <c r="C234" t="s">
        <v>919</v>
      </c>
      <c r="D234" s="137">
        <v>3340000</v>
      </c>
      <c r="E234" t="s">
        <v>477</v>
      </c>
      <c r="F234" s="20" t="s">
        <v>478</v>
      </c>
      <c r="G234" s="8" t="str">
        <f t="shared" si="6"/>
        <v>ELBAUM MIKE</v>
      </c>
      <c r="H234" s="20" t="str">
        <f t="shared" si="7"/>
        <v>4036</v>
      </c>
    </row>
    <row r="235" spans="1:8" x14ac:dyDescent="0.25">
      <c r="A235" s="8">
        <v>43064.109537037039</v>
      </c>
      <c r="B235" t="s">
        <v>691</v>
      </c>
      <c r="C235" t="s">
        <v>920</v>
      </c>
      <c r="D235" s="137">
        <v>3130000</v>
      </c>
      <c r="E235" t="s">
        <v>568</v>
      </c>
      <c r="F235" s="20" t="s">
        <v>569</v>
      </c>
      <c r="G235" s="8" t="str">
        <f t="shared" si="6"/>
        <v>ZEWDU DEREJE</v>
      </c>
      <c r="H235" s="20" t="str">
        <f t="shared" si="7"/>
        <v>4016</v>
      </c>
    </row>
    <row r="236" spans="1:8" x14ac:dyDescent="0.25">
      <c r="A236" s="8">
        <v>43060.947268518517</v>
      </c>
      <c r="B236" t="s">
        <v>445</v>
      </c>
      <c r="C236" t="s">
        <v>550</v>
      </c>
      <c r="D236" s="137">
        <v>3220000</v>
      </c>
      <c r="E236" t="s">
        <v>379</v>
      </c>
      <c r="F236" s="20" t="s">
        <v>380</v>
      </c>
      <c r="G236" s="8" t="str">
        <f t="shared" si="6"/>
        <v>RESPASS AARON</v>
      </c>
      <c r="H236" s="20" t="str">
        <f t="shared" si="7"/>
        <v>4010</v>
      </c>
    </row>
    <row r="237" spans="1:8" x14ac:dyDescent="0.25">
      <c r="A237" s="8">
        <v>43060.948993055557</v>
      </c>
      <c r="B237" t="s">
        <v>352</v>
      </c>
      <c r="C237" t="s">
        <v>570</v>
      </c>
      <c r="D237" s="137">
        <v>3320000</v>
      </c>
      <c r="E237" t="s">
        <v>364</v>
      </c>
      <c r="F237" s="20" t="s">
        <v>365</v>
      </c>
      <c r="G237" s="8" t="str">
        <f t="shared" si="6"/>
        <v>NICHOLSON WESLEY</v>
      </c>
      <c r="H237" s="20" t="str">
        <f t="shared" si="7"/>
        <v>4055</v>
      </c>
    </row>
    <row r="238" spans="1:8" x14ac:dyDescent="0.25">
      <c r="A238" s="8">
        <v>43060.957905092589</v>
      </c>
      <c r="B238" t="s">
        <v>547</v>
      </c>
      <c r="C238" t="s">
        <v>571</v>
      </c>
      <c r="D238" s="137">
        <v>3130000</v>
      </c>
      <c r="E238" t="s">
        <v>568</v>
      </c>
      <c r="F238" s="20" t="s">
        <v>569</v>
      </c>
      <c r="G238" s="8" t="str">
        <f t="shared" si="6"/>
        <v>ZEWDU DEREJE</v>
      </c>
      <c r="H238" s="20" t="str">
        <f t="shared" si="7"/>
        <v>4040</v>
      </c>
    </row>
    <row r="239" spans="1:8" x14ac:dyDescent="0.25">
      <c r="A239" s="8">
        <v>43060.963483796295</v>
      </c>
      <c r="B239" t="s">
        <v>524</v>
      </c>
      <c r="C239" t="s">
        <v>572</v>
      </c>
      <c r="D239" s="137">
        <v>890000</v>
      </c>
      <c r="E239" t="s">
        <v>345</v>
      </c>
      <c r="F239" s="20" t="s">
        <v>346</v>
      </c>
      <c r="G239" s="8" t="str">
        <f t="shared" si="6"/>
        <v>LOZA FIDEL</v>
      </c>
      <c r="H239" s="20" t="str">
        <f t="shared" si="7"/>
        <v>4054</v>
      </c>
    </row>
    <row r="240" spans="1:8" x14ac:dyDescent="0.25">
      <c r="A240" s="8">
        <v>43060.969074074077</v>
      </c>
      <c r="B240" t="s">
        <v>445</v>
      </c>
      <c r="C240" t="s">
        <v>550</v>
      </c>
      <c r="D240" s="137">
        <v>3220000</v>
      </c>
      <c r="E240" t="s">
        <v>379</v>
      </c>
      <c r="F240" s="20" t="s">
        <v>380</v>
      </c>
      <c r="G240" s="8" t="str">
        <f t="shared" si="6"/>
        <v>RESPASS AARON</v>
      </c>
      <c r="H240" s="20" t="str">
        <f t="shared" si="7"/>
        <v>4010</v>
      </c>
    </row>
    <row r="241" spans="1:8" x14ac:dyDescent="0.25">
      <c r="A241" s="8">
        <v>43060.974548611113</v>
      </c>
      <c r="B241" t="s">
        <v>551</v>
      </c>
      <c r="C241" t="s">
        <v>552</v>
      </c>
      <c r="D241" s="137">
        <v>2610000</v>
      </c>
      <c r="E241" t="s">
        <v>381</v>
      </c>
      <c r="F241" s="20" t="s">
        <v>382</v>
      </c>
      <c r="G241" s="8" t="str">
        <f t="shared" si="6"/>
        <v>MAGEE KENYA</v>
      </c>
      <c r="H241" s="20" t="str">
        <f t="shared" si="7"/>
        <v>4013</v>
      </c>
    </row>
    <row r="242" spans="1:8" x14ac:dyDescent="0.25">
      <c r="A242" s="8">
        <v>43060.976168981484</v>
      </c>
      <c r="B242" t="s">
        <v>548</v>
      </c>
      <c r="C242" t="s">
        <v>573</v>
      </c>
      <c r="D242" s="137">
        <v>3130000</v>
      </c>
      <c r="E242" t="s">
        <v>568</v>
      </c>
      <c r="F242" s="20" t="s">
        <v>569</v>
      </c>
      <c r="G242" s="8" t="str">
        <f t="shared" si="6"/>
        <v>ZEWDU DEREJE</v>
      </c>
      <c r="H242" s="20" t="str">
        <f t="shared" si="7"/>
        <v>4039</v>
      </c>
    </row>
    <row r="243" spans="1:8" x14ac:dyDescent="0.25">
      <c r="A243" s="8">
        <v>43060.99013888889</v>
      </c>
      <c r="B243" t="s">
        <v>523</v>
      </c>
      <c r="C243" t="s">
        <v>574</v>
      </c>
      <c r="D243" s="137">
        <v>3320000</v>
      </c>
      <c r="E243" t="s">
        <v>364</v>
      </c>
      <c r="F243" s="20" t="s">
        <v>365</v>
      </c>
      <c r="G243" s="8" t="str">
        <f t="shared" si="6"/>
        <v>NICHOLSON WESLEY</v>
      </c>
      <c r="H243" s="20" t="str">
        <f t="shared" si="7"/>
        <v>4056</v>
      </c>
    </row>
    <row r="244" spans="1:8" x14ac:dyDescent="0.25">
      <c r="A244" s="8">
        <v>43060.993090277778</v>
      </c>
      <c r="B244" t="s">
        <v>444</v>
      </c>
      <c r="C244" t="s">
        <v>575</v>
      </c>
      <c r="D244" s="137">
        <v>3220000</v>
      </c>
      <c r="E244" t="s">
        <v>379</v>
      </c>
      <c r="F244" s="20" t="s">
        <v>380</v>
      </c>
      <c r="G244" s="8" t="str">
        <f t="shared" si="6"/>
        <v>RESPASS AARON</v>
      </c>
      <c r="H244" s="20" t="str">
        <f t="shared" si="7"/>
        <v>4009</v>
      </c>
    </row>
    <row r="245" spans="1:8" x14ac:dyDescent="0.25">
      <c r="A245" s="8">
        <v>43061.00335648148</v>
      </c>
      <c r="B245" t="s">
        <v>523</v>
      </c>
      <c r="C245" t="s">
        <v>574</v>
      </c>
      <c r="D245" s="137">
        <v>3320000</v>
      </c>
      <c r="E245" t="s">
        <v>364</v>
      </c>
      <c r="F245" s="20" t="s">
        <v>365</v>
      </c>
      <c r="G245" s="8" t="str">
        <f t="shared" si="6"/>
        <v>NICHOLSON WESLEY</v>
      </c>
      <c r="H245" s="20" t="str">
        <f t="shared" si="7"/>
        <v>4056</v>
      </c>
    </row>
    <row r="246" spans="1:8" x14ac:dyDescent="0.25">
      <c r="A246" s="8">
        <v>43061.016168981485</v>
      </c>
      <c r="B246" t="s">
        <v>549</v>
      </c>
      <c r="C246" t="s">
        <v>576</v>
      </c>
      <c r="D246" s="137">
        <v>2610000</v>
      </c>
      <c r="E246" t="s">
        <v>381</v>
      </c>
      <c r="F246" s="20" t="s">
        <v>382</v>
      </c>
      <c r="G246" s="8" t="str">
        <f t="shared" si="6"/>
        <v>MAGEE KENYA</v>
      </c>
      <c r="H246" s="20" t="str">
        <f t="shared" si="7"/>
        <v>4014</v>
      </c>
    </row>
    <row r="247" spans="1:8" x14ac:dyDescent="0.25">
      <c r="A247" s="8">
        <v>43061.016365740739</v>
      </c>
      <c r="B247" t="s">
        <v>525</v>
      </c>
      <c r="C247" t="s">
        <v>577</v>
      </c>
      <c r="D247" s="137">
        <v>890000</v>
      </c>
      <c r="E247" t="s">
        <v>345</v>
      </c>
      <c r="F247" s="20" t="s">
        <v>346</v>
      </c>
      <c r="G247" s="8" t="str">
        <f t="shared" si="6"/>
        <v>LOZA FIDEL</v>
      </c>
      <c r="H247" s="20" t="str">
        <f t="shared" si="7"/>
        <v>4053</v>
      </c>
    </row>
    <row r="248" spans="1:8" x14ac:dyDescent="0.25">
      <c r="A248" s="8">
        <v>43061.025173611109</v>
      </c>
      <c r="B248" t="s">
        <v>445</v>
      </c>
      <c r="C248" t="s">
        <v>578</v>
      </c>
      <c r="D248" s="137">
        <v>3220000</v>
      </c>
      <c r="E248" t="s">
        <v>379</v>
      </c>
      <c r="F248" s="20" t="s">
        <v>380</v>
      </c>
      <c r="G248" s="8" t="str">
        <f t="shared" si="6"/>
        <v>RESPASS AARON</v>
      </c>
      <c r="H248" s="20" t="str">
        <f t="shared" si="7"/>
        <v>4010</v>
      </c>
    </row>
    <row r="249" spans="1:8" x14ac:dyDescent="0.25">
      <c r="A249" s="8">
        <v>43061.036608796298</v>
      </c>
      <c r="B249" t="s">
        <v>352</v>
      </c>
      <c r="C249" t="s">
        <v>579</v>
      </c>
      <c r="D249" s="137">
        <v>3320000</v>
      </c>
      <c r="E249" t="s">
        <v>364</v>
      </c>
      <c r="F249" s="20" t="s">
        <v>365</v>
      </c>
      <c r="G249" s="8" t="str">
        <f t="shared" si="6"/>
        <v>NICHOLSON WESLEY</v>
      </c>
      <c r="H249" s="20" t="str">
        <f t="shared" si="7"/>
        <v>4055</v>
      </c>
    </row>
    <row r="250" spans="1:8" x14ac:dyDescent="0.25">
      <c r="A250" s="8">
        <v>43061.048113425924</v>
      </c>
      <c r="B250" t="s">
        <v>524</v>
      </c>
      <c r="C250" t="s">
        <v>580</v>
      </c>
      <c r="D250" s="137">
        <v>890000</v>
      </c>
      <c r="E250" t="s">
        <v>345</v>
      </c>
      <c r="F250" s="20" t="s">
        <v>346</v>
      </c>
      <c r="G250" s="8" t="str">
        <f t="shared" si="6"/>
        <v>LOZA FIDEL</v>
      </c>
      <c r="H250" s="20" t="str">
        <f t="shared" si="7"/>
        <v>4054</v>
      </c>
    </row>
    <row r="251" spans="1:8" x14ac:dyDescent="0.25">
      <c r="A251" s="8">
        <v>43061.048171296294</v>
      </c>
      <c r="B251" t="s">
        <v>551</v>
      </c>
      <c r="C251" t="s">
        <v>581</v>
      </c>
      <c r="D251" s="137">
        <v>2610000</v>
      </c>
      <c r="E251" t="s">
        <v>381</v>
      </c>
      <c r="F251" s="20" t="s">
        <v>382</v>
      </c>
      <c r="G251" s="8" t="str">
        <f t="shared" si="6"/>
        <v>MAGEE KENYA</v>
      </c>
      <c r="H251" s="20" t="str">
        <f t="shared" si="7"/>
        <v>4013</v>
      </c>
    </row>
    <row r="252" spans="1:8" x14ac:dyDescent="0.25">
      <c r="A252" s="8">
        <v>43061.06927083333</v>
      </c>
      <c r="B252" t="s">
        <v>523</v>
      </c>
      <c r="C252" t="s">
        <v>582</v>
      </c>
      <c r="D252" s="137">
        <v>3320000</v>
      </c>
      <c r="E252" t="s">
        <v>364</v>
      </c>
      <c r="F252" s="20" t="s">
        <v>365</v>
      </c>
      <c r="G252" s="8" t="str">
        <f t="shared" si="6"/>
        <v>NICHOLSON WESLEY</v>
      </c>
      <c r="H252" s="20" t="str">
        <f t="shared" si="7"/>
        <v>4056</v>
      </c>
    </row>
    <row r="253" spans="1:8" x14ac:dyDescent="0.25">
      <c r="A253" s="8">
        <v>43061.095347222225</v>
      </c>
      <c r="B253" t="s">
        <v>549</v>
      </c>
      <c r="C253" t="s">
        <v>553</v>
      </c>
      <c r="D253" s="137">
        <v>2610000</v>
      </c>
      <c r="E253" t="s">
        <v>381</v>
      </c>
      <c r="F253" s="20" t="s">
        <v>382</v>
      </c>
      <c r="G253" s="8" t="str">
        <f t="shared" si="6"/>
        <v>MAGEE KENYA</v>
      </c>
      <c r="H253" s="20" t="str">
        <f t="shared" si="7"/>
        <v>4014</v>
      </c>
    </row>
    <row r="254" spans="1:8" x14ac:dyDescent="0.25">
      <c r="A254" s="8">
        <v>43057.070532407408</v>
      </c>
      <c r="B254" t="s">
        <v>367</v>
      </c>
      <c r="C254" t="s">
        <v>509</v>
      </c>
      <c r="D254" s="137">
        <v>3320000</v>
      </c>
      <c r="E254" t="s">
        <v>364</v>
      </c>
      <c r="F254" s="20" t="s">
        <v>365</v>
      </c>
      <c r="G254" s="8" t="str">
        <f t="shared" si="6"/>
        <v>NICHOLSON WESLEY</v>
      </c>
      <c r="H254" s="20" t="str">
        <f t="shared" si="7"/>
        <v>4036</v>
      </c>
    </row>
    <row r="255" spans="1:8" x14ac:dyDescent="0.25">
      <c r="A255" s="8">
        <v>43057.086678240739</v>
      </c>
      <c r="B255" t="s">
        <v>451</v>
      </c>
      <c r="C255" t="s">
        <v>510</v>
      </c>
      <c r="D255" s="137">
        <v>3340000</v>
      </c>
      <c r="E255" t="s">
        <v>477</v>
      </c>
      <c r="F255" s="20" t="s">
        <v>478</v>
      </c>
      <c r="G255" s="8" t="str">
        <f t="shared" si="6"/>
        <v>ELBAUM MIKE</v>
      </c>
      <c r="H255" s="20" t="str">
        <f t="shared" si="7"/>
        <v>4042</v>
      </c>
    </row>
    <row r="256" spans="1:8" x14ac:dyDescent="0.25">
      <c r="A256" s="8">
        <v>43057.109247685185</v>
      </c>
      <c r="B256" t="s">
        <v>445</v>
      </c>
      <c r="C256" t="s">
        <v>511</v>
      </c>
      <c r="D256" s="137">
        <v>3680000</v>
      </c>
      <c r="E256" t="s">
        <v>507</v>
      </c>
      <c r="F256" s="20" t="s">
        <v>508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447</v>
      </c>
      <c r="C257" t="s">
        <v>463</v>
      </c>
      <c r="D257" s="137">
        <v>2540000</v>
      </c>
      <c r="E257" t="s">
        <v>461</v>
      </c>
      <c r="F257" s="20" t="s">
        <v>462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358</v>
      </c>
      <c r="C258" t="s">
        <v>457</v>
      </c>
      <c r="D258" s="137">
        <v>3700000</v>
      </c>
      <c r="E258" t="s">
        <v>449</v>
      </c>
      <c r="F258" s="20" t="s">
        <v>370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445</v>
      </c>
      <c r="C259" t="s">
        <v>464</v>
      </c>
      <c r="D259" s="137">
        <v>3320000</v>
      </c>
      <c r="E259" t="s">
        <v>364</v>
      </c>
      <c r="F259" s="20" t="s">
        <v>365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458</v>
      </c>
      <c r="C260" t="s">
        <v>465</v>
      </c>
      <c r="D260" s="137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448</v>
      </c>
      <c r="C261" t="s">
        <v>466</v>
      </c>
      <c r="D261" s="137">
        <v>2440000</v>
      </c>
      <c r="E261" t="s">
        <v>459</v>
      </c>
      <c r="F261" s="20" t="s">
        <v>460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391</v>
      </c>
      <c r="C262" t="s">
        <v>467</v>
      </c>
      <c r="D262" s="137">
        <v>3700000</v>
      </c>
      <c r="E262" t="s">
        <v>449</v>
      </c>
      <c r="F262" s="20" t="s">
        <v>370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456</v>
      </c>
      <c r="C263" t="s">
        <v>468</v>
      </c>
      <c r="D263" s="137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358</v>
      </c>
      <c r="C264" t="s">
        <v>469</v>
      </c>
      <c r="D264" s="137">
        <v>3700000</v>
      </c>
      <c r="E264" t="s">
        <v>449</v>
      </c>
      <c r="F264" s="20" t="s">
        <v>370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387</v>
      </c>
      <c r="C265" t="s">
        <v>399</v>
      </c>
      <c r="D265" s="137">
        <v>3670000</v>
      </c>
      <c r="E265" t="s">
        <v>383</v>
      </c>
      <c r="F265" s="20" t="s">
        <v>369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361</v>
      </c>
      <c r="C266" t="s">
        <v>400</v>
      </c>
      <c r="D266" s="137">
        <v>2000000</v>
      </c>
      <c r="E266" t="s">
        <v>395</v>
      </c>
      <c r="F266" s="20" t="s">
        <v>396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385</v>
      </c>
      <c r="C267" t="s">
        <v>401</v>
      </c>
      <c r="D267" s="137">
        <v>1300000</v>
      </c>
      <c r="E267" t="s">
        <v>359</v>
      </c>
      <c r="F267" s="20" t="s">
        <v>360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391</v>
      </c>
      <c r="C268" t="s">
        <v>402</v>
      </c>
      <c r="D268" s="137">
        <v>2230000</v>
      </c>
      <c r="E268" t="s">
        <v>394</v>
      </c>
      <c r="F268" s="20" t="s">
        <v>353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363</v>
      </c>
      <c r="C269" t="s">
        <v>403</v>
      </c>
      <c r="D269" s="137">
        <v>2000000</v>
      </c>
      <c r="E269" t="s">
        <v>395</v>
      </c>
      <c r="F269" s="20" t="s">
        <v>396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357</v>
      </c>
      <c r="C270" t="s">
        <v>404</v>
      </c>
      <c r="D270" s="137">
        <v>3500000</v>
      </c>
      <c r="E270" t="s">
        <v>377</v>
      </c>
      <c r="F270" s="20" t="s">
        <v>378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372</v>
      </c>
      <c r="C271" t="s">
        <v>405</v>
      </c>
      <c r="D271" s="137">
        <v>3320000</v>
      </c>
      <c r="E271" t="s">
        <v>364</v>
      </c>
      <c r="F271" s="20" t="s">
        <v>365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384</v>
      </c>
      <c r="C272" t="s">
        <v>406</v>
      </c>
      <c r="D272" s="137">
        <v>2610000</v>
      </c>
      <c r="E272" t="s">
        <v>381</v>
      </c>
      <c r="F272" s="20" t="s">
        <v>382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392</v>
      </c>
      <c r="C273" t="s">
        <v>407</v>
      </c>
      <c r="D273" s="137">
        <v>2630000</v>
      </c>
      <c r="E273" t="s">
        <v>373</v>
      </c>
      <c r="F273" s="20" t="s">
        <v>374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393</v>
      </c>
      <c r="C274" t="s">
        <v>408</v>
      </c>
      <c r="D274" s="137">
        <v>3670000</v>
      </c>
      <c r="E274" t="s">
        <v>383</v>
      </c>
      <c r="F274" s="20" t="s">
        <v>369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368</v>
      </c>
      <c r="C275" t="s">
        <v>409</v>
      </c>
      <c r="D275" s="137">
        <v>2040000</v>
      </c>
      <c r="E275" t="s">
        <v>397</v>
      </c>
      <c r="F275" s="20" t="s">
        <v>398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386</v>
      </c>
      <c r="C276" t="s">
        <v>410</v>
      </c>
      <c r="D276" s="137">
        <v>2610000</v>
      </c>
      <c r="E276" t="s">
        <v>381</v>
      </c>
      <c r="F276" s="20" t="s">
        <v>382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358</v>
      </c>
      <c r="C277" t="s">
        <v>411</v>
      </c>
      <c r="D277" s="137">
        <v>2230000</v>
      </c>
      <c r="E277" t="s">
        <v>394</v>
      </c>
      <c r="F277" s="20" t="s">
        <v>353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362</v>
      </c>
      <c r="C278" t="s">
        <v>412</v>
      </c>
      <c r="D278" s="137">
        <v>3500000</v>
      </c>
      <c r="E278" t="s">
        <v>377</v>
      </c>
      <c r="F278" s="20" t="s">
        <v>378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384</v>
      </c>
      <c r="C279" t="s">
        <v>413</v>
      </c>
      <c r="D279" s="137">
        <v>2970000</v>
      </c>
      <c r="E279" t="s">
        <v>375</v>
      </c>
      <c r="F279" s="20" t="s">
        <v>376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371</v>
      </c>
      <c r="C280" t="s">
        <v>414</v>
      </c>
      <c r="D280" s="137">
        <v>3320000</v>
      </c>
      <c r="E280" t="s">
        <v>364</v>
      </c>
      <c r="F280" s="20" t="s">
        <v>365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387</v>
      </c>
      <c r="C281" t="s">
        <v>388</v>
      </c>
      <c r="D281" s="137">
        <v>3670000</v>
      </c>
      <c r="E281" t="s">
        <v>383</v>
      </c>
      <c r="F281" s="20" t="s">
        <v>369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386</v>
      </c>
      <c r="C282" t="s">
        <v>415</v>
      </c>
      <c r="D282" s="137">
        <v>2970000</v>
      </c>
      <c r="E282" t="s">
        <v>375</v>
      </c>
      <c r="F282" s="20" t="s">
        <v>376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367</v>
      </c>
      <c r="C283" t="s">
        <v>416</v>
      </c>
      <c r="D283" s="137">
        <v>2040000</v>
      </c>
      <c r="E283" t="s">
        <v>397</v>
      </c>
      <c r="F283" s="20" t="s">
        <v>398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357</v>
      </c>
      <c r="C284" t="s">
        <v>417</v>
      </c>
      <c r="D284" s="137">
        <v>3500000</v>
      </c>
      <c r="E284" t="s">
        <v>377</v>
      </c>
      <c r="F284" s="20" t="s">
        <v>378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372</v>
      </c>
      <c r="C285" t="s">
        <v>418</v>
      </c>
      <c r="D285" s="137">
        <v>3320000</v>
      </c>
      <c r="E285" t="s">
        <v>364</v>
      </c>
      <c r="F285" s="20" t="s">
        <v>365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384</v>
      </c>
      <c r="C286" t="s">
        <v>419</v>
      </c>
      <c r="D286" s="137">
        <v>2000000</v>
      </c>
      <c r="E286" t="s">
        <v>395</v>
      </c>
      <c r="F286" s="20" t="s">
        <v>396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384</v>
      </c>
      <c r="C287" t="s">
        <v>419</v>
      </c>
      <c r="D287" s="137">
        <v>2000000</v>
      </c>
      <c r="E287" t="s">
        <v>395</v>
      </c>
      <c r="F287" s="20" t="s">
        <v>396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393</v>
      </c>
      <c r="C288" t="s">
        <v>420</v>
      </c>
      <c r="D288" s="137">
        <v>3670000</v>
      </c>
      <c r="E288" t="s">
        <v>383</v>
      </c>
      <c r="F288" s="20" t="s">
        <v>369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368</v>
      </c>
      <c r="C289" t="s">
        <v>421</v>
      </c>
      <c r="D289" s="137">
        <v>2040000</v>
      </c>
      <c r="E289" t="s">
        <v>397</v>
      </c>
      <c r="F289" s="20" t="s">
        <v>398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386</v>
      </c>
      <c r="C290" t="s">
        <v>422</v>
      </c>
      <c r="D290" s="137">
        <v>2000000</v>
      </c>
      <c r="E290" t="s">
        <v>395</v>
      </c>
      <c r="F290" s="20" t="s">
        <v>396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371</v>
      </c>
      <c r="C291" t="s">
        <v>423</v>
      </c>
      <c r="D291" s="137">
        <v>3320000</v>
      </c>
      <c r="E291" t="s">
        <v>364</v>
      </c>
      <c r="F291" s="20" t="s">
        <v>365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362</v>
      </c>
      <c r="C292" t="s">
        <v>424</v>
      </c>
      <c r="D292" s="137">
        <v>3500000</v>
      </c>
      <c r="E292" t="s">
        <v>377</v>
      </c>
      <c r="F292" s="20" t="s">
        <v>378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384</v>
      </c>
      <c r="C293" t="s">
        <v>425</v>
      </c>
      <c r="D293" s="137">
        <v>3220000</v>
      </c>
      <c r="E293" t="s">
        <v>379</v>
      </c>
      <c r="F293" s="20" t="s">
        <v>380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387</v>
      </c>
      <c r="C294" t="s">
        <v>389</v>
      </c>
      <c r="D294" s="137">
        <v>3670000</v>
      </c>
      <c r="E294" t="s">
        <v>383</v>
      </c>
      <c r="F294" s="20" t="s">
        <v>369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367</v>
      </c>
      <c r="C295" t="s">
        <v>426</v>
      </c>
      <c r="D295" s="137">
        <v>2040000</v>
      </c>
      <c r="E295" t="s">
        <v>397</v>
      </c>
      <c r="F295" s="20" t="s">
        <v>398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386</v>
      </c>
      <c r="C296" t="s">
        <v>427</v>
      </c>
      <c r="D296" s="137">
        <v>3220000</v>
      </c>
      <c r="E296" t="s">
        <v>379</v>
      </c>
      <c r="F296" s="20" t="s">
        <v>380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357</v>
      </c>
      <c r="C297" t="s">
        <v>428</v>
      </c>
      <c r="D297" s="137">
        <v>3500000</v>
      </c>
      <c r="E297" t="s">
        <v>377</v>
      </c>
      <c r="F297" s="20" t="s">
        <v>378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372</v>
      </c>
      <c r="C298" t="s">
        <v>429</v>
      </c>
      <c r="D298" s="137">
        <v>3320000</v>
      </c>
      <c r="E298" t="s">
        <v>364</v>
      </c>
      <c r="F298" s="20" t="s">
        <v>365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384</v>
      </c>
      <c r="C299" t="s">
        <v>430</v>
      </c>
      <c r="D299" s="137">
        <v>2000000</v>
      </c>
      <c r="E299" t="s">
        <v>395</v>
      </c>
      <c r="F299" s="20" t="s">
        <v>396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393</v>
      </c>
      <c r="C300" t="s">
        <v>431</v>
      </c>
      <c r="D300" s="137">
        <v>3670000</v>
      </c>
      <c r="E300" t="s">
        <v>383</v>
      </c>
      <c r="F300" s="20" t="s">
        <v>369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368</v>
      </c>
      <c r="C301" t="s">
        <v>432</v>
      </c>
      <c r="D301" s="137">
        <v>2040000</v>
      </c>
      <c r="E301" t="s">
        <v>397</v>
      </c>
      <c r="F301" s="20" t="s">
        <v>398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386</v>
      </c>
      <c r="C302" t="s">
        <v>433</v>
      </c>
      <c r="D302" s="137">
        <v>2000000</v>
      </c>
      <c r="E302" t="s">
        <v>395</v>
      </c>
      <c r="F302" s="20" t="s">
        <v>396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362</v>
      </c>
      <c r="C303" t="s">
        <v>390</v>
      </c>
      <c r="D303" s="137">
        <v>3500000</v>
      </c>
      <c r="E303" t="s">
        <v>377</v>
      </c>
      <c r="F303" s="20" t="s">
        <v>378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371</v>
      </c>
      <c r="C304" t="s">
        <v>434</v>
      </c>
      <c r="D304" s="137">
        <v>3320000</v>
      </c>
      <c r="E304" t="s">
        <v>364</v>
      </c>
      <c r="F304" s="20" t="s">
        <v>365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387</v>
      </c>
      <c r="C305" t="s">
        <v>435</v>
      </c>
      <c r="D305" s="137">
        <v>3670000</v>
      </c>
      <c r="E305" t="s">
        <v>383</v>
      </c>
      <c r="F305" s="20" t="s">
        <v>369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367</v>
      </c>
      <c r="C306" t="s">
        <v>436</v>
      </c>
      <c r="D306" s="137">
        <v>2040000</v>
      </c>
      <c r="E306" t="s">
        <v>397</v>
      </c>
      <c r="F306" s="20" t="s">
        <v>398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357</v>
      </c>
      <c r="C307" t="s">
        <v>437</v>
      </c>
      <c r="D307" s="137">
        <v>3500000</v>
      </c>
      <c r="E307" t="s">
        <v>377</v>
      </c>
      <c r="F307" s="20" t="s">
        <v>378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372</v>
      </c>
      <c r="C308" t="s">
        <v>438</v>
      </c>
      <c r="D308" s="137">
        <v>3320000</v>
      </c>
      <c r="E308" t="s">
        <v>364</v>
      </c>
      <c r="F308" s="20" t="s">
        <v>365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393</v>
      </c>
      <c r="C309" t="s">
        <v>439</v>
      </c>
      <c r="D309" s="137">
        <v>3670000</v>
      </c>
      <c r="E309" t="s">
        <v>383</v>
      </c>
      <c r="F309" s="20" t="s">
        <v>369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368</v>
      </c>
      <c r="C310" t="s">
        <v>440</v>
      </c>
      <c r="D310" s="137">
        <v>2040000</v>
      </c>
      <c r="E310" t="s">
        <v>397</v>
      </c>
      <c r="F310" s="20" t="s">
        <v>398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371</v>
      </c>
      <c r="C311" t="s">
        <v>441</v>
      </c>
      <c r="D311" s="137">
        <v>3320000</v>
      </c>
      <c r="E311" t="s">
        <v>364</v>
      </c>
      <c r="F311" s="20" t="s">
        <v>365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367</v>
      </c>
      <c r="C312" t="s">
        <v>442</v>
      </c>
      <c r="D312" s="137">
        <v>2040000</v>
      </c>
      <c r="E312" t="s">
        <v>397</v>
      </c>
      <c r="F312" s="20" t="s">
        <v>398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352</v>
      </c>
      <c r="C313" t="s">
        <v>366</v>
      </c>
      <c r="D313" s="137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R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334</v>
      </c>
      <c r="O1" s="217" t="s">
        <v>154</v>
      </c>
      <c r="P1" s="217" t="s">
        <v>161</v>
      </c>
      <c r="Q1" s="217" t="s">
        <v>335</v>
      </c>
      <c r="R1" s="217" t="s">
        <v>158</v>
      </c>
      <c r="S1"/>
      <c r="T1"/>
    </row>
    <row r="2" spans="1:20" x14ac:dyDescent="0.25">
      <c r="A2" s="195">
        <v>58.28</v>
      </c>
      <c r="B2" s="195">
        <v>0.19</v>
      </c>
      <c r="C2" s="195">
        <v>23.61</v>
      </c>
      <c r="D2" s="8">
        <v>43063</v>
      </c>
      <c r="E2" s="195">
        <v>0.26</v>
      </c>
      <c r="F2" s="195" t="s">
        <v>471</v>
      </c>
      <c r="G2" s="195">
        <v>225.77</v>
      </c>
      <c r="H2" s="195">
        <v>0</v>
      </c>
      <c r="I2" s="195">
        <v>0</v>
      </c>
      <c r="J2" s="195">
        <v>1009.16</v>
      </c>
      <c r="K2" s="195" t="s">
        <v>470</v>
      </c>
      <c r="L2" s="195">
        <v>58.28</v>
      </c>
      <c r="M2" s="195">
        <v>1511506800</v>
      </c>
      <c r="N2" s="195">
        <v>0</v>
      </c>
      <c r="O2" s="195">
        <v>2.2799999999999998</v>
      </c>
      <c r="P2" s="195">
        <v>218</v>
      </c>
      <c r="Q2" s="195">
        <v>7.32</v>
      </c>
      <c r="R2" s="195">
        <v>1.27</v>
      </c>
      <c r="S2"/>
      <c r="T2"/>
    </row>
    <row r="3" spans="1:20" x14ac:dyDescent="0.25">
      <c r="A3" s="195">
        <v>56.94</v>
      </c>
      <c r="B3" s="195">
        <v>0.12</v>
      </c>
      <c r="C3" s="195">
        <v>23.24</v>
      </c>
      <c r="D3" s="8">
        <v>43063.041666666664</v>
      </c>
      <c r="E3" s="195">
        <v>0.27</v>
      </c>
      <c r="F3" s="195" t="s">
        <v>471</v>
      </c>
      <c r="G3" s="195">
        <v>226.66</v>
      </c>
      <c r="H3" s="195">
        <v>0</v>
      </c>
      <c r="I3" s="195">
        <v>0</v>
      </c>
      <c r="J3" s="195">
        <v>1007.28</v>
      </c>
      <c r="K3" s="195" t="s">
        <v>470</v>
      </c>
      <c r="L3" s="195">
        <v>56.94</v>
      </c>
      <c r="M3" s="195">
        <v>1511510400</v>
      </c>
      <c r="N3" s="195">
        <v>0</v>
      </c>
      <c r="O3" s="195">
        <v>2.76</v>
      </c>
      <c r="P3" s="195">
        <v>245</v>
      </c>
      <c r="Q3" s="195">
        <v>6.59</v>
      </c>
      <c r="R3" s="195">
        <v>2.12</v>
      </c>
      <c r="S3"/>
      <c r="T3"/>
    </row>
    <row r="4" spans="1:20" x14ac:dyDescent="0.25">
      <c r="A4" s="195">
        <v>55.11</v>
      </c>
      <c r="B4" s="195">
        <v>0.16</v>
      </c>
      <c r="C4" s="195">
        <v>22.58</v>
      </c>
      <c r="D4" s="8">
        <v>43063.083333333336</v>
      </c>
      <c r="E4" s="195">
        <v>0.28000000000000003</v>
      </c>
      <c r="F4" s="195" t="s">
        <v>471</v>
      </c>
      <c r="G4" s="195">
        <v>227.54</v>
      </c>
      <c r="H4" s="195">
        <v>0</v>
      </c>
      <c r="I4" s="195">
        <v>0</v>
      </c>
      <c r="J4" s="195">
        <v>1008.92</v>
      </c>
      <c r="K4" s="195" t="s">
        <v>470</v>
      </c>
      <c r="L4" s="195">
        <v>55.11</v>
      </c>
      <c r="M4" s="195">
        <v>1511514000</v>
      </c>
      <c r="N4" s="195">
        <v>0</v>
      </c>
      <c r="O4" s="195">
        <v>2.66</v>
      </c>
      <c r="P4" s="195">
        <v>200</v>
      </c>
      <c r="Q4" s="195">
        <v>7.52</v>
      </c>
      <c r="R4" s="195">
        <v>1.42</v>
      </c>
      <c r="S4"/>
      <c r="T4"/>
    </row>
    <row r="5" spans="1:20" x14ac:dyDescent="0.25">
      <c r="A5" s="195">
        <v>54.5</v>
      </c>
      <c r="B5" s="195">
        <v>0.09</v>
      </c>
      <c r="C5" s="195">
        <v>21.88</v>
      </c>
      <c r="D5" s="8">
        <v>43063.125</v>
      </c>
      <c r="E5" s="195">
        <v>0.28000000000000003</v>
      </c>
      <c r="F5" s="195" t="s">
        <v>471</v>
      </c>
      <c r="G5" s="195">
        <v>228.56</v>
      </c>
      <c r="H5" s="195">
        <v>0</v>
      </c>
      <c r="I5" s="195">
        <v>0</v>
      </c>
      <c r="J5" s="195">
        <v>1008.37</v>
      </c>
      <c r="K5" s="195" t="s">
        <v>470</v>
      </c>
      <c r="L5" s="195">
        <v>54.5</v>
      </c>
      <c r="M5" s="195">
        <v>1511517600</v>
      </c>
      <c r="N5" s="195">
        <v>0</v>
      </c>
      <c r="O5" s="195">
        <v>4.83</v>
      </c>
      <c r="P5" s="195">
        <v>201</v>
      </c>
      <c r="Q5" s="195">
        <v>8.74</v>
      </c>
      <c r="R5" s="195">
        <v>1.45</v>
      </c>
      <c r="S5"/>
      <c r="T5"/>
    </row>
    <row r="6" spans="1:20" x14ac:dyDescent="0.25">
      <c r="A6" s="195">
        <v>53.97</v>
      </c>
      <c r="B6" s="195">
        <v>0.11</v>
      </c>
      <c r="C6" s="195">
        <v>20.9</v>
      </c>
      <c r="D6" s="8">
        <v>43063.166666666664</v>
      </c>
      <c r="E6" s="195">
        <v>0.27</v>
      </c>
      <c r="F6" s="195" t="s">
        <v>471</v>
      </c>
      <c r="G6" s="195">
        <v>229.58</v>
      </c>
      <c r="H6" s="195">
        <v>0</v>
      </c>
      <c r="I6" s="195">
        <v>0</v>
      </c>
      <c r="J6" s="195">
        <v>1008.95</v>
      </c>
      <c r="K6" s="195" t="s">
        <v>470</v>
      </c>
      <c r="L6" s="195">
        <v>53.97</v>
      </c>
      <c r="M6" s="195">
        <v>1511521200</v>
      </c>
      <c r="N6" s="195">
        <v>0</v>
      </c>
      <c r="O6" s="195">
        <v>2.87</v>
      </c>
      <c r="P6" s="195">
        <v>199</v>
      </c>
      <c r="Q6" s="195">
        <v>8.8800000000000008</v>
      </c>
      <c r="R6" s="195">
        <v>1.46</v>
      </c>
      <c r="S6"/>
      <c r="T6"/>
    </row>
    <row r="7" spans="1:20" x14ac:dyDescent="0.25">
      <c r="A7" s="195">
        <v>53.79</v>
      </c>
      <c r="B7" s="195">
        <v>0.14000000000000001</v>
      </c>
      <c r="C7" s="195">
        <v>20.420000000000002</v>
      </c>
      <c r="D7" s="8">
        <v>43063.208333333336</v>
      </c>
      <c r="E7" s="195">
        <v>0.27</v>
      </c>
      <c r="F7" s="195" t="s">
        <v>471</v>
      </c>
      <c r="G7" s="195">
        <v>231.17</v>
      </c>
      <c r="H7" s="195">
        <v>0</v>
      </c>
      <c r="I7" s="195">
        <v>0</v>
      </c>
      <c r="J7" s="195">
        <v>1007.49</v>
      </c>
      <c r="K7" s="195" t="s">
        <v>470</v>
      </c>
      <c r="L7" s="195">
        <v>53.79</v>
      </c>
      <c r="M7" s="195">
        <v>1511524800</v>
      </c>
      <c r="N7" s="195">
        <v>0</v>
      </c>
      <c r="O7" s="195">
        <v>2.38</v>
      </c>
      <c r="P7" s="195">
        <v>194</v>
      </c>
      <c r="Q7" s="195">
        <v>8.91</v>
      </c>
      <c r="R7" s="195">
        <v>1.82</v>
      </c>
      <c r="S7"/>
      <c r="T7"/>
    </row>
    <row r="8" spans="1:20" x14ac:dyDescent="0.25">
      <c r="A8" s="195">
        <v>55.22</v>
      </c>
      <c r="B8" s="195">
        <v>0.11</v>
      </c>
      <c r="C8" s="195">
        <v>21.39</v>
      </c>
      <c r="D8" s="8">
        <v>43063.25</v>
      </c>
      <c r="E8" s="195">
        <v>0.26</v>
      </c>
      <c r="F8" s="195" t="s">
        <v>471</v>
      </c>
      <c r="G8" s="195">
        <v>231.89</v>
      </c>
      <c r="H8" s="195">
        <v>0</v>
      </c>
      <c r="I8" s="195">
        <v>0</v>
      </c>
      <c r="J8" s="195">
        <v>1006.21</v>
      </c>
      <c r="K8" s="195" t="s">
        <v>470</v>
      </c>
      <c r="L8" s="195">
        <v>55.22</v>
      </c>
      <c r="M8" s="195">
        <v>1511528400</v>
      </c>
      <c r="N8" s="195">
        <v>0</v>
      </c>
      <c r="O8" s="195">
        <v>6.76</v>
      </c>
      <c r="P8" s="195">
        <v>245</v>
      </c>
      <c r="Q8" s="195">
        <v>12.7</v>
      </c>
      <c r="R8" s="195">
        <v>2.83</v>
      </c>
      <c r="S8"/>
      <c r="T8"/>
    </row>
    <row r="9" spans="1:20" x14ac:dyDescent="0.25">
      <c r="A9" s="195">
        <v>55.57</v>
      </c>
      <c r="B9" s="195">
        <v>0.08</v>
      </c>
      <c r="C9" s="195">
        <v>23.75</v>
      </c>
      <c r="D9" s="8">
        <v>43063.291666666664</v>
      </c>
      <c r="E9" s="195">
        <v>0.28999999999999998</v>
      </c>
      <c r="F9" s="195" t="s">
        <v>471</v>
      </c>
      <c r="G9" s="195">
        <v>232.47</v>
      </c>
      <c r="H9" s="195">
        <v>0</v>
      </c>
      <c r="I9" s="195">
        <v>0</v>
      </c>
      <c r="J9" s="195">
        <v>1007.43</v>
      </c>
      <c r="K9" s="195" t="s">
        <v>470</v>
      </c>
      <c r="L9" s="195">
        <v>55.57</v>
      </c>
      <c r="M9" s="195">
        <v>1511532000</v>
      </c>
      <c r="N9" s="195">
        <v>0</v>
      </c>
      <c r="O9" s="195">
        <v>10</v>
      </c>
      <c r="P9" s="195">
        <v>237</v>
      </c>
      <c r="Q9" s="195">
        <v>11.03</v>
      </c>
      <c r="R9" s="195">
        <v>2.72</v>
      </c>
      <c r="S9"/>
      <c r="T9"/>
    </row>
    <row r="10" spans="1:20" x14ac:dyDescent="0.25">
      <c r="A10" s="195">
        <v>56.78</v>
      </c>
      <c r="B10" s="195">
        <v>0.08</v>
      </c>
      <c r="C10" s="195">
        <v>25.16</v>
      </c>
      <c r="D10" s="8">
        <v>43063.333333333336</v>
      </c>
      <c r="E10" s="195">
        <v>0.28999999999999998</v>
      </c>
      <c r="F10" s="195" t="s">
        <v>921</v>
      </c>
      <c r="G10" s="195">
        <v>233.05</v>
      </c>
      <c r="H10" s="195">
        <v>0</v>
      </c>
      <c r="I10" s="195">
        <v>0</v>
      </c>
      <c r="J10" s="195">
        <v>1008.71</v>
      </c>
      <c r="K10" s="195" t="s">
        <v>470</v>
      </c>
      <c r="L10" s="195">
        <v>56.78</v>
      </c>
      <c r="M10" s="195">
        <v>1511535600</v>
      </c>
      <c r="N10" s="195">
        <v>1</v>
      </c>
      <c r="O10" s="195">
        <v>4.55</v>
      </c>
      <c r="P10" s="195">
        <v>225</v>
      </c>
      <c r="Q10" s="195">
        <v>11.13</v>
      </c>
      <c r="R10" s="195">
        <v>2.2200000000000002</v>
      </c>
      <c r="S10"/>
      <c r="T10"/>
    </row>
    <row r="11" spans="1:20" x14ac:dyDescent="0.25">
      <c r="A11" s="195">
        <v>61.92</v>
      </c>
      <c r="B11" s="195">
        <v>0.16</v>
      </c>
      <c r="C11" s="195">
        <v>25.95</v>
      </c>
      <c r="D11" s="8">
        <v>43063.375</v>
      </c>
      <c r="E11" s="195">
        <v>0.25</v>
      </c>
      <c r="F11" s="195" t="s">
        <v>921</v>
      </c>
      <c r="G11" s="195">
        <v>233.76</v>
      </c>
      <c r="H11" s="195">
        <v>0</v>
      </c>
      <c r="I11" s="195">
        <v>0</v>
      </c>
      <c r="J11" s="195">
        <v>1007.15</v>
      </c>
      <c r="K11" s="195" t="s">
        <v>470</v>
      </c>
      <c r="L11" s="195">
        <v>61.92</v>
      </c>
      <c r="M11" s="195">
        <v>1511539200</v>
      </c>
      <c r="N11" s="195">
        <v>1</v>
      </c>
      <c r="O11" s="195">
        <v>7.67</v>
      </c>
      <c r="P11" s="195">
        <v>260</v>
      </c>
      <c r="Q11" s="195">
        <v>10.39</v>
      </c>
      <c r="R11" s="195">
        <v>1.58</v>
      </c>
      <c r="S11"/>
      <c r="T11"/>
    </row>
    <row r="12" spans="1:20" x14ac:dyDescent="0.25">
      <c r="A12" s="195">
        <v>63.31</v>
      </c>
      <c r="B12" s="195">
        <v>0.14000000000000001</v>
      </c>
      <c r="C12" s="195">
        <v>26.62</v>
      </c>
      <c r="D12" s="8">
        <v>43063.416666666664</v>
      </c>
      <c r="E12" s="195">
        <v>0.25</v>
      </c>
      <c r="F12" s="195" t="s">
        <v>921</v>
      </c>
      <c r="G12" s="195">
        <v>234.48</v>
      </c>
      <c r="H12" s="195">
        <v>0</v>
      </c>
      <c r="I12" s="195">
        <v>0</v>
      </c>
      <c r="J12" s="195">
        <v>1006.5</v>
      </c>
      <c r="K12" s="195" t="s">
        <v>470</v>
      </c>
      <c r="L12" s="195">
        <v>63.31</v>
      </c>
      <c r="M12" s="195">
        <v>1511542800</v>
      </c>
      <c r="N12" s="195">
        <v>2</v>
      </c>
      <c r="O12" s="195">
        <v>4.79</v>
      </c>
      <c r="P12" s="195">
        <v>316</v>
      </c>
      <c r="Q12" s="195">
        <v>9.41</v>
      </c>
      <c r="R12" s="195">
        <v>0.98</v>
      </c>
      <c r="S12"/>
      <c r="T12"/>
    </row>
    <row r="13" spans="1:20" x14ac:dyDescent="0.25">
      <c r="A13" s="195">
        <v>67.86</v>
      </c>
      <c r="B13" s="195">
        <v>0.15</v>
      </c>
      <c r="C13" s="195">
        <v>27.35</v>
      </c>
      <c r="D13" s="8">
        <v>43063.458333333336</v>
      </c>
      <c r="E13" s="195">
        <v>0.22</v>
      </c>
      <c r="F13" s="195" t="s">
        <v>921</v>
      </c>
      <c r="G13" s="195">
        <v>237.17</v>
      </c>
      <c r="H13" s="195">
        <v>0</v>
      </c>
      <c r="I13" s="195">
        <v>0</v>
      </c>
      <c r="J13" s="195">
        <v>1005.26</v>
      </c>
      <c r="K13" s="195" t="s">
        <v>470</v>
      </c>
      <c r="L13" s="195">
        <v>67.86</v>
      </c>
      <c r="M13" s="195">
        <v>1511546400</v>
      </c>
      <c r="N13" s="195">
        <v>3</v>
      </c>
      <c r="O13" s="195">
        <v>4.6500000000000004</v>
      </c>
      <c r="P13" s="195">
        <v>353</v>
      </c>
      <c r="Q13" s="195">
        <v>10.69</v>
      </c>
      <c r="R13" s="195">
        <v>1.84</v>
      </c>
      <c r="S13"/>
      <c r="T13"/>
    </row>
    <row r="14" spans="1:20" x14ac:dyDescent="0.25">
      <c r="A14" s="195">
        <v>68.34</v>
      </c>
      <c r="B14" s="195">
        <v>0.1</v>
      </c>
      <c r="C14" s="195">
        <v>27.27</v>
      </c>
      <c r="D14" s="8">
        <v>43063.5</v>
      </c>
      <c r="E14" s="195">
        <v>0.21</v>
      </c>
      <c r="F14" s="195" t="s">
        <v>921</v>
      </c>
      <c r="G14" s="195">
        <v>238.02</v>
      </c>
      <c r="H14" s="195">
        <v>0</v>
      </c>
      <c r="I14" s="195">
        <v>0</v>
      </c>
      <c r="J14" s="195">
        <v>1005.15</v>
      </c>
      <c r="K14" s="195" t="s">
        <v>470</v>
      </c>
      <c r="L14" s="195">
        <v>68.34</v>
      </c>
      <c r="M14" s="195">
        <v>1511550000</v>
      </c>
      <c r="N14" s="195">
        <v>3</v>
      </c>
      <c r="O14" s="195">
        <v>4.79</v>
      </c>
      <c r="P14" s="195">
        <v>330</v>
      </c>
      <c r="Q14" s="195">
        <v>13.37</v>
      </c>
      <c r="R14" s="195">
        <v>2.63</v>
      </c>
      <c r="S14"/>
      <c r="T14"/>
    </row>
    <row r="15" spans="1:20" x14ac:dyDescent="0.25">
      <c r="A15" s="195">
        <v>67.75</v>
      </c>
      <c r="B15" s="195">
        <v>0.09</v>
      </c>
      <c r="C15" s="195">
        <v>28.25</v>
      </c>
      <c r="D15" s="8">
        <v>43063.541666666664</v>
      </c>
      <c r="E15" s="195">
        <v>0.23</v>
      </c>
      <c r="F15" s="195" t="s">
        <v>921</v>
      </c>
      <c r="G15" s="195">
        <v>238.73</v>
      </c>
      <c r="H15" s="195">
        <v>0</v>
      </c>
      <c r="I15" s="195">
        <v>0</v>
      </c>
      <c r="J15" s="195">
        <v>1005.23</v>
      </c>
      <c r="K15" s="195" t="s">
        <v>470</v>
      </c>
      <c r="L15" s="195">
        <v>67.75</v>
      </c>
      <c r="M15" s="195">
        <v>1511553600</v>
      </c>
      <c r="N15" s="195">
        <v>2</v>
      </c>
      <c r="O15" s="195">
        <v>4.79</v>
      </c>
      <c r="P15" s="195">
        <v>274</v>
      </c>
      <c r="Q15" s="195">
        <v>20.239999999999998</v>
      </c>
      <c r="R15" s="195">
        <v>7.02</v>
      </c>
      <c r="S15"/>
      <c r="T15"/>
    </row>
    <row r="16" spans="1:20" x14ac:dyDescent="0.25">
      <c r="A16" s="195">
        <v>67.650000000000006</v>
      </c>
      <c r="B16" s="195">
        <v>0.14000000000000001</v>
      </c>
      <c r="C16" s="195">
        <v>29.07</v>
      </c>
      <c r="D16" s="8">
        <v>43063.583333333336</v>
      </c>
      <c r="E16" s="195">
        <v>0.24</v>
      </c>
      <c r="F16" s="195" t="s">
        <v>921</v>
      </c>
      <c r="G16" s="195">
        <v>239.29</v>
      </c>
      <c r="H16" s="195">
        <v>0</v>
      </c>
      <c r="I16" s="195">
        <v>0</v>
      </c>
      <c r="J16" s="195">
        <v>1006.12</v>
      </c>
      <c r="K16" s="195" t="s">
        <v>470</v>
      </c>
      <c r="L16" s="195">
        <v>67.650000000000006</v>
      </c>
      <c r="M16" s="195">
        <v>1511557200</v>
      </c>
      <c r="N16" s="195">
        <v>2</v>
      </c>
      <c r="O16" s="195">
        <v>4.79</v>
      </c>
      <c r="P16" s="195">
        <v>263</v>
      </c>
      <c r="Q16" s="195">
        <v>15.8</v>
      </c>
      <c r="R16" s="195">
        <v>7.29</v>
      </c>
      <c r="S16"/>
      <c r="T16"/>
    </row>
    <row r="17" spans="1:20" x14ac:dyDescent="0.25">
      <c r="A17" s="195">
        <v>66.38</v>
      </c>
      <c r="B17" s="195">
        <v>0.3</v>
      </c>
      <c r="C17" s="195">
        <v>26.3</v>
      </c>
      <c r="D17" s="8">
        <v>43063.625</v>
      </c>
      <c r="E17" s="195">
        <v>0.22</v>
      </c>
      <c r="F17" s="195" t="s">
        <v>585</v>
      </c>
      <c r="G17" s="195">
        <v>239.57</v>
      </c>
      <c r="H17" s="195">
        <v>0</v>
      </c>
      <c r="I17" s="195">
        <v>0</v>
      </c>
      <c r="J17" s="195">
        <v>1007.11</v>
      </c>
      <c r="K17" s="195" t="s">
        <v>584</v>
      </c>
      <c r="L17" s="195">
        <v>66.38</v>
      </c>
      <c r="M17" s="195">
        <v>1511560800</v>
      </c>
      <c r="N17" s="195">
        <v>1</v>
      </c>
      <c r="O17" s="195">
        <v>4.6900000000000004</v>
      </c>
      <c r="P17" s="195">
        <v>288</v>
      </c>
      <c r="Q17" s="195">
        <v>17.510000000000002</v>
      </c>
      <c r="R17" s="195">
        <v>5.4</v>
      </c>
      <c r="S17"/>
      <c r="T17"/>
    </row>
    <row r="18" spans="1:20" x14ac:dyDescent="0.25">
      <c r="A18" s="195">
        <v>60.82</v>
      </c>
      <c r="B18" s="195">
        <v>0.43</v>
      </c>
      <c r="C18" s="195">
        <v>30.34</v>
      </c>
      <c r="D18" s="8">
        <v>43063.666666666664</v>
      </c>
      <c r="E18" s="195">
        <v>0.31</v>
      </c>
      <c r="F18" s="195" t="s">
        <v>585</v>
      </c>
      <c r="G18" s="195">
        <v>239.72</v>
      </c>
      <c r="H18" s="195">
        <v>0</v>
      </c>
      <c r="I18" s="195">
        <v>0</v>
      </c>
      <c r="J18" s="195">
        <v>1009.46</v>
      </c>
      <c r="K18" s="195" t="s">
        <v>584</v>
      </c>
      <c r="L18" s="195">
        <v>60.82</v>
      </c>
      <c r="M18" s="195">
        <v>1511564400</v>
      </c>
      <c r="N18" s="195">
        <v>0</v>
      </c>
      <c r="O18" s="195">
        <v>4.6100000000000003</v>
      </c>
      <c r="P18" s="195">
        <v>335</v>
      </c>
      <c r="Q18" s="195">
        <v>16.62</v>
      </c>
      <c r="R18" s="195">
        <v>3.69</v>
      </c>
      <c r="S18"/>
      <c r="T18"/>
    </row>
    <row r="19" spans="1:20" x14ac:dyDescent="0.25">
      <c r="A19" s="195">
        <v>57.52</v>
      </c>
      <c r="B19" s="195">
        <v>0.36</v>
      </c>
      <c r="C19" s="195">
        <v>32.53</v>
      </c>
      <c r="D19" s="8">
        <v>43063.708333333336</v>
      </c>
      <c r="E19" s="195">
        <v>0.39</v>
      </c>
      <c r="F19" s="195" t="s">
        <v>583</v>
      </c>
      <c r="G19" s="195">
        <v>245.78</v>
      </c>
      <c r="H19" s="195">
        <v>0</v>
      </c>
      <c r="I19" s="195">
        <v>0</v>
      </c>
      <c r="J19" s="195">
        <v>1011.17</v>
      </c>
      <c r="K19" s="195" t="s">
        <v>584</v>
      </c>
      <c r="L19" s="195">
        <v>57.52</v>
      </c>
      <c r="M19" s="195">
        <v>1511568000</v>
      </c>
      <c r="N19" s="195">
        <v>0</v>
      </c>
      <c r="O19" s="195">
        <v>4.72</v>
      </c>
      <c r="P19" s="195">
        <v>20</v>
      </c>
      <c r="Q19" s="195">
        <v>13.7</v>
      </c>
      <c r="R19" s="195">
        <v>1.32</v>
      </c>
      <c r="S19"/>
      <c r="T19"/>
    </row>
    <row r="20" spans="1:20" x14ac:dyDescent="0.25">
      <c r="A20" s="195">
        <v>53.85</v>
      </c>
      <c r="B20" s="195">
        <v>0.57999999999999996</v>
      </c>
      <c r="C20" s="195">
        <v>33.35</v>
      </c>
      <c r="D20" s="8">
        <v>43063.75</v>
      </c>
      <c r="E20" s="195">
        <v>0.46</v>
      </c>
      <c r="F20" s="195" t="s">
        <v>583</v>
      </c>
      <c r="G20" s="195">
        <v>246.73</v>
      </c>
      <c r="H20" s="195">
        <v>0</v>
      </c>
      <c r="I20" s="195">
        <v>0</v>
      </c>
      <c r="J20" s="195">
        <v>1013</v>
      </c>
      <c r="K20" s="195" t="s">
        <v>584</v>
      </c>
      <c r="L20" s="195">
        <v>53.85</v>
      </c>
      <c r="M20" s="195">
        <v>1511571600</v>
      </c>
      <c r="N20" s="195">
        <v>0</v>
      </c>
      <c r="O20" s="195">
        <v>4.59</v>
      </c>
      <c r="P20" s="195">
        <v>115</v>
      </c>
      <c r="Q20" s="195">
        <v>6.42</v>
      </c>
      <c r="R20" s="195">
        <v>0.97</v>
      </c>
      <c r="S20"/>
      <c r="T20"/>
    </row>
    <row r="21" spans="1:20" x14ac:dyDescent="0.25">
      <c r="A21" s="195">
        <v>51.01</v>
      </c>
      <c r="B21" s="195">
        <v>0.24</v>
      </c>
      <c r="C21" s="195">
        <v>33.049999999999997</v>
      </c>
      <c r="D21" s="8">
        <v>43063.791666666664</v>
      </c>
      <c r="E21" s="195">
        <v>0.5</v>
      </c>
      <c r="F21" s="195" t="s">
        <v>471</v>
      </c>
      <c r="G21" s="195">
        <v>247.13</v>
      </c>
      <c r="H21" s="195">
        <v>0</v>
      </c>
      <c r="I21" s="195">
        <v>0</v>
      </c>
      <c r="J21" s="195">
        <v>1013.35</v>
      </c>
      <c r="K21" s="195" t="s">
        <v>470</v>
      </c>
      <c r="L21" s="195">
        <v>51.01</v>
      </c>
      <c r="M21" s="195">
        <v>1511575200</v>
      </c>
      <c r="N21" s="195">
        <v>0</v>
      </c>
      <c r="O21" s="195">
        <v>4.63</v>
      </c>
      <c r="P21" s="195">
        <v>133</v>
      </c>
      <c r="Q21" s="195">
        <v>4.47</v>
      </c>
      <c r="R21" s="195">
        <v>1.52</v>
      </c>
      <c r="S21"/>
      <c r="T21"/>
    </row>
    <row r="22" spans="1:20" x14ac:dyDescent="0.25">
      <c r="A22" s="195">
        <v>49.07</v>
      </c>
      <c r="B22" s="195">
        <v>7.0000000000000007E-2</v>
      </c>
      <c r="C22" s="195">
        <v>33.04</v>
      </c>
      <c r="D22" s="8">
        <v>43063.833333333336</v>
      </c>
      <c r="E22" s="195">
        <v>0.54</v>
      </c>
      <c r="F22" s="195" t="s">
        <v>471</v>
      </c>
      <c r="G22" s="195">
        <v>247.12</v>
      </c>
      <c r="H22" s="195">
        <v>0</v>
      </c>
      <c r="I22" s="195">
        <v>0</v>
      </c>
      <c r="J22" s="195">
        <v>1015.4</v>
      </c>
      <c r="K22" s="195" t="s">
        <v>470</v>
      </c>
      <c r="L22" s="195">
        <v>49.07</v>
      </c>
      <c r="M22" s="195">
        <v>1511578800</v>
      </c>
      <c r="N22" s="195">
        <v>0</v>
      </c>
      <c r="O22" s="195">
        <v>4.4400000000000004</v>
      </c>
      <c r="P22" s="195">
        <v>158</v>
      </c>
      <c r="Q22" s="195">
        <v>4.47</v>
      </c>
      <c r="R22" s="195">
        <v>1.99</v>
      </c>
      <c r="S22"/>
      <c r="T22"/>
    </row>
    <row r="23" spans="1:20" x14ac:dyDescent="0.25">
      <c r="A23" s="195">
        <v>46.37</v>
      </c>
      <c r="B23" s="195">
        <v>0.06</v>
      </c>
      <c r="C23" s="195">
        <v>32.700000000000003</v>
      </c>
      <c r="D23" s="8">
        <v>43063.875</v>
      </c>
      <c r="E23" s="195">
        <v>0.59</v>
      </c>
      <c r="F23" s="195" t="s">
        <v>471</v>
      </c>
      <c r="G23" s="195">
        <v>246.44</v>
      </c>
      <c r="H23" s="195">
        <v>0</v>
      </c>
      <c r="I23" s="195">
        <v>0</v>
      </c>
      <c r="J23" s="195">
        <v>1014.5</v>
      </c>
      <c r="K23" s="195" t="s">
        <v>470</v>
      </c>
      <c r="L23" s="195">
        <v>46.37</v>
      </c>
      <c r="M23" s="195">
        <v>1511582400</v>
      </c>
      <c r="N23" s="195">
        <v>0</v>
      </c>
      <c r="O23" s="195">
        <v>4.79</v>
      </c>
      <c r="P23" s="195">
        <v>139</v>
      </c>
      <c r="Q23" s="195">
        <v>3.65</v>
      </c>
      <c r="R23" s="195">
        <v>0.98</v>
      </c>
      <c r="S23"/>
      <c r="T23"/>
    </row>
    <row r="24" spans="1:20" x14ac:dyDescent="0.25">
      <c r="A24" s="195">
        <v>43.56</v>
      </c>
      <c r="B24" s="195">
        <v>0.02</v>
      </c>
      <c r="C24" s="195">
        <v>32.159999999999997</v>
      </c>
      <c r="D24" s="8">
        <v>43063.916666666664</v>
      </c>
      <c r="E24" s="195">
        <v>0.64</v>
      </c>
      <c r="F24" s="195" t="s">
        <v>471</v>
      </c>
      <c r="G24" s="195">
        <v>245.36</v>
      </c>
      <c r="H24" s="195">
        <v>0</v>
      </c>
      <c r="I24" s="195">
        <v>0</v>
      </c>
      <c r="J24" s="195">
        <v>1015.54</v>
      </c>
      <c r="K24" s="195" t="s">
        <v>470</v>
      </c>
      <c r="L24" s="195">
        <v>43.56</v>
      </c>
      <c r="M24" s="195">
        <v>1511586000</v>
      </c>
      <c r="N24" s="195">
        <v>0</v>
      </c>
      <c r="O24" s="195">
        <v>3.27</v>
      </c>
      <c r="P24" s="195">
        <v>108</v>
      </c>
      <c r="Q24" s="195">
        <v>3.27</v>
      </c>
      <c r="R24" s="195">
        <v>0.73</v>
      </c>
      <c r="S24"/>
      <c r="T24"/>
    </row>
    <row r="25" spans="1:20" x14ac:dyDescent="0.25">
      <c r="A25" s="195">
        <v>41.97</v>
      </c>
      <c r="B25" s="195">
        <v>0</v>
      </c>
      <c r="C25" s="195">
        <v>31.83</v>
      </c>
      <c r="D25" s="8">
        <v>43063.958333333336</v>
      </c>
      <c r="E25" s="195">
        <v>0.67</v>
      </c>
      <c r="F25" s="195" t="s">
        <v>471</v>
      </c>
      <c r="G25" s="195">
        <v>244.27</v>
      </c>
      <c r="H25" s="195">
        <v>0</v>
      </c>
      <c r="I25" s="195">
        <v>0</v>
      </c>
      <c r="J25" s="195">
        <v>1016.58</v>
      </c>
      <c r="K25" s="195" t="s">
        <v>470</v>
      </c>
      <c r="L25" s="195">
        <v>41.97</v>
      </c>
      <c r="M25" s="195">
        <v>1511589600</v>
      </c>
      <c r="N25" s="195">
        <v>0</v>
      </c>
      <c r="O25" s="195">
        <v>2.86</v>
      </c>
      <c r="P25" s="195">
        <v>96</v>
      </c>
      <c r="Q25" s="195">
        <v>3.12</v>
      </c>
      <c r="R25" s="195">
        <v>0.59</v>
      </c>
      <c r="S25"/>
      <c r="T25"/>
    </row>
    <row r="26" spans="1:20" x14ac:dyDescent="0.25">
      <c r="A26" s="195">
        <v>40.14</v>
      </c>
      <c r="B26" s="195">
        <v>0.01</v>
      </c>
      <c r="C26" s="195">
        <v>31.4</v>
      </c>
      <c r="D26" s="8">
        <v>43064</v>
      </c>
      <c r="E26" s="195">
        <v>0.71</v>
      </c>
      <c r="F26" s="195" t="s">
        <v>471</v>
      </c>
      <c r="G26" s="195">
        <v>243.03</v>
      </c>
      <c r="H26" s="195">
        <v>0</v>
      </c>
      <c r="I26" s="195">
        <v>0</v>
      </c>
      <c r="J26" s="195">
        <v>1015.71</v>
      </c>
      <c r="K26" s="195" t="s">
        <v>470</v>
      </c>
      <c r="L26" s="195">
        <v>40.14</v>
      </c>
      <c r="M26" s="195">
        <v>1511593200</v>
      </c>
      <c r="N26" s="195">
        <v>0</v>
      </c>
      <c r="O26" s="195">
        <v>3.52</v>
      </c>
      <c r="P26" s="195">
        <v>187</v>
      </c>
      <c r="Q26" s="195">
        <v>2.37</v>
      </c>
      <c r="R26" s="195">
        <v>0.31</v>
      </c>
      <c r="S26"/>
      <c r="T26"/>
    </row>
    <row r="27" spans="1:20" x14ac:dyDescent="0.25">
      <c r="A27" s="195">
        <v>38.82</v>
      </c>
      <c r="B27" s="195">
        <v>0.04</v>
      </c>
      <c r="C27" s="195">
        <v>31.37</v>
      </c>
      <c r="D27" s="8">
        <v>43064.041666666664</v>
      </c>
      <c r="E27" s="195">
        <v>0.74</v>
      </c>
      <c r="F27" s="195" t="s">
        <v>471</v>
      </c>
      <c r="G27" s="195">
        <v>241.64</v>
      </c>
      <c r="H27" s="195">
        <v>0</v>
      </c>
      <c r="I27" s="195">
        <v>0</v>
      </c>
      <c r="J27" s="195">
        <v>1016.28</v>
      </c>
      <c r="K27" s="195" t="s">
        <v>470</v>
      </c>
      <c r="L27" s="195">
        <v>38.82</v>
      </c>
      <c r="M27" s="195">
        <v>1511596800</v>
      </c>
      <c r="N27" s="195">
        <v>0</v>
      </c>
      <c r="O27" s="195">
        <v>3.16</v>
      </c>
      <c r="P27" s="195">
        <v>276</v>
      </c>
      <c r="Q27" s="195">
        <v>3.41</v>
      </c>
      <c r="R27" s="195">
        <v>0.8</v>
      </c>
      <c r="S27"/>
      <c r="T27"/>
    </row>
    <row r="28" spans="1:20" x14ac:dyDescent="0.25">
      <c r="A28" s="195">
        <v>38.409999999999997</v>
      </c>
      <c r="B28" s="195">
        <v>0.04</v>
      </c>
      <c r="C28" s="195">
        <v>31.24</v>
      </c>
      <c r="D28" s="8">
        <v>43064.083333333336</v>
      </c>
      <c r="E28" s="195">
        <v>0.75</v>
      </c>
      <c r="F28" s="195" t="s">
        <v>471</v>
      </c>
      <c r="G28" s="195">
        <v>240.95</v>
      </c>
      <c r="H28" s="195">
        <v>0</v>
      </c>
      <c r="I28" s="195">
        <v>0</v>
      </c>
      <c r="J28" s="195">
        <v>1017.69</v>
      </c>
      <c r="K28" s="195" t="s">
        <v>470</v>
      </c>
      <c r="L28" s="195">
        <v>38.409999999999997</v>
      </c>
      <c r="M28" s="195">
        <v>1511600400</v>
      </c>
      <c r="N28" s="195">
        <v>0</v>
      </c>
      <c r="O28" s="195">
        <v>3.52</v>
      </c>
      <c r="P28" s="195">
        <v>278</v>
      </c>
      <c r="Q28" s="195">
        <v>2.2200000000000002</v>
      </c>
      <c r="R28" s="195">
        <v>0.23</v>
      </c>
      <c r="S28"/>
      <c r="T28"/>
    </row>
    <row r="29" spans="1:20" x14ac:dyDescent="0.25">
      <c r="A29" s="195">
        <v>35.17</v>
      </c>
      <c r="B29" s="195">
        <v>0.28000000000000003</v>
      </c>
      <c r="C29" s="195">
        <v>30.48</v>
      </c>
      <c r="D29" s="8">
        <v>43064.125</v>
      </c>
      <c r="E29" s="195">
        <v>0.72</v>
      </c>
      <c r="F29" s="195" t="s">
        <v>583</v>
      </c>
      <c r="G29" s="195">
        <v>241.79</v>
      </c>
      <c r="H29" s="195">
        <v>0</v>
      </c>
      <c r="I29" s="195">
        <v>0</v>
      </c>
      <c r="J29" s="195">
        <v>1018.62</v>
      </c>
      <c r="K29" s="195" t="s">
        <v>584</v>
      </c>
      <c r="L29" s="195">
        <v>38.67</v>
      </c>
      <c r="M29" s="195">
        <v>1511604000</v>
      </c>
      <c r="N29" s="195">
        <v>0</v>
      </c>
      <c r="O29" s="195">
        <v>5.31</v>
      </c>
      <c r="P29" s="195">
        <v>104</v>
      </c>
      <c r="Q29" s="195">
        <v>2.4300000000000002</v>
      </c>
      <c r="R29" s="195">
        <v>4.68</v>
      </c>
      <c r="S29"/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43063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1114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1115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1116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1117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1118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1119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1120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1121</v>
      </c>
      <c r="J25" s="139" t="s">
        <v>144</v>
      </c>
      <c r="M25" s="153" t="b">
        <v>1</v>
      </c>
    </row>
    <row r="26" spans="3:24" x14ac:dyDescent="0.25">
      <c r="C26" t="s">
        <v>1122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%USERPROFILE%\Documents\GitHub\eaglep3-reporting\EC\2017-11-24-refined-times.txt</v>
      </c>
    </row>
    <row r="27" spans="3:24" x14ac:dyDescent="0.25">
      <c r="C27" t="s">
        <v>1123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%USERPROFILE%\Documents\GitHub\eaglep3-reporting\EC\2017-11-24-Enforcements.txt</v>
      </c>
    </row>
    <row r="28" spans="3:24" x14ac:dyDescent="0.25">
      <c r="C28" t="s">
        <v>1124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%USERPROFILE%\Documents\GitHub\eaglep3-reporting\EC\2017-11-24-Runs-refined.txt</v>
      </c>
    </row>
    <row r="29" spans="3:24" x14ac:dyDescent="0.25">
      <c r="C29" t="s">
        <v>1125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%USERPROFILE%\Documents\GitHub\eaglep3-reporting\EC\2017-11-24-Trips.txt</v>
      </c>
    </row>
    <row r="30" spans="3:24" x14ac:dyDescent="0.25">
      <c r="C30" t="s">
        <v>1126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%USERPROFILE%\Documents\GitHub\eaglep3-reporting\EC\2017-11-24-Weather.txt</v>
      </c>
    </row>
    <row r="31" spans="3:24" x14ac:dyDescent="0.25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354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2017-11-27T15:09:38Z</dcterms:modified>
</cp:coreProperties>
</file>