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Runs'!$A$12:$J$69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" i="9" l="1"/>
  <c r="C56" i="9"/>
  <c r="B57" i="9"/>
  <c r="C58" i="9" s="1"/>
  <c r="B58" i="9"/>
  <c r="B59" i="9"/>
  <c r="C60" i="9" s="1"/>
  <c r="B60" i="9"/>
  <c r="B61" i="9"/>
  <c r="C62" i="9" s="1"/>
  <c r="B62" i="9"/>
  <c r="B63" i="9"/>
  <c r="C64" i="9" s="1"/>
  <c r="B64" i="9"/>
  <c r="B65" i="9"/>
  <c r="C66" i="9" s="1"/>
  <c r="B66" i="9"/>
  <c r="B67" i="9"/>
  <c r="C68" i="9" s="1"/>
  <c r="B68" i="9"/>
  <c r="B69" i="9"/>
  <c r="C70" i="9" s="1"/>
  <c r="B70" i="9"/>
  <c r="B71" i="9"/>
  <c r="C72" i="9" s="1"/>
  <c r="B72" i="9"/>
  <c r="B73" i="9"/>
  <c r="C74" i="9" s="1"/>
  <c r="B74" i="9"/>
  <c r="B75" i="9"/>
  <c r="C76" i="9" s="1"/>
  <c r="B76" i="9"/>
  <c r="B77" i="9"/>
  <c r="C78" i="9" s="1"/>
  <c r="B78" i="9"/>
  <c r="B79" i="9"/>
  <c r="C80" i="9" s="1"/>
  <c r="B80" i="9"/>
  <c r="B81" i="9"/>
  <c r="C82" i="9" s="1"/>
  <c r="B82" i="9"/>
  <c r="B83" i="9"/>
  <c r="C84" i="9" s="1"/>
  <c r="B84" i="9"/>
  <c r="B85" i="9"/>
  <c r="C85" i="9" s="1"/>
  <c r="R16" i="3"/>
  <c r="X130" i="1"/>
  <c r="X131" i="1"/>
  <c r="X132" i="1"/>
  <c r="X133" i="1"/>
  <c r="X134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Y31" i="1"/>
  <c r="Z31" i="1"/>
  <c r="Y32" i="1"/>
  <c r="Z32" i="1"/>
  <c r="Y33" i="1"/>
  <c r="Z33" i="1"/>
  <c r="Y34" i="1"/>
  <c r="Z34" i="1"/>
  <c r="Y35" i="1"/>
  <c r="Z35" i="1"/>
  <c r="Y36" i="1"/>
  <c r="Z36" i="1"/>
  <c r="Y37" i="1"/>
  <c r="Z37" i="1"/>
  <c r="Y38" i="1"/>
  <c r="Z38" i="1"/>
  <c r="Y39" i="1"/>
  <c r="Z39" i="1"/>
  <c r="Y40" i="1"/>
  <c r="Z40" i="1"/>
  <c r="Y41" i="1"/>
  <c r="Z41" i="1"/>
  <c r="Y42" i="1"/>
  <c r="Z42" i="1"/>
  <c r="Y43" i="1"/>
  <c r="Z43" i="1"/>
  <c r="Y44" i="1"/>
  <c r="Z44" i="1"/>
  <c r="Y45" i="1"/>
  <c r="Z45" i="1"/>
  <c r="Y46" i="1"/>
  <c r="Z46" i="1"/>
  <c r="Y47" i="1"/>
  <c r="Z47" i="1"/>
  <c r="Y48" i="1"/>
  <c r="Z48" i="1"/>
  <c r="Y49" i="1"/>
  <c r="Z49" i="1"/>
  <c r="Y50" i="1"/>
  <c r="Z50" i="1"/>
  <c r="Y51" i="1"/>
  <c r="Z51" i="1"/>
  <c r="Y52" i="1"/>
  <c r="Z52" i="1"/>
  <c r="Y53" i="1"/>
  <c r="Z53" i="1"/>
  <c r="Y54" i="1"/>
  <c r="Z54" i="1"/>
  <c r="Y55" i="1"/>
  <c r="Z55" i="1"/>
  <c r="Y56" i="1"/>
  <c r="Z56" i="1"/>
  <c r="Y57" i="1"/>
  <c r="Z57" i="1"/>
  <c r="Y58" i="1"/>
  <c r="Z58" i="1"/>
  <c r="Y59" i="1"/>
  <c r="Z59" i="1"/>
  <c r="Y60" i="1"/>
  <c r="Z60" i="1"/>
  <c r="Y61" i="1"/>
  <c r="Z61" i="1"/>
  <c r="Y62" i="1"/>
  <c r="Z62" i="1"/>
  <c r="Y63" i="1"/>
  <c r="Z63" i="1"/>
  <c r="Y64" i="1"/>
  <c r="Z64" i="1"/>
  <c r="Y65" i="1"/>
  <c r="Z65" i="1"/>
  <c r="Y66" i="1"/>
  <c r="Z66" i="1"/>
  <c r="Y67" i="1"/>
  <c r="Z67" i="1"/>
  <c r="Y68" i="1"/>
  <c r="Z68" i="1"/>
  <c r="Y69" i="1"/>
  <c r="Z69" i="1"/>
  <c r="Y70" i="1"/>
  <c r="Z70" i="1"/>
  <c r="Y71" i="1"/>
  <c r="Z71" i="1"/>
  <c r="Y72" i="1"/>
  <c r="Z72" i="1"/>
  <c r="Y73" i="1"/>
  <c r="Z73" i="1"/>
  <c r="Y74" i="1"/>
  <c r="Z74" i="1"/>
  <c r="Y75" i="1"/>
  <c r="Z75" i="1"/>
  <c r="Y76" i="1"/>
  <c r="Z76" i="1"/>
  <c r="Y77" i="1"/>
  <c r="Z77" i="1"/>
  <c r="Y78" i="1"/>
  <c r="Z78" i="1"/>
  <c r="Y79" i="1"/>
  <c r="Z79" i="1"/>
  <c r="Y80" i="1"/>
  <c r="Z80" i="1"/>
  <c r="Y81" i="1"/>
  <c r="Z81" i="1"/>
  <c r="Y82" i="1"/>
  <c r="Z82" i="1"/>
  <c r="Y83" i="1"/>
  <c r="Z83" i="1"/>
  <c r="Y84" i="1"/>
  <c r="Z84" i="1"/>
  <c r="Y85" i="1"/>
  <c r="Z85" i="1"/>
  <c r="Y86" i="1"/>
  <c r="Z86" i="1"/>
  <c r="Y87" i="1"/>
  <c r="Z87" i="1"/>
  <c r="Y88" i="1"/>
  <c r="Z88" i="1"/>
  <c r="Y89" i="1"/>
  <c r="Z89" i="1"/>
  <c r="Y90" i="1"/>
  <c r="Z90" i="1"/>
  <c r="Y91" i="1"/>
  <c r="Z91" i="1"/>
  <c r="Y92" i="1"/>
  <c r="Z92" i="1"/>
  <c r="Y93" i="1"/>
  <c r="Z93" i="1"/>
  <c r="Y94" i="1"/>
  <c r="Z94" i="1"/>
  <c r="Y95" i="1"/>
  <c r="Z95" i="1"/>
  <c r="Y96" i="1"/>
  <c r="Z96" i="1"/>
  <c r="Y97" i="1"/>
  <c r="Z97" i="1"/>
  <c r="Y98" i="1"/>
  <c r="Z98" i="1"/>
  <c r="Y99" i="1"/>
  <c r="Z99" i="1"/>
  <c r="Y100" i="1"/>
  <c r="Z100" i="1"/>
  <c r="Y101" i="1"/>
  <c r="Z101" i="1"/>
  <c r="Y102" i="1"/>
  <c r="Z102" i="1"/>
  <c r="Y103" i="1"/>
  <c r="Z103" i="1"/>
  <c r="Y104" i="1"/>
  <c r="Z104" i="1"/>
  <c r="Y105" i="1"/>
  <c r="Z105" i="1"/>
  <c r="Y106" i="1"/>
  <c r="Z106" i="1"/>
  <c r="Y107" i="1"/>
  <c r="Z107" i="1"/>
  <c r="Y108" i="1"/>
  <c r="Z108" i="1"/>
  <c r="Y109" i="1"/>
  <c r="Z109" i="1"/>
  <c r="Y110" i="1"/>
  <c r="Z110" i="1"/>
  <c r="Y111" i="1"/>
  <c r="Z111" i="1"/>
  <c r="Y112" i="1"/>
  <c r="Z112" i="1"/>
  <c r="Y113" i="1"/>
  <c r="Z113" i="1"/>
  <c r="Y114" i="1"/>
  <c r="Z114" i="1"/>
  <c r="Y115" i="1"/>
  <c r="Z115" i="1"/>
  <c r="Y116" i="1"/>
  <c r="Z116" i="1"/>
  <c r="Y117" i="1"/>
  <c r="Z117" i="1"/>
  <c r="Y118" i="1"/>
  <c r="Z118" i="1"/>
  <c r="Y119" i="1"/>
  <c r="Z119" i="1"/>
  <c r="Y120" i="1"/>
  <c r="Z120" i="1"/>
  <c r="Y121" i="1"/>
  <c r="Z121" i="1"/>
  <c r="Y122" i="1"/>
  <c r="Z122" i="1"/>
  <c r="Y123" i="1"/>
  <c r="Z123" i="1"/>
  <c r="Y124" i="1"/>
  <c r="Z124" i="1"/>
  <c r="Y125" i="1"/>
  <c r="Z125" i="1"/>
  <c r="Y126" i="1"/>
  <c r="Z126" i="1"/>
  <c r="Y127" i="1"/>
  <c r="Z127" i="1"/>
  <c r="Y128" i="1"/>
  <c r="Z128" i="1"/>
  <c r="Y129" i="1"/>
  <c r="Z129" i="1"/>
  <c r="Y130" i="1"/>
  <c r="Z130" i="1"/>
  <c r="Y131" i="1"/>
  <c r="Z131" i="1"/>
  <c r="Y132" i="1"/>
  <c r="Z132" i="1"/>
  <c r="Y133" i="1"/>
  <c r="Z133" i="1"/>
  <c r="Y134" i="1"/>
  <c r="Z134" i="1"/>
  <c r="Y135" i="1"/>
  <c r="Z135" i="1"/>
  <c r="Y136" i="1"/>
  <c r="Z136" i="1"/>
  <c r="Y137" i="1"/>
  <c r="Z137" i="1"/>
  <c r="Y138" i="1"/>
  <c r="Z138" i="1"/>
  <c r="Y139" i="1"/>
  <c r="Z139" i="1"/>
  <c r="Y140" i="1"/>
  <c r="Z140" i="1"/>
  <c r="Y141" i="1"/>
  <c r="Z141" i="1"/>
  <c r="Y142" i="1"/>
  <c r="Z142" i="1"/>
  <c r="Y143" i="1"/>
  <c r="Z143" i="1"/>
  <c r="Y144" i="1"/>
  <c r="Z144" i="1"/>
  <c r="Y145" i="1"/>
  <c r="Z145" i="1"/>
  <c r="Y146" i="1"/>
  <c r="Z146" i="1"/>
  <c r="Y147" i="1"/>
  <c r="Z147" i="1"/>
  <c r="Y148" i="1"/>
  <c r="Z148" i="1"/>
  <c r="Y149" i="1"/>
  <c r="Z149" i="1"/>
  <c r="Y150" i="1"/>
  <c r="Z150" i="1"/>
  <c r="Y151" i="1"/>
  <c r="Z151" i="1"/>
  <c r="Y152" i="1"/>
  <c r="Z152" i="1"/>
  <c r="Y153" i="1"/>
  <c r="Z153" i="1"/>
  <c r="Y154" i="1"/>
  <c r="Z154" i="1"/>
  <c r="Y155" i="1"/>
  <c r="Z155" i="1"/>
  <c r="Y156" i="1"/>
  <c r="Z156" i="1"/>
  <c r="Y157" i="1"/>
  <c r="Z157" i="1"/>
  <c r="Y158" i="1"/>
  <c r="Z158" i="1"/>
  <c r="Y159" i="1"/>
  <c r="Z159" i="1"/>
  <c r="Y160" i="1"/>
  <c r="Z160" i="1"/>
  <c r="Y161" i="1"/>
  <c r="Z161" i="1"/>
  <c r="Y162" i="1"/>
  <c r="Z162" i="1"/>
  <c r="Y163" i="1"/>
  <c r="Z163" i="1"/>
  <c r="Y164" i="1"/>
  <c r="Z164" i="1"/>
  <c r="Y165" i="1"/>
  <c r="Z165" i="1"/>
  <c r="Y166" i="1"/>
  <c r="Z166" i="1"/>
  <c r="Y167" i="1"/>
  <c r="Z167" i="1"/>
  <c r="Y168" i="1"/>
  <c r="Z168" i="1"/>
  <c r="Y169" i="1"/>
  <c r="Z169" i="1"/>
  <c r="Y170" i="1"/>
  <c r="Z170" i="1"/>
  <c r="Y171" i="1"/>
  <c r="Z171" i="1"/>
  <c r="Y172" i="1"/>
  <c r="Z172" i="1"/>
  <c r="Y173" i="1"/>
  <c r="Z173" i="1"/>
  <c r="Y174" i="1"/>
  <c r="Z174" i="1"/>
  <c r="Y175" i="1"/>
  <c r="Z175" i="1"/>
  <c r="Y176" i="1"/>
  <c r="Z176" i="1"/>
  <c r="Y177" i="1"/>
  <c r="Z177" i="1"/>
  <c r="Y178" i="1"/>
  <c r="Z178" i="1"/>
  <c r="Y179" i="1"/>
  <c r="Z179" i="1"/>
  <c r="Y180" i="1"/>
  <c r="Z180" i="1"/>
  <c r="Y181" i="1"/>
  <c r="Z181" i="1"/>
  <c r="Y182" i="1"/>
  <c r="Z182" i="1"/>
  <c r="Y183" i="1"/>
  <c r="Z183" i="1"/>
  <c r="Y184" i="1"/>
  <c r="Z184" i="1"/>
  <c r="Y185" i="1"/>
  <c r="Z185" i="1"/>
  <c r="Y186" i="1"/>
  <c r="Z186" i="1"/>
  <c r="Y187" i="1"/>
  <c r="Z187" i="1"/>
  <c r="Y188" i="1"/>
  <c r="Z188" i="1"/>
  <c r="Y189" i="1"/>
  <c r="Z189" i="1"/>
  <c r="Y190" i="1"/>
  <c r="Z190" i="1"/>
  <c r="Y191" i="1"/>
  <c r="Z191" i="1"/>
  <c r="Y192" i="1"/>
  <c r="Z192" i="1"/>
  <c r="Y193" i="1"/>
  <c r="Z193" i="1"/>
  <c r="Y194" i="1"/>
  <c r="Z194" i="1"/>
  <c r="Y195" i="1"/>
  <c r="Z195" i="1"/>
  <c r="Y196" i="1"/>
  <c r="Z196" i="1"/>
  <c r="Y197" i="1"/>
  <c r="Z197" i="1"/>
  <c r="Y198" i="1"/>
  <c r="Z198" i="1"/>
  <c r="Y199" i="1"/>
  <c r="Z199" i="1"/>
  <c r="Y200" i="1"/>
  <c r="Z200" i="1"/>
  <c r="Y201" i="1"/>
  <c r="Z201" i="1"/>
  <c r="Y202" i="1"/>
  <c r="Z202" i="1"/>
  <c r="Y203" i="1"/>
  <c r="Z203" i="1"/>
  <c r="Y204" i="1"/>
  <c r="Z204" i="1"/>
  <c r="Y205" i="1"/>
  <c r="Z205" i="1"/>
  <c r="Y206" i="1"/>
  <c r="Z206" i="1"/>
  <c r="Y207" i="1"/>
  <c r="Z207" i="1"/>
  <c r="Y208" i="1"/>
  <c r="Z208" i="1"/>
  <c r="Y209" i="1"/>
  <c r="Z209" i="1"/>
  <c r="Y210" i="1"/>
  <c r="Z210" i="1"/>
  <c r="Y211" i="1"/>
  <c r="Z211" i="1"/>
  <c r="Y212" i="1"/>
  <c r="Z212" i="1"/>
  <c r="Y213" i="1"/>
  <c r="Z213" i="1"/>
  <c r="Y214" i="1"/>
  <c r="Z214" i="1"/>
  <c r="Y215" i="1"/>
  <c r="Z215" i="1"/>
  <c r="Y216" i="1"/>
  <c r="Z216" i="1"/>
  <c r="Y217" i="1"/>
  <c r="Z217" i="1"/>
  <c r="Y218" i="1"/>
  <c r="Z218" i="1"/>
  <c r="Y219" i="1"/>
  <c r="Z219" i="1"/>
  <c r="Y220" i="1"/>
  <c r="Z220" i="1"/>
  <c r="Y221" i="1"/>
  <c r="Z221" i="1"/>
  <c r="Y222" i="1"/>
  <c r="Z222" i="1"/>
  <c r="Y223" i="1"/>
  <c r="Z223" i="1"/>
  <c r="Y224" i="1"/>
  <c r="Z224" i="1"/>
  <c r="Y225" i="1"/>
  <c r="Z225" i="1"/>
  <c r="Y226" i="1"/>
  <c r="Z226" i="1"/>
  <c r="Y227" i="1"/>
  <c r="Z227" i="1"/>
  <c r="Y228" i="1"/>
  <c r="Z228" i="1"/>
  <c r="Y229" i="1"/>
  <c r="Z229" i="1"/>
  <c r="Y230" i="1"/>
  <c r="Z230" i="1"/>
  <c r="Y231" i="1"/>
  <c r="Z231" i="1"/>
  <c r="Y232" i="1"/>
  <c r="Z232" i="1"/>
  <c r="Y233" i="1"/>
  <c r="Z233" i="1"/>
  <c r="Y234" i="1"/>
  <c r="Z234" i="1"/>
  <c r="Y235" i="1"/>
  <c r="Z235" i="1"/>
  <c r="Y236" i="1"/>
  <c r="Z236" i="1"/>
  <c r="Z13" i="1"/>
  <c r="Y13" i="1"/>
  <c r="C83" i="9" l="1"/>
  <c r="C81" i="9"/>
  <c r="C79" i="9"/>
  <c r="C77" i="9"/>
  <c r="C75" i="9"/>
  <c r="C73" i="9"/>
  <c r="C71" i="9"/>
  <c r="C69" i="9"/>
  <c r="C67" i="9"/>
  <c r="C65" i="9"/>
  <c r="C63" i="9"/>
  <c r="C61" i="9"/>
  <c r="C59" i="9"/>
  <c r="C57" i="9"/>
  <c r="K14" i="1"/>
  <c r="L14" i="1"/>
  <c r="M14" i="1"/>
  <c r="N14" i="1" s="1"/>
  <c r="V14" i="1"/>
  <c r="AA14" i="1"/>
  <c r="AB14" i="1"/>
  <c r="AC14" i="1"/>
  <c r="AD14" i="1"/>
  <c r="T14" i="1" s="1"/>
  <c r="AE14" i="1"/>
  <c r="AF14" i="1"/>
  <c r="AH14" i="1"/>
  <c r="AM14" i="1"/>
  <c r="K15" i="1"/>
  <c r="L15" i="1"/>
  <c r="M15" i="1"/>
  <c r="N15" i="1" s="1"/>
  <c r="V15" i="1"/>
  <c r="AA15" i="1"/>
  <c r="AB15" i="1"/>
  <c r="AC15" i="1"/>
  <c r="AD15" i="1"/>
  <c r="AG15" i="1" s="1"/>
  <c r="AE15" i="1"/>
  <c r="AF15" i="1"/>
  <c r="AH15" i="1"/>
  <c r="AI15" i="1"/>
  <c r="AM15" i="1"/>
  <c r="K16" i="1"/>
  <c r="L16" i="1"/>
  <c r="M16" i="1"/>
  <c r="N16" i="1" s="1"/>
  <c r="V16" i="1"/>
  <c r="AA16" i="1"/>
  <c r="AB16" i="1"/>
  <c r="AC16" i="1"/>
  <c r="AD16" i="1"/>
  <c r="AE16" i="1"/>
  <c r="AF16" i="1"/>
  <c r="AH16" i="1"/>
  <c r="AM16" i="1"/>
  <c r="K17" i="1"/>
  <c r="L17" i="1"/>
  <c r="M17" i="1"/>
  <c r="N17" i="1" s="1"/>
  <c r="V17" i="1"/>
  <c r="AA17" i="1"/>
  <c r="AB17" i="1"/>
  <c r="AC17" i="1"/>
  <c r="AD17" i="1"/>
  <c r="AG17" i="1" s="1"/>
  <c r="AE17" i="1"/>
  <c r="AF17" i="1"/>
  <c r="AH17" i="1"/>
  <c r="AI17" i="1"/>
  <c r="AM17" i="1"/>
  <c r="K18" i="1"/>
  <c r="L18" i="1"/>
  <c r="M18" i="1"/>
  <c r="N18" i="1" s="1"/>
  <c r="V18" i="1"/>
  <c r="AA18" i="1"/>
  <c r="AB18" i="1"/>
  <c r="AC18" i="1"/>
  <c r="AD18" i="1"/>
  <c r="AG18" i="1" s="1"/>
  <c r="AE18" i="1"/>
  <c r="AF18" i="1"/>
  <c r="AH18" i="1"/>
  <c r="AI18" i="1"/>
  <c r="AM18" i="1"/>
  <c r="K19" i="1"/>
  <c r="L19" i="1"/>
  <c r="M19" i="1"/>
  <c r="N19" i="1" s="1"/>
  <c r="V19" i="1"/>
  <c r="AA19" i="1"/>
  <c r="AB19" i="1"/>
  <c r="AC19" i="1"/>
  <c r="AD19" i="1"/>
  <c r="AG19" i="1" s="1"/>
  <c r="AE19" i="1"/>
  <c r="AF19" i="1"/>
  <c r="AH19" i="1"/>
  <c r="AI19" i="1"/>
  <c r="AM19" i="1"/>
  <c r="K20" i="1"/>
  <c r="L20" i="1"/>
  <c r="M20" i="1"/>
  <c r="N20" i="1" s="1"/>
  <c r="V20" i="1"/>
  <c r="AA20" i="1"/>
  <c r="AB20" i="1"/>
  <c r="AC20" i="1"/>
  <c r="AD20" i="1"/>
  <c r="AE20" i="1"/>
  <c r="AF20" i="1"/>
  <c r="AH20" i="1"/>
  <c r="AM20" i="1"/>
  <c r="K21" i="1"/>
  <c r="L21" i="1"/>
  <c r="M21" i="1"/>
  <c r="P21" i="1" s="1"/>
  <c r="V21" i="1"/>
  <c r="AA21" i="1"/>
  <c r="AB21" i="1"/>
  <c r="AC21" i="1"/>
  <c r="AD21" i="1"/>
  <c r="AG21" i="1" s="1"/>
  <c r="AE21" i="1"/>
  <c r="AF21" i="1"/>
  <c r="AH21" i="1"/>
  <c r="AI21" i="1"/>
  <c r="AM21" i="1"/>
  <c r="K22" i="1"/>
  <c r="L22" i="1"/>
  <c r="M22" i="1"/>
  <c r="T22" i="1"/>
  <c r="V22" i="1"/>
  <c r="AA22" i="1"/>
  <c r="AB22" i="1"/>
  <c r="AC22" i="1"/>
  <c r="AD22" i="1"/>
  <c r="AG22" i="1" s="1"/>
  <c r="AE22" i="1"/>
  <c r="AF22" i="1"/>
  <c r="AH22" i="1"/>
  <c r="AI22" i="1"/>
  <c r="AM22" i="1"/>
  <c r="K23" i="1"/>
  <c r="L23" i="1"/>
  <c r="M23" i="1"/>
  <c r="N23" i="1"/>
  <c r="V23" i="1"/>
  <c r="AA23" i="1"/>
  <c r="AB23" i="1"/>
  <c r="AC23" i="1"/>
  <c r="AD23" i="1"/>
  <c r="AG23" i="1" s="1"/>
  <c r="AE23" i="1"/>
  <c r="AF23" i="1"/>
  <c r="AH23" i="1"/>
  <c r="AI23" i="1"/>
  <c r="AM23" i="1"/>
  <c r="K24" i="1"/>
  <c r="L24" i="1"/>
  <c r="M24" i="1"/>
  <c r="N24" i="1" s="1"/>
  <c r="V24" i="1"/>
  <c r="AA24" i="1"/>
  <c r="AB24" i="1"/>
  <c r="AC24" i="1"/>
  <c r="AD24" i="1"/>
  <c r="AE24" i="1"/>
  <c r="AF24" i="1"/>
  <c r="AH24" i="1"/>
  <c r="AM24" i="1"/>
  <c r="K25" i="1"/>
  <c r="L25" i="1"/>
  <c r="M25" i="1"/>
  <c r="N25" i="1" s="1"/>
  <c r="V25" i="1"/>
  <c r="AA25" i="1"/>
  <c r="W25" i="1" s="1"/>
  <c r="AB25" i="1"/>
  <c r="AC25" i="1"/>
  <c r="AD25" i="1"/>
  <c r="AG25" i="1" s="1"/>
  <c r="AE25" i="1"/>
  <c r="AF25" i="1"/>
  <c r="AH25" i="1"/>
  <c r="AI25" i="1"/>
  <c r="AM25" i="1"/>
  <c r="K26" i="1"/>
  <c r="L26" i="1"/>
  <c r="M26" i="1"/>
  <c r="N26" i="1"/>
  <c r="V26" i="1"/>
  <c r="AA26" i="1"/>
  <c r="AB26" i="1"/>
  <c r="AC26" i="1"/>
  <c r="AD26" i="1"/>
  <c r="AG26" i="1" s="1"/>
  <c r="AE26" i="1"/>
  <c r="AF26" i="1"/>
  <c r="AH26" i="1"/>
  <c r="AI26" i="1"/>
  <c r="AM26" i="1"/>
  <c r="K27" i="1"/>
  <c r="L27" i="1"/>
  <c r="M27" i="1"/>
  <c r="N27" i="1" s="1"/>
  <c r="V27" i="1"/>
  <c r="AA27" i="1"/>
  <c r="AB27" i="1"/>
  <c r="AC27" i="1"/>
  <c r="AD27" i="1"/>
  <c r="AG27" i="1" s="1"/>
  <c r="AE27" i="1"/>
  <c r="AF27" i="1"/>
  <c r="AH27" i="1"/>
  <c r="AI27" i="1"/>
  <c r="AM27" i="1"/>
  <c r="K28" i="1"/>
  <c r="L28" i="1"/>
  <c r="M28" i="1"/>
  <c r="N28" i="1" s="1"/>
  <c r="V28" i="1"/>
  <c r="AA28" i="1"/>
  <c r="AB28" i="1"/>
  <c r="AC28" i="1"/>
  <c r="AD28" i="1"/>
  <c r="AE28" i="1"/>
  <c r="AF28" i="1"/>
  <c r="AH28" i="1"/>
  <c r="AM28" i="1"/>
  <c r="K29" i="1"/>
  <c r="L29" i="1"/>
  <c r="M29" i="1"/>
  <c r="N29" i="1" s="1"/>
  <c r="V29" i="1"/>
  <c r="AA29" i="1"/>
  <c r="AB29" i="1"/>
  <c r="AC29" i="1"/>
  <c r="AD29" i="1"/>
  <c r="AG29" i="1" s="1"/>
  <c r="AE29" i="1"/>
  <c r="AF29" i="1"/>
  <c r="AH29" i="1"/>
  <c r="AI29" i="1"/>
  <c r="AM29" i="1"/>
  <c r="K30" i="1"/>
  <c r="L30" i="1"/>
  <c r="M30" i="1"/>
  <c r="N30" i="1" s="1"/>
  <c r="V30" i="1"/>
  <c r="AA30" i="1"/>
  <c r="AB30" i="1"/>
  <c r="AC30" i="1"/>
  <c r="AD30" i="1"/>
  <c r="AG30" i="1" s="1"/>
  <c r="AE30" i="1"/>
  <c r="AF30" i="1"/>
  <c r="AH30" i="1"/>
  <c r="AI30" i="1"/>
  <c r="AM30" i="1"/>
  <c r="K31" i="1"/>
  <c r="L31" i="1"/>
  <c r="M31" i="1"/>
  <c r="N31" i="1" s="1"/>
  <c r="V31" i="1"/>
  <c r="AA31" i="1"/>
  <c r="AB31" i="1"/>
  <c r="AC31" i="1"/>
  <c r="AD31" i="1"/>
  <c r="AG31" i="1" s="1"/>
  <c r="AE31" i="1"/>
  <c r="AF31" i="1"/>
  <c r="AH31" i="1"/>
  <c r="AI31" i="1"/>
  <c r="AM31" i="1"/>
  <c r="K32" i="1"/>
  <c r="L32" i="1"/>
  <c r="M32" i="1"/>
  <c r="N32" i="1" s="1"/>
  <c r="V32" i="1"/>
  <c r="AA32" i="1"/>
  <c r="AB32" i="1"/>
  <c r="AC32" i="1"/>
  <c r="AD32" i="1"/>
  <c r="AE32" i="1"/>
  <c r="AF32" i="1"/>
  <c r="AH32" i="1"/>
  <c r="AM32" i="1"/>
  <c r="K33" i="1"/>
  <c r="L33" i="1"/>
  <c r="M33" i="1"/>
  <c r="N33" i="1" s="1"/>
  <c r="V33" i="1"/>
  <c r="AA33" i="1"/>
  <c r="AB33" i="1"/>
  <c r="AC33" i="1"/>
  <c r="AD33" i="1"/>
  <c r="AG33" i="1" s="1"/>
  <c r="AE33" i="1"/>
  <c r="AF33" i="1"/>
  <c r="AH33" i="1"/>
  <c r="AI33" i="1"/>
  <c r="AM33" i="1"/>
  <c r="K34" i="1"/>
  <c r="L34" i="1"/>
  <c r="M34" i="1"/>
  <c r="N34" i="1" s="1"/>
  <c r="V34" i="1"/>
  <c r="AA34" i="1"/>
  <c r="AB34" i="1"/>
  <c r="AC34" i="1"/>
  <c r="AD34" i="1"/>
  <c r="AG34" i="1" s="1"/>
  <c r="AE34" i="1"/>
  <c r="AF34" i="1"/>
  <c r="AH34" i="1"/>
  <c r="AI34" i="1"/>
  <c r="AM34" i="1"/>
  <c r="K35" i="1"/>
  <c r="L35" i="1"/>
  <c r="M35" i="1"/>
  <c r="N35" i="1" s="1"/>
  <c r="V35" i="1"/>
  <c r="AA35" i="1"/>
  <c r="AB35" i="1"/>
  <c r="AC35" i="1"/>
  <c r="AD35" i="1"/>
  <c r="AG35" i="1" s="1"/>
  <c r="AE35" i="1"/>
  <c r="AF35" i="1"/>
  <c r="AH35" i="1"/>
  <c r="AI35" i="1"/>
  <c r="AM35" i="1"/>
  <c r="K36" i="1"/>
  <c r="L36" i="1"/>
  <c r="M36" i="1"/>
  <c r="N36" i="1" s="1"/>
  <c r="V36" i="1"/>
  <c r="AA36" i="1"/>
  <c r="AB36" i="1"/>
  <c r="AC36" i="1"/>
  <c r="AD36" i="1"/>
  <c r="AE36" i="1"/>
  <c r="AF36" i="1"/>
  <c r="AH36" i="1"/>
  <c r="AM36" i="1"/>
  <c r="K37" i="1"/>
  <c r="L37" i="1"/>
  <c r="M37" i="1"/>
  <c r="N37" i="1" s="1"/>
  <c r="V37" i="1"/>
  <c r="AA37" i="1"/>
  <c r="AB37" i="1"/>
  <c r="AC37" i="1"/>
  <c r="AD37" i="1"/>
  <c r="AG37" i="1" s="1"/>
  <c r="AE37" i="1"/>
  <c r="AF37" i="1"/>
  <c r="AH37" i="1"/>
  <c r="AI37" i="1"/>
  <c r="AM37" i="1"/>
  <c r="K38" i="1"/>
  <c r="L38" i="1"/>
  <c r="M38" i="1"/>
  <c r="N38" i="1" s="1"/>
  <c r="V38" i="1"/>
  <c r="AA38" i="1"/>
  <c r="AB38" i="1"/>
  <c r="AC38" i="1"/>
  <c r="AD38" i="1"/>
  <c r="AG38" i="1" s="1"/>
  <c r="AE38" i="1"/>
  <c r="AF38" i="1"/>
  <c r="AH38" i="1"/>
  <c r="AI38" i="1"/>
  <c r="AM38" i="1"/>
  <c r="K39" i="1"/>
  <c r="L39" i="1"/>
  <c r="M39" i="1"/>
  <c r="N39" i="1" s="1"/>
  <c r="V39" i="1"/>
  <c r="AA39" i="1"/>
  <c r="AB39" i="1"/>
  <c r="AC39" i="1"/>
  <c r="AD39" i="1"/>
  <c r="AG39" i="1" s="1"/>
  <c r="AE39" i="1"/>
  <c r="AF39" i="1"/>
  <c r="AH39" i="1"/>
  <c r="AI39" i="1"/>
  <c r="AM39" i="1"/>
  <c r="K40" i="1"/>
  <c r="L40" i="1"/>
  <c r="M40" i="1"/>
  <c r="N40" i="1" s="1"/>
  <c r="V40" i="1"/>
  <c r="AA40" i="1"/>
  <c r="AB40" i="1"/>
  <c r="AC40" i="1"/>
  <c r="AD40" i="1"/>
  <c r="AE40" i="1"/>
  <c r="AF40" i="1"/>
  <c r="AH40" i="1"/>
  <c r="AM40" i="1"/>
  <c r="K41" i="1"/>
  <c r="L41" i="1"/>
  <c r="M41" i="1"/>
  <c r="N41" i="1" s="1"/>
  <c r="V41" i="1"/>
  <c r="AA41" i="1"/>
  <c r="W41" i="1" s="1"/>
  <c r="AB41" i="1"/>
  <c r="AC41" i="1"/>
  <c r="AD41" i="1"/>
  <c r="AG41" i="1" s="1"/>
  <c r="AE41" i="1"/>
  <c r="AF41" i="1"/>
  <c r="AH41" i="1"/>
  <c r="AI41" i="1"/>
  <c r="AM41" i="1"/>
  <c r="K42" i="1"/>
  <c r="L42" i="1"/>
  <c r="M42" i="1"/>
  <c r="N42" i="1"/>
  <c r="V42" i="1"/>
  <c r="AA42" i="1"/>
  <c r="AB42" i="1"/>
  <c r="AC42" i="1"/>
  <c r="AD42" i="1"/>
  <c r="AG42" i="1" s="1"/>
  <c r="AE42" i="1"/>
  <c r="AF42" i="1"/>
  <c r="AH42" i="1"/>
  <c r="AI42" i="1"/>
  <c r="AM42" i="1"/>
  <c r="K43" i="1"/>
  <c r="L43" i="1"/>
  <c r="M43" i="1"/>
  <c r="N43" i="1" s="1"/>
  <c r="V43" i="1"/>
  <c r="S13" i="3" s="1"/>
  <c r="AA43" i="1"/>
  <c r="AB43" i="1"/>
  <c r="AC43" i="1"/>
  <c r="AD43" i="1"/>
  <c r="AG43" i="1" s="1"/>
  <c r="AE43" i="1"/>
  <c r="AF43" i="1"/>
  <c r="AH43" i="1"/>
  <c r="AI43" i="1"/>
  <c r="AM43" i="1"/>
  <c r="K44" i="1"/>
  <c r="L44" i="1"/>
  <c r="M44" i="1"/>
  <c r="N44" i="1" s="1"/>
  <c r="V44" i="1"/>
  <c r="AA44" i="1"/>
  <c r="AB44" i="1"/>
  <c r="AC44" i="1"/>
  <c r="AD44" i="1"/>
  <c r="AE44" i="1"/>
  <c r="AF44" i="1"/>
  <c r="AH44" i="1"/>
  <c r="AM44" i="1"/>
  <c r="K45" i="1"/>
  <c r="L45" i="1"/>
  <c r="M45" i="1"/>
  <c r="N45" i="1" s="1"/>
  <c r="V45" i="1"/>
  <c r="AA45" i="1"/>
  <c r="AB45" i="1"/>
  <c r="AC45" i="1"/>
  <c r="AD45" i="1"/>
  <c r="AG45" i="1" s="1"/>
  <c r="AE45" i="1"/>
  <c r="AF45" i="1"/>
  <c r="AH45" i="1"/>
  <c r="AI45" i="1"/>
  <c r="AM45" i="1"/>
  <c r="K46" i="1"/>
  <c r="L46" i="1"/>
  <c r="M46" i="1"/>
  <c r="N46" i="1" s="1"/>
  <c r="V46" i="1"/>
  <c r="S16" i="3" s="1"/>
  <c r="AA46" i="1"/>
  <c r="AB46" i="1"/>
  <c r="AC46" i="1"/>
  <c r="AD46" i="1"/>
  <c r="AG46" i="1" s="1"/>
  <c r="AE46" i="1"/>
  <c r="AF46" i="1"/>
  <c r="AH46" i="1"/>
  <c r="AI46" i="1"/>
  <c r="AM46" i="1"/>
  <c r="K47" i="1"/>
  <c r="L47" i="1"/>
  <c r="M47" i="1"/>
  <c r="N47" i="1" s="1"/>
  <c r="V47" i="1"/>
  <c r="AA47" i="1"/>
  <c r="AB47" i="1"/>
  <c r="AC47" i="1"/>
  <c r="AD47" i="1"/>
  <c r="AG47" i="1" s="1"/>
  <c r="AE47" i="1"/>
  <c r="AF47" i="1"/>
  <c r="AH47" i="1"/>
  <c r="AI47" i="1"/>
  <c r="AM47" i="1"/>
  <c r="K48" i="1"/>
  <c r="L48" i="1"/>
  <c r="M48" i="1"/>
  <c r="N48" i="1" s="1"/>
  <c r="V48" i="1"/>
  <c r="AA48" i="1"/>
  <c r="AB48" i="1"/>
  <c r="AC48" i="1"/>
  <c r="AD48" i="1"/>
  <c r="AE48" i="1"/>
  <c r="AF48" i="1"/>
  <c r="AH48" i="1"/>
  <c r="AM48" i="1"/>
  <c r="K49" i="1"/>
  <c r="L49" i="1"/>
  <c r="M49" i="1"/>
  <c r="N49" i="1" s="1"/>
  <c r="V49" i="1"/>
  <c r="AA49" i="1"/>
  <c r="AB49" i="1"/>
  <c r="AC49" i="1"/>
  <c r="AD49" i="1"/>
  <c r="AG49" i="1" s="1"/>
  <c r="AE49" i="1"/>
  <c r="AF49" i="1"/>
  <c r="AH49" i="1"/>
  <c r="AI49" i="1"/>
  <c r="AM49" i="1"/>
  <c r="K50" i="1"/>
  <c r="L50" i="1"/>
  <c r="M50" i="1"/>
  <c r="N50" i="1" s="1"/>
  <c r="V50" i="1"/>
  <c r="AA50" i="1"/>
  <c r="AB50" i="1"/>
  <c r="AC50" i="1"/>
  <c r="AD50" i="1"/>
  <c r="AG50" i="1" s="1"/>
  <c r="AE50" i="1"/>
  <c r="AF50" i="1"/>
  <c r="AH50" i="1"/>
  <c r="AI50" i="1"/>
  <c r="AM50" i="1"/>
  <c r="K51" i="1"/>
  <c r="L51" i="1"/>
  <c r="M51" i="1"/>
  <c r="N51" i="1" s="1"/>
  <c r="V51" i="1"/>
  <c r="AA51" i="1"/>
  <c r="AB51" i="1"/>
  <c r="AC51" i="1"/>
  <c r="AD51" i="1"/>
  <c r="AG51" i="1" s="1"/>
  <c r="AE51" i="1"/>
  <c r="AF51" i="1"/>
  <c r="AH51" i="1"/>
  <c r="AI51" i="1"/>
  <c r="AM51" i="1"/>
  <c r="K52" i="1"/>
  <c r="L52" i="1"/>
  <c r="M52" i="1"/>
  <c r="N52" i="1" s="1"/>
  <c r="V52" i="1"/>
  <c r="AA52" i="1"/>
  <c r="AB52" i="1"/>
  <c r="AC52" i="1"/>
  <c r="AD52" i="1"/>
  <c r="AE52" i="1"/>
  <c r="AF52" i="1"/>
  <c r="AH52" i="1"/>
  <c r="AM52" i="1"/>
  <c r="K53" i="1"/>
  <c r="L53" i="1"/>
  <c r="M53" i="1"/>
  <c r="N53" i="1" s="1"/>
  <c r="V53" i="1"/>
  <c r="AA53" i="1"/>
  <c r="AB53" i="1"/>
  <c r="AC53" i="1"/>
  <c r="AD53" i="1"/>
  <c r="AG53" i="1" s="1"/>
  <c r="AE53" i="1"/>
  <c r="AF53" i="1"/>
  <c r="AH53" i="1"/>
  <c r="AI53" i="1"/>
  <c r="AM53" i="1"/>
  <c r="K54" i="1"/>
  <c r="L54" i="1"/>
  <c r="M54" i="1"/>
  <c r="N54" i="1" s="1"/>
  <c r="V54" i="1"/>
  <c r="AA54" i="1"/>
  <c r="AB54" i="1"/>
  <c r="AC54" i="1"/>
  <c r="AD54" i="1"/>
  <c r="AG54" i="1" s="1"/>
  <c r="AE54" i="1"/>
  <c r="AF54" i="1"/>
  <c r="AH54" i="1"/>
  <c r="AI54" i="1"/>
  <c r="AM54" i="1"/>
  <c r="K55" i="1"/>
  <c r="L55" i="1"/>
  <c r="M55" i="1"/>
  <c r="N55" i="1" s="1"/>
  <c r="T55" i="1"/>
  <c r="V55" i="1"/>
  <c r="AA55" i="1"/>
  <c r="AB55" i="1"/>
  <c r="AC55" i="1"/>
  <c r="AD55" i="1"/>
  <c r="AG55" i="1" s="1"/>
  <c r="AE55" i="1"/>
  <c r="AF55" i="1"/>
  <c r="AH55" i="1"/>
  <c r="AI55" i="1"/>
  <c r="AM55" i="1"/>
  <c r="K56" i="1"/>
  <c r="L56" i="1"/>
  <c r="M56" i="1"/>
  <c r="N56" i="1" s="1"/>
  <c r="V56" i="1"/>
  <c r="AA56" i="1"/>
  <c r="AB56" i="1"/>
  <c r="AC56" i="1"/>
  <c r="AD56" i="1"/>
  <c r="T56" i="1" s="1"/>
  <c r="AE56" i="1"/>
  <c r="AF56" i="1"/>
  <c r="AH56" i="1"/>
  <c r="AM56" i="1"/>
  <c r="K57" i="1"/>
  <c r="L57" i="1"/>
  <c r="M57" i="1"/>
  <c r="N57" i="1"/>
  <c r="V57" i="1"/>
  <c r="AA57" i="1"/>
  <c r="AB57" i="1"/>
  <c r="AC57" i="1"/>
  <c r="AD57" i="1"/>
  <c r="T57" i="1" s="1"/>
  <c r="AE57" i="1"/>
  <c r="AF57" i="1"/>
  <c r="AH57" i="1"/>
  <c r="AM57" i="1"/>
  <c r="K58" i="1"/>
  <c r="L58" i="1"/>
  <c r="M58" i="1"/>
  <c r="N58" i="1" s="1"/>
  <c r="V58" i="1"/>
  <c r="AA58" i="1"/>
  <c r="AB58" i="1"/>
  <c r="AC58" i="1"/>
  <c r="AD58" i="1"/>
  <c r="T58" i="1" s="1"/>
  <c r="AE58" i="1"/>
  <c r="AF58" i="1"/>
  <c r="AH58" i="1"/>
  <c r="AM58" i="1"/>
  <c r="K59" i="1"/>
  <c r="L59" i="1"/>
  <c r="M59" i="1"/>
  <c r="N59" i="1" s="1"/>
  <c r="V59" i="1"/>
  <c r="AA59" i="1"/>
  <c r="AB59" i="1"/>
  <c r="AC59" i="1"/>
  <c r="AD59" i="1"/>
  <c r="T59" i="1" s="1"/>
  <c r="AE59" i="1"/>
  <c r="AF59" i="1"/>
  <c r="AH59" i="1"/>
  <c r="AM59" i="1"/>
  <c r="K60" i="1"/>
  <c r="L60" i="1"/>
  <c r="M60" i="1"/>
  <c r="N60" i="1" s="1"/>
  <c r="V60" i="1"/>
  <c r="S10" i="3" s="1"/>
  <c r="AA60" i="1"/>
  <c r="AB60" i="1"/>
  <c r="AC60" i="1"/>
  <c r="AD60" i="1"/>
  <c r="T60" i="1" s="1"/>
  <c r="AE60" i="1"/>
  <c r="AF60" i="1"/>
  <c r="AH60" i="1"/>
  <c r="AM60" i="1"/>
  <c r="K61" i="1"/>
  <c r="L61" i="1"/>
  <c r="M61" i="1"/>
  <c r="N61" i="1" s="1"/>
  <c r="V61" i="1"/>
  <c r="AA61" i="1"/>
  <c r="AB61" i="1"/>
  <c r="AC61" i="1"/>
  <c r="AD61" i="1"/>
  <c r="T61" i="1" s="1"/>
  <c r="AE61" i="1"/>
  <c r="AF61" i="1"/>
  <c r="AH61" i="1"/>
  <c r="AM61" i="1"/>
  <c r="K62" i="1"/>
  <c r="L62" i="1"/>
  <c r="M62" i="1"/>
  <c r="N62" i="1" s="1"/>
  <c r="V62" i="1"/>
  <c r="AA62" i="1"/>
  <c r="AB62" i="1"/>
  <c r="AC62" i="1"/>
  <c r="AD62" i="1"/>
  <c r="T62" i="1" s="1"/>
  <c r="AE62" i="1"/>
  <c r="AF62" i="1"/>
  <c r="AH62" i="1"/>
  <c r="AM62" i="1"/>
  <c r="K63" i="1"/>
  <c r="L63" i="1"/>
  <c r="M63" i="1"/>
  <c r="N63" i="1"/>
  <c r="V63" i="1"/>
  <c r="AA63" i="1"/>
  <c r="AB63" i="1"/>
  <c r="AC63" i="1"/>
  <c r="AD63" i="1"/>
  <c r="T63" i="1" s="1"/>
  <c r="AE63" i="1"/>
  <c r="AF63" i="1"/>
  <c r="AG63" i="1"/>
  <c r="W63" i="1" s="1"/>
  <c r="AH63" i="1"/>
  <c r="AM63" i="1"/>
  <c r="K64" i="1"/>
  <c r="L64" i="1"/>
  <c r="M64" i="1"/>
  <c r="N64" i="1" s="1"/>
  <c r="V64" i="1"/>
  <c r="AA64" i="1"/>
  <c r="AB64" i="1"/>
  <c r="AC64" i="1"/>
  <c r="AD64" i="1"/>
  <c r="T64" i="1" s="1"/>
  <c r="AE64" i="1"/>
  <c r="AF64" i="1"/>
  <c r="AH64" i="1"/>
  <c r="AM64" i="1"/>
  <c r="K65" i="1"/>
  <c r="L65" i="1"/>
  <c r="M65" i="1"/>
  <c r="N65" i="1"/>
  <c r="V65" i="1"/>
  <c r="AA65" i="1"/>
  <c r="AB65" i="1"/>
  <c r="AC65" i="1"/>
  <c r="AD65" i="1"/>
  <c r="T65" i="1" s="1"/>
  <c r="AE65" i="1"/>
  <c r="AF65" i="1"/>
  <c r="AH65" i="1"/>
  <c r="AM65" i="1"/>
  <c r="K66" i="1"/>
  <c r="L66" i="1"/>
  <c r="M66" i="1"/>
  <c r="N66" i="1" s="1"/>
  <c r="V66" i="1"/>
  <c r="AA66" i="1"/>
  <c r="AB66" i="1"/>
  <c r="AC66" i="1"/>
  <c r="AD66" i="1"/>
  <c r="T66" i="1" s="1"/>
  <c r="AE66" i="1"/>
  <c r="AF66" i="1"/>
  <c r="AH66" i="1"/>
  <c r="AM66" i="1"/>
  <c r="K67" i="1"/>
  <c r="L67" i="1"/>
  <c r="M67" i="1"/>
  <c r="N67" i="1" s="1"/>
  <c r="V67" i="1"/>
  <c r="AA67" i="1"/>
  <c r="AB67" i="1"/>
  <c r="AC67" i="1"/>
  <c r="AD67" i="1"/>
  <c r="T67" i="1" s="1"/>
  <c r="AE67" i="1"/>
  <c r="AF67" i="1"/>
  <c r="AG67" i="1"/>
  <c r="AH67" i="1"/>
  <c r="AM67" i="1"/>
  <c r="K68" i="1"/>
  <c r="L68" i="1"/>
  <c r="M68" i="1"/>
  <c r="N68" i="1"/>
  <c r="V68" i="1"/>
  <c r="AA68" i="1"/>
  <c r="AB68" i="1"/>
  <c r="AC68" i="1"/>
  <c r="AD68" i="1"/>
  <c r="T68" i="1" s="1"/>
  <c r="AE68" i="1"/>
  <c r="AF68" i="1"/>
  <c r="AH68" i="1"/>
  <c r="AM68" i="1"/>
  <c r="K69" i="1"/>
  <c r="L69" i="1"/>
  <c r="M69" i="1"/>
  <c r="N69" i="1" s="1"/>
  <c r="V69" i="1"/>
  <c r="AA69" i="1"/>
  <c r="AB69" i="1"/>
  <c r="AC69" i="1"/>
  <c r="AD69" i="1"/>
  <c r="T69" i="1" s="1"/>
  <c r="AE69" i="1"/>
  <c r="AF69" i="1"/>
  <c r="AH69" i="1"/>
  <c r="AM69" i="1"/>
  <c r="K70" i="1"/>
  <c r="L70" i="1"/>
  <c r="M70" i="1"/>
  <c r="N70" i="1" s="1"/>
  <c r="V70" i="1"/>
  <c r="AA70" i="1"/>
  <c r="AB70" i="1"/>
  <c r="AC70" i="1"/>
  <c r="AD70" i="1"/>
  <c r="T70" i="1" s="1"/>
  <c r="AE70" i="1"/>
  <c r="AF70" i="1"/>
  <c r="AH70" i="1"/>
  <c r="AM70" i="1"/>
  <c r="K71" i="1"/>
  <c r="L71" i="1"/>
  <c r="M71" i="1"/>
  <c r="N71" i="1" s="1"/>
  <c r="V71" i="1"/>
  <c r="AA71" i="1"/>
  <c r="AB71" i="1"/>
  <c r="AC71" i="1"/>
  <c r="AD71" i="1"/>
  <c r="T71" i="1" s="1"/>
  <c r="AE71" i="1"/>
  <c r="AF71" i="1"/>
  <c r="AG71" i="1"/>
  <c r="AH71" i="1"/>
  <c r="AM71" i="1"/>
  <c r="K72" i="1"/>
  <c r="L72" i="1"/>
  <c r="M72" i="1"/>
  <c r="N72" i="1"/>
  <c r="V72" i="1"/>
  <c r="AA72" i="1"/>
  <c r="AB72" i="1"/>
  <c r="AC72" i="1"/>
  <c r="AD72" i="1"/>
  <c r="T72" i="1" s="1"/>
  <c r="AE72" i="1"/>
  <c r="AF72" i="1"/>
  <c r="AH72" i="1"/>
  <c r="AM72" i="1"/>
  <c r="K73" i="1"/>
  <c r="L73" i="1"/>
  <c r="M73" i="1"/>
  <c r="N73" i="1" s="1"/>
  <c r="V73" i="1"/>
  <c r="AA73" i="1"/>
  <c r="AB73" i="1"/>
  <c r="AC73" i="1"/>
  <c r="AD73" i="1"/>
  <c r="T73" i="1" s="1"/>
  <c r="AE73" i="1"/>
  <c r="AF73" i="1"/>
  <c r="AH73" i="1"/>
  <c r="AM73" i="1"/>
  <c r="K74" i="1"/>
  <c r="L74" i="1"/>
  <c r="M74" i="1"/>
  <c r="N74" i="1" s="1"/>
  <c r="V74" i="1"/>
  <c r="AA74" i="1"/>
  <c r="AB74" i="1"/>
  <c r="AC74" i="1"/>
  <c r="AD74" i="1"/>
  <c r="T74" i="1" s="1"/>
  <c r="AE74" i="1"/>
  <c r="AF74" i="1"/>
  <c r="AH74" i="1"/>
  <c r="AM74" i="1"/>
  <c r="K75" i="1"/>
  <c r="L75" i="1"/>
  <c r="M75" i="1"/>
  <c r="N75" i="1" s="1"/>
  <c r="V75" i="1"/>
  <c r="AA75" i="1"/>
  <c r="AB75" i="1"/>
  <c r="AC75" i="1"/>
  <c r="AD75" i="1"/>
  <c r="T75" i="1" s="1"/>
  <c r="AE75" i="1"/>
  <c r="AF75" i="1"/>
  <c r="AG75" i="1"/>
  <c r="AH75" i="1"/>
  <c r="AM75" i="1"/>
  <c r="K76" i="1"/>
  <c r="L76" i="1"/>
  <c r="M76" i="1"/>
  <c r="N76" i="1"/>
  <c r="V76" i="1"/>
  <c r="AA76" i="1"/>
  <c r="AB76" i="1"/>
  <c r="AC76" i="1"/>
  <c r="AD76" i="1"/>
  <c r="T76" i="1" s="1"/>
  <c r="AE76" i="1"/>
  <c r="AF76" i="1"/>
  <c r="AH76" i="1"/>
  <c r="AM76" i="1"/>
  <c r="K77" i="1"/>
  <c r="L77" i="1"/>
  <c r="M77" i="1"/>
  <c r="N77" i="1" s="1"/>
  <c r="V77" i="1"/>
  <c r="AA77" i="1"/>
  <c r="AB77" i="1"/>
  <c r="AC77" i="1"/>
  <c r="AD77" i="1"/>
  <c r="T77" i="1" s="1"/>
  <c r="AE77" i="1"/>
  <c r="AF77" i="1"/>
  <c r="AH77" i="1"/>
  <c r="AM77" i="1"/>
  <c r="K78" i="1"/>
  <c r="L78" i="1"/>
  <c r="M78" i="1"/>
  <c r="N78" i="1" s="1"/>
  <c r="V78" i="1"/>
  <c r="AA78" i="1"/>
  <c r="AB78" i="1"/>
  <c r="AC78" i="1"/>
  <c r="AD78" i="1"/>
  <c r="T78" i="1" s="1"/>
  <c r="AE78" i="1"/>
  <c r="AF78" i="1"/>
  <c r="AH78" i="1"/>
  <c r="AM78" i="1"/>
  <c r="K79" i="1"/>
  <c r="L79" i="1"/>
  <c r="M79" i="1"/>
  <c r="N79" i="1" s="1"/>
  <c r="V79" i="1"/>
  <c r="AA79" i="1"/>
  <c r="AB79" i="1"/>
  <c r="AC79" i="1"/>
  <c r="AD79" i="1"/>
  <c r="T79" i="1" s="1"/>
  <c r="AE79" i="1"/>
  <c r="AF79" i="1"/>
  <c r="AG79" i="1"/>
  <c r="AH79" i="1"/>
  <c r="AM79" i="1"/>
  <c r="K80" i="1"/>
  <c r="L80" i="1"/>
  <c r="M80" i="1"/>
  <c r="P80" i="1" s="1"/>
  <c r="V80" i="1"/>
  <c r="AA80" i="1"/>
  <c r="AB80" i="1"/>
  <c r="AC80" i="1"/>
  <c r="AD80" i="1"/>
  <c r="T80" i="1" s="1"/>
  <c r="AE80" i="1"/>
  <c r="AF80" i="1"/>
  <c r="AH80" i="1"/>
  <c r="AM80" i="1"/>
  <c r="K81" i="1"/>
  <c r="L81" i="1"/>
  <c r="M81" i="1"/>
  <c r="V81" i="1"/>
  <c r="AA81" i="1"/>
  <c r="AB81" i="1"/>
  <c r="AC81" i="1"/>
  <c r="AD81" i="1"/>
  <c r="T81" i="1" s="1"/>
  <c r="AE81" i="1"/>
  <c r="AF81" i="1"/>
  <c r="AH81" i="1"/>
  <c r="AM81" i="1"/>
  <c r="K82" i="1"/>
  <c r="L82" i="1"/>
  <c r="M82" i="1"/>
  <c r="N82" i="1" s="1"/>
  <c r="V82" i="1"/>
  <c r="AA82" i="1"/>
  <c r="AB82" i="1"/>
  <c r="AC82" i="1"/>
  <c r="AD82" i="1"/>
  <c r="AE82" i="1"/>
  <c r="AF82" i="1"/>
  <c r="AH82" i="1"/>
  <c r="AM82" i="1"/>
  <c r="K83" i="1"/>
  <c r="L83" i="1"/>
  <c r="M83" i="1"/>
  <c r="N83" i="1" s="1"/>
  <c r="V83" i="1"/>
  <c r="AA83" i="1"/>
  <c r="AB83" i="1"/>
  <c r="AC83" i="1"/>
  <c r="AD83" i="1"/>
  <c r="AE83" i="1"/>
  <c r="AF83" i="1"/>
  <c r="AH83" i="1"/>
  <c r="AM83" i="1"/>
  <c r="K84" i="1"/>
  <c r="L84" i="1"/>
  <c r="M84" i="1"/>
  <c r="N84" i="1" s="1"/>
  <c r="V84" i="1"/>
  <c r="AA84" i="1"/>
  <c r="AB84" i="1"/>
  <c r="AC84" i="1"/>
  <c r="AD84" i="1"/>
  <c r="AE84" i="1"/>
  <c r="AF84" i="1"/>
  <c r="AH84" i="1"/>
  <c r="AM84" i="1"/>
  <c r="K85" i="1"/>
  <c r="L85" i="1"/>
  <c r="M85" i="1"/>
  <c r="N85" i="1" s="1"/>
  <c r="V85" i="1"/>
  <c r="AA85" i="1"/>
  <c r="AB85" i="1"/>
  <c r="AC85" i="1"/>
  <c r="AD85" i="1"/>
  <c r="AE85" i="1"/>
  <c r="AF85" i="1"/>
  <c r="AH85" i="1"/>
  <c r="AM85" i="1"/>
  <c r="K86" i="1"/>
  <c r="L86" i="1"/>
  <c r="M86" i="1"/>
  <c r="N86" i="1" s="1"/>
  <c r="V86" i="1"/>
  <c r="AA86" i="1"/>
  <c r="AB86" i="1"/>
  <c r="AC86" i="1"/>
  <c r="AD86" i="1"/>
  <c r="AE86" i="1"/>
  <c r="AF86" i="1"/>
  <c r="AH86" i="1"/>
  <c r="AM86" i="1"/>
  <c r="K87" i="1"/>
  <c r="L87" i="1"/>
  <c r="M87" i="1"/>
  <c r="N87" i="1" s="1"/>
  <c r="V87" i="1"/>
  <c r="S22" i="3" s="1"/>
  <c r="AA87" i="1"/>
  <c r="AB87" i="1"/>
  <c r="AC87" i="1"/>
  <c r="AD87" i="1"/>
  <c r="AE87" i="1"/>
  <c r="AF87" i="1"/>
  <c r="AH87" i="1"/>
  <c r="AM87" i="1"/>
  <c r="K88" i="1"/>
  <c r="L88" i="1"/>
  <c r="M88" i="1"/>
  <c r="N88" i="1" s="1"/>
  <c r="V88" i="1"/>
  <c r="AA88" i="1"/>
  <c r="AB88" i="1"/>
  <c r="AC88" i="1"/>
  <c r="AD88" i="1"/>
  <c r="T88" i="1" s="1"/>
  <c r="AE88" i="1"/>
  <c r="AF88" i="1"/>
  <c r="AH88" i="1"/>
  <c r="AM88" i="1"/>
  <c r="K89" i="1"/>
  <c r="L89" i="1"/>
  <c r="M89" i="1"/>
  <c r="N89" i="1" s="1"/>
  <c r="V89" i="1"/>
  <c r="AA89" i="1"/>
  <c r="AB89" i="1"/>
  <c r="AC89" i="1"/>
  <c r="AD89" i="1"/>
  <c r="T89" i="1" s="1"/>
  <c r="AE89" i="1"/>
  <c r="AF89" i="1"/>
  <c r="AH89" i="1"/>
  <c r="AM89" i="1"/>
  <c r="K90" i="1"/>
  <c r="L90" i="1"/>
  <c r="M90" i="1"/>
  <c r="N90" i="1" s="1"/>
  <c r="V90" i="1"/>
  <c r="AA90" i="1"/>
  <c r="AB90" i="1"/>
  <c r="AC90" i="1"/>
  <c r="AD90" i="1"/>
  <c r="T90" i="1" s="1"/>
  <c r="AE90" i="1"/>
  <c r="AF90" i="1"/>
  <c r="AH90" i="1"/>
  <c r="AM90" i="1"/>
  <c r="K91" i="1"/>
  <c r="L91" i="1"/>
  <c r="M91" i="1"/>
  <c r="N91" i="1" s="1"/>
  <c r="V91" i="1"/>
  <c r="AA91" i="1"/>
  <c r="AB91" i="1"/>
  <c r="AC91" i="1"/>
  <c r="AD91" i="1"/>
  <c r="T91" i="1" s="1"/>
  <c r="AE91" i="1"/>
  <c r="AF91" i="1"/>
  <c r="AH91" i="1"/>
  <c r="AM91" i="1"/>
  <c r="K92" i="1"/>
  <c r="L92" i="1"/>
  <c r="M92" i="1"/>
  <c r="N92" i="1" s="1"/>
  <c r="V92" i="1"/>
  <c r="AA92" i="1"/>
  <c r="AB92" i="1"/>
  <c r="AC92" i="1"/>
  <c r="AD92" i="1"/>
  <c r="T92" i="1" s="1"/>
  <c r="AE92" i="1"/>
  <c r="AF92" i="1"/>
  <c r="AH92" i="1"/>
  <c r="AM92" i="1"/>
  <c r="K93" i="1"/>
  <c r="L93" i="1"/>
  <c r="M93" i="1"/>
  <c r="N93" i="1" s="1"/>
  <c r="V93" i="1"/>
  <c r="AA93" i="1"/>
  <c r="AB93" i="1"/>
  <c r="AC93" i="1"/>
  <c r="AD93" i="1"/>
  <c r="T93" i="1" s="1"/>
  <c r="AE93" i="1"/>
  <c r="AF93" i="1"/>
  <c r="AH93" i="1"/>
  <c r="AM93" i="1"/>
  <c r="K94" i="1"/>
  <c r="L94" i="1"/>
  <c r="M94" i="1"/>
  <c r="N94" i="1" s="1"/>
  <c r="V94" i="1"/>
  <c r="AA94" i="1"/>
  <c r="AB94" i="1"/>
  <c r="AC94" i="1"/>
  <c r="AD94" i="1"/>
  <c r="T94" i="1" s="1"/>
  <c r="AE94" i="1"/>
  <c r="AF94" i="1"/>
  <c r="AH94" i="1"/>
  <c r="AM94" i="1"/>
  <c r="K95" i="1"/>
  <c r="L95" i="1"/>
  <c r="M95" i="1"/>
  <c r="N95" i="1" s="1"/>
  <c r="V95" i="1"/>
  <c r="AA95" i="1"/>
  <c r="AB95" i="1"/>
  <c r="AC95" i="1"/>
  <c r="AD95" i="1"/>
  <c r="T95" i="1" s="1"/>
  <c r="AE95" i="1"/>
  <c r="AF95" i="1"/>
  <c r="AH95" i="1"/>
  <c r="AM95" i="1"/>
  <c r="K96" i="1"/>
  <c r="L96" i="1"/>
  <c r="M96" i="1"/>
  <c r="N96" i="1" s="1"/>
  <c r="V96" i="1"/>
  <c r="AA96" i="1"/>
  <c r="AB96" i="1"/>
  <c r="AC96" i="1"/>
  <c r="AD96" i="1"/>
  <c r="T96" i="1" s="1"/>
  <c r="AE96" i="1"/>
  <c r="AF96" i="1"/>
  <c r="AH96" i="1"/>
  <c r="AM96" i="1"/>
  <c r="K97" i="1"/>
  <c r="L97" i="1"/>
  <c r="M97" i="1"/>
  <c r="N97" i="1" s="1"/>
  <c r="V97" i="1"/>
  <c r="AA97" i="1"/>
  <c r="AB97" i="1"/>
  <c r="AC97" i="1"/>
  <c r="AD97" i="1"/>
  <c r="T97" i="1" s="1"/>
  <c r="AE97" i="1"/>
  <c r="AF97" i="1"/>
  <c r="AH97" i="1"/>
  <c r="AM97" i="1"/>
  <c r="K98" i="1"/>
  <c r="L98" i="1"/>
  <c r="M98" i="1"/>
  <c r="N98" i="1" s="1"/>
  <c r="V98" i="1"/>
  <c r="AA98" i="1"/>
  <c r="AB98" i="1"/>
  <c r="AC98" i="1"/>
  <c r="AD98" i="1"/>
  <c r="T98" i="1" s="1"/>
  <c r="AE98" i="1"/>
  <c r="AF98" i="1"/>
  <c r="AH98" i="1"/>
  <c r="AM98" i="1"/>
  <c r="K99" i="1"/>
  <c r="L99" i="1"/>
  <c r="M99" i="1"/>
  <c r="N99" i="1" s="1"/>
  <c r="V99" i="1"/>
  <c r="AA99" i="1"/>
  <c r="AB99" i="1"/>
  <c r="AC99" i="1"/>
  <c r="AD99" i="1"/>
  <c r="T99" i="1" s="1"/>
  <c r="AE99" i="1"/>
  <c r="AF99" i="1"/>
  <c r="AH99" i="1"/>
  <c r="AM99" i="1"/>
  <c r="K100" i="1"/>
  <c r="L100" i="1"/>
  <c r="M100" i="1"/>
  <c r="N100" i="1" s="1"/>
  <c r="V100" i="1"/>
  <c r="AA100" i="1"/>
  <c r="AB100" i="1"/>
  <c r="AC100" i="1"/>
  <c r="AD100" i="1"/>
  <c r="T100" i="1" s="1"/>
  <c r="AE100" i="1"/>
  <c r="AF100" i="1"/>
  <c r="AH100" i="1"/>
  <c r="AM100" i="1"/>
  <c r="K101" i="1"/>
  <c r="L101" i="1"/>
  <c r="M101" i="1"/>
  <c r="N101" i="1" s="1"/>
  <c r="V101" i="1"/>
  <c r="AA101" i="1"/>
  <c r="AB101" i="1"/>
  <c r="AC101" i="1"/>
  <c r="AD101" i="1"/>
  <c r="T101" i="1" s="1"/>
  <c r="AE101" i="1"/>
  <c r="AF101" i="1"/>
  <c r="AH101" i="1"/>
  <c r="AM101" i="1"/>
  <c r="K102" i="1"/>
  <c r="L102" i="1"/>
  <c r="M102" i="1"/>
  <c r="N102" i="1" s="1"/>
  <c r="V102" i="1"/>
  <c r="AA102" i="1"/>
  <c r="AB102" i="1"/>
  <c r="AC102" i="1"/>
  <c r="AD102" i="1"/>
  <c r="T102" i="1" s="1"/>
  <c r="AE102" i="1"/>
  <c r="AF102" i="1"/>
  <c r="AH102" i="1"/>
  <c r="AM102" i="1"/>
  <c r="K103" i="1"/>
  <c r="L103" i="1"/>
  <c r="M103" i="1"/>
  <c r="N103" i="1" s="1"/>
  <c r="V103" i="1"/>
  <c r="AA103" i="1"/>
  <c r="AB103" i="1"/>
  <c r="AC103" i="1"/>
  <c r="AD103" i="1"/>
  <c r="T103" i="1" s="1"/>
  <c r="AE103" i="1"/>
  <c r="R24" i="3" s="1"/>
  <c r="AF103" i="1"/>
  <c r="AG103" i="1"/>
  <c r="U103" i="1" s="1"/>
  <c r="AH103" i="1"/>
  <c r="AM103" i="1"/>
  <c r="K104" i="1"/>
  <c r="L104" i="1"/>
  <c r="M104" i="1"/>
  <c r="N104" i="1" s="1"/>
  <c r="V104" i="1"/>
  <c r="AA104" i="1"/>
  <c r="AB104" i="1"/>
  <c r="AC104" i="1"/>
  <c r="AD104" i="1"/>
  <c r="T104" i="1" s="1"/>
  <c r="AE104" i="1"/>
  <c r="AF104" i="1"/>
  <c r="AH104" i="1"/>
  <c r="AM104" i="1"/>
  <c r="K105" i="1"/>
  <c r="L105" i="1"/>
  <c r="M105" i="1"/>
  <c r="N105" i="1" s="1"/>
  <c r="V105" i="1"/>
  <c r="AA105" i="1"/>
  <c r="AB105" i="1"/>
  <c r="AC105" i="1"/>
  <c r="AD105" i="1"/>
  <c r="T105" i="1" s="1"/>
  <c r="AE105" i="1"/>
  <c r="AF105" i="1"/>
  <c r="AH105" i="1"/>
  <c r="AM105" i="1"/>
  <c r="K106" i="1"/>
  <c r="L106" i="1"/>
  <c r="M106" i="1"/>
  <c r="N106" i="1" s="1"/>
  <c r="V106" i="1"/>
  <c r="AA106" i="1"/>
  <c r="AB106" i="1"/>
  <c r="AC106" i="1"/>
  <c r="AD106" i="1"/>
  <c r="T106" i="1" s="1"/>
  <c r="AE106" i="1"/>
  <c r="AF106" i="1"/>
  <c r="AH106" i="1"/>
  <c r="AM106" i="1"/>
  <c r="K107" i="1"/>
  <c r="L107" i="1"/>
  <c r="M107" i="1"/>
  <c r="N107" i="1" s="1"/>
  <c r="V107" i="1"/>
  <c r="AA107" i="1"/>
  <c r="AB107" i="1"/>
  <c r="AC107" i="1"/>
  <c r="AD107" i="1"/>
  <c r="T107" i="1" s="1"/>
  <c r="AE107" i="1"/>
  <c r="AF107" i="1"/>
  <c r="AH107" i="1"/>
  <c r="AM107" i="1"/>
  <c r="K108" i="1"/>
  <c r="L108" i="1"/>
  <c r="M108" i="1"/>
  <c r="N108" i="1" s="1"/>
  <c r="V108" i="1"/>
  <c r="AA108" i="1"/>
  <c r="AB108" i="1"/>
  <c r="AC108" i="1"/>
  <c r="AD108" i="1"/>
  <c r="T108" i="1" s="1"/>
  <c r="AE108" i="1"/>
  <c r="AF108" i="1"/>
  <c r="AH108" i="1"/>
  <c r="AM108" i="1"/>
  <c r="K109" i="1"/>
  <c r="L109" i="1"/>
  <c r="M109" i="1"/>
  <c r="N109" i="1" s="1"/>
  <c r="V109" i="1"/>
  <c r="AA109" i="1"/>
  <c r="AB109" i="1"/>
  <c r="AC109" i="1"/>
  <c r="AD109" i="1"/>
  <c r="T109" i="1" s="1"/>
  <c r="AE109" i="1"/>
  <c r="AF109" i="1"/>
  <c r="AH109" i="1"/>
  <c r="AM109" i="1"/>
  <c r="K110" i="1"/>
  <c r="L110" i="1"/>
  <c r="M110" i="1"/>
  <c r="N110" i="1" s="1"/>
  <c r="V110" i="1"/>
  <c r="AA110" i="1"/>
  <c r="AB110" i="1"/>
  <c r="AC110" i="1"/>
  <c r="AD110" i="1"/>
  <c r="T110" i="1" s="1"/>
  <c r="AE110" i="1"/>
  <c r="AF110" i="1"/>
  <c r="AH110" i="1"/>
  <c r="AM110" i="1"/>
  <c r="K111" i="1"/>
  <c r="L111" i="1"/>
  <c r="M111" i="1"/>
  <c r="N111" i="1" s="1"/>
  <c r="V111" i="1"/>
  <c r="AA111" i="1"/>
  <c r="AB111" i="1"/>
  <c r="AC111" i="1"/>
  <c r="AD111" i="1"/>
  <c r="T111" i="1" s="1"/>
  <c r="AE111" i="1"/>
  <c r="R14" i="3" s="1"/>
  <c r="AF111" i="1"/>
  <c r="AH111" i="1"/>
  <c r="AM111" i="1"/>
  <c r="K112" i="1"/>
  <c r="L112" i="1"/>
  <c r="M112" i="1"/>
  <c r="N112" i="1" s="1"/>
  <c r="V112" i="1"/>
  <c r="AA112" i="1"/>
  <c r="AB112" i="1"/>
  <c r="AC112" i="1"/>
  <c r="AD112" i="1"/>
  <c r="T112" i="1" s="1"/>
  <c r="AE112" i="1"/>
  <c r="AF112" i="1"/>
  <c r="AH112" i="1"/>
  <c r="AM112" i="1"/>
  <c r="K113" i="1"/>
  <c r="L113" i="1"/>
  <c r="M113" i="1"/>
  <c r="N113" i="1" s="1"/>
  <c r="V113" i="1"/>
  <c r="AA113" i="1"/>
  <c r="AB113" i="1"/>
  <c r="AC113" i="1"/>
  <c r="AD113" i="1"/>
  <c r="T113" i="1" s="1"/>
  <c r="AE113" i="1"/>
  <c r="AF113" i="1"/>
  <c r="AH113" i="1"/>
  <c r="AM113" i="1"/>
  <c r="K114" i="1"/>
  <c r="L114" i="1"/>
  <c r="M114" i="1"/>
  <c r="N114" i="1" s="1"/>
  <c r="V114" i="1"/>
  <c r="AA114" i="1"/>
  <c r="AB114" i="1"/>
  <c r="AC114" i="1"/>
  <c r="AD114" i="1"/>
  <c r="T114" i="1" s="1"/>
  <c r="AE114" i="1"/>
  <c r="AF114" i="1"/>
  <c r="AH114" i="1"/>
  <c r="AM114" i="1"/>
  <c r="K115" i="1"/>
  <c r="L115" i="1"/>
  <c r="M115" i="1"/>
  <c r="N115" i="1" s="1"/>
  <c r="V115" i="1"/>
  <c r="AA115" i="1"/>
  <c r="AB115" i="1"/>
  <c r="AC115" i="1"/>
  <c r="AD115" i="1"/>
  <c r="T115" i="1" s="1"/>
  <c r="AE115" i="1"/>
  <c r="AF115" i="1"/>
  <c r="AH115" i="1"/>
  <c r="AM115" i="1"/>
  <c r="K116" i="1"/>
  <c r="L116" i="1"/>
  <c r="M116" i="1"/>
  <c r="N116" i="1" s="1"/>
  <c r="V116" i="1"/>
  <c r="AA116" i="1"/>
  <c r="AB116" i="1"/>
  <c r="AC116" i="1"/>
  <c r="AD116" i="1"/>
  <c r="T116" i="1" s="1"/>
  <c r="AE116" i="1"/>
  <c r="AF116" i="1"/>
  <c r="AH116" i="1"/>
  <c r="AM116" i="1"/>
  <c r="K117" i="1"/>
  <c r="L117" i="1"/>
  <c r="M117" i="1"/>
  <c r="N117" i="1" s="1"/>
  <c r="V117" i="1"/>
  <c r="AA117" i="1"/>
  <c r="AB117" i="1"/>
  <c r="AC117" i="1"/>
  <c r="AD117" i="1"/>
  <c r="T117" i="1" s="1"/>
  <c r="AE117" i="1"/>
  <c r="AF117" i="1"/>
  <c r="AH117" i="1"/>
  <c r="AM117" i="1"/>
  <c r="K118" i="1"/>
  <c r="L118" i="1"/>
  <c r="M118" i="1"/>
  <c r="N118" i="1" s="1"/>
  <c r="V118" i="1"/>
  <c r="AA118" i="1"/>
  <c r="AB118" i="1"/>
  <c r="AC118" i="1"/>
  <c r="AD118" i="1"/>
  <c r="T118" i="1" s="1"/>
  <c r="AE118" i="1"/>
  <c r="AF118" i="1"/>
  <c r="AH118" i="1"/>
  <c r="AM118" i="1"/>
  <c r="K119" i="1"/>
  <c r="L119" i="1"/>
  <c r="M119" i="1"/>
  <c r="N119" i="1" s="1"/>
  <c r="V119" i="1"/>
  <c r="AA119" i="1"/>
  <c r="AB119" i="1"/>
  <c r="AC119" i="1"/>
  <c r="AD119" i="1"/>
  <c r="T119" i="1" s="1"/>
  <c r="AE119" i="1"/>
  <c r="AF119" i="1"/>
  <c r="AH119" i="1"/>
  <c r="AM119" i="1"/>
  <c r="K120" i="1"/>
  <c r="L120" i="1"/>
  <c r="M120" i="1"/>
  <c r="N120" i="1" s="1"/>
  <c r="V120" i="1"/>
  <c r="AA120" i="1"/>
  <c r="AB120" i="1"/>
  <c r="AC120" i="1"/>
  <c r="AD120" i="1"/>
  <c r="T120" i="1" s="1"/>
  <c r="AE120" i="1"/>
  <c r="AF120" i="1"/>
  <c r="AH120" i="1"/>
  <c r="AM120" i="1"/>
  <c r="K121" i="1"/>
  <c r="L121" i="1"/>
  <c r="M121" i="1"/>
  <c r="N121" i="1" s="1"/>
  <c r="V121" i="1"/>
  <c r="AA121" i="1"/>
  <c r="AB121" i="1"/>
  <c r="AC121" i="1"/>
  <c r="AD121" i="1"/>
  <c r="T121" i="1" s="1"/>
  <c r="AE121" i="1"/>
  <c r="AF121" i="1"/>
  <c r="AH121" i="1"/>
  <c r="AM121" i="1"/>
  <c r="K122" i="1"/>
  <c r="L122" i="1"/>
  <c r="M122" i="1"/>
  <c r="N122" i="1" s="1"/>
  <c r="V122" i="1"/>
  <c r="AA122" i="1"/>
  <c r="AB122" i="1"/>
  <c r="AC122" i="1"/>
  <c r="AD122" i="1"/>
  <c r="T122" i="1" s="1"/>
  <c r="AE122" i="1"/>
  <c r="AF122" i="1"/>
  <c r="AG122" i="1"/>
  <c r="AH122" i="1"/>
  <c r="AM122" i="1"/>
  <c r="K123" i="1"/>
  <c r="L123" i="1"/>
  <c r="M123" i="1"/>
  <c r="N123" i="1" s="1"/>
  <c r="V123" i="1"/>
  <c r="AA123" i="1"/>
  <c r="AB123" i="1"/>
  <c r="AC123" i="1"/>
  <c r="AD123" i="1"/>
  <c r="T123" i="1" s="1"/>
  <c r="AE123" i="1"/>
  <c r="AF123" i="1"/>
  <c r="AH123" i="1"/>
  <c r="AM123" i="1"/>
  <c r="K124" i="1"/>
  <c r="L124" i="1"/>
  <c r="M124" i="1"/>
  <c r="N124" i="1" s="1"/>
  <c r="V124" i="1"/>
  <c r="AA124" i="1"/>
  <c r="AB124" i="1"/>
  <c r="AC124" i="1"/>
  <c r="AD124" i="1"/>
  <c r="T124" i="1" s="1"/>
  <c r="AE124" i="1"/>
  <c r="AF124" i="1"/>
  <c r="AH124" i="1"/>
  <c r="AM124" i="1"/>
  <c r="K125" i="1"/>
  <c r="L125" i="1"/>
  <c r="M125" i="1"/>
  <c r="N125" i="1" s="1"/>
  <c r="V125" i="1"/>
  <c r="AA125" i="1"/>
  <c r="AB125" i="1"/>
  <c r="AC125" i="1"/>
  <c r="AD125" i="1"/>
  <c r="T125" i="1" s="1"/>
  <c r="AE125" i="1"/>
  <c r="AF125" i="1"/>
  <c r="AH125" i="1"/>
  <c r="AM125" i="1"/>
  <c r="K126" i="1"/>
  <c r="L126" i="1"/>
  <c r="M126" i="1"/>
  <c r="N126" i="1" s="1"/>
  <c r="V126" i="1"/>
  <c r="AA126" i="1"/>
  <c r="AB126" i="1"/>
  <c r="AC126" i="1"/>
  <c r="AD126" i="1"/>
  <c r="T126" i="1" s="1"/>
  <c r="AE126" i="1"/>
  <c r="AF126" i="1"/>
  <c r="AH126" i="1"/>
  <c r="AM126" i="1"/>
  <c r="K127" i="1"/>
  <c r="L127" i="1"/>
  <c r="M127" i="1"/>
  <c r="N127" i="1" s="1"/>
  <c r="V127" i="1"/>
  <c r="S25" i="3" s="1"/>
  <c r="AA127" i="1"/>
  <c r="AB127" i="1"/>
  <c r="AC127" i="1"/>
  <c r="AD127" i="1"/>
  <c r="T127" i="1" s="1"/>
  <c r="AE127" i="1"/>
  <c r="R25" i="3" s="1"/>
  <c r="AF127" i="1"/>
  <c r="AH127" i="1"/>
  <c r="AM127" i="1"/>
  <c r="K128" i="1"/>
  <c r="L128" i="1"/>
  <c r="M128" i="1"/>
  <c r="N128" i="1" s="1"/>
  <c r="V128" i="1"/>
  <c r="AA128" i="1"/>
  <c r="AB128" i="1"/>
  <c r="AC128" i="1"/>
  <c r="AD128" i="1"/>
  <c r="AG128" i="1" s="1"/>
  <c r="AI128" i="1" s="1"/>
  <c r="AE128" i="1"/>
  <c r="AF128" i="1"/>
  <c r="AH128" i="1"/>
  <c r="AM128" i="1"/>
  <c r="K129" i="1"/>
  <c r="L129" i="1"/>
  <c r="M129" i="1"/>
  <c r="N129" i="1" s="1"/>
  <c r="V129" i="1"/>
  <c r="AA129" i="1"/>
  <c r="AB129" i="1"/>
  <c r="AC129" i="1"/>
  <c r="AD129" i="1"/>
  <c r="T129" i="1" s="1"/>
  <c r="AE129" i="1"/>
  <c r="AF129" i="1"/>
  <c r="AH129" i="1"/>
  <c r="AM129" i="1"/>
  <c r="K130" i="1"/>
  <c r="L130" i="1"/>
  <c r="M130" i="1"/>
  <c r="N130" i="1" s="1"/>
  <c r="V130" i="1"/>
  <c r="AA130" i="1"/>
  <c r="AB130" i="1"/>
  <c r="AC130" i="1"/>
  <c r="AD130" i="1"/>
  <c r="T130" i="1" s="1"/>
  <c r="AE130" i="1"/>
  <c r="AF130" i="1"/>
  <c r="AH130" i="1"/>
  <c r="AM130" i="1"/>
  <c r="K131" i="1"/>
  <c r="L131" i="1"/>
  <c r="M131" i="1"/>
  <c r="N131" i="1" s="1"/>
  <c r="V131" i="1"/>
  <c r="AA131" i="1"/>
  <c r="AB131" i="1"/>
  <c r="AC131" i="1"/>
  <c r="AD131" i="1"/>
  <c r="AG131" i="1" s="1"/>
  <c r="AE131" i="1"/>
  <c r="AF131" i="1"/>
  <c r="AH131" i="1"/>
  <c r="AI131" i="1"/>
  <c r="AM131" i="1"/>
  <c r="K132" i="1"/>
  <c r="L132" i="1"/>
  <c r="M132" i="1"/>
  <c r="N132" i="1" s="1"/>
  <c r="T132" i="1"/>
  <c r="V132" i="1"/>
  <c r="AA132" i="1"/>
  <c r="AB132" i="1"/>
  <c r="AC132" i="1"/>
  <c r="AD132" i="1"/>
  <c r="AG132" i="1" s="1"/>
  <c r="AE132" i="1"/>
  <c r="AF132" i="1"/>
  <c r="AH132" i="1"/>
  <c r="AI132" i="1"/>
  <c r="AM132" i="1"/>
  <c r="K133" i="1"/>
  <c r="L133" i="1"/>
  <c r="M133" i="1"/>
  <c r="N133" i="1" s="1"/>
  <c r="V133" i="1"/>
  <c r="AA133" i="1"/>
  <c r="AB133" i="1"/>
  <c r="AC133" i="1"/>
  <c r="AD133" i="1"/>
  <c r="AG133" i="1" s="1"/>
  <c r="AE133" i="1"/>
  <c r="AF133" i="1"/>
  <c r="AH133" i="1"/>
  <c r="AI133" i="1"/>
  <c r="AM133" i="1"/>
  <c r="K134" i="1"/>
  <c r="L134" i="1"/>
  <c r="M134" i="1"/>
  <c r="N134" i="1" s="1"/>
  <c r="V134" i="1"/>
  <c r="AA134" i="1"/>
  <c r="AB134" i="1"/>
  <c r="AC134" i="1"/>
  <c r="AD134" i="1"/>
  <c r="AG134" i="1" s="1"/>
  <c r="AE134" i="1"/>
  <c r="AF134" i="1"/>
  <c r="AH134" i="1"/>
  <c r="AI134" i="1"/>
  <c r="AM134" i="1"/>
  <c r="K135" i="1"/>
  <c r="L135" i="1"/>
  <c r="M135" i="1"/>
  <c r="N135" i="1" s="1"/>
  <c r="V135" i="1"/>
  <c r="AA135" i="1"/>
  <c r="AB135" i="1"/>
  <c r="AC135" i="1"/>
  <c r="AD135" i="1"/>
  <c r="AG135" i="1" s="1"/>
  <c r="AE135" i="1"/>
  <c r="AF135" i="1"/>
  <c r="AH135" i="1"/>
  <c r="AI135" i="1"/>
  <c r="AM135" i="1"/>
  <c r="K136" i="1"/>
  <c r="L136" i="1"/>
  <c r="M136" i="1"/>
  <c r="N136" i="1" s="1"/>
  <c r="V136" i="1"/>
  <c r="S18" i="3" s="1"/>
  <c r="AA136" i="1"/>
  <c r="AB136" i="1"/>
  <c r="AC136" i="1"/>
  <c r="AD136" i="1"/>
  <c r="AG136" i="1" s="1"/>
  <c r="AE136" i="1"/>
  <c r="R12" i="3" s="1"/>
  <c r="AF136" i="1"/>
  <c r="AH136" i="1"/>
  <c r="AI136" i="1"/>
  <c r="AM136" i="1"/>
  <c r="K137" i="1"/>
  <c r="L137" i="1"/>
  <c r="M137" i="1"/>
  <c r="N137" i="1" s="1"/>
  <c r="V137" i="1"/>
  <c r="AA137" i="1"/>
  <c r="AB137" i="1"/>
  <c r="AC137" i="1"/>
  <c r="AD137" i="1"/>
  <c r="AG137" i="1" s="1"/>
  <c r="AE137" i="1"/>
  <c r="AF137" i="1"/>
  <c r="AH137" i="1"/>
  <c r="AI137" i="1"/>
  <c r="AM137" i="1"/>
  <c r="K138" i="1"/>
  <c r="L138" i="1"/>
  <c r="M138" i="1"/>
  <c r="N138" i="1" s="1"/>
  <c r="V138" i="1"/>
  <c r="AA138" i="1"/>
  <c r="W138" i="1" s="1"/>
  <c r="AB138" i="1"/>
  <c r="AC138" i="1"/>
  <c r="AD138" i="1"/>
  <c r="AG138" i="1" s="1"/>
  <c r="AE138" i="1"/>
  <c r="AF138" i="1"/>
  <c r="AH138" i="1"/>
  <c r="AI138" i="1"/>
  <c r="AM138" i="1"/>
  <c r="K139" i="1"/>
  <c r="L139" i="1"/>
  <c r="M139" i="1"/>
  <c r="N139" i="1"/>
  <c r="V139" i="1"/>
  <c r="AA139" i="1"/>
  <c r="AB139" i="1"/>
  <c r="AC139" i="1"/>
  <c r="AD139" i="1"/>
  <c r="AG139" i="1" s="1"/>
  <c r="AE139" i="1"/>
  <c r="AF139" i="1"/>
  <c r="AH139" i="1"/>
  <c r="AI139" i="1"/>
  <c r="AM139" i="1"/>
  <c r="K140" i="1"/>
  <c r="L140" i="1"/>
  <c r="M140" i="1"/>
  <c r="N140" i="1" s="1"/>
  <c r="V140" i="1"/>
  <c r="S11" i="3" s="1"/>
  <c r="AA140" i="1"/>
  <c r="AB140" i="1"/>
  <c r="AC140" i="1"/>
  <c r="AD140" i="1"/>
  <c r="AG140" i="1" s="1"/>
  <c r="AE140" i="1"/>
  <c r="AF140" i="1"/>
  <c r="AH140" i="1"/>
  <c r="AI140" i="1"/>
  <c r="AM140" i="1"/>
  <c r="K141" i="1"/>
  <c r="L141" i="1"/>
  <c r="M141" i="1"/>
  <c r="N141" i="1" s="1"/>
  <c r="V141" i="1"/>
  <c r="S15" i="3" s="1"/>
  <c r="AA141" i="1"/>
  <c r="AB141" i="1"/>
  <c r="AC141" i="1"/>
  <c r="AD141" i="1"/>
  <c r="AG141" i="1" s="1"/>
  <c r="AE141" i="1"/>
  <c r="AF141" i="1"/>
  <c r="AH141" i="1"/>
  <c r="AI141" i="1"/>
  <c r="AM141" i="1"/>
  <c r="K142" i="1"/>
  <c r="L142" i="1"/>
  <c r="M142" i="1"/>
  <c r="N142" i="1" s="1"/>
  <c r="V142" i="1"/>
  <c r="AA142" i="1"/>
  <c r="AB142" i="1"/>
  <c r="AC142" i="1"/>
  <c r="AD142" i="1"/>
  <c r="AG142" i="1" s="1"/>
  <c r="AE142" i="1"/>
  <c r="AF142" i="1"/>
  <c r="AH142" i="1"/>
  <c r="AI142" i="1"/>
  <c r="AM142" i="1"/>
  <c r="K143" i="1"/>
  <c r="L143" i="1"/>
  <c r="M143" i="1"/>
  <c r="N143" i="1" s="1"/>
  <c r="V143" i="1"/>
  <c r="AA143" i="1"/>
  <c r="AB143" i="1"/>
  <c r="AC143" i="1"/>
  <c r="AD143" i="1"/>
  <c r="AG143" i="1" s="1"/>
  <c r="AE143" i="1"/>
  <c r="AF143" i="1"/>
  <c r="AH143" i="1"/>
  <c r="AI143" i="1"/>
  <c r="AM143" i="1"/>
  <c r="K144" i="1"/>
  <c r="L144" i="1"/>
  <c r="M144" i="1"/>
  <c r="N144" i="1" s="1"/>
  <c r="V144" i="1"/>
  <c r="AA144" i="1"/>
  <c r="AB144" i="1"/>
  <c r="AC144" i="1"/>
  <c r="AD144" i="1"/>
  <c r="AG144" i="1" s="1"/>
  <c r="AE144" i="1"/>
  <c r="AF144" i="1"/>
  <c r="AH144" i="1"/>
  <c r="AI144" i="1"/>
  <c r="AM144" i="1"/>
  <c r="K145" i="1"/>
  <c r="L145" i="1"/>
  <c r="M145" i="1"/>
  <c r="N145" i="1" s="1"/>
  <c r="V145" i="1"/>
  <c r="S26" i="3" s="1"/>
  <c r="AA145" i="1"/>
  <c r="AB145" i="1"/>
  <c r="AC145" i="1"/>
  <c r="AD145" i="1"/>
  <c r="AG145" i="1" s="1"/>
  <c r="AE145" i="1"/>
  <c r="AF145" i="1"/>
  <c r="AH145" i="1"/>
  <c r="AI145" i="1"/>
  <c r="AM145" i="1"/>
  <c r="K146" i="1"/>
  <c r="L146" i="1"/>
  <c r="M146" i="1"/>
  <c r="N146" i="1" s="1"/>
  <c r="V146" i="1"/>
  <c r="AA146" i="1"/>
  <c r="AB146" i="1"/>
  <c r="AC146" i="1"/>
  <c r="AD146" i="1"/>
  <c r="AG146" i="1" s="1"/>
  <c r="AE146" i="1"/>
  <c r="AF146" i="1"/>
  <c r="AH146" i="1"/>
  <c r="AI146" i="1"/>
  <c r="AM146" i="1"/>
  <c r="K147" i="1"/>
  <c r="L147" i="1"/>
  <c r="M147" i="1"/>
  <c r="N147" i="1" s="1"/>
  <c r="V147" i="1"/>
  <c r="AA147" i="1"/>
  <c r="AB147" i="1"/>
  <c r="AC147" i="1"/>
  <c r="AD147" i="1"/>
  <c r="AG147" i="1" s="1"/>
  <c r="AE147" i="1"/>
  <c r="AF147" i="1"/>
  <c r="AH147" i="1"/>
  <c r="AI147" i="1"/>
  <c r="AM147" i="1"/>
  <c r="K148" i="1"/>
  <c r="L148" i="1"/>
  <c r="M148" i="1"/>
  <c r="N148" i="1" s="1"/>
  <c r="V148" i="1"/>
  <c r="AA148" i="1"/>
  <c r="AB148" i="1"/>
  <c r="AC148" i="1"/>
  <c r="AD148" i="1"/>
  <c r="AG148" i="1" s="1"/>
  <c r="AE148" i="1"/>
  <c r="AF148" i="1"/>
  <c r="AH148" i="1"/>
  <c r="AI148" i="1"/>
  <c r="AM148" i="1"/>
  <c r="K149" i="1"/>
  <c r="L149" i="1"/>
  <c r="M149" i="1"/>
  <c r="N149" i="1" s="1"/>
  <c r="V149" i="1"/>
  <c r="AA149" i="1"/>
  <c r="AB149" i="1"/>
  <c r="AC149" i="1"/>
  <c r="AD149" i="1"/>
  <c r="AG149" i="1" s="1"/>
  <c r="AE149" i="1"/>
  <c r="AF149" i="1"/>
  <c r="AH149" i="1"/>
  <c r="AI149" i="1"/>
  <c r="AM149" i="1"/>
  <c r="K150" i="1"/>
  <c r="L150" i="1"/>
  <c r="M150" i="1"/>
  <c r="N150" i="1" s="1"/>
  <c r="V150" i="1"/>
  <c r="AA150" i="1"/>
  <c r="AB150" i="1"/>
  <c r="AC150" i="1"/>
  <c r="AD150" i="1"/>
  <c r="AG150" i="1" s="1"/>
  <c r="AE150" i="1"/>
  <c r="AF150" i="1"/>
  <c r="AH150" i="1"/>
  <c r="AI150" i="1"/>
  <c r="AM150" i="1"/>
  <c r="K151" i="1"/>
  <c r="L151" i="1"/>
  <c r="M151" i="1"/>
  <c r="N151" i="1" s="1"/>
  <c r="V151" i="1"/>
  <c r="AA151" i="1"/>
  <c r="AB151" i="1"/>
  <c r="AC151" i="1"/>
  <c r="AD151" i="1"/>
  <c r="AG151" i="1" s="1"/>
  <c r="AE151" i="1"/>
  <c r="AF151" i="1"/>
  <c r="AH151" i="1"/>
  <c r="AI151" i="1"/>
  <c r="AM151" i="1"/>
  <c r="K152" i="1"/>
  <c r="L152" i="1"/>
  <c r="M152" i="1"/>
  <c r="N152" i="1" s="1"/>
  <c r="V152" i="1"/>
  <c r="AA152" i="1"/>
  <c r="AB152" i="1"/>
  <c r="AC152" i="1"/>
  <c r="AD152" i="1"/>
  <c r="AG152" i="1" s="1"/>
  <c r="AE152" i="1"/>
  <c r="AF152" i="1"/>
  <c r="AH152" i="1"/>
  <c r="AI152" i="1"/>
  <c r="AM152" i="1"/>
  <c r="K153" i="1"/>
  <c r="L153" i="1"/>
  <c r="M153" i="1"/>
  <c r="N153" i="1" s="1"/>
  <c r="V153" i="1"/>
  <c r="S27" i="3" s="1"/>
  <c r="AA153" i="1"/>
  <c r="AB153" i="1"/>
  <c r="AC153" i="1"/>
  <c r="AD153" i="1"/>
  <c r="AG153" i="1" s="1"/>
  <c r="AE153" i="1"/>
  <c r="AF153" i="1"/>
  <c r="AH153" i="1"/>
  <c r="AI153" i="1"/>
  <c r="AM153" i="1"/>
  <c r="K154" i="1"/>
  <c r="L154" i="1"/>
  <c r="M154" i="1"/>
  <c r="N154" i="1" s="1"/>
  <c r="V154" i="1"/>
  <c r="AA154" i="1"/>
  <c r="AB154" i="1"/>
  <c r="AC154" i="1"/>
  <c r="AD154" i="1"/>
  <c r="AG154" i="1" s="1"/>
  <c r="AE154" i="1"/>
  <c r="AF154" i="1"/>
  <c r="AH154" i="1"/>
  <c r="AI154" i="1"/>
  <c r="AM154" i="1"/>
  <c r="K155" i="1"/>
  <c r="L155" i="1"/>
  <c r="M155" i="1"/>
  <c r="N155" i="1" s="1"/>
  <c r="V155" i="1"/>
  <c r="AA155" i="1"/>
  <c r="AB155" i="1"/>
  <c r="AC155" i="1"/>
  <c r="AD155" i="1"/>
  <c r="AG155" i="1" s="1"/>
  <c r="AE155" i="1"/>
  <c r="AF155" i="1"/>
  <c r="AH155" i="1"/>
  <c r="AI155" i="1"/>
  <c r="AM155" i="1"/>
  <c r="K156" i="1"/>
  <c r="L156" i="1"/>
  <c r="M156" i="1"/>
  <c r="N156" i="1" s="1"/>
  <c r="V156" i="1"/>
  <c r="AA156" i="1"/>
  <c r="AB156" i="1"/>
  <c r="AC156" i="1"/>
  <c r="AD156" i="1"/>
  <c r="AG156" i="1" s="1"/>
  <c r="AE156" i="1"/>
  <c r="AF156" i="1"/>
  <c r="AH156" i="1"/>
  <c r="AI156" i="1"/>
  <c r="AM156" i="1"/>
  <c r="K157" i="1"/>
  <c r="L157" i="1"/>
  <c r="M157" i="1"/>
  <c r="N157" i="1" s="1"/>
  <c r="V157" i="1"/>
  <c r="AA157" i="1"/>
  <c r="AB157" i="1"/>
  <c r="AC157" i="1"/>
  <c r="AD157" i="1"/>
  <c r="AG157" i="1" s="1"/>
  <c r="AE157" i="1"/>
  <c r="AF157" i="1"/>
  <c r="AH157" i="1"/>
  <c r="AI157" i="1"/>
  <c r="AM157" i="1"/>
  <c r="K158" i="1"/>
  <c r="L158" i="1"/>
  <c r="M158" i="1"/>
  <c r="N158" i="1" s="1"/>
  <c r="V158" i="1"/>
  <c r="AA158" i="1"/>
  <c r="AB158" i="1"/>
  <c r="AC158" i="1"/>
  <c r="AD158" i="1"/>
  <c r="AE158" i="1"/>
  <c r="AF158" i="1"/>
  <c r="AH158" i="1"/>
  <c r="AM158" i="1"/>
  <c r="K206" i="1"/>
  <c r="L206" i="1"/>
  <c r="M206" i="1"/>
  <c r="N206" i="1" s="1"/>
  <c r="V206" i="1"/>
  <c r="AA206" i="1"/>
  <c r="AB206" i="1"/>
  <c r="AC206" i="1"/>
  <c r="AD206" i="1"/>
  <c r="AG206" i="1" s="1"/>
  <c r="AE206" i="1"/>
  <c r="AF206" i="1"/>
  <c r="AH159" i="1"/>
  <c r="AM159" i="1"/>
  <c r="K207" i="1"/>
  <c r="L207" i="1"/>
  <c r="M207" i="1"/>
  <c r="N207" i="1" s="1"/>
  <c r="V207" i="1"/>
  <c r="AA207" i="1"/>
  <c r="AB207" i="1"/>
  <c r="AC207" i="1"/>
  <c r="AD207" i="1"/>
  <c r="AG207" i="1" s="1"/>
  <c r="AE207" i="1"/>
  <c r="AF207" i="1"/>
  <c r="AH160" i="1"/>
  <c r="AM160" i="1"/>
  <c r="K208" i="1"/>
  <c r="L208" i="1"/>
  <c r="M208" i="1"/>
  <c r="N208" i="1" s="1"/>
  <c r="V208" i="1"/>
  <c r="AA208" i="1"/>
  <c r="AB208" i="1"/>
  <c r="AC208" i="1"/>
  <c r="AD208" i="1"/>
  <c r="AG208" i="1" s="1"/>
  <c r="AE208" i="1"/>
  <c r="AF208" i="1"/>
  <c r="AH161" i="1"/>
  <c r="AM161" i="1"/>
  <c r="K209" i="1"/>
  <c r="L209" i="1"/>
  <c r="M209" i="1"/>
  <c r="N209" i="1" s="1"/>
  <c r="V209" i="1"/>
  <c r="AA209" i="1"/>
  <c r="AB209" i="1"/>
  <c r="AC209" i="1"/>
  <c r="AD209" i="1"/>
  <c r="AE209" i="1"/>
  <c r="AF209" i="1"/>
  <c r="AH162" i="1"/>
  <c r="AM162" i="1"/>
  <c r="K210" i="1"/>
  <c r="L210" i="1"/>
  <c r="M210" i="1"/>
  <c r="N210" i="1" s="1"/>
  <c r="V210" i="1"/>
  <c r="AA210" i="1"/>
  <c r="AB210" i="1"/>
  <c r="AC210" i="1"/>
  <c r="AD210" i="1"/>
  <c r="AG210" i="1" s="1"/>
  <c r="AE210" i="1"/>
  <c r="AF210" i="1"/>
  <c r="AH163" i="1"/>
  <c r="AM163" i="1"/>
  <c r="K211" i="1"/>
  <c r="L211" i="1"/>
  <c r="M211" i="1"/>
  <c r="N211" i="1" s="1"/>
  <c r="V211" i="1"/>
  <c r="AA211" i="1"/>
  <c r="AB211" i="1"/>
  <c r="AC211" i="1"/>
  <c r="AD211" i="1"/>
  <c r="AE211" i="1"/>
  <c r="AF211" i="1"/>
  <c r="AH164" i="1"/>
  <c r="AM164" i="1"/>
  <c r="K212" i="1"/>
  <c r="L212" i="1"/>
  <c r="M212" i="1"/>
  <c r="N212" i="1" s="1"/>
  <c r="V212" i="1"/>
  <c r="AA212" i="1"/>
  <c r="AB212" i="1"/>
  <c r="AC212" i="1"/>
  <c r="AD212" i="1"/>
  <c r="AE212" i="1"/>
  <c r="AF212" i="1"/>
  <c r="AH165" i="1"/>
  <c r="AM165" i="1"/>
  <c r="K213" i="1"/>
  <c r="L213" i="1"/>
  <c r="M213" i="1"/>
  <c r="N213" i="1" s="1"/>
  <c r="V213" i="1"/>
  <c r="AA213" i="1"/>
  <c r="AB213" i="1"/>
  <c r="AC213" i="1"/>
  <c r="AD213" i="1"/>
  <c r="AE213" i="1"/>
  <c r="AF213" i="1"/>
  <c r="AH166" i="1"/>
  <c r="AM166" i="1"/>
  <c r="K214" i="1"/>
  <c r="L214" i="1"/>
  <c r="M214" i="1"/>
  <c r="N214" i="1" s="1"/>
  <c r="V214" i="1"/>
  <c r="AA214" i="1"/>
  <c r="AB214" i="1"/>
  <c r="AC214" i="1"/>
  <c r="AD214" i="1"/>
  <c r="AG214" i="1" s="1"/>
  <c r="AE214" i="1"/>
  <c r="AF214" i="1"/>
  <c r="AH167" i="1"/>
  <c r="AM167" i="1"/>
  <c r="K215" i="1"/>
  <c r="L215" i="1"/>
  <c r="M215" i="1"/>
  <c r="N215" i="1" s="1"/>
  <c r="V215" i="1"/>
  <c r="AA215" i="1"/>
  <c r="AB215" i="1"/>
  <c r="AC215" i="1"/>
  <c r="AD215" i="1"/>
  <c r="AE215" i="1"/>
  <c r="AF215" i="1"/>
  <c r="AH168" i="1"/>
  <c r="AM168" i="1"/>
  <c r="K216" i="1"/>
  <c r="L216" i="1"/>
  <c r="M216" i="1"/>
  <c r="N216" i="1" s="1"/>
  <c r="V216" i="1"/>
  <c r="AA216" i="1"/>
  <c r="AB216" i="1"/>
  <c r="AC216" i="1"/>
  <c r="AD216" i="1"/>
  <c r="AE216" i="1"/>
  <c r="AF216" i="1"/>
  <c r="AH169" i="1"/>
  <c r="AM169" i="1"/>
  <c r="K217" i="1"/>
  <c r="L217" i="1"/>
  <c r="M217" i="1"/>
  <c r="N217" i="1" s="1"/>
  <c r="V217" i="1"/>
  <c r="AA217" i="1"/>
  <c r="AB217" i="1"/>
  <c r="AC217" i="1"/>
  <c r="AD217" i="1"/>
  <c r="AE217" i="1"/>
  <c r="AF217" i="1"/>
  <c r="AH170" i="1"/>
  <c r="AM170" i="1"/>
  <c r="K218" i="1"/>
  <c r="L218" i="1"/>
  <c r="M218" i="1"/>
  <c r="N218" i="1" s="1"/>
  <c r="V218" i="1"/>
  <c r="AA218" i="1"/>
  <c r="AB218" i="1"/>
  <c r="AC218" i="1"/>
  <c r="AD218" i="1"/>
  <c r="AG218" i="1" s="1"/>
  <c r="AE218" i="1"/>
  <c r="AF218" i="1"/>
  <c r="AH171" i="1"/>
  <c r="AM171" i="1"/>
  <c r="K225" i="1"/>
  <c r="L225" i="1"/>
  <c r="M225" i="1"/>
  <c r="N225" i="1" s="1"/>
  <c r="V225" i="1"/>
  <c r="AA225" i="1"/>
  <c r="AB225" i="1"/>
  <c r="AC225" i="1"/>
  <c r="AD225" i="1"/>
  <c r="AG225" i="1" s="1"/>
  <c r="AE225" i="1"/>
  <c r="AF225" i="1"/>
  <c r="AH172" i="1"/>
  <c r="AM172" i="1"/>
  <c r="K226" i="1"/>
  <c r="L226" i="1"/>
  <c r="M226" i="1"/>
  <c r="N226" i="1" s="1"/>
  <c r="V226" i="1"/>
  <c r="AA226" i="1"/>
  <c r="AB226" i="1"/>
  <c r="AC226" i="1"/>
  <c r="AD226" i="1"/>
  <c r="AG226" i="1" s="1"/>
  <c r="AI226" i="1" s="1"/>
  <c r="AE226" i="1"/>
  <c r="AF226" i="1"/>
  <c r="AH173" i="1"/>
  <c r="AM173" i="1"/>
  <c r="K227" i="1"/>
  <c r="L227" i="1"/>
  <c r="M227" i="1"/>
  <c r="N227" i="1" s="1"/>
  <c r="V227" i="1"/>
  <c r="AA227" i="1"/>
  <c r="AB227" i="1"/>
  <c r="AC227" i="1"/>
  <c r="AD227" i="1"/>
  <c r="AG227" i="1" s="1"/>
  <c r="AE227" i="1"/>
  <c r="AF227" i="1"/>
  <c r="AH174" i="1"/>
  <c r="AM174" i="1"/>
  <c r="K228" i="1"/>
  <c r="L228" i="1"/>
  <c r="M228" i="1"/>
  <c r="N228" i="1" s="1"/>
  <c r="V228" i="1"/>
  <c r="AA228" i="1"/>
  <c r="AB228" i="1"/>
  <c r="AC228" i="1"/>
  <c r="AD228" i="1"/>
  <c r="AG228" i="1" s="1"/>
  <c r="AE228" i="1"/>
  <c r="R39" i="3" s="1"/>
  <c r="AF228" i="1"/>
  <c r="AH175" i="1"/>
  <c r="AM175" i="1"/>
  <c r="K229" i="1"/>
  <c r="L229" i="1"/>
  <c r="M229" i="1"/>
  <c r="N229" i="1" s="1"/>
  <c r="V229" i="1"/>
  <c r="S36" i="3" s="1"/>
  <c r="AA229" i="1"/>
  <c r="AB229" i="1"/>
  <c r="AC229" i="1"/>
  <c r="AD229" i="1"/>
  <c r="AG229" i="1" s="1"/>
  <c r="AE229" i="1"/>
  <c r="R36" i="3" s="1"/>
  <c r="AF229" i="1"/>
  <c r="AH176" i="1"/>
  <c r="AM176" i="1"/>
  <c r="K230" i="1"/>
  <c r="L230" i="1"/>
  <c r="M230" i="1"/>
  <c r="N230" i="1" s="1"/>
  <c r="V230" i="1"/>
  <c r="AA230" i="1"/>
  <c r="AB230" i="1"/>
  <c r="AC230" i="1"/>
  <c r="AD230" i="1"/>
  <c r="AG230" i="1" s="1"/>
  <c r="AE230" i="1"/>
  <c r="AF230" i="1"/>
  <c r="AH177" i="1"/>
  <c r="AM177" i="1"/>
  <c r="K231" i="1"/>
  <c r="L231" i="1"/>
  <c r="M231" i="1"/>
  <c r="N231" i="1" s="1"/>
  <c r="V231" i="1"/>
  <c r="AA231" i="1"/>
  <c r="AB231" i="1"/>
  <c r="AC231" i="1"/>
  <c r="AD231" i="1"/>
  <c r="AG231" i="1" s="1"/>
  <c r="AE231" i="1"/>
  <c r="AF231" i="1"/>
  <c r="AH178" i="1"/>
  <c r="AM178" i="1"/>
  <c r="K232" i="1"/>
  <c r="L232" i="1"/>
  <c r="M232" i="1"/>
  <c r="N232" i="1" s="1"/>
  <c r="V232" i="1"/>
  <c r="AA232" i="1"/>
  <c r="AB232" i="1"/>
  <c r="AC232" i="1"/>
  <c r="AD232" i="1"/>
  <c r="AG232" i="1" s="1"/>
  <c r="AE232" i="1"/>
  <c r="AF232" i="1"/>
  <c r="AH179" i="1"/>
  <c r="AM179" i="1"/>
  <c r="K233" i="1"/>
  <c r="L233" i="1"/>
  <c r="M233" i="1"/>
  <c r="N233" i="1" s="1"/>
  <c r="V233" i="1"/>
  <c r="AA233" i="1"/>
  <c r="AB233" i="1"/>
  <c r="AC233" i="1"/>
  <c r="AD233" i="1"/>
  <c r="AG233" i="1" s="1"/>
  <c r="AE233" i="1"/>
  <c r="AF233" i="1"/>
  <c r="AH180" i="1"/>
  <c r="AM180" i="1"/>
  <c r="K234" i="1"/>
  <c r="L234" i="1"/>
  <c r="M234" i="1"/>
  <c r="N234" i="1" s="1"/>
  <c r="V234" i="1"/>
  <c r="AA234" i="1"/>
  <c r="AB234" i="1"/>
  <c r="AC234" i="1"/>
  <c r="AD234" i="1"/>
  <c r="AG234" i="1" s="1"/>
  <c r="AE234" i="1"/>
  <c r="AF234" i="1"/>
  <c r="AH181" i="1"/>
  <c r="AM181" i="1"/>
  <c r="K159" i="1"/>
  <c r="L159" i="1"/>
  <c r="M159" i="1"/>
  <c r="N159" i="1" s="1"/>
  <c r="V159" i="1"/>
  <c r="AA159" i="1"/>
  <c r="AB159" i="1"/>
  <c r="AC159" i="1"/>
  <c r="AD159" i="1"/>
  <c r="AG159" i="1" s="1"/>
  <c r="AE159" i="1"/>
  <c r="AF159" i="1"/>
  <c r="AH182" i="1"/>
  <c r="AM182" i="1"/>
  <c r="K160" i="1"/>
  <c r="L160" i="1"/>
  <c r="M160" i="1"/>
  <c r="N160" i="1" s="1"/>
  <c r="V160" i="1"/>
  <c r="AA160" i="1"/>
  <c r="AB160" i="1"/>
  <c r="AC160" i="1"/>
  <c r="AD160" i="1"/>
  <c r="AG160" i="1" s="1"/>
  <c r="AI160" i="1" s="1"/>
  <c r="AE160" i="1"/>
  <c r="AF160" i="1"/>
  <c r="AH183" i="1"/>
  <c r="AM183" i="1"/>
  <c r="K161" i="1"/>
  <c r="L161" i="1"/>
  <c r="M161" i="1"/>
  <c r="N161" i="1" s="1"/>
  <c r="V161" i="1"/>
  <c r="AA161" i="1"/>
  <c r="AB161" i="1"/>
  <c r="AC161" i="1"/>
  <c r="AD161" i="1"/>
  <c r="AG161" i="1" s="1"/>
  <c r="AI161" i="1" s="1"/>
  <c r="AE161" i="1"/>
  <c r="R28" i="3" s="1"/>
  <c r="AF161" i="1"/>
  <c r="AH184" i="1"/>
  <c r="AM184" i="1"/>
  <c r="K162" i="1"/>
  <c r="L162" i="1"/>
  <c r="M162" i="1"/>
  <c r="N162" i="1" s="1"/>
  <c r="V162" i="1"/>
  <c r="AA162" i="1"/>
  <c r="AB162" i="1"/>
  <c r="AC162" i="1"/>
  <c r="AD162" i="1"/>
  <c r="AG162" i="1" s="1"/>
  <c r="AI162" i="1" s="1"/>
  <c r="AE162" i="1"/>
  <c r="AF162" i="1"/>
  <c r="AH185" i="1"/>
  <c r="AM185" i="1"/>
  <c r="K163" i="1"/>
  <c r="L163" i="1"/>
  <c r="M163" i="1"/>
  <c r="N163" i="1" s="1"/>
  <c r="V163" i="1"/>
  <c r="AA163" i="1"/>
  <c r="AB163" i="1"/>
  <c r="AC163" i="1"/>
  <c r="AD163" i="1"/>
  <c r="AG163" i="1" s="1"/>
  <c r="AE163" i="1"/>
  <c r="AF163" i="1"/>
  <c r="AH186" i="1"/>
  <c r="AM186" i="1"/>
  <c r="K164" i="1"/>
  <c r="L164" i="1"/>
  <c r="M164" i="1"/>
  <c r="N164" i="1" s="1"/>
  <c r="V164" i="1"/>
  <c r="AA164" i="1"/>
  <c r="AB164" i="1"/>
  <c r="AC164" i="1"/>
  <c r="AD164" i="1"/>
  <c r="AG164" i="1" s="1"/>
  <c r="AI164" i="1" s="1"/>
  <c r="AE164" i="1"/>
  <c r="AF164" i="1"/>
  <c r="AH187" i="1"/>
  <c r="AM187" i="1"/>
  <c r="K165" i="1"/>
  <c r="L165" i="1"/>
  <c r="M165" i="1"/>
  <c r="N165" i="1" s="1"/>
  <c r="V165" i="1"/>
  <c r="AA165" i="1"/>
  <c r="W165" i="1" s="1"/>
  <c r="AB165" i="1"/>
  <c r="AC165" i="1"/>
  <c r="AD165" i="1"/>
  <c r="AG165" i="1" s="1"/>
  <c r="AI165" i="1" s="1"/>
  <c r="AE165" i="1"/>
  <c r="AF165" i="1"/>
  <c r="AH188" i="1"/>
  <c r="AM188" i="1"/>
  <c r="K166" i="1"/>
  <c r="L166" i="1"/>
  <c r="M166" i="1"/>
  <c r="N166" i="1" s="1"/>
  <c r="V166" i="1"/>
  <c r="AA166" i="1"/>
  <c r="AB166" i="1"/>
  <c r="AC166" i="1"/>
  <c r="AD166" i="1"/>
  <c r="AG166" i="1" s="1"/>
  <c r="AI166" i="1" s="1"/>
  <c r="AE166" i="1"/>
  <c r="AF166" i="1"/>
  <c r="AH189" i="1"/>
  <c r="AM189" i="1"/>
  <c r="K167" i="1"/>
  <c r="L167" i="1"/>
  <c r="M167" i="1"/>
  <c r="N167" i="1" s="1"/>
  <c r="T167" i="1"/>
  <c r="V167" i="1"/>
  <c r="AA167" i="1"/>
  <c r="AB167" i="1"/>
  <c r="AC167" i="1"/>
  <c r="AD167" i="1"/>
  <c r="AG167" i="1" s="1"/>
  <c r="AE167" i="1"/>
  <c r="AF167" i="1"/>
  <c r="AH190" i="1"/>
  <c r="AM190" i="1"/>
  <c r="K168" i="1"/>
  <c r="L168" i="1"/>
  <c r="M168" i="1"/>
  <c r="N168" i="1" s="1"/>
  <c r="V168" i="1"/>
  <c r="AA168" i="1"/>
  <c r="AB168" i="1"/>
  <c r="AC168" i="1"/>
  <c r="AD168" i="1"/>
  <c r="AG168" i="1" s="1"/>
  <c r="AI168" i="1" s="1"/>
  <c r="AE168" i="1"/>
  <c r="AF168" i="1"/>
  <c r="AH191" i="1"/>
  <c r="AM191" i="1"/>
  <c r="K169" i="1"/>
  <c r="L169" i="1"/>
  <c r="M169" i="1"/>
  <c r="N169" i="1" s="1"/>
  <c r="V169" i="1"/>
  <c r="AA169" i="1"/>
  <c r="AB169" i="1"/>
  <c r="AC169" i="1"/>
  <c r="AD169" i="1"/>
  <c r="AG169" i="1" s="1"/>
  <c r="AE169" i="1"/>
  <c r="AF169" i="1"/>
  <c r="AH192" i="1"/>
  <c r="AM192" i="1"/>
  <c r="K170" i="1"/>
  <c r="L170" i="1"/>
  <c r="M170" i="1"/>
  <c r="N170" i="1" s="1"/>
  <c r="V170" i="1"/>
  <c r="AA170" i="1"/>
  <c r="AB170" i="1"/>
  <c r="AC170" i="1"/>
  <c r="AD170" i="1"/>
  <c r="AG170" i="1" s="1"/>
  <c r="AE170" i="1"/>
  <c r="AF170" i="1"/>
  <c r="AH193" i="1"/>
  <c r="AM193" i="1"/>
  <c r="K171" i="1"/>
  <c r="L171" i="1"/>
  <c r="M171" i="1"/>
  <c r="N171" i="1" s="1"/>
  <c r="V171" i="1"/>
  <c r="AA171" i="1"/>
  <c r="AB171" i="1"/>
  <c r="AC171" i="1"/>
  <c r="AD171" i="1"/>
  <c r="AG171" i="1" s="1"/>
  <c r="AE171" i="1"/>
  <c r="AF171" i="1"/>
  <c r="AH194" i="1"/>
  <c r="AM194" i="1"/>
  <c r="K172" i="1"/>
  <c r="L172" i="1"/>
  <c r="M172" i="1"/>
  <c r="N172" i="1" s="1"/>
  <c r="V172" i="1"/>
  <c r="AA172" i="1"/>
  <c r="AB172" i="1"/>
  <c r="AC172" i="1"/>
  <c r="AD172" i="1"/>
  <c r="AG172" i="1" s="1"/>
  <c r="AI172" i="1" s="1"/>
  <c r="AE172" i="1"/>
  <c r="AF172" i="1"/>
  <c r="AH195" i="1"/>
  <c r="AM195" i="1"/>
  <c r="K173" i="1"/>
  <c r="L173" i="1"/>
  <c r="M173" i="1"/>
  <c r="N173" i="1" s="1"/>
  <c r="V173" i="1"/>
  <c r="AA173" i="1"/>
  <c r="AB173" i="1"/>
  <c r="AC173" i="1"/>
  <c r="AD173" i="1"/>
  <c r="AG173" i="1" s="1"/>
  <c r="AE173" i="1"/>
  <c r="AF173" i="1"/>
  <c r="AH196" i="1"/>
  <c r="AM196" i="1"/>
  <c r="K174" i="1"/>
  <c r="L174" i="1"/>
  <c r="M174" i="1"/>
  <c r="N174" i="1" s="1"/>
  <c r="V174" i="1"/>
  <c r="AA174" i="1"/>
  <c r="AB174" i="1"/>
  <c r="AC174" i="1"/>
  <c r="AD174" i="1"/>
  <c r="AG174" i="1" s="1"/>
  <c r="AE174" i="1"/>
  <c r="AF174" i="1"/>
  <c r="AH197" i="1"/>
  <c r="AM197" i="1"/>
  <c r="K175" i="1"/>
  <c r="L175" i="1"/>
  <c r="M175" i="1"/>
  <c r="N175" i="1"/>
  <c r="V175" i="1"/>
  <c r="AA175" i="1"/>
  <c r="AB175" i="1"/>
  <c r="AC175" i="1"/>
  <c r="AD175" i="1"/>
  <c r="AG175" i="1" s="1"/>
  <c r="AI175" i="1" s="1"/>
  <c r="AE175" i="1"/>
  <c r="AF175" i="1"/>
  <c r="AH198" i="1"/>
  <c r="AM198" i="1"/>
  <c r="K176" i="1"/>
  <c r="L176" i="1"/>
  <c r="M176" i="1"/>
  <c r="N176" i="1" s="1"/>
  <c r="V176" i="1"/>
  <c r="AA176" i="1"/>
  <c r="AB176" i="1"/>
  <c r="AC176" i="1"/>
  <c r="AD176" i="1"/>
  <c r="AG176" i="1" s="1"/>
  <c r="AI176" i="1" s="1"/>
  <c r="AE176" i="1"/>
  <c r="AF176" i="1"/>
  <c r="AH199" i="1"/>
  <c r="AM199" i="1"/>
  <c r="K177" i="1"/>
  <c r="L177" i="1"/>
  <c r="M177" i="1"/>
  <c r="N177" i="1" s="1"/>
  <c r="V177" i="1"/>
  <c r="AA177" i="1"/>
  <c r="AB177" i="1"/>
  <c r="AC177" i="1"/>
  <c r="AD177" i="1"/>
  <c r="AG177" i="1" s="1"/>
  <c r="AE177" i="1"/>
  <c r="AF177" i="1"/>
  <c r="AH200" i="1"/>
  <c r="AM200" i="1"/>
  <c r="K178" i="1"/>
  <c r="L178" i="1"/>
  <c r="M178" i="1"/>
  <c r="N178" i="1" s="1"/>
  <c r="V178" i="1"/>
  <c r="AA178" i="1"/>
  <c r="AB178" i="1"/>
  <c r="AC178" i="1"/>
  <c r="AD178" i="1"/>
  <c r="AG178" i="1" s="1"/>
  <c r="AE178" i="1"/>
  <c r="AF178" i="1"/>
  <c r="AH201" i="1"/>
  <c r="AM201" i="1"/>
  <c r="K179" i="1"/>
  <c r="L179" i="1"/>
  <c r="M179" i="1"/>
  <c r="N179" i="1" s="1"/>
  <c r="V179" i="1"/>
  <c r="AA179" i="1"/>
  <c r="AB179" i="1"/>
  <c r="AC179" i="1"/>
  <c r="AD179" i="1"/>
  <c r="AG179" i="1" s="1"/>
  <c r="AE179" i="1"/>
  <c r="AF179" i="1"/>
  <c r="AH202" i="1"/>
  <c r="AM202" i="1"/>
  <c r="K180" i="1"/>
  <c r="L180" i="1"/>
  <c r="M180" i="1"/>
  <c r="N180" i="1" s="1"/>
  <c r="V180" i="1"/>
  <c r="AA180" i="1"/>
  <c r="AB180" i="1"/>
  <c r="AC180" i="1"/>
  <c r="AD180" i="1"/>
  <c r="AG180" i="1" s="1"/>
  <c r="AI180" i="1" s="1"/>
  <c r="AE180" i="1"/>
  <c r="AF180" i="1"/>
  <c r="AH203" i="1"/>
  <c r="AM203" i="1"/>
  <c r="K181" i="1"/>
  <c r="L181" i="1"/>
  <c r="M181" i="1"/>
  <c r="N181" i="1" s="1"/>
  <c r="T181" i="1"/>
  <c r="U181" i="1" s="1"/>
  <c r="V181" i="1"/>
  <c r="AA181" i="1"/>
  <c r="AB181" i="1"/>
  <c r="AC181" i="1"/>
  <c r="AD181" i="1"/>
  <c r="AG181" i="1" s="1"/>
  <c r="AI181" i="1" s="1"/>
  <c r="AE181" i="1"/>
  <c r="AF181" i="1"/>
  <c r="AH204" i="1"/>
  <c r="AM204" i="1"/>
  <c r="K182" i="1"/>
  <c r="L182" i="1"/>
  <c r="M182" i="1"/>
  <c r="N182" i="1" s="1"/>
  <c r="V182" i="1"/>
  <c r="AA182" i="1"/>
  <c r="AB182" i="1"/>
  <c r="AC182" i="1"/>
  <c r="AD182" i="1"/>
  <c r="AG182" i="1" s="1"/>
  <c r="AI182" i="1" s="1"/>
  <c r="AE182" i="1"/>
  <c r="AF182" i="1"/>
  <c r="AH205" i="1"/>
  <c r="AM205" i="1"/>
  <c r="K183" i="1"/>
  <c r="L183" i="1"/>
  <c r="M183" i="1"/>
  <c r="N183" i="1" s="1"/>
  <c r="V183" i="1"/>
  <c r="S29" i="3" s="1"/>
  <c r="AA183" i="1"/>
  <c r="AB183" i="1"/>
  <c r="AC183" i="1"/>
  <c r="AD183" i="1"/>
  <c r="AG183" i="1" s="1"/>
  <c r="AE183" i="1"/>
  <c r="R29" i="3" s="1"/>
  <c r="AF183" i="1"/>
  <c r="AH206" i="1"/>
  <c r="AI206" i="1"/>
  <c r="AM206" i="1"/>
  <c r="K184" i="1"/>
  <c r="L184" i="1"/>
  <c r="M184" i="1"/>
  <c r="N184" i="1" s="1"/>
  <c r="V184" i="1"/>
  <c r="AA184" i="1"/>
  <c r="AB184" i="1"/>
  <c r="AC184" i="1"/>
  <c r="AD184" i="1"/>
  <c r="AG184" i="1" s="1"/>
  <c r="AI184" i="1" s="1"/>
  <c r="AE184" i="1"/>
  <c r="AF184" i="1"/>
  <c r="AH207" i="1"/>
  <c r="AI207" i="1"/>
  <c r="AM207" i="1"/>
  <c r="K185" i="1"/>
  <c r="L185" i="1"/>
  <c r="M185" i="1"/>
  <c r="N185" i="1" s="1"/>
  <c r="V185" i="1"/>
  <c r="S30" i="3" s="1"/>
  <c r="AA185" i="1"/>
  <c r="AB185" i="1"/>
  <c r="AC185" i="1"/>
  <c r="AD185" i="1"/>
  <c r="AG185" i="1" s="1"/>
  <c r="AE185" i="1"/>
  <c r="AF185" i="1"/>
  <c r="AH208" i="1"/>
  <c r="AI208" i="1"/>
  <c r="AM208" i="1"/>
  <c r="K186" i="1"/>
  <c r="L186" i="1"/>
  <c r="M186" i="1"/>
  <c r="N186" i="1" s="1"/>
  <c r="V186" i="1"/>
  <c r="AA186" i="1"/>
  <c r="AB186" i="1"/>
  <c r="AC186" i="1"/>
  <c r="AD186" i="1"/>
  <c r="AG186" i="1" s="1"/>
  <c r="AI186" i="1" s="1"/>
  <c r="AE186" i="1"/>
  <c r="AF186" i="1"/>
  <c r="AH209" i="1"/>
  <c r="AM209" i="1"/>
  <c r="K187" i="1"/>
  <c r="L187" i="1"/>
  <c r="M187" i="1"/>
  <c r="N187" i="1" s="1"/>
  <c r="V187" i="1"/>
  <c r="AA187" i="1"/>
  <c r="AB187" i="1"/>
  <c r="AC187" i="1"/>
  <c r="AD187" i="1"/>
  <c r="AG187" i="1" s="1"/>
  <c r="AE187" i="1"/>
  <c r="AF187" i="1"/>
  <c r="AH210" i="1"/>
  <c r="AI210" i="1"/>
  <c r="AM210" i="1"/>
  <c r="K188" i="1"/>
  <c r="L188" i="1"/>
  <c r="M188" i="1"/>
  <c r="N188" i="1" s="1"/>
  <c r="V188" i="1"/>
  <c r="AA188" i="1"/>
  <c r="AB188" i="1"/>
  <c r="AC188" i="1"/>
  <c r="AD188" i="1"/>
  <c r="AG188" i="1" s="1"/>
  <c r="AI188" i="1" s="1"/>
  <c r="AE188" i="1"/>
  <c r="AF188" i="1"/>
  <c r="AH211" i="1"/>
  <c r="AM211" i="1"/>
  <c r="K235" i="1"/>
  <c r="L235" i="1"/>
  <c r="M235" i="1"/>
  <c r="N235" i="1" s="1"/>
  <c r="V235" i="1"/>
  <c r="S43" i="3" s="1"/>
  <c r="AA235" i="1"/>
  <c r="AB235" i="1"/>
  <c r="AC235" i="1"/>
  <c r="AD235" i="1"/>
  <c r="AG235" i="1" s="1"/>
  <c r="AE235" i="1"/>
  <c r="R43" i="3" s="1"/>
  <c r="AF235" i="1"/>
  <c r="AH212" i="1"/>
  <c r="AM212" i="1"/>
  <c r="K189" i="1"/>
  <c r="L189" i="1"/>
  <c r="M189" i="1"/>
  <c r="N189" i="1" s="1"/>
  <c r="V189" i="1"/>
  <c r="AA189" i="1"/>
  <c r="AB189" i="1"/>
  <c r="AC189" i="1"/>
  <c r="AD189" i="1"/>
  <c r="AG189" i="1" s="1"/>
  <c r="AE189" i="1"/>
  <c r="AF189" i="1"/>
  <c r="AH213" i="1"/>
  <c r="AM213" i="1"/>
  <c r="K190" i="1"/>
  <c r="L190" i="1"/>
  <c r="M190" i="1"/>
  <c r="N190" i="1" s="1"/>
  <c r="V190" i="1"/>
  <c r="AA190" i="1"/>
  <c r="AB190" i="1"/>
  <c r="AC190" i="1"/>
  <c r="AD190" i="1"/>
  <c r="AG190" i="1" s="1"/>
  <c r="AE190" i="1"/>
  <c r="AF190" i="1"/>
  <c r="AH214" i="1"/>
  <c r="AI214" i="1"/>
  <c r="AM214" i="1"/>
  <c r="K191" i="1"/>
  <c r="L191" i="1"/>
  <c r="M191" i="1"/>
  <c r="N191" i="1" s="1"/>
  <c r="V191" i="1"/>
  <c r="AA191" i="1"/>
  <c r="AB191" i="1"/>
  <c r="AC191" i="1"/>
  <c r="AD191" i="1"/>
  <c r="AG191" i="1" s="1"/>
  <c r="AI191" i="1" s="1"/>
  <c r="AE191" i="1"/>
  <c r="AF191" i="1"/>
  <c r="AH215" i="1"/>
  <c r="AM215" i="1"/>
  <c r="K192" i="1"/>
  <c r="L192" i="1"/>
  <c r="M192" i="1"/>
  <c r="N192" i="1" s="1"/>
  <c r="V192" i="1"/>
  <c r="AA192" i="1"/>
  <c r="AB192" i="1"/>
  <c r="AC192" i="1"/>
  <c r="AD192" i="1"/>
  <c r="AG192" i="1" s="1"/>
  <c r="AE192" i="1"/>
  <c r="AF192" i="1"/>
  <c r="AH216" i="1"/>
  <c r="AM216" i="1"/>
  <c r="K193" i="1"/>
  <c r="L193" i="1"/>
  <c r="M193" i="1"/>
  <c r="N193" i="1" s="1"/>
  <c r="V193" i="1"/>
  <c r="AA193" i="1"/>
  <c r="AB193" i="1"/>
  <c r="AC193" i="1"/>
  <c r="AD193" i="1"/>
  <c r="AG193" i="1" s="1"/>
  <c r="AE193" i="1"/>
  <c r="AF193" i="1"/>
  <c r="AH217" i="1"/>
  <c r="AM217" i="1"/>
  <c r="K194" i="1"/>
  <c r="L194" i="1"/>
  <c r="M194" i="1"/>
  <c r="N194" i="1" s="1"/>
  <c r="V194" i="1"/>
  <c r="AA194" i="1"/>
  <c r="AB194" i="1"/>
  <c r="AC194" i="1"/>
  <c r="AD194" i="1"/>
  <c r="AG194" i="1" s="1"/>
  <c r="AI194" i="1" s="1"/>
  <c r="AE194" i="1"/>
  <c r="AF194" i="1"/>
  <c r="AH218" i="1"/>
  <c r="AI218" i="1"/>
  <c r="AM218" i="1"/>
  <c r="K195" i="1"/>
  <c r="L195" i="1"/>
  <c r="M195" i="1"/>
  <c r="N195" i="1" s="1"/>
  <c r="V195" i="1"/>
  <c r="S31" i="3" s="1"/>
  <c r="AA195" i="1"/>
  <c r="AB195" i="1"/>
  <c r="AC195" i="1"/>
  <c r="AD195" i="1"/>
  <c r="AG195" i="1" s="1"/>
  <c r="AI195" i="1" s="1"/>
  <c r="AE195" i="1"/>
  <c r="R31" i="3" s="1"/>
  <c r="AF195" i="1"/>
  <c r="AH219" i="1"/>
  <c r="AM219" i="1"/>
  <c r="K196" i="1"/>
  <c r="L196" i="1"/>
  <c r="M196" i="1"/>
  <c r="N196" i="1" s="1"/>
  <c r="V196" i="1"/>
  <c r="AA196" i="1"/>
  <c r="AB196" i="1"/>
  <c r="AC196" i="1"/>
  <c r="AD196" i="1"/>
  <c r="AG196" i="1" s="1"/>
  <c r="AE196" i="1"/>
  <c r="AF196" i="1"/>
  <c r="AH220" i="1"/>
  <c r="AM220" i="1"/>
  <c r="K197" i="1"/>
  <c r="L197" i="1"/>
  <c r="M197" i="1"/>
  <c r="N197" i="1" s="1"/>
  <c r="V197" i="1"/>
  <c r="AA197" i="1"/>
  <c r="AB197" i="1"/>
  <c r="AC197" i="1"/>
  <c r="AD197" i="1"/>
  <c r="AG197" i="1" s="1"/>
  <c r="AE197" i="1"/>
  <c r="AF197" i="1"/>
  <c r="AH221" i="1"/>
  <c r="AM221" i="1"/>
  <c r="K198" i="1"/>
  <c r="L198" i="1"/>
  <c r="M198" i="1"/>
  <c r="N198" i="1" s="1"/>
  <c r="V198" i="1"/>
  <c r="AA198" i="1"/>
  <c r="AB198" i="1"/>
  <c r="AC198" i="1"/>
  <c r="AD198" i="1"/>
  <c r="AG198" i="1" s="1"/>
  <c r="AI198" i="1" s="1"/>
  <c r="AE198" i="1"/>
  <c r="R33" i="3" s="1"/>
  <c r="AF198" i="1"/>
  <c r="AH222" i="1"/>
  <c r="AM222" i="1"/>
  <c r="K236" i="1"/>
  <c r="L236" i="1"/>
  <c r="M236" i="1"/>
  <c r="N236" i="1" s="1"/>
  <c r="V236" i="1"/>
  <c r="S40" i="3" s="1"/>
  <c r="AA236" i="1"/>
  <c r="AB236" i="1"/>
  <c r="AC236" i="1"/>
  <c r="AD236" i="1"/>
  <c r="AG236" i="1" s="1"/>
  <c r="AE236" i="1"/>
  <c r="R40" i="3" s="1"/>
  <c r="AF236" i="1"/>
  <c r="AH223" i="1"/>
  <c r="AM223" i="1"/>
  <c r="K199" i="1"/>
  <c r="L199" i="1"/>
  <c r="M199" i="1"/>
  <c r="N199" i="1" s="1"/>
  <c r="V199" i="1"/>
  <c r="AA199" i="1"/>
  <c r="AB199" i="1"/>
  <c r="AC199" i="1"/>
  <c r="AD199" i="1"/>
  <c r="AG199" i="1" s="1"/>
  <c r="AI199" i="1" s="1"/>
  <c r="AE199" i="1"/>
  <c r="AF199" i="1"/>
  <c r="AH224" i="1"/>
  <c r="AM224" i="1"/>
  <c r="K200" i="1"/>
  <c r="L200" i="1"/>
  <c r="M200" i="1"/>
  <c r="N200" i="1" s="1"/>
  <c r="V200" i="1"/>
  <c r="AA200" i="1"/>
  <c r="AB200" i="1"/>
  <c r="AC200" i="1"/>
  <c r="AD200" i="1"/>
  <c r="AG200" i="1" s="1"/>
  <c r="AI200" i="1" s="1"/>
  <c r="AE200" i="1"/>
  <c r="AF200" i="1"/>
  <c r="AH225" i="1"/>
  <c r="AI225" i="1"/>
  <c r="AM225" i="1"/>
  <c r="K201" i="1"/>
  <c r="L201" i="1"/>
  <c r="M201" i="1"/>
  <c r="N201" i="1" s="1"/>
  <c r="V201" i="1"/>
  <c r="AA201" i="1"/>
  <c r="AB201" i="1"/>
  <c r="AC201" i="1"/>
  <c r="AD201" i="1"/>
  <c r="AG201" i="1" s="1"/>
  <c r="AE201" i="1"/>
  <c r="AF201" i="1"/>
  <c r="AH226" i="1"/>
  <c r="AM226" i="1"/>
  <c r="K202" i="1"/>
  <c r="L202" i="1"/>
  <c r="M202" i="1"/>
  <c r="N202" i="1" s="1"/>
  <c r="V202" i="1"/>
  <c r="AA202" i="1"/>
  <c r="AB202" i="1"/>
  <c r="AC202" i="1"/>
  <c r="AD202" i="1"/>
  <c r="AG202" i="1" s="1"/>
  <c r="AE202" i="1"/>
  <c r="AF202" i="1"/>
  <c r="AH227" i="1"/>
  <c r="AI227" i="1"/>
  <c r="AM227" i="1"/>
  <c r="K203" i="1"/>
  <c r="L203" i="1"/>
  <c r="M203" i="1"/>
  <c r="N203" i="1" s="1"/>
  <c r="V203" i="1"/>
  <c r="S32" i="3" s="1"/>
  <c r="AA203" i="1"/>
  <c r="AB203" i="1"/>
  <c r="AC203" i="1"/>
  <c r="AD203" i="1"/>
  <c r="AG203" i="1" s="1"/>
  <c r="AI203" i="1" s="1"/>
  <c r="AE203" i="1"/>
  <c r="R32" i="3" s="1"/>
  <c r="AF203" i="1"/>
  <c r="AH228" i="1"/>
  <c r="AI228" i="1"/>
  <c r="AM228" i="1"/>
  <c r="K204" i="1"/>
  <c r="L204" i="1"/>
  <c r="M204" i="1"/>
  <c r="N204" i="1" s="1"/>
  <c r="V204" i="1"/>
  <c r="AA204" i="1"/>
  <c r="AB204" i="1"/>
  <c r="AC204" i="1"/>
  <c r="AD204" i="1"/>
  <c r="AG204" i="1" s="1"/>
  <c r="AI204" i="1" s="1"/>
  <c r="AE204" i="1"/>
  <c r="AF204" i="1"/>
  <c r="AH229" i="1"/>
  <c r="AI229" i="1"/>
  <c r="AM229" i="1"/>
  <c r="K205" i="1"/>
  <c r="L205" i="1"/>
  <c r="M205" i="1"/>
  <c r="N205" i="1" s="1"/>
  <c r="V205" i="1"/>
  <c r="AA205" i="1"/>
  <c r="AB205" i="1"/>
  <c r="AC205" i="1"/>
  <c r="AD205" i="1"/>
  <c r="AG205" i="1" s="1"/>
  <c r="AE205" i="1"/>
  <c r="AF205" i="1"/>
  <c r="AH230" i="1"/>
  <c r="AI230" i="1"/>
  <c r="AM230" i="1"/>
  <c r="K219" i="1"/>
  <c r="L219" i="1"/>
  <c r="M219" i="1"/>
  <c r="N219" i="1" s="1"/>
  <c r="V219" i="1"/>
  <c r="AA219" i="1"/>
  <c r="AB219" i="1"/>
  <c r="AC219" i="1"/>
  <c r="AD219" i="1"/>
  <c r="AG219" i="1" s="1"/>
  <c r="AI219" i="1" s="1"/>
  <c r="AE219" i="1"/>
  <c r="AF219" i="1"/>
  <c r="AH231" i="1"/>
  <c r="AI231" i="1"/>
  <c r="AM231" i="1"/>
  <c r="K220" i="1"/>
  <c r="L220" i="1"/>
  <c r="M220" i="1"/>
  <c r="N220" i="1" s="1"/>
  <c r="V220" i="1"/>
  <c r="AA220" i="1"/>
  <c r="AB220" i="1"/>
  <c r="AC220" i="1"/>
  <c r="AD220" i="1"/>
  <c r="AG220" i="1" s="1"/>
  <c r="AI220" i="1" s="1"/>
  <c r="AE220" i="1"/>
  <c r="AF220" i="1"/>
  <c r="AH232" i="1"/>
  <c r="AI232" i="1"/>
  <c r="AM232" i="1"/>
  <c r="K221" i="1"/>
  <c r="L221" i="1"/>
  <c r="M221" i="1"/>
  <c r="N221" i="1" s="1"/>
  <c r="V221" i="1"/>
  <c r="AA221" i="1"/>
  <c r="AB221" i="1"/>
  <c r="AC221" i="1"/>
  <c r="AD221" i="1"/>
  <c r="X221" i="1" s="1"/>
  <c r="AE221" i="1"/>
  <c r="AF221" i="1"/>
  <c r="AH233" i="1"/>
  <c r="AM233" i="1"/>
  <c r="K222" i="1"/>
  <c r="L222" i="1"/>
  <c r="M222" i="1"/>
  <c r="N222" i="1" s="1"/>
  <c r="V222" i="1"/>
  <c r="AA222" i="1"/>
  <c r="AB222" i="1"/>
  <c r="AC222" i="1"/>
  <c r="AD222" i="1"/>
  <c r="AG222" i="1" s="1"/>
  <c r="AI222" i="1" s="1"/>
  <c r="AE222" i="1"/>
  <c r="AF222" i="1"/>
  <c r="AH234" i="1"/>
  <c r="AM234" i="1"/>
  <c r="K223" i="1"/>
  <c r="L223" i="1"/>
  <c r="M223" i="1"/>
  <c r="N223" i="1" s="1"/>
  <c r="V223" i="1"/>
  <c r="AA223" i="1"/>
  <c r="AB223" i="1"/>
  <c r="AC223" i="1"/>
  <c r="AD223" i="1"/>
  <c r="AG223" i="1" s="1"/>
  <c r="AE223" i="1"/>
  <c r="AF223" i="1"/>
  <c r="AH235" i="1"/>
  <c r="AM235" i="1"/>
  <c r="K224" i="1"/>
  <c r="L224" i="1"/>
  <c r="M224" i="1"/>
  <c r="N224" i="1"/>
  <c r="V224" i="1"/>
  <c r="S37" i="3" s="1"/>
  <c r="AA224" i="1"/>
  <c r="AB224" i="1"/>
  <c r="AC224" i="1"/>
  <c r="AD224" i="1"/>
  <c r="T224" i="1" s="1"/>
  <c r="AE224" i="1"/>
  <c r="R37" i="3" s="1"/>
  <c r="AF224" i="1"/>
  <c r="AH236" i="1"/>
  <c r="AM236" i="1"/>
  <c r="M19" i="3"/>
  <c r="R19" i="3"/>
  <c r="S19" i="3"/>
  <c r="U19" i="3"/>
  <c r="T19" i="3" s="1"/>
  <c r="V19" i="3"/>
  <c r="W19" i="3"/>
  <c r="X19" i="3"/>
  <c r="AC19" i="3"/>
  <c r="M28" i="3"/>
  <c r="S28" i="3"/>
  <c r="U28" i="3"/>
  <c r="V28" i="3"/>
  <c r="W28" i="3"/>
  <c r="X28" i="3"/>
  <c r="M20" i="3"/>
  <c r="R20" i="3"/>
  <c r="S20" i="3"/>
  <c r="U20" i="3"/>
  <c r="AC20" i="3" s="1"/>
  <c r="V20" i="3"/>
  <c r="W20" i="3"/>
  <c r="X20" i="3"/>
  <c r="M16" i="3"/>
  <c r="U16" i="3"/>
  <c r="T16" i="3" s="1"/>
  <c r="V16" i="3"/>
  <c r="W16" i="3"/>
  <c r="X16" i="3"/>
  <c r="M13" i="3"/>
  <c r="R13" i="3"/>
  <c r="U13" i="3"/>
  <c r="T13" i="3" s="1"/>
  <c r="V13" i="3"/>
  <c r="W13" i="3"/>
  <c r="X13" i="3"/>
  <c r="AC13" i="3"/>
  <c r="M10" i="3"/>
  <c r="R10" i="3"/>
  <c r="U10" i="3"/>
  <c r="V10" i="3"/>
  <c r="W10" i="3"/>
  <c r="X10" i="3"/>
  <c r="M21" i="3"/>
  <c r="R21" i="3"/>
  <c r="S21" i="3"/>
  <c r="U21" i="3"/>
  <c r="AC21" i="3" s="1"/>
  <c r="V21" i="3"/>
  <c r="W21" i="3"/>
  <c r="X21" i="3"/>
  <c r="M9" i="3"/>
  <c r="R9" i="3"/>
  <c r="S9" i="3"/>
  <c r="U9" i="3"/>
  <c r="T9" i="3" s="1"/>
  <c r="V9" i="3"/>
  <c r="W9" i="3"/>
  <c r="X9" i="3"/>
  <c r="AC9" i="3"/>
  <c r="M8" i="3"/>
  <c r="R8" i="3"/>
  <c r="S8" i="3"/>
  <c r="U8" i="3"/>
  <c r="T8" i="3" s="1"/>
  <c r="V8" i="3"/>
  <c r="W8" i="3"/>
  <c r="X8" i="3"/>
  <c r="M22" i="3"/>
  <c r="R22" i="3"/>
  <c r="U22" i="3"/>
  <c r="V22" i="3"/>
  <c r="W22" i="3"/>
  <c r="X22" i="3"/>
  <c r="M23" i="3"/>
  <c r="R23" i="3"/>
  <c r="S23" i="3"/>
  <c r="U23" i="3"/>
  <c r="AC23" i="3" s="1"/>
  <c r="V23" i="3"/>
  <c r="W23" i="3"/>
  <c r="X23" i="3"/>
  <c r="M29" i="3"/>
  <c r="U29" i="3"/>
  <c r="T29" i="3" s="1"/>
  <c r="V29" i="3"/>
  <c r="W29" i="3"/>
  <c r="X29" i="3"/>
  <c r="AC29" i="3"/>
  <c r="AD29" i="3"/>
  <c r="M24" i="3"/>
  <c r="S24" i="3"/>
  <c r="U24" i="3"/>
  <c r="T24" i="3" s="1"/>
  <c r="V24" i="3"/>
  <c r="W24" i="3"/>
  <c r="X24" i="3"/>
  <c r="AC24" i="3"/>
  <c r="M14" i="3"/>
  <c r="S14" i="3"/>
  <c r="U14" i="3"/>
  <c r="AD14" i="3" s="1"/>
  <c r="V14" i="3"/>
  <c r="W14" i="3"/>
  <c r="X14" i="3"/>
  <c r="M30" i="3"/>
  <c r="R30" i="3"/>
  <c r="U30" i="3"/>
  <c r="AC30" i="3" s="1"/>
  <c r="V30" i="3"/>
  <c r="W30" i="3"/>
  <c r="X30" i="3"/>
  <c r="M7" i="3"/>
  <c r="R7" i="3"/>
  <c r="S7" i="3"/>
  <c r="U7" i="3"/>
  <c r="T7" i="3" s="1"/>
  <c r="V7" i="3"/>
  <c r="W7" i="3"/>
  <c r="X7" i="3"/>
  <c r="AC7" i="3"/>
  <c r="AD7" i="3"/>
  <c r="M39" i="3"/>
  <c r="S39" i="3"/>
  <c r="U39" i="3"/>
  <c r="T39" i="3" s="1"/>
  <c r="V39" i="3"/>
  <c r="W39" i="3"/>
  <c r="X39" i="3"/>
  <c r="AC39" i="3"/>
  <c r="M36" i="3"/>
  <c r="U36" i="3"/>
  <c r="V36" i="3"/>
  <c r="W36" i="3"/>
  <c r="X36" i="3"/>
  <c r="M17" i="3"/>
  <c r="R17" i="3"/>
  <c r="S17" i="3"/>
  <c r="U17" i="3"/>
  <c r="AC17" i="3" s="1"/>
  <c r="V17" i="3"/>
  <c r="W17" i="3"/>
  <c r="X17" i="3"/>
  <c r="M25" i="3"/>
  <c r="U25" i="3"/>
  <c r="AC25" i="3" s="1"/>
  <c r="V25" i="3"/>
  <c r="W25" i="3"/>
  <c r="X25" i="3"/>
  <c r="M31" i="3"/>
  <c r="U31" i="3"/>
  <c r="T31" i="3" s="1"/>
  <c r="V31" i="3"/>
  <c r="W31" i="3"/>
  <c r="X31" i="3"/>
  <c r="AC31" i="3"/>
  <c r="M33" i="3"/>
  <c r="S33" i="3"/>
  <c r="U33" i="3"/>
  <c r="V33" i="3"/>
  <c r="W33" i="3"/>
  <c r="X33" i="3"/>
  <c r="AC33" i="3"/>
  <c r="M12" i="3"/>
  <c r="U12" i="3"/>
  <c r="AC12" i="3" s="1"/>
  <c r="V12" i="3"/>
  <c r="W12" i="3"/>
  <c r="X12" i="3"/>
  <c r="M18" i="3"/>
  <c r="R18" i="3"/>
  <c r="U18" i="3"/>
  <c r="T18" i="3" s="1"/>
  <c r="V18" i="3"/>
  <c r="W18" i="3"/>
  <c r="X18" i="3"/>
  <c r="AC18" i="3"/>
  <c r="M15" i="3"/>
  <c r="R15" i="3"/>
  <c r="U15" i="3"/>
  <c r="T15" i="3" s="1"/>
  <c r="V15" i="3"/>
  <c r="W15" i="3"/>
  <c r="X15" i="3"/>
  <c r="AC15" i="3"/>
  <c r="M11" i="3"/>
  <c r="R11" i="3"/>
  <c r="U11" i="3"/>
  <c r="AD16" i="3" s="1"/>
  <c r="V11" i="3"/>
  <c r="W11" i="3"/>
  <c r="X11" i="3"/>
  <c r="M32" i="3"/>
  <c r="U32" i="3"/>
  <c r="AC32" i="3" s="1"/>
  <c r="V32" i="3"/>
  <c r="W32" i="3"/>
  <c r="X32" i="3"/>
  <c r="M26" i="3"/>
  <c r="R26" i="3"/>
  <c r="U26" i="3"/>
  <c r="V26" i="3"/>
  <c r="W26" i="3"/>
  <c r="X26" i="3"/>
  <c r="AC26" i="3"/>
  <c r="M37" i="3"/>
  <c r="U37" i="3"/>
  <c r="T37" i="3" s="1"/>
  <c r="V37" i="3"/>
  <c r="W37" i="3"/>
  <c r="X37" i="3"/>
  <c r="AC37" i="3"/>
  <c r="M38" i="3"/>
  <c r="U38" i="3"/>
  <c r="V38" i="3"/>
  <c r="W38" i="3"/>
  <c r="X38" i="3"/>
  <c r="M27" i="3"/>
  <c r="R27" i="3"/>
  <c r="U27" i="3"/>
  <c r="AC27" i="3" s="1"/>
  <c r="V27" i="3"/>
  <c r="W27" i="3"/>
  <c r="X27" i="3"/>
  <c r="M42" i="3"/>
  <c r="R42" i="3"/>
  <c r="U42" i="3"/>
  <c r="T42" i="3" s="1"/>
  <c r="V42" i="3"/>
  <c r="W42" i="3"/>
  <c r="X42" i="3"/>
  <c r="AC42" i="3"/>
  <c r="AD42" i="3"/>
  <c r="M43" i="3"/>
  <c r="U43" i="3"/>
  <c r="T43" i="3" s="1"/>
  <c r="V43" i="3"/>
  <c r="W43" i="3"/>
  <c r="X43" i="3"/>
  <c r="M34" i="3"/>
  <c r="U34" i="3"/>
  <c r="V34" i="3"/>
  <c r="W34" i="3"/>
  <c r="X34" i="3"/>
  <c r="M40" i="3"/>
  <c r="U40" i="3"/>
  <c r="AC40" i="3" s="1"/>
  <c r="V40" i="3"/>
  <c r="W40" i="3"/>
  <c r="X40" i="3"/>
  <c r="M41" i="3"/>
  <c r="S41" i="3"/>
  <c r="U41" i="3"/>
  <c r="V41" i="3"/>
  <c r="W41" i="3"/>
  <c r="X41" i="3"/>
  <c r="AC41" i="3"/>
  <c r="AD9" i="3" l="1"/>
  <c r="AC8" i="3"/>
  <c r="Y21" i="3"/>
  <c r="Y28" i="3"/>
  <c r="T87" i="1"/>
  <c r="X87" i="1"/>
  <c r="T86" i="1"/>
  <c r="X86" i="1"/>
  <c r="T85" i="1"/>
  <c r="X85" i="1"/>
  <c r="T84" i="1"/>
  <c r="X84" i="1"/>
  <c r="T83" i="1"/>
  <c r="X83" i="1"/>
  <c r="T82" i="1"/>
  <c r="X82" i="1"/>
  <c r="S42" i="3"/>
  <c r="Y30" i="3"/>
  <c r="AD28" i="3"/>
  <c r="T182" i="1"/>
  <c r="U182" i="1" s="1"/>
  <c r="W177" i="1"/>
  <c r="T170" i="1"/>
  <c r="W140" i="1"/>
  <c r="AG107" i="1"/>
  <c r="U107" i="1" s="1"/>
  <c r="AG93" i="1"/>
  <c r="AG61" i="1"/>
  <c r="W49" i="1"/>
  <c r="T23" i="1"/>
  <c r="AC43" i="3"/>
  <c r="W79" i="1"/>
  <c r="Y36" i="3"/>
  <c r="AE29" i="3"/>
  <c r="T175" i="1"/>
  <c r="W170" i="1"/>
  <c r="AG123" i="1"/>
  <c r="AG104" i="1"/>
  <c r="W33" i="1"/>
  <c r="R34" i="3"/>
  <c r="AD38" i="3"/>
  <c r="T205" i="1"/>
  <c r="AG113" i="1"/>
  <c r="U113" i="1" s="1"/>
  <c r="S113" i="1" s="1"/>
  <c r="AG106" i="1"/>
  <c r="U106" i="1" s="1"/>
  <c r="AG99" i="1"/>
  <c r="U99" i="1" s="1"/>
  <c r="AG77" i="1"/>
  <c r="AG73" i="1"/>
  <c r="U73" i="1" s="1"/>
  <c r="S73" i="1" s="1"/>
  <c r="AG69" i="1"/>
  <c r="AG65" i="1"/>
  <c r="AG57" i="1"/>
  <c r="T46" i="1"/>
  <c r="U46" i="1" s="1"/>
  <c r="S46" i="1" s="1"/>
  <c r="T38" i="1"/>
  <c r="Y34" i="3"/>
  <c r="S38" i="3"/>
  <c r="Y12" i="3"/>
  <c r="Y17" i="3"/>
  <c r="Y16" i="3"/>
  <c r="T220" i="1"/>
  <c r="U220" i="1" s="1"/>
  <c r="T190" i="1"/>
  <c r="U190" i="1" s="1"/>
  <c r="S190" i="1" s="1"/>
  <c r="T186" i="1"/>
  <c r="U186" i="1" s="1"/>
  <c r="T183" i="1"/>
  <c r="W181" i="1"/>
  <c r="T171" i="1"/>
  <c r="AG127" i="1"/>
  <c r="AI127" i="1" s="1"/>
  <c r="AG111" i="1"/>
  <c r="U111" i="1" s="1"/>
  <c r="AI107" i="1"/>
  <c r="AG94" i="1"/>
  <c r="U94" i="1" s="1"/>
  <c r="AG59" i="1"/>
  <c r="W59" i="1" s="1"/>
  <c r="W55" i="1"/>
  <c r="T29" i="1"/>
  <c r="R41" i="3"/>
  <c r="T199" i="1"/>
  <c r="U199" i="1" s="1"/>
  <c r="T187" i="1"/>
  <c r="T179" i="1"/>
  <c r="T173" i="1"/>
  <c r="U173" i="1" s="1"/>
  <c r="S173" i="1" s="1"/>
  <c r="AG130" i="1"/>
  <c r="AI130" i="1" s="1"/>
  <c r="Y38" i="3"/>
  <c r="Y32" i="3"/>
  <c r="AD33" i="3"/>
  <c r="AD36" i="3"/>
  <c r="Y22" i="3"/>
  <c r="Y8" i="3"/>
  <c r="Y10" i="3"/>
  <c r="W173" i="1"/>
  <c r="W75" i="1"/>
  <c r="W71" i="1"/>
  <c r="W67" i="1"/>
  <c r="W61" i="1"/>
  <c r="W77" i="1"/>
  <c r="W73" i="1"/>
  <c r="W69" i="1"/>
  <c r="W65" i="1"/>
  <c r="W57" i="1"/>
  <c r="AC38" i="3"/>
  <c r="Y11" i="3"/>
  <c r="AC16" i="3"/>
  <c r="Y40" i="3"/>
  <c r="AD34" i="3"/>
  <c r="Y27" i="3"/>
  <c r="Y37" i="3"/>
  <c r="AD18" i="3"/>
  <c r="AE18" i="3"/>
  <c r="Y20" i="3"/>
  <c r="Y19" i="3"/>
  <c r="W204" i="1"/>
  <c r="W200" i="1"/>
  <c r="W198" i="1"/>
  <c r="T185" i="1"/>
  <c r="W178" i="1"/>
  <c r="W174" i="1"/>
  <c r="T203" i="1"/>
  <c r="U203" i="1" s="1"/>
  <c r="S203" i="1" s="1"/>
  <c r="T169" i="1"/>
  <c r="U169" i="1" s="1"/>
  <c r="S169" i="1" s="1"/>
  <c r="W132" i="1"/>
  <c r="AG125" i="1"/>
  <c r="U125" i="1" s="1"/>
  <c r="AG118" i="1"/>
  <c r="AG108" i="1"/>
  <c r="U108" i="1" s="1"/>
  <c r="W107" i="1"/>
  <c r="AG105" i="1"/>
  <c r="U105" i="1" s="1"/>
  <c r="S105" i="1" s="1"/>
  <c r="AG101" i="1"/>
  <c r="AG98" i="1"/>
  <c r="U98" i="1" s="1"/>
  <c r="AG76" i="1"/>
  <c r="W76" i="1" s="1"/>
  <c r="AG74" i="1"/>
  <c r="W74" i="1" s="1"/>
  <c r="AG72" i="1"/>
  <c r="W72" i="1" s="1"/>
  <c r="AG70" i="1"/>
  <c r="W70" i="1" s="1"/>
  <c r="AG68" i="1"/>
  <c r="W68" i="1" s="1"/>
  <c r="AG66" i="1"/>
  <c r="W66" i="1" s="1"/>
  <c r="AG64" i="1"/>
  <c r="W64" i="1" s="1"/>
  <c r="AG62" i="1"/>
  <c r="W62" i="1" s="1"/>
  <c r="AG60" i="1"/>
  <c r="W60" i="1" s="1"/>
  <c r="AG58" i="1"/>
  <c r="W58" i="1" s="1"/>
  <c r="AG56" i="1"/>
  <c r="W56" i="1" s="1"/>
  <c r="T47" i="1"/>
  <c r="T45" i="1"/>
  <c r="U45" i="1" s="1"/>
  <c r="S45" i="1" s="1"/>
  <c r="T39" i="1"/>
  <c r="U39" i="1" s="1"/>
  <c r="S39" i="1" s="1"/>
  <c r="T37" i="1"/>
  <c r="U37" i="1" s="1"/>
  <c r="S37" i="1" s="1"/>
  <c r="T31" i="1"/>
  <c r="T21" i="1"/>
  <c r="U21" i="1" s="1"/>
  <c r="S21" i="1" s="1"/>
  <c r="T221" i="1"/>
  <c r="W220" i="1"/>
  <c r="T204" i="1"/>
  <c r="U204" i="1" s="1"/>
  <c r="T200" i="1"/>
  <c r="U200" i="1" s="1"/>
  <c r="S200" i="1" s="1"/>
  <c r="W199" i="1"/>
  <c r="W190" i="1"/>
  <c r="W185" i="1"/>
  <c r="W179" i="1"/>
  <c r="W175" i="1"/>
  <c r="U170" i="1"/>
  <c r="T140" i="1"/>
  <c r="U140" i="1" s="1"/>
  <c r="S140" i="1" s="1"/>
  <c r="T138" i="1"/>
  <c r="U138" i="1" s="1"/>
  <c r="S138" i="1" s="1"/>
  <c r="U132" i="1"/>
  <c r="W127" i="1"/>
  <c r="AG116" i="1"/>
  <c r="U116" i="1" s="1"/>
  <c r="AG100" i="1"/>
  <c r="U100" i="1" s="1"/>
  <c r="S100" i="1" s="1"/>
  <c r="AI99" i="1"/>
  <c r="W99" i="1"/>
  <c r="AG96" i="1"/>
  <c r="U96" i="1" s="1"/>
  <c r="S96" i="1" s="1"/>
  <c r="AG91" i="1"/>
  <c r="W91" i="1" s="1"/>
  <c r="U38" i="1"/>
  <c r="W26" i="1"/>
  <c r="U22" i="1"/>
  <c r="T18" i="1"/>
  <c r="U18" i="1" s="1"/>
  <c r="S18" i="1" s="1"/>
  <c r="T17" i="1"/>
  <c r="U17" i="1" s="1"/>
  <c r="S17" i="1" s="1"/>
  <c r="W222" i="1"/>
  <c r="W203" i="1"/>
  <c r="W194" i="1"/>
  <c r="W186" i="1"/>
  <c r="U185" i="1"/>
  <c r="S185" i="1" s="1"/>
  <c r="W182" i="1"/>
  <c r="W171" i="1"/>
  <c r="W169" i="1"/>
  <c r="W166" i="1"/>
  <c r="W50" i="1"/>
  <c r="W47" i="1"/>
  <c r="W42" i="1"/>
  <c r="W39" i="1"/>
  <c r="W34" i="1"/>
  <c r="W31" i="1"/>
  <c r="U29" i="1"/>
  <c r="S29" i="1" s="1"/>
  <c r="W18" i="1"/>
  <c r="W17" i="1"/>
  <c r="W15" i="1"/>
  <c r="U205" i="1"/>
  <c r="T198" i="1"/>
  <c r="T197" i="1"/>
  <c r="U197" i="1" s="1"/>
  <c r="S197" i="1" s="1"/>
  <c r="T196" i="1"/>
  <c r="U196" i="1" s="1"/>
  <c r="S196" i="1" s="1"/>
  <c r="T194" i="1"/>
  <c r="U194" i="1" s="1"/>
  <c r="S194" i="1" s="1"/>
  <c r="T193" i="1"/>
  <c r="U193" i="1" s="1"/>
  <c r="S193" i="1" s="1"/>
  <c r="T192" i="1"/>
  <c r="U192" i="1" s="1"/>
  <c r="S192" i="1" s="1"/>
  <c r="T189" i="1"/>
  <c r="U189" i="1" s="1"/>
  <c r="S189" i="1" s="1"/>
  <c r="T235" i="1"/>
  <c r="U235" i="1" s="1"/>
  <c r="S235" i="1" s="1"/>
  <c r="W163" i="1"/>
  <c r="AI185" i="1"/>
  <c r="W159" i="1"/>
  <c r="W231" i="1"/>
  <c r="AI177" i="1"/>
  <c r="W227" i="1"/>
  <c r="AI173" i="1"/>
  <c r="AI170" i="1"/>
  <c r="AG217" i="1"/>
  <c r="T217" i="1"/>
  <c r="W223" i="1"/>
  <c r="T201" i="1"/>
  <c r="U201" i="1" s="1"/>
  <c r="S201" i="1" s="1"/>
  <c r="AI223" i="1"/>
  <c r="W197" i="1"/>
  <c r="W196" i="1"/>
  <c r="W193" i="1"/>
  <c r="W192" i="1"/>
  <c r="W189" i="1"/>
  <c r="W235" i="1"/>
  <c r="AI201" i="1"/>
  <c r="AI197" i="1"/>
  <c r="AI196" i="1"/>
  <c r="AI193" i="1"/>
  <c r="AI192" i="1"/>
  <c r="W167" i="1"/>
  <c r="AI189" i="1"/>
  <c r="AI163" i="1"/>
  <c r="AI159" i="1"/>
  <c r="AI178" i="1"/>
  <c r="AI174" i="1"/>
  <c r="AI169" i="1"/>
  <c r="AG216" i="1"/>
  <c r="W216" i="1" s="1"/>
  <c r="T216" i="1"/>
  <c r="AG211" i="1"/>
  <c r="W211" i="1" s="1"/>
  <c r="T211" i="1"/>
  <c r="W187" i="1"/>
  <c r="W183" i="1"/>
  <c r="AI205" i="1"/>
  <c r="U179" i="1"/>
  <c r="S179" i="1" s="1"/>
  <c r="U171" i="1"/>
  <c r="S171" i="1" s="1"/>
  <c r="AI171" i="1"/>
  <c r="AI190" i="1"/>
  <c r="U167" i="1"/>
  <c r="S167" i="1" s="1"/>
  <c r="AI167" i="1"/>
  <c r="T163" i="1"/>
  <c r="U163" i="1" s="1"/>
  <c r="S163" i="1" s="1"/>
  <c r="T162" i="1"/>
  <c r="U162" i="1" s="1"/>
  <c r="S162" i="1" s="1"/>
  <c r="T161" i="1"/>
  <c r="U161" i="1" s="1"/>
  <c r="S161" i="1" s="1"/>
  <c r="T159" i="1"/>
  <c r="U159" i="1" s="1"/>
  <c r="S159" i="1" s="1"/>
  <c r="T234" i="1"/>
  <c r="U234" i="1" s="1"/>
  <c r="S234" i="1" s="1"/>
  <c r="T233" i="1"/>
  <c r="U233" i="1" s="1"/>
  <c r="S233" i="1" s="1"/>
  <c r="T231" i="1"/>
  <c r="U231" i="1" s="1"/>
  <c r="S231" i="1" s="1"/>
  <c r="T230" i="1"/>
  <c r="U230" i="1" s="1"/>
  <c r="S230" i="1" s="1"/>
  <c r="T229" i="1"/>
  <c r="U229" i="1" s="1"/>
  <c r="S229" i="1" s="1"/>
  <c r="T227" i="1"/>
  <c r="U227" i="1" s="1"/>
  <c r="S227" i="1" s="1"/>
  <c r="T226" i="1"/>
  <c r="U226" i="1" s="1"/>
  <c r="S226" i="1" s="1"/>
  <c r="T225" i="1"/>
  <c r="U225" i="1" s="1"/>
  <c r="S225" i="1" s="1"/>
  <c r="AG213" i="1"/>
  <c r="T213" i="1"/>
  <c r="AG158" i="1"/>
  <c r="W158" i="1" s="1"/>
  <c r="T158" i="1"/>
  <c r="W205" i="1"/>
  <c r="W201" i="1"/>
  <c r="U198" i="1"/>
  <c r="S198" i="1" s="1"/>
  <c r="U183" i="1"/>
  <c r="S183" i="1" s="1"/>
  <c r="T178" i="1"/>
  <c r="U178" i="1" s="1"/>
  <c r="S178" i="1" s="1"/>
  <c r="T177" i="1"/>
  <c r="U177" i="1" s="1"/>
  <c r="S177" i="1" s="1"/>
  <c r="T174" i="1"/>
  <c r="U174" i="1" s="1"/>
  <c r="S174" i="1" s="1"/>
  <c r="T166" i="1"/>
  <c r="U166" i="1" s="1"/>
  <c r="S166" i="1" s="1"/>
  <c r="T165" i="1"/>
  <c r="U165" i="1" s="1"/>
  <c r="S165" i="1" s="1"/>
  <c r="W162" i="1"/>
  <c r="W161" i="1"/>
  <c r="AI183" i="1"/>
  <c r="W234" i="1"/>
  <c r="W233" i="1"/>
  <c r="AI179" i="1"/>
  <c r="W230" i="1"/>
  <c r="W229" i="1"/>
  <c r="W226" i="1"/>
  <c r="W217" i="1"/>
  <c r="AG215" i="1"/>
  <c r="W215" i="1" s="1"/>
  <c r="T215" i="1"/>
  <c r="AG212" i="1"/>
  <c r="T212" i="1"/>
  <c r="AG209" i="1"/>
  <c r="W209" i="1" s="1"/>
  <c r="T209" i="1"/>
  <c r="W225" i="1"/>
  <c r="W208" i="1"/>
  <c r="W207" i="1"/>
  <c r="W157" i="1"/>
  <c r="W156" i="1"/>
  <c r="W153" i="1"/>
  <c r="W152" i="1"/>
  <c r="W149" i="1"/>
  <c r="W148" i="1"/>
  <c r="W145" i="1"/>
  <c r="W144" i="1"/>
  <c r="W136" i="1"/>
  <c r="AG129" i="1"/>
  <c r="W129" i="1" s="1"/>
  <c r="AG126" i="1"/>
  <c r="W126" i="1" s="1"/>
  <c r="AI125" i="1"/>
  <c r="AG124" i="1"/>
  <c r="AI124" i="1" s="1"/>
  <c r="AG121" i="1"/>
  <c r="AI121" i="1" s="1"/>
  <c r="AG119" i="1"/>
  <c r="U119" i="1" s="1"/>
  <c r="S119" i="1" s="1"/>
  <c r="AG114" i="1"/>
  <c r="U114" i="1" s="1"/>
  <c r="AG112" i="1"/>
  <c r="W112" i="1" s="1"/>
  <c r="AI111" i="1"/>
  <c r="W111" i="1"/>
  <c r="AG109" i="1"/>
  <c r="AI108" i="1"/>
  <c r="W108" i="1"/>
  <c r="AI103" i="1"/>
  <c r="W103" i="1"/>
  <c r="W100" i="1"/>
  <c r="AI98" i="1"/>
  <c r="AG89" i="1"/>
  <c r="AG87" i="1"/>
  <c r="W87" i="1" s="1"/>
  <c r="AG85" i="1"/>
  <c r="W85" i="1" s="1"/>
  <c r="AG83" i="1"/>
  <c r="W83" i="1" s="1"/>
  <c r="AG82" i="1"/>
  <c r="W82" i="1" s="1"/>
  <c r="AG80" i="1"/>
  <c r="W80" i="1" s="1"/>
  <c r="AG78" i="1"/>
  <c r="W78" i="1" s="1"/>
  <c r="W154" i="1"/>
  <c r="W150" i="1"/>
  <c r="W146" i="1"/>
  <c r="W142" i="1"/>
  <c r="W134" i="1"/>
  <c r="U130" i="1"/>
  <c r="S130" i="1" s="1"/>
  <c r="W128" i="1"/>
  <c r="U55" i="1"/>
  <c r="T51" i="1"/>
  <c r="T50" i="1"/>
  <c r="U50" i="1" s="1"/>
  <c r="S50" i="1" s="1"/>
  <c r="T49" i="1"/>
  <c r="U49" i="1" s="1"/>
  <c r="S49" i="1" s="1"/>
  <c r="W46" i="1"/>
  <c r="W45" i="1"/>
  <c r="W43" i="1"/>
  <c r="T35" i="1"/>
  <c r="U35" i="1" s="1"/>
  <c r="S35" i="1" s="1"/>
  <c r="T34" i="1"/>
  <c r="U34" i="1" s="1"/>
  <c r="T33" i="1"/>
  <c r="U33" i="1" s="1"/>
  <c r="T27" i="1"/>
  <c r="U27" i="1" s="1"/>
  <c r="S27" i="1" s="1"/>
  <c r="T26" i="1"/>
  <c r="U26" i="1" s="1"/>
  <c r="S26" i="1" s="1"/>
  <c r="T25" i="1"/>
  <c r="U25" i="1" s="1"/>
  <c r="W22" i="1"/>
  <c r="W21" i="1"/>
  <c r="W19" i="1"/>
  <c r="AG14" i="1"/>
  <c r="AI14" i="1" s="1"/>
  <c r="AG90" i="1"/>
  <c r="W90" i="1" s="1"/>
  <c r="AG88" i="1"/>
  <c r="W88" i="1" s="1"/>
  <c r="AG86" i="1"/>
  <c r="W86" i="1" s="1"/>
  <c r="AG84" i="1"/>
  <c r="W84" i="1" s="1"/>
  <c r="AG81" i="1"/>
  <c r="W81" i="1" s="1"/>
  <c r="T54" i="1"/>
  <c r="U54" i="1" s="1"/>
  <c r="S54" i="1" s="1"/>
  <c r="T53" i="1"/>
  <c r="U53" i="1" s="1"/>
  <c r="S53" i="1" s="1"/>
  <c r="W23" i="1"/>
  <c r="T15" i="1"/>
  <c r="U15" i="1" s="1"/>
  <c r="S15" i="1" s="1"/>
  <c r="T208" i="1"/>
  <c r="U208" i="1" s="1"/>
  <c r="S208" i="1" s="1"/>
  <c r="T207" i="1"/>
  <c r="U207" i="1" s="1"/>
  <c r="S207" i="1" s="1"/>
  <c r="T157" i="1"/>
  <c r="U157" i="1" s="1"/>
  <c r="S157" i="1" s="1"/>
  <c r="T156" i="1"/>
  <c r="U156" i="1" s="1"/>
  <c r="S156" i="1" s="1"/>
  <c r="T154" i="1"/>
  <c r="U154" i="1" s="1"/>
  <c r="S154" i="1" s="1"/>
  <c r="T153" i="1"/>
  <c r="U153" i="1" s="1"/>
  <c r="S153" i="1" s="1"/>
  <c r="T152" i="1"/>
  <c r="U152" i="1" s="1"/>
  <c r="S152" i="1" s="1"/>
  <c r="T150" i="1"/>
  <c r="U150" i="1" s="1"/>
  <c r="S150" i="1" s="1"/>
  <c r="T149" i="1"/>
  <c r="U149" i="1" s="1"/>
  <c r="S149" i="1" s="1"/>
  <c r="T148" i="1"/>
  <c r="U148" i="1" s="1"/>
  <c r="S148" i="1" s="1"/>
  <c r="T146" i="1"/>
  <c r="U146" i="1" s="1"/>
  <c r="S146" i="1" s="1"/>
  <c r="T145" i="1"/>
  <c r="U145" i="1" s="1"/>
  <c r="S145" i="1" s="1"/>
  <c r="T144" i="1"/>
  <c r="U144" i="1" s="1"/>
  <c r="S144" i="1" s="1"/>
  <c r="T142" i="1"/>
  <c r="U142" i="1" s="1"/>
  <c r="S142" i="1" s="1"/>
  <c r="T136" i="1"/>
  <c r="U136" i="1" s="1"/>
  <c r="S136" i="1" s="1"/>
  <c r="T134" i="1"/>
  <c r="U134" i="1" s="1"/>
  <c r="S134" i="1" s="1"/>
  <c r="W130" i="1"/>
  <c r="AG120" i="1"/>
  <c r="W120" i="1" s="1"/>
  <c r="AG117" i="1"/>
  <c r="AI116" i="1"/>
  <c r="W116" i="1"/>
  <c r="AG115" i="1"/>
  <c r="W115" i="1" s="1"/>
  <c r="AG110" i="1"/>
  <c r="U110" i="1" s="1"/>
  <c r="S110" i="1" s="1"/>
  <c r="AG102" i="1"/>
  <c r="U102" i="1" s="1"/>
  <c r="S102" i="1" s="1"/>
  <c r="AG97" i="1"/>
  <c r="U97" i="1" s="1"/>
  <c r="S97" i="1" s="1"/>
  <c r="AG95" i="1"/>
  <c r="W95" i="1" s="1"/>
  <c r="W94" i="1"/>
  <c r="AG92" i="1"/>
  <c r="W92" i="1" s="1"/>
  <c r="W54" i="1"/>
  <c r="W53" i="1"/>
  <c r="W51" i="1"/>
  <c r="U47" i="1"/>
  <c r="S47" i="1" s="1"/>
  <c r="T43" i="1"/>
  <c r="U43" i="1" s="1"/>
  <c r="S43" i="1" s="1"/>
  <c r="T42" i="1"/>
  <c r="U42" i="1" s="1"/>
  <c r="S42" i="1" s="1"/>
  <c r="T41" i="1"/>
  <c r="U41" i="1" s="1"/>
  <c r="W38" i="1"/>
  <c r="W37" i="1"/>
  <c r="W35" i="1"/>
  <c r="W29" i="1"/>
  <c r="W27" i="1"/>
  <c r="U23" i="1"/>
  <c r="S23" i="1" s="1"/>
  <c r="T19" i="1"/>
  <c r="U19" i="1" s="1"/>
  <c r="S19" i="1" s="1"/>
  <c r="AI235" i="1"/>
  <c r="AI234" i="1"/>
  <c r="X219" i="1"/>
  <c r="X195" i="1"/>
  <c r="X191" i="1"/>
  <c r="X184" i="1"/>
  <c r="X180" i="1"/>
  <c r="X176" i="1"/>
  <c r="X172" i="1"/>
  <c r="X168" i="1"/>
  <c r="X160" i="1"/>
  <c r="X218" i="1"/>
  <c r="X206" i="1"/>
  <c r="X155" i="1"/>
  <c r="X147" i="1"/>
  <c r="X139" i="1"/>
  <c r="U123" i="1"/>
  <c r="S123" i="1" s="1"/>
  <c r="AI123" i="1"/>
  <c r="U101" i="1"/>
  <c r="S101" i="1" s="1"/>
  <c r="AI101" i="1"/>
  <c r="U93" i="1"/>
  <c r="S93" i="1" s="1"/>
  <c r="AI93" i="1"/>
  <c r="R38" i="3"/>
  <c r="X194" i="1"/>
  <c r="X187" i="1"/>
  <c r="AI202" i="1"/>
  <c r="X175" i="1"/>
  <c r="S34" i="3"/>
  <c r="S12" i="3"/>
  <c r="X223" i="1"/>
  <c r="T223" i="1"/>
  <c r="U223" i="1" s="1"/>
  <c r="S223" i="1" s="1"/>
  <c r="X222" i="1"/>
  <c r="T222" i="1"/>
  <c r="U222" i="1" s="1"/>
  <c r="S222" i="1" s="1"/>
  <c r="S204" i="1"/>
  <c r="X204" i="1"/>
  <c r="X197" i="1"/>
  <c r="X189" i="1"/>
  <c r="S186" i="1"/>
  <c r="X186" i="1"/>
  <c r="X178" i="1"/>
  <c r="S170" i="1"/>
  <c r="X170" i="1"/>
  <c r="X166" i="1"/>
  <c r="X162" i="1"/>
  <c r="X234" i="1"/>
  <c r="AG224" i="1"/>
  <c r="AG221" i="1"/>
  <c r="AI221" i="1" s="1"/>
  <c r="S220" i="1"/>
  <c r="X220" i="1"/>
  <c r="W219" i="1"/>
  <c r="T219" i="1"/>
  <c r="U219" i="1" s="1"/>
  <c r="S219" i="1" s="1"/>
  <c r="X203" i="1"/>
  <c r="W202" i="1"/>
  <c r="T202" i="1"/>
  <c r="U202" i="1" s="1"/>
  <c r="S202" i="1" s="1"/>
  <c r="S199" i="1"/>
  <c r="X199" i="1"/>
  <c r="W236" i="1"/>
  <c r="T236" i="1"/>
  <c r="U236" i="1" s="1"/>
  <c r="S236" i="1" s="1"/>
  <c r="X196" i="1"/>
  <c r="W195" i="1"/>
  <c r="T195" i="1"/>
  <c r="U195" i="1" s="1"/>
  <c r="S195" i="1" s="1"/>
  <c r="X192" i="1"/>
  <c r="W191" i="1"/>
  <c r="T191" i="1"/>
  <c r="U191" i="1" s="1"/>
  <c r="S191" i="1" s="1"/>
  <c r="X235" i="1"/>
  <c r="W188" i="1"/>
  <c r="T188" i="1"/>
  <c r="U188" i="1" s="1"/>
  <c r="S188" i="1" s="1"/>
  <c r="U187" i="1"/>
  <c r="S187" i="1" s="1"/>
  <c r="X185" i="1"/>
  <c r="W184" i="1"/>
  <c r="T184" i="1"/>
  <c r="U184" i="1" s="1"/>
  <c r="S184" i="1" s="1"/>
  <c r="S181" i="1"/>
  <c r="X181" i="1"/>
  <c r="W180" i="1"/>
  <c r="T180" i="1"/>
  <c r="U180" i="1" s="1"/>
  <c r="S180" i="1" s="1"/>
  <c r="X177" i="1"/>
  <c r="W176" i="1"/>
  <c r="T176" i="1"/>
  <c r="U176" i="1" s="1"/>
  <c r="S176" i="1" s="1"/>
  <c r="U175" i="1"/>
  <c r="S175" i="1" s="1"/>
  <c r="X173" i="1"/>
  <c r="W172" i="1"/>
  <c r="T172" i="1"/>
  <c r="U172" i="1" s="1"/>
  <c r="S172" i="1" s="1"/>
  <c r="X169" i="1"/>
  <c r="W168" i="1"/>
  <c r="T168" i="1"/>
  <c r="U168" i="1" s="1"/>
  <c r="S168" i="1" s="1"/>
  <c r="X165" i="1"/>
  <c r="W164" i="1"/>
  <c r="T164" i="1"/>
  <c r="U164" i="1" s="1"/>
  <c r="S164" i="1" s="1"/>
  <c r="X161" i="1"/>
  <c r="W160" i="1"/>
  <c r="T160" i="1"/>
  <c r="X233" i="1"/>
  <c r="W232" i="1"/>
  <c r="T232" i="1"/>
  <c r="X229" i="1"/>
  <c r="W228" i="1"/>
  <c r="T228" i="1"/>
  <c r="U228" i="1" s="1"/>
  <c r="S228" i="1" s="1"/>
  <c r="X225" i="1"/>
  <c r="W218" i="1"/>
  <c r="T218" i="1"/>
  <c r="X215" i="1"/>
  <c r="W214" i="1"/>
  <c r="T214" i="1"/>
  <c r="X211" i="1"/>
  <c r="W210" i="1"/>
  <c r="T210" i="1"/>
  <c r="U210" i="1" s="1"/>
  <c r="S210" i="1" s="1"/>
  <c r="X207" i="1"/>
  <c r="W206" i="1"/>
  <c r="T206" i="1"/>
  <c r="U206" i="1" s="1"/>
  <c r="S206" i="1" s="1"/>
  <c r="X156" i="1"/>
  <c r="W155" i="1"/>
  <c r="T155" i="1"/>
  <c r="U155" i="1" s="1"/>
  <c r="S155" i="1" s="1"/>
  <c r="X152" i="1"/>
  <c r="W151" i="1"/>
  <c r="T151" i="1"/>
  <c r="X148" i="1"/>
  <c r="W147" i="1"/>
  <c r="T147" i="1"/>
  <c r="U147" i="1" s="1"/>
  <c r="S147" i="1" s="1"/>
  <c r="X144" i="1"/>
  <c r="W143" i="1"/>
  <c r="T143" i="1"/>
  <c r="U143" i="1" s="1"/>
  <c r="S143" i="1" s="1"/>
  <c r="X140" i="1"/>
  <c r="W139" i="1"/>
  <c r="T139" i="1"/>
  <c r="U139" i="1" s="1"/>
  <c r="S139" i="1" s="1"/>
  <c r="X136" i="1"/>
  <c r="W135" i="1"/>
  <c r="T135" i="1"/>
  <c r="U135" i="1" s="1"/>
  <c r="S135" i="1" s="1"/>
  <c r="S132" i="1"/>
  <c r="W131" i="1"/>
  <c r="T131" i="1"/>
  <c r="U131" i="1" s="1"/>
  <c r="S131" i="1" s="1"/>
  <c r="W123" i="1"/>
  <c r="W119" i="1"/>
  <c r="U118" i="1"/>
  <c r="S118" i="1" s="1"/>
  <c r="AI118" i="1"/>
  <c r="X236" i="1"/>
  <c r="X228" i="1"/>
  <c r="X214" i="1"/>
  <c r="X151" i="1"/>
  <c r="X143" i="1"/>
  <c r="X135" i="1"/>
  <c r="S205" i="1"/>
  <c r="X205" i="1"/>
  <c r="X198" i="1"/>
  <c r="X190" i="1"/>
  <c r="X179" i="1"/>
  <c r="X171" i="1"/>
  <c r="X167" i="1"/>
  <c r="X163" i="1"/>
  <c r="X159" i="1"/>
  <c r="X231" i="1"/>
  <c r="X227" i="1"/>
  <c r="X217" i="1"/>
  <c r="X213" i="1"/>
  <c r="X209" i="1"/>
  <c r="X158" i="1"/>
  <c r="X154" i="1"/>
  <c r="X150" i="1"/>
  <c r="X146" i="1"/>
  <c r="X142" i="1"/>
  <c r="W141" i="1"/>
  <c r="T141" i="1"/>
  <c r="U141" i="1" s="1"/>
  <c r="S141" i="1" s="1"/>
  <c r="X138" i="1"/>
  <c r="W137" i="1"/>
  <c r="T137" i="1"/>
  <c r="U137" i="1" s="1"/>
  <c r="W133" i="1"/>
  <c r="T133" i="1"/>
  <c r="U133" i="1" s="1"/>
  <c r="S133" i="1" s="1"/>
  <c r="AI129" i="1"/>
  <c r="U124" i="1"/>
  <c r="S124" i="1" s="1"/>
  <c r="X202" i="1"/>
  <c r="X188" i="1"/>
  <c r="AI187" i="1"/>
  <c r="X164" i="1"/>
  <c r="X232" i="1"/>
  <c r="X210" i="1"/>
  <c r="U122" i="1"/>
  <c r="S122" i="1" s="1"/>
  <c r="W221" i="1"/>
  <c r="X201" i="1"/>
  <c r="X183" i="1"/>
  <c r="X224" i="1"/>
  <c r="X200" i="1"/>
  <c r="X193" i="1"/>
  <c r="S182" i="1"/>
  <c r="X182" i="1"/>
  <c r="X174" i="1"/>
  <c r="U160" i="1"/>
  <c r="S160" i="1" s="1"/>
  <c r="U232" i="1"/>
  <c r="S232" i="1" s="1"/>
  <c r="X230" i="1"/>
  <c r="X226" i="1"/>
  <c r="U218" i="1"/>
  <c r="S218" i="1" s="1"/>
  <c r="X216" i="1"/>
  <c r="U214" i="1"/>
  <c r="S214" i="1" s="1"/>
  <c r="X212" i="1"/>
  <c r="X208" i="1"/>
  <c r="X157" i="1"/>
  <c r="X153" i="1"/>
  <c r="U151" i="1"/>
  <c r="S151" i="1" s="1"/>
  <c r="X149" i="1"/>
  <c r="X145" i="1"/>
  <c r="X141" i="1"/>
  <c r="S137" i="1"/>
  <c r="X137" i="1"/>
  <c r="U129" i="1"/>
  <c r="S129" i="1" s="1"/>
  <c r="S125" i="1"/>
  <c r="AI122" i="1"/>
  <c r="W122" i="1"/>
  <c r="U109" i="1"/>
  <c r="S109" i="1" s="1"/>
  <c r="AI109" i="1"/>
  <c r="U127" i="1"/>
  <c r="S127" i="1" s="1"/>
  <c r="W124" i="1"/>
  <c r="W118" i="1"/>
  <c r="S116" i="1"/>
  <c r="AI114" i="1"/>
  <c r="W114" i="1"/>
  <c r="AI110" i="1"/>
  <c r="W110" i="1"/>
  <c r="S108" i="1"/>
  <c r="AI106" i="1"/>
  <c r="W106" i="1"/>
  <c r="W98" i="1"/>
  <c r="U92" i="1"/>
  <c r="S92" i="1" s="1"/>
  <c r="S114" i="1"/>
  <c r="S106" i="1"/>
  <c r="S98" i="1"/>
  <c r="W96" i="1"/>
  <c r="S94" i="1"/>
  <c r="AI92" i="1"/>
  <c r="S111" i="1"/>
  <c r="W109" i="1"/>
  <c r="S107" i="1"/>
  <c r="S103" i="1"/>
  <c r="W101" i="1"/>
  <c r="S99" i="1"/>
  <c r="W93" i="1"/>
  <c r="AG44" i="1"/>
  <c r="W44" i="1" s="1"/>
  <c r="T44" i="1"/>
  <c r="X44" i="1"/>
  <c r="X129" i="1"/>
  <c r="T128" i="1"/>
  <c r="U128" i="1" s="1"/>
  <c r="S128" i="1" s="1"/>
  <c r="X128" i="1"/>
  <c r="AG48" i="1"/>
  <c r="T48" i="1"/>
  <c r="X48" i="1"/>
  <c r="W89" i="1"/>
  <c r="U51" i="1"/>
  <c r="S51" i="1" s="1"/>
  <c r="U87" i="1"/>
  <c r="S87" i="1" s="1"/>
  <c r="AI87" i="1"/>
  <c r="U86" i="1"/>
  <c r="S86" i="1" s="1"/>
  <c r="AI85" i="1"/>
  <c r="U84" i="1"/>
  <c r="S84" i="1" s="1"/>
  <c r="AI84" i="1"/>
  <c r="U83" i="1"/>
  <c r="S83" i="1" s="1"/>
  <c r="AI83" i="1"/>
  <c r="U82" i="1"/>
  <c r="S82" i="1" s="1"/>
  <c r="AI82" i="1"/>
  <c r="U81" i="1"/>
  <c r="S81" i="1" s="1"/>
  <c r="AI81" i="1"/>
  <c r="U79" i="1"/>
  <c r="S79" i="1" s="1"/>
  <c r="AI79" i="1"/>
  <c r="U77" i="1"/>
  <c r="S77" i="1" s="1"/>
  <c r="AI77" i="1"/>
  <c r="U75" i="1"/>
  <c r="S75" i="1" s="1"/>
  <c r="AI75" i="1"/>
  <c r="AI73" i="1"/>
  <c r="U72" i="1"/>
  <c r="S72" i="1" s="1"/>
  <c r="AI72" i="1"/>
  <c r="U71" i="1"/>
  <c r="S71" i="1" s="1"/>
  <c r="AI71" i="1"/>
  <c r="U70" i="1"/>
  <c r="S70" i="1" s="1"/>
  <c r="AI70" i="1"/>
  <c r="U69" i="1"/>
  <c r="S69" i="1" s="1"/>
  <c r="AI69" i="1"/>
  <c r="U67" i="1"/>
  <c r="S67" i="1" s="1"/>
  <c r="AI67" i="1"/>
  <c r="U65" i="1"/>
  <c r="S65" i="1" s="1"/>
  <c r="AI65" i="1"/>
  <c r="U64" i="1"/>
  <c r="S64" i="1" s="1"/>
  <c r="AI64" i="1"/>
  <c r="U63" i="1"/>
  <c r="S63" i="1" s="1"/>
  <c r="AI63" i="1"/>
  <c r="U62" i="1"/>
  <c r="S62" i="1" s="1"/>
  <c r="AI62" i="1"/>
  <c r="U61" i="1"/>
  <c r="S61" i="1" s="1"/>
  <c r="AI61" i="1"/>
  <c r="U59" i="1"/>
  <c r="S59" i="1" s="1"/>
  <c r="AI59" i="1"/>
  <c r="U57" i="1"/>
  <c r="S57" i="1" s="1"/>
  <c r="AI57" i="1"/>
  <c r="U56" i="1"/>
  <c r="S56" i="1" s="1"/>
  <c r="AI56" i="1"/>
  <c r="AG52" i="1"/>
  <c r="T52" i="1"/>
  <c r="X52" i="1"/>
  <c r="AG20" i="1"/>
  <c r="W20" i="1" s="1"/>
  <c r="T20" i="1"/>
  <c r="X20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2" i="1"/>
  <c r="X111" i="1"/>
  <c r="X110" i="1"/>
  <c r="X109" i="1"/>
  <c r="X108" i="1"/>
  <c r="X107" i="1"/>
  <c r="X106" i="1"/>
  <c r="X105" i="1"/>
  <c r="X104" i="1"/>
  <c r="X103" i="1"/>
  <c r="X102" i="1"/>
  <c r="X101" i="1"/>
  <c r="X100" i="1"/>
  <c r="X99" i="1"/>
  <c r="X98" i="1"/>
  <c r="X97" i="1"/>
  <c r="X96" i="1"/>
  <c r="X95" i="1"/>
  <c r="X94" i="1"/>
  <c r="X93" i="1"/>
  <c r="X92" i="1"/>
  <c r="X91" i="1"/>
  <c r="X90" i="1"/>
  <c r="X89" i="1"/>
  <c r="X88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3" i="1"/>
  <c r="X49" i="1"/>
  <c r="W48" i="1"/>
  <c r="X45" i="1"/>
  <c r="AG24" i="1"/>
  <c r="W24" i="1" s="1"/>
  <c r="T24" i="1"/>
  <c r="X24" i="1"/>
  <c r="S55" i="1"/>
  <c r="X55" i="1"/>
  <c r="X51" i="1"/>
  <c r="X47" i="1"/>
  <c r="X43" i="1"/>
  <c r="W30" i="1"/>
  <c r="T30" i="1"/>
  <c r="U30" i="1" s="1"/>
  <c r="S30" i="1" s="1"/>
  <c r="AG16" i="1"/>
  <c r="T16" i="1"/>
  <c r="X16" i="1"/>
  <c r="X54" i="1"/>
  <c r="X50" i="1"/>
  <c r="X46" i="1"/>
  <c r="X42" i="1"/>
  <c r="AG40" i="1"/>
  <c r="T40" i="1"/>
  <c r="X40" i="1"/>
  <c r="X39" i="1"/>
  <c r="S38" i="1"/>
  <c r="X38" i="1"/>
  <c r="AG36" i="1"/>
  <c r="W36" i="1" s="1"/>
  <c r="T36" i="1"/>
  <c r="X36" i="1"/>
  <c r="X35" i="1"/>
  <c r="S34" i="1"/>
  <c r="X34" i="1"/>
  <c r="AG32" i="1"/>
  <c r="T32" i="1"/>
  <c r="X32" i="1"/>
  <c r="U31" i="1"/>
  <c r="S31" i="1" s="1"/>
  <c r="X31" i="1"/>
  <c r="X30" i="1"/>
  <c r="AG28" i="1"/>
  <c r="W28" i="1" s="1"/>
  <c r="T28" i="1"/>
  <c r="X28" i="1"/>
  <c r="S41" i="1"/>
  <c r="X41" i="1"/>
  <c r="W40" i="1"/>
  <c r="X37" i="1"/>
  <c r="S33" i="1"/>
  <c r="X33" i="1"/>
  <c r="X29" i="1"/>
  <c r="S25" i="1"/>
  <c r="X25" i="1"/>
  <c r="X21" i="1"/>
  <c r="X17" i="1"/>
  <c r="X27" i="1"/>
  <c r="X23" i="1"/>
  <c r="X19" i="1"/>
  <c r="X15" i="1"/>
  <c r="X26" i="1"/>
  <c r="S22" i="1"/>
  <c r="X22" i="1"/>
  <c r="X18" i="1"/>
  <c r="Y26" i="3"/>
  <c r="Y18" i="3"/>
  <c r="AE25" i="3"/>
  <c r="Y39" i="3"/>
  <c r="AE7" i="3"/>
  <c r="Y14" i="3"/>
  <c r="Y23" i="3"/>
  <c r="AD10" i="3"/>
  <c r="AD31" i="3"/>
  <c r="AE9" i="3"/>
  <c r="AE16" i="3"/>
  <c r="AD19" i="3"/>
  <c r="AE41" i="3"/>
  <c r="Y43" i="3"/>
  <c r="AE42" i="3"/>
  <c r="AD37" i="3"/>
  <c r="AD11" i="3"/>
  <c r="Y33" i="3"/>
  <c r="Y29" i="3"/>
  <c r="AD22" i="3"/>
  <c r="Y41" i="3"/>
  <c r="Y15" i="3"/>
  <c r="Y25" i="3"/>
  <c r="AD41" i="3"/>
  <c r="AC34" i="3"/>
  <c r="Y42" i="3"/>
  <c r="T26" i="3"/>
  <c r="AD15" i="3"/>
  <c r="Y31" i="3"/>
  <c r="AD25" i="3"/>
  <c r="AC36" i="3"/>
  <c r="Y7" i="3"/>
  <c r="AE30" i="3"/>
  <c r="AD24" i="3"/>
  <c r="T23" i="3"/>
  <c r="Y9" i="3"/>
  <c r="AE21" i="3"/>
  <c r="AD13" i="3"/>
  <c r="T20" i="3"/>
  <c r="T41" i="3"/>
  <c r="AD43" i="3"/>
  <c r="AC11" i="3"/>
  <c r="T25" i="3"/>
  <c r="AD39" i="3"/>
  <c r="T30" i="3"/>
  <c r="AE23" i="3"/>
  <c r="AD8" i="3"/>
  <c r="T21" i="3"/>
  <c r="AE20" i="3"/>
  <c r="Y24" i="3"/>
  <c r="Y13" i="3"/>
  <c r="AC14" i="3"/>
  <c r="AC22" i="3"/>
  <c r="AC10" i="3"/>
  <c r="AC28" i="3"/>
  <c r="AE12" i="3"/>
  <c r="T12" i="3"/>
  <c r="AE17" i="3"/>
  <c r="T17" i="3"/>
  <c r="AE40" i="3"/>
  <c r="T40" i="3"/>
  <c r="AE27" i="3"/>
  <c r="AD40" i="3"/>
  <c r="T34" i="3"/>
  <c r="AE38" i="3"/>
  <c r="T38" i="3"/>
  <c r="AD32" i="3"/>
  <c r="AD12" i="3"/>
  <c r="AE33" i="3"/>
  <c r="T33" i="3"/>
  <c r="AD17" i="3"/>
  <c r="AE36" i="3"/>
  <c r="T36" i="3"/>
  <c r="AD30" i="3"/>
  <c r="AE14" i="3"/>
  <c r="T14" i="3"/>
  <c r="AD23" i="3"/>
  <c r="AE22" i="3"/>
  <c r="T22" i="3"/>
  <c r="AD21" i="3"/>
  <c r="AE10" i="3"/>
  <c r="T10" i="3"/>
  <c r="AD20" i="3"/>
  <c r="AE28" i="3"/>
  <c r="T28" i="3"/>
  <c r="T27" i="3"/>
  <c r="AE32" i="3"/>
  <c r="T32" i="3"/>
  <c r="AE34" i="3"/>
  <c r="AD27" i="3"/>
  <c r="AE11" i="3"/>
  <c r="T11" i="3"/>
  <c r="AE43" i="3"/>
  <c r="AE37" i="3"/>
  <c r="AE15" i="3"/>
  <c r="AE31" i="3"/>
  <c r="AE39" i="3"/>
  <c r="AE24" i="3"/>
  <c r="AE8" i="3"/>
  <c r="AE13" i="3"/>
  <c r="AE19" i="3"/>
  <c r="S35" i="3"/>
  <c r="M35" i="3"/>
  <c r="R35" i="3"/>
  <c r="U35" i="3"/>
  <c r="V35" i="3"/>
  <c r="W35" i="3"/>
  <c r="X35" i="3"/>
  <c r="U104" i="1" l="1"/>
  <c r="S104" i="1" s="1"/>
  <c r="AI104" i="1"/>
  <c r="W104" i="1"/>
  <c r="U85" i="1"/>
  <c r="S85" i="1" s="1"/>
  <c r="AI105" i="1"/>
  <c r="AI97" i="1"/>
  <c r="AI119" i="1"/>
  <c r="AI94" i="1"/>
  <c r="AI100" i="1"/>
  <c r="AI58" i="1"/>
  <c r="AI60" i="1"/>
  <c r="AI66" i="1"/>
  <c r="AI68" i="1"/>
  <c r="AI74" i="1"/>
  <c r="AI76" i="1"/>
  <c r="AI78" i="1"/>
  <c r="AI80" i="1"/>
  <c r="AI86" i="1"/>
  <c r="AI88" i="1"/>
  <c r="W97" i="1"/>
  <c r="W105" i="1"/>
  <c r="U90" i="1"/>
  <c r="S90" i="1" s="1"/>
  <c r="W102" i="1"/>
  <c r="U121" i="1"/>
  <c r="S121" i="1" s="1"/>
  <c r="AI113" i="1"/>
  <c r="U58" i="1"/>
  <c r="S58" i="1" s="1"/>
  <c r="U60" i="1"/>
  <c r="S60" i="1" s="1"/>
  <c r="U66" i="1"/>
  <c r="S66" i="1" s="1"/>
  <c r="U68" i="1"/>
  <c r="S68" i="1" s="1"/>
  <c r="U74" i="1"/>
  <c r="S74" i="1" s="1"/>
  <c r="U76" i="1"/>
  <c r="S76" i="1" s="1"/>
  <c r="U78" i="1"/>
  <c r="S78" i="1" s="1"/>
  <c r="U80" i="1"/>
  <c r="S80" i="1" s="1"/>
  <c r="U88" i="1"/>
  <c r="S88" i="1" s="1"/>
  <c r="AI90" i="1"/>
  <c r="AI102" i="1"/>
  <c r="W113" i="1"/>
  <c r="AI96" i="1"/>
  <c r="W125" i="1"/>
  <c r="Y35" i="3"/>
  <c r="W121" i="1"/>
  <c r="U14" i="1"/>
  <c r="S14" i="1" s="1"/>
  <c r="U91" i="1"/>
  <c r="S91" i="1" s="1"/>
  <c r="AI91" i="1"/>
  <c r="W14" i="1"/>
  <c r="AI212" i="1"/>
  <c r="U212" i="1"/>
  <c r="S212" i="1" s="1"/>
  <c r="U211" i="1"/>
  <c r="S211" i="1" s="1"/>
  <c r="AI211" i="1"/>
  <c r="U89" i="1"/>
  <c r="S89" i="1" s="1"/>
  <c r="AI89" i="1"/>
  <c r="U112" i="1"/>
  <c r="S112" i="1" s="1"/>
  <c r="AI112" i="1"/>
  <c r="U126" i="1"/>
  <c r="S126" i="1" s="1"/>
  <c r="AI126" i="1"/>
  <c r="W212" i="1"/>
  <c r="U213" i="1"/>
  <c r="S213" i="1" s="1"/>
  <c r="AI213" i="1"/>
  <c r="W213" i="1"/>
  <c r="U217" i="1"/>
  <c r="S217" i="1" s="1"/>
  <c r="AI217" i="1"/>
  <c r="W224" i="1"/>
  <c r="AI224" i="1"/>
  <c r="U95" i="1"/>
  <c r="S95" i="1" s="1"/>
  <c r="AI95" i="1"/>
  <c r="U117" i="1"/>
  <c r="S117" i="1" s="1"/>
  <c r="AI117" i="1"/>
  <c r="U209" i="1"/>
  <c r="S209" i="1" s="1"/>
  <c r="AI209" i="1"/>
  <c r="AI215" i="1"/>
  <c r="U215" i="1"/>
  <c r="S215" i="1" s="1"/>
  <c r="U115" i="1"/>
  <c r="S115" i="1" s="1"/>
  <c r="AI115" i="1"/>
  <c r="U120" i="1"/>
  <c r="S120" i="1" s="1"/>
  <c r="AI120" i="1"/>
  <c r="W117" i="1"/>
  <c r="U158" i="1"/>
  <c r="S158" i="1" s="1"/>
  <c r="AI158" i="1"/>
  <c r="U216" i="1"/>
  <c r="S216" i="1" s="1"/>
  <c r="AI216" i="1"/>
  <c r="U16" i="1"/>
  <c r="S16" i="1" s="1"/>
  <c r="AI16" i="1"/>
  <c r="AI233" i="1"/>
  <c r="U221" i="1"/>
  <c r="S221" i="1" s="1"/>
  <c r="AI32" i="1"/>
  <c r="U32" i="1"/>
  <c r="S32" i="1" s="1"/>
  <c r="AI36" i="1"/>
  <c r="U36" i="1"/>
  <c r="S36" i="1" s="1"/>
  <c r="U24" i="1"/>
  <c r="S24" i="1" s="1"/>
  <c r="AI24" i="1"/>
  <c r="U52" i="1"/>
  <c r="S52" i="1" s="1"/>
  <c r="AI52" i="1"/>
  <c r="U44" i="1"/>
  <c r="S44" i="1" s="1"/>
  <c r="AI44" i="1"/>
  <c r="U28" i="1"/>
  <c r="S28" i="1" s="1"/>
  <c r="AI28" i="1"/>
  <c r="AI236" i="1"/>
  <c r="U224" i="1"/>
  <c r="S224" i="1" s="1"/>
  <c r="U20" i="1"/>
  <c r="S20" i="1" s="1"/>
  <c r="AI20" i="1"/>
  <c r="AI40" i="1"/>
  <c r="U40" i="1"/>
  <c r="S40" i="1" s="1"/>
  <c r="W16" i="1"/>
  <c r="W32" i="1"/>
  <c r="W52" i="1"/>
  <c r="U48" i="1"/>
  <c r="S48" i="1" s="1"/>
  <c r="AI48" i="1"/>
  <c r="AD35" i="3"/>
  <c r="AE26" i="3"/>
  <c r="AD26" i="3"/>
  <c r="AC35" i="3"/>
  <c r="AE35" i="3"/>
  <c r="T35" i="3"/>
  <c r="AM13" i="1" l="1"/>
  <c r="M28" i="5" l="1"/>
  <c r="B5" i="6" l="1"/>
  <c r="F5" i="6" s="1"/>
  <c r="K5" i="6"/>
  <c r="B6" i="6"/>
  <c r="F6" i="6" s="1"/>
  <c r="K6" i="6"/>
  <c r="B7" i="6"/>
  <c r="G7" i="6" s="1"/>
  <c r="K7" i="6"/>
  <c r="B8" i="6"/>
  <c r="F8" i="6" s="1"/>
  <c r="K8" i="6"/>
  <c r="B9" i="6"/>
  <c r="F9" i="6" s="1"/>
  <c r="K9" i="6"/>
  <c r="B10" i="6"/>
  <c r="F10" i="6" s="1"/>
  <c r="K10" i="6"/>
  <c r="B11" i="6"/>
  <c r="G11" i="6" s="1"/>
  <c r="K11" i="6"/>
  <c r="B12" i="6"/>
  <c r="K12" i="6"/>
  <c r="B13" i="6"/>
  <c r="F13" i="6" s="1"/>
  <c r="K13" i="6"/>
  <c r="B14" i="6"/>
  <c r="F14" i="6" s="1"/>
  <c r="K14" i="6"/>
  <c r="B15" i="6"/>
  <c r="G15" i="6" s="1"/>
  <c r="K15" i="6"/>
  <c r="B16" i="6"/>
  <c r="F16" i="6" s="1"/>
  <c r="K16" i="6"/>
  <c r="B17" i="6"/>
  <c r="F17" i="6" s="1"/>
  <c r="K17" i="6"/>
  <c r="I8" i="6" l="1"/>
  <c r="F11" i="6"/>
  <c r="G5" i="6"/>
  <c r="F12" i="6"/>
  <c r="I12" i="6"/>
  <c r="G9" i="6"/>
  <c r="F15" i="6"/>
  <c r="I16" i="6"/>
  <c r="G13" i="6"/>
  <c r="G17" i="6"/>
  <c r="F7" i="6"/>
  <c r="H16" i="6"/>
  <c r="H12" i="6"/>
  <c r="H8" i="6"/>
  <c r="I17" i="6"/>
  <c r="G16" i="6"/>
  <c r="J15" i="6"/>
  <c r="I13" i="6"/>
  <c r="G12" i="6"/>
  <c r="J11" i="6"/>
  <c r="I9" i="6"/>
  <c r="G8" i="6"/>
  <c r="J7" i="6"/>
  <c r="I5" i="6"/>
  <c r="H17" i="6"/>
  <c r="J16" i="6"/>
  <c r="I15" i="6"/>
  <c r="I14" i="6"/>
  <c r="H13" i="6"/>
  <c r="J12" i="6"/>
  <c r="I11" i="6"/>
  <c r="I10" i="6"/>
  <c r="H9" i="6"/>
  <c r="J8" i="6"/>
  <c r="I7" i="6"/>
  <c r="I6" i="6"/>
  <c r="H14" i="6"/>
  <c r="H10" i="6"/>
  <c r="H6" i="6"/>
  <c r="J17" i="6"/>
  <c r="H15" i="6"/>
  <c r="G14" i="6"/>
  <c r="J13" i="6"/>
  <c r="H11" i="6"/>
  <c r="G10" i="6"/>
  <c r="J9" i="6"/>
  <c r="H7" i="6"/>
  <c r="G6" i="6"/>
  <c r="J5" i="6"/>
  <c r="J14" i="6"/>
  <c r="J10" i="6"/>
  <c r="J6" i="6"/>
  <c r="B3" i="6" l="1"/>
  <c r="K3" i="6"/>
  <c r="B4" i="6"/>
  <c r="G4" i="6" s="1"/>
  <c r="K4" i="6"/>
  <c r="J3" i="6" l="1"/>
  <c r="I4" i="6"/>
  <c r="J4" i="6"/>
  <c r="F3" i="6"/>
  <c r="F4" i="6"/>
  <c r="I3" i="6"/>
  <c r="G3" i="6"/>
  <c r="B53" i="9" l="1"/>
  <c r="B54" i="9"/>
  <c r="B55" i="9"/>
  <c r="C55" i="9" l="1"/>
  <c r="C54" i="9"/>
  <c r="G3" i="4" l="1"/>
  <c r="G4" i="4"/>
  <c r="G5" i="4"/>
  <c r="G6" i="4"/>
  <c r="G7" i="4"/>
  <c r="G8" i="4"/>
  <c r="G9" i="4"/>
  <c r="N19" i="3" s="1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28" i="3" s="1"/>
  <c r="G41" i="4"/>
  <c r="N20" i="3" s="1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N16" i="3" s="1"/>
  <c r="G61" i="4"/>
  <c r="G62" i="4"/>
  <c r="G63" i="4"/>
  <c r="N13" i="3" s="1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N21" i="3" s="1"/>
  <c r="G77" i="4"/>
  <c r="G78" i="4"/>
  <c r="G79" i="4"/>
  <c r="N10" i="3" s="1"/>
  <c r="G80" i="4"/>
  <c r="N9" i="3" s="1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N8" i="3" s="1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N29" i="3" s="1"/>
  <c r="G137" i="4"/>
  <c r="N24" i="3" s="1"/>
  <c r="G138" i="4"/>
  <c r="G139" i="4"/>
  <c r="G140" i="4"/>
  <c r="G141" i="4"/>
  <c r="G142" i="4"/>
  <c r="G143" i="4"/>
  <c r="G144" i="4"/>
  <c r="G145" i="4"/>
  <c r="G146" i="4"/>
  <c r="G147" i="4"/>
  <c r="N30" i="3" s="1"/>
  <c r="G148" i="4"/>
  <c r="N14" i="3" s="1"/>
  <c r="G149" i="4"/>
  <c r="G150" i="4"/>
  <c r="G151" i="4"/>
  <c r="G152" i="4"/>
  <c r="G153" i="4"/>
  <c r="G154" i="4"/>
  <c r="G155" i="4"/>
  <c r="G156" i="4"/>
  <c r="G157" i="4"/>
  <c r="G158" i="4"/>
  <c r="N7" i="3" s="1"/>
  <c r="G159" i="4"/>
  <c r="G160" i="4"/>
  <c r="G161" i="4"/>
  <c r="G162" i="4"/>
  <c r="G163" i="4"/>
  <c r="G164" i="4"/>
  <c r="G165" i="4"/>
  <c r="G166" i="4"/>
  <c r="G167" i="4"/>
  <c r="G168" i="4"/>
  <c r="N36" i="3" s="1"/>
  <c r="G169" i="4"/>
  <c r="N17" i="3" s="1"/>
  <c r="G170" i="4"/>
  <c r="N39" i="3" s="1"/>
  <c r="G171" i="4"/>
  <c r="G172" i="4"/>
  <c r="G173" i="4"/>
  <c r="G174" i="4"/>
  <c r="G175" i="4"/>
  <c r="N25" i="3" s="1"/>
  <c r="G176" i="4"/>
  <c r="G177" i="4"/>
  <c r="G178" i="4"/>
  <c r="G179" i="4"/>
  <c r="G180" i="4"/>
  <c r="G181" i="4"/>
  <c r="N31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N33" i="3" s="1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N15" i="3" s="1"/>
  <c r="G210" i="4"/>
  <c r="G211" i="4"/>
  <c r="N11" i="3" s="1"/>
  <c r="G212" i="4"/>
  <c r="G213" i="4"/>
  <c r="G214" i="4"/>
  <c r="N26" i="3" s="1"/>
  <c r="G215" i="4"/>
  <c r="G216" i="4"/>
  <c r="G217" i="4"/>
  <c r="N32" i="3" s="1"/>
  <c r="G218" i="4"/>
  <c r="G219" i="4"/>
  <c r="G220" i="4"/>
  <c r="G221" i="4"/>
  <c r="G222" i="4"/>
  <c r="G223" i="4"/>
  <c r="G224" i="4"/>
  <c r="G225" i="4"/>
  <c r="G226" i="4"/>
  <c r="G227" i="4"/>
  <c r="G228" i="4"/>
  <c r="N27" i="3" s="1"/>
  <c r="G229" i="4"/>
  <c r="G230" i="4"/>
  <c r="G231" i="4"/>
  <c r="G232" i="4"/>
  <c r="G233" i="4"/>
  <c r="G234" i="4"/>
  <c r="G235" i="4"/>
  <c r="G236" i="4"/>
  <c r="G237" i="4"/>
  <c r="G238" i="4"/>
  <c r="G239" i="4"/>
  <c r="N35" i="3" s="1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4" i="3" l="1"/>
  <c r="N40" i="3"/>
  <c r="N41" i="3"/>
  <c r="N42" i="3"/>
  <c r="N43" i="3"/>
  <c r="N12" i="3"/>
  <c r="N18" i="3"/>
  <c r="N22" i="3"/>
  <c r="N23" i="3"/>
  <c r="N37" i="3"/>
  <c r="N38" i="3"/>
  <c r="H5" i="6"/>
  <c r="H3" i="6"/>
  <c r="H4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<sst xmlns="http://schemas.openxmlformats.org/spreadsheetml/2006/main" count="2677" uniqueCount="972">
  <si>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</si>
  <si>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</si>
  <si>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</si>
  <si>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</si>
  <si>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</si>
  <si>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</si>
  <si>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</si>
  <si>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</si>
  <si>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</si>
  <si>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</si>
  <si>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</si>
  <si>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</si>
  <si>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</si>
  <si>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</si>
  <si>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</si>
  <si>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</si>
  <si>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</si>
  <si>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</si>
  <si>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</si>
  <si>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</si>
  <si>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</si>
  <si>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</si>
  <si>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</si>
  <si>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</si>
  <si>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</si>
  <si>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</si>
  <si>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</si>
  <si>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</si>
  <si>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</si>
  <si>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</si>
  <si>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</si>
  <si>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</si>
  <si>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</si>
  <si>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</si>
  <si>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</si>
  <si>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</si>
  <si>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</si>
  <si>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</si>
  <si>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</si>
  <si>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</si>
  <si>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</si>
  <si>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</si>
  <si>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</si>
  <si>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</si>
  <si>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</si>
  <si>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</si>
  <si>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</si>
  <si>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</si>
  <si>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</si>
  <si>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</si>
  <si>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</si>
  <si>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</si>
  <si>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</si>
  <si>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</si>
  <si>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</si>
  <si>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</si>
  <si>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</si>
  <si>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</si>
  <si>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</si>
  <si>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</si>
  <si>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</si>
  <si>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</si>
  <si>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</si>
  <si>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</si>
  <si>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</si>
  <si>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</si>
  <si>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</si>
  <si>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</si>
  <si>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</si>
  <si>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</si>
  <si>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</si>
  <si>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</si>
  <si>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</si>
  <si>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</si>
  <si>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</si>
  <si>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</si>
  <si>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</si>
  <si>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</si>
  <si>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</si>
  <si>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</si>
  <si>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</si>
  <si>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</si>
  <si>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</si>
  <si>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</si>
  <si>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</si>
  <si>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</si>
  <si>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</si>
  <si>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</si>
  <si>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</si>
  <si>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</si>
  <si>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</si>
  <si>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</si>
  <si>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</si>
  <si>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</si>
  <si>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</si>
  <si>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</si>
  <si>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</si>
  <si>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</si>
  <si>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</si>
  <si>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</si>
  <si>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</si>
  <si>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</si>
  <si>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</si>
  <si>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</si>
  <si>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</si>
  <si>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</si>
  <si>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</si>
  <si>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</si>
  <si>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</si>
  <si>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</si>
  <si>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</si>
  <si>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</si>
  <si>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</si>
  <si>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</si>
  <si>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</si>
  <si>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</si>
  <si>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</si>
  <si>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</si>
  <si>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</si>
  <si>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</si>
  <si>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</si>
  <si>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</si>
  <si>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</si>
  <si>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</si>
  <si>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</si>
  <si>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</si>
  <si>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</si>
  <si>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</si>
  <si>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</si>
  <si>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</si>
  <si>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</si>
  <si>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</si>
  <si>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</si>
  <si>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</si>
  <si>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</si>
  <si>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</si>
  <si>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</si>
  <si>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</si>
  <si>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</si>
  <si>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</si>
  <si>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</si>
  <si>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</si>
  <si>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</si>
  <si>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</si>
  <si>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</si>
  <si>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</si>
  <si>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</si>
  <si>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</si>
  <si>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</si>
  <si>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</si>
  <si>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</si>
  <si>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</si>
  <si>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</si>
  <si>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</si>
  <si>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</si>
  <si>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</si>
  <si>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</si>
  <si>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</si>
  <si>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</si>
  <si>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</si>
  <si>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</si>
  <si>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</si>
  <si>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</si>
  <si>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</si>
  <si>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</si>
  <si>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</si>
  <si>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</si>
  <si>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</si>
  <si>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</si>
  <si>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</si>
  <si>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</si>
  <si>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</si>
  <si>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</si>
  <si>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</si>
  <si>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</si>
  <si>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</si>
  <si>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</si>
  <si>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</si>
  <si>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</si>
  <si>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</si>
  <si>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</si>
  <si>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</si>
  <si>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</si>
  <si>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</si>
  <si>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</si>
  <si>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</si>
  <si>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</si>
  <si>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</si>
  <si>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</si>
  <si>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</si>
  <si>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</si>
  <si>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</si>
  <si>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</si>
  <si>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</si>
  <si>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</si>
  <si>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</si>
  <si>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</si>
  <si>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</si>
  <si>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</si>
  <si>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</si>
  <si>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</si>
  <si>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</si>
  <si>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</si>
  <si>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</si>
  <si>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</si>
  <si>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</si>
  <si>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</si>
  <si>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</si>
  <si>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</si>
  <si>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</si>
  <si>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</si>
  <si>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</si>
  <si>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</si>
  <si>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</si>
  <si>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</si>
  <si>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</si>
  <si>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</si>
  <si>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</si>
  <si>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</si>
  <si>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</si>
  <si>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</si>
  <si>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</si>
  <si>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</si>
  <si>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</si>
  <si>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</si>
  <si>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204:455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</si>
  <si>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</si>
  <si>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</si>
  <si>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</si>
  <si>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</si>
  <si>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</si>
  <si>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</si>
  <si>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</si>
  <si>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</si>
  <si>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</si>
  <si>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</si>
  <si>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</si>
  <si>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rtdc.l.rtdc.4016:itc</t>
  </si>
  <si>
    <t>204:163</t>
  </si>
  <si>
    <t>Partly Cloudy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</si>
  <si>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</si>
  <si>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</si>
  <si>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</si>
  <si>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</si>
  <si>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</si>
  <si>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</si>
  <si>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</si>
  <si>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</si>
  <si>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rtdc.l.rtdc.4045:itc</t>
  </si>
  <si>
    <t>204:147</t>
  </si>
  <si>
    <t>204:139</t>
  </si>
  <si>
    <t>MICHAEL</t>
  </si>
  <si>
    <t>DAVIS</t>
  </si>
  <si>
    <t>204:232977</t>
  </si>
  <si>
    <t>204:160</t>
  </si>
  <si>
    <t>204:462</t>
  </si>
  <si>
    <t>rtdc.l.rtdc.4013:itc</t>
  </si>
  <si>
    <t>rtdc.l.rtdc.4004:itc</t>
  </si>
  <si>
    <t>rtdc.l.rtdc.4003:itc</t>
  </si>
  <si>
    <t>204:138</t>
  </si>
  <si>
    <t>204:233289</t>
  </si>
  <si>
    <t>204:232986</t>
  </si>
  <si>
    <t>SMITH</t>
  </si>
  <si>
    <t>NEWELL</t>
  </si>
  <si>
    <t>204:449</t>
  </si>
  <si>
    <t>204:233308</t>
  </si>
  <si>
    <t>204:232973</t>
  </si>
  <si>
    <t>204:232978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</si>
  <si>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</si>
  <si>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</si>
  <si>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</si>
  <si>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</si>
  <si>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</si>
  <si>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</si>
  <si>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</si>
  <si>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</si>
  <si>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</si>
  <si>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</si>
  <si>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</si>
  <si>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</si>
  <si>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</si>
  <si>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</si>
  <si>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</si>
  <si>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</si>
  <si>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</si>
  <si>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204:233297</t>
  </si>
  <si>
    <t>204:233312</t>
  </si>
  <si>
    <t>204:233300</t>
  </si>
  <si>
    <t>204:152</t>
  </si>
  <si>
    <t>204:232980</t>
  </si>
  <si>
    <t>204:232982</t>
  </si>
  <si>
    <t>HILLS</t>
  </si>
  <si>
    <t>DUSTIN</t>
  </si>
  <si>
    <t>BROWN</t>
  </si>
  <si>
    <t>JACOB</t>
  </si>
  <si>
    <t>204:158</t>
  </si>
  <si>
    <t>204:232998</t>
  </si>
  <si>
    <t>204:141</t>
  </si>
  <si>
    <t>rtdc.l.rtdc.4025:itc</t>
  </si>
  <si>
    <t>315-23</t>
  </si>
  <si>
    <t>204:232971</t>
  </si>
  <si>
    <t>204:457</t>
  </si>
  <si>
    <t>204:156</t>
  </si>
  <si>
    <t>204:233317</t>
  </si>
  <si>
    <t>300:23304</t>
  </si>
  <si>
    <t>300:58931</t>
  </si>
  <si>
    <t>rtdc.l.rtdc.4018:itc</t>
  </si>
  <si>
    <t>204:444</t>
  </si>
  <si>
    <t>204:232989</t>
  </si>
  <si>
    <t>204:232996</t>
  </si>
  <si>
    <t>204:232985</t>
  </si>
  <si>
    <t>300:58929</t>
  </si>
  <si>
    <t>rtdc.l.rtdc.4041:itc</t>
  </si>
  <si>
    <t>MAELZER</t>
  </si>
  <si>
    <t>KURT</t>
  </si>
  <si>
    <t>partly-cloudy-day</t>
  </si>
  <si>
    <t>204:437</t>
  </si>
  <si>
    <t>204:478</t>
  </si>
  <si>
    <t>204:233011</t>
  </si>
  <si>
    <t>204:471</t>
  </si>
  <si>
    <t>rtdc.l.rtdc.4030:itc</t>
  </si>
  <si>
    <t>rtdc.l.rtdc.4029:itc</t>
  </si>
  <si>
    <t>YORK</t>
  </si>
  <si>
    <t>EDGAR</t>
  </si>
  <si>
    <t>SPECTOR</t>
  </si>
  <si>
    <t>204:233315</t>
  </si>
  <si>
    <t>204:467</t>
  </si>
  <si>
    <t>204:233305</t>
  </si>
  <si>
    <t>204:233000</t>
  </si>
  <si>
    <t>204:232967</t>
  </si>
  <si>
    <t>300:58621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</si>
  <si>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</si>
  <si>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</si>
  <si>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</si>
  <si>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</si>
  <si>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rtdc.l.rtdc.4008:itc</t>
  </si>
  <si>
    <t>rtdc.l.rtdc.4021:itc</t>
  </si>
  <si>
    <t>rtdc.l.rtdc.4007:itc</t>
  </si>
  <si>
    <t>rtdc.l.rtdc.4031:itc</t>
  </si>
  <si>
    <t>SCOTT</t>
  </si>
  <si>
    <t>204:233334</t>
  </si>
  <si>
    <t>204:233303</t>
  </si>
  <si>
    <t>204:232990</t>
  </si>
  <si>
    <t>204:475</t>
  </si>
  <si>
    <t>204:232983</t>
  </si>
  <si>
    <t>204:233298</t>
  </si>
  <si>
    <t>204:446</t>
  </si>
  <si>
    <t>204:232981</t>
  </si>
  <si>
    <t>204:232965</t>
  </si>
  <si>
    <t>204:233002</t>
  </si>
  <si>
    <t>204:132</t>
  </si>
  <si>
    <t>204:482</t>
  </si>
  <si>
    <t>rtdc.l.rtdc.4032:itc</t>
  </si>
  <si>
    <t>rtdc.l.rtdc.4017:itc</t>
  </si>
  <si>
    <t>COMELLA</t>
  </si>
  <si>
    <t>JUSTIN</t>
  </si>
  <si>
    <t>rtdc.l.rtdc.4015:itc</t>
  </si>
  <si>
    <t>ROCHA</t>
  </si>
  <si>
    <t>YAOTL</t>
  </si>
  <si>
    <t>CLARK</t>
  </si>
  <si>
    <t>KATHLEEN</t>
  </si>
  <si>
    <t>CRAYTON</t>
  </si>
  <si>
    <t>QUNTRELL</t>
  </si>
  <si>
    <t>LEVERE</t>
  </si>
  <si>
    <t>CRAIG</t>
  </si>
  <si>
    <t>STORY</t>
  </si>
  <si>
    <t>SAMANTHA</t>
  </si>
  <si>
    <t>204:233295</t>
  </si>
  <si>
    <t>204:233278</t>
  </si>
  <si>
    <t>204:232992</t>
  </si>
  <si>
    <t>204:176</t>
  </si>
  <si>
    <t>204:233320</t>
  </si>
  <si>
    <t>204:458</t>
  </si>
  <si>
    <t>204:621</t>
  </si>
  <si>
    <t>204:964</t>
  </si>
  <si>
    <t>204:670</t>
  </si>
  <si>
    <t>300:58928</t>
  </si>
  <si>
    <t>300:58924</t>
  </si>
  <si>
    <t>204:684</t>
  </si>
  <si>
    <t>300:58613</t>
  </si>
  <si>
    <t>204:972</t>
  </si>
  <si>
    <t>300:58604</t>
  </si>
  <si>
    <t>300:58615</t>
  </si>
  <si>
    <t>Early arrival</t>
  </si>
  <si>
    <t>rtdc.l.rtdc.4010:itc</t>
  </si>
  <si>
    <t>PERMANENT SPEED RESTRICTION</t>
  </si>
  <si>
    <t>Speed (6)</t>
  </si>
  <si>
    <t>Y</t>
  </si>
  <si>
    <t>LOZA</t>
  </si>
  <si>
    <t>FIDEL</t>
  </si>
  <si>
    <t>STRICKLAND</t>
  </si>
  <si>
    <t>EVAN</t>
  </si>
  <si>
    <t>MOSES</t>
  </si>
  <si>
    <t>BRADLEY</t>
  </si>
  <si>
    <t>SANTIZO</t>
  </si>
  <si>
    <t>D. EDY</t>
  </si>
  <si>
    <t>BRANNON</t>
  </si>
  <si>
    <t>JEFFREY</t>
  </si>
  <si>
    <t>DUNCAN</t>
  </si>
  <si>
    <t>SHEILA</t>
  </si>
  <si>
    <t>311-03</t>
  </si>
  <si>
    <t>244-03</t>
  </si>
  <si>
    <t>313-03</t>
  </si>
  <si>
    <t>315-03</t>
  </si>
  <si>
    <t>precipAccumulation</t>
  </si>
  <si>
    <t>precipType</t>
  </si>
  <si>
    <t>snow</t>
  </si>
  <si>
    <t>Flurries</t>
  </si>
  <si>
    <t>Light Snow</t>
  </si>
  <si>
    <t>204:755</t>
  </si>
  <si>
    <t>204:748</t>
  </si>
  <si>
    <t>204:134</t>
  </si>
  <si>
    <t>204:233311</t>
  </si>
  <si>
    <t>204:233321</t>
  </si>
  <si>
    <t>204:233032</t>
  </si>
  <si>
    <t>204:233286</t>
  </si>
  <si>
    <t>204:161</t>
  </si>
  <si>
    <t>204:233307</t>
  </si>
  <si>
    <t>204:469</t>
  </si>
  <si>
    <t>204:233288</t>
  </si>
  <si>
    <t>204:233314</t>
  </si>
  <si>
    <t>204:233323</t>
  </si>
  <si>
    <t>204:169</t>
  </si>
  <si>
    <t>204:165</t>
  </si>
  <si>
    <t>204:466</t>
  </si>
  <si>
    <t>204:442</t>
  </si>
  <si>
    <t>204:130</t>
  </si>
  <si>
    <t>204:232959</t>
  </si>
  <si>
    <t>300:23306</t>
  </si>
  <si>
    <t>300:23314</t>
  </si>
  <si>
    <t>300:58619</t>
  </si>
  <si>
    <t>204:1035</t>
  </si>
  <si>
    <t>300:58943</t>
  </si>
  <si>
    <t>300:58617</t>
  </si>
  <si>
    <t>204:1023</t>
  </si>
  <si>
    <t>300:58668</t>
  </si>
  <si>
    <t>300:58624</t>
  </si>
  <si>
    <t>300:58645</t>
  </si>
  <si>
    <t>300:58988</t>
  </si>
  <si>
    <t>204:986</t>
  </si>
  <si>
    <t>204:678</t>
  </si>
  <si>
    <t>start /low /b %USERPROFILE%\Documents\GitHub\eaglep3\Utilities\DownloadLogsFromS3.py --loco 4009 --day 2017-01-04</t>
  </si>
  <si>
    <t>start /low /b %USERPROFILE%\Documents\GitHub\eaglep3\Utilities\DownloadLogsFromS3.py --loco 4021 --day 2017-01-04</t>
  </si>
  <si>
    <t>start /low /b %USERPROFILE%\Documents\GitHub\eaglep3\Utilities\DownloadLogsFromS3.py --loco 4022 --day 2017-01-04</t>
  </si>
  <si>
    <t>Wi-MAX data drop</t>
  </si>
  <si>
    <t>Banner without braking</t>
  </si>
  <si>
    <t>304-04</t>
  </si>
  <si>
    <t>103-04</t>
  </si>
  <si>
    <t>802-04</t>
  </si>
  <si>
    <t>121-04</t>
  </si>
  <si>
    <t>133-04</t>
  </si>
  <si>
    <t>130-04</t>
  </si>
  <si>
    <t>147-04</t>
  </si>
  <si>
    <t>145-04</t>
  </si>
  <si>
    <t>142-04</t>
  </si>
  <si>
    <t>162-04</t>
  </si>
  <si>
    <t>173-04</t>
  </si>
  <si>
    <t>824-04</t>
  </si>
  <si>
    <t>189-04</t>
  </si>
  <si>
    <t>197-04</t>
  </si>
  <si>
    <t>826-04</t>
  </si>
  <si>
    <t>198-04</t>
  </si>
  <si>
    <t>68-04</t>
  </si>
  <si>
    <t>69-04</t>
  </si>
  <si>
    <t>204-04</t>
  </si>
  <si>
    <t>213-04</t>
  </si>
  <si>
    <t>836-04</t>
  </si>
  <si>
    <t>839-04</t>
  </si>
  <si>
    <t>rtdc.l.rtdc.4001:itc</t>
  </si>
  <si>
    <t>222-04</t>
  </si>
  <si>
    <t>227-04</t>
  </si>
  <si>
    <t>226-04</t>
  </si>
  <si>
    <t>844-04</t>
  </si>
  <si>
    <t>231-04</t>
  </si>
  <si>
    <t>908-04</t>
  </si>
  <si>
    <t>239-04</t>
  </si>
  <si>
    <t>83-04</t>
  </si>
  <si>
    <t>84-04</t>
  </si>
  <si>
    <t>302-04</t>
  </si>
  <si>
    <t>ISHMAEL</t>
  </si>
  <si>
    <t>JOSEPH</t>
  </si>
  <si>
    <t>101-04</t>
  </si>
  <si>
    <t>306-04</t>
  </si>
  <si>
    <t>102-04</t>
  </si>
  <si>
    <t>105-04</t>
  </si>
  <si>
    <t>308-04</t>
  </si>
  <si>
    <t>BONDS</t>
  </si>
  <si>
    <t>REYNALDO</t>
  </si>
  <si>
    <t>310-04</t>
  </si>
  <si>
    <t>107-04</t>
  </si>
  <si>
    <t>104-04</t>
  </si>
  <si>
    <t>109-04</t>
  </si>
  <si>
    <t>901-04</t>
  </si>
  <si>
    <t>106-04</t>
  </si>
  <si>
    <t>111-04</t>
  </si>
  <si>
    <t>113-04</t>
  </si>
  <si>
    <t>800-04</t>
  </si>
  <si>
    <t>108-04</t>
  </si>
  <si>
    <t>115-04</t>
  </si>
  <si>
    <t>BEAM</t>
  </si>
  <si>
    <t>ROSS</t>
  </si>
  <si>
    <t>801-04</t>
  </si>
  <si>
    <t>117-04</t>
  </si>
  <si>
    <t>110-04</t>
  </si>
  <si>
    <t>112-04</t>
  </si>
  <si>
    <t>YANG</t>
  </si>
  <si>
    <t>JAN</t>
  </si>
  <si>
    <t>119-04</t>
  </si>
  <si>
    <t>902-04</t>
  </si>
  <si>
    <t>114-04</t>
  </si>
  <si>
    <t>803-04</t>
  </si>
  <si>
    <t>116-04</t>
  </si>
  <si>
    <t>123-04</t>
  </si>
  <si>
    <t>805-04</t>
  </si>
  <si>
    <t>125-04</t>
  </si>
  <si>
    <t>804-04</t>
  </si>
  <si>
    <t>118-04</t>
  </si>
  <si>
    <t>120-04</t>
  </si>
  <si>
    <t>127-04</t>
  </si>
  <si>
    <t>122-04</t>
  </si>
  <si>
    <t>806-04</t>
  </si>
  <si>
    <t>129-04</t>
  </si>
  <si>
    <t>807-04</t>
  </si>
  <si>
    <t>124-04</t>
  </si>
  <si>
    <t>131-04</t>
  </si>
  <si>
    <t>126-04</t>
  </si>
  <si>
    <t>809-04</t>
  </si>
  <si>
    <t>808-04</t>
  </si>
  <si>
    <t>128-04</t>
  </si>
  <si>
    <t>135-04</t>
  </si>
  <si>
    <t>810-04</t>
  </si>
  <si>
    <t>137-04</t>
  </si>
  <si>
    <t>811-04</t>
  </si>
  <si>
    <t>132-04</t>
  </si>
  <si>
    <t>903-04</t>
  </si>
  <si>
    <t>139-04</t>
  </si>
  <si>
    <t>134-04</t>
  </si>
  <si>
    <t>812-04</t>
  </si>
  <si>
    <t>141-04</t>
  </si>
  <si>
    <t>136-04</t>
  </si>
  <si>
    <t>143-04</t>
  </si>
  <si>
    <t>138-04</t>
  </si>
  <si>
    <t>813-04</t>
  </si>
  <si>
    <t>140-04</t>
  </si>
  <si>
    <t>149-04</t>
  </si>
  <si>
    <t>814-04</t>
  </si>
  <si>
    <t>144-04</t>
  </si>
  <si>
    <t>151-04</t>
  </si>
  <si>
    <t>146-04</t>
  </si>
  <si>
    <t>153-04</t>
  </si>
  <si>
    <t>148-04</t>
  </si>
  <si>
    <t>815-04</t>
  </si>
  <si>
    <t>155-04</t>
  </si>
  <si>
    <t>50-04</t>
  </si>
  <si>
    <t>DE LA ROSA</t>
  </si>
  <si>
    <t>ALEX</t>
  </si>
  <si>
    <t>150-04</t>
  </si>
  <si>
    <t>157-04</t>
  </si>
  <si>
    <t>816-04</t>
  </si>
  <si>
    <t>152-04</t>
  </si>
  <si>
    <t>159-04</t>
  </si>
  <si>
    <t>51-04</t>
  </si>
  <si>
    <t>154-04</t>
  </si>
  <si>
    <t>156-04</t>
  </si>
  <si>
    <t>161-04</t>
  </si>
  <si>
    <t>817-04</t>
  </si>
  <si>
    <t>163-04</t>
  </si>
  <si>
    <t>158-04</t>
  </si>
  <si>
    <t>818-04</t>
  </si>
  <si>
    <t>165-04</t>
  </si>
  <si>
    <t>HELVIE</t>
  </si>
  <si>
    <t>ADAM</t>
  </si>
  <si>
    <t>160-04</t>
  </si>
  <si>
    <t>167-04</t>
  </si>
  <si>
    <t>819-04</t>
  </si>
  <si>
    <t>169-04</t>
  </si>
  <si>
    <t>164-04</t>
  </si>
  <si>
    <t>171-04</t>
  </si>
  <si>
    <t>166-04</t>
  </si>
  <si>
    <t>820-04</t>
  </si>
  <si>
    <t>168-04</t>
  </si>
  <si>
    <t>175-04</t>
  </si>
  <si>
    <t>170-04</t>
  </si>
  <si>
    <t>172-04</t>
  </si>
  <si>
    <t>177-04</t>
  </si>
  <si>
    <t>821-04</t>
  </si>
  <si>
    <t>BRUDER</t>
  </si>
  <si>
    <t>RICHARD</t>
  </si>
  <si>
    <t>179-04</t>
  </si>
  <si>
    <t>174-04</t>
  </si>
  <si>
    <t>822-04</t>
  </si>
  <si>
    <t>181-04</t>
  </si>
  <si>
    <t>176-04</t>
  </si>
  <si>
    <t>183-04</t>
  </si>
  <si>
    <t>178-04</t>
  </si>
  <si>
    <t>185-04</t>
  </si>
  <si>
    <t>823-04</t>
  </si>
  <si>
    <t>180-04</t>
  </si>
  <si>
    <t>187-04</t>
  </si>
  <si>
    <t>182-04</t>
  </si>
  <si>
    <t>184-04</t>
  </si>
  <si>
    <t>191-04</t>
  </si>
  <si>
    <t>186-04</t>
  </si>
  <si>
    <t>825-04</t>
  </si>
  <si>
    <t>193-04</t>
  </si>
  <si>
    <t>188-04</t>
  </si>
  <si>
    <t>195-04</t>
  </si>
  <si>
    <t>904-04</t>
  </si>
  <si>
    <t>190-04</t>
  </si>
  <si>
    <t>192-04</t>
  </si>
  <si>
    <t>827-04</t>
  </si>
  <si>
    <t>199-04</t>
  </si>
  <si>
    <t>194-04</t>
  </si>
  <si>
    <t>828-04</t>
  </si>
  <si>
    <t>201-04</t>
  </si>
  <si>
    <t>829-04</t>
  </si>
  <si>
    <t>196-04</t>
  </si>
  <si>
    <t>203-04</t>
  </si>
  <si>
    <t>200-04</t>
  </si>
  <si>
    <t>830-04</t>
  </si>
  <si>
    <t>205-04</t>
  </si>
  <si>
    <t>831-04</t>
  </si>
  <si>
    <t>207-04</t>
  </si>
  <si>
    <t>202-04</t>
  </si>
  <si>
    <t>833-04</t>
  </si>
  <si>
    <t>209-04</t>
  </si>
  <si>
    <t>832-04</t>
  </si>
  <si>
    <t>HAITHCOX</t>
  </si>
  <si>
    <t>211-04</t>
  </si>
  <si>
    <t>71-04</t>
  </si>
  <si>
    <t>206-04</t>
  </si>
  <si>
    <t>834-04</t>
  </si>
  <si>
    <t>835-04</t>
  </si>
  <si>
    <t>208-04</t>
  </si>
  <si>
    <t>215-04</t>
  </si>
  <si>
    <t>210-04</t>
  </si>
  <si>
    <t>rtdc.l.rtdc.4054:itc</t>
  </si>
  <si>
    <t>74-04</t>
  </si>
  <si>
    <t>837-04</t>
  </si>
  <si>
    <t>217-04</t>
  </si>
  <si>
    <t>72-04</t>
  </si>
  <si>
    <t>MCREYNOLDS</t>
  </si>
  <si>
    <t>KYLE</t>
  </si>
  <si>
    <t>212-04</t>
  </si>
  <si>
    <t>73-04</t>
  </si>
  <si>
    <t>219-04</t>
  </si>
  <si>
    <t>rtdc.l.rtdc.4053:itc</t>
  </si>
  <si>
    <t>75-04</t>
  </si>
  <si>
    <t>214-04</t>
  </si>
  <si>
    <t>838-04</t>
  </si>
  <si>
    <t>303-04</t>
  </si>
  <si>
    <t>216-04</t>
  </si>
  <si>
    <t>221-04</t>
  </si>
  <si>
    <t>218-04</t>
  </si>
  <si>
    <t>841-04</t>
  </si>
  <si>
    <t>906-04</t>
  </si>
  <si>
    <t>305-04</t>
  </si>
  <si>
    <t>220-04</t>
  </si>
  <si>
    <t>223-04</t>
  </si>
  <si>
    <t>840-04</t>
  </si>
  <si>
    <t>307-04</t>
  </si>
  <si>
    <t>225-04</t>
  </si>
  <si>
    <t>843-04</t>
  </si>
  <si>
    <t>224-04</t>
  </si>
  <si>
    <t>842-04</t>
  </si>
  <si>
    <t>229-04</t>
  </si>
  <si>
    <t>845-04</t>
  </si>
  <si>
    <t>228-04</t>
  </si>
  <si>
    <t>230-04</t>
  </si>
  <si>
    <t>233-04</t>
  </si>
  <si>
    <t>232-04</t>
  </si>
  <si>
    <t>847-04</t>
  </si>
  <si>
    <t>235-04</t>
  </si>
  <si>
    <t>237-04</t>
  </si>
  <si>
    <t>234-04</t>
  </si>
  <si>
    <t>236-04</t>
  </si>
  <si>
    <t>238-04</t>
  </si>
  <si>
    <t>NELSON</t>
  </si>
  <si>
    <t>ARIANE</t>
  </si>
  <si>
    <t>241-04</t>
  </si>
  <si>
    <t>240-04</t>
  </si>
  <si>
    <t>243-04</t>
  </si>
  <si>
    <t>309-04</t>
  </si>
  <si>
    <t>242-04</t>
  </si>
  <si>
    <t>65-04</t>
  </si>
  <si>
    <t>311-04</t>
  </si>
  <si>
    <t>244-04</t>
  </si>
  <si>
    <t>313-04</t>
  </si>
  <si>
    <t>315-04</t>
  </si>
  <si>
    <t>Snow</t>
  </si>
  <si>
    <t>Heavy Snow</t>
  </si>
  <si>
    <t>204:723</t>
  </si>
  <si>
    <t>204:232666</t>
  </si>
  <si>
    <t>204:768</t>
  </si>
  <si>
    <t>204:232679</t>
  </si>
  <si>
    <t>204:763</t>
  </si>
  <si>
    <t>204:232673</t>
  </si>
  <si>
    <t>204:497</t>
  </si>
  <si>
    <t>204:37188</t>
  </si>
  <si>
    <t>204:708</t>
  </si>
  <si>
    <t>204:712</t>
  </si>
  <si>
    <t>204:233284</t>
  </si>
  <si>
    <t>204:232961</t>
  </si>
  <si>
    <t>204:233302</t>
  </si>
  <si>
    <t>204:232987</t>
  </si>
  <si>
    <t>204:743</t>
  </si>
  <si>
    <t>204:136</t>
  </si>
  <si>
    <t>204:775</t>
  </si>
  <si>
    <t>204:232955</t>
  </si>
  <si>
    <t>204:233364</t>
  </si>
  <si>
    <t>204:233007</t>
  </si>
  <si>
    <t>204:233291</t>
  </si>
  <si>
    <t>204:233009</t>
  </si>
  <si>
    <t>204:233010</t>
  </si>
  <si>
    <t>204:233301</t>
  </si>
  <si>
    <t>204:233193</t>
  </si>
  <si>
    <t>204:232875</t>
  </si>
  <si>
    <t>204:233337</t>
  </si>
  <si>
    <t>204:488</t>
  </si>
  <si>
    <t>204:233013</t>
  </si>
  <si>
    <t>204:19100</t>
  </si>
  <si>
    <t>204:429</t>
  </si>
  <si>
    <t>204:721</t>
  </si>
  <si>
    <t>204:174</t>
  </si>
  <si>
    <t>204:473</t>
  </si>
  <si>
    <t>204:232706</t>
  </si>
  <si>
    <t>204:232972</t>
  </si>
  <si>
    <t>204:232988</t>
  </si>
  <si>
    <t>204:232993</t>
  </si>
  <si>
    <t>204:233299</t>
  </si>
  <si>
    <t>204:484</t>
  </si>
  <si>
    <t>204:121</t>
  </si>
  <si>
    <t>204:233285</t>
  </si>
  <si>
    <t>204:435</t>
  </si>
  <si>
    <t>204:233344</t>
  </si>
  <si>
    <t>204:233023</t>
  </si>
  <si>
    <t>204:480</t>
  </si>
  <si>
    <t>204:232968</t>
  </si>
  <si>
    <t>204:232957</t>
  </si>
  <si>
    <t>204:232962</t>
  </si>
  <si>
    <t>204:1498</t>
  </si>
  <si>
    <t>204:233380</t>
  </si>
  <si>
    <t>204:233087</t>
  </si>
  <si>
    <t>204:98</t>
  </si>
  <si>
    <t>204:420</t>
  </si>
  <si>
    <t>204:233397</t>
  </si>
  <si>
    <t>204:233096</t>
  </si>
  <si>
    <t>204:170</t>
  </si>
  <si>
    <t>204:233064</t>
  </si>
  <si>
    <t>204:233006</t>
  </si>
  <si>
    <t>204:409</t>
  </si>
  <si>
    <t>204:233401</t>
  </si>
  <si>
    <t>204:233082</t>
  </si>
  <si>
    <t>204:233076</t>
  </si>
  <si>
    <t>204:233385</t>
  </si>
  <si>
    <t>204:233094</t>
  </si>
  <si>
    <t>204:233389</t>
  </si>
  <si>
    <t>204:233061</t>
  </si>
  <si>
    <t>204:233342</t>
  </si>
  <si>
    <t>204:233038</t>
  </si>
  <si>
    <t>204:233004</t>
  </si>
  <si>
    <t>204:431</t>
  </si>
  <si>
    <t>204:233410</t>
  </si>
  <si>
    <t>204:96</t>
  </si>
  <si>
    <t>204:233332</t>
  </si>
  <si>
    <t>204:233274</t>
  </si>
  <si>
    <t>300:23029</t>
  </si>
  <si>
    <t>300:23308</t>
  </si>
  <si>
    <t>300:19368</t>
  </si>
  <si>
    <t>300:23299</t>
  </si>
  <si>
    <t>300:23275</t>
  </si>
  <si>
    <t>300:22198</t>
  </si>
  <si>
    <t>300:23188</t>
  </si>
  <si>
    <t>204:1391</t>
  </si>
  <si>
    <t>204:1198</t>
  </si>
  <si>
    <t>300:21958</t>
  </si>
  <si>
    <t>204:859</t>
  </si>
  <si>
    <t>204:1175</t>
  </si>
  <si>
    <t>300:24226</t>
  </si>
  <si>
    <t>204:1250</t>
  </si>
  <si>
    <t>204:224631</t>
  </si>
  <si>
    <t>300:23233</t>
  </si>
  <si>
    <t>300:25801</t>
  </si>
  <si>
    <t>204:1164</t>
  </si>
  <si>
    <t>300:24191</t>
  </si>
  <si>
    <t>300:22072</t>
  </si>
  <si>
    <t>204:1015</t>
  </si>
  <si>
    <t>204:337</t>
  </si>
  <si>
    <t>300:22622</t>
  </si>
  <si>
    <t>204:869</t>
  </si>
  <si>
    <t>300:22846</t>
  </si>
  <si>
    <t>300:58068</t>
  </si>
  <si>
    <t>204:1037</t>
  </si>
  <si>
    <t>204:752</t>
  </si>
  <si>
    <t>204:974</t>
  </si>
  <si>
    <t>300:58918</t>
  </si>
  <si>
    <t>300:58939</t>
  </si>
  <si>
    <t>300:58611</t>
  </si>
  <si>
    <t>300:58636</t>
  </si>
  <si>
    <t>204:698</t>
  </si>
  <si>
    <t>204:1046</t>
  </si>
  <si>
    <t>204:818</t>
  </si>
  <si>
    <t>204:969</t>
  </si>
  <si>
    <t>300:58969</t>
  </si>
  <si>
    <t>300:58656</t>
  </si>
  <si>
    <t>204:671</t>
  </si>
  <si>
    <t>204:960</t>
  </si>
  <si>
    <t>204:673</t>
  </si>
  <si>
    <t>300:58946</t>
  </si>
  <si>
    <t>300:58632</t>
  </si>
  <si>
    <t>204:976</t>
  </si>
  <si>
    <t>300:58976</t>
  </si>
  <si>
    <t>204:682</t>
  </si>
  <si>
    <t>300:59003</t>
  </si>
  <si>
    <t>300:58688</t>
  </si>
  <si>
    <t>204:663</t>
  </si>
  <si>
    <t>204:939</t>
  </si>
  <si>
    <t>300:58606</t>
  </si>
  <si>
    <t>204:701</t>
  </si>
  <si>
    <t>300:58958</t>
  </si>
  <si>
    <t>204:925</t>
  </si>
  <si>
    <t>300:58609</t>
  </si>
  <si>
    <t>300:58926</t>
  </si>
  <si>
    <t>204:1171</t>
  </si>
  <si>
    <t>300:58933</t>
  </si>
  <si>
    <t>204:916</t>
  </si>
  <si>
    <t>204:967</t>
  </si>
  <si>
    <t>300:58952</t>
  </si>
  <si>
    <t>204:614</t>
  </si>
  <si>
    <t>204:696</t>
  </si>
  <si>
    <t>204:920</t>
  </si>
  <si>
    <t>300:58911</t>
  </si>
  <si>
    <t>204:922</t>
  </si>
  <si>
    <t>204:640</t>
  </si>
  <si>
    <t>204:971</t>
  </si>
  <si>
    <t>300:58920</t>
  </si>
  <si>
    <t>300:30341</t>
  </si>
  <si>
    <t>300:23360</t>
  </si>
  <si>
    <t>204:1114</t>
  </si>
  <si>
    <t>300:24258</t>
  </si>
  <si>
    <t>300:23285</t>
  </si>
  <si>
    <t>204:647</t>
  </si>
  <si>
    <t>300:58572</t>
  </si>
  <si>
    <t>300:28793</t>
  </si>
  <si>
    <t>300:57884</t>
  </si>
  <si>
    <t>start /low /b %USERPROFILE%\Documents\GitHub\eaglep3\Utilities\DownloadLogsFromS3.py --loco 4004 --day 2017-01-04</t>
  </si>
  <si>
    <t>start /low /b %USERPROFILE%\Documents\GitHub\eaglep3\Utilities\DownloadLogsFromS3.py --loco 4044 --day 2017-01-04</t>
  </si>
  <si>
    <t>start /low /b %USERPROFILE%\Documents\GitHub\eaglep3\Utilities\DownloadLogsFromS3.py --loco 4041 --day 2017-01-04</t>
  </si>
  <si>
    <t>start /low /b %USERPROFILE%\Documents\GitHub\eaglep3\Utilities\DownloadLogsFromS3.py --loco 4016 --day 2017-01-04</t>
  </si>
  <si>
    <t>start /low /b %USERPROFILE%\Documents\GitHub\eaglep3\Utilities\DownloadLogsFromS3.py --loco 4001 --day 2017-01-04</t>
  </si>
  <si>
    <t>start /low /b %USERPROFILE%\Documents\GitHub\eaglep3\Utilities\DownloadLogsFromS3.py --loco 4029 --day 2017-01-04</t>
  </si>
  <si>
    <t>start /low /b %USERPROFILE%\Documents\GitHub\eaglep3\Utilities\DownloadLogsFromS3.py --loco 4030 --day 2017-01-04</t>
  </si>
  <si>
    <t>start /low /b %USERPROFILE%\Documents\GitHub\eaglep3\Utilities\DownloadLogsFromS3.py --loco 4010 --day 2017-01-04</t>
  </si>
  <si>
    <t>start /low /b %USERPROFILE%\Documents\GitHub\eaglep3\Utilities\DownloadLogsFromS3.py --loco 4003 --day 2017-01-04</t>
  </si>
  <si>
    <t>start /low /b %USERPROFILE%\Documents\GitHub\eaglep3\Utilities\DownloadLogsFromS3.py --loco 4043 --day 2017-01-04</t>
  </si>
  <si>
    <t>start /low /b %USERPROFILE%\Documents\GitHub\eaglep3\Utilities\DownloadLogsFromS3.py --loco 4042 --day 2017-01-04</t>
  </si>
  <si>
    <t>start /low /b %USERPROFILE%\Documents\GitHub\eaglep3\Utilities\DownloadLogsFromS3.py --loco 4015 --day 2017-01-04</t>
  </si>
  <si>
    <t>start /low /b %USERPROFILE%\Documents\GitHub\eaglep3\Utilities\DownloadLogsFromS3.py --loco 4002 --day 2017-01-04</t>
  </si>
  <si>
    <t>start /low /b %USERPROFILE%\Documents\GitHub\eaglep3\Utilities\DownloadLogsFromS3.py --loco 4043 --day 1969-12-31</t>
  </si>
  <si>
    <t>start /low /b %USERPROFILE%\Documents\GitHub\eaglep3\Utilities\DownloadLogsFromS3.py --loco 4016 --day 2017-01-05</t>
  </si>
  <si>
    <t>start /low /b %USERPROFILE%\Documents\GitHub\eaglep3\Utilities\DownloadLogsFromS3.py --loco 4015 --day 2017-01-05</t>
  </si>
  <si>
    <t>start /low /b %USERPROFILE%\Documents\GitHub\eaglep3\Utilities\DownloadLogsFromS3.py --loco 4029 --day 2017-01-05</t>
  </si>
  <si>
    <t>start /low /b %USERPROFILE%\Documents\GitHub\eaglep3\Utilities\DownloadLogsFromS3.py --loco 4030 --day 2017-01-05</t>
  </si>
  <si>
    <t>start /low /b %USERPROFILE%\Documents\GitHub\eaglep3\Utilities\DownloadLogsFromS3.py --loco 4008 --day 2017-01-04</t>
  </si>
  <si>
    <t>start /low /b %USERPROFILE%\Documents\GitHub\eaglep3\Utilities\DownloadLogsFromS3.py --loco 4007 --day 2017-01-04</t>
  </si>
  <si>
    <t>start /low /b %USERPROFILE%\Documents\GitHub\eaglep3\Utilities\DownloadLogsFromS3.py --loco 4011 --day 2017-01-04</t>
  </si>
  <si>
    <t>start /low /b %USERPROFILE%\Documents\GitHub\eaglep3\Utilities\DownloadLogsFromS3.py --loco 4012 --day 2017-01-04</t>
  </si>
  <si>
    <t>start /low /b %USERPROFILE%\Documents\GitHub\eaglep3\Utilities\DownloadLogsFromS3.py --loco 4004 --day 2017-01-05</t>
  </si>
  <si>
    <t>start /low /b %USERPROFILE%\Documents\GitHub\eaglep3\Utilities\DownloadLogsFromS3.py --loco 4001 --day 2017-01-05</t>
  </si>
  <si>
    <t>start /low /b %USERPROFILE%\Documents\GitHub\eaglep3\Utilities\DownloadLogsFromS3.py --loco 4044 --day 2017-01-05</t>
  </si>
  <si>
    <t>start /low /b %USERPROFILE%\Documents\GitHub\eaglep3\Utilities\DownloadLogsFromS3.py --loco 4008 --day 2017-01-05</t>
  </si>
  <si>
    <t>start /low /b %USERPROFILE%\Documents\GitHub\eaglep3\Utilities\DownloadLogsFromS3.py --loco 4012 --day 2017-01-05</t>
  </si>
  <si>
    <t>start /low /b %USERPROFILE%\Documents\GitHub\eaglep3\Utilities\DownloadLogsFromS3.py --loco 4007 --day 2017-01-05</t>
  </si>
  <si>
    <t>Went active too close to DUS 4N, got SIGNAL STATUS UNKNOWN. Signal status came in a few seconds later, was STOP, cleared 30 sec after cut out.</t>
  </si>
  <si>
    <t>DUS 2N/20N STOP</t>
  </si>
  <si>
    <t>Delayed by onboard in-route failure</t>
  </si>
  <si>
    <t>Premature downgrade at EC0816RH 75-1T 1N</t>
  </si>
  <si>
    <t>At approx 08:00, EC0816RH 75-1T 1N dropped from 270 to STOP &amp; PROCEED in a way that seemed unexpected. Do logs tell anything strange at this time?</t>
  </si>
  <si>
    <t>Poor GPS under I-25</t>
  </si>
  <si>
    <t>SYS :2017/01/04 11:22:48.039:ENFORCEMENT:Predictive Enforcement Action:  Target Number: 00001007  Target Speed:   0.0  Current Speed:   4.5</t>
  </si>
  <si>
    <t>SYS :2017/01/04 11:22:48.148:ENFORCEMENT:Predictive Enforcement Action:  Target Number: 00001008  Target Speed:   0.0  Current Speed:   4.5</t>
  </si>
  <si>
    <t>SYS :2017/01/04 11:22:48.458:ENFORCEMENT:Predictive Enforcement Action:  Target Number: 00001007  Target Speed:   0.0  Current Speed:   4.5</t>
  </si>
  <si>
    <t>SYS :2017/01/04 13:21:35.904:ENFORCEMENT:Predictive Enforcement Action:  Target Number: 00006295  Target Speed:   0.0  Current Speed:  10.6</t>
  </si>
  <si>
    <t>SYS :2017/01/04 13:21:36.196:ENFORCEMENT:Reactive Enforcement Action:  Target Number: 00006296  Target Speed:   0.0  Current Speed:  10.8</t>
  </si>
  <si>
    <t>SYS :2017/01/04 13:54:51.855:ENFORCEMENT:Predictive Enforcement Action:  Target Number: 00001004  Target Speed:   0.0  Current Speed:  12.8</t>
  </si>
  <si>
    <t>SYS :2017/01/04 13:55:23.363:ENFORCEMENT:Predictive Enforcement Action:  Target Number: 00001004  Target Speed:   0.0  Current Speed:   7.6</t>
  </si>
  <si>
    <t>SYS :2017/01/04 13:55:23.666:ENFORCEMENT:Predictive Enforcement Action:  Target Number: 00001004  Target Speed:   0.0  Current Speed:   7.6</t>
  </si>
  <si>
    <t>SYS :2017/01/04 15:01:00.320:ENFORCEMENT:Predictive Enforcement Action:  Target Number: 000066BA  Target Speed:   0.0  Current Speed:  66.6</t>
  </si>
  <si>
    <t>SYS :2017/01/04 15:01:00.448:ENFORCEMENT:Predictive Enforcement Action:  Target Number: 00006674  Target Speed:   0.0  Current Speed:  66.6</t>
  </si>
  <si>
    <t>SYS :2017/01/04 15:11:36.436:ENFORCEMENT:Reactive Enforcement Action:  Target Number: 00010088  Target Speed:  15.0  Current Speed:  20.0</t>
  </si>
  <si>
    <t>SYS :2017/01/04 15:11:37.189:ENFORCEMENT:Reactive Enforcement Action:  Target Number: 000101AD  Target Speed:  15.0  Current Speed:  20.0</t>
  </si>
  <si>
    <t>SYS :2017/01/04 15:11:37.400:ENFORCEMENT:Reactive Enforcement Action:  Target Number: 000101AD  Target Speed:  15.0  Current Speed:  20.0</t>
  </si>
  <si>
    <t>SYS :2017/01/04 16:32:12.310:ENFORCEMENT:Reactive Enforcement Action:  Target Number: 000103DE  Target Speed:  20.0  Current Speed:  25.3</t>
  </si>
  <si>
    <t>SYS :2017/01/04 16:32:12.429:ENFORCEMENT:Reactive Enforcement Action:  Target Number: 000103C8  Target Speed:  20.0  Current Speed:  25.3</t>
  </si>
  <si>
    <t>SYS :2017/01/04 16:52:52.392:ENFORCEMENT:Predictive Enforcement Action:  Target Number: 0000100D  Target Speed:   0.0  Current Speed:  13.4</t>
  </si>
  <si>
    <t>SYS :2017/01/04 16:52:52.439:ENFORCEMENT:Predictive Enforcement Action:  Target Number: 00001007  Target Speed:   0.0  Current Speed:  13.4</t>
  </si>
  <si>
    <t>SYS :2017/01/04 16:56:32.071:ENFORCEMENT:Predictive Enforcement Action:  Target Number: 0000100C  Target Speed:   0.0  Current Speed:   5.0</t>
  </si>
  <si>
    <t>SYS :2017/01/04 16:56:32.397:ENFORCEMENT:Predictive Enforcement Action:  Target Number: 0000100D  Target Speed:   0.0  Current Speed:   5.0</t>
  </si>
  <si>
    <t>SYS :2017/01/04 16:56:32.438:ENFORCEMENT:Predictive Enforcement Action:  Target Number: 00001007  Target Speed:   0.0  Current Speed:   5.0</t>
  </si>
  <si>
    <t>SYS :2017/01/04 17:04:24.126:ENFORCEMENT:Predictive Enforcement Action:  Target Number: 0001700E  Target Speed:  25.0  Current Speed:  30.3</t>
  </si>
  <si>
    <t>SYS :2017/01/04 17:04:24.135:ENFORCEMENT:Predictive Enforcement Action:  Target Number: 000171BC  Target Speed:  25.0  Current Speed:  30.3</t>
  </si>
  <si>
    <t>SYS :2017/01/04 17:04:24.475:ENFORCEMENT:Predictive Enforcement Action:  Target Number: 00017053  Target Speed:  25.0  Current Speed:  30.3</t>
  </si>
  <si>
    <t>SYS :2017/01/04 19:38:49.680:ENFORCEMENT:Predictive Enforcement Action:  Target Number: 00017213  Target Speed:  44.0  Current Speed:  49.3</t>
  </si>
  <si>
    <t>SYS :2017/01/04 19:38:50.008:ENFORCEMENT:Predictive Enforcement Action:  Target Number: 00017215  Target Speed:  44.0  Current Speed:  49.3</t>
  </si>
  <si>
    <t>SYS :2017/01/04 20:25:00.072:ENFORCEMENT:Predictive Enforcement Action:  Target Number: 00001010  Target Speed:   0.0  Current Speed:  13.3</t>
  </si>
  <si>
    <t>SYS :2017/01/04 20:25:00.393:ENFORCEMENT:Predictive Enforcement Action:  Target Number: 00001011  Target Speed:   0.0  Current Speed:  13.3</t>
  </si>
  <si>
    <t>SYS :2017/01/04 20:25:00.433:ENFORCEMENT:Predictive Enforcement Action:  Target Number: 0000100B  Target Speed:   0.0  Current Speed:  13.4</t>
  </si>
  <si>
    <t>SYS :2017/01/04 20:26:03.072:ENFORCEMENT:Predictive Enforcement Action:  Target Number: 00001010  Target Speed:   0.0  Current Speed:   9.1</t>
  </si>
  <si>
    <t>SYS :2017/01/04 20:26:03.391:ENFORCEMENT:Predictive Enforcement Action:  Target Number: 00001011  Target Speed:   0.0  Current Speed:   9.1</t>
  </si>
  <si>
    <t>SYS :2017/01/04 20:26:03.431:ENFORCEMENT:Predictive Enforcement Action:  Target Number: 0000100B  Target Speed:   0.0  Current Speed:   9.0</t>
  </si>
  <si>
    <t>SYS :2017/01/04 21:57:24.049:ENFORCEMENT:Predictive Enforcement Action:  Target Number: 00001036  Target Speed:   0.0  Current Speed:   3.9</t>
  </si>
  <si>
    <t>SYS :2017/01/04 21:57:24.661:ENFORCEMENT:Predictive Enforcement Action:  Target Number: 00001036  Target Speed:   0.0  Current Speed:   3.8</t>
  </si>
  <si>
    <t>SYS :2017/01/04 21:57:24.777:ENFORCEMENT:Predictive Enforcement Action:  Target Number: 00001036  Target Speed:   0.0  Current Speed:   3.9</t>
  </si>
  <si>
    <t>SYS :2017/01/04 22:11:06.389:ENFORCEMENT:Predictive Enforcement Action:  Target Number: 00001013  Target Speed:   0.0  Current Speed:   5.8</t>
  </si>
  <si>
    <t>SYS :2017/01/04 22:11:06.431:ENFORCEMENT:Predictive Enforcement Action:  Target Number: 0000100D  Target Speed:   0.0  Current Speed:   5.8</t>
  </si>
  <si>
    <t>SYS :2017/01/04 22:23:50.303:ENFORCEMENT:Predictive Enforcement Action:  Target Number: 0000103D  Target Speed:   0.0  Current Speed:  16.4</t>
  </si>
  <si>
    <t>SYS :2017/01/04 22:23:50.430:ENFORCEMENT:Predictive Enforcement Action:  Target Number: 0000103D  Target Speed:   0.0  Current Speed:  16.4</t>
  </si>
  <si>
    <t>SYS :2017/01/04 22:51:59.731:ENFORCEMENT:Predictive Enforcement Action:  Target Number: 0000657F  Target Speed:   0.0  Current Speed:  19.8</t>
  </si>
  <si>
    <t>SYS :2017/01/04 22:52:00.185:ENFORCEMENT:Predictive Enforcement Action:  Target Number: 000065B2  Target Speed:   0.0  Current Speed:  19.4</t>
  </si>
  <si>
    <t>SYS :2017/01/04 22:56:35.690:ENFORCEMENT:Predictive Enforcement Action:  Target Number: 0000103B  Target Speed:   0.0  Current Speed:   5.6</t>
  </si>
  <si>
    <t>SYS :2017/01/04 22:56:35.773:ENFORCEMENT:Predictive Enforcement Action:  Target Number: 0000103B  Target Speed:   0.0  Current Speed:   5.6</t>
  </si>
  <si>
    <t>SYS :2017/01/04 22:56:36.044:ENFORCEMENT:Predictive Enforcement Action:  Target Number: 0000103B  Target Speed:   0.0  Current Speed:   5.6</t>
  </si>
  <si>
    <t>SYS :2017/01/05 00:10:58.118:ENFORCEMENT:Predictive Enforcement Action:  Target Number: 00017076  Target Speed:  56.0  Current Speed:  63.4</t>
  </si>
  <si>
    <t>SYS :2017/01/05 00:10:58.136:ENFORCEMENT:Predictive Enforcement Action:  Target Number: 00017224  Target Speed:  56.0  Current Speed:  63.4</t>
  </si>
  <si>
    <t>SYS :2017/01/05 00:10:58.464:ENFORCEMENT:Predictive Enforcement Action:  Target Number: 000170BB  Target Speed:  56.0  Current Speed:  63.4</t>
  </si>
  <si>
    <t>SYS :2017/01/05 00:27:22.510:ENFORCEMENT:Predictive Enforcement Action:  Target Number: 00001024  Target Speed:   0.0  Current Speed:   2.7</t>
  </si>
  <si>
    <t>SYS :2017/01/05 01:10:08.630:ENFORCEMENT:Predictive Enforcement Action:  Target Number: 00001043  Target Speed:   0.0  Current Speed:   4.8</t>
  </si>
  <si>
    <t>SYS :2017/01/05 01:10:08.983:ENFORCEMENT:Predictive Enforcement Action:  Target Number: 00001043  Target Speed:   0.0  Current Speed:   4.8</t>
  </si>
  <si>
    <t>SYS :2017/01/05 01:23:25.037:ENFORCEMENT:Predictive Enforcement Action:  Target Number: 0000101A  Target Speed:   0.0  Current Speed:  14.6</t>
  </si>
  <si>
    <t>SYS :2017/01/05 01:23:25.159:ENFORCEMENT:Predictive Enforcement Action:  Target Number: 0000101B  Target Speed:   0.0  Current Speed:  14.6</t>
  </si>
  <si>
    <t>SYS :2017/01/05 01:23:26.461:ENFORCEMENT:Predictive Enforcement Action:  Target Number: 0000101A  Target Speed:   0.0  Current Speed:  15.6</t>
  </si>
  <si>
    <t>SYS :2017/01/05 01:29:52.161:ENFORCEMENT:Predictive Enforcement Action:  Target Number: 0000102B  Target Speed:   0.0  Current Speed:   2.5</t>
  </si>
  <si>
    <t>SYS :2017/01/05 01:29:52.508:ENFORCEMENT:Predictive Enforcement Action:  Target Number: 0000102B  Target Speed:   0.0  Current Speed:   2.5</t>
  </si>
  <si>
    <t>SYS :2017/01/05 01:29:52.898:ENFORCEMENT:Predictive Enforcement Action:  Target Number: 0000102C  Target Speed:   0.0  Current Speed:   2.5</t>
  </si>
  <si>
    <t>SYS :2017/01/05 02:07:23.156:ENFORCEMENT:Predictive Enforcement Action:  Target Number: 00001021  Target Speed:   0.0  Current Speed:   5.8</t>
  </si>
  <si>
    <t>SYS :2017/01/05 02:07:23.444:ENFORCEMENT:Predictive Enforcement Action:  Target Number: 0000102E  Target Speed:   0.0  Current Speed:   5.8</t>
  </si>
  <si>
    <t>SYS :2017/01/05 02:07:24.043:ENFORCEMENT:Predictive Enforcement Action:  Target Number: 0000102E  Target Speed:   0.0  Current Speed:   5.6</t>
  </si>
  <si>
    <t>SYS :2017/01/05 02:58:22.082:ENFORCEMENT:Reactive Enforcement Action:  Target Number: 00010075  Target Speed:  35.0  Current Speed:  40.0</t>
  </si>
  <si>
    <t>SYS :2017/01/05 02:58:22.394:ENFORCEMENT:Reactive Enforcement Action:  Target Number: 00010076  Target Speed:  35.0  Current Speed:  40.0</t>
  </si>
  <si>
    <t>SYS :2017/01/05 02:58:22.561:ENFORCEMENT:Reactive Enforcement Action:  Target Number: 00010003  Target Speed:  35.0  Current Speed:  40.0</t>
  </si>
  <si>
    <t>SYS :2017/01/05 03:36:48.075:ENFORCEMENT:Predictive Enforcement Action:  Target Number: 0000100B  Target Speed:   0.0  Current Speed:  16.4</t>
  </si>
  <si>
    <t>SYS :2017/01/05 03:36:48.251:ENFORCEMENT:Predictive Enforcement Action:  Target Number: 00001001  Target Speed:   0.0  Current Speed:  16.4</t>
  </si>
  <si>
    <t>SYS :2017/01/05 03:36:48.388:ENFORCEMENT:Predictive Enforcement Action:  Target Number: 0000100B  Target Speed:   0.0  Current Speed:  16.4</t>
  </si>
  <si>
    <t>SYS :2017/01/05 03:42:25.500:ENFORCEMENT:Predictive Enforcement Action:  Target Number: 000062C2  Target Speed:   0.0  Current Speed:  50.9</t>
  </si>
  <si>
    <t>SYS :2017/01/05 03:42:26.621:ENFORCEMENT:Predictive Enforcement Action:  Target Number: 000062BC  Target Speed:   0.0  Current Speed:  50.9</t>
  </si>
  <si>
    <t>SYS :2017/01/05 03:42:27.376:ENFORCEMENT:Predictive Enforcement Action:  Target Number: 000062C8  Target Speed:   0.0  Current Speed:  50.9</t>
  </si>
  <si>
    <t>SYS :2017/01/05 04:30:45.649:ENFORCEMENT:Predictive Enforcement Action:  Target Number: 00010405  Target Speed:  30.0  Current Speed:  40.0</t>
  </si>
  <si>
    <t>SYS :2017/01/05 04:57:43.054:ENFORCEMENT:Predictive Enforcement Action:  Target Number: 00001057  Target Speed:   0.0  Current Speed:   2.8</t>
  </si>
  <si>
    <t>SYS :2017/01/05 04:57:43.660:ENFORCEMENT:Predictive Enforcement Action:  Target Number: 00001057  Target Speed:   0.0  Current Speed:   2.7</t>
  </si>
  <si>
    <t>SYS :2017/01/05 04:57:43.767:ENFORCEMENT:Predictive Enforcement Action:  Target Number: 00001057  Target Speed:   0.0  Current Speed:   2.8</t>
  </si>
  <si>
    <t>SYS :2017/01/05 05:08:26.033:ENFORCEMENT:Predictive Enforcement Action:  Target Number: 00001020  Target Speed:   0.0  Current Speed:   2.8</t>
  </si>
  <si>
    <t>SYS :2017/01/05 05:08:26.147:ENFORCEMENT:Predictive Enforcement Action:  Target Number: 00001021  Target Speed:   0.0  Current Speed:   2.8</t>
  </si>
  <si>
    <t>SYS :2017/01/05 05:08:26.463:ENFORCEMENT:Predictive Enforcement Action:  Target Number: 00001020  Target Speed:   0.0  Current Speed:   2.8</t>
  </si>
  <si>
    <t>SYS :2017/01/05 05:40:14.701:ENFORCEMENT:Reactive Enforcement Action:  Target Number: 0000653A  Target Speed:   0.0  Current Speed:  16.0</t>
  </si>
  <si>
    <t>SYS :2017/01/05 05:40:14.753:ENFORCEMENT:Reactive Enforcement Action:  Target Number: 00004266  Target Speed:   0.0  Current Speed:  16.0</t>
  </si>
  <si>
    <t>SYS :2017/01/05 05:40:14.776:ENFORCEMENT:Reactive Enforcement Action:  Target Number: 00006617  Target Speed:   0.0  Current Speed:  15.8</t>
  </si>
  <si>
    <t>SYS :2017/01/05 05:40:14.802:ENFORCEMENT:Reactive Enforcement Action:  Target Number: 00004264  Target Speed:   0.0  Current Speed:  15.8</t>
  </si>
  <si>
    <t>SYS :2017/01/05 05:40:15.062:ENFORCEMENT:Reactive Enforcement Action:  Target Number: 0000661B  Target Speed:   0.0  Current Speed:  15.8</t>
  </si>
  <si>
    <t>SYS :2017/01/05 05:40:15.092:ENFORCEMENT:Reactive Enforcement Action:  Target Number: 00004265  Target Speed:   0.0  Current Speed:  15.8</t>
  </si>
  <si>
    <t>SYS :2017/01/05 05:41:55.686:ENFORCEMENT:Reactive Enforcement Action:  Target Number: 0000653A  Target Speed:   0.0  Current Speed:   0.3</t>
  </si>
  <si>
    <t>SYS :2017/01/05 05:41:56.053:ENFORCEMENT:Reactive Enforcement Action:  Target Number: 0000661B  Target Speed:   0.0  Current Speed:   0.3</t>
  </si>
  <si>
    <t>SYS :2017/01/05 05:41:56.775:ENFORCEMENT:Reactive Enforcement Action:  Target Number: 00006617  Target Speed:   0.0  Current Speed:   0.3</t>
  </si>
  <si>
    <t>SYS :2017/01/05 07:07:27.035:ENFORCEMENT:Predictive Enforcement Action:  Target Number: 00001022  Target Speed:   0.0  Current Speed:   5.5</t>
  </si>
  <si>
    <t>SYS :2017/01/05 07:07:27.145:ENFORCEMENT:Predictive Enforcement Action:  Target Number: 00001023  Target Speed:   0.0  Current Speed:   5.5</t>
  </si>
  <si>
    <t>Wi-MAX data drop, no enforcement</t>
  </si>
  <si>
    <t>http://stevetu21.github.io/eaglep3/load_kml.html?kml=http://rtdc.gmaps-snips.s3.amazonaws.com/10da7479-2232-48ba-9493-876ac946162a.kml</t>
  </si>
  <si>
    <t>http://stevetu21.github.io/eaglep3/load_kml.html?kml=http://rtdc.gmaps-snips.s3.amazonaws.com/26d99fa6-4ffa-49ce-b282-e399d54fb59a.kml</t>
  </si>
  <si>
    <t>http://stevetu21.github.io/eaglep3/load_kml.html?kml=http://rtdc.gmaps-snips.s3.amazonaws.com/bef1a1a1-1bf1-452d-999f-c2ffb7049c5c.kml</t>
  </si>
  <si>
    <t>Onboard slice vote out (semi in-route failure) cause unhealthy xing</t>
  </si>
  <si>
    <t>No evidence of penalty found</t>
  </si>
  <si>
    <t>Onboard slice vote out blanked screen, did not affect the run</t>
  </si>
  <si>
    <t>Onboard in-route failure caused unhealthy xing, but did not effect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</si>
</sst>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6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4.42578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42739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42739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COUNTIFS($N$13:$N$9353,"&gt;0",$AG$13:$AG$9353,I1)</f>
        <v>142</v>
      </c>
      <c r="K5" s="41"/>
      <c r="L5" s="41"/>
      <c r="M5" s="42">
        <f>AVERAGEIFS($N$13:$N$9353,$AG$13:$AG$9353,I1)</f>
        <v>39.184859155342771</v>
      </c>
      <c r="N5" s="40">
        <f t="array" ref="N5">MIN(IF($AG$13:$AG$9353=I1,IF(ISNUMBER($N$13:$N$9353),IF($N$13:$N$9353&gt;0,$N$13:$N$9353))))</f>
        <v>34.866666665766388</v>
      </c>
      <c r="O5" s="3">
        <f t="array" ref="O5">MAX(IF($AG$13:$AG$9353=I1,IF(ISNUMBER($N$13:$N$9353),IF($N$13:$N$9353&gt;0,$N$13:$N$9353))))</f>
        <v>48.633333334000781</v>
      </c>
      <c r="P5" s="2"/>
      <c r="R5" s="76" t="s">
        <v>17</v>
      </c>
      <c r="S5" s="52">
        <f>COUNTIFS($N$13:$N$9353,"&gt;0",$AG$13:$AG$9353,R1)</f>
        <v>47</v>
      </c>
      <c r="T5" s="41"/>
      <c r="U5" s="164"/>
      <c r="V5" s="42">
        <f>AVERAGEIFS($N$13:$N$9353,$AG$13:$AG$9353,R1)</f>
        <v>15.359219856822785</v>
      </c>
      <c r="W5" s="40">
        <f t="array" ref="W5">MIN(IF($AG$13:$AG$9353=R1,IF(ISNUMBER($N$13:$N$9353),IF($N$13:$N$9353&gt;0,$N$13:$N$9353))))</f>
        <v>12.566666660131887</v>
      </c>
      <c r="X5" s="169">
        <f t="array" ref="X5">MAX(IF($AG$13:$AG$9353=R1,IF(ISNUMBER($N$13:$N$9353),IF($N$13:$N$9353&gt;0,$N$13:$N$9353))))</f>
        <v>18.583333339774981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COUNT($O$13:$O$132)</f>
        <v>0</v>
      </c>
      <c r="K6" s="41"/>
      <c r="L6" s="41"/>
      <c r="M6" s="42">
        <f>IFERROR(AVERAGE($O$13:$O$132),0)</f>
        <v>0</v>
      </c>
      <c r="N6" s="40">
        <f>MIN($O$13:$O$132)</f>
        <v>0</v>
      </c>
      <c r="O6" s="3">
        <f>MAX($O$13:$O$132)</f>
        <v>0</v>
      </c>
      <c r="P6" s="2"/>
      <c r="R6" s="77" t="s">
        <v>43</v>
      </c>
      <c r="S6" s="52">
        <f>COUNT($O$13:$O$132)</f>
        <v>0</v>
      </c>
      <c r="T6" s="41"/>
      <c r="U6" s="164"/>
      <c r="V6" s="42">
        <f>IFERROR(AVERAGE($O$13:$O$132),0)</f>
        <v>0</v>
      </c>
      <c r="W6" s="40">
        <f>MIN($O$13:$O$132)</f>
        <v>0</v>
      </c>
      <c r="X6" s="169">
        <f>MAX($O$13:$O$132)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COUNTIFS($P$13:$P$9353,"&gt;0",$AG$13:$AG$9353,I1)</f>
        <v>2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COUNTIFS($P$13:$P$9353,"&gt;0",$AG$13:$AG$9353,R1)</f>
        <v>0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142</v>
      </c>
      <c r="K8" s="41"/>
      <c r="L8" s="41"/>
      <c r="M8" s="42">
        <f>M5</f>
        <v>39.184859155342771</v>
      </c>
      <c r="N8" s="40">
        <f>N5</f>
        <v>34.866666665766388</v>
      </c>
      <c r="O8" s="3">
        <f>O5</f>
        <v>48.633333334000781</v>
      </c>
      <c r="P8" s="2"/>
      <c r="R8" s="76" t="s">
        <v>16</v>
      </c>
      <c r="S8" s="52">
        <f>S5</f>
        <v>47</v>
      </c>
      <c r="T8" s="41"/>
      <c r="U8" s="164"/>
      <c r="V8" s="42">
        <f>V5</f>
        <v>15.359219856822785</v>
      </c>
      <c r="W8" s="40">
        <f>W5</f>
        <v>12.566666660131887</v>
      </c>
      <c r="X8" s="169">
        <f>X5</f>
        <v>18.583333339774981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0.98611111111111116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- 2017-01-04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AVERAGE(S13:S96)</f>
        <v>0.9732142857142857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331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481</v>
      </c>
      <c r="B13" s="7">
        <v>4022</v>
      </c>
      <c r="C13" s="22" t="s">
        <v>203</v>
      </c>
      <c r="D13" s="22" t="s">
        <v>691</v>
      </c>
      <c r="E13" s="13">
        <v>42739.132326388892</v>
      </c>
      <c r="F13" s="13">
        <v>42739.135613425926</v>
      </c>
      <c r="G13" s="7">
        <v>1</v>
      </c>
      <c r="H13" s="22" t="s">
        <v>413</v>
      </c>
      <c r="I13" s="13">
        <v>42739.161516203705</v>
      </c>
      <c r="J13" s="7">
        <v>0</v>
      </c>
      <c r="K13" s="105" t="str">
        <f>IF(ISEVEN(B13),(B13-1)&amp;"/"&amp;B13,B13&amp;"/"&amp;(B13+1))</f>
        <v>4021/4022</v>
      </c>
      <c r="L13" s="22" t="str">
        <f>VLOOKUP(A13,'Trips&amp;Operators'!$C$1:$G$99999,5,FALSE)</f>
        <v>ISHMAEL JOSEPH</v>
      </c>
      <c r="M13" s="6">
        <f>I13-F13</f>
        <v>2.5902777779265307E-2</v>
      </c>
      <c r="N13" s="7">
        <f>24*60*SUM($M13:$M13)</f>
        <v>37.300000002142042</v>
      </c>
      <c r="O13" s="7"/>
      <c r="P13" s="7"/>
      <c r="Q13" s="23"/>
      <c r="R13" s="23"/>
      <c r="S13" s="32">
        <f>SUM(U13:U13)/IF(AG13="EC",12,1)</f>
        <v>1</v>
      </c>
      <c r="T13" s="47" t="str">
        <f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https://search-rtdc-monitor-bjffxe2xuh6vdkpspy63sjmuny.us-east-1.es.amazonaws.com/_plugin/kibana/#/discover/Steve-Slow-Train-Analysis-(2080s-and-2083s)?_g=(refreshInterval:(display:Off,section:0,value:0),time:(from:'2017-01-04 02:10:33-700',mode:absolute,to:'2017-01-04 04:52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" s="49" t="str">
        <f>IF(AA13&lt;IF(AG13="EC",23,5.65),"Y","N")</f>
        <v>N</v>
      </c>
      <c r="X13" s="173" t="e">
        <f>VALUE(LEFT(AD13,4))-VALUE(LEFT(AD12,4))</f>
        <v>#VALUE!</v>
      </c>
      <c r="Y13" s="64">
        <f t="shared" ref="Y13" si="0">RIGHT(D13,LEN(D13)-4)/10000</f>
        <v>7.2300000000000003E-2</v>
      </c>
      <c r="Z13" s="64">
        <f t="shared" ref="Z13" si="1">RIGHT(H13,LEN(H13)-4)/10000</f>
        <v>23.332100000000001</v>
      </c>
      <c r="AA13" s="64">
        <f>ABS(Z13-Y13)</f>
        <v>23.259800000000002</v>
      </c>
      <c r="AB13" s="61" t="e">
        <f>VLOOKUP(A13,Enforcements!$C$7:$K$19,8,0)</f>
        <v>#N/A</v>
      </c>
      <c r="AC13" s="57" t="e">
        <f>VLOOKUP(A13,Enforcements!$C$7:$E$19,3,0)</f>
        <v>#N/A</v>
      </c>
      <c r="AD13" s="58" t="str">
        <f>IF(LEN(A13)=6,"0"&amp;A13,A13)</f>
        <v>0101-04</v>
      </c>
      <c r="AE13" s="8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 &amp; 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</v>
      </c>
      <c r="AF13" s="84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/stypes="app*4022*20170104*" /stext=" 10:.+((SYSTEM_STATE.+slice.+state.+changed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88" t="str">
        <f t="shared" ref="AH13" si="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4022 --swversion DE.1.0.8.0 --startMP 204:723 --initTime 2017-01-04T03:10:33 --startdatetime 2017-01-04T03:15:17 --delay 1 --endMP 204:233321 --enddatetime 2017-01-04T03:52:35 --enforcementcount 0 &gt;&gt;C:\Users\stu\Documents\GitHub\eaglep3-reporting\EC\2017-01-04-refined-times.txt</v>
      </c>
      <c r="AI13" s="115" t="str">
        <f t="shared" ref="AI13" si="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{"issue":{"subject":"","project_id":79,"tracker_id":40,"status_id":1,"priority_id":2,"assigned_to_id":23,"start_date":"2017-01-04","description":"","custom_fields":[{"id":1,"name":"Subdivision","value":"EC"},{"id":4,"name":"Milepost","value":"23.3321"},{"id":17,"name":"Train ID","value":"101-04"},{"id":16,"name":"Locomotive ID","value":"4022"},{"id":130,"name":"Impact","value":""},{"id":150,"name":"Time of Event (Mountain Time)","value":"03:52:35"},{"id":151,"name":"Denver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4">"start /low /b "&amp;dls3logs&amp;" --loco "&amp;B13&amp;" --day "&amp;TEXT(F13,"YYYY-MM-DD")</f>
        <v>start /low /b %USERPROFILE%\Documents\GitHub\eaglep3\Utilities\DownloadLogsFromS3.py --loco 4022 --day 2017-01-04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483</v>
      </c>
      <c r="B14" s="7">
        <v>4004</v>
      </c>
      <c r="C14" s="22" t="s">
        <v>203</v>
      </c>
      <c r="D14" s="22" t="s">
        <v>692</v>
      </c>
      <c r="E14" s="13">
        <v>42739.165335648147</v>
      </c>
      <c r="F14" s="13">
        <v>42739.174502314818</v>
      </c>
      <c r="G14" s="7">
        <v>6</v>
      </c>
      <c r="H14" s="22" t="s">
        <v>254</v>
      </c>
      <c r="I14" s="13">
        <v>42739.205729166664</v>
      </c>
      <c r="J14" s="7">
        <v>0</v>
      </c>
      <c r="K14" s="105" t="str">
        <f>IF(ISEVEN(B14),(B14-1)&amp;"/"&amp;B14,B14&amp;"/"&amp;(B14+1))</f>
        <v>4003/4004</v>
      </c>
      <c r="L14" s="22" t="str">
        <f>VLOOKUP(A14,'Trips&amp;Operators'!$C$1:$G$99999,5,FALSE)</f>
        <v>ISHMAEL JOSEPH</v>
      </c>
      <c r="M14" s="6">
        <f>I14-F14</f>
        <v>3.1226851846440695E-2</v>
      </c>
      <c r="N14" s="7">
        <f>24*60*SUM($M14:$M14)</f>
        <v>44.966666658874601</v>
      </c>
      <c r="O14" s="7"/>
      <c r="P14" s="7"/>
      <c r="Q14" s="23"/>
      <c r="R14" s="23"/>
      <c r="S14" s="32">
        <f>SUM(U14:U14)/IF(AG14="EC",12,1)</f>
        <v>1</v>
      </c>
      <c r="T14" s="47" t="str">
        <f>IF(ISEVEN(LEFT(AD14,4)),"Southbound","NorthBound")</f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hh:mm:ss")&amp;utc_offset&amp;"00',mode:absolute,to:'"&amp;TEXT(I14+1/24,"yyyy-MM-DD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https://search-rtdc-monitor-bjffxe2xuh6vdkpspy63sjmuny.us-east-1.es.amazonaws.com/_plugin/kibana/#/discover/Steve-Slow-Train-Analysis-(2080s-and-2083s)?_g=(refreshInterval:(display:Off,section:0,value:0),time:(from:'2017-01-04 02:58:05-700',mode:absolute,to:'2017-01-04 05:56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" s="49" t="str">
        <f>IF(AA14&lt;IF(AG14="EC",23,5.65),"Y","N")</f>
        <v>N</v>
      </c>
      <c r="X14" s="173">
        <f>VALUE(LEFT(AD14,4))-VALUE(LEFT(AD13,4))</f>
        <v>1</v>
      </c>
      <c r="Y14" s="64">
        <f t="shared" ref="Y14:Y77" si="5">RIGHT(D14,LEN(D14)-4)/10000</f>
        <v>23.2666</v>
      </c>
      <c r="Z14" s="64">
        <f t="shared" ref="Z14:Z77" si="6">RIGHT(H14,LEN(H14)-4)/10000</f>
        <v>1.6E-2</v>
      </c>
      <c r="AA14" s="64">
        <f>ABS(Z14-Y14)</f>
        <v>23.250600000000002</v>
      </c>
      <c r="AB14" s="61" t="e">
        <f>VLOOKUP(A14,Enforcements!$C$7:$K$19,8,0)</f>
        <v>#N/A</v>
      </c>
      <c r="AC14" s="57" t="e">
        <f>VLOOKUP(A14,Enforcements!$C$7:$E$19,3,0)</f>
        <v>#N/A</v>
      </c>
      <c r="AD14" s="58" t="str">
        <f>IF(LEN(A14)=6,"0"&amp;A14,A14)</f>
        <v>0102-04</v>
      </c>
      <c r="AE14" s="8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 &amp; 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</v>
      </c>
      <c r="AF14" s="84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/stypes="app*4004*20170104*"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88" t="str">
        <f t="shared" ref="AH14:AH77" si="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4004 --swversion DE.1.0.8.0 --startMP 204:232666 --initTime 2017-01-04T03:58:05 --startdatetime 2017-01-04T04:11:17 --delay 6 --endMP 204:160 --enddatetime 2017-01-04T04:56:15 --enforcementcount 0 &gt;&gt;C:\Users\stu\Documents\GitHub\eaglep3-reporting\EC\2017-01-04-refined-times.txt</v>
      </c>
      <c r="AI14" s="115" t="str">
        <f t="shared" ref="AI14:AI77" si="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{"issue":{"subject":"","project_id":79,"tracker_id":40,"status_id":1,"priority_id":2,"assigned_to_id":23,"start_date":"2017-01-04","description":"","custom_fields":[{"id":1,"name":"Subdivision","value":"EC"},{"id":4,"name":"Milepost","value":"0.016"},{"id":17,"name":"Train ID","value":"102-04"},{"id":16,"name":"Locomotive ID","value":"4004"},{"id":130,"name":"Impact","value":""},{"id":150,"name":"Time of Event (Mountain Time)","value":"04:56:15"},{"id":151,"name":"Denver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7" si="9">"start /low /b "&amp;dls3logs&amp;" --loco "&amp;B14&amp;" --day "&amp;TEXT(F14,"YYYY-MM-DD")</f>
        <v>start /low /b %USERPROFILE%\Documents\GitHub\eaglep3\Utilities\DownloadLogsFromS3.py --loco 4004 --day 2017-01-04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447</v>
      </c>
      <c r="B15" s="7">
        <v>4044</v>
      </c>
      <c r="C15" s="22" t="s">
        <v>203</v>
      </c>
      <c r="D15" s="22" t="s">
        <v>693</v>
      </c>
      <c r="E15" s="13">
        <v>42739.150601851848</v>
      </c>
      <c r="F15" s="13">
        <v>42739.156631944446</v>
      </c>
      <c r="G15" s="7">
        <v>1</v>
      </c>
      <c r="H15" s="22" t="s">
        <v>367</v>
      </c>
      <c r="I15" s="13">
        <v>42739.181932870371</v>
      </c>
      <c r="J15" s="7">
        <v>0</v>
      </c>
      <c r="K15" s="105" t="str">
        <f>IF(ISEVEN(B15),(B15-1)&amp;"/"&amp;B15,B15&amp;"/"&amp;(B15+1))</f>
        <v>4043/4044</v>
      </c>
      <c r="L15" s="22" t="str">
        <f>VLOOKUP(A15,'Trips&amp;Operators'!$C$1:$G$99999,5,FALSE)</f>
        <v>MAELZER KURT</v>
      </c>
      <c r="M15" s="6">
        <f>I15-F15</f>
        <v>2.5300925924966577E-2</v>
      </c>
      <c r="N15" s="7">
        <f>24*60*SUM($M15:$M15)</f>
        <v>36.433333331951872</v>
      </c>
      <c r="O15" s="7"/>
      <c r="P15" s="7"/>
      <c r="Q15" s="23"/>
      <c r="R15" s="23"/>
      <c r="S15" s="32">
        <f>SUM(U15:U15)/IF(AG15="EC",12,1)</f>
        <v>1</v>
      </c>
      <c r="T15" s="47" t="str">
        <f>IF(ISEVEN(LEFT(AD15,4)),"Southbound","NorthBound")</f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hh:mm:ss")&amp;utc_offset&amp;"00',mode:absolute,to:'"&amp;TEXT(I15+1/24,"yyyy-MM-DD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https://search-rtdc-monitor-bjffxe2xuh6vdkpspy63sjmuny.us-east-1.es.amazonaws.com/_plugin/kibana/#/discover/Steve-Slow-Train-Analysis-(2080s-and-2083s)?_g=(refreshInterval:(display:Off,section:0,value:0),time:(from:'2017-01-04 02:36:52-700',mode:absolute,to:'2017-01-04 05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" s="49" t="str">
        <f>IF(AA15&lt;IF(AG15="EC",23,5.65),"Y","N")</f>
        <v>N</v>
      </c>
      <c r="X15" s="173">
        <f>VALUE(LEFT(AD15,4))-VALUE(LEFT(AD14,4))</f>
        <v>1</v>
      </c>
      <c r="Y15" s="64">
        <f t="shared" si="5"/>
        <v>7.6799999999999993E-2</v>
      </c>
      <c r="Z15" s="64">
        <f t="shared" si="6"/>
        <v>23.329499999999999</v>
      </c>
      <c r="AA15" s="64">
        <f>ABS(Z15-Y15)</f>
        <v>23.252700000000001</v>
      </c>
      <c r="AB15" s="61" t="str">
        <f>VLOOKUP(A15,Enforcements!$C$7:$K$19,8,0)</f>
        <v>Form based authority (4)</v>
      </c>
      <c r="AC15" s="57" t="str">
        <f>VLOOKUP(A15,Enforcements!$C$7:$E$19,3,0)</f>
        <v>TRACK WARRANT AUTHORITY</v>
      </c>
      <c r="AD15" s="58" t="str">
        <f>IF(LEN(A15)=6,"0"&amp;A15,A15)</f>
        <v>0103-04</v>
      </c>
      <c r="AE15" s="8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AF15" s="84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/stypes="app*4044*20170104*"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88" t="str">
        <f t="shared" si="7"/>
        <v>"%USERPROFILE%\Documents\GitHub\eaglep3\Utilities\RefineRTDCRunTimes.py" --tripid 103-04 --locoid 4044 --swversion DE.1.0.8.0 --startMP 204:768 --initTime 2017-01-04T03:36:52 --startdatetime 2017-01-04T03:45:33 --delay 1 --endMP 204:233295 --enddatetime 2017-01-04T04:21:59 --enforcementcount 0 &gt;&gt;C:\Users\stu\Documents\GitHub\eaglep3-reporting\EC\2017-01-04-refined-times.txt</v>
      </c>
      <c r="AI15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{"issue":{"subject":"","project_id":79,"tracker_id":40,"status_id":1,"priority_id":2,"assigned_to_id":23,"start_date":"2017-01-04","description":"","custom_fields":[{"id":1,"name":"Subdivision","value":"EC"},{"id":4,"name":"Milepost","value":"23.3295"},{"id":17,"name":"Train ID","value":"103-04"},{"id":16,"name":"Locomotive ID","value":"4044"},{"id":130,"name":"Impact","value":""},{"id":150,"name":"Time of Event (Mountain Time)","value":"04:21:59"},{"id":151,"name":"Denver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9"/>
        <v>start /low /b %USERPROFILE%\Documents\GitHub\eaglep3\Utilities\DownloadLogsFromS3.py --loco 4044 --day 2017-01-04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490</v>
      </c>
      <c r="B16" s="7">
        <v>4041</v>
      </c>
      <c r="C16" s="22" t="s">
        <v>203</v>
      </c>
      <c r="D16" s="22" t="s">
        <v>694</v>
      </c>
      <c r="E16" s="13">
        <v>42739.189236111109</v>
      </c>
      <c r="F16" s="13">
        <v>42739.195462962962</v>
      </c>
      <c r="G16" s="7">
        <v>0</v>
      </c>
      <c r="H16" s="22" t="s">
        <v>192</v>
      </c>
      <c r="I16" s="13">
        <v>42739.222986111112</v>
      </c>
      <c r="J16" s="7">
        <v>0</v>
      </c>
      <c r="K16" s="105" t="str">
        <f>IF(ISEVEN(B16),(B16-1)&amp;"/"&amp;B16,B16&amp;"/"&amp;(B16+1))</f>
        <v>4041/4042</v>
      </c>
      <c r="L16" s="22" t="str">
        <f>VLOOKUP(A16,'Trips&amp;Operators'!$C$1:$G$99999,5,FALSE)</f>
        <v>MAELZER KURT</v>
      </c>
      <c r="M16" s="6">
        <f>I16-F16</f>
        <v>2.7523148150066845E-2</v>
      </c>
      <c r="N16" s="7">
        <f>24*60*SUM($M16:$M16)</f>
        <v>39.633333336096257</v>
      </c>
      <c r="O16" s="7"/>
      <c r="P16" s="7"/>
      <c r="Q16" s="23"/>
      <c r="R16" s="23"/>
      <c r="S16" s="32">
        <f>SUM(U16:U16)/IF(AG16="EC",12,1)</f>
        <v>1</v>
      </c>
      <c r="T16" s="47" t="str">
        <f>IF(ISEVEN(LEFT(AD16,4)),"Southbound","NorthBound")</f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hh:mm:ss")&amp;utc_offset&amp;"00',mode:absolute,to:'"&amp;TEXT(I16+1/24,"yyyy-MM-DD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https://search-rtdc-monitor-bjffxe2xuh6vdkpspy63sjmuny.us-east-1.es.amazonaws.com/_plugin/kibana/#/discover/Steve-Slow-Train-Analysis-(2080s-and-2083s)?_g=(refreshInterval:(display:Off,section:0,value:0),time:(from:'2017-01-04 03:32:30-700',mode:absolute,to:'2017-01-04 06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" s="49" t="str">
        <f>IF(AA16&lt;IF(AG16="EC",23,5.65),"Y","N")</f>
        <v>N</v>
      </c>
      <c r="X16" s="173">
        <f>VALUE(LEFT(AD16,4))-VALUE(LEFT(AD15,4))</f>
        <v>1</v>
      </c>
      <c r="Y16" s="64">
        <f t="shared" si="5"/>
        <v>23.267900000000001</v>
      </c>
      <c r="Z16" s="64">
        <f t="shared" si="6"/>
        <v>1.43E-2</v>
      </c>
      <c r="AA16" s="64">
        <f>ABS(Z16-Y16)</f>
        <v>23.253600000000002</v>
      </c>
      <c r="AB16" s="61" t="e">
        <f>VLOOKUP(A16,Enforcements!$C$7:$K$19,8,0)</f>
        <v>#N/A</v>
      </c>
      <c r="AC16" s="57" t="e">
        <f>VLOOKUP(A16,Enforcements!$C$7:$E$19,3,0)</f>
        <v>#N/A</v>
      </c>
      <c r="AD16" s="58" t="str">
        <f>IF(LEN(A16)=6,"0"&amp;A16,A16)</f>
        <v>0104-04</v>
      </c>
      <c r="AE16" s="8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 &amp; 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</v>
      </c>
      <c r="AF16" s="84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/stypes="app*4041*20170104*"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88" t="str">
        <f t="shared" si="7"/>
        <v>"%USERPROFILE%\Documents\GitHub\eaglep3\Utilities\RefineRTDCRunTimes.py" --tripid 104-04 --locoid 4041 --swversion DE.1.0.8.0 --startMP 204:232679 --initTime 2017-01-04T04:32:30 --startdatetime 2017-01-04T04:41:28 --delay 0 --endMP 204:143 --enddatetime 2017-01-04T05:21:06 --enforcementcount 0 &gt;&gt;C:\Users\stu\Documents\GitHub\eaglep3-reporting\EC\2017-01-04-refined-times.txt</v>
      </c>
      <c r="AI16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{"issue":{"subject":"","project_id":79,"tracker_id":40,"status_id":1,"priority_id":2,"assigned_to_id":23,"start_date":"2017-01-04","description":"","custom_fields":[{"id":1,"name":"Subdivision","value":"EC"},{"id":4,"name":"Milepost","value":"0.0143"},{"id":17,"name":"Train ID","value":"104-04"},{"id":16,"name":"Locomotive ID","value":"4041"},{"id":130,"name":"Impact","value":""},{"id":150,"name":"Time of Event (Mountain Time)","value":"05:21:06"},{"id":151,"name":"Denver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9"/>
        <v>start /low /b %USERPROFILE%\Documents\GitHub\eaglep3\Utilities\DownloadLogsFromS3.py --loco 4041 --day 2017-01-04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484</v>
      </c>
      <c r="B17" s="7">
        <v>4016</v>
      </c>
      <c r="C17" s="22" t="s">
        <v>203</v>
      </c>
      <c r="D17" s="22" t="s">
        <v>695</v>
      </c>
      <c r="E17" s="13">
        <v>42739.172303240739</v>
      </c>
      <c r="F17" s="13">
        <v>42739.177314814813</v>
      </c>
      <c r="G17" s="7">
        <v>1</v>
      </c>
      <c r="H17" s="22" t="s">
        <v>286</v>
      </c>
      <c r="I17" s="13">
        <v>42739.202546296299</v>
      </c>
      <c r="J17" s="7">
        <v>0</v>
      </c>
      <c r="K17" s="105" t="str">
        <f>IF(ISEVEN(B17),(B17-1)&amp;"/"&amp;B17,B17&amp;"/"&amp;(B17+1))</f>
        <v>4015/4016</v>
      </c>
      <c r="L17" s="22" t="str">
        <f>VLOOKUP(A17,'Trips&amp;Operators'!$C$1:$G$99999,5,FALSE)</f>
        <v>COMELLA JUSTIN</v>
      </c>
      <c r="M17" s="6">
        <f>I17-F17</f>
        <v>2.5231481486116536E-2</v>
      </c>
      <c r="N17" s="7">
        <f>24*60*SUM($M17:$M17)</f>
        <v>36.333333340007812</v>
      </c>
      <c r="O17" s="7"/>
      <c r="P17" s="7"/>
      <c r="Q17" s="23"/>
      <c r="R17" s="23"/>
      <c r="S17" s="32">
        <f>SUM(U17:U17)/IF(AG17="EC",12,1)</f>
        <v>1</v>
      </c>
      <c r="T17" s="47" t="str">
        <f>IF(ISEVEN(LEFT(AD17,4)),"Southbound","NorthBound")</f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hh:mm:ss")&amp;utc_offset&amp;"00',mode:absolute,to:'"&amp;TEXT(I17+1/24,"yyyy-MM-DD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https://search-rtdc-monitor-bjffxe2xuh6vdkpspy63sjmuny.us-east-1.es.amazonaws.com/_plugin/kibana/#/discover/Steve-Slow-Train-Analysis-(2080s-and-2083s)?_g=(refreshInterval:(display:Off,section:0,value:0),time:(from:'2017-01-04 03:08:07-700',mode:absolute,to:'2017-01-04 05:51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7" s="49" t="str">
        <f>IF(AA17&lt;IF(AG17="EC",23,5.65),"Y","N")</f>
        <v>N</v>
      </c>
      <c r="X17" s="173">
        <f>VALUE(LEFT(AD17,4))-VALUE(LEFT(AD16,4))</f>
        <v>1</v>
      </c>
      <c r="Y17" s="64">
        <f t="shared" si="5"/>
        <v>7.6300000000000007E-2</v>
      </c>
      <c r="Z17" s="64">
        <f t="shared" si="6"/>
        <v>23.331199999999999</v>
      </c>
      <c r="AA17" s="64">
        <f>ABS(Z17-Y17)</f>
        <v>23.254899999999999</v>
      </c>
      <c r="AB17" s="61" t="e">
        <f>VLOOKUP(A17,Enforcements!$C$7:$K$19,8,0)</f>
        <v>#N/A</v>
      </c>
      <c r="AC17" s="57" t="e">
        <f>VLOOKUP(A17,Enforcements!$C$7:$E$19,3,0)</f>
        <v>#N/A</v>
      </c>
      <c r="AD17" s="58" t="str">
        <f>IF(LEN(A17)=6,"0"&amp;A17,A17)</f>
        <v>0105-04</v>
      </c>
      <c r="AE17" s="8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AF17" s="84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/stypes="app*4016*20170104*" /stext=" 11:.+((SYSTEM_STATE.+slice.+state.+changed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88" t="str">
        <f t="shared" si="7"/>
        <v>"%USERPROFILE%\Documents\GitHub\eaglep3\Utilities\RefineRTDCRunTimes.py" --tripid 105-04 --locoid 4016 --swversion DE.1.0.8.0 --startMP 204:763 --initTime 2017-01-04T04:08:07 --startdatetime 2017-01-04T04:15:20 --delay 1 --endMP 204:233312 --enddatetime 2017-01-04T04:51:40 --enforcementcount 0 &gt;&gt;C:\Users\stu\Documents\GitHub\eaglep3-reporting\EC\2017-01-04-refined-times.txt</v>
      </c>
      <c r="AI17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{"issue":{"subject":"","project_id":79,"tracker_id":40,"status_id":1,"priority_id":2,"assigned_to_id":23,"start_date":"2017-01-04","description":"","custom_fields":[{"id":1,"name":"Subdivision","value":"EC"},{"id":4,"name":"Milepost","value":"23.3312"},{"id":17,"name":"Train ID","value":"105-04"},{"id":16,"name":"Locomotive ID","value":"4016"},{"id":130,"name":"Impact","value":""},{"id":150,"name":"Time of Event (Mountain Time)","value":"04:51:40"},{"id":151,"name":"Denver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9"/>
        <v>start /low /b %USERPROFILE%\Documents\GitHub\eaglep3\Utilities\DownloadLogsFromS3.py --loco 4016 --day 2017-01-04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493</v>
      </c>
      <c r="B18" s="7">
        <v>4001</v>
      </c>
      <c r="C18" s="22" t="s">
        <v>203</v>
      </c>
      <c r="D18" s="22" t="s">
        <v>696</v>
      </c>
      <c r="E18" s="13">
        <v>42739.207870370374</v>
      </c>
      <c r="F18" s="13">
        <v>42739.216331018521</v>
      </c>
      <c r="G18" s="7">
        <v>1</v>
      </c>
      <c r="H18" s="22" t="s">
        <v>209</v>
      </c>
      <c r="I18" s="13">
        <v>42739.246574074074</v>
      </c>
      <c r="J18" s="7">
        <v>0</v>
      </c>
      <c r="K18" s="105" t="str">
        <f>IF(ISEVEN(B18),(B18-1)&amp;"/"&amp;B18,B18&amp;"/"&amp;(B18+1))</f>
        <v>4001/4002</v>
      </c>
      <c r="L18" s="22" t="str">
        <f>VLOOKUP(A18,'Trips&amp;Operators'!$C$1:$G$99999,5,FALSE)</f>
        <v>COMELLA JUSTIN</v>
      </c>
      <c r="M18" s="6">
        <f>I18-F18</f>
        <v>3.0243055553000886E-2</v>
      </c>
      <c r="N18" s="7">
        <f>24*60*SUM($M18:$M18)</f>
        <v>43.549999996321276</v>
      </c>
      <c r="O18" s="7"/>
      <c r="P18" s="7"/>
      <c r="Q18" s="23"/>
      <c r="R18" s="23"/>
      <c r="S18" s="32">
        <f>SUM(U18:U18)/IF(AG18="EC",12,1)</f>
        <v>1</v>
      </c>
      <c r="T18" s="47" t="str">
        <f>IF(ISEVEN(LEFT(AD18,4)),"Southbound","NorthBound")</f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https://search-rtdc-monitor-bjffxe2xuh6vdkpspy63sjmuny.us-east-1.es.amazonaws.com/_plugin/kibana/#/discover/Steve-Slow-Train-Analysis-(2080s-and-2083s)?_g=(refreshInterval:(display:Off,section:0,value:0),time:(from:'2017-01-04 03:59:20-700',mode:absolute,to:'2017-01-04 06:55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" s="49" t="str">
        <f>IF(AA18&lt;IF(AG18="EC",23,5.65),"Y","N")</f>
        <v>N</v>
      </c>
      <c r="X18" s="173">
        <f>VALUE(LEFT(AD18,4))-VALUE(LEFT(AD17,4))</f>
        <v>1</v>
      </c>
      <c r="Y18" s="64">
        <f t="shared" si="5"/>
        <v>23.267299999999999</v>
      </c>
      <c r="Z18" s="64">
        <f t="shared" si="6"/>
        <v>1.4999999999999999E-2</v>
      </c>
      <c r="AA18" s="64">
        <f>ABS(Z18-Y18)</f>
        <v>23.252299999999998</v>
      </c>
      <c r="AB18" s="61" t="e">
        <f>VLOOKUP(A18,Enforcements!$C$7:$K$19,8,0)</f>
        <v>#N/A</v>
      </c>
      <c r="AC18" s="57" t="e">
        <f>VLOOKUP(A18,Enforcements!$C$7:$E$19,3,0)</f>
        <v>#N/A</v>
      </c>
      <c r="AD18" s="58" t="str">
        <f>IF(LEN(A18)=6,"0"&amp;A18,A18)</f>
        <v>0106-04</v>
      </c>
      <c r="AE18" s="8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s3://rtdc.mdm.uploadarchive.raw/RTDC4001/ "%USERPROFILE%\AppData\Local\Temp\OnboardLogs"\RTDC4001\2017-01-04 --exclude "*" --recursive --include "*20170104*" &amp; "%USERPROFILE%\Documents\GitHub\mrs-test-scripts\Headless Mode &amp; Sideloading\WalkAndUnGZ.bat" "%USERPROFILE%\AppData\Local\Temp\OnboardLogs"\RTDC4001\2017-01-04 &amp; 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</v>
      </c>
      <c r="AF18" s="84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/stypes="app*4001*20170104*"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88" t="str">
        <f t="shared" si="7"/>
        <v>"%USERPROFILE%\Documents\GitHub\eaglep3\Utilities\RefineRTDCRunTimes.py" --tripid 106-04 --locoid 4001 --swversion DE.1.0.8.0 --startMP 204:232673 --initTime 2017-01-04T04:59:20 --startdatetime 2017-01-04T05:11:31 --delay 1 --endMP 204:150 --enddatetime 2017-01-04T05:55:04 --enforcementcount 0 &gt;&gt;C:\Users\stu\Documents\GitHub\eaglep3-reporting\EC\2017-01-04-refined-times.txt</v>
      </c>
      <c r="AI18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{"issue":{"subject":"","project_id":79,"tracker_id":40,"status_id":1,"priority_id":2,"assigned_to_id":23,"start_date":"2017-01-04","description":"","custom_fields":[{"id":1,"name":"Subdivision","value":"EC"},{"id":4,"name":"Milepost","value":"0.015"},{"id":17,"name":"Train ID","value":"106-04"},{"id":16,"name":"Locomotive ID","value":"4001"},{"id":130,"name":"Impact","value":""},{"id":150,"name":"Time of Event (Mountain Time)","value":"05:55:04"},{"id":151,"name":"Denver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9"/>
        <v>start /low /b %USERPROFILE%\Documents\GitHub\eaglep3\Utilities\DownloadLogsFromS3.py --loco 4001 --day 2017-01-04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489</v>
      </c>
      <c r="B19" s="7">
        <v>4029</v>
      </c>
      <c r="C19" s="22" t="s">
        <v>203</v>
      </c>
      <c r="D19" s="22" t="s">
        <v>697</v>
      </c>
      <c r="E19" s="13">
        <v>42739.185613425929</v>
      </c>
      <c r="F19" s="13">
        <v>42739.187754629631</v>
      </c>
      <c r="G19" s="7">
        <v>1</v>
      </c>
      <c r="H19" s="22" t="s">
        <v>412</v>
      </c>
      <c r="I19" s="13">
        <v>42739.213993055557</v>
      </c>
      <c r="J19" s="7">
        <v>0</v>
      </c>
      <c r="K19" s="105" t="str">
        <f>IF(ISEVEN(B19),(B19-1)&amp;"/"&amp;B19,B19&amp;"/"&amp;(B19+1))</f>
        <v>4029/4030</v>
      </c>
      <c r="L19" s="22" t="str">
        <f>VLOOKUP(A19,'Trips&amp;Operators'!$C$1:$G$99999,5,FALSE)</f>
        <v>BONDS REYNALDO</v>
      </c>
      <c r="M19" s="6">
        <f>I19-F19</f>
        <v>2.6238425925839692E-2</v>
      </c>
      <c r="N19" s="7">
        <f>24*60*SUM($M19:$M19)</f>
        <v>37.783333333209157</v>
      </c>
      <c r="O19" s="7"/>
      <c r="P19" s="7"/>
      <c r="Q19" s="23"/>
      <c r="R19" s="23"/>
      <c r="S19" s="32">
        <f>SUM(U19:U19)/IF(AG19="EC",12,1)</f>
        <v>1</v>
      </c>
      <c r="T19" s="47" t="str">
        <f>IF(ISEVEN(LEFT(AD19,4)),"Southbound","NorthBound")</f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hh:mm:ss")&amp;utc_offset&amp;"00',mode:absolute,to:'"&amp;TEXT(I19+1/24,"yyyy-MM-DD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https://search-rtdc-monitor-bjffxe2xuh6vdkpspy63sjmuny.us-east-1.es.amazonaws.com/_plugin/kibana/#/discover/Steve-Slow-Train-Analysis-(2080s-and-2083s)?_g=(refreshInterval:(display:Off,section:0,value:0),time:(from:'2017-01-04 03:27:17-700',mode:absolute,to:'2017-01-04 06:08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" s="49" t="str">
        <f>IF(AA19&lt;IF(AG19="EC",23,5.65),"Y","N")</f>
        <v>N</v>
      </c>
      <c r="X19" s="173">
        <f>VALUE(LEFT(AD19,4))-VALUE(LEFT(AD18,4))</f>
        <v>1</v>
      </c>
      <c r="Y19" s="64">
        <f t="shared" si="5"/>
        <v>4.9700000000000001E-2</v>
      </c>
      <c r="Z19" s="64">
        <f t="shared" si="6"/>
        <v>23.331099999999999</v>
      </c>
      <c r="AA19" s="64">
        <f>ABS(Z19-Y19)</f>
        <v>23.281399999999998</v>
      </c>
      <c r="AB19" s="61" t="e">
        <f>VLOOKUP(A19,Enforcements!$C$7:$K$19,8,0)</f>
        <v>#N/A</v>
      </c>
      <c r="AC19" s="57" t="e">
        <f>VLOOKUP(A19,Enforcements!$C$7:$E$19,3,0)</f>
        <v>#N/A</v>
      </c>
      <c r="AD19" s="58" t="str">
        <f>IF(LEN(A19)=6,"0"&amp;A19,A19)</f>
        <v>0107-04</v>
      </c>
      <c r="AE19" s="8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 &amp; 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</v>
      </c>
      <c r="AF19" s="84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/stypes="app*4029*20170104*"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88" t="str">
        <f t="shared" si="7"/>
        <v>"%USERPROFILE%\Documents\GitHub\eaglep3\Utilities\RefineRTDCRunTimes.py" --tripid 107-04 --locoid 4029 --swversion DE.1.0.8.0 --startMP 204:497 --initTime 2017-01-04T04:27:17 --startdatetime 2017-01-04T04:30:22 --delay 1 --endMP 204:233311 --enddatetime 2017-01-04T05:08:09 --enforcementcount 0 &gt;&gt;C:\Users\stu\Documents\GitHub\eaglep3-reporting\EC\2017-01-04-refined-times.txt</v>
      </c>
      <c r="AI19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{"issue":{"subject":"","project_id":79,"tracker_id":40,"status_id":1,"priority_id":2,"assigned_to_id":23,"start_date":"2017-01-04","description":"","custom_fields":[{"id":1,"name":"Subdivision","value":"EC"},{"id":4,"name":"Milepost","value":"23.3311"},{"id":17,"name":"Train ID","value":"107-04"},{"id":16,"name":"Locomotive ID","value":"4029"},{"id":130,"name":"Impact","value":""},{"id":150,"name":"Time of Event (Mountain Time)","value":"05:08:09"},{"id":151,"name":"Denver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9"/>
        <v>start /low /b %USERPROFILE%\Documents\GitHub\eaglep3\Utilities\DownloadLogsFromS3.py --loco 4029 --day 2017-01-04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497</v>
      </c>
      <c r="B20" s="7">
        <v>4030</v>
      </c>
      <c r="C20" s="22" t="s">
        <v>203</v>
      </c>
      <c r="D20" s="22" t="s">
        <v>369</v>
      </c>
      <c r="E20" s="13">
        <v>42739.217939814815</v>
      </c>
      <c r="F20" s="13">
        <v>42739.226631944446</v>
      </c>
      <c r="G20" s="7">
        <v>1</v>
      </c>
      <c r="H20" s="22" t="s">
        <v>222</v>
      </c>
      <c r="I20" s="13">
        <v>42739.25513888889</v>
      </c>
      <c r="J20" s="7">
        <v>0</v>
      </c>
      <c r="K20" s="105" t="str">
        <f>IF(ISEVEN(B20),(B20-1)&amp;"/"&amp;B20,B20&amp;"/"&amp;(B20+1))</f>
        <v>4029/4030</v>
      </c>
      <c r="L20" s="22" t="str">
        <f>VLOOKUP(A20,'Trips&amp;Operators'!$C$1:$G$99999,5,FALSE)</f>
        <v>BONDS REYNALDO</v>
      </c>
      <c r="M20" s="6">
        <f>I20-F20</f>
        <v>2.8506944443506654E-2</v>
      </c>
      <c r="N20" s="7">
        <f>24*60*SUM($M20:$M20)</f>
        <v>41.049999998649582</v>
      </c>
      <c r="O20" s="7"/>
      <c r="P20" s="7"/>
      <c r="Q20" s="23"/>
      <c r="R20" s="23"/>
      <c r="S20" s="32">
        <f>SUM(U20:U20)/IF(AG20="EC",12,1)</f>
        <v>1</v>
      </c>
      <c r="T20" s="47" t="str">
        <f>IF(ISEVEN(LEFT(AD20,4)),"Southbound","NorthBound")</f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hh:mm:ss")&amp;utc_offset&amp;"00',mode:absolute,to:'"&amp;TEXT(I20+1/24,"yyyy-MM-DD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https://search-rtdc-monitor-bjffxe2xuh6vdkpspy63sjmuny.us-east-1.es.amazonaws.com/_plugin/kibana/#/discover/Steve-Slow-Train-Analysis-(2080s-and-2083s)?_g=(refreshInterval:(display:Off,section:0,value:0),time:(from:'2017-01-04 04:13:50-700',mode:absolute,to:'2017-01-04 07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" s="49" t="str">
        <f>IF(AA20&lt;IF(AG20="EC",23,5.65),"Y","N")</f>
        <v>N</v>
      </c>
      <c r="X20" s="173">
        <f>VALUE(LEFT(AD20,4))-VALUE(LEFT(AD19,4))</f>
        <v>1</v>
      </c>
      <c r="Y20" s="64">
        <f t="shared" si="5"/>
        <v>23.299199999999999</v>
      </c>
      <c r="Z20" s="64">
        <f t="shared" si="6"/>
        <v>1.54E-2</v>
      </c>
      <c r="AA20" s="64">
        <f>ABS(Z20-Y20)</f>
        <v>23.283799999999999</v>
      </c>
      <c r="AB20" s="61" t="e">
        <f>VLOOKUP(A20,Enforcements!$C$7:$K$19,8,0)</f>
        <v>#N/A</v>
      </c>
      <c r="AC20" s="57" t="e">
        <f>VLOOKUP(A20,Enforcements!$C$7:$E$19,3,0)</f>
        <v>#N/A</v>
      </c>
      <c r="AD20" s="58" t="str">
        <f>IF(LEN(A20)=6,"0"&amp;A20,A20)</f>
        <v>0108-04</v>
      </c>
      <c r="AE20" s="8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 &amp; 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</v>
      </c>
      <c r="AF20" s="84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/stypes="app*4030*20170104*" /stext=" 13:.+((SYSTEM_STATE.+slice.+state.+changed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88" t="str">
        <f t="shared" si="7"/>
        <v>"%USERPROFILE%\Documents\GitHub\eaglep3\Utilities\RefineRTDCRunTimes.py" --tripid 108-04 --locoid 4030 --swversion DE.1.0.8.0 --startMP 204:232992 --initTime 2017-01-04T05:13:50 --startdatetime 2017-01-04T05:26:21 --delay 1 --endMP 204:154 --enddatetime 2017-01-04T06:07:24 --enforcementcount 0 &gt;&gt;C:\Users\stu\Documents\GitHub\eaglep3-reporting\EC\2017-01-04-refined-times.txt</v>
      </c>
      <c r="AI20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{"issue":{"subject":"","project_id":79,"tracker_id":40,"status_id":1,"priority_id":2,"assigned_to_id":23,"start_date":"2017-01-04","description":"","custom_fields":[{"id":1,"name":"Subdivision","value":"EC"},{"id":4,"name":"Milepost","value":"0.0154"},{"id":17,"name":"Train ID","value":"108-04"},{"id":16,"name":"Locomotive ID","value":"4030"},{"id":130,"name":"Impact","value":""},{"id":150,"name":"Time of Event (Mountain Time)","value":"06:07:24"},{"id":151,"name":"Denver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9"/>
        <v>start /low /b %USERPROFILE%\Documents\GitHub\eaglep3\Utilities\DownloadLogsFromS3.py --loco 4030 --day 2017-01-04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491</v>
      </c>
      <c r="B21" s="7">
        <v>4009</v>
      </c>
      <c r="C21" s="22" t="s">
        <v>203</v>
      </c>
      <c r="D21" s="22" t="s">
        <v>698</v>
      </c>
      <c r="E21" s="13">
        <v>42739.20590277778</v>
      </c>
      <c r="F21" s="13">
        <v>42739.206875000003</v>
      </c>
      <c r="G21" s="7">
        <v>1</v>
      </c>
      <c r="H21" s="22" t="s">
        <v>413</v>
      </c>
      <c r="I21" s="13">
        <v>42739.225023148145</v>
      </c>
      <c r="J21" s="7">
        <v>0</v>
      </c>
      <c r="K21" s="105" t="str">
        <f>IF(ISEVEN(B21),(B21-1)&amp;"/"&amp;B21,B21&amp;"/"&amp;(B21+1))</f>
        <v>4009/4010</v>
      </c>
      <c r="L21" s="22" t="str">
        <f>VLOOKUP(A21,'Trips&amp;Operators'!$C$1:$G$99999,5,FALSE)</f>
        <v>OUN ZACK</v>
      </c>
      <c r="M21" s="6">
        <f>I21-F21</f>
        <v>1.8148148141335696E-2</v>
      </c>
      <c r="N21" s="7"/>
      <c r="O21" s="7"/>
      <c r="P21" s="7">
        <f>24*60*SUM($M21:$M21)</f>
        <v>26.133333323523402</v>
      </c>
      <c r="Q21" s="23"/>
      <c r="R21" s="23" t="s">
        <v>873</v>
      </c>
      <c r="S21" s="32">
        <f>SUM(U21:U21)/IF(AG21="EC",12,1)</f>
        <v>0.75</v>
      </c>
      <c r="T21" s="47" t="str">
        <f>IF(ISEVEN(LEFT(AD21,4)),"Southbound","NorthBound")</f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9</v>
      </c>
      <c r="V21" s="94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hh:mm:ss")&amp;utc_offset&amp;"00',mode:absolute,to:'"&amp;TEXT(I21+1/24,"yyyy-MM-DD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https://search-rtdc-monitor-bjffxe2xuh6vdkpspy63sjmuny.us-east-1.es.amazonaws.com/_plugin/kibana/#/discover/Steve-Slow-Train-Analysis-(2080s-and-2083s)?_g=(refreshInterval:(display:Off,section:0,value:0),time:(from:'2017-01-04 03:56:30-700',mode:absolute,to:'2017-01-04 06:24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" s="49" t="str">
        <f>IF(AA21&lt;IF(AG21="EC",23,5.65),"Y","N")</f>
        <v>Y</v>
      </c>
      <c r="X21" s="173">
        <f>VALUE(LEFT(AD21,4))-VALUE(LEFT(AD20,4))</f>
        <v>1</v>
      </c>
      <c r="Y21" s="64">
        <f t="shared" si="5"/>
        <v>3.7187999999999999</v>
      </c>
      <c r="Z21" s="64">
        <f t="shared" si="6"/>
        <v>23.332100000000001</v>
      </c>
      <c r="AA21" s="64">
        <f>ABS(Z21-Y21)</f>
        <v>19.613300000000002</v>
      </c>
      <c r="AB21" s="61" t="e">
        <f>VLOOKUP(A21,Enforcements!$C$7:$K$19,8,0)</f>
        <v>#N/A</v>
      </c>
      <c r="AC21" s="57" t="e">
        <f>VLOOKUP(A21,Enforcements!$C$7:$E$19,3,0)</f>
        <v>#N/A</v>
      </c>
      <c r="AD21" s="58" t="str">
        <f>IF(LEN(A21)=6,"0"&amp;A21,A21)</f>
        <v>0109-04</v>
      </c>
      <c r="AE21" s="8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 &amp; 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</v>
      </c>
      <c r="AF21" s="84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/stypes="app*4009*20170104*" /stext=" 12:.+((SYSTEM_STATE.+slice.+state.+changed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88" t="str">
        <f t="shared" si="7"/>
        <v>"%USERPROFILE%\Documents\GitHub\eaglep3\Utilities\RefineRTDCRunTimes.py" --tripid 109-04 --locoid 4009 --swversion DE.1.0.8.0 --startMP 204:37188 --initTime 2017-01-04T04:56:30 --startdatetime 2017-01-04T04:57:54 --delay 1 --endMP 204:233321 --enddatetime 2017-01-04T05:24:02 --enforcementcount 0 &gt;&gt;C:\Users\stu\Documents\GitHub\eaglep3-reporting\EC\2017-01-04-refined-times.txt</v>
      </c>
      <c r="AI21" s="115" t="str">
        <f t="shared" si="8"/>
        <v>echo {"issue":{"subject":"Went active too close to DUS 4N, got SIGNAL STATUS UNKNOWN. Signal status came in a few seconds later, was STOP, cleared 30 sec after cut out.","project_id":79,"tracker_id":40,"status_id":1,"priority_id":2,"assigned_to_id":23,"start_date":"2017-01-04","description":"","custom_fields":[{"id":1,"name":"Subdivision","value":"EC"},{"id":4,"name":"Milepost","value":"23.3321"},{"id":17,"name":"Train ID","value":"109-04"},{"id":16,"name":"Locomotive ID","value":"4009"},{"id":130,"name":"Impact","value":""},{"id":150,"name":"Time of Event (Mountain Time)","value":"05:24:02"},{"id":151,"name":"Denver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9"/>
        <v>start /low /b %USERPROFILE%\Documents\GitHub\eaglep3\Utilities\DownloadLogsFromS3.py --loco 4009 --day 2017-01-04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491</v>
      </c>
      <c r="B22" s="7">
        <v>4009</v>
      </c>
      <c r="C22" s="22" t="s">
        <v>203</v>
      </c>
      <c r="D22" s="22" t="s">
        <v>343</v>
      </c>
      <c r="E22" s="13">
        <v>42739.193564814814</v>
      </c>
      <c r="F22" s="13">
        <v>42739.206875000003</v>
      </c>
      <c r="G22" s="7">
        <v>1</v>
      </c>
      <c r="H22" s="22" t="s">
        <v>699</v>
      </c>
      <c r="I22" s="13">
        <v>42739.225023148145</v>
      </c>
      <c r="J22" s="7">
        <v>0</v>
      </c>
      <c r="K22" s="105" t="str">
        <f>IF(ISEVEN(B22),(B22-1)&amp;"/"&amp;B22,B22&amp;"/"&amp;(B22+1))</f>
        <v>4009/4010</v>
      </c>
      <c r="L22" s="22" t="str">
        <f>VLOOKUP(A22,'Trips&amp;Operators'!$C$1:$G$99999,5,FALSE)</f>
        <v>OUN ZACK</v>
      </c>
      <c r="M22" s="6">
        <f>I22-F22</f>
        <v>1.8148148141335696E-2</v>
      </c>
      <c r="N22" s="7"/>
      <c r="O22" s="7"/>
      <c r="P22" s="7"/>
      <c r="Q22" s="23"/>
      <c r="R22" s="23"/>
      <c r="S22" s="32">
        <f>SUM(U22:U22)/IF(AG22="EC",12,1)</f>
        <v>0</v>
      </c>
      <c r="T22" s="47" t="str">
        <f>IF(ISEVEN(LEFT(AD22,4)),"Southbound","NorthBound")</f>
        <v>NorthBound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94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hh:mm:ss")&amp;utc_offset&amp;"00',mode:absolute,to:'"&amp;TEXT(I22+1/24,"yyyy-MM-DD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https://search-rtdc-monitor-bjffxe2xuh6vdkpspy63sjmuny.us-east-1.es.amazonaws.com/_plugin/kibana/#/discover/Steve-Slow-Train-Analysis-(2080s-and-2083s)?_g=(refreshInterval:(display:Off,section:0,value:0),time:(from:'2017-01-04 03:38:44-700',mode:absolute,to:'2017-01-04 06:24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" s="49" t="str">
        <f>IF(AA22&lt;IF(AG22="EC",23,5.65),"Y","N")</f>
        <v>Y</v>
      </c>
      <c r="X22" s="173">
        <f>VALUE(LEFT(AD22,4))-VALUE(LEFT(AD21,4))</f>
        <v>0</v>
      </c>
      <c r="Y22" s="64">
        <f t="shared" si="5"/>
        <v>4.7500000000000001E-2</v>
      </c>
      <c r="Z22" s="64">
        <f t="shared" si="6"/>
        <v>7.0800000000000002E-2</v>
      </c>
      <c r="AA22" s="64">
        <f>ABS(Z22-Y22)</f>
        <v>2.3300000000000001E-2</v>
      </c>
      <c r="AB22" s="61" t="e">
        <f>VLOOKUP(A22,Enforcements!$C$7:$K$19,8,0)</f>
        <v>#N/A</v>
      </c>
      <c r="AC22" s="57" t="e">
        <f>VLOOKUP(A22,Enforcements!$C$7:$E$19,3,0)</f>
        <v>#N/A</v>
      </c>
      <c r="AD22" s="58" t="str">
        <f>IF(LEN(A22)=6,"0"&amp;A22,A22)</f>
        <v>0109-04</v>
      </c>
      <c r="AE22" s="8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 &amp; 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</v>
      </c>
      <c r="AF22" s="84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/stypes="app*4009*20170104*" /stext=" 12:.+((SYSTEM_STATE.+slice.+state.+changed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88" t="str">
        <f t="shared" si="7"/>
        <v>"%USERPROFILE%\Documents\GitHub\eaglep3\Utilities\RefineRTDCRunTimes.py" --tripid 109-04 --locoid 4009 --swversion DE.1.0.8.0 --startMP 204:475 --initTime 2017-01-04T04:38:44 --startdatetime 2017-01-04T04:57:54 --delay 1 --endMP 204:708 --enddatetime 2017-01-04T05:24:02 --enforcementcount 0 &gt;&gt;C:\Users\stu\Documents\GitHub\eaglep3-reporting\EC\2017-01-04-refined-times.txt</v>
      </c>
      <c r="AI22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{"issue":{"subject":"","project_id":79,"tracker_id":40,"status_id":1,"priority_id":2,"assigned_to_id":23,"start_date":"2017-01-04","description":"","custom_fields":[{"id":1,"name":"Subdivision","value":"EC"},{"id":4,"name":"Milepost","value":"0.0708"},{"id":17,"name":"Train ID","value":"109-04"},{"id":16,"name":"Locomotive ID","value":"4009"},{"id":130,"name":"Impact","value":""},{"id":150,"name":"Time of Event (Mountain Time)","value":"05:24:02"},{"id":151,"name":"Denver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9"/>
        <v>start /low /b %USERPROFILE%\Documents\GitHub\eaglep3\Utilities\DownloadLogsFromS3.py --loco 4009 --day 2017-01-04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503</v>
      </c>
      <c r="B23" s="7">
        <v>4010</v>
      </c>
      <c r="C23" s="22" t="s">
        <v>203</v>
      </c>
      <c r="D23" s="22" t="s">
        <v>310</v>
      </c>
      <c r="E23" s="13">
        <v>42739.232349537036</v>
      </c>
      <c r="F23" s="13">
        <v>42739.237037037034</v>
      </c>
      <c r="G23" s="7">
        <v>1</v>
      </c>
      <c r="H23" s="22" t="s">
        <v>288</v>
      </c>
      <c r="I23" s="13">
        <v>42739.264837962961</v>
      </c>
      <c r="J23" s="7">
        <v>0</v>
      </c>
      <c r="K23" s="105" t="str">
        <f>IF(ISEVEN(B23),(B23-1)&amp;"/"&amp;B23,B23&amp;"/"&amp;(B23+1))</f>
        <v>4009/4010</v>
      </c>
      <c r="L23" s="22" t="str">
        <f>VLOOKUP(A23,'Trips&amp;Operators'!$C$1:$G$99999,5,FALSE)</f>
        <v>OUN ZACK</v>
      </c>
      <c r="M23" s="6">
        <f>I23-F23</f>
        <v>2.7800925927294884E-2</v>
      </c>
      <c r="N23" s="7">
        <f>24*60*SUM($M23:$M23)</f>
        <v>40.033333335304633</v>
      </c>
      <c r="O23" s="7"/>
      <c r="P23" s="7"/>
      <c r="Q23" s="23"/>
      <c r="R23" s="23"/>
      <c r="S23" s="32">
        <f>SUM(U23:U23)/IF(AG23="EC",12,1)</f>
        <v>1</v>
      </c>
      <c r="T23" s="47" t="str">
        <f>IF(ISEVEN(LEFT(AD23,4)),"Southbound","NorthBound")</f>
        <v>Southbound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hh:mm:ss")&amp;utc_offset&amp;"00',mode:absolute,to:'"&amp;TEXT(I23+1/24,"yyyy-MM-DD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https://search-rtdc-monitor-bjffxe2xuh6vdkpspy63sjmuny.us-east-1.es.amazonaws.com/_plugin/kibana/#/discover/Steve-Slow-Train-Analysis-(2080s-and-2083s)?_g=(refreshInterval:(display:Off,section:0,value:0),time:(from:'2017-01-04 04:34:35-700',mode:absolute,to:'2017-01-04 07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3" s="49" t="str">
        <f>IF(AA23&lt;IF(AG23="EC",23,5.65),"Y","N")</f>
        <v>N</v>
      </c>
      <c r="X23" s="173">
        <f>VALUE(LEFT(AD23,4))-VALUE(LEFT(AD22,4))</f>
        <v>1</v>
      </c>
      <c r="Y23" s="64">
        <f t="shared" si="5"/>
        <v>23.298500000000001</v>
      </c>
      <c r="Z23" s="64">
        <f t="shared" si="6"/>
        <v>1.52E-2</v>
      </c>
      <c r="AA23" s="64">
        <f>ABS(Z23-Y23)</f>
        <v>23.283300000000001</v>
      </c>
      <c r="AB23" s="61" t="e">
        <f>VLOOKUP(A23,Enforcements!$C$7:$K$19,8,0)</f>
        <v>#N/A</v>
      </c>
      <c r="AC23" s="57" t="e">
        <f>VLOOKUP(A23,Enforcements!$C$7:$E$19,3,0)</f>
        <v>#N/A</v>
      </c>
      <c r="AD23" s="58" t="str">
        <f>IF(LEN(A23)=6,"0"&amp;A23,A23)</f>
        <v>0110-04</v>
      </c>
      <c r="AE23" s="8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 &amp; 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</v>
      </c>
      <c r="AF23" s="84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/stypes="app*4010*20170104*" /stext=" 13:.+((SYSTEM_STATE.+slice.+state.+changed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88" t="str">
        <f t="shared" si="7"/>
        <v>"%USERPROFILE%\Documents\GitHub\eaglep3\Utilities\RefineRTDCRunTimes.py" --tripid 110-04 --locoid 4010 --swversion DE.1.0.8.0 --startMP 204:232985 --initTime 2017-01-04T05:34:35 --startdatetime 2017-01-04T05:41:20 --delay 1 --endMP 204:152 --enddatetime 2017-01-04T06:21:22 --enforcementcount 0 &gt;&gt;C:\Users\stu\Documents\GitHub\eaglep3-reporting\EC\2017-01-04-refined-times.txt</v>
      </c>
      <c r="AI23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{"issue":{"subject":"","project_id":79,"tracker_id":40,"status_id":1,"priority_id":2,"assigned_to_id":23,"start_date":"2017-01-04","description":"","custom_fields":[{"id":1,"name":"Subdivision","value":"EC"},{"id":4,"name":"Milepost","value":"0.0152"},{"id":17,"name":"Train ID","value":"110-04"},{"id":16,"name":"Locomotive ID","value":"4010"},{"id":130,"name":"Impact","value":""},{"id":150,"name":"Time of Event (Mountain Time)","value":"06:21:22"},{"id":151,"name":"Denver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9"/>
        <v>start /low /b %USERPROFILE%\Documents\GitHub\eaglep3\Utilities\DownloadLogsFromS3.py --loco 4010 --day 2017-01-04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494</v>
      </c>
      <c r="B24" s="7">
        <v>4022</v>
      </c>
      <c r="C24" s="22" t="s">
        <v>203</v>
      </c>
      <c r="D24" s="22" t="s">
        <v>700</v>
      </c>
      <c r="E24" s="13">
        <v>42739.208761574075</v>
      </c>
      <c r="F24" s="13">
        <v>42739.210879629631</v>
      </c>
      <c r="G24" s="7">
        <v>1</v>
      </c>
      <c r="H24" s="22" t="s">
        <v>701</v>
      </c>
      <c r="I24" s="13">
        <v>42739.235173611109</v>
      </c>
      <c r="J24" s="7">
        <v>0</v>
      </c>
      <c r="K24" s="105" t="str">
        <f>IF(ISEVEN(B24),(B24-1)&amp;"/"&amp;B24,B24&amp;"/"&amp;(B24+1))</f>
        <v>4021/4022</v>
      </c>
      <c r="L24" s="22" t="str">
        <f>VLOOKUP(A24,'Trips&amp;Operators'!$C$1:$G$99999,5,FALSE)</f>
        <v>ROCHA YAOTL</v>
      </c>
      <c r="M24" s="6">
        <f>I24-F24</f>
        <v>2.4293981477967463E-2</v>
      </c>
      <c r="N24" s="7">
        <f>24*60*SUM($M24:$M24)</f>
        <v>34.983333328273147</v>
      </c>
      <c r="O24" s="7"/>
      <c r="P24" s="7"/>
      <c r="Q24" s="23"/>
      <c r="R24" s="23"/>
      <c r="S24" s="32">
        <f>SUM(U24:U24)/IF(AG24="EC",12,1)</f>
        <v>1</v>
      </c>
      <c r="T24" s="47" t="str">
        <f>IF(ISEVEN(LEFT(AD24,4)),"Southbound","NorthBound")</f>
        <v>NorthBound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hh:mm:ss")&amp;utc_offset&amp;"00',mode:absolute,to:'"&amp;TEXT(I24+1/24,"yyyy-MM-DD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https://search-rtdc-monitor-bjffxe2xuh6vdkpspy63sjmuny.us-east-1.es.amazonaws.com/_plugin/kibana/#/discover/Steve-Slow-Train-Analysis-(2080s-and-2083s)?_g=(refreshInterval:(display:Off,section:0,value:0),time:(from:'2017-01-04 04:00:37-700',mode:absolute,to:'2017-01-04 06:38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4" s="49" t="str">
        <f>IF(AA24&lt;IF(AG24="EC",23,5.65),"Y","N")</f>
        <v>N</v>
      </c>
      <c r="X24" s="173">
        <f>VALUE(LEFT(AD24,4))-VALUE(LEFT(AD23,4))</f>
        <v>1</v>
      </c>
      <c r="Y24" s="64">
        <f t="shared" si="5"/>
        <v>7.1199999999999999E-2</v>
      </c>
      <c r="Z24" s="64">
        <f t="shared" si="6"/>
        <v>23.328399999999998</v>
      </c>
      <c r="AA24" s="64">
        <f>ABS(Z24-Y24)</f>
        <v>23.257199999999997</v>
      </c>
      <c r="AB24" s="61" t="e">
        <f>VLOOKUP(A24,Enforcements!$C$7:$K$19,8,0)</f>
        <v>#N/A</v>
      </c>
      <c r="AC24" s="57" t="e">
        <f>VLOOKUP(A24,Enforcements!$C$7:$E$19,3,0)</f>
        <v>#N/A</v>
      </c>
      <c r="AD24" s="58" t="str">
        <f>IF(LEN(A24)=6,"0"&amp;A24,A24)</f>
        <v>0111-04</v>
      </c>
      <c r="AE24" s="8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 &amp; 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</v>
      </c>
      <c r="AF24" s="84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/stypes="app*4022*20170104*" /stext=" 12:.+((SYSTEM_STATE.+slice.+state.+changed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88" t="str">
        <f t="shared" si="7"/>
        <v>"%USERPROFILE%\Documents\GitHub\eaglep3\Utilities\RefineRTDCRunTimes.py" --tripid 111-04 --locoid 4022 --swversion DE.1.0.8.0 --startMP 204:712 --initTime 2017-01-04T05:00:37 --startdatetime 2017-01-04T05:03:40 --delay 1 --endMP 204:233284 --enddatetime 2017-01-04T05:38:39 --enforcementcount 0 &gt;&gt;C:\Users\stu\Documents\GitHub\eaglep3-reporting\EC\2017-01-04-refined-times.txt</v>
      </c>
      <c r="AI24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{"issue":{"subject":"","project_id":79,"tracker_id":40,"status_id":1,"priority_id":2,"assigned_to_id":23,"start_date":"2017-01-04","description":"","custom_fields":[{"id":1,"name":"Subdivision","value":"EC"},{"id":4,"name":"Milepost","value":"23.3284"},{"id":17,"name":"Train ID","value":"111-04"},{"id":16,"name":"Locomotive ID","value":"4022"},{"id":130,"name":"Impact","value":""},{"id":150,"name":"Time of Event (Mountain Time)","value":"05:38:39"},{"id":151,"name":"Denver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9"/>
        <v>start /low /b %USERPROFILE%\Documents\GitHub\eaglep3\Utilities\DownloadLogsFromS3.py --loco 4022 --day 2017-01-04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504</v>
      </c>
      <c r="B25" s="7">
        <v>4021</v>
      </c>
      <c r="C25" s="22" t="s">
        <v>203</v>
      </c>
      <c r="D25" s="22" t="s">
        <v>702</v>
      </c>
      <c r="E25" s="13">
        <v>42739.245138888888</v>
      </c>
      <c r="F25" s="13">
        <v>42739.247581018521</v>
      </c>
      <c r="G25" s="7">
        <v>1</v>
      </c>
      <c r="H25" s="22" t="s">
        <v>423</v>
      </c>
      <c r="I25" s="13">
        <v>42739.274918981479</v>
      </c>
      <c r="J25" s="7">
        <v>0</v>
      </c>
      <c r="K25" s="105" t="str">
        <f>IF(ISEVEN(B25),(B25-1)&amp;"/"&amp;B25,B25&amp;"/"&amp;(B25+1))</f>
        <v>4021/4022</v>
      </c>
      <c r="L25" s="22" t="str">
        <f>VLOOKUP(A25,'Trips&amp;Operators'!$C$1:$G$99999,5,FALSE)</f>
        <v>YANG JAN</v>
      </c>
      <c r="M25" s="6">
        <f>I25-F25</f>
        <v>2.7337962957972195E-2</v>
      </c>
      <c r="N25" s="7">
        <f>24*60*SUM($M25:$M25)</f>
        <v>39.366666659479961</v>
      </c>
      <c r="O25" s="7"/>
      <c r="P25" s="7"/>
      <c r="Q25" s="23"/>
      <c r="R25" s="23"/>
      <c r="S25" s="32">
        <f>SUM(U25:U25)/IF(AG25="EC",12,1)</f>
        <v>1</v>
      </c>
      <c r="T25" s="47" t="str">
        <f>IF(ISEVEN(LEFT(AD25,4)),"Southbound","NorthBound")</f>
        <v>Southbound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hh:mm:ss")&amp;utc_offset&amp;"00',mode:absolute,to:'"&amp;TEXT(I25+1/24,"yyyy-MM-DD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https://search-rtdc-monitor-bjffxe2xuh6vdkpspy63sjmuny.us-east-1.es.amazonaws.com/_plugin/kibana/#/discover/Steve-Slow-Train-Analysis-(2080s-and-2083s)?_g=(refreshInterval:(display:Off,section:0,value:0),time:(from:'2017-01-04 04:53:00-700',mode:absolute,to:'2017-01-04 07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5" s="49" t="str">
        <f>IF(AA25&lt;IF(AG25="EC",23,5.65),"Y","N")</f>
        <v>N</v>
      </c>
      <c r="X25" s="173">
        <f>VALUE(LEFT(AD25,4))-VALUE(LEFT(AD24,4))</f>
        <v>1</v>
      </c>
      <c r="Y25" s="64">
        <f t="shared" si="5"/>
        <v>23.296099999999999</v>
      </c>
      <c r="Z25" s="64">
        <f t="shared" si="6"/>
        <v>1.6500000000000001E-2</v>
      </c>
      <c r="AA25" s="64">
        <f>ABS(Z25-Y25)</f>
        <v>23.279599999999999</v>
      </c>
      <c r="AB25" s="61" t="e">
        <f>VLOOKUP(A25,Enforcements!$C$7:$K$19,8,0)</f>
        <v>#N/A</v>
      </c>
      <c r="AC25" s="57" t="e">
        <f>VLOOKUP(A25,Enforcements!$C$7:$E$19,3,0)</f>
        <v>#N/A</v>
      </c>
      <c r="AD25" s="58" t="str">
        <f>IF(LEN(A25)=6,"0"&amp;A25,A25)</f>
        <v>0112-04</v>
      </c>
      <c r="AE25" s="8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 &amp; 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</v>
      </c>
      <c r="AF25" s="84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/stypes="app*4021*20170104*" /stext=" 13:.+((SYSTEM_STATE.+slice.+state.+changed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88" t="str">
        <f t="shared" si="7"/>
        <v>"%USERPROFILE%\Documents\GitHub\eaglep3\Utilities\RefineRTDCRunTimes.py" --tripid 112-04 --locoid 4021 --swversion DE.1.0.8.0 --startMP 204:232961 --initTime 2017-01-04T05:53:00 --startdatetime 2017-01-04T05:56:31 --delay 1 --endMP 204:165 --enddatetime 2017-01-04T06:35:53 --enforcementcount 0 &gt;&gt;C:\Users\stu\Documents\GitHub\eaglep3-reporting\EC\2017-01-04-refined-times.txt</v>
      </c>
      <c r="AI25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{"issue":{"subject":"","project_id":79,"tracker_id":40,"status_id":1,"priority_id":2,"assigned_to_id":23,"start_date":"2017-01-04","description":"","custom_fields":[{"id":1,"name":"Subdivision","value":"EC"},{"id":4,"name":"Milepost","value":"0.0165"},{"id":17,"name":"Train ID","value":"112-04"},{"id":16,"name":"Locomotive ID","value":"4021"},{"id":130,"name":"Impact","value":""},{"id":150,"name":"Time of Event (Mountain Time)","value":"06:35:53"},{"id":151,"name":"Denver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9"/>
        <v>start /low /b %USERPROFILE%\Documents\GitHub\eaglep3\Utilities\DownloadLogsFromS3.py --loco 4021 --day 2017-01-04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495</v>
      </c>
      <c r="B26" s="7">
        <v>4003</v>
      </c>
      <c r="C26" s="22" t="s">
        <v>203</v>
      </c>
      <c r="D26" s="22" t="s">
        <v>301</v>
      </c>
      <c r="E26" s="13">
        <v>42739.213518518518</v>
      </c>
      <c r="F26" s="13">
        <v>42739.219097222223</v>
      </c>
      <c r="G26" s="7">
        <v>2</v>
      </c>
      <c r="H26" s="22" t="s">
        <v>703</v>
      </c>
      <c r="I26" s="13">
        <v>42739.245856481481</v>
      </c>
      <c r="J26" s="7">
        <v>0</v>
      </c>
      <c r="K26" s="105" t="str">
        <f>IF(ISEVEN(B26),(B26-1)&amp;"/"&amp;B26,B26&amp;"/"&amp;(B26+1))</f>
        <v>4003/4004</v>
      </c>
      <c r="L26" s="22" t="str">
        <f>VLOOKUP(A26,'Trips&amp;Operators'!$C$1:$G$99999,5,FALSE)</f>
        <v>ISHMAEL JOSEPH</v>
      </c>
      <c r="M26" s="6">
        <f>I26-F26</f>
        <v>2.675925925723277E-2</v>
      </c>
      <c r="N26" s="7">
        <f>24*60*SUM($M26:$M26)</f>
        <v>38.533333330415189</v>
      </c>
      <c r="O26" s="7"/>
      <c r="P26" s="7"/>
      <c r="Q26" s="23"/>
      <c r="R26" s="23"/>
      <c r="S26" s="32">
        <f>SUM(U26:U26)/IF(AG26="EC",12,1)</f>
        <v>1</v>
      </c>
      <c r="T26" s="47" t="str">
        <f>IF(ISEVEN(LEFT(AD26,4)),"Southbound","NorthBound")</f>
        <v>NorthBound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hh:mm:ss")&amp;utc_offset&amp;"00',mode:absolute,to:'"&amp;TEXT(I26+1/24,"yyyy-MM-DD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https://search-rtdc-monitor-bjffxe2xuh6vdkpspy63sjmuny.us-east-1.es.amazonaws.com/_plugin/kibana/#/discover/Steve-Slow-Train-Analysis-(2080s-and-2083s)?_g=(refreshInterval:(display:Off,section:0,value:0),time:(from:'2017-01-04 04:07:28-700',mode:absolute,to:'2017-01-04 06:54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6" s="49" t="str">
        <f>IF(AA26&lt;IF(AG26="EC",23,5.65),"Y","N")</f>
        <v>N</v>
      </c>
      <c r="X26" s="173">
        <f>VALUE(LEFT(AD26,4))-VALUE(LEFT(AD25,4))</f>
        <v>1</v>
      </c>
      <c r="Y26" s="64">
        <f t="shared" si="5"/>
        <v>4.5699999999999998E-2</v>
      </c>
      <c r="Z26" s="64">
        <f t="shared" si="6"/>
        <v>23.330200000000001</v>
      </c>
      <c r="AA26" s="64">
        <f>ABS(Z26-Y26)</f>
        <v>23.284500000000001</v>
      </c>
      <c r="AB26" s="61" t="e">
        <f>VLOOKUP(A26,Enforcements!$C$7:$K$19,8,0)</f>
        <v>#N/A</v>
      </c>
      <c r="AC26" s="57" t="e">
        <f>VLOOKUP(A26,Enforcements!$C$7:$E$19,3,0)</f>
        <v>#N/A</v>
      </c>
      <c r="AD26" s="58" t="str">
        <f>IF(LEN(A26)=6,"0"&amp;A26,A26)</f>
        <v>0113-04</v>
      </c>
      <c r="AE26" s="8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s3://rtdc.mdm.uploadarchive.raw/RTDC4003/ "%USERPROFILE%\AppData\Local\Temp\OnboardLogs"\RTDC4003\2017-01-04 --exclude "*" --recursive --include "*20170104*" &amp; "%USERPROFILE%\Documents\GitHub\mrs-test-scripts\Headless Mode &amp; Sideloading\WalkAndUnGZ.bat" "%USERPROFILE%\AppData\Local\Temp\OnboardLogs"\RTDC4003\2017-01-04 &amp; 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</v>
      </c>
      <c r="AF26" s="84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/stypes="app*4003*20170104*" /stext=" 12:.+((SYSTEM_STATE.+slice.+state.+changed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88" t="str">
        <f t="shared" si="7"/>
        <v>"%USERPROFILE%\Documents\GitHub\eaglep3\Utilities\RefineRTDCRunTimes.py" --tripid 113-04 --locoid 4003 --swversion DE.1.0.8.0 --startMP 204:457 --initTime 2017-01-04T05:07:28 --startdatetime 2017-01-04T05:15:30 --delay 2 --endMP 204:233302 --enddatetime 2017-01-04T05:54:02 --enforcementcount 0 &gt;&gt;C:\Users\stu\Documents\GitHub\eaglep3-reporting\EC\2017-01-04-refined-times.txt</v>
      </c>
      <c r="AI26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{"issue":{"subject":"","project_id":79,"tracker_id":40,"status_id":1,"priority_id":2,"assigned_to_id":23,"start_date":"2017-01-04","description":"","custom_fields":[{"id":1,"name":"Subdivision","value":"EC"},{"id":4,"name":"Milepost","value":"23.3302"},{"id":17,"name":"Train ID","value":"113-04"},{"id":16,"name":"Locomotive ID","value":"4003"},{"id":130,"name":"Impact","value":""},{"id":150,"name":"Time of Event (Mountain Time)","value":"05:54:02"},{"id":151,"name":"Denver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9"/>
        <v>start /low /b %USERPROFILE%\Documents\GitHub\eaglep3\Utilities\DownloadLogsFromS3.py --loco 4003 --day 2017-01-04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509</v>
      </c>
      <c r="B27" s="7">
        <v>4004</v>
      </c>
      <c r="C27" s="22" t="s">
        <v>203</v>
      </c>
      <c r="D27" s="22" t="s">
        <v>704</v>
      </c>
      <c r="E27" s="13">
        <v>42739.250810185185</v>
      </c>
      <c r="F27" s="13">
        <v>42739.258344907408</v>
      </c>
      <c r="G27" s="7">
        <v>1</v>
      </c>
      <c r="H27" s="22" t="s">
        <v>209</v>
      </c>
      <c r="I27" s="13">
        <v>42739.287361111114</v>
      </c>
      <c r="J27" s="7">
        <v>0</v>
      </c>
      <c r="K27" s="105" t="str">
        <f>IF(ISEVEN(B27),(B27-1)&amp;"/"&amp;B27,B27&amp;"/"&amp;(B27+1))</f>
        <v>4003/4004</v>
      </c>
      <c r="L27" s="22" t="str">
        <f>VLOOKUP(A27,'Trips&amp;Operators'!$C$1:$G$99999,5,FALSE)</f>
        <v>ISHMAEL JOSEPH</v>
      </c>
      <c r="M27" s="6">
        <f>I27-F27</f>
        <v>2.9016203705396038E-2</v>
      </c>
      <c r="N27" s="7">
        <f>24*60*SUM($M27:$M27)</f>
        <v>41.783333335770294</v>
      </c>
      <c r="O27" s="7"/>
      <c r="P27" s="7"/>
      <c r="Q27" s="23"/>
      <c r="R27" s="23"/>
      <c r="S27" s="32">
        <f>SUM(U27:U27)/IF(AG27="EC",12,1)</f>
        <v>1</v>
      </c>
      <c r="T27" s="47" t="str">
        <f>IF(ISEVEN(LEFT(AD27,4)),"Southbound","NorthBound")</f>
        <v>Southbound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https://search-rtdc-monitor-bjffxe2xuh6vdkpspy63sjmuny.us-east-1.es.amazonaws.com/_plugin/kibana/#/discover/Steve-Slow-Train-Analysis-(2080s-and-2083s)?_g=(refreshInterval:(display:Off,section:0,value:0),time:(from:'2017-01-04 05:01:10-700',mode:absolute,to:'2017-01-04 07:53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7" s="49" t="str">
        <f>IF(AA27&lt;IF(AG27="EC",23,5.65),"Y","N")</f>
        <v>N</v>
      </c>
      <c r="X27" s="173">
        <f>VALUE(LEFT(AD27,4))-VALUE(LEFT(AD26,4))</f>
        <v>1</v>
      </c>
      <c r="Y27" s="64">
        <f t="shared" si="5"/>
        <v>23.2987</v>
      </c>
      <c r="Z27" s="64">
        <f t="shared" si="6"/>
        <v>1.4999999999999999E-2</v>
      </c>
      <c r="AA27" s="64">
        <f>ABS(Z27-Y27)</f>
        <v>23.2837</v>
      </c>
      <c r="AB27" s="61" t="e">
        <f>VLOOKUP(A27,Enforcements!$C$7:$K$19,8,0)</f>
        <v>#N/A</v>
      </c>
      <c r="AC27" s="57" t="e">
        <f>VLOOKUP(A27,Enforcements!$C$7:$E$19,3,0)</f>
        <v>#N/A</v>
      </c>
      <c r="AD27" s="58" t="str">
        <f>IF(LEN(A27)=6,"0"&amp;A27,A27)</f>
        <v>0114-04</v>
      </c>
      <c r="AE27" s="8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 &amp; 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</v>
      </c>
      <c r="AF27" s="84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/stypes="app*4004*20170104*"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88" t="str">
        <f t="shared" si="7"/>
        <v>"%USERPROFILE%\Documents\GitHub\eaglep3\Utilities\RefineRTDCRunTimes.py" --tripid 114-04 --locoid 4004 --swversion DE.1.0.8.0 --startMP 204:232987 --initTime 2017-01-04T06:01:10 --startdatetime 2017-01-04T06:12:01 --delay 1 --endMP 204:150 --enddatetime 2017-01-04T06:53:48 --enforcementcount 0 &gt;&gt;C:\Users\stu\Documents\GitHub\eaglep3-reporting\EC\2017-01-04-refined-times.txt</v>
      </c>
      <c r="AI27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{"issue":{"subject":"","project_id":79,"tracker_id":40,"status_id":1,"priority_id":2,"assigned_to_id":23,"start_date":"2017-01-04","description":"","custom_fields":[{"id":1,"name":"Subdivision","value":"EC"},{"id":4,"name":"Milepost","value":"0.015"},{"id":17,"name":"Train ID","value":"114-04"},{"id":16,"name":"Locomotive ID","value":"4004"},{"id":130,"name":"Impact","value":""},{"id":150,"name":"Time of Event (Mountain Time)","value":"06:53:48"},{"id":151,"name":"Denver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9"/>
        <v>start /low /b %USERPROFILE%\Documents\GitHub\eaglep3\Utilities\DownloadLogsFromS3.py --loco 4004 --day 2017-01-04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498</v>
      </c>
      <c r="B28" s="7">
        <v>4044</v>
      </c>
      <c r="C28" s="22" t="s">
        <v>203</v>
      </c>
      <c r="D28" s="22" t="s">
        <v>705</v>
      </c>
      <c r="E28" s="13">
        <v>42739.226678240739</v>
      </c>
      <c r="F28" s="13">
        <v>42739.229907407411</v>
      </c>
      <c r="G28" s="7">
        <v>1</v>
      </c>
      <c r="H28" s="22" t="s">
        <v>260</v>
      </c>
      <c r="I28" s="13">
        <v>42739.254270833335</v>
      </c>
      <c r="J28" s="7">
        <v>0</v>
      </c>
      <c r="K28" s="105" t="str">
        <f>IF(ISEVEN(B28),(B28-1)&amp;"/"&amp;B28,B28&amp;"/"&amp;(B28+1))</f>
        <v>4043/4044</v>
      </c>
      <c r="L28" s="22" t="str">
        <f>VLOOKUP(A28,'Trips&amp;Operators'!$C$1:$G$99999,5,FALSE)</f>
        <v>BEAM ROSS</v>
      </c>
      <c r="M28" s="6">
        <f>I28-F28</f>
        <v>2.4363425924093463E-2</v>
      </c>
      <c r="N28" s="7">
        <f>24*60*SUM($M28:$M28)</f>
        <v>35.083333330694586</v>
      </c>
      <c r="O28" s="7"/>
      <c r="P28" s="7"/>
      <c r="Q28" s="23"/>
      <c r="R28" s="23"/>
      <c r="S28" s="32">
        <f>SUM(U28:U28)/IF(AG28="EC",12,1)</f>
        <v>1</v>
      </c>
      <c r="T28" s="47" t="str">
        <f>IF(ISEVEN(LEFT(AD28,4)),"Southbound","NorthBound")</f>
        <v>NorthBound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hh:mm:ss")&amp;utc_offset&amp;"00',mode:absolute,to:'"&amp;TEXT(I28+1/24,"yyyy-MM-DD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https://search-rtdc-monitor-bjffxe2xuh6vdkpspy63sjmuny.us-east-1.es.amazonaws.com/_plugin/kibana/#/discover/Steve-Slow-Train-Analysis-(2080s-and-2083s)?_g=(refreshInterval:(display:Off,section:0,value:0),time:(from:'2017-01-04 04:26:25-700',mode:absolute,to:'2017-01-04 07:06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8" s="49" t="str">
        <f>IF(AA28&lt;IF(AG28="EC",23,5.65),"Y","N")</f>
        <v>N</v>
      </c>
      <c r="X28" s="173">
        <f>VALUE(LEFT(AD28,4))-VALUE(LEFT(AD27,4))</f>
        <v>1</v>
      </c>
      <c r="Y28" s="64">
        <f t="shared" si="5"/>
        <v>7.4300000000000005E-2</v>
      </c>
      <c r="Z28" s="64">
        <f t="shared" si="6"/>
        <v>23.328900000000001</v>
      </c>
      <c r="AA28" s="64">
        <f>ABS(Z28-Y28)</f>
        <v>23.2546</v>
      </c>
      <c r="AB28" s="61" t="e">
        <f>VLOOKUP(A28,Enforcements!$C$7:$K$19,8,0)</f>
        <v>#N/A</v>
      </c>
      <c r="AC28" s="57" t="e">
        <f>VLOOKUP(A28,Enforcements!$C$7:$E$19,3,0)</f>
        <v>#N/A</v>
      </c>
      <c r="AD28" s="58" t="str">
        <f>IF(LEN(A28)=6,"0"&amp;A28,A28)</f>
        <v>0115-04</v>
      </c>
      <c r="AE28" s="8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AF28" s="84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/stypes="app*4044*20170104*" /stext=" 13:.+((SYSTEM_STATE.+slice.+state.+changed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88" t="str">
        <f t="shared" si="7"/>
        <v>"%USERPROFILE%\Documents\GitHub\eaglep3\Utilities\RefineRTDCRunTimes.py" --tripid 115-04 --locoid 4044 --swversion DE.1.0.8.0 --startMP 204:743 --initTime 2017-01-04T05:26:25 --startdatetime 2017-01-04T05:31:04 --delay 1 --endMP 204:233289 --enddatetime 2017-01-04T06:06:09 --enforcementcount 0 &gt;&gt;C:\Users\stu\Documents\GitHub\eaglep3-reporting\EC\2017-01-04-refined-times.txt</v>
      </c>
      <c r="AI28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{"issue":{"subject":"","project_id":79,"tracker_id":40,"status_id":1,"priority_id":2,"assigned_to_id":23,"start_date":"2017-01-04","description":"","custom_fields":[{"id":1,"name":"Subdivision","value":"EC"},{"id":4,"name":"Milepost","value":"23.3289"},{"id":17,"name":"Train ID","value":"115-04"},{"id":16,"name":"Locomotive ID","value":"4044"},{"id":130,"name":"Impact","value":""},{"id":150,"name":"Time of Event (Mountain Time)","value":"06:06:09"},{"id":151,"name":"Denver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9"/>
        <v>start /low /b %USERPROFILE%\Documents\GitHub\eaglep3\Utilities\DownloadLogsFromS3.py --loco 4044 --day 2017-01-04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511</v>
      </c>
      <c r="B29" s="7">
        <v>4043</v>
      </c>
      <c r="C29" s="22" t="s">
        <v>203</v>
      </c>
      <c r="D29" s="22" t="s">
        <v>300</v>
      </c>
      <c r="E29" s="13">
        <v>42739.265601851854</v>
      </c>
      <c r="F29" s="13">
        <v>42739.26834490741</v>
      </c>
      <c r="G29" s="7">
        <v>1</v>
      </c>
      <c r="H29" s="22" t="s">
        <v>254</v>
      </c>
      <c r="I29" s="13">
        <v>42739.295601851853</v>
      </c>
      <c r="J29" s="7">
        <v>0</v>
      </c>
      <c r="K29" s="105" t="str">
        <f>IF(ISEVEN(B29),(B29-1)&amp;"/"&amp;B29,B29&amp;"/"&amp;(B29+1))</f>
        <v>4043/4044</v>
      </c>
      <c r="L29" s="22" t="str">
        <f>VLOOKUP(A29,'Trips&amp;Operators'!$C$1:$G$99999,5,FALSE)</f>
        <v>BEAM ROSS</v>
      </c>
      <c r="M29" s="6">
        <f>I29-F29</f>
        <v>2.7256944442342501E-2</v>
      </c>
      <c r="N29" s="7">
        <f>24*60*SUM($M29:$M29)</f>
        <v>39.249999996973202</v>
      </c>
      <c r="O29" s="7"/>
      <c r="P29" s="7"/>
      <c r="Q29" s="23"/>
      <c r="R29" s="23"/>
      <c r="S29" s="32">
        <f>SUM(U29:U29)/IF(AG29="EC",12,1)</f>
        <v>1</v>
      </c>
      <c r="T29" s="47" t="str">
        <f>IF(ISEVEN(LEFT(AD29,4)),"Southbound","NorthBound")</f>
        <v>Southbound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hh:mm:ss")&amp;utc_offset&amp;"00',mode:absolute,to:'"&amp;TEXT(I29+1/24,"yyyy-MM-DD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https://search-rtdc-monitor-bjffxe2xuh6vdkpspy63sjmuny.us-east-1.es.amazonaws.com/_plugin/kibana/#/discover/Steve-Slow-Train-Analysis-(2080s-and-2083s)?_g=(refreshInterval:(display:Off,section:0,value:0),time:(from:'2017-01-04 05:22:28-700',mode:absolute,to:'2017-01-04 08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9" s="49" t="str">
        <f>IF(AA29&lt;IF(AG29="EC",23,5.65),"Y","N")</f>
        <v>N</v>
      </c>
      <c r="X29" s="173">
        <f>VALUE(LEFT(AD29,4))-VALUE(LEFT(AD28,4))</f>
        <v>1</v>
      </c>
      <c r="Y29" s="64">
        <f t="shared" si="5"/>
        <v>23.2971</v>
      </c>
      <c r="Z29" s="64">
        <f t="shared" si="6"/>
        <v>1.6E-2</v>
      </c>
      <c r="AA29" s="64">
        <f>ABS(Z29-Y29)</f>
        <v>23.281100000000002</v>
      </c>
      <c r="AB29" s="61" t="e">
        <f>VLOOKUP(A29,Enforcements!$C$7:$K$19,8,0)</f>
        <v>#N/A</v>
      </c>
      <c r="AC29" s="57" t="e">
        <f>VLOOKUP(A29,Enforcements!$C$7:$E$19,3,0)</f>
        <v>#N/A</v>
      </c>
      <c r="AD29" s="58" t="str">
        <f>IF(LEN(A29)=6,"0"&amp;A29,A29)</f>
        <v>0116-04</v>
      </c>
      <c r="AE29" s="8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s3://rtdc.mdm.uploadarchive.raw/RTDC4043/ "%USERPROFILE%\AppData\Local\Temp\OnboardLogs"\RTDC4043\2017-01-04 --exclude "*" --recursive --include "*20170104*" &amp; "%USERPROFILE%\Documents\GitHub\mrs-test-scripts\Headless Mode &amp; Sideloading\WalkAndUnGZ.bat" "%USERPROFILE%\AppData\Local\Temp\OnboardLogs"\RTDC4043\2017-01-04 &amp; 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</v>
      </c>
      <c r="AF29" s="84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/stypes="app*4043*20170104*" /stext=" 14:.+((SYSTEM_STATE.+slice.+state.+changed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88" t="str">
        <f t="shared" si="7"/>
        <v>"%USERPROFILE%\Documents\GitHub\eaglep3\Utilities\RefineRTDCRunTimes.py" --tripid 116-04 --locoid 4043 --swversion DE.1.0.8.0 --startMP 204:232971 --initTime 2017-01-04T06:22:28 --startdatetime 2017-01-04T06:26:25 --delay 1 --endMP 204:160 --enddatetime 2017-01-04T07:05:40 --enforcementcount 0 &gt;&gt;C:\Users\stu\Documents\GitHub\eaglep3-reporting\EC\2017-01-04-refined-times.txt</v>
      </c>
      <c r="AI29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{"issue":{"subject":"","project_id":79,"tracker_id":40,"status_id":1,"priority_id":2,"assigned_to_id":23,"start_date":"2017-01-04","description":"","custom_fields":[{"id":1,"name":"Subdivision","value":"EC"},{"id":4,"name":"Milepost","value":"0.016"},{"id":17,"name":"Train ID","value":"116-04"},{"id":16,"name":"Locomotive ID","value":"4043"},{"id":130,"name":"Impact","value":""},{"id":150,"name":"Time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9"/>
        <v>start /low /b %USERPROFILE%\Documents\GitHub\eaglep3\Utilities\DownloadLogsFromS3.py --loco 4043 --day 2017-01-04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502</v>
      </c>
      <c r="B30" s="7">
        <v>4042</v>
      </c>
      <c r="C30" s="22" t="s">
        <v>203</v>
      </c>
      <c r="D30" s="22" t="s">
        <v>316</v>
      </c>
      <c r="E30" s="13">
        <v>42739.232094907406</v>
      </c>
      <c r="F30" s="13">
        <v>42739.239918981482</v>
      </c>
      <c r="G30" s="7">
        <v>1</v>
      </c>
      <c r="H30" s="22" t="s">
        <v>265</v>
      </c>
      <c r="I30" s="13">
        <v>42739.266203703701</v>
      </c>
      <c r="J30" s="7">
        <v>0</v>
      </c>
      <c r="K30" s="105" t="str">
        <f>IF(ISEVEN(B30),(B30-1)&amp;"/"&amp;B30,B30&amp;"/"&amp;(B30+1))</f>
        <v>4041/4042</v>
      </c>
      <c r="L30" s="22" t="str">
        <f>VLOOKUP(A30,'Trips&amp;Operators'!$C$1:$G$99999,5,FALSE)</f>
        <v>MAELZER KURT</v>
      </c>
      <c r="M30" s="6">
        <f>I30-F30</f>
        <v>2.6284722218406387E-2</v>
      </c>
      <c r="N30" s="7">
        <f>24*60*SUM($M30:$M30)</f>
        <v>37.849999994505197</v>
      </c>
      <c r="O30" s="7"/>
      <c r="P30" s="7"/>
      <c r="Q30" s="23"/>
      <c r="R30" s="23"/>
      <c r="S30" s="32">
        <f>SUM(U30:U30)/IF(AG30="EC",12,1)</f>
        <v>1</v>
      </c>
      <c r="T30" s="47" t="str">
        <f>IF(ISEVEN(LEFT(AD30,4)),"Southbound","NorthBound")</f>
        <v>NorthBound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hh:mm:ss")&amp;utc_offset&amp;"00',mode:absolute,to:'"&amp;TEXT(I30+1/24,"yyyy-MM-DD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https://search-rtdc-monitor-bjffxe2xuh6vdkpspy63sjmuny.us-east-1.es.amazonaws.com/_plugin/kibana/#/discover/Steve-Slow-Train-Analysis-(2080s-and-2083s)?_g=(refreshInterval:(display:Off,section:0,value:0),time:(from:'2017-01-04 04:34:13-700',mode:absolute,to:'2017-01-04 07:23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0" s="49" t="str">
        <f>IF(AA30&lt;IF(AG30="EC",23,5.65),"Y","N")</f>
        <v>N</v>
      </c>
      <c r="X30" s="173">
        <f>VALUE(LEFT(AD30,4))-VALUE(LEFT(AD29,4))</f>
        <v>1</v>
      </c>
      <c r="Y30" s="64">
        <f t="shared" si="5"/>
        <v>4.3700000000000003E-2</v>
      </c>
      <c r="Z30" s="64">
        <f t="shared" si="6"/>
        <v>23.3308</v>
      </c>
      <c r="AA30" s="64">
        <f>ABS(Z30-Y30)</f>
        <v>23.287099999999999</v>
      </c>
      <c r="AB30" s="61" t="e">
        <f>VLOOKUP(A30,Enforcements!$C$7:$K$19,8,0)</f>
        <v>#N/A</v>
      </c>
      <c r="AC30" s="57" t="e">
        <f>VLOOKUP(A30,Enforcements!$C$7:$E$19,3,0)</f>
        <v>#N/A</v>
      </c>
      <c r="AD30" s="58" t="str">
        <f>IF(LEN(A30)=6,"0"&amp;A30,A30)</f>
        <v>0117-04</v>
      </c>
      <c r="AE30" s="8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s3://rtdc.mdm.uploadarchive.raw/RTDC4042/ "%USERPROFILE%\AppData\Local\Temp\OnboardLogs"\RTDC4042\2017-01-04 --exclude "*" --recursive --include "*20170104*" &amp; "%USERPROFILE%\Documents\GitHub\mrs-test-scripts\Headless Mode &amp; Sideloading\WalkAndUnGZ.bat" "%USERPROFILE%\AppData\Local\Temp\OnboardLogs"\RTDC4042\2017-01-04 &amp; 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</v>
      </c>
      <c r="AF30" s="84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/stypes="app*4042*20170104*" /stext=" 13:.+((SYSTEM_STATE.+slice.+state.+changed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88" t="str">
        <f t="shared" si="7"/>
        <v>"%USERPROFILE%\Documents\GitHub\eaglep3\Utilities\RefineRTDCRunTimes.py" --tripid 117-04 --locoid 4042 --swversion DE.1.0.8.0 --startMP 204:437 --initTime 2017-01-04T05:34:13 --startdatetime 2017-01-04T05:45:29 --delay 1 --endMP 204:233308 --enddatetime 2017-01-04T06:23:20 --enforcementcount 0 &gt;&gt;C:\Users\stu\Documents\GitHub\eaglep3-reporting\EC\2017-01-04-refined-times.txt</v>
      </c>
      <c r="AI30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{"issue":{"subject":"","project_id":79,"tracker_id":40,"status_id":1,"priority_id":2,"assigned_to_id":23,"start_date":"2017-01-04","description":"","custom_fields":[{"id":1,"name":"Subdivision","value":"EC"},{"id":4,"name":"Milepost","value":"23.3308"},{"id":17,"name":"Train ID","value":"117-04"},{"id":16,"name":"Locomotive ID","value":"4042"},{"id":130,"name":"Impact","value":""},{"id":150,"name":"Time of Event (Mountain Time)","value":"06:23:20"},{"id":151,"name":"Denver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9"/>
        <v>start /low /b %USERPROFILE%\Documents\GitHub\eaglep3\Utilities\DownloadLogsFromS3.py --loco 4042 --day 2017-01-04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516</v>
      </c>
      <c r="B31" s="7">
        <v>4041</v>
      </c>
      <c r="C31" s="22" t="s">
        <v>203</v>
      </c>
      <c r="D31" s="22" t="s">
        <v>347</v>
      </c>
      <c r="E31" s="13">
        <v>42739.277766203704</v>
      </c>
      <c r="F31" s="13">
        <v>42739.279097222221</v>
      </c>
      <c r="G31" s="7">
        <v>1</v>
      </c>
      <c r="H31" s="22" t="s">
        <v>706</v>
      </c>
      <c r="I31" s="13">
        <v>42739.306944444441</v>
      </c>
      <c r="J31" s="7">
        <v>0</v>
      </c>
      <c r="K31" s="105" t="str">
        <f>IF(ISEVEN(B31),(B31-1)&amp;"/"&amp;B31,B31&amp;"/"&amp;(B31+1))</f>
        <v>4041/4042</v>
      </c>
      <c r="L31" s="22" t="str">
        <f>VLOOKUP(A31,'Trips&amp;Operators'!$C$1:$G$99999,5,FALSE)</f>
        <v>MAELZER KURT</v>
      </c>
      <c r="M31" s="6">
        <f>I31-F31</f>
        <v>2.7847222219861578E-2</v>
      </c>
      <c r="N31" s="7">
        <f>24*60*SUM($M31:$M31)</f>
        <v>40.099999996600673</v>
      </c>
      <c r="O31" s="7"/>
      <c r="P31" s="7"/>
      <c r="Q31" s="23"/>
      <c r="R31" s="23"/>
      <c r="S31" s="32">
        <f>SUM(U31:U31)/IF(AG31="EC",12,1)</f>
        <v>1</v>
      </c>
      <c r="T31" s="47" t="str">
        <f>IF(ISEVEN(LEFT(AD31,4)),"Southbound","NorthBound")</f>
        <v>Southbound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hh:mm:ss")&amp;utc_offset&amp;"00',mode:absolute,to:'"&amp;TEXT(I31+1/24,"yyyy-MM-DD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https://search-rtdc-monitor-bjffxe2xuh6vdkpspy63sjmuny.us-east-1.es.amazonaws.com/_plugin/kibana/#/discover/Steve-Slow-Train-Analysis-(2080s-and-2083s)?_g=(refreshInterval:(display:Off,section:0,value:0),time:(from:'2017-01-04 05:39:59-700',mode:absolute,to:'2017-01-04 08:22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1" s="49" t="str">
        <f>IF(AA31&lt;IF(AG31="EC",23,5.65),"Y","N")</f>
        <v>N</v>
      </c>
      <c r="X31" s="173">
        <f>VALUE(LEFT(AD31,4))-VALUE(LEFT(AD30,4))</f>
        <v>1</v>
      </c>
      <c r="Y31" s="64">
        <f t="shared" si="5"/>
        <v>23.298100000000002</v>
      </c>
      <c r="Z31" s="64">
        <f t="shared" si="6"/>
        <v>1.3599999999999999E-2</v>
      </c>
      <c r="AA31" s="64">
        <f>ABS(Z31-Y31)</f>
        <v>23.284500000000001</v>
      </c>
      <c r="AB31" s="61" t="e">
        <f>VLOOKUP(A31,Enforcements!$C$7:$K$19,8,0)</f>
        <v>#N/A</v>
      </c>
      <c r="AC31" s="57" t="e">
        <f>VLOOKUP(A31,Enforcements!$C$7:$E$19,3,0)</f>
        <v>#N/A</v>
      </c>
      <c r="AD31" s="58" t="str">
        <f>IF(LEN(A31)=6,"0"&amp;A31,A31)</f>
        <v>0118-04</v>
      </c>
      <c r="AE31" s="8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 &amp; 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</v>
      </c>
      <c r="AF31" s="84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/stypes="app*4041*20170104*" /stext=" 14:.+((SYSTEM_STATE.+slice.+state.+changed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88" t="str">
        <f t="shared" si="7"/>
        <v>"%USERPROFILE%\Documents\GitHub\eaglep3\Utilities\RefineRTDCRunTimes.py" --tripid 118-04 --locoid 4041 --swversion DE.1.0.8.0 --startMP 204:232981 --initTime 2017-01-04T06:39:59 --startdatetime 2017-01-04T06:41:54 --delay 1 --endMP 204:136 --enddatetime 2017-01-04T07:22:00 --enforcementcount 0 &gt;&gt;C:\Users\stu\Documents\GitHub\eaglep3-reporting\EC\2017-01-04-refined-times.txt</v>
      </c>
      <c r="AI31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{"issue":{"subject":"","project_id":79,"tracker_id":40,"status_id":1,"priority_id":2,"assigned_to_id":23,"start_date":"2017-01-04","description":"","custom_fields":[{"id":1,"name":"Subdivision","value":"EC"},{"id":4,"name":"Milepost","value":"0.0136"},{"id":17,"name":"Train ID","value":"118-04"},{"id":16,"name":"Locomotive ID","value":"4041"},{"id":130,"name":"Impact","value":""},{"id":150,"name":"Time of Event (Mountain Time)","value":"07:22:00"},{"id":151,"name":"Denver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9"/>
        <v>start /low /b %USERPROFILE%\Documents\GitHub\eaglep3\Utilities\DownloadLogsFromS3.py --loco 4041 --day 2017-01-04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507</v>
      </c>
      <c r="B32" s="7">
        <v>4016</v>
      </c>
      <c r="C32" s="22" t="s">
        <v>203</v>
      </c>
      <c r="D32" s="22" t="s">
        <v>707</v>
      </c>
      <c r="E32" s="13">
        <v>42739.248368055552</v>
      </c>
      <c r="F32" s="13">
        <v>42739.250347222223</v>
      </c>
      <c r="G32" s="7">
        <v>2</v>
      </c>
      <c r="H32" s="22" t="s">
        <v>701</v>
      </c>
      <c r="I32" s="13">
        <v>42739.276712962965</v>
      </c>
      <c r="J32" s="7">
        <v>0</v>
      </c>
      <c r="K32" s="105" t="str">
        <f>IF(ISEVEN(B32),(B32-1)&amp;"/"&amp;B32,B32&amp;"/"&amp;(B32+1))</f>
        <v>4015/4016</v>
      </c>
      <c r="L32" s="22" t="str">
        <f>VLOOKUP(A32,'Trips&amp;Operators'!$C$1:$G$99999,5,FALSE)</f>
        <v>COMELLA JUSTIN</v>
      </c>
      <c r="M32" s="6">
        <f>I32-F32</f>
        <v>2.6365740741312038E-2</v>
      </c>
      <c r="N32" s="7">
        <f>24*60*SUM($M32:$M32)</f>
        <v>37.966666667489335</v>
      </c>
      <c r="O32" s="7"/>
      <c r="P32" s="7"/>
      <c r="Q32" s="23"/>
      <c r="R32" s="23"/>
      <c r="S32" s="32">
        <f>SUM(U32:U32)/IF(AG32="EC",12,1)</f>
        <v>1</v>
      </c>
      <c r="T32" s="47" t="str">
        <f>IF(ISEVEN(LEFT(AD32,4)),"Southbound","NorthBound")</f>
        <v>NorthBound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hh:mm:ss")&amp;utc_offset&amp;"00',mode:absolute,to:'"&amp;TEXT(I32+1/24,"yyyy-MM-DD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https://search-rtdc-monitor-bjffxe2xuh6vdkpspy63sjmuny.us-east-1.es.amazonaws.com/_plugin/kibana/#/discover/Steve-Slow-Train-Analysis-(2080s-and-2083s)?_g=(refreshInterval:(display:Off,section:0,value:0),time:(from:'2017-01-04 04:57:39-700',mode:absolute,to:'2017-01-04 07:38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2" s="49" t="str">
        <f>IF(AA32&lt;IF(AG32="EC",23,5.65),"Y","N")</f>
        <v>N</v>
      </c>
      <c r="X32" s="173">
        <f>VALUE(LEFT(AD32,4))-VALUE(LEFT(AD31,4))</f>
        <v>1</v>
      </c>
      <c r="Y32" s="64">
        <f t="shared" si="5"/>
        <v>7.7499999999999999E-2</v>
      </c>
      <c r="Z32" s="64">
        <f t="shared" si="6"/>
        <v>23.328399999999998</v>
      </c>
      <c r="AA32" s="64">
        <f>ABS(Z32-Y32)</f>
        <v>23.250899999999998</v>
      </c>
      <c r="AB32" s="61" t="e">
        <f>VLOOKUP(A32,Enforcements!$C$7:$K$19,8,0)</f>
        <v>#N/A</v>
      </c>
      <c r="AC32" s="57" t="e">
        <f>VLOOKUP(A32,Enforcements!$C$7:$E$19,3,0)</f>
        <v>#N/A</v>
      </c>
      <c r="AD32" s="58" t="str">
        <f>IF(LEN(A32)=6,"0"&amp;A32,A32)</f>
        <v>0119-04</v>
      </c>
      <c r="AE32" s="8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AF32" s="84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/stypes="app*4016*20170104*" /stext=" 13:.+((SYSTEM_STATE.+slice.+state.+changed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88" t="str">
        <f t="shared" si="7"/>
        <v>"%USERPROFILE%\Documents\GitHub\eaglep3\Utilities\RefineRTDCRunTimes.py" --tripid 119-04 --locoid 4016 --swversion DE.1.0.8.0 --startMP 204:775 --initTime 2017-01-04T05:57:39 --startdatetime 2017-01-04T06:00:30 --delay 2 --endMP 204:233284 --enddatetime 2017-01-04T06:38:28 --enforcementcount 0 &gt;&gt;C:\Users\stu\Documents\GitHub\eaglep3-reporting\EC\2017-01-04-refined-times.txt</v>
      </c>
      <c r="AI32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{"issue":{"subject":"","project_id":79,"tracker_id":40,"status_id":1,"priority_id":2,"assigned_to_id":23,"start_date":"2017-01-04","description":"","custom_fields":[{"id":1,"name":"Subdivision","value":"EC"},{"id":4,"name":"Milepost","value":"23.3284"},{"id":17,"name":"Train ID","value":"119-04"},{"id":16,"name":"Locomotive ID","value":"4016"},{"id":130,"name":"Impact","value":""},{"id":150,"name":"Time of Event (Mountain Time)","value":"06:38:28"},{"id":151,"name":"Denver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9"/>
        <v>start /low /b %USERPROFILE%\Documents\GitHub\eaglep3\Utilities\DownloadLogsFromS3.py --loco 4016 --day 2017-01-04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517</v>
      </c>
      <c r="B33" s="7">
        <v>4015</v>
      </c>
      <c r="C33" s="22" t="s">
        <v>203</v>
      </c>
      <c r="D33" s="22" t="s">
        <v>267</v>
      </c>
      <c r="E33" s="13">
        <v>42739.284375000003</v>
      </c>
      <c r="F33" s="13">
        <v>42739.289085648146</v>
      </c>
      <c r="G33" s="7">
        <v>2</v>
      </c>
      <c r="H33" s="22" t="s">
        <v>191</v>
      </c>
      <c r="I33" s="13">
        <v>42739.317673611113</v>
      </c>
      <c r="J33" s="7">
        <v>0</v>
      </c>
      <c r="K33" s="105" t="str">
        <f>IF(ISEVEN(B33),(B33-1)&amp;"/"&amp;B33,B33&amp;"/"&amp;(B33+1))</f>
        <v>4015/4016</v>
      </c>
      <c r="L33" s="22" t="str">
        <f>VLOOKUP(A33,'Trips&amp;Operators'!$C$1:$G$99999,5,FALSE)</f>
        <v>COMELLA JUSTIN</v>
      </c>
      <c r="M33" s="6">
        <f>I33-F33</f>
        <v>2.8587962966412306E-2</v>
      </c>
      <c r="N33" s="7">
        <f>24*60*SUM($M33:$M33)</f>
        <v>41.16666667163372</v>
      </c>
      <c r="O33" s="7"/>
      <c r="P33" s="7"/>
      <c r="Q33" s="23"/>
      <c r="R33" s="23"/>
      <c r="S33" s="32">
        <f>SUM(U33:U33)/IF(AG33="EC",12,1)</f>
        <v>1</v>
      </c>
      <c r="T33" s="47" t="str">
        <f>IF(ISEVEN(LEFT(AD33,4)),"Southbound","NorthBound")</f>
        <v>Southbound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hh:mm:ss")&amp;utc_offset&amp;"00',mode:absolute,to:'"&amp;TEXT(I33+1/24,"yyyy-MM-DD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https://search-rtdc-monitor-bjffxe2xuh6vdkpspy63sjmuny.us-east-1.es.amazonaws.com/_plugin/kibana/#/discover/Steve-Slow-Train-Analysis-(2080s-and-2083s)?_g=(refreshInterval:(display:Off,section:0,value:0),time:(from:'2017-01-04 05:49:30-700',mode:absolute,to:'2017-01-04 08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3" s="49" t="str">
        <f>IF(AA33&lt;IF(AG33="EC",23,5.65),"Y","N")</f>
        <v>N</v>
      </c>
      <c r="X33" s="173">
        <f>VALUE(LEFT(AD33,4))-VALUE(LEFT(AD32,4))</f>
        <v>1</v>
      </c>
      <c r="Y33" s="64">
        <f t="shared" si="5"/>
        <v>23.297799999999999</v>
      </c>
      <c r="Z33" s="64">
        <f t="shared" si="6"/>
        <v>1.49E-2</v>
      </c>
      <c r="AA33" s="64">
        <f>ABS(Z33-Y33)</f>
        <v>23.282899999999998</v>
      </c>
      <c r="AB33" s="61" t="e">
        <f>VLOOKUP(A33,Enforcements!$C$7:$K$19,8,0)</f>
        <v>#N/A</v>
      </c>
      <c r="AC33" s="57" t="e">
        <f>VLOOKUP(A33,Enforcements!$C$7:$E$19,3,0)</f>
        <v>#N/A</v>
      </c>
      <c r="AD33" s="58" t="str">
        <f>IF(LEN(A33)=6,"0"&amp;A33,A33)</f>
        <v>0120-04</v>
      </c>
      <c r="AE33" s="8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 &amp; 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</v>
      </c>
      <c r="AF33" s="84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/stypes="app*4015*20170104*" /stext=" 14:.+((SYSTEM_STATE.+slice.+state.+changed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88" t="str">
        <f t="shared" si="7"/>
        <v>"%USERPROFILE%\Documents\GitHub\eaglep3\Utilities\RefineRTDCRunTimes.py" --tripid 120-04 --locoid 4015 --swversion DE.1.0.8.0 --startMP 204:232978 --initTime 2017-01-04T06:49:30 --startdatetime 2017-01-04T06:56:17 --delay 2 --endMP 204:149 --enddatetime 2017-01-04T07:37:27 --enforcementcount 0 &gt;&gt;C:\Users\stu\Documents\GitHub\eaglep3-reporting\EC\2017-01-04-refined-times.txt</v>
      </c>
      <c r="AI33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{"issue":{"subject":"","project_id":79,"tracker_id":40,"status_id":1,"priority_id":2,"assigned_to_id":23,"start_date":"2017-01-04","description":"","custom_fields":[{"id":1,"name":"Subdivision","value":"EC"},{"id":4,"name":"Milepost","value":"0.0149"},{"id":17,"name":"Train ID","value":"120-04"},{"id":16,"name":"Locomotive ID","value":"4015"},{"id":130,"name":"Impact","value":""},{"id":150,"name":"Time of Event (Mountain Time)","value":"07:37:27"},{"id":151,"name":"Denver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9"/>
        <v>start /low /b %USERPROFILE%\Documents\GitHub\eaglep3\Utilities\DownloadLogsFromS3.py --loco 4015 --day 2017-01-04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449</v>
      </c>
      <c r="B34" s="7">
        <v>4029</v>
      </c>
      <c r="C34" s="22" t="s">
        <v>203</v>
      </c>
      <c r="D34" s="22" t="s">
        <v>424</v>
      </c>
      <c r="E34" s="13">
        <v>42739.25677083333</v>
      </c>
      <c r="F34" s="13">
        <v>42739.260868055557</v>
      </c>
      <c r="G34" s="7">
        <v>1</v>
      </c>
      <c r="H34" s="22" t="s">
        <v>368</v>
      </c>
      <c r="I34" s="13">
        <v>42739.288541666669</v>
      </c>
      <c r="J34" s="7">
        <v>0</v>
      </c>
      <c r="K34" s="105" t="str">
        <f>IF(ISEVEN(B34),(B34-1)&amp;"/"&amp;B34,B34&amp;"/"&amp;(B34+1))</f>
        <v>4029/4030</v>
      </c>
      <c r="L34" s="22" t="str">
        <f>VLOOKUP(A34,'Trips&amp;Operators'!$C$1:$G$99999,5,FALSE)</f>
        <v>BONDS REYNALDO</v>
      </c>
      <c r="M34" s="6">
        <f>I34-F34</f>
        <v>2.7673611111822538E-2</v>
      </c>
      <c r="N34" s="7">
        <f>24*60*SUM($M34:$M34)</f>
        <v>39.850000001024455</v>
      </c>
      <c r="O34" s="7"/>
      <c r="P34" s="7"/>
      <c r="Q34" s="23"/>
      <c r="R34" s="23" t="s">
        <v>964</v>
      </c>
      <c r="S34" s="32">
        <f>SUM(U34:U34)/IF(AG34="EC",12,1)</f>
        <v>1</v>
      </c>
      <c r="T34" s="47" t="str">
        <f>IF(ISEVEN(LEFT(AD34,4)),"Southbound","NorthBound")</f>
        <v>NorthBound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hh:mm:ss")&amp;utc_offset&amp;"00',mode:absolute,to:'"&amp;TEXT(I34+1/24,"yyyy-MM-DD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https://search-rtdc-monitor-bjffxe2xuh6vdkpspy63sjmuny.us-east-1.es.amazonaws.com/_plugin/kibana/#/discover/Steve-Slow-Train-Analysis-(2080s-and-2083s)?_g=(refreshInterval:(display:Off,section:0,value:0),time:(from:'2017-01-04 05:09:45-700',mode:absolute,to:'2017-01-04 07:55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4" s="49" t="str">
        <f>IF(AA34&lt;IF(AG34="EC",23,5.65),"Y","N")</f>
        <v>N</v>
      </c>
      <c r="X34" s="173">
        <f>VALUE(LEFT(AD34,4))-VALUE(LEFT(AD33,4))</f>
        <v>1</v>
      </c>
      <c r="Y34" s="64">
        <f t="shared" si="5"/>
        <v>4.6600000000000003E-2</v>
      </c>
      <c r="Z34" s="64">
        <f t="shared" si="6"/>
        <v>23.3278</v>
      </c>
      <c r="AA34" s="64">
        <f>ABS(Z34-Y34)</f>
        <v>23.281199999999998</v>
      </c>
      <c r="AB34" s="61" t="e">
        <f>VLOOKUP(A34,Enforcements!$C$7:$K$19,8,0)</f>
        <v>#N/A</v>
      </c>
      <c r="AC34" s="57" t="e">
        <f>VLOOKUP(A34,Enforcements!$C$7:$E$19,3,0)</f>
        <v>#N/A</v>
      </c>
      <c r="AD34" s="58" t="str">
        <f>IF(LEN(A34)=6,"0"&amp;A34,A34)</f>
        <v>0121-04</v>
      </c>
      <c r="AE34" s="8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 &amp; 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</v>
      </c>
      <c r="AF34" s="84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/stypes="app*4029*20170104*" /stext=" 13:.+((SYSTEM_STATE.+slice.+state.+changed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88" t="str">
        <f t="shared" si="7"/>
        <v>"%USERPROFILE%\Documents\GitHub\eaglep3\Utilities\RefineRTDCRunTimes.py" --tripid 121-04 --locoid 4029 --swversion DE.1.0.8.0 --startMP 204:466 --initTime 2017-01-04T06:09:45 --startdatetime 2017-01-04T06:15:39 --delay 1 --endMP 204:233278 --enddatetime 2017-01-04T06:55:30 --enforcementcount 0 &gt;&gt;C:\Users\stu\Documents\GitHub\eaglep3-reporting\EC\2017-01-04-refined-times.txt</v>
      </c>
      <c r="AI34" s="115" t="str">
        <f t="shared" si="8"/>
        <v>echo {"issue":{"subject":"Wi-MAX data drop, no enforcement","project_id":79,"tracker_id":40,"status_id":1,"priority_id":2,"assigned_to_id":23,"start_date":"2017-01-04","description":"http://stevetu21.github.io/eaglep3/load_kml.html?kml=http://rtdc.gmaps-snips.s3.amazonaws.com/10da7479-2232-48ba-9493-876ac946162a.kml","custom_fields":[{"id":1,"name":"Subdivision","value":"EC"},{"id":4,"name":"Milepost","value":"23.3278"},{"id":17,"name":"Train ID","value":"121-04"},{"id":16,"name":"Locomotive ID","value":"4029"},{"id":130,"name":"Impact","value":"Others"},{"id":150,"name":"Time of Event (Mountain Time)","value":"06:55:30"},{"id":151,"name":"Denver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34" t="s">
        <v>965</v>
      </c>
      <c r="AK34" s="50" t="s">
        <v>137</v>
      </c>
      <c r="AL34" s="50" t="s">
        <v>138</v>
      </c>
      <c r="AM34" s="180" t="str">
        <f t="shared" si="9"/>
        <v>start /low /b %USERPROFILE%\Documents\GitHub\eaglep3\Utilities\DownloadLogsFromS3.py --loco 4029 --day 2017-01-04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519</v>
      </c>
      <c r="B35" s="7">
        <v>4030</v>
      </c>
      <c r="C35" s="22" t="s">
        <v>203</v>
      </c>
      <c r="D35" s="22" t="s">
        <v>708</v>
      </c>
      <c r="E35" s="13">
        <v>42739.294432870367</v>
      </c>
      <c r="F35" s="13">
        <v>42739.299687500003</v>
      </c>
      <c r="G35" s="7">
        <v>1</v>
      </c>
      <c r="H35" s="22" t="s">
        <v>209</v>
      </c>
      <c r="I35" s="13">
        <v>42739.327870370369</v>
      </c>
      <c r="J35" s="7">
        <v>0</v>
      </c>
      <c r="K35" s="105" t="str">
        <f>IF(ISEVEN(B35),(B35-1)&amp;"/"&amp;B35,B35&amp;"/"&amp;(B35+1))</f>
        <v>4029/4030</v>
      </c>
      <c r="L35" s="22" t="str">
        <f>VLOOKUP(A35,'Trips&amp;Operators'!$C$1:$G$99999,5,FALSE)</f>
        <v>BONDS REYNALDO</v>
      </c>
      <c r="M35" s="6">
        <f>I35-F35</f>
        <v>2.8182870366435964E-2</v>
      </c>
      <c r="N35" s="7">
        <f>24*60*SUM($M35:$M35)</f>
        <v>40.583333327667788</v>
      </c>
      <c r="O35" s="7"/>
      <c r="P35" s="7"/>
      <c r="Q35" s="23"/>
      <c r="R35" s="23"/>
      <c r="S35" s="32">
        <f>SUM(U35:U35)/IF(AG35="EC",12,1)</f>
        <v>1</v>
      </c>
      <c r="T35" s="47" t="str">
        <f>IF(ISEVEN(LEFT(AD35,4)),"Southbound","NorthBound")</f>
        <v>Southbound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hh:mm:ss")&amp;utc_offset&amp;"00',mode:absolute,to:'"&amp;TEXT(I35+1/24,"yyyy-MM-DD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https://search-rtdc-monitor-bjffxe2xuh6vdkpspy63sjmuny.us-east-1.es.amazonaws.com/_plugin/kibana/#/discover/Steve-Slow-Train-Analysis-(2080s-and-2083s)?_g=(refreshInterval:(display:Off,section:0,value:0),time:(from:'2017-01-04 06:03:59-700',mode:absolute,to:'2017-01-04 08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5" s="49" t="str">
        <f>IF(AA35&lt;IF(AG35="EC",23,5.65),"Y","N")</f>
        <v>N</v>
      </c>
      <c r="X35" s="173">
        <f>VALUE(LEFT(AD35,4))-VALUE(LEFT(AD34,4))</f>
        <v>1</v>
      </c>
      <c r="Y35" s="64">
        <f t="shared" si="5"/>
        <v>23.295500000000001</v>
      </c>
      <c r="Z35" s="64">
        <f t="shared" si="6"/>
        <v>1.4999999999999999E-2</v>
      </c>
      <c r="AA35" s="64">
        <f>ABS(Z35-Y35)</f>
        <v>23.2805</v>
      </c>
      <c r="AB35" s="61" t="e">
        <f>VLOOKUP(A35,Enforcements!$C$7:$K$19,8,0)</f>
        <v>#N/A</v>
      </c>
      <c r="AC35" s="57" t="e">
        <f>VLOOKUP(A35,Enforcements!$C$7:$E$19,3,0)</f>
        <v>#N/A</v>
      </c>
      <c r="AD35" s="58" t="str">
        <f>IF(LEN(A35)=6,"0"&amp;A35,A35)</f>
        <v>0122-04</v>
      </c>
      <c r="AE35" s="8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 &amp; 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</v>
      </c>
      <c r="AF35" s="84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/stypes="app*4030*20170104*"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88" t="str">
        <f t="shared" si="7"/>
        <v>"%USERPROFILE%\Documents\GitHub\eaglep3\Utilities\RefineRTDCRunTimes.py" --tripid 122-04 --locoid 4030 --swversion DE.1.0.8.0 --startMP 204:232955 --initTime 2017-01-04T07:03:59 --startdatetime 2017-01-04T07:11:33 --delay 1 --endMP 204:150 --enddatetime 2017-01-04T07:52:08 --enforcementcount 0 &gt;&gt;C:\Users\stu\Documents\GitHub\eaglep3-reporting\EC\2017-01-04-refined-times.txt</v>
      </c>
      <c r="AI35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{"issue":{"subject":"","project_id":79,"tracker_id":40,"status_id":1,"priority_id":2,"assigned_to_id":23,"start_date":"2017-01-04","description":"","custom_fields":[{"id":1,"name":"Subdivision","value":"EC"},{"id":4,"name":"Milepost","value":"0.015"},{"id":17,"name":"Train ID","value":"122-04"},{"id":16,"name":"Locomotive ID","value":"4030"},{"id":130,"name":"Impact","value":""},{"id":150,"name":"Time of Event (Mountain Time)","value":"07:52:08"},{"id":151,"name":"Denver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9"/>
        <v>start /low /b %USERPROFILE%\Documents\GitHub\eaglep3\Utilities\DownloadLogsFromS3.py --loco 4030 --day 2017-01-04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512</v>
      </c>
      <c r="B36" s="7">
        <v>4009</v>
      </c>
      <c r="C36" s="22" t="s">
        <v>203</v>
      </c>
      <c r="D36" s="22" t="s">
        <v>246</v>
      </c>
      <c r="E36" s="13">
        <v>42739.266643518517</v>
      </c>
      <c r="F36" s="13">
        <v>42739.271087962959</v>
      </c>
      <c r="G36" s="7">
        <v>1</v>
      </c>
      <c r="H36" s="22" t="s">
        <v>709</v>
      </c>
      <c r="I36" s="13">
        <v>42739.297222222223</v>
      </c>
      <c r="J36" s="7">
        <v>0</v>
      </c>
      <c r="K36" s="105" t="str">
        <f>IF(ISEVEN(B36),(B36-1)&amp;"/"&amp;B36,B36&amp;"/"&amp;(B36+1))</f>
        <v>4009/4010</v>
      </c>
      <c r="L36" s="22" t="str">
        <f>VLOOKUP(A36,'Trips&amp;Operators'!$C$1:$G$99999,5,FALSE)</f>
        <v>OUN ZACK</v>
      </c>
      <c r="M36" s="6">
        <f>I36-F36</f>
        <v>2.6134259263926651E-2</v>
      </c>
      <c r="N36" s="7">
        <f>24*60*SUM($M36:$M36)</f>
        <v>37.633333340054378</v>
      </c>
      <c r="O36" s="7"/>
      <c r="P36" s="7"/>
      <c r="Q36" s="23"/>
      <c r="R36" s="23"/>
      <c r="S36" s="32">
        <f>SUM(U36:U36)/IF(AG36="EC",12,1)</f>
        <v>1</v>
      </c>
      <c r="T36" s="47" t="str">
        <f>IF(ISEVEN(LEFT(AD36,4)),"Southbound","NorthBound")</f>
        <v>NorthBound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hh:mm:ss")&amp;utc_offset&amp;"00',mode:absolute,to:'"&amp;TEXT(I36+1/24,"yyyy-MM-DD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https://search-rtdc-monitor-bjffxe2xuh6vdkpspy63sjmuny.us-east-1.es.amazonaws.com/_plugin/kibana/#/discover/Steve-Slow-Train-Analysis-(2080s-and-2083s)?_g=(refreshInterval:(display:Off,section:0,value:0),time:(from:'2017-01-04 05:23:58-700',mode:absolute,to:'2017-01-04 08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6" s="49" t="str">
        <f>IF(AA36&lt;IF(AG36="EC",23,5.65),"Y","N")</f>
        <v>N</v>
      </c>
      <c r="X36" s="173">
        <f>VALUE(LEFT(AD36,4))-VALUE(LEFT(AD35,4))</f>
        <v>1</v>
      </c>
      <c r="Y36" s="64">
        <f t="shared" si="5"/>
        <v>4.53E-2</v>
      </c>
      <c r="Z36" s="64">
        <f t="shared" si="6"/>
        <v>23.336400000000001</v>
      </c>
      <c r="AA36" s="64">
        <f>ABS(Z36-Y36)</f>
        <v>23.2911</v>
      </c>
      <c r="AB36" s="61" t="e">
        <f>VLOOKUP(A36,Enforcements!$C$7:$K$19,8,0)</f>
        <v>#N/A</v>
      </c>
      <c r="AC36" s="57" t="e">
        <f>VLOOKUP(A36,Enforcements!$C$7:$E$19,3,0)</f>
        <v>#N/A</v>
      </c>
      <c r="AD36" s="58" t="str">
        <f>IF(LEN(A36)=6,"0"&amp;A36,A36)</f>
        <v>0123-04</v>
      </c>
      <c r="AE36" s="8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 &amp; 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</v>
      </c>
      <c r="AF36" s="84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/stypes="app*4009*20170104*" /stext=" 14:.+((SYSTEM_STATE.+slice.+state.+changed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88" t="str">
        <f t="shared" si="7"/>
        <v>"%USERPROFILE%\Documents\GitHub\eaglep3\Utilities\RefineRTDCRunTimes.py" --tripid 123-04 --locoid 4009 --swversion DE.1.0.8.0 --startMP 204:453 --initTime 2017-01-04T06:23:58 --startdatetime 2017-01-04T06:30:22 --delay 1 --endMP 204:233364 --enddatetime 2017-01-04T07:08:00 --enforcementcount 0 &gt;&gt;C:\Users\stu\Documents\GitHub\eaglep3-reporting\EC\2017-01-04-refined-times.txt</v>
      </c>
      <c r="AI36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{"issue":{"subject":"","project_id":79,"tracker_id":40,"status_id":1,"priority_id":2,"assigned_to_id":23,"start_date":"2017-01-04","description":"","custom_fields":[{"id":1,"name":"Subdivision","value":"EC"},{"id":4,"name":"Milepost","value":"23.3364"},{"id":17,"name":"Train ID","value":"123-04"},{"id":16,"name":"Locomotive ID","value":"4009"},{"id":130,"name":"Impact","value":""},{"id":150,"name":"Time of Event (Mountain Time)","value":"07:08:00"},{"id":151,"name":"Denver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9"/>
        <v>start /low /b %USERPROFILE%\Documents\GitHub\eaglep3\Utilities\DownloadLogsFromS3.py --loco 4009 --day 2017-01-04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523</v>
      </c>
      <c r="B37" s="7">
        <v>4010</v>
      </c>
      <c r="C37" s="22" t="s">
        <v>203</v>
      </c>
      <c r="D37" s="22" t="s">
        <v>710</v>
      </c>
      <c r="E37" s="13">
        <v>42739.304351851853</v>
      </c>
      <c r="F37" s="13">
        <v>42739.309930555559</v>
      </c>
      <c r="G37" s="7">
        <v>1</v>
      </c>
      <c r="H37" s="22" t="s">
        <v>706</v>
      </c>
      <c r="I37" s="13">
        <v>42739.337060185186</v>
      </c>
      <c r="J37" s="7">
        <v>0</v>
      </c>
      <c r="K37" s="105" t="str">
        <f>IF(ISEVEN(B37),(B37-1)&amp;"/"&amp;B37,B37&amp;"/"&amp;(B37+1))</f>
        <v>4009/4010</v>
      </c>
      <c r="L37" s="22" t="str">
        <f>VLOOKUP(A37,'Trips&amp;Operators'!$C$1:$G$99999,5,FALSE)</f>
        <v>OUN ZACK</v>
      </c>
      <c r="M37" s="6">
        <f>I37-F37</f>
        <v>2.7129629626870155E-2</v>
      </c>
      <c r="N37" s="7">
        <f>24*60*SUM($M37:$M37)</f>
        <v>39.066666662693024</v>
      </c>
      <c r="O37" s="7"/>
      <c r="P37" s="7"/>
      <c r="Q37" s="23"/>
      <c r="R37" s="23"/>
      <c r="S37" s="32">
        <f>SUM(U37:U37)/IF(AG37="EC",12,1)</f>
        <v>1</v>
      </c>
      <c r="T37" s="47" t="str">
        <f>IF(ISEVEN(LEFT(AD37,4)),"Southbound","NorthBound")</f>
        <v>Southbound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hh:mm:ss")&amp;utc_offset&amp;"00',mode:absolute,to:'"&amp;TEXT(I37+1/24,"yyyy-MM-DD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https://search-rtdc-monitor-bjffxe2xuh6vdkpspy63sjmuny.us-east-1.es.amazonaws.com/_plugin/kibana/#/discover/Steve-Slow-Train-Analysis-(2080s-and-2083s)?_g=(refreshInterval:(display:Off,section:0,value:0),time:(from:'2017-01-04 06:18:16-700',mode:absolute,to:'2017-01-04 09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7" s="49" t="str">
        <f>IF(AA37&lt;IF(AG37="EC",23,5.65),"Y","N")</f>
        <v>N</v>
      </c>
      <c r="X37" s="173">
        <f>VALUE(LEFT(AD37,4))-VALUE(LEFT(AD36,4))</f>
        <v>1</v>
      </c>
      <c r="Y37" s="64">
        <f t="shared" si="5"/>
        <v>23.300699999999999</v>
      </c>
      <c r="Z37" s="64">
        <f t="shared" si="6"/>
        <v>1.3599999999999999E-2</v>
      </c>
      <c r="AA37" s="64">
        <f>ABS(Z37-Y37)</f>
        <v>23.287099999999999</v>
      </c>
      <c r="AB37" s="61" t="e">
        <f>VLOOKUP(A37,Enforcements!$C$7:$K$19,8,0)</f>
        <v>#N/A</v>
      </c>
      <c r="AC37" s="57" t="e">
        <f>VLOOKUP(A37,Enforcements!$C$7:$E$19,3,0)</f>
        <v>#N/A</v>
      </c>
      <c r="AD37" s="58" t="str">
        <f>IF(LEN(A37)=6,"0"&amp;A37,A37)</f>
        <v>0124-04</v>
      </c>
      <c r="AE37" s="8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 &amp; 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</v>
      </c>
      <c r="AF37" s="84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/stypes="app*4010*20170104*" /stext=" 15:.+((SYSTEM_STATE.+slice.+state.+changed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88" t="str">
        <f t="shared" si="7"/>
        <v>"%USERPROFILE%\Documents\GitHub\eaglep3\Utilities\RefineRTDCRunTimes.py" --tripid 124-04 --locoid 4010 --swversion DE.1.0.8.0 --startMP 204:233007 --initTime 2017-01-04T07:18:16 --startdatetime 2017-01-04T07:26:18 --delay 1 --endMP 204:136 --enddatetime 2017-01-04T08:05:22 --enforcementcount 0 &gt;&gt;C:\Users\stu\Documents\GitHub\eaglep3-reporting\EC\2017-01-04-refined-times.txt</v>
      </c>
      <c r="AI37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{"issue":{"subject":"","project_id":79,"tracker_id":40,"status_id":1,"priority_id":2,"assigned_to_id":23,"start_date":"2017-01-04","description":"","custom_fields":[{"id":1,"name":"Subdivision","value":"EC"},{"id":4,"name":"Milepost","value":"0.0136"},{"id":17,"name":"Train ID","value":"124-04"},{"id":16,"name":"Locomotive ID","value":"4010"},{"id":130,"name":"Impact","value":""},{"id":150,"name":"Time of Event (Mountain Time)","value":"08:05:22"},{"id":151,"name":"Denver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9"/>
        <v>start /low /b %USERPROFILE%\Documents\GitHub\eaglep3\Utilities\DownloadLogsFromS3.py --loco 4010 --day 2017-01-04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514</v>
      </c>
      <c r="B38" s="7">
        <v>4022</v>
      </c>
      <c r="C38" s="22" t="s">
        <v>203</v>
      </c>
      <c r="D38" s="22" t="s">
        <v>264</v>
      </c>
      <c r="E38" s="13">
        <v>42739.276747685188</v>
      </c>
      <c r="F38" s="13">
        <v>42739.281493055554</v>
      </c>
      <c r="G38" s="7">
        <v>1</v>
      </c>
      <c r="H38" s="22" t="s">
        <v>286</v>
      </c>
      <c r="I38" s="13">
        <v>42739.307199074072</v>
      </c>
      <c r="J38" s="7">
        <v>0</v>
      </c>
      <c r="K38" s="105" t="str">
        <f>IF(ISEVEN(B38),(B38-1)&amp;"/"&amp;B38,B38&amp;"/"&amp;(B38+1))</f>
        <v>4021/4022</v>
      </c>
      <c r="L38" s="22" t="str">
        <f>VLOOKUP(A38,'Trips&amp;Operators'!$C$1:$G$99999,5,FALSE)</f>
        <v>YANG JAN</v>
      </c>
      <c r="M38" s="6">
        <f>I38-F38</f>
        <v>2.5706018517666962E-2</v>
      </c>
      <c r="N38" s="7">
        <f>24*60*SUM($M38:$M38)</f>
        <v>37.016666665440425</v>
      </c>
      <c r="O38" s="7"/>
      <c r="P38" s="7"/>
      <c r="Q38" s="23"/>
      <c r="R38" s="23"/>
      <c r="S38" s="32">
        <f>SUM(U38:U38)/IF(AG38="EC",12,1)</f>
        <v>1</v>
      </c>
      <c r="T38" s="47" t="str">
        <f>IF(ISEVEN(LEFT(AD38,4)),"Southbound","NorthBound")</f>
        <v>NorthBound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hh:mm:ss")&amp;utc_offset&amp;"00',mode:absolute,to:'"&amp;TEXT(I38+1/24,"yyyy-MM-DD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https://search-rtdc-monitor-bjffxe2xuh6vdkpspy63sjmuny.us-east-1.es.amazonaws.com/_plugin/kibana/#/discover/Steve-Slow-Train-Analysis-(2080s-and-2083s)?_g=(refreshInterval:(display:Off,section:0,value:0),time:(from:'2017-01-04 05:38:31-700',mode:absolute,to:'2017-01-04 08:22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8" s="49" t="str">
        <f>IF(AA38&lt;IF(AG38="EC",23,5.65),"Y","N")</f>
        <v>N</v>
      </c>
      <c r="X38" s="173">
        <f>VALUE(LEFT(AD38,4))-VALUE(LEFT(AD37,4))</f>
        <v>1</v>
      </c>
      <c r="Y38" s="64">
        <f t="shared" si="5"/>
        <v>4.4900000000000002E-2</v>
      </c>
      <c r="Z38" s="64">
        <f t="shared" si="6"/>
        <v>23.331199999999999</v>
      </c>
      <c r="AA38" s="64">
        <f>ABS(Z38-Y38)</f>
        <v>23.286300000000001</v>
      </c>
      <c r="AB38" s="61" t="e">
        <f>VLOOKUP(A38,Enforcements!$C$7:$K$19,8,0)</f>
        <v>#N/A</v>
      </c>
      <c r="AC38" s="57" t="e">
        <f>VLOOKUP(A38,Enforcements!$C$7:$E$19,3,0)</f>
        <v>#N/A</v>
      </c>
      <c r="AD38" s="58" t="str">
        <f>IF(LEN(A38)=6,"0"&amp;A38,A38)</f>
        <v>0125-04</v>
      </c>
      <c r="AE38" s="8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 &amp; 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</v>
      </c>
      <c r="AF38" s="84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/stypes="app*4022*20170104*" /stext=" 14:.+((SYSTEM_STATE.+slice.+state.+changed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88" t="str">
        <f t="shared" si="7"/>
        <v>"%USERPROFILE%\Documents\GitHub\eaglep3\Utilities\RefineRTDCRunTimes.py" --tripid 125-04 --locoid 4022 --swversion DE.1.0.8.0 --startMP 204:449 --initTime 2017-01-04T06:38:31 --startdatetime 2017-01-04T06:45:21 --delay 1 --endMP 204:233312 --enddatetime 2017-01-04T07:22:22 --enforcementcount 0 &gt;&gt;C:\Users\stu\Documents\GitHub\eaglep3-reporting\EC\2017-01-04-refined-times.txt</v>
      </c>
      <c r="AI38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{"issue":{"subject":"","project_id":79,"tracker_id":40,"status_id":1,"priority_id":2,"assigned_to_id":23,"start_date":"2017-01-04","description":"","custom_fields":[{"id":1,"name":"Subdivision","value":"EC"},{"id":4,"name":"Milepost","value":"23.3312"},{"id":17,"name":"Train ID","value":"125-04"},{"id":16,"name":"Locomotive ID","value":"4022"},{"id":130,"name":"Impact","value":""},{"id":150,"name":"Time of Event (Mountain Time)","value":"07:22:22"},{"id":151,"name":"Denver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9"/>
        <v>start /low /b %USERPROFILE%\Documents\GitHub\eaglep3\Utilities\DownloadLogsFromS3.py --loco 4022 --day 2017-01-04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525</v>
      </c>
      <c r="B39" s="7">
        <v>4021</v>
      </c>
      <c r="C39" s="22" t="s">
        <v>203</v>
      </c>
      <c r="D39" s="22" t="s">
        <v>349</v>
      </c>
      <c r="E39" s="13">
        <v>42739.311631944445</v>
      </c>
      <c r="F39" s="13">
        <v>42739.320381944446</v>
      </c>
      <c r="G39" s="7">
        <v>1</v>
      </c>
      <c r="H39" s="22" t="s">
        <v>350</v>
      </c>
      <c r="I39" s="13">
        <v>42739.348796296297</v>
      </c>
      <c r="J39" s="7">
        <v>0</v>
      </c>
      <c r="K39" s="105" t="str">
        <f>IF(ISEVEN(B39),(B39-1)&amp;"/"&amp;B39,B39&amp;"/"&amp;(B39+1))</f>
        <v>4021/4022</v>
      </c>
      <c r="L39" s="22" t="str">
        <f>VLOOKUP(A39,'Trips&amp;Operators'!$C$1:$G$99999,5,FALSE)</f>
        <v>YANG JAN</v>
      </c>
      <c r="M39" s="6">
        <f>I39-F39</f>
        <v>2.8414351851097308E-2</v>
      </c>
      <c r="N39" s="7">
        <f>24*60*SUM($M39:$M39)</f>
        <v>40.916666665580124</v>
      </c>
      <c r="O39" s="7"/>
      <c r="P39" s="7"/>
      <c r="Q39" s="23"/>
      <c r="R39" s="23"/>
      <c r="S39" s="32">
        <f>SUM(U39:U39)/IF(AG39="EC",12,1)</f>
        <v>1</v>
      </c>
      <c r="T39" s="47" t="str">
        <f>IF(ISEVEN(LEFT(AD39,4)),"Southbound","NorthBound")</f>
        <v>Southbound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hh:mm:ss")&amp;utc_offset&amp;"00',mode:absolute,to:'"&amp;TEXT(I39+1/24,"yyyy-MM-DD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https://search-rtdc-monitor-bjffxe2xuh6vdkpspy63sjmuny.us-east-1.es.amazonaws.com/_plugin/kibana/#/discover/Steve-Slow-Train-Analysis-(2080s-and-2083s)?_g=(refreshInterval:(display:Off,section:0,value:0),time:(from:'2017-01-04 06:28:45-700',mode:absolute,to:'2017-01-04 09:22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9" s="49" t="str">
        <f>IF(AA39&lt;IF(AG39="EC",23,5.65),"Y","N")</f>
        <v>N</v>
      </c>
      <c r="X39" s="173">
        <f>VALUE(LEFT(AD39,4))-VALUE(LEFT(AD38,4))</f>
        <v>1</v>
      </c>
      <c r="Y39" s="64">
        <f t="shared" si="5"/>
        <v>23.3002</v>
      </c>
      <c r="Z39" s="64">
        <f t="shared" si="6"/>
        <v>1.32E-2</v>
      </c>
      <c r="AA39" s="64">
        <f>ABS(Z39-Y39)</f>
        <v>23.286999999999999</v>
      </c>
      <c r="AB39" s="61" t="e">
        <f>VLOOKUP(A39,Enforcements!$C$7:$K$19,8,0)</f>
        <v>#N/A</v>
      </c>
      <c r="AC39" s="57" t="e">
        <f>VLOOKUP(A39,Enforcements!$C$7:$E$19,3,0)</f>
        <v>#N/A</v>
      </c>
      <c r="AD39" s="58" t="str">
        <f>IF(LEN(A39)=6,"0"&amp;A39,A39)</f>
        <v>0126-04</v>
      </c>
      <c r="AE39" s="8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 &amp; 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</v>
      </c>
      <c r="AF39" s="84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/stypes="app*4021*20170104*" /stext=" 15:.+((SYSTEM_STATE.+slice.+state.+changed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88" t="str">
        <f t="shared" si="7"/>
        <v>"%USERPROFILE%\Documents\GitHub\eaglep3\Utilities\RefineRTDCRunTimes.py" --tripid 126-04 --locoid 4021 --swversion DE.1.0.8.0 --startMP 204:233002 --initTime 2017-01-04T07:28:45 --startdatetime 2017-01-04T07:41:21 --delay 1 --endMP 204:132 --enddatetime 2017-01-04T08:22:16 --enforcementcount 0 &gt;&gt;C:\Users\stu\Documents\GitHub\eaglep3-reporting\EC\2017-01-04-refined-times.txt</v>
      </c>
      <c r="AI39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{"issue":{"subject":"","project_id":79,"tracker_id":40,"status_id":1,"priority_id":2,"assigned_to_id":23,"start_date":"2017-01-04","description":"","custom_fields":[{"id":1,"name":"Subdivision","value":"EC"},{"id":4,"name":"Milepost","value":"0.0132"},{"id":17,"name":"Train ID","value":"126-04"},{"id":16,"name":"Locomotive ID","value":"4021"},{"id":130,"name":"Impact","value":""},{"id":150,"name":"Time of Event (Mountain Time)","value":"08:22:16"},{"id":151,"name":"Denver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9"/>
        <v>start /low /b %USERPROFILE%\Documents\GitHub\eaglep3\Utilities\DownloadLogsFromS3.py --loco 4021 --day 2017-01-04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518</v>
      </c>
      <c r="B40" s="7">
        <v>4003</v>
      </c>
      <c r="C40" s="22" t="s">
        <v>203</v>
      </c>
      <c r="D40" s="22" t="s">
        <v>227</v>
      </c>
      <c r="E40" s="13">
        <v>42739.288819444446</v>
      </c>
      <c r="F40" s="13">
        <v>42739.291851851849</v>
      </c>
      <c r="G40" s="7">
        <v>1</v>
      </c>
      <c r="H40" s="22" t="s">
        <v>417</v>
      </c>
      <c r="I40" s="13">
        <v>42739.317407407405</v>
      </c>
      <c r="J40" s="7">
        <v>0</v>
      </c>
      <c r="K40" s="105" t="str">
        <f>IF(ISEVEN(B40),(B40-1)&amp;"/"&amp;B40,B40&amp;"/"&amp;(B40+1))</f>
        <v>4003/4004</v>
      </c>
      <c r="L40" s="22" t="str">
        <f>VLOOKUP(A40,'Trips&amp;Operators'!$C$1:$G$99999,5,FALSE)</f>
        <v>ISHMAEL JOSEPH</v>
      </c>
      <c r="M40" s="6">
        <f>I40-F40</f>
        <v>2.5555555555911269E-2</v>
      </c>
      <c r="N40" s="7">
        <f>24*60*SUM($M40:$M40)</f>
        <v>36.800000000512227</v>
      </c>
      <c r="O40" s="7"/>
      <c r="P40" s="7"/>
      <c r="Q40" s="23"/>
      <c r="R40" s="23"/>
      <c r="S40" s="32">
        <f>SUM(U40:U40)/IF(AG40="EC",12,1)</f>
        <v>1</v>
      </c>
      <c r="T40" s="47" t="str">
        <f>IF(ISEVEN(LEFT(AD40,4)),"Southbound","NorthBound")</f>
        <v>NorthBound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hh:mm:ss")&amp;utc_offset&amp;"00',mode:absolute,to:'"&amp;TEXT(I40+1/24,"yyyy-MM-DD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https://search-rtdc-monitor-bjffxe2xuh6vdkpspy63sjmuny.us-east-1.es.amazonaws.com/_plugin/kibana/#/discover/Steve-Slow-Train-Analysis-(2080s-and-2083s)?_g=(refreshInterval:(display:Off,section:0,value:0),time:(from:'2017-01-04 05:55:54-700',mode:absolute,to:'2017-01-04 08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0" s="49" t="str">
        <f>IF(AA40&lt;IF(AG40="EC",23,5.65),"Y","N")</f>
        <v>N</v>
      </c>
      <c r="X40" s="173">
        <f>VALUE(LEFT(AD40,4))-VALUE(LEFT(AD39,4))</f>
        <v>1</v>
      </c>
      <c r="Y40" s="64">
        <f t="shared" si="5"/>
        <v>4.5999999999999999E-2</v>
      </c>
      <c r="Z40" s="64">
        <f t="shared" si="6"/>
        <v>23.3307</v>
      </c>
      <c r="AA40" s="64">
        <f>ABS(Z40-Y40)</f>
        <v>23.284700000000001</v>
      </c>
      <c r="AB40" s="61" t="e">
        <f>VLOOKUP(A40,Enforcements!$C$7:$K$19,8,0)</f>
        <v>#N/A</v>
      </c>
      <c r="AC40" s="57" t="e">
        <f>VLOOKUP(A40,Enforcements!$C$7:$E$19,3,0)</f>
        <v>#N/A</v>
      </c>
      <c r="AD40" s="58" t="str">
        <f>IF(LEN(A40)=6,"0"&amp;A40,A40)</f>
        <v>0127-04</v>
      </c>
      <c r="AE40" s="8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s3://rtdc.mdm.uploadarchive.raw/RTDC4003/ "%USERPROFILE%\AppData\Local\Temp\OnboardLogs"\RTDC4003\2017-01-04 --exclude "*" --recursive --include "*20170104*" &amp; "%USERPROFILE%\Documents\GitHub\mrs-test-scripts\Headless Mode &amp; Sideloading\WalkAndUnGZ.bat" "%USERPROFILE%\AppData\Local\Temp\OnboardLogs"\RTDC4003\2017-01-04 &amp; 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</v>
      </c>
      <c r="AF40" s="84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/stypes="app*4003*20170104*" /stext=" 14:.+((SYSTEM_STATE.+slice.+state.+changed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88" t="str">
        <f t="shared" si="7"/>
        <v>"%USERPROFILE%\Documents\GitHub\eaglep3\Utilities\RefineRTDCRunTimes.py" --tripid 127-04 --locoid 4003 --swversion DE.1.0.8.0 --startMP 204:460 --initTime 2017-01-04T06:55:54 --startdatetime 2017-01-04T07:00:16 --delay 1 --endMP 204:233307 --enddatetime 2017-01-04T07:37:04 --enforcementcount 0 &gt;&gt;C:\Users\stu\Documents\GitHub\eaglep3-reporting\EC\2017-01-04-refined-times.txt</v>
      </c>
      <c r="AI40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{"issue":{"subject":"","project_id":79,"tracker_id":40,"status_id":1,"priority_id":2,"assigned_to_id":23,"start_date":"2017-01-04","description":"","custom_fields":[{"id":1,"name":"Subdivision","value":"EC"},{"id":4,"name":"Milepost","value":"23.3307"},{"id":17,"name":"Train ID","value":"127-04"},{"id":16,"name":"Locomotive ID","value":"4003"},{"id":130,"name":"Impact","value":""},{"id":150,"name":"Time of Event (Mountain Time)","value":"07:37:04"},{"id":151,"name":"Denver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9"/>
        <v>start /low /b %USERPROFILE%\Documents\GitHub\eaglep3\Utilities\DownloadLogsFromS3.py --loco 4003 --day 2017-01-04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528</v>
      </c>
      <c r="B41" s="7">
        <v>4004</v>
      </c>
      <c r="C41" s="22" t="s">
        <v>203</v>
      </c>
      <c r="D41" s="22" t="s">
        <v>296</v>
      </c>
      <c r="E41" s="13">
        <v>42739.321180555555</v>
      </c>
      <c r="F41" s="13">
        <v>42739.330729166664</v>
      </c>
      <c r="G41" s="7">
        <v>1</v>
      </c>
      <c r="H41" s="22" t="s">
        <v>302</v>
      </c>
      <c r="I41" s="13">
        <v>42739.360185185185</v>
      </c>
      <c r="J41" s="7">
        <v>0</v>
      </c>
      <c r="K41" s="105" t="str">
        <f>IF(ISEVEN(B41),(B41-1)&amp;"/"&amp;B41,B41&amp;"/"&amp;(B41+1))</f>
        <v>4003/4004</v>
      </c>
      <c r="L41" s="22" t="str">
        <f>VLOOKUP(A41,'Trips&amp;Operators'!$C$1:$G$99999,5,FALSE)</f>
        <v>ISHMAEL JOSEPH</v>
      </c>
      <c r="M41" s="6">
        <f>I41-F41</f>
        <v>2.9456018521159422E-2</v>
      </c>
      <c r="N41" s="7">
        <f>24*60*SUM($M41:$M41)</f>
        <v>42.416666670469567</v>
      </c>
      <c r="O41" s="7"/>
      <c r="P41" s="7"/>
      <c r="Q41" s="23"/>
      <c r="R41" s="23"/>
      <c r="S41" s="32">
        <f>SUM(U41:U41)/IF(AG41="EC",12,1)</f>
        <v>1</v>
      </c>
      <c r="T41" s="47" t="str">
        <f>IF(ISEVEN(LEFT(AD41,4)),"Southbound","NorthBound")</f>
        <v>Southbound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hh:mm:ss")&amp;utc_offset&amp;"00',mode:absolute,to:'"&amp;TEXT(I41+1/24,"yyyy-MM-DD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https://search-rtdc-monitor-bjffxe2xuh6vdkpspy63sjmuny.us-east-1.es.amazonaws.com/_plugin/kibana/#/discover/Steve-Slow-Train-Analysis-(2080s-and-2083s)?_g=(refreshInterval:(display:Off,section:0,value:0),time:(from:'2017-01-04 06:42:30-700',mode:absolute,to:'2017-01-04 09:38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1" s="49" t="str">
        <f>IF(AA41&lt;IF(AG41="EC",23,5.65),"Y","N")</f>
        <v>N</v>
      </c>
      <c r="X41" s="173">
        <f>VALUE(LEFT(AD41,4))-VALUE(LEFT(AD40,4))</f>
        <v>1</v>
      </c>
      <c r="Y41" s="64">
        <f t="shared" si="5"/>
        <v>23.299800000000001</v>
      </c>
      <c r="Z41" s="64">
        <f t="shared" si="6"/>
        <v>1.5599999999999999E-2</v>
      </c>
      <c r="AA41" s="64">
        <f>ABS(Z41-Y41)</f>
        <v>23.284200000000002</v>
      </c>
      <c r="AB41" s="61" t="e">
        <f>VLOOKUP(A41,Enforcements!$C$7:$K$19,8,0)</f>
        <v>#N/A</v>
      </c>
      <c r="AC41" s="57" t="e">
        <f>VLOOKUP(A41,Enforcements!$C$7:$E$19,3,0)</f>
        <v>#N/A</v>
      </c>
      <c r="AD41" s="58" t="str">
        <f>IF(LEN(A41)=6,"0"&amp;A41,A41)</f>
        <v>0128-04</v>
      </c>
      <c r="AE41" s="8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 &amp; 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</v>
      </c>
      <c r="AF41" s="84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/stypes="app*4004*20170104*" /stext=" 15:.+((SYSTEM_STATE.+slice.+state.+changed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88" t="str">
        <f t="shared" si="7"/>
        <v>"%USERPROFILE%\Documents\GitHub\eaglep3\Utilities\RefineRTDCRunTimes.py" --tripid 128-04 --locoid 4004 --swversion DE.1.0.8.0 --startMP 204:232998 --initTime 2017-01-04T07:42:30 --startdatetime 2017-01-04T07:56:15 --delay 1 --endMP 204:156 --enddatetime 2017-01-04T08:38:40 --enforcementcount 0 &gt;&gt;C:\Users\stu\Documents\GitHub\eaglep3-reporting\EC\2017-01-04-refined-times.txt</v>
      </c>
      <c r="AI41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{"issue":{"subject":"","project_id":79,"tracker_id":40,"status_id":1,"priority_id":2,"assigned_to_id":23,"start_date":"2017-01-04","description":"","custom_fields":[{"id":1,"name":"Subdivision","value":"EC"},{"id":4,"name":"Milepost","value":"0.0156"},{"id":17,"name":"Train ID","value":"128-04"},{"id":16,"name":"Locomotive ID","value":"4004"},{"id":130,"name":"Impact","value":""},{"id":150,"name":"Time of Event (Mountain Time)","value":"08:38:40"},{"id":151,"name":"Denver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9"/>
        <v>start /low /b %USERPROFILE%\Documents\GitHub\eaglep3\Utilities\DownloadLogsFromS3.py --loco 4004 --day 2017-01-04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521</v>
      </c>
      <c r="B42" s="7">
        <v>4044</v>
      </c>
      <c r="C42" s="22" t="s">
        <v>203</v>
      </c>
      <c r="D42" s="22" t="s">
        <v>319</v>
      </c>
      <c r="E42" s="13">
        <v>42739.298483796294</v>
      </c>
      <c r="F42" s="13">
        <v>42739.302499999998</v>
      </c>
      <c r="G42" s="7">
        <v>1</v>
      </c>
      <c r="H42" s="22" t="s">
        <v>420</v>
      </c>
      <c r="I42" s="13">
        <v>42739.328472222223</v>
      </c>
      <c r="J42" s="7">
        <v>0</v>
      </c>
      <c r="K42" s="105" t="str">
        <f>IF(ISEVEN(B42),(B42-1)&amp;"/"&amp;B42,B42&amp;"/"&amp;(B42+1))</f>
        <v>4043/4044</v>
      </c>
      <c r="L42" s="22" t="str">
        <f>VLOOKUP(A42,'Trips&amp;Operators'!$C$1:$G$99999,5,FALSE)</f>
        <v>BEAM ROSS</v>
      </c>
      <c r="M42" s="6">
        <f>I42-F42</f>
        <v>2.5972222225391306E-2</v>
      </c>
      <c r="N42" s="7">
        <f>24*60*SUM($M42:$M42)</f>
        <v>37.400000004563481</v>
      </c>
      <c r="O42" s="7"/>
      <c r="P42" s="7"/>
      <c r="Q42" s="23"/>
      <c r="R42" s="23"/>
      <c r="S42" s="32">
        <f>SUM(U42:U42)/IF(AG42="EC",12,1)</f>
        <v>1</v>
      </c>
      <c r="T42" s="47" t="str">
        <f>IF(ISEVEN(LEFT(AD42,4)),"Southbound","NorthBound")</f>
        <v>NorthBound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hh:mm:ss")&amp;utc_offset&amp;"00',mode:absolute,to:'"&amp;TEXT(I42+1/24,"yyyy-MM-DD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https://search-rtdc-monitor-bjffxe2xuh6vdkpspy63sjmuny.us-east-1.es.amazonaws.com/_plugin/kibana/#/discover/Steve-Slow-Train-Analysis-(2080s-and-2083s)?_g=(refreshInterval:(display:Off,section:0,value:0),time:(from:'2017-01-04 06:09:49-700',mode:absolute,to:'2017-01-04 08:53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2" s="49" t="str">
        <f>IF(AA42&lt;IF(AG42="EC",23,5.65),"Y","N")</f>
        <v>N</v>
      </c>
      <c r="X42" s="173">
        <f>VALUE(LEFT(AD42,4))-VALUE(LEFT(AD41,4))</f>
        <v>1</v>
      </c>
      <c r="Y42" s="64">
        <f t="shared" si="5"/>
        <v>4.7100000000000003E-2</v>
      </c>
      <c r="Z42" s="64">
        <f t="shared" si="6"/>
        <v>23.331399999999999</v>
      </c>
      <c r="AA42" s="64">
        <f>ABS(Z42-Y42)</f>
        <v>23.284299999999998</v>
      </c>
      <c r="AB42" s="61" t="e">
        <f>VLOOKUP(A42,Enforcements!$C$7:$K$19,8,0)</f>
        <v>#N/A</v>
      </c>
      <c r="AC42" s="57" t="e">
        <f>VLOOKUP(A42,Enforcements!$C$7:$E$19,3,0)</f>
        <v>#N/A</v>
      </c>
      <c r="AD42" s="58" t="str">
        <f>IF(LEN(A42)=6,"0"&amp;A42,A42)</f>
        <v>0129-04</v>
      </c>
      <c r="AE42" s="8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AF42" s="84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/stypes="app*4044*20170104*" /stext=" 14:.+((SYSTEM_STATE.+slice.+state.+changed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88" t="str">
        <f t="shared" si="7"/>
        <v>"%USERPROFILE%\Documents\GitHub\eaglep3\Utilities\RefineRTDCRunTimes.py" --tripid 129-04 --locoid 4044 --swversion DE.1.0.8.0 --startMP 204:471 --initTime 2017-01-04T07:09:49 --startdatetime 2017-01-04T07:15:36 --delay 1 --endMP 204:233314 --enddatetime 2017-01-04T07:53:00 --enforcementcount 0 &gt;&gt;C:\Users\stu\Documents\GitHub\eaglep3-reporting\EC\2017-01-04-refined-times.txt</v>
      </c>
      <c r="AI42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{"issue":{"subject":"","project_id":79,"tracker_id":40,"status_id":1,"priority_id":2,"assigned_to_id":23,"start_date":"2017-01-04","description":"","custom_fields":[{"id":1,"name":"Subdivision","value":"EC"},{"id":4,"name":"Milepost","value":"23.3314"},{"id":17,"name":"Train ID","value":"129-04"},{"id":16,"name":"Locomotive ID","value":"4044"},{"id":130,"name":"Impact","value":""},{"id":150,"name":"Time of Event (Mountain Time)","value":"07:53:00"},{"id":151,"name":"Denver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9"/>
        <v>start /low /b %USERPROFILE%\Documents\GitHub\eaglep3\Utilities\DownloadLogsFromS3.py --loco 4044 --day 2017-01-04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451</v>
      </c>
      <c r="B43" s="7">
        <v>4043</v>
      </c>
      <c r="C43" s="22" t="s">
        <v>203</v>
      </c>
      <c r="D43" s="22" t="s">
        <v>309</v>
      </c>
      <c r="E43" s="13">
        <v>42739.336226851854</v>
      </c>
      <c r="F43" s="13">
        <v>42739.341284722221</v>
      </c>
      <c r="G43" s="7">
        <v>1</v>
      </c>
      <c r="H43" s="22" t="s">
        <v>288</v>
      </c>
      <c r="I43" s="13">
        <v>42739.369004629632</v>
      </c>
      <c r="J43" s="7">
        <v>0</v>
      </c>
      <c r="K43" s="105" t="str">
        <f>IF(ISEVEN(B43),(B43-1)&amp;"/"&amp;B43,B43&amp;"/"&amp;(B43+1))</f>
        <v>4043/4044</v>
      </c>
      <c r="L43" s="22" t="str">
        <f>VLOOKUP(A43,'Trips&amp;Operators'!$C$1:$G$99999,5,FALSE)</f>
        <v>BEAM ROSS</v>
      </c>
      <c r="M43" s="6">
        <f>I43-F43</f>
        <v>2.771990741166519E-2</v>
      </c>
      <c r="N43" s="7">
        <f>24*60*SUM($M43:$M43)</f>
        <v>39.916666672797874</v>
      </c>
      <c r="O43" s="7"/>
      <c r="P43" s="7"/>
      <c r="Q43" s="23"/>
      <c r="R43" s="23"/>
      <c r="S43" s="32">
        <f>SUM(U43:U43)/IF(AG43="EC",12,1)</f>
        <v>1</v>
      </c>
      <c r="T43" s="47" t="str">
        <f>IF(ISEVEN(LEFT(AD43,4)),"Southbound","NorthBound")</f>
        <v>Southbound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hh:mm:ss")&amp;utc_offset&amp;"00',mode:absolute,to:'"&amp;TEXT(I43+1/24,"yyyy-MM-DD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https://search-rtdc-monitor-bjffxe2xuh6vdkpspy63sjmuny.us-east-1.es.amazonaws.com/_plugin/kibana/#/discover/Steve-Slow-Train-Analysis-(2080s-and-2083s)?_g=(refreshInterval:(display:Off,section:0,value:0),time:(from:'2017-01-04 07:04:10-700',mode:absolute,to:'2017-01-04 09:51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3" s="49" t="str">
        <f>IF(AA43&lt;IF(AG43="EC",23,5.65),"Y","N")</f>
        <v>N</v>
      </c>
      <c r="X43" s="173">
        <f>VALUE(LEFT(AD43,4))-VALUE(LEFT(AD42,4))</f>
        <v>1</v>
      </c>
      <c r="Y43" s="64">
        <f t="shared" si="5"/>
        <v>23.299600000000002</v>
      </c>
      <c r="Z43" s="64">
        <f t="shared" si="6"/>
        <v>1.52E-2</v>
      </c>
      <c r="AA43" s="64">
        <f>ABS(Z43-Y43)</f>
        <v>23.284400000000002</v>
      </c>
      <c r="AB43" s="61" t="str">
        <f>VLOOKUP(A43,Enforcements!$C$7:$K$19,8,0)</f>
        <v>Speed (6)</v>
      </c>
      <c r="AC43" s="57" t="str">
        <f>VLOOKUP(A43,Enforcements!$C$7:$E$19,3,0)</f>
        <v>PERMANENT SPEED RESTRICTION</v>
      </c>
      <c r="AD43" s="58" t="str">
        <f>IF(LEN(A43)=6,"0"&amp;A43,A43)</f>
        <v>0130-04</v>
      </c>
      <c r="AE43" s="8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s3://rtdc.mdm.uploadarchive.raw/RTDC4043/ "%USERPROFILE%\AppData\Local\Temp\OnboardLogs"\RTDC4043\2017-01-04 --exclude "*" --recursive --include "*20170104*" &amp; "%USERPROFILE%\Documents\GitHub\mrs-test-scripts\Headless Mode &amp; Sideloading\WalkAndUnGZ.bat" "%USERPROFILE%\AppData\Local\Temp\OnboardLogs"\RTDC4043\2017-01-04 &amp; 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</v>
      </c>
      <c r="AF43" s="84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/stypes="app*4043*20170104*"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88" t="str">
        <f t="shared" si="7"/>
        <v>"%USERPROFILE%\Documents\GitHub\eaglep3\Utilities\RefineRTDCRunTimes.py" --tripid 130-04 --locoid 4043 --swversion DE.1.0.8.0 --startMP 204:232996 --initTime 2017-01-04T08:04:10 --startdatetime 2017-01-04T08:11:27 --delay 1 --endMP 204:152 --enddatetime 2017-01-04T08:51:22 --enforcementcount 0 &gt;&gt;C:\Users\stu\Documents\GitHub\eaglep3-reporting\EC\2017-01-04-refined-times.txt</v>
      </c>
      <c r="AI43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{"issue":{"subject":"","project_id":79,"tracker_id":40,"status_id":1,"priority_id":2,"assigned_to_id":23,"start_date":"2017-01-04","description":"","custom_fields":[{"id":1,"name":"Subdivision","value":"EC"},{"id":4,"name":"Milepost","value":"0.0152"},{"id":17,"name":"Train ID","value":"130-04"},{"id":16,"name":"Locomotive ID","value":"4043"},{"id":130,"name":"Impact","value":""},{"id":150,"name":"Time of Event (Mountain Time)","value":"08:51:22"},{"id":151,"name":"Denver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9"/>
        <v>start /low /b %USERPROFILE%\Documents\GitHub\eaglep3\Utilities\DownloadLogsFromS3.py --loco 4043 --day 2017-01-04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524</v>
      </c>
      <c r="B44" s="7">
        <v>4042</v>
      </c>
      <c r="C44" s="22" t="s">
        <v>203</v>
      </c>
      <c r="D44" s="22" t="s">
        <v>193</v>
      </c>
      <c r="E44" s="13">
        <v>42739.309027777781</v>
      </c>
      <c r="F44" s="13">
        <v>42739.312754629631</v>
      </c>
      <c r="G44" s="7">
        <v>1</v>
      </c>
      <c r="H44" s="22" t="s">
        <v>417</v>
      </c>
      <c r="I44" s="13">
        <v>42739.339907407404</v>
      </c>
      <c r="J44" s="7">
        <v>0</v>
      </c>
      <c r="K44" s="105" t="str">
        <f>IF(ISEVEN(B44),(B44-1)&amp;"/"&amp;B44,B44&amp;"/"&amp;(B44+1))</f>
        <v>4041/4042</v>
      </c>
      <c r="L44" s="22" t="str">
        <f>VLOOKUP(A44,'Trips&amp;Operators'!$C$1:$G$99999,5,FALSE)</f>
        <v>MAELZER KURT</v>
      </c>
      <c r="M44" s="6">
        <f>I44-F44</f>
        <v>2.7152777773153502E-2</v>
      </c>
      <c r="N44" s="7">
        <f>24*60*SUM($M44:$M44)</f>
        <v>39.099999993341044</v>
      </c>
      <c r="O44" s="7"/>
      <c r="P44" s="7"/>
      <c r="Q44" s="23"/>
      <c r="R44" s="23"/>
      <c r="S44" s="32">
        <f>SUM(U44:U44)/IF(AG44="EC",12,1)</f>
        <v>1</v>
      </c>
      <c r="T44" s="47" t="str">
        <f>IF(ISEVEN(LEFT(AD44,4)),"Southbound","NorthBound")</f>
        <v>NorthBound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hh:mm:ss")&amp;utc_offset&amp;"00',mode:absolute,to:'"&amp;TEXT(I44+1/24,"yyyy-MM-DD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https://search-rtdc-monitor-bjffxe2xuh6vdkpspy63sjmuny.us-east-1.es.amazonaws.com/_plugin/kibana/#/discover/Steve-Slow-Train-Analysis-(2080s-and-2083s)?_g=(refreshInterval:(display:Off,section:0,value:0),time:(from:'2017-01-04 06:25:00-700',mode:absolute,to:'2017-01-04 09:09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4" s="49" t="str">
        <f>IF(AA44&lt;IF(AG44="EC",23,5.65),"Y","N")</f>
        <v>N</v>
      </c>
      <c r="X44" s="173">
        <f>VALUE(LEFT(AD44,4))-VALUE(LEFT(AD43,4))</f>
        <v>1</v>
      </c>
      <c r="Y44" s="64">
        <f t="shared" si="5"/>
        <v>4.4699999999999997E-2</v>
      </c>
      <c r="Z44" s="64">
        <f t="shared" si="6"/>
        <v>23.3307</v>
      </c>
      <c r="AA44" s="64">
        <f>ABS(Z44-Y44)</f>
        <v>23.286000000000001</v>
      </c>
      <c r="AB44" s="61" t="e">
        <f>VLOOKUP(A44,Enforcements!$C$7:$K$19,8,0)</f>
        <v>#N/A</v>
      </c>
      <c r="AC44" s="57" t="e">
        <f>VLOOKUP(A44,Enforcements!$C$7:$E$19,3,0)</f>
        <v>#N/A</v>
      </c>
      <c r="AD44" s="58" t="str">
        <f>IF(LEN(A44)=6,"0"&amp;A44,A44)</f>
        <v>0131-04</v>
      </c>
      <c r="AE44" s="8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s3://rtdc.mdm.uploadarchive.raw/RTDC4042/ "%USERPROFILE%\AppData\Local\Temp\OnboardLogs"\RTDC4042\2017-01-04 --exclude "*" --recursive --include "*20170104*" &amp; "%USERPROFILE%\Documents\GitHub\mrs-test-scripts\Headless Mode &amp; Sideloading\WalkAndUnGZ.bat" "%USERPROFILE%\AppData\Local\Temp\OnboardLogs"\RTDC4042\2017-01-04 &amp; 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</v>
      </c>
      <c r="AF44" s="84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/stypes="app*4042*20170104*" /stext=" 15:.+((SYSTEM_STATE.+slice.+state.+changed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88" t="str">
        <f t="shared" si="7"/>
        <v>"%USERPROFILE%\Documents\GitHub\eaglep3\Utilities\RefineRTDCRunTimes.py" --tripid 131-04 --locoid 4042 --swversion DE.1.0.8.0 --startMP 204:447 --initTime 2017-01-04T07:25:00 --startdatetime 2017-01-04T07:30:22 --delay 1 --endMP 204:233307 --enddatetime 2017-01-04T08:09:28 --enforcementcount 0 &gt;&gt;C:\Users\stu\Documents\GitHub\eaglep3-reporting\EC\2017-01-04-refined-times.txt</v>
      </c>
      <c r="AI44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{"issue":{"subject":"","project_id":79,"tracker_id":40,"status_id":1,"priority_id":2,"assigned_to_id":23,"start_date":"2017-01-04","description":"","custom_fields":[{"id":1,"name":"Subdivision","value":"EC"},{"id":4,"name":"Milepost","value":"23.3307"},{"id":17,"name":"Train ID","value":"131-04"},{"id":16,"name":"Locomotive ID","value":"4042"},{"id":130,"name":"Impact","value":""},{"id":150,"name":"Time of Event (Mountain Time)","value":"08:09:28"},{"id":151,"name":"Denver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9"/>
        <v>start /low /b %USERPROFILE%\Documents\GitHub\eaglep3\Utilities\DownloadLogsFromS3.py --loco 4042 --day 2017-01-04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533</v>
      </c>
      <c r="B45" s="7">
        <v>4041</v>
      </c>
      <c r="C45" s="22" t="s">
        <v>203</v>
      </c>
      <c r="D45" s="22" t="s">
        <v>261</v>
      </c>
      <c r="E45" s="13">
        <v>42739.346979166665</v>
      </c>
      <c r="F45" s="13">
        <v>42739.351631944446</v>
      </c>
      <c r="G45" s="7">
        <v>1</v>
      </c>
      <c r="H45" s="22" t="s">
        <v>249</v>
      </c>
      <c r="I45" s="13">
        <v>42739.379027777781</v>
      </c>
      <c r="J45" s="7">
        <v>0</v>
      </c>
      <c r="K45" s="105" t="str">
        <f>IF(ISEVEN(B45),(B45-1)&amp;"/"&amp;B45,B45&amp;"/"&amp;(B45+1))</f>
        <v>4041/4042</v>
      </c>
      <c r="L45" s="22" t="str">
        <f>VLOOKUP(A45,'Trips&amp;Operators'!$C$1:$G$99999,5,FALSE)</f>
        <v>MAELZER KURT</v>
      </c>
      <c r="M45" s="6">
        <f>I45-F45</f>
        <v>2.7395833334594499E-2</v>
      </c>
      <c r="N45" s="7">
        <f>24*60*SUM($M45:$M45)</f>
        <v>39.450000001816079</v>
      </c>
      <c r="O45" s="7"/>
      <c r="P45" s="7"/>
      <c r="Q45" s="23"/>
      <c r="R45" s="23"/>
      <c r="S45" s="32">
        <f>SUM(U45:U45)/IF(AG45="EC",12,1)</f>
        <v>1</v>
      </c>
      <c r="T45" s="47" t="str">
        <f>IF(ISEVEN(LEFT(AD45,4)),"Southbound","NorthBound")</f>
        <v>Southbound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hh:mm:ss")&amp;utc_offset&amp;"00',mode:absolute,to:'"&amp;TEXT(I45+1/24,"yyyy-MM-DD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https://search-rtdc-monitor-bjffxe2xuh6vdkpspy63sjmuny.us-east-1.es.amazonaws.com/_plugin/kibana/#/discover/Steve-Slow-Train-Analysis-(2080s-and-2083s)?_g=(refreshInterval:(display:Off,section:0,value:0),time:(from:'2017-01-04 07:19:39-700',mode:absolute,to:'2017-01-04 10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5" s="49" t="str">
        <f>IF(AA45&lt;IF(AG45="EC",23,5.65),"Y","N")</f>
        <v>N</v>
      </c>
      <c r="X45" s="173">
        <f>VALUE(LEFT(AD45,4))-VALUE(LEFT(AD44,4))</f>
        <v>1</v>
      </c>
      <c r="Y45" s="64">
        <f t="shared" si="5"/>
        <v>23.2986</v>
      </c>
      <c r="Z45" s="64">
        <f t="shared" si="6"/>
        <v>1.47E-2</v>
      </c>
      <c r="AA45" s="64">
        <f>ABS(Z45-Y45)</f>
        <v>23.283899999999999</v>
      </c>
      <c r="AB45" s="61" t="e">
        <f>VLOOKUP(A45,Enforcements!$C$7:$K$19,8,0)</f>
        <v>#N/A</v>
      </c>
      <c r="AC45" s="57" t="e">
        <f>VLOOKUP(A45,Enforcements!$C$7:$E$19,3,0)</f>
        <v>#N/A</v>
      </c>
      <c r="AD45" s="58" t="str">
        <f>IF(LEN(A45)=6,"0"&amp;A45,A45)</f>
        <v>0132-04</v>
      </c>
      <c r="AE45" s="8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 &amp; 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</v>
      </c>
      <c r="AF45" s="84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/stypes="app*4041*20170104*" /stext=" 16:.+((SYSTEM_STATE.+slice.+state.+changed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88" t="str">
        <f t="shared" si="7"/>
        <v>"%USERPROFILE%\Documents\GitHub\eaglep3\Utilities\RefineRTDCRunTimes.py" --tripid 132-04 --locoid 4041 --swversion DE.1.0.8.0 --startMP 204:232986 --initTime 2017-01-04T08:19:39 --startdatetime 2017-01-04T08:26:21 --delay 1 --endMP 204:147 --enddatetime 2017-01-04T09:05:48 --enforcementcount 0 &gt;&gt;C:\Users\stu\Documents\GitHub\eaglep3-reporting\EC\2017-01-04-refined-times.txt</v>
      </c>
      <c r="AI45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{"issue":{"subject":"","project_id":79,"tracker_id":40,"status_id":1,"priority_id":2,"assigned_to_id":23,"start_date":"2017-01-04","description":"","custom_fields":[{"id":1,"name":"Subdivision","value":"EC"},{"id":4,"name":"Milepost","value":"0.0147"},{"id":17,"name":"Train ID","value":"132-04"},{"id":16,"name":"Locomotive ID","value":"4041"},{"id":130,"name":"Impact","value":""},{"id":150,"name":"Time of Event (Mountain Time)","value":"09:05:48"},{"id":151,"name":"Denver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9"/>
        <v>start /low /b %USERPROFILE%\Documents\GitHub\eaglep3\Utilities\DownloadLogsFromS3.py --loco 4041 --day 2017-01-04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450</v>
      </c>
      <c r="B46" s="7">
        <v>4016</v>
      </c>
      <c r="C46" s="22" t="s">
        <v>203</v>
      </c>
      <c r="D46" s="22" t="s">
        <v>246</v>
      </c>
      <c r="E46" s="13">
        <v>42739.319710648146</v>
      </c>
      <c r="F46" s="13">
        <v>42739.323148148149</v>
      </c>
      <c r="G46" s="7">
        <v>1</v>
      </c>
      <c r="H46" s="22" t="s">
        <v>711</v>
      </c>
      <c r="I46" s="13">
        <v>42739.351574074077</v>
      </c>
      <c r="J46" s="7">
        <v>0</v>
      </c>
      <c r="K46" s="105" t="str">
        <f>IF(ISEVEN(B46),(B46-1)&amp;"/"&amp;B46,B46&amp;"/"&amp;(B46+1))</f>
        <v>4015/4016</v>
      </c>
      <c r="L46" s="22" t="str">
        <f>VLOOKUP(A46,'Trips&amp;Operators'!$C$1:$G$99999,5,FALSE)</f>
        <v>COMELLA JUSTIN</v>
      </c>
      <c r="M46" s="6">
        <f>I46-F46</f>
        <v>2.842592592787696E-2</v>
      </c>
      <c r="N46" s="7">
        <f>24*60*SUM($M46:$M46)</f>
        <v>40.933333336142823</v>
      </c>
      <c r="O46" s="7"/>
      <c r="P46" s="7"/>
      <c r="Q46" s="23"/>
      <c r="R46" s="23"/>
      <c r="S46" s="32">
        <f>SUM(U46:U46)/IF(AG46="EC",12,1)</f>
        <v>1</v>
      </c>
      <c r="T46" s="47" t="str">
        <f>IF(ISEVEN(LEFT(AD46,4)),"Southbound","NorthBound")</f>
        <v>NorthBound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hh:mm:ss")&amp;utc_offset&amp;"00',mode:absolute,to:'"&amp;TEXT(I46+1/24,"yyyy-MM-DD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https://search-rtdc-monitor-bjffxe2xuh6vdkpspy63sjmuny.us-east-1.es.amazonaws.com/_plugin/kibana/#/discover/Steve-Slow-Train-Analysis-(2080s-and-2083s)?_g=(refreshInterval:(display:Off,section:0,value:0),time:(from:'2017-01-04 06:40:23-700',mode:absolute,to:'2017-01-04 09:26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6" s="49" t="str">
        <f>IF(AA46&lt;IF(AG46="EC",23,5.65),"Y","N")</f>
        <v>N</v>
      </c>
      <c r="X46" s="173">
        <f>VALUE(LEFT(AD46,4))-VALUE(LEFT(AD45,4))</f>
        <v>1</v>
      </c>
      <c r="Y46" s="64">
        <f t="shared" si="5"/>
        <v>4.53E-2</v>
      </c>
      <c r="Z46" s="64">
        <f t="shared" si="6"/>
        <v>23.3291</v>
      </c>
      <c r="AA46" s="64">
        <f>ABS(Z46-Y46)</f>
        <v>23.283799999999999</v>
      </c>
      <c r="AB46" s="61" t="str">
        <f>VLOOKUP(A46,Enforcements!$C$7:$K$19,8,0)</f>
        <v>Signal based authority (5)</v>
      </c>
      <c r="AC46" s="57" t="str">
        <f>VLOOKUP(A46,Enforcements!$C$7:$E$19,3,0)</f>
        <v>SIGNAL</v>
      </c>
      <c r="AD46" s="58" t="str">
        <f>IF(LEN(A46)=6,"0"&amp;A46,A46)</f>
        <v>0133-04</v>
      </c>
      <c r="AE46" s="8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AF46" s="84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/stypes="app*4016*20170104*" /stext=" 15:.+((SYSTEM_STATE.+slice.+state.+changed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88" t="str">
        <f t="shared" si="7"/>
        <v>"%USERPROFILE%\Documents\GitHub\eaglep3\Utilities\RefineRTDCRunTimes.py" --tripid 133-04 --locoid 4016 --swversion DE.1.0.8.0 --startMP 204:453 --initTime 2017-01-04T07:40:23 --startdatetime 2017-01-04T07:45:20 --delay 1 --endMP 204:233291 --enddatetime 2017-01-04T08:26:16 --enforcementcount 0 &gt;&gt;C:\Users\stu\Documents\GitHub\eaglep3-reporting\EC\2017-01-04-refined-times.txt</v>
      </c>
      <c r="AI46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{"issue":{"subject":"","project_id":79,"tracker_id":40,"status_id":1,"priority_id":2,"assigned_to_id":23,"start_date":"2017-01-04","description":"","custom_fields":[{"id":1,"name":"Subdivision","value":"EC"},{"id":4,"name":"Milepost","value":"23.3291"},{"id":17,"name":"Train ID","value":"133-04"},{"id":16,"name":"Locomotive ID","value":"4016"},{"id":130,"name":"Impact","value":""},{"id":150,"name":"Time of Event (Mountain Time)","value":"08:26:16"},{"id":151,"name":"Denver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9"/>
        <v>start /low /b %USERPROFILE%\Documents\GitHub\eaglep3\Utilities\DownloadLogsFromS3.py --loco 4016 --day 2017-01-04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536</v>
      </c>
      <c r="B47" s="7">
        <v>4015</v>
      </c>
      <c r="C47" s="22" t="s">
        <v>203</v>
      </c>
      <c r="D47" s="22" t="s">
        <v>347</v>
      </c>
      <c r="E47" s="13">
        <v>42739.354513888888</v>
      </c>
      <c r="F47" s="13">
        <v>42739.361979166664</v>
      </c>
      <c r="G47" s="7">
        <v>1</v>
      </c>
      <c r="H47" s="22" t="s">
        <v>191</v>
      </c>
      <c r="I47" s="13">
        <v>42739.3905787037</v>
      </c>
      <c r="J47" s="7">
        <v>0</v>
      </c>
      <c r="K47" s="105" t="str">
        <f>IF(ISEVEN(B47),(B47-1)&amp;"/"&amp;B47,B47&amp;"/"&amp;(B47+1))</f>
        <v>4015/4016</v>
      </c>
      <c r="L47" s="22" t="str">
        <f>VLOOKUP(A47,'Trips&amp;Operators'!$C$1:$G$99999,5,FALSE)</f>
        <v>COMELLA JUSTIN</v>
      </c>
      <c r="M47" s="6">
        <f>I47-F47</f>
        <v>2.8599537035916001E-2</v>
      </c>
      <c r="N47" s="7">
        <f>24*60*SUM($M47:$M47)</f>
        <v>41.183333331719041</v>
      </c>
      <c r="O47" s="7"/>
      <c r="P47" s="7"/>
      <c r="Q47" s="23"/>
      <c r="R47" s="23" t="s">
        <v>971</v>
      </c>
      <c r="S47" s="32">
        <f>SUM(U47:U47)/IF(AG47="EC",12,1)</f>
        <v>1</v>
      </c>
      <c r="T47" s="47" t="str">
        <f>IF(ISEVEN(LEFT(AD47,4)),"Southbound","NorthBound")</f>
        <v>Southbound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hh:mm:ss")&amp;utc_offset&amp;"00',mode:absolute,to:'"&amp;TEXT(I47+1/24,"yyyy-MM-DD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https://search-rtdc-monitor-bjffxe2xuh6vdkpspy63sjmuny.us-east-1.es.amazonaws.com/_plugin/kibana/#/discover/Steve-Slow-Train-Analysis-(2080s-and-2083s)?_g=(refreshInterval:(display:Off,section:0,value:0),time:(from:'2017-01-04 07:30:30-700',mode:absolute,to:'2017-01-04 10:22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7" s="49" t="str">
        <f>IF(AA47&lt;IF(AG47="EC",23,5.65),"Y","N")</f>
        <v>N</v>
      </c>
      <c r="X47" s="173">
        <f>VALUE(LEFT(AD47,4))-VALUE(LEFT(AD46,4))</f>
        <v>1</v>
      </c>
      <c r="Y47" s="64">
        <f t="shared" si="5"/>
        <v>23.298100000000002</v>
      </c>
      <c r="Z47" s="64">
        <f t="shared" si="6"/>
        <v>1.49E-2</v>
      </c>
      <c r="AA47" s="64">
        <f>ABS(Z47-Y47)</f>
        <v>23.283200000000001</v>
      </c>
      <c r="AB47" s="61" t="e">
        <f>VLOOKUP(A47,Enforcements!$C$7:$K$19,8,0)</f>
        <v>#N/A</v>
      </c>
      <c r="AC47" s="57" t="e">
        <f>VLOOKUP(A47,Enforcements!$C$7:$E$19,3,0)</f>
        <v>#N/A</v>
      </c>
      <c r="AD47" s="58" t="str">
        <f>IF(LEN(A47)=6,"0"&amp;A47,A47)</f>
        <v>0134-04</v>
      </c>
      <c r="AE47" s="8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 &amp; 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</v>
      </c>
      <c r="AF47" s="84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/stypes="app*4015*20170104*" /stext=" 16:.+((SYSTEM_STATE.+slice.+state.+changed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88" t="str">
        <f t="shared" si="7"/>
        <v>"%USERPROFILE%\Documents\GitHub\eaglep3\Utilities\RefineRTDCRunTimes.py" --tripid 134-04 --locoid 4015 --swversion DE.1.0.8.0 --startMP 204:232981 --initTime 2017-01-04T08:30:30 --startdatetime 2017-01-04T08:41:15 --delay 1 --endMP 204:149 --enddatetime 2017-01-04T09:22:26 --enforcementcount 0 &gt;&gt;C:\Users\stu\Documents\GitHub\eaglep3-reporting\EC\2017-01-04-refined-times.txt</v>
      </c>
      <c r="AI47" s="115" t="str">
        <f t="shared" si="8"/>
        <v>echo {"issue":{"subject":"Onboard in-route failure caused unhealthy xing, but did not effect run","project_id":79,"tracker_id":40,"status_id":1,"priority_id":2,"assigned_to_id":23,"start_date":"2017-01-04","description":"","custom_fields":[{"id":1,"name":"Subdivision","value":"EC"},{"id":4,"name":"Milepost","value":"0.0149"},{"id":17,"name":"Train ID","value":"134-04"},{"id":16,"name":"Locomotive ID","value":"4015"},{"id":130,"name":"Impact","value":""},{"id":150,"name":"Time of Event (Mountain Time)","value":"09:22:26"},{"id":151,"name":"Denver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9"/>
        <v>start /low /b %USERPROFILE%\Documents\GitHub\eaglep3\Utilities\DownloadLogsFromS3.py --loco 4015 --day 2017-01-04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529</v>
      </c>
      <c r="B48" s="7">
        <v>4029</v>
      </c>
      <c r="C48" s="22" t="s">
        <v>203</v>
      </c>
      <c r="D48" s="22" t="s">
        <v>194</v>
      </c>
      <c r="E48" s="13">
        <v>42739.329571759263</v>
      </c>
      <c r="F48" s="13">
        <v>42739.333807870367</v>
      </c>
      <c r="G48" s="7">
        <v>1</v>
      </c>
      <c r="H48" s="22" t="s">
        <v>371</v>
      </c>
      <c r="I48" s="13">
        <v>42739.359467592592</v>
      </c>
      <c r="J48" s="7">
        <v>0</v>
      </c>
      <c r="K48" s="105" t="str">
        <f>IF(ISEVEN(B48),(B48-1)&amp;"/"&amp;B48,B48&amp;"/"&amp;(B48+1))</f>
        <v>4029/4030</v>
      </c>
      <c r="L48" s="22" t="str">
        <f>VLOOKUP(A48,'Trips&amp;Operators'!$C$1:$G$99999,5,FALSE)</f>
        <v>BONDS REYNALDO</v>
      </c>
      <c r="M48" s="6">
        <f>I48-F48</f>
        <v>2.5659722225100268E-2</v>
      </c>
      <c r="N48" s="7">
        <f>24*60*SUM($M48:$M48)</f>
        <v>36.950000004144385</v>
      </c>
      <c r="O48" s="7"/>
      <c r="P48" s="7"/>
      <c r="Q48" s="23"/>
      <c r="R48" s="23"/>
      <c r="S48" s="32">
        <f>SUM(U48:U48)/IF(AG48="EC",12,1)</f>
        <v>1</v>
      </c>
      <c r="T48" s="47" t="str">
        <f>IF(ISEVEN(LEFT(AD48,4)),"Southbound","NorthBound")</f>
        <v>NorthBound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hh:mm:ss")&amp;utc_offset&amp;"00',mode:absolute,to:'"&amp;TEXT(I48+1/24,"yyyy-MM-DD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https://search-rtdc-monitor-bjffxe2xuh6vdkpspy63sjmuny.us-east-1.es.amazonaws.com/_plugin/kibana/#/discover/Steve-Slow-Train-Analysis-(2080s-and-2083s)?_g=(refreshInterval:(display:Off,section:0,value:0),time:(from:'2017-01-04 06:54:35-700',mode:absolute,to:'2017-01-04 09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8" s="49" t="str">
        <f>IF(AA48&lt;IF(AG48="EC",23,5.65),"Y","N")</f>
        <v>N</v>
      </c>
      <c r="X48" s="173">
        <f>VALUE(LEFT(AD48,4))-VALUE(LEFT(AD47,4))</f>
        <v>1</v>
      </c>
      <c r="Y48" s="64">
        <f t="shared" si="5"/>
        <v>4.5100000000000001E-2</v>
      </c>
      <c r="Z48" s="64">
        <f t="shared" si="6"/>
        <v>23.332000000000001</v>
      </c>
      <c r="AA48" s="64">
        <f>ABS(Z48-Y48)</f>
        <v>23.286899999999999</v>
      </c>
      <c r="AB48" s="61" t="e">
        <f>VLOOKUP(A48,Enforcements!$C$7:$K$19,8,0)</f>
        <v>#N/A</v>
      </c>
      <c r="AC48" s="57" t="e">
        <f>VLOOKUP(A48,Enforcements!$C$7:$E$19,3,0)</f>
        <v>#N/A</v>
      </c>
      <c r="AD48" s="58" t="str">
        <f>IF(LEN(A48)=6,"0"&amp;A48,A48)</f>
        <v>0135-04</v>
      </c>
      <c r="AE48" s="8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 &amp; 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</v>
      </c>
      <c r="AF48" s="84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/stypes="app*4029*20170104*" /stext=" 15:.+((SYSTEM_STATE.+slice.+state.+changed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88" t="str">
        <f t="shared" si="7"/>
        <v>"%USERPROFILE%\Documents\GitHub\eaglep3\Utilities\RefineRTDCRunTimes.py" --tripid 135-04 --locoid 4029 --swversion DE.1.0.8.0 --startMP 204:451 --initTime 2017-01-04T07:54:35 --startdatetime 2017-01-04T08:00:41 --delay 1 --endMP 204:233320 --enddatetime 2017-01-04T08:37:38 --enforcementcount 0 &gt;&gt;C:\Users\stu\Documents\GitHub\eaglep3-reporting\EC\2017-01-04-refined-times.txt</v>
      </c>
      <c r="AI48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{"issue":{"subject":"","project_id":79,"tracker_id":40,"status_id":1,"priority_id":2,"assigned_to_id":23,"start_date":"2017-01-04","description":"","custom_fields":[{"id":1,"name":"Subdivision","value":"EC"},{"id":4,"name":"Milepost","value":"23.332"},{"id":17,"name":"Train ID","value":"135-04"},{"id":16,"name":"Locomotive ID","value":"4029"},{"id":130,"name":"Impact","value":""},{"id":150,"name":"Time of Event (Mountain Time)","value":"08:37:38"},{"id":151,"name":"Denver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9"/>
        <v>start /low /b %USERPROFILE%\Documents\GitHub\eaglep3\Utilities\DownloadLogsFromS3.py --loco 4029 --day 2017-01-04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539</v>
      </c>
      <c r="B49" s="7">
        <v>4030</v>
      </c>
      <c r="C49" s="22" t="s">
        <v>203</v>
      </c>
      <c r="D49" s="22" t="s">
        <v>712</v>
      </c>
      <c r="E49" s="13">
        <v>42739.369259259256</v>
      </c>
      <c r="F49" s="13">
        <v>42739.372384259259</v>
      </c>
      <c r="G49" s="7">
        <v>1</v>
      </c>
      <c r="H49" s="22" t="s">
        <v>230</v>
      </c>
      <c r="I49" s="13">
        <v>42739.399641203701</v>
      </c>
      <c r="J49" s="7">
        <v>0</v>
      </c>
      <c r="K49" s="105" t="str">
        <f>IF(ISEVEN(B49),(B49-1)&amp;"/"&amp;B49,B49&amp;"/"&amp;(B49+1))</f>
        <v>4029/4030</v>
      </c>
      <c r="L49" s="22" t="str">
        <f>VLOOKUP(A49,'Trips&amp;Operators'!$C$1:$G$99999,5,FALSE)</f>
        <v>BONDS REYNALDO</v>
      </c>
      <c r="M49" s="6">
        <f>I49-F49</f>
        <v>2.7256944442342501E-2</v>
      </c>
      <c r="N49" s="7">
        <f>24*60*SUM($M49:$M49)</f>
        <v>39.249999996973202</v>
      </c>
      <c r="O49" s="7"/>
      <c r="P49" s="7"/>
      <c r="Q49" s="23"/>
      <c r="R49" s="23"/>
      <c r="S49" s="32">
        <f>SUM(U49:U49)/IF(AG49="EC",12,1)</f>
        <v>1</v>
      </c>
      <c r="T49" s="47" t="str">
        <f>IF(ISEVEN(LEFT(AD49,4)),"Southbound","NorthBound")</f>
        <v>Southbound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hh:mm:ss")&amp;utc_offset&amp;"00',mode:absolute,to:'"&amp;TEXT(I49+1/24,"yyyy-MM-DD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https://search-rtdc-monitor-bjffxe2xuh6vdkpspy63sjmuny.us-east-1.es.amazonaws.com/_plugin/kibana/#/discover/Steve-Slow-Train-Analysis-(2080s-and-2083s)?_g=(refreshInterval:(display:Off,section:0,value:0),time:(from:'2017-01-04 07:51:44-700',mode:absolute,to:'2017-01-04 10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9" s="49" t="str">
        <f>IF(AA49&lt;IF(AG49="EC",23,5.65),"Y","N")</f>
        <v>N</v>
      </c>
      <c r="X49" s="173">
        <f>VALUE(LEFT(AD49,4))-VALUE(LEFT(AD48,4))</f>
        <v>1</v>
      </c>
      <c r="Y49" s="64">
        <f t="shared" si="5"/>
        <v>23.300899999999999</v>
      </c>
      <c r="Z49" s="64">
        <f t="shared" si="6"/>
        <v>1.4500000000000001E-2</v>
      </c>
      <c r="AA49" s="64">
        <f>ABS(Z49-Y49)</f>
        <v>23.286399999999997</v>
      </c>
      <c r="AB49" s="61" t="e">
        <f>VLOOKUP(A49,Enforcements!$C$7:$K$19,8,0)</f>
        <v>#N/A</v>
      </c>
      <c r="AC49" s="57" t="e">
        <f>VLOOKUP(A49,Enforcements!$C$7:$E$19,3,0)</f>
        <v>#N/A</v>
      </c>
      <c r="AD49" s="58" t="str">
        <f>IF(LEN(A49)=6,"0"&amp;A49,A49)</f>
        <v>0136-04</v>
      </c>
      <c r="AE49" s="8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 &amp; 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</v>
      </c>
      <c r="AF49" s="84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/stypes="app*4030*20170104*" /stext=" 16:.+((SYSTEM_STATE.+slice.+state.+changed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88" t="str">
        <f t="shared" si="7"/>
        <v>"%USERPROFILE%\Documents\GitHub\eaglep3\Utilities\RefineRTDCRunTimes.py" --tripid 136-04 --locoid 4030 --swversion DE.1.0.8.0 --startMP 204:233009 --initTime 2017-01-04T08:51:44 --startdatetime 2017-01-04T08:56:14 --delay 1 --endMP 204:145 --enddatetime 2017-01-04T09:35:29 --enforcementcount 0 &gt;&gt;C:\Users\stu\Documents\GitHub\eaglep3-reporting\EC\2017-01-04-refined-times.txt</v>
      </c>
      <c r="AI49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{"issue":{"subject":"","project_id":79,"tracker_id":40,"status_id":1,"priority_id":2,"assigned_to_id":23,"start_date":"2017-01-04","description":"","custom_fields":[{"id":1,"name":"Subdivision","value":"EC"},{"id":4,"name":"Milepost","value":"0.0145"},{"id":17,"name":"Train ID","value":"136-04"},{"id":16,"name":"Locomotive ID","value":"4030"},{"id":130,"name":"Impact","value":""},{"id":150,"name":"Time of Event (Mountain Time)","value":"09:35:29"},{"id":151,"name":"Denver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9"/>
        <v>start /low /b %USERPROFILE%\Documents\GitHub\eaglep3\Utilities\DownloadLogsFromS3.py --loco 4030 --day 2017-01-04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531</v>
      </c>
      <c r="B50" s="7">
        <v>4009</v>
      </c>
      <c r="C50" s="22" t="s">
        <v>203</v>
      </c>
      <c r="D50" s="22" t="s">
        <v>346</v>
      </c>
      <c r="E50" s="13">
        <v>42739.338576388887</v>
      </c>
      <c r="F50" s="13">
        <v>42739.343969907408</v>
      </c>
      <c r="G50" s="7">
        <v>1</v>
      </c>
      <c r="H50" s="22" t="s">
        <v>340</v>
      </c>
      <c r="I50" s="13">
        <v>42739.37164351852</v>
      </c>
      <c r="J50" s="7">
        <v>0</v>
      </c>
      <c r="K50" s="105" t="str">
        <f>IF(ISEVEN(B50),(B50-1)&amp;"/"&amp;B50,B50&amp;"/"&amp;(B50+1))</f>
        <v>4009/4010</v>
      </c>
      <c r="L50" s="22" t="str">
        <f>VLOOKUP(A50,'Trips&amp;Operators'!$C$1:$G$99999,5,FALSE)</f>
        <v>OUN ZACK</v>
      </c>
      <c r="M50" s="6">
        <f>I50-F50</f>
        <v>2.7673611111822538E-2</v>
      </c>
      <c r="N50" s="7">
        <f>24*60*SUM($M50:$M50)</f>
        <v>39.850000001024455</v>
      </c>
      <c r="O50" s="7"/>
      <c r="P50" s="7"/>
      <c r="Q50" s="23"/>
      <c r="R50" s="23" t="s">
        <v>964</v>
      </c>
      <c r="S50" s="32">
        <f>SUM(U50:U50)/IF(AG50="EC",12,1)</f>
        <v>1</v>
      </c>
      <c r="T50" s="47" t="str">
        <f>IF(ISEVEN(LEFT(AD50,4)),"Southbound","NorthBound")</f>
        <v>NorthBound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hh:mm:ss")&amp;utc_offset&amp;"00',mode:absolute,to:'"&amp;TEXT(I50+1/24,"yyyy-MM-DD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https://search-rtdc-monitor-bjffxe2xuh6vdkpspy63sjmuny.us-east-1.es.amazonaws.com/_plugin/kibana/#/discover/Steve-Slow-Train-Analysis-(2080s-and-2083s)?_g=(refreshInterval:(display:Off,section:0,value:0),time:(from:'2017-01-04 07:07:33-700',mode:absolute,to:'2017-01-04 09:55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0" s="49" t="str">
        <f>IF(AA50&lt;IF(AG50="EC",23,5.65),"Y","N")</f>
        <v>N</v>
      </c>
      <c r="X50" s="173">
        <f>VALUE(LEFT(AD50,4))-VALUE(LEFT(AD49,4))</f>
        <v>1</v>
      </c>
      <c r="Y50" s="64">
        <f t="shared" si="5"/>
        <v>4.4600000000000001E-2</v>
      </c>
      <c r="Z50" s="64">
        <f t="shared" si="6"/>
        <v>23.333400000000001</v>
      </c>
      <c r="AA50" s="64">
        <f>ABS(Z50-Y50)</f>
        <v>23.288800000000002</v>
      </c>
      <c r="AB50" s="61" t="e">
        <f>VLOOKUP(A50,Enforcements!$C$7:$K$19,8,0)</f>
        <v>#N/A</v>
      </c>
      <c r="AC50" s="57" t="e">
        <f>VLOOKUP(A50,Enforcements!$C$7:$E$19,3,0)</f>
        <v>#N/A</v>
      </c>
      <c r="AD50" s="58" t="str">
        <f>IF(LEN(A50)=6,"0"&amp;A50,A50)</f>
        <v>0137-04</v>
      </c>
      <c r="AE50" s="8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 &amp; 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</v>
      </c>
      <c r="AF50" s="84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/stypes="app*4009*20170104*" /stext=" 15:.+((SYSTEM_STATE.+slice.+state.+changed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88" t="str">
        <f t="shared" si="7"/>
        <v>"%USERPROFILE%\Documents\GitHub\eaglep3\Utilities\RefineRTDCRunTimes.py" --tripid 137-04 --locoid 4009 --swversion DE.1.0.8.0 --startMP 204:446 --initTime 2017-01-04T08:07:33 --startdatetime 2017-01-04T08:15:19 --delay 1 --endMP 204:233334 --enddatetime 2017-01-04T08:55:10 --enforcementcount 0 &gt;&gt;C:\Users\stu\Documents\GitHub\eaglep3-reporting\EC\2017-01-04-refined-times.txt</v>
      </c>
      <c r="AI50" s="115" t="str">
        <f t="shared" si="8"/>
        <v>echo {"issue":{"subject":"Wi-MAX data drop, no enforcement","project_id":79,"tracker_id":40,"status_id":1,"priority_id":2,"assigned_to_id":23,"start_date":"2017-01-04","description":"http://stevetu21.github.io/eaglep3/load_kml.html?kml=http://rtdc.gmaps-snips.s3.amazonaws.com/26d99fa6-4ffa-49ce-b282-e399d54fb59a.kml","custom_fields":[{"id":1,"name":"Subdivision","value":"EC"},{"id":4,"name":"Milepost","value":"23.3334"},{"id":17,"name":"Train ID","value":"137-04"},{"id":16,"name":"Locomotive ID","value":"4009"},{"id":130,"name":"Impact","value":"Others"},{"id":150,"name":"Time of Event (Mountain Time)","value":"08:55:10"},{"id":151,"name":"Denver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50" t="s">
        <v>966</v>
      </c>
      <c r="AK50" s="50" t="s">
        <v>137</v>
      </c>
      <c r="AL50" s="50" t="s">
        <v>138</v>
      </c>
      <c r="AM50" s="180" t="str">
        <f t="shared" si="9"/>
        <v>start /low /b %USERPROFILE%\Documents\GitHub\eaglep3\Utilities\DownloadLogsFromS3.py --loco 4009 --day 2017-01-04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541</v>
      </c>
      <c r="B51" s="7">
        <v>4010</v>
      </c>
      <c r="C51" s="22" t="s">
        <v>203</v>
      </c>
      <c r="D51" s="22" t="s">
        <v>318</v>
      </c>
      <c r="E51" s="13">
        <v>42739.378634259258</v>
      </c>
      <c r="F51" s="13">
        <v>42739.382870370369</v>
      </c>
      <c r="G51" s="7">
        <v>1</v>
      </c>
      <c r="H51" s="22" t="s">
        <v>209</v>
      </c>
      <c r="I51" s="13">
        <v>42739.409791666665</v>
      </c>
      <c r="J51" s="7">
        <v>0</v>
      </c>
      <c r="K51" s="105" t="str">
        <f>IF(ISEVEN(B51),(B51-1)&amp;"/"&amp;B51,B51&amp;"/"&amp;(B51+1))</f>
        <v>4009/4010</v>
      </c>
      <c r="L51" s="22" t="str">
        <f>VLOOKUP(A51,'Trips&amp;Operators'!$C$1:$G$99999,5,FALSE)</f>
        <v>OUN ZACK</v>
      </c>
      <c r="M51" s="6">
        <f>I51-F51</f>
        <v>2.6921296295768116E-2</v>
      </c>
      <c r="N51" s="7">
        <f>24*60*SUM($M51:$M51)</f>
        <v>38.766666665906087</v>
      </c>
      <c r="O51" s="7"/>
      <c r="P51" s="7"/>
      <c r="Q51" s="23"/>
      <c r="R51" s="23"/>
      <c r="S51" s="32">
        <f>SUM(U51:U51)/IF(AG51="EC",12,1)</f>
        <v>1</v>
      </c>
      <c r="T51" s="47" t="str">
        <f>IF(ISEVEN(LEFT(AD51,4)),"Southbound","NorthBound")</f>
        <v>Southbound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hh:mm:ss")&amp;utc_offset&amp;"00',mode:absolute,to:'"&amp;TEXT(I51+1/24,"yyyy-MM-DD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https://search-rtdc-monitor-bjffxe2xuh6vdkpspy63sjmuny.us-east-1.es.amazonaws.com/_plugin/kibana/#/discover/Steve-Slow-Train-Analysis-(2080s-and-2083s)?_g=(refreshInterval:(display:Off,section:0,value:0),time:(from:'2017-01-04 08:05:14-700',mode:absolute,to:'2017-01-04 10:50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1" s="49" t="str">
        <f>IF(AA51&lt;IF(AG51="EC",23,5.65),"Y","N")</f>
        <v>N</v>
      </c>
      <c r="X51" s="173">
        <f>VALUE(LEFT(AD51,4))-VALUE(LEFT(AD50,4))</f>
        <v>1</v>
      </c>
      <c r="Y51" s="64">
        <f t="shared" si="5"/>
        <v>23.301100000000002</v>
      </c>
      <c r="Z51" s="64">
        <f t="shared" si="6"/>
        <v>1.4999999999999999E-2</v>
      </c>
      <c r="AA51" s="64">
        <f>ABS(Z51-Y51)</f>
        <v>23.286100000000001</v>
      </c>
      <c r="AB51" s="61" t="e">
        <f>VLOOKUP(A51,Enforcements!$C$7:$K$19,8,0)</f>
        <v>#N/A</v>
      </c>
      <c r="AC51" s="57" t="e">
        <f>VLOOKUP(A51,Enforcements!$C$7:$E$19,3,0)</f>
        <v>#N/A</v>
      </c>
      <c r="AD51" s="58" t="str">
        <f>IF(LEN(A51)=6,"0"&amp;A51,A51)</f>
        <v>0138-04</v>
      </c>
      <c r="AE51" s="8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 &amp; 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</v>
      </c>
      <c r="AF51" s="84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/stypes="app*4010*20170104*"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88" t="str">
        <f t="shared" si="7"/>
        <v>"%USERPROFILE%\Documents\GitHub\eaglep3\Utilities\RefineRTDCRunTimes.py" --tripid 138-04 --locoid 4010 --swversion DE.1.0.8.0 --startMP 204:233011 --initTime 2017-01-04T09:05:14 --startdatetime 2017-01-04T09:11:20 --delay 1 --endMP 204:150 --enddatetime 2017-01-04T09:50:06 --enforcementcount 0 &gt;&gt;C:\Users\stu\Documents\GitHub\eaglep3-reporting\EC\2017-01-04-refined-times.txt</v>
      </c>
      <c r="AI51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{"issue":{"subject":"","project_id":79,"tracker_id":40,"status_id":1,"priority_id":2,"assigned_to_id":23,"start_date":"2017-01-04","description":"","custom_fields":[{"id":1,"name":"Subdivision","value":"EC"},{"id":4,"name":"Milepost","value":"0.015"},{"id":17,"name":"Train ID","value":"138-04"},{"id":16,"name":"Locomotive ID","value":"4010"},{"id":130,"name":"Impact","value":""},{"id":150,"name":"Time of Event (Mountain Time)","value":"09:50:06"},{"id":151,"name":"Denver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9"/>
        <v>start /low /b %USERPROFILE%\Documents\GitHub\eaglep3\Utilities\DownloadLogsFromS3.py --loco 4010 --day 2017-01-04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535</v>
      </c>
      <c r="B52" s="7">
        <v>4022</v>
      </c>
      <c r="C52" s="22" t="s">
        <v>203</v>
      </c>
      <c r="D52" s="22" t="s">
        <v>246</v>
      </c>
      <c r="E52" s="13">
        <v>42739.352175925924</v>
      </c>
      <c r="F52" s="13">
        <v>42739.354328703703</v>
      </c>
      <c r="G52" s="7">
        <v>1</v>
      </c>
      <c r="H52" s="22" t="s">
        <v>285</v>
      </c>
      <c r="I52" s="13">
        <v>42739.379340277781</v>
      </c>
      <c r="J52" s="7">
        <v>0</v>
      </c>
      <c r="K52" s="105" t="str">
        <f>IF(ISEVEN(B52),(B52-1)&amp;"/"&amp;B52,B52&amp;"/"&amp;(B52+1))</f>
        <v>4021/4022</v>
      </c>
      <c r="L52" s="22" t="str">
        <f>VLOOKUP(A52,'Trips&amp;Operators'!$C$1:$G$99999,5,FALSE)</f>
        <v>YANG JAN</v>
      </c>
      <c r="M52" s="6">
        <f>I52-F52</f>
        <v>2.5011574078234844E-2</v>
      </c>
      <c r="N52" s="7">
        <f>24*60*SUM($M52:$M52)</f>
        <v>36.016666672658175</v>
      </c>
      <c r="O52" s="7"/>
      <c r="P52" s="7"/>
      <c r="Q52" s="23"/>
      <c r="R52" s="23"/>
      <c r="S52" s="32">
        <f>SUM(U52:U52)/IF(AG52="EC",12,1)</f>
        <v>1</v>
      </c>
      <c r="T52" s="47" t="str">
        <f>IF(ISEVEN(LEFT(AD52,4)),"Southbound","NorthBound")</f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hh:mm:ss")&amp;utc_offset&amp;"00',mode:absolute,to:'"&amp;TEXT(I52+1/24,"yyyy-MM-DD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https://search-rtdc-monitor-bjffxe2xuh6vdkpspy63sjmuny.us-east-1.es.amazonaws.com/_plugin/kibana/#/discover/Steve-Slow-Train-Analysis-(2080s-and-2083s)?_g=(refreshInterval:(display:Off,section:0,value:0),time:(from:'2017-01-04 07:27:08-700',mode:absolute,to:'2017-01-04 10:06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2" s="49" t="str">
        <f>IF(AA52&lt;IF(AG52="EC",23,5.65),"Y","N")</f>
        <v>N</v>
      </c>
      <c r="X52" s="173">
        <f>VALUE(LEFT(AD52,4))-VALUE(LEFT(AD51,4))</f>
        <v>1</v>
      </c>
      <c r="Y52" s="64">
        <f t="shared" si="5"/>
        <v>4.53E-2</v>
      </c>
      <c r="Z52" s="64">
        <f t="shared" si="6"/>
        <v>23.329699999999999</v>
      </c>
      <c r="AA52" s="64">
        <f>ABS(Z52-Y52)</f>
        <v>23.284399999999998</v>
      </c>
      <c r="AB52" s="61" t="e">
        <f>VLOOKUP(A52,Enforcements!$C$7:$K$19,8,0)</f>
        <v>#N/A</v>
      </c>
      <c r="AC52" s="57" t="e">
        <f>VLOOKUP(A52,Enforcements!$C$7:$E$19,3,0)</f>
        <v>#N/A</v>
      </c>
      <c r="AD52" s="58" t="str">
        <f>IF(LEN(A52)=6,"0"&amp;A52,A52)</f>
        <v>0139-04</v>
      </c>
      <c r="AE52" s="8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 &amp; 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</v>
      </c>
      <c r="AF52" s="84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/stypes="app*4022*20170104*" /stext=" 16:.+((SYSTEM_STATE.+slice.+state.+changed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88" t="str">
        <f t="shared" si="7"/>
        <v>"%USERPROFILE%\Documents\GitHub\eaglep3\Utilities\RefineRTDCRunTimes.py" --tripid 139-04 --locoid 4022 --swversion DE.1.0.8.0 --startMP 204:453 --initTime 2017-01-04T08:27:08 --startdatetime 2017-01-04T08:30:14 --delay 1 --endMP 204:233297 --enddatetime 2017-01-04T09:06:15 --enforcementcount 0 &gt;&gt;C:\Users\stu\Documents\GitHub\eaglep3-reporting\EC\2017-01-04-refined-times.txt</v>
      </c>
      <c r="AI52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{"issue":{"subject":"","project_id":79,"tracker_id":40,"status_id":1,"priority_id":2,"assigned_to_id":23,"start_date":"2017-01-04","description":"","custom_fields":[{"id":1,"name":"Subdivision","value":"EC"},{"id":4,"name":"Milepost","value":"23.3297"},{"id":17,"name":"Train ID","value":"139-04"},{"id":16,"name":"Locomotive ID","value":"4022"},{"id":130,"name":"Impact","value":""},{"id":150,"name":"Time of Event (Mountain Time)","value":"09:06:15"},{"id":151,"name":"Denver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9"/>
        <v>start /low /b %USERPROFILE%\Documents\GitHub\eaglep3\Utilities\DownloadLogsFromS3.py --loco 4022 --day 2017-01-04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543</v>
      </c>
      <c r="B53" s="7">
        <v>4021</v>
      </c>
      <c r="C53" s="22" t="s">
        <v>203</v>
      </c>
      <c r="D53" s="22" t="s">
        <v>289</v>
      </c>
      <c r="E53" s="13">
        <v>42739.391886574071</v>
      </c>
      <c r="F53" s="13">
        <v>42739.393506944441</v>
      </c>
      <c r="G53" s="7">
        <v>1</v>
      </c>
      <c r="H53" s="22" t="s">
        <v>295</v>
      </c>
      <c r="I53" s="13">
        <v>42739.419849537036</v>
      </c>
      <c r="J53" s="7">
        <v>0</v>
      </c>
      <c r="K53" s="105" t="str">
        <f>IF(ISEVEN(B53),(B53-1)&amp;"/"&amp;B53,B53&amp;"/"&amp;(B53+1))</f>
        <v>4021/4022</v>
      </c>
      <c r="L53" s="22" t="str">
        <f>VLOOKUP(A53,'Trips&amp;Operators'!$C$1:$G$99999,5,FALSE)</f>
        <v>YANG JAN</v>
      </c>
      <c r="M53" s="6">
        <f>I53-F53</f>
        <v>2.6342592595028691E-2</v>
      </c>
      <c r="N53" s="7">
        <f>24*60*SUM($M53:$M53)</f>
        <v>37.933333336841315</v>
      </c>
      <c r="O53" s="7"/>
      <c r="P53" s="7"/>
      <c r="Q53" s="23"/>
      <c r="R53" s="23"/>
      <c r="S53" s="32">
        <f>SUM(U53:U53)/IF(AG53="EC",12,1)</f>
        <v>1</v>
      </c>
      <c r="T53" s="47" t="str">
        <f>IF(ISEVEN(LEFT(AD53,4)),"Southbound","NorthBound")</f>
        <v>Southbound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hh:mm:ss")&amp;utc_offset&amp;"00',mode:absolute,to:'"&amp;TEXT(I53+1/24,"yyyy-MM-DD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https://search-rtdc-monitor-bjffxe2xuh6vdkpspy63sjmuny.us-east-1.es.amazonaws.com/_plugin/kibana/#/discover/Steve-Slow-Train-Analysis-(2080s-and-2083s)?_g=(refreshInterval:(display:Off,section:0,value:0),time:(from:'2017-01-04 08:24:19-700',mode:absolute,to:'2017-01-04 11:04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3" s="49" t="str">
        <f>IF(AA53&lt;IF(AG53="EC",23,5.65),"Y","N")</f>
        <v>N</v>
      </c>
      <c r="X53" s="173">
        <f>VALUE(LEFT(AD53,4))-VALUE(LEFT(AD52,4))</f>
        <v>1</v>
      </c>
      <c r="Y53" s="64">
        <f t="shared" si="5"/>
        <v>23.297999999999998</v>
      </c>
      <c r="Z53" s="64">
        <f t="shared" si="6"/>
        <v>1.5800000000000002E-2</v>
      </c>
      <c r="AA53" s="64">
        <f>ABS(Z53-Y53)</f>
        <v>23.2822</v>
      </c>
      <c r="AB53" s="61" t="e">
        <f>VLOOKUP(A53,Enforcements!$C$7:$K$19,8,0)</f>
        <v>#N/A</v>
      </c>
      <c r="AC53" s="57" t="e">
        <f>VLOOKUP(A53,Enforcements!$C$7:$E$19,3,0)</f>
        <v>#N/A</v>
      </c>
      <c r="AD53" s="58" t="str">
        <f>IF(LEN(A53)=6,"0"&amp;A53,A53)</f>
        <v>0140-04</v>
      </c>
      <c r="AE53" s="8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 &amp; 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</v>
      </c>
      <c r="AF53" s="84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/stypes="app*4021*20170104*" /stext=" 17:.+((SYSTEM_STATE.+slice.+state.+changed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88" t="str">
        <f t="shared" si="7"/>
        <v>"%USERPROFILE%\Documents\GitHub\eaglep3\Utilities\RefineRTDCRunTimes.py" --tripid 140-04 --locoid 4021 --swversion DE.1.0.8.0 --startMP 204:232980 --initTime 2017-01-04T09:24:19 --startdatetime 2017-01-04T09:26:39 --delay 1 --endMP 204:158 --enddatetime 2017-01-04T10:04:35 --enforcementcount 0 &gt;&gt;C:\Users\stu\Documents\GitHub\eaglep3-reporting\EC\2017-01-04-refined-times.txt</v>
      </c>
      <c r="AI53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{"issue":{"subject":"","project_id":79,"tracker_id":40,"status_id":1,"priority_id":2,"assigned_to_id":23,"start_date":"2017-01-04","description":"","custom_fields":[{"id":1,"name":"Subdivision","value":"EC"},{"id":4,"name":"Milepost","value":"0.0158"},{"id":17,"name":"Train ID","value":"140-04"},{"id":16,"name":"Locomotive ID","value":"4021"},{"id":130,"name":"Impact","value":""},{"id":150,"name":"Time of Event (Mountain Time)","value":"10:04:35"},{"id":151,"name":"Denver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9"/>
        <v>start /low /b %USERPROFILE%\Documents\GitHub\eaglep3\Utilities\DownloadLogsFromS3.py --loco 4021 --day 2017-01-04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538</v>
      </c>
      <c r="B54" s="7">
        <v>4003</v>
      </c>
      <c r="C54" s="22" t="s">
        <v>203</v>
      </c>
      <c r="D54" s="22" t="s">
        <v>227</v>
      </c>
      <c r="E54" s="13">
        <v>42739.361620370371</v>
      </c>
      <c r="F54" s="13">
        <v>42739.364756944444</v>
      </c>
      <c r="G54" s="7">
        <v>1</v>
      </c>
      <c r="H54" s="22" t="s">
        <v>265</v>
      </c>
      <c r="I54" s="13">
        <v>42739.390034722222</v>
      </c>
      <c r="J54" s="7">
        <v>0</v>
      </c>
      <c r="K54" s="105" t="str">
        <f>IF(ISEVEN(B54),(B54-1)&amp;"/"&amp;B54,B54&amp;"/"&amp;(B54+1))</f>
        <v>4003/4004</v>
      </c>
      <c r="L54" s="22" t="str">
        <f>VLOOKUP(A54,'Trips&amp;Operators'!$C$1:$G$99999,5,FALSE)</f>
        <v>ISHMAEL JOSEPH</v>
      </c>
      <c r="M54" s="6">
        <f>I54-F54</f>
        <v>2.527777777868323E-2</v>
      </c>
      <c r="N54" s="7">
        <f>24*60*SUM($M54:$M54)</f>
        <v>36.400000001303852</v>
      </c>
      <c r="O54" s="7"/>
      <c r="P54" s="7"/>
      <c r="Q54" s="23"/>
      <c r="R54" s="23"/>
      <c r="S54" s="32">
        <f>SUM(U54:U54)/IF(AG54="EC",12,1)</f>
        <v>1</v>
      </c>
      <c r="T54" s="47" t="str">
        <f>IF(ISEVEN(LEFT(AD54,4)),"Southbound","NorthBound")</f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hh:mm:ss")&amp;utc_offset&amp;"00',mode:absolute,to:'"&amp;TEXT(I54+1/24,"yyyy-MM-DD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https://search-rtdc-monitor-bjffxe2xuh6vdkpspy63sjmuny.us-east-1.es.amazonaws.com/_plugin/kibana/#/discover/Steve-Slow-Train-Analysis-(2080s-and-2083s)?_g=(refreshInterval:(display:Off,section:0,value:0),time:(from:'2017-01-04 07:40:44-700',mode:absolute,to:'2017-01-04 10:21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4" s="49" t="str">
        <f>IF(AA54&lt;IF(AG54="EC",23,5.65),"Y","N")</f>
        <v>N</v>
      </c>
      <c r="X54" s="173">
        <f>VALUE(LEFT(AD54,4))-VALUE(LEFT(AD53,4))</f>
        <v>1</v>
      </c>
      <c r="Y54" s="64">
        <f t="shared" si="5"/>
        <v>4.5999999999999999E-2</v>
      </c>
      <c r="Z54" s="64">
        <f t="shared" si="6"/>
        <v>23.3308</v>
      </c>
      <c r="AA54" s="64">
        <f>ABS(Z54-Y54)</f>
        <v>23.284800000000001</v>
      </c>
      <c r="AB54" s="61" t="e">
        <f>VLOOKUP(A54,Enforcements!$C$7:$K$19,8,0)</f>
        <v>#N/A</v>
      </c>
      <c r="AC54" s="57" t="e">
        <f>VLOOKUP(A54,Enforcements!$C$7:$E$19,3,0)</f>
        <v>#N/A</v>
      </c>
      <c r="AD54" s="58" t="str">
        <f>IF(LEN(A54)=6,"0"&amp;A54,A54)</f>
        <v>0141-04</v>
      </c>
      <c r="AE54" s="8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s3://rtdc.mdm.uploadarchive.raw/RTDC4003/ "%USERPROFILE%\AppData\Local\Temp\OnboardLogs"\RTDC4003\2017-01-04 --exclude "*" --recursive --include "*20170104*" &amp; "%USERPROFILE%\Documents\GitHub\mrs-test-scripts\Headless Mode &amp; Sideloading\WalkAndUnGZ.bat" "%USERPROFILE%\AppData\Local\Temp\OnboardLogs"\RTDC4003\2017-01-04 &amp; 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</v>
      </c>
      <c r="AF54" s="84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/stypes="app*4003*20170104*" /stext=" 16:.+((SYSTEM_STATE.+slice.+state.+changed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88" t="str">
        <f t="shared" si="7"/>
        <v>"%USERPROFILE%\Documents\GitHub\eaglep3\Utilities\RefineRTDCRunTimes.py" --tripid 141-04 --locoid 4003 --swversion DE.1.0.8.0 --startMP 204:460 --initTime 2017-01-04T08:40:44 --startdatetime 2017-01-04T08:45:15 --delay 1 --endMP 204:233308 --enddatetime 2017-01-04T09:21:39 --enforcementcount 0 &gt;&gt;C:\Users\stu\Documents\GitHub\eaglep3-reporting\EC\2017-01-04-refined-times.txt</v>
      </c>
      <c r="AI54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{"issue":{"subject":"","project_id":79,"tracker_id":40,"status_id":1,"priority_id":2,"assigned_to_id":23,"start_date":"2017-01-04","description":"","custom_fields":[{"id":1,"name":"Subdivision","value":"EC"},{"id":4,"name":"Milepost","value":"23.3308"},{"id":17,"name":"Train ID","value":"141-04"},{"id":16,"name":"Locomotive ID","value":"4003"},{"id":130,"name":"Impact","value":""},{"id":150,"name":"Time of Event (Mountain Time)","value":"09:21:39"},{"id":151,"name":"Denver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9"/>
        <v>start /low /b %USERPROFILE%\Documents\GitHub\eaglep3\Utilities\DownloadLogsFromS3.py --loco 4003 --day 2017-01-04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454</v>
      </c>
      <c r="B55" s="7">
        <v>4004</v>
      </c>
      <c r="C55" s="22" t="s">
        <v>203</v>
      </c>
      <c r="D55" s="22" t="s">
        <v>713</v>
      </c>
      <c r="E55" s="13">
        <v>42739.39603009259</v>
      </c>
      <c r="F55" s="13">
        <v>42739.403634259259</v>
      </c>
      <c r="G55" s="7">
        <v>1</v>
      </c>
      <c r="H55" s="22" t="s">
        <v>295</v>
      </c>
      <c r="I55" s="13">
        <v>42739.430324074077</v>
      </c>
      <c r="J55" s="7">
        <v>0</v>
      </c>
      <c r="K55" s="105" t="str">
        <f>IF(ISEVEN(B55),(B55-1)&amp;"/"&amp;B55,B55&amp;"/"&amp;(B55+1))</f>
        <v>4003/4004</v>
      </c>
      <c r="L55" s="22" t="str">
        <f>VLOOKUP(A55,'Trips&amp;Operators'!$C$1:$G$99999,5,FALSE)</f>
        <v>ISHMAEL JOSEPH</v>
      </c>
      <c r="M55" s="6">
        <f>I55-F55</f>
        <v>2.6689814818382729E-2</v>
      </c>
      <c r="N55" s="7">
        <f>24*60*SUM($M55:$M55)</f>
        <v>38.43333333847113</v>
      </c>
      <c r="O55" s="7"/>
      <c r="P55" s="7"/>
      <c r="Q55" s="23"/>
      <c r="R55" s="23"/>
      <c r="S55" s="32">
        <f>SUM(U55:U55)/IF(AG55="EC",12,1)</f>
        <v>1</v>
      </c>
      <c r="T55" s="47" t="str">
        <f>IF(ISEVEN(LEFT(AD55,4)),"Southbound","NorthBound")</f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hh:mm:ss")&amp;utc_offset&amp;"00',mode:absolute,to:'"&amp;TEXT(I55+1/24,"yyyy-MM-DD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https://search-rtdc-monitor-bjffxe2xuh6vdkpspy63sjmuny.us-east-1.es.amazonaws.com/_plugin/kibana/#/discover/Steve-Slow-Train-Analysis-(2080s-and-2083s)?_g=(refreshInterval:(display:Off,section:0,value:0),time:(from:'2017-01-04 08:30:17-700',mode:absolute,to:'2017-01-04 11:19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5" s="49" t="str">
        <f>IF(AA55&lt;IF(AG55="EC",23,5.65),"Y","N")</f>
        <v>N</v>
      </c>
      <c r="X55" s="173">
        <f>VALUE(LEFT(AD55,4))-VALUE(LEFT(AD54,4))</f>
        <v>1</v>
      </c>
      <c r="Y55" s="64">
        <f t="shared" si="5"/>
        <v>23.300999999999998</v>
      </c>
      <c r="Z55" s="64">
        <f t="shared" si="6"/>
        <v>1.5800000000000002E-2</v>
      </c>
      <c r="AA55" s="64">
        <f>ABS(Z55-Y55)</f>
        <v>23.2852</v>
      </c>
      <c r="AB55" s="61" t="str">
        <f>VLOOKUP(A55,Enforcements!$C$7:$K$19,8,0)</f>
        <v>Bulletin (2)</v>
      </c>
      <c r="AC55" s="57" t="str">
        <f>VLOOKUP(A55,Enforcements!$C$7:$E$19,3,0)</f>
        <v>GRADE CROSSING</v>
      </c>
      <c r="AD55" s="58" t="str">
        <f>IF(LEN(A55)=6,"0"&amp;A55,A55)</f>
        <v>0142-04</v>
      </c>
      <c r="AE55" s="8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 &amp; 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</v>
      </c>
      <c r="AF55" s="84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/stypes="app*4004*20170104*" /stext=" 17:.+((SYSTEM_STATE.+slice.+state.+changed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88" t="str">
        <f t="shared" si="7"/>
        <v>"%USERPROFILE%\Documents\GitHub\eaglep3\Utilities\RefineRTDCRunTimes.py" --tripid 142-04 --locoid 4004 --swversion DE.1.0.8.0 --startMP 204:233010 --initTime 2017-01-04T09:30:17 --startdatetime 2017-01-04T09:41:14 --delay 1 --endMP 204:158 --enddatetime 2017-01-04T10:19:40 --enforcementcount 0 &gt;&gt;C:\Users\stu\Documents\GitHub\eaglep3-reporting\EC\2017-01-04-refined-times.txt</v>
      </c>
      <c r="AI55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{"issue":{"subject":"","project_id":79,"tracker_id":40,"status_id":1,"priority_id":2,"assigned_to_id":23,"start_date":"2017-01-04","description":"","custom_fields":[{"id":1,"name":"Subdivision","value":"EC"},{"id":4,"name":"Milepost","value":"0.0158"},{"id":17,"name":"Train ID","value":"142-04"},{"id":16,"name":"Locomotive ID","value":"4004"},{"id":130,"name":"Impact","value":""},{"id":150,"name":"Time of Event (Mountain Time)","value":"10:19:40"},{"id":151,"name":"Denver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9"/>
        <v>start /low /b %USERPROFILE%\Documents\GitHub\eaglep3\Utilities\DownloadLogsFromS3.py --loco 4004 --day 2017-01-04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540</v>
      </c>
      <c r="B56" s="7">
        <v>4044</v>
      </c>
      <c r="C56" s="22" t="s">
        <v>203</v>
      </c>
      <c r="D56" s="22" t="s">
        <v>225</v>
      </c>
      <c r="E56" s="13">
        <v>42739.371504629627</v>
      </c>
      <c r="F56" s="13">
        <v>42739.376192129632</v>
      </c>
      <c r="G56" s="7">
        <v>1</v>
      </c>
      <c r="H56" s="22" t="s">
        <v>714</v>
      </c>
      <c r="I56" s="13">
        <v>42739.40047453704</v>
      </c>
      <c r="J56" s="7">
        <v>0</v>
      </c>
      <c r="K56" s="105" t="str">
        <f>IF(ISEVEN(B56),(B56-1)&amp;"/"&amp;B56,B56&amp;"/"&amp;(B56+1))</f>
        <v>4043/4044</v>
      </c>
      <c r="L56" s="22" t="str">
        <f>VLOOKUP(A56,'Trips&amp;Operators'!$C$1:$G$99999,5,FALSE)</f>
        <v>BEAM ROSS</v>
      </c>
      <c r="M56" s="6">
        <f>I56-F56</f>
        <v>2.4282407408463769E-2</v>
      </c>
      <c r="N56" s="7">
        <f>24*60*SUM($M56:$M56)</f>
        <v>34.966666668187827</v>
      </c>
      <c r="O56" s="7"/>
      <c r="P56" s="7"/>
      <c r="Q56" s="23"/>
      <c r="R56" s="23"/>
      <c r="S56" s="32">
        <f>SUM(U56:U56)/IF(AG56="EC",12,1)</f>
        <v>1</v>
      </c>
      <c r="T56" s="47" t="str">
        <f>IF(ISEVEN(LEFT(AD56,4)),"Southbound","NorthBound")</f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hh:mm:ss")&amp;utc_offset&amp;"00',mode:absolute,to:'"&amp;TEXT(I56+1/24,"yyyy-MM-DD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https://search-rtdc-monitor-bjffxe2xuh6vdkpspy63sjmuny.us-east-1.es.amazonaws.com/_plugin/kibana/#/discover/Steve-Slow-Train-Analysis-(2080s-and-2083s)?_g=(refreshInterval:(display:Off,section:0,value:0),time:(from:'2017-01-04 07:54:58-700',mode:absolute,to:'2017-01-04 10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6" s="49" t="str">
        <f>IF(AA56&lt;IF(AG56="EC",23,5.65),"Y","N")</f>
        <v>N</v>
      </c>
      <c r="X56" s="173">
        <f>VALUE(LEFT(AD56,4))-VALUE(LEFT(AD55,4))</f>
        <v>1</v>
      </c>
      <c r="Y56" s="64">
        <f t="shared" si="5"/>
        <v>4.5499999999999999E-2</v>
      </c>
      <c r="Z56" s="64">
        <f t="shared" si="6"/>
        <v>23.330100000000002</v>
      </c>
      <c r="AA56" s="64">
        <f>ABS(Z56-Y56)</f>
        <v>23.284600000000001</v>
      </c>
      <c r="AB56" s="61" t="e">
        <f>VLOOKUP(A56,Enforcements!$C$7:$K$19,8,0)</f>
        <v>#N/A</v>
      </c>
      <c r="AC56" s="57" t="e">
        <f>VLOOKUP(A56,Enforcements!$C$7:$E$19,3,0)</f>
        <v>#N/A</v>
      </c>
      <c r="AD56" s="58" t="str">
        <f>IF(LEN(A56)=6,"0"&amp;A56,A56)</f>
        <v>0143-04</v>
      </c>
      <c r="AE56" s="8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AF56" s="84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/stypes="app*4044*20170104*" /stext=" 16:.+((SYSTEM_STATE.+slice.+state.+changed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88" t="str">
        <f t="shared" si="7"/>
        <v>"%USERPROFILE%\Documents\GitHub\eaglep3\Utilities\RefineRTDCRunTimes.py" --tripid 143-04 --locoid 4044 --swversion DE.1.0.8.0 --startMP 204:455 --initTime 2017-01-04T08:54:58 --startdatetime 2017-01-04T09:01:43 --delay 1 --endMP 204:233301 --enddatetime 2017-01-04T09:36:41 --enforcementcount 0 &gt;&gt;C:\Users\stu\Documents\GitHub\eaglep3-reporting\EC\2017-01-04-refined-times.txt</v>
      </c>
      <c r="AI56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{"issue":{"subject":"","project_id":79,"tracker_id":40,"status_id":1,"priority_id":2,"assigned_to_id":23,"start_date":"2017-01-04","description":"","custom_fields":[{"id":1,"name":"Subdivision","value":"EC"},{"id":4,"name":"Milepost","value":"23.3301"},{"id":17,"name":"Train ID","value":"143-04"},{"id":16,"name":"Locomotive ID","value":"4044"},{"id":130,"name":"Impact","value":""},{"id":150,"name":"Time of Event (Mountain Time)","value":"09:36:41"},{"id":151,"name":"Denver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9"/>
        <v>start /low /b %USERPROFILE%\Documents\GitHub\eaglep3\Utilities\DownloadLogsFromS3.py --loco 4044 --day 2017-01-04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546</v>
      </c>
      <c r="B57" s="7">
        <v>4043</v>
      </c>
      <c r="C57" s="22" t="s">
        <v>203</v>
      </c>
      <c r="D57" s="22" t="s">
        <v>253</v>
      </c>
      <c r="E57" s="13">
        <v>42739.40761574074</v>
      </c>
      <c r="F57" s="13">
        <v>42739.414363425924</v>
      </c>
      <c r="G57" s="7">
        <v>1</v>
      </c>
      <c r="H57" s="22" t="s">
        <v>254</v>
      </c>
      <c r="I57" s="13">
        <v>42739.441238425927</v>
      </c>
      <c r="J57" s="7">
        <v>0</v>
      </c>
      <c r="K57" s="105" t="str">
        <f>IF(ISEVEN(B57),(B57-1)&amp;"/"&amp;B57,B57&amp;"/"&amp;(B57+1))</f>
        <v>4043/4044</v>
      </c>
      <c r="L57" s="22" t="str">
        <f>VLOOKUP(A57,'Trips&amp;Operators'!$C$1:$G$99999,5,FALSE)</f>
        <v>BEAM ROSS</v>
      </c>
      <c r="M57" s="6">
        <f>I57-F57</f>
        <v>2.6875000003201421E-2</v>
      </c>
      <c r="N57" s="7">
        <f>24*60*SUM($M57:$M57)</f>
        <v>38.700000004610047</v>
      </c>
      <c r="O57" s="7"/>
      <c r="P57" s="7"/>
      <c r="Q57" s="23"/>
      <c r="R57" s="23"/>
      <c r="S57" s="32">
        <f>SUM(U57:U57)/IF(AG57="EC",12,1)</f>
        <v>1</v>
      </c>
      <c r="T57" s="47" t="str">
        <f>IF(ISEVEN(LEFT(AD57,4)),"Southbound","NorthBound")</f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hh:mm:ss")&amp;utc_offset&amp;"00',mode:absolute,to:'"&amp;TEXT(I57+1/24,"yyyy-MM-DD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https://search-rtdc-monitor-bjffxe2xuh6vdkpspy63sjmuny.us-east-1.es.amazonaws.com/_plugin/kibana/#/discover/Steve-Slow-Train-Analysis-(2080s-and-2083s)?_g=(refreshInterval:(display:Off,section:0,value:0),time:(from:'2017-01-04 08:46:58-700',mode:absolute,to:'2017-01-04 11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7" s="49" t="str">
        <f>IF(AA57&lt;IF(AG57="EC",23,5.65),"Y","N")</f>
        <v>N</v>
      </c>
      <c r="X57" s="173">
        <f>VALUE(LEFT(AD57,4))-VALUE(LEFT(AD56,4))</f>
        <v>1</v>
      </c>
      <c r="Y57" s="64">
        <f t="shared" si="5"/>
        <v>23.297699999999999</v>
      </c>
      <c r="Z57" s="64">
        <f t="shared" si="6"/>
        <v>1.6E-2</v>
      </c>
      <c r="AA57" s="64">
        <f>ABS(Z57-Y57)</f>
        <v>23.281700000000001</v>
      </c>
      <c r="AB57" s="61" t="e">
        <f>VLOOKUP(A57,Enforcements!$C$7:$K$19,8,0)</f>
        <v>#N/A</v>
      </c>
      <c r="AC57" s="57" t="e">
        <f>VLOOKUP(A57,Enforcements!$C$7:$E$19,3,0)</f>
        <v>#N/A</v>
      </c>
      <c r="AD57" s="58" t="str">
        <f>IF(LEN(A57)=6,"0"&amp;A57,A57)</f>
        <v>0144-04</v>
      </c>
      <c r="AE57" s="8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s3://rtdc.mdm.uploadarchive.raw/RTDC4043/ "%USERPROFILE%\AppData\Local\Temp\OnboardLogs"\RTDC4043\2017-01-04 --exclude "*" --recursive --include "*20170104*" &amp; "%USERPROFILE%\Documents\GitHub\mrs-test-scripts\Headless Mode &amp; Sideloading\WalkAndUnGZ.bat" "%USERPROFILE%\AppData\Local\Temp\OnboardLogs"\RTDC4043\2017-01-04 &amp; 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</v>
      </c>
      <c r="AF57" s="84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/stypes="app*4043*20170104*" /stext=" 17:.+((SYSTEM_STATE.+slice.+state.+changed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88" t="str">
        <f t="shared" si="7"/>
        <v>"%USERPROFILE%\Documents\GitHub\eaglep3\Utilities\RefineRTDCRunTimes.py" --tripid 144-04 --locoid 4043 --swversion DE.1.0.8.0 --startMP 204:232977 --initTime 2017-01-04T09:46:58 --startdatetime 2017-01-04T09:56:41 --delay 1 --endMP 204:160 --enddatetime 2017-01-04T10:35:23 --enforcementcount 0 &gt;&gt;C:\Users\stu\Documents\GitHub\eaglep3-reporting\EC\2017-01-04-refined-times.txt</v>
      </c>
      <c r="AI57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{"issue":{"subject":"","project_id":79,"tracker_id":40,"status_id":1,"priority_id":2,"assigned_to_id":23,"start_date":"2017-01-04","description":"","custom_fields":[{"id":1,"name":"Subdivision","value":"EC"},{"id":4,"name":"Milepost","value":"0.016"},{"id":17,"name":"Train ID","value":"144-04"},{"id":16,"name":"Locomotive ID","value":"4043"},{"id":130,"name":"Impact","value":""},{"id":150,"name":"Time of Event (Mountain Time)","value":"10:35:23"},{"id":151,"name":"Denver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9"/>
        <v>start /low /b %USERPROFILE%\Documents\GitHub\eaglep3\Utilities\DownloadLogsFromS3.py --loco 4043 --day 2017-01-04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453</v>
      </c>
      <c r="B58" s="7">
        <v>4042</v>
      </c>
      <c r="C58" s="22" t="s">
        <v>203</v>
      </c>
      <c r="D58" s="22" t="s">
        <v>193</v>
      </c>
      <c r="E58" s="13">
        <v>42739.381388888891</v>
      </c>
      <c r="F58" s="13">
        <v>42739.385752314818</v>
      </c>
      <c r="G58" s="7">
        <v>1</v>
      </c>
      <c r="H58" s="22" t="s">
        <v>715</v>
      </c>
      <c r="I58" s="13">
        <v>42739.414340277777</v>
      </c>
      <c r="J58" s="7">
        <v>0</v>
      </c>
      <c r="K58" s="105" t="str">
        <f>IF(ISEVEN(B58),(B58-1)&amp;"/"&amp;B58,B58&amp;"/"&amp;(B58+1))</f>
        <v>4041/4042</v>
      </c>
      <c r="L58" s="22" t="str">
        <f>VLOOKUP(A58,'Trips&amp;Operators'!$C$1:$G$99999,5,FALSE)</f>
        <v>MAELZER KURT</v>
      </c>
      <c r="M58" s="6">
        <f>I58-F58</f>
        <v>2.8587962959136348E-2</v>
      </c>
      <c r="N58" s="7">
        <f>24*60*SUM($M58:$M58)</f>
        <v>41.166666661156341</v>
      </c>
      <c r="O58" s="7"/>
      <c r="P58" s="7"/>
      <c r="Q58" s="23"/>
      <c r="R58" s="23"/>
      <c r="S58" s="32">
        <f>SUM(U58:U58)/IF(AG58="EC",12,1)</f>
        <v>1</v>
      </c>
      <c r="T58" s="47" t="str">
        <f>IF(ISEVEN(LEFT(AD58,4)),"Southbound","NorthBound")</f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hh:mm:ss")&amp;utc_offset&amp;"00',mode:absolute,to:'"&amp;TEXT(I58+1/24,"yyyy-MM-DD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https://search-rtdc-monitor-bjffxe2xuh6vdkpspy63sjmuny.us-east-1.es.amazonaws.com/_plugin/kibana/#/discover/Steve-Slow-Train-Analysis-(2080s-and-2083s)?_g=(refreshInterval:(display:Off,section:0,value:0),time:(from:'2017-01-04 08:09:12-700',mode:absolute,to:'2017-01-04 10:56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8" s="49" t="str">
        <f>IF(AA58&lt;IF(AG58="EC",23,5.65),"Y","N")</f>
        <v>N</v>
      </c>
      <c r="X58" s="173">
        <f>VALUE(LEFT(AD58,4))-VALUE(LEFT(AD57,4))</f>
        <v>1</v>
      </c>
      <c r="Y58" s="64">
        <f t="shared" si="5"/>
        <v>4.4699999999999997E-2</v>
      </c>
      <c r="Z58" s="64">
        <f t="shared" si="6"/>
        <v>23.319299999999998</v>
      </c>
      <c r="AA58" s="64">
        <f>ABS(Z58-Y58)</f>
        <v>23.2746</v>
      </c>
      <c r="AB58" s="61" t="e">
        <f>VLOOKUP(A58,Enforcements!$C$7:$K$19,8,0)</f>
        <v>#N/A</v>
      </c>
      <c r="AC58" s="57" t="e">
        <f>VLOOKUP(A58,Enforcements!$C$7:$E$19,3,0)</f>
        <v>#N/A</v>
      </c>
      <c r="AD58" s="58" t="str">
        <f>IF(LEN(A58)=6,"0"&amp;A58,A58)</f>
        <v>0145-04</v>
      </c>
      <c r="AE58" s="8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s3://rtdc.mdm.uploadarchive.raw/RTDC4042/ "%USERPROFILE%\AppData\Local\Temp\OnboardLogs"\RTDC4042\2017-01-04 --exclude "*" --recursive --include "*20170104*" &amp; "%USERPROFILE%\Documents\GitHub\mrs-test-scripts\Headless Mode &amp; Sideloading\WalkAndUnGZ.bat" "%USERPROFILE%\AppData\Local\Temp\OnboardLogs"\RTDC4042\2017-01-04 &amp; 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</v>
      </c>
      <c r="AF58" s="84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/stypes="app*4042*20170104*" /stext=" 16:.+((SYSTEM_STATE.+slice.+state.+changed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88" t="str">
        <f t="shared" si="7"/>
        <v>"%USERPROFILE%\Documents\GitHub\eaglep3\Utilities\RefineRTDCRunTimes.py" --tripid 145-04 --locoid 4042 --swversion DE.1.0.8.0 --startMP 204:447 --initTime 2017-01-04T09:09:12 --startdatetime 2017-01-04T09:15:29 --delay 1 --endMP 204:233193 --enddatetime 2017-01-04T09:56:39 --enforcementcount 0 &gt;&gt;C:\Users\stu\Documents\GitHub\eaglep3-reporting\EC\2017-01-04-refined-times.txt</v>
      </c>
      <c r="AI58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{"issue":{"subject":"","project_id":79,"tracker_id":40,"status_id":1,"priority_id":2,"assigned_to_id":23,"start_date":"2017-01-04","description":"","custom_fields":[{"id":1,"name":"Subdivision","value":"EC"},{"id":4,"name":"Milepost","value":"23.3193"},{"id":17,"name":"Train ID","value":"145-04"},{"id":16,"name":"Locomotive ID","value":"4042"},{"id":130,"name":"Impact","value":""},{"id":150,"name":"Time of Event (Mountain Time)","value":"09:56:39"},{"id":151,"name":"Denver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9"/>
        <v>start /low /b %USERPROFILE%\Documents\GitHub\eaglep3\Utilities\DownloadLogsFromS3.py --loco 4042 --day 2017-01-04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548</v>
      </c>
      <c r="B59" s="7">
        <v>4041</v>
      </c>
      <c r="C59" s="22" t="s">
        <v>203</v>
      </c>
      <c r="D59" s="22" t="s">
        <v>716</v>
      </c>
      <c r="E59" s="13">
        <v>42739.419074074074</v>
      </c>
      <c r="F59" s="13">
        <v>42739.424861111111</v>
      </c>
      <c r="G59" s="7">
        <v>0</v>
      </c>
      <c r="H59" s="22" t="s">
        <v>249</v>
      </c>
      <c r="I59" s="13">
        <v>42739.451319444444</v>
      </c>
      <c r="J59" s="7">
        <v>0</v>
      </c>
      <c r="K59" s="105" t="str">
        <f>IF(ISEVEN(B59),(B59-1)&amp;"/"&amp;B59,B59&amp;"/"&amp;(B59+1))</f>
        <v>4041/4042</v>
      </c>
      <c r="L59" s="22" t="str">
        <f>VLOOKUP(A59,'Trips&amp;Operators'!$C$1:$G$99999,5,FALSE)</f>
        <v>MAELZER KURT</v>
      </c>
      <c r="M59" s="6">
        <f>I59-F59</f>
        <v>2.6458333333721384E-2</v>
      </c>
      <c r="N59" s="7">
        <f>24*60*SUM($M59:$M59)</f>
        <v>38.100000000558794</v>
      </c>
      <c r="O59" s="7"/>
      <c r="P59" s="7"/>
      <c r="Q59" s="23"/>
      <c r="R59" s="23"/>
      <c r="S59" s="32">
        <f>SUM(U59:U59)/IF(AG59="EC",12,1)</f>
        <v>1</v>
      </c>
      <c r="T59" s="47" t="str">
        <f>IF(ISEVEN(LEFT(AD59,4)),"Southbound","NorthBound")</f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hh:mm:ss")&amp;utc_offset&amp;"00',mode:absolute,to:'"&amp;TEXT(I59+1/24,"yyyy-MM-DD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https://search-rtdc-monitor-bjffxe2xuh6vdkpspy63sjmuny.us-east-1.es.amazonaws.com/_plugin/kibana/#/discover/Steve-Slow-Train-Analysis-(2080s-and-2083s)?_g=(refreshInterval:(display:Off,section:0,value:0),time:(from:'2017-01-04 09:03:28-700',mode:absolute,to:'2017-01-04 11:49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9" s="49" t="str">
        <f>IF(AA59&lt;IF(AG59="EC",23,5.65),"Y","N")</f>
        <v>N</v>
      </c>
      <c r="X59" s="173">
        <f>VALUE(LEFT(AD59,4))-VALUE(LEFT(AD58,4))</f>
        <v>1</v>
      </c>
      <c r="Y59" s="64">
        <f t="shared" si="5"/>
        <v>23.287500000000001</v>
      </c>
      <c r="Z59" s="64">
        <f t="shared" si="6"/>
        <v>1.47E-2</v>
      </c>
      <c r="AA59" s="64">
        <f>ABS(Z59-Y59)</f>
        <v>23.2728</v>
      </c>
      <c r="AB59" s="61" t="e">
        <f>VLOOKUP(A59,Enforcements!$C$7:$K$19,8,0)</f>
        <v>#N/A</v>
      </c>
      <c r="AC59" s="57" t="e">
        <f>VLOOKUP(A59,Enforcements!$C$7:$E$19,3,0)</f>
        <v>#N/A</v>
      </c>
      <c r="AD59" s="58" t="str">
        <f>IF(LEN(A59)=6,"0"&amp;A59,A59)</f>
        <v>0146-04</v>
      </c>
      <c r="AE59" s="8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 &amp; 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</v>
      </c>
      <c r="AF59" s="84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/stypes="app*4041*20170104*" /stext=" 17:.+((SYSTEM_STATE.+slice.+state.+changed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88" t="str">
        <f t="shared" si="7"/>
        <v>"%USERPROFILE%\Documents\GitHub\eaglep3\Utilities\RefineRTDCRunTimes.py" --tripid 146-04 --locoid 4041 --swversion DE.1.0.8.0 --startMP 204:232875 --initTime 2017-01-04T10:03:28 --startdatetime 2017-01-04T10:11:48 --delay 0 --endMP 204:147 --enddatetime 2017-01-04T10:49:54 --enforcementcount 0 &gt;&gt;C:\Users\stu\Documents\GitHub\eaglep3-reporting\EC\2017-01-04-refined-times.txt</v>
      </c>
      <c r="AI59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{"issue":{"subject":"","project_id":79,"tracker_id":40,"status_id":1,"priority_id":2,"assigned_to_id":23,"start_date":"2017-01-04","description":"","custom_fields":[{"id":1,"name":"Subdivision","value":"EC"},{"id":4,"name":"Milepost","value":"0.0147"},{"id":17,"name":"Train ID","value":"146-04"},{"id":16,"name":"Locomotive ID","value":"4041"},{"id":130,"name":"Impact","value":""},{"id":150,"name":"Time of Event (Mountain Time)","value":"10:49:54"},{"id":151,"name":"Denver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9"/>
        <v>start /low /b %USERPROFILE%\Documents\GitHub\eaglep3\Utilities\DownloadLogsFromS3.py --loco 4041 --day 2017-01-04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452</v>
      </c>
      <c r="B60" s="7">
        <v>4016</v>
      </c>
      <c r="C60" s="22" t="s">
        <v>203</v>
      </c>
      <c r="D60" s="22" t="s">
        <v>372</v>
      </c>
      <c r="E60" s="13">
        <v>42739.393425925926</v>
      </c>
      <c r="F60" s="13">
        <v>42739.396041666667</v>
      </c>
      <c r="G60" s="7">
        <v>3</v>
      </c>
      <c r="H60" s="22" t="s">
        <v>701</v>
      </c>
      <c r="I60" s="13">
        <v>42739.421620370369</v>
      </c>
      <c r="J60" s="7">
        <v>0</v>
      </c>
      <c r="K60" s="105" t="str">
        <f>IF(ISEVEN(B60),(B60-1)&amp;"/"&amp;B60,B60&amp;"/"&amp;(B60+1))</f>
        <v>4015/4016</v>
      </c>
      <c r="L60" s="22" t="str">
        <f>VLOOKUP(A60,'Trips&amp;Operators'!$C$1:$G$99999,5,FALSE)</f>
        <v>COMELLA JUSTIN</v>
      </c>
      <c r="M60" s="6">
        <f>I60-F60</f>
        <v>2.5578703702194616E-2</v>
      </c>
      <c r="N60" s="7">
        <f>24*60*SUM($M60:$M60)</f>
        <v>36.833333331160247</v>
      </c>
      <c r="O60" s="7"/>
      <c r="P60" s="7"/>
      <c r="Q60" s="23"/>
      <c r="R60" s="23"/>
      <c r="S60" s="32">
        <f>SUM(U60:U60)/IF(AG60="EC",12,1)</f>
        <v>1</v>
      </c>
      <c r="T60" s="47" t="str">
        <f>IF(ISEVEN(LEFT(AD60,4)),"Southbound","NorthBound")</f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hh:mm:ss")&amp;utc_offset&amp;"00',mode:absolute,to:'"&amp;TEXT(I60+1/24,"yyyy-MM-DD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https://search-rtdc-monitor-bjffxe2xuh6vdkpspy63sjmuny.us-east-1.es.amazonaws.com/_plugin/kibana/#/discover/Steve-Slow-Train-Analysis-(2080s-and-2083s)?_g=(refreshInterval:(display:Off,section:0,value:0),time:(from:'2017-01-04 08:26:32-700',mode:absolute,to:'2017-01-04 11:07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0" s="49" t="str">
        <f>IF(AA60&lt;IF(AG60="EC",23,5.65),"Y","N")</f>
        <v>N</v>
      </c>
      <c r="X60" s="173">
        <f>VALUE(LEFT(AD60,4))-VALUE(LEFT(AD59,4))</f>
        <v>1</v>
      </c>
      <c r="Y60" s="64">
        <f t="shared" si="5"/>
        <v>4.58E-2</v>
      </c>
      <c r="Z60" s="64">
        <f t="shared" si="6"/>
        <v>23.328399999999998</v>
      </c>
      <c r="AA60" s="64">
        <f>ABS(Z60-Y60)</f>
        <v>23.282599999999999</v>
      </c>
      <c r="AB60" s="61" t="str">
        <f>VLOOKUP(A60,Enforcements!$C$7:$K$19,8,0)</f>
        <v>Speed (6)</v>
      </c>
      <c r="AC60" s="57" t="str">
        <f>VLOOKUP(A60,Enforcements!$C$7:$E$19,3,0)</f>
        <v>PERMANENT SPEED RESTRICTION</v>
      </c>
      <c r="AD60" s="58" t="str">
        <f>IF(LEN(A60)=6,"0"&amp;A60,A60)</f>
        <v>0147-04</v>
      </c>
      <c r="AE60" s="8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AF60" s="84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/stypes="app*4016*20170104*" /stext=" 17:.+((SYSTEM_STATE.+slice.+state.+changed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88" t="str">
        <f t="shared" si="7"/>
        <v>"%USERPROFILE%\Documents\GitHub\eaglep3\Utilities\RefineRTDCRunTimes.py" --tripid 147-04 --locoid 4016 --swversion DE.1.0.8.0 --startMP 204:458 --initTime 2017-01-04T09:26:32 --startdatetime 2017-01-04T09:30:18 --delay 3 --endMP 204:233284 --enddatetime 2017-01-04T10:07:08 --enforcementcount 0 &gt;&gt;C:\Users\stu\Documents\GitHub\eaglep3-reporting\EC\2017-01-04-refined-times.txt</v>
      </c>
      <c r="AI60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{"issue":{"subject":"","project_id":79,"tracker_id":40,"status_id":1,"priority_id":2,"assigned_to_id":23,"start_date":"2017-01-04","description":"","custom_fields":[{"id":1,"name":"Subdivision","value":"EC"},{"id":4,"name":"Milepost","value":"23.3284"},{"id":17,"name":"Train ID","value":"147-04"},{"id":16,"name":"Locomotive ID","value":"4016"},{"id":130,"name":"Impact","value":""},{"id":150,"name":"Time of Event (Mountain Time)","value":"10:07:08"},{"id":151,"name":"Denver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9"/>
        <v>start /low /b %USERPROFILE%\Documents\GitHub\eaglep3\Utilities\DownloadLogsFromS3.py --loco 4016 --day 2017-01-04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550</v>
      </c>
      <c r="B61" s="7">
        <v>4015</v>
      </c>
      <c r="C61" s="22" t="s">
        <v>203</v>
      </c>
      <c r="D61" s="22" t="s">
        <v>289</v>
      </c>
      <c r="E61" s="13">
        <v>42739.426562499997</v>
      </c>
      <c r="F61" s="13">
        <v>42739.43509259259</v>
      </c>
      <c r="G61" s="7">
        <v>1</v>
      </c>
      <c r="H61" s="22" t="s">
        <v>249</v>
      </c>
      <c r="I61" s="13">
        <v>42739.462557870371</v>
      </c>
      <c r="J61" s="7">
        <v>0</v>
      </c>
      <c r="K61" s="105" t="str">
        <f>IF(ISEVEN(B61),(B61-1)&amp;"/"&amp;B61,B61&amp;"/"&amp;(B61+1))</f>
        <v>4015/4016</v>
      </c>
      <c r="L61" s="22" t="str">
        <f>VLOOKUP(A61,'Trips&amp;Operators'!$C$1:$G$99999,5,FALSE)</f>
        <v>COMELLA JUSTIN</v>
      </c>
      <c r="M61" s="6">
        <f>I61-F61</f>
        <v>2.7465277780720498E-2</v>
      </c>
      <c r="N61" s="7">
        <f>24*60*SUM($M61:$M61)</f>
        <v>39.550000004237518</v>
      </c>
      <c r="O61" s="7"/>
      <c r="P61" s="7"/>
      <c r="Q61" s="23"/>
      <c r="R61" s="23"/>
      <c r="S61" s="32">
        <f>SUM(U61:U61)/IF(AG61="EC",12,1)</f>
        <v>1</v>
      </c>
      <c r="T61" s="47" t="str">
        <f>IF(ISEVEN(LEFT(AD61,4)),"Southbound","NorthBound")</f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hh:mm:ss")&amp;utc_offset&amp;"00',mode:absolute,to:'"&amp;TEXT(I61+1/24,"yyyy-MM-DD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https://search-rtdc-monitor-bjffxe2xuh6vdkpspy63sjmuny.us-east-1.es.amazonaws.com/_plugin/kibana/#/discover/Steve-Slow-Train-Analysis-(2080s-and-2083s)?_g=(refreshInterval:(display:Off,section:0,value:0),time:(from:'2017-01-04 09:14:15-700',mode:absolute,to:'2017-01-04 12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1" s="49" t="str">
        <f>IF(AA61&lt;IF(AG61="EC",23,5.65),"Y","N")</f>
        <v>N</v>
      </c>
      <c r="X61" s="173">
        <f>VALUE(LEFT(AD61,4))-VALUE(LEFT(AD60,4))</f>
        <v>1</v>
      </c>
      <c r="Y61" s="64">
        <f t="shared" si="5"/>
        <v>23.297999999999998</v>
      </c>
      <c r="Z61" s="64">
        <f t="shared" si="6"/>
        <v>1.47E-2</v>
      </c>
      <c r="AA61" s="64">
        <f>ABS(Z61-Y61)</f>
        <v>23.283299999999997</v>
      </c>
      <c r="AB61" s="61" t="e">
        <f>VLOOKUP(A61,Enforcements!$C$7:$K$19,8,0)</f>
        <v>#N/A</v>
      </c>
      <c r="AC61" s="57" t="e">
        <f>VLOOKUP(A61,Enforcements!$C$7:$E$19,3,0)</f>
        <v>#N/A</v>
      </c>
      <c r="AD61" s="58" t="str">
        <f>IF(LEN(A61)=6,"0"&amp;A61,A61)</f>
        <v>0148-04</v>
      </c>
      <c r="AE61" s="8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 &amp; 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</v>
      </c>
      <c r="AF61" s="84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/stypes="app*4015*20170104*" /stext=" 18:.+((SYSTEM_STATE.+slice.+state.+changed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88" t="str">
        <f t="shared" si="7"/>
        <v>"%USERPROFILE%\Documents\GitHub\eaglep3\Utilities\RefineRTDCRunTimes.py" --tripid 148-04 --locoid 4015 --swversion DE.1.0.8.0 --startMP 204:232980 --initTime 2017-01-04T10:14:15 --startdatetime 2017-01-04T10:26:32 --delay 1 --endMP 204:147 --enddatetime 2017-01-04T11:06:05 --enforcementcount 0 &gt;&gt;C:\Users\stu\Documents\GitHub\eaglep3-reporting\EC\2017-01-04-refined-times.txt</v>
      </c>
      <c r="AI61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{"issue":{"subject":"","project_id":79,"tracker_id":40,"status_id":1,"priority_id":2,"assigned_to_id":23,"start_date":"2017-01-04","description":"","custom_fields":[{"id":1,"name":"Subdivision","value":"EC"},{"id":4,"name":"Milepost","value":"0.0147"},{"id":17,"name":"Train ID","value":"148-04"},{"id":16,"name":"Locomotive ID","value":"4015"},{"id":130,"name":"Impact","value":""},{"id":150,"name":"Time of Event (Mountain Time)","value":"11:06:05"},{"id":151,"name":"Denver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9"/>
        <v>start /low /b %USERPROFILE%\Documents\GitHub\eaglep3\Utilities\DownloadLogsFromS3.py --loco 4015 --day 2017-01-04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544</v>
      </c>
      <c r="B62" s="7">
        <v>4029</v>
      </c>
      <c r="C62" s="22" t="s">
        <v>203</v>
      </c>
      <c r="D62" s="22" t="s">
        <v>255</v>
      </c>
      <c r="E62" s="13">
        <v>42739.402673611112</v>
      </c>
      <c r="F62" s="13">
        <v>42739.406608796293</v>
      </c>
      <c r="G62" s="7">
        <v>1</v>
      </c>
      <c r="H62" s="22" t="s">
        <v>420</v>
      </c>
      <c r="I62" s="13">
        <v>42739.433449074073</v>
      </c>
      <c r="J62" s="7">
        <v>0</v>
      </c>
      <c r="K62" s="105" t="str">
        <f>IF(ISEVEN(B62),(B62-1)&amp;"/"&amp;B62,B62&amp;"/"&amp;(B62+1))</f>
        <v>4029/4030</v>
      </c>
      <c r="L62" s="22" t="str">
        <f>VLOOKUP(A62,'Trips&amp;Operators'!$C$1:$G$99999,5,FALSE)</f>
        <v>BONDS REYNALDO</v>
      </c>
      <c r="M62" s="6">
        <f>I62-F62</f>
        <v>2.6840277780138422E-2</v>
      </c>
      <c r="N62" s="7">
        <f>24*60*SUM($M62:$M62)</f>
        <v>38.650000003399327</v>
      </c>
      <c r="O62" s="7"/>
      <c r="P62" s="7"/>
      <c r="Q62" s="23"/>
      <c r="R62" s="23"/>
      <c r="S62" s="32">
        <f>SUM(U62:U62)/IF(AG62="EC",12,1)</f>
        <v>1</v>
      </c>
      <c r="T62" s="47" t="str">
        <f>IF(ISEVEN(LEFT(AD62,4)),"Southbound","NorthBound")</f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hh:mm:ss")&amp;utc_offset&amp;"00',mode:absolute,to:'"&amp;TEXT(I62+1/24,"yyyy-MM-DD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https://search-rtdc-monitor-bjffxe2xuh6vdkpspy63sjmuny.us-east-1.es.amazonaws.com/_plugin/kibana/#/discover/Steve-Slow-Train-Analysis-(2080s-and-2083s)?_g=(refreshInterval:(display:Off,section:0,value:0),time:(from:'2017-01-04 08:39:51-700',mode:absolute,to:'2017-01-04 11:24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2" s="49" t="str">
        <f>IF(AA62&lt;IF(AG62="EC",23,5.65),"Y","N")</f>
        <v>N</v>
      </c>
      <c r="X62" s="173">
        <f>VALUE(LEFT(AD62,4))-VALUE(LEFT(AD61,4))</f>
        <v>1</v>
      </c>
      <c r="Y62" s="64">
        <f t="shared" si="5"/>
        <v>4.6199999999999998E-2</v>
      </c>
      <c r="Z62" s="64">
        <f t="shared" si="6"/>
        <v>23.331399999999999</v>
      </c>
      <c r="AA62" s="64">
        <f>ABS(Z62-Y62)</f>
        <v>23.2852</v>
      </c>
      <c r="AB62" s="61" t="e">
        <f>VLOOKUP(A62,Enforcements!$C$7:$K$19,8,0)</f>
        <v>#N/A</v>
      </c>
      <c r="AC62" s="57" t="e">
        <f>VLOOKUP(A62,Enforcements!$C$7:$E$19,3,0)</f>
        <v>#N/A</v>
      </c>
      <c r="AD62" s="58" t="str">
        <f>IF(LEN(A62)=6,"0"&amp;A62,A62)</f>
        <v>0149-04</v>
      </c>
      <c r="AE62" s="8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 &amp; 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</v>
      </c>
      <c r="AF62" s="84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/stypes="app*4029*20170104*" /stext=" 17:.+((SYSTEM_STATE.+slice.+state.+changed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88" t="str">
        <f t="shared" si="7"/>
        <v>"%USERPROFILE%\Documents\GitHub\eaglep3\Utilities\RefineRTDCRunTimes.py" --tripid 149-04 --locoid 4029 --swversion DE.1.0.8.0 --startMP 204:462 --initTime 2017-01-04T09:39:51 --startdatetime 2017-01-04T09:45:31 --delay 1 --endMP 204:233314 --enddatetime 2017-01-04T10:24:10 --enforcementcount 0 &gt;&gt;C:\Users\stu\Documents\GitHub\eaglep3-reporting\EC\2017-01-04-refined-times.txt</v>
      </c>
      <c r="AI62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{"issue":{"subject":"","project_id":79,"tracker_id":40,"status_id":1,"priority_id":2,"assigned_to_id":23,"start_date":"2017-01-04","description":"","custom_fields":[{"id":1,"name":"Subdivision","value":"EC"},{"id":4,"name":"Milepost","value":"23.3314"},{"id":17,"name":"Train ID","value":"149-04"},{"id":16,"name":"Locomotive ID","value":"4029"},{"id":130,"name":"Impact","value":""},{"id":150,"name":"Time of Event (Mountain Time)","value":"10:24:10"},{"id":151,"name":"Denver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9"/>
        <v>start /low /b %USERPROFILE%\Documents\GitHub\eaglep3\Utilities\DownloadLogsFromS3.py --loco 4029 --day 2017-01-04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556</v>
      </c>
      <c r="B63" s="7">
        <v>4030</v>
      </c>
      <c r="C63" s="22" t="s">
        <v>203</v>
      </c>
      <c r="D63" s="22" t="s">
        <v>318</v>
      </c>
      <c r="E63" s="13">
        <v>42739.440092592595</v>
      </c>
      <c r="F63" s="13">
        <v>42739.445601851854</v>
      </c>
      <c r="G63" s="7">
        <v>0</v>
      </c>
      <c r="H63" s="22" t="s">
        <v>209</v>
      </c>
      <c r="I63" s="13">
        <v>42739.472592592596</v>
      </c>
      <c r="J63" s="7">
        <v>0</v>
      </c>
      <c r="K63" s="105" t="str">
        <f>IF(ISEVEN(B63),(B63-1)&amp;"/"&amp;B63,B63&amp;"/"&amp;(B63+1))</f>
        <v>4029/4030</v>
      </c>
      <c r="L63" s="22" t="str">
        <f>VLOOKUP(A63,'Trips&amp;Operators'!$C$1:$G$99999,5,FALSE)</f>
        <v>BONDS REYNALDO</v>
      </c>
      <c r="M63" s="6">
        <f>I63-F63</f>
        <v>2.6990740741894115E-2</v>
      </c>
      <c r="N63" s="7">
        <f>24*60*SUM($M63:$M63)</f>
        <v>38.866666668327525</v>
      </c>
      <c r="O63" s="7"/>
      <c r="P63" s="7"/>
      <c r="Q63" s="23"/>
      <c r="R63" s="23"/>
      <c r="S63" s="32">
        <f>SUM(U63:U63)/IF(AG63="EC",12,1)</f>
        <v>1</v>
      </c>
      <c r="T63" s="47" t="str">
        <f>IF(ISEVEN(LEFT(AD63,4)),"Southbound","NorthBound")</f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hh:mm:ss")&amp;utc_offset&amp;"00',mode:absolute,to:'"&amp;TEXT(I63+1/24,"yyyy-MM-DD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https://search-rtdc-monitor-bjffxe2xuh6vdkpspy63sjmuny.us-east-1.es.amazonaws.com/_plugin/kibana/#/discover/Steve-Slow-Train-Analysis-(2080s-and-2083s)?_g=(refreshInterval:(display:Off,section:0,value:0),time:(from:'2017-01-04 09:33:44-700',mode:absolute,to:'2017-01-04 12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3" s="49" t="str">
        <f>IF(AA63&lt;IF(AG63="EC",23,5.65),"Y","N")</f>
        <v>N</v>
      </c>
      <c r="X63" s="173">
        <f>VALUE(LEFT(AD63,4))-VALUE(LEFT(AD62,4))</f>
        <v>1</v>
      </c>
      <c r="Y63" s="64">
        <f t="shared" si="5"/>
        <v>23.301100000000002</v>
      </c>
      <c r="Z63" s="64">
        <f t="shared" si="6"/>
        <v>1.4999999999999999E-2</v>
      </c>
      <c r="AA63" s="64">
        <f>ABS(Z63-Y63)</f>
        <v>23.286100000000001</v>
      </c>
      <c r="AB63" s="61" t="e">
        <f>VLOOKUP(A63,Enforcements!$C$7:$K$19,8,0)</f>
        <v>#N/A</v>
      </c>
      <c r="AC63" s="57" t="e">
        <f>VLOOKUP(A63,Enforcements!$C$7:$E$19,3,0)</f>
        <v>#N/A</v>
      </c>
      <c r="AD63" s="58" t="str">
        <f>IF(LEN(A63)=6,"0"&amp;A63,A63)</f>
        <v>0150-04</v>
      </c>
      <c r="AE63" s="8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 &amp; 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</v>
      </c>
      <c r="AF63" s="84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/stypes="app*4030*20170104*" /stext=" 18:.+((SYSTEM_STATE.+slice.+state.+changed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88" t="str">
        <f t="shared" si="7"/>
        <v>"%USERPROFILE%\Documents\GitHub\eaglep3\Utilities\RefineRTDCRunTimes.py" --tripid 150-04 --locoid 4030 --swversion DE.1.0.8.0 --startMP 204:233011 --initTime 2017-01-04T10:33:44 --startdatetime 2017-01-04T10:41:40 --delay 0 --endMP 204:150 --enddatetime 2017-01-04T11:20:32 --enforcementcount 0 &gt;&gt;C:\Users\stu\Documents\GitHub\eaglep3-reporting\EC\2017-01-04-refined-times.txt</v>
      </c>
      <c r="AI63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{"issue":{"subject":"","project_id":79,"tracker_id":40,"status_id":1,"priority_id":2,"assigned_to_id":23,"start_date":"2017-01-04","description":"","custom_fields":[{"id":1,"name":"Subdivision","value":"EC"},{"id":4,"name":"Milepost","value":"0.015"},{"id":17,"name":"Train ID","value":"150-04"},{"id":16,"name":"Locomotive ID","value":"4030"},{"id":130,"name":"Impact","value":""},{"id":150,"name":"Time of Event (Mountain Time)","value":"11:20:32"},{"id":151,"name":"Denver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9"/>
        <v>start /low /b %USERPROFILE%\Documents\GitHub\eaglep3\Utilities\DownloadLogsFromS3.py --loco 4030 --day 2017-01-04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547</v>
      </c>
      <c r="B64" s="7">
        <v>4009</v>
      </c>
      <c r="C64" s="22" t="s">
        <v>203</v>
      </c>
      <c r="D64" s="22" t="s">
        <v>316</v>
      </c>
      <c r="E64" s="13">
        <v>42739.411562499998</v>
      </c>
      <c r="F64" s="13">
        <v>42739.416863425926</v>
      </c>
      <c r="G64" s="7">
        <v>1</v>
      </c>
      <c r="H64" s="22" t="s">
        <v>717</v>
      </c>
      <c r="I64" s="13">
        <v>42739.442210648151</v>
      </c>
      <c r="J64" s="7">
        <v>0</v>
      </c>
      <c r="K64" s="105" t="str">
        <f>IF(ISEVEN(B64),(B64-1)&amp;"/"&amp;B64,B64&amp;"/"&amp;(B64+1))</f>
        <v>4009/4010</v>
      </c>
      <c r="L64" s="22" t="str">
        <f>VLOOKUP(A64,'Trips&amp;Operators'!$C$1:$G$99999,5,FALSE)</f>
        <v>OUN ZACK</v>
      </c>
      <c r="M64" s="6">
        <f>I64-F64</f>
        <v>2.5347222224809229E-2</v>
      </c>
      <c r="N64" s="7">
        <f>24*60*SUM($M64:$M64)</f>
        <v>36.50000000372529</v>
      </c>
      <c r="O64" s="7"/>
      <c r="P64" s="7"/>
      <c r="Q64" s="23"/>
      <c r="R64" s="23"/>
      <c r="S64" s="32">
        <f>SUM(U64:U64)/IF(AG64="EC",12,1)</f>
        <v>1</v>
      </c>
      <c r="T64" s="47" t="str">
        <f>IF(ISEVEN(LEFT(AD64,4)),"Southbound","NorthBound")</f>
        <v>NorthBound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hh:mm:ss")&amp;utc_offset&amp;"00',mode:absolute,to:'"&amp;TEXT(I64+1/24,"yyyy-MM-DD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https://search-rtdc-monitor-bjffxe2xuh6vdkpspy63sjmuny.us-east-1.es.amazonaws.com/_plugin/kibana/#/discover/Steve-Slow-Train-Analysis-(2080s-and-2083s)?_g=(refreshInterval:(display:Off,section:0,value:0),time:(from:'2017-01-04 08:52:39-700',mode:absolute,to:'2017-01-04 11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4" s="49" t="str">
        <f>IF(AA64&lt;IF(AG64="EC",23,5.65),"Y","N")</f>
        <v>N</v>
      </c>
      <c r="X64" s="173">
        <f>VALUE(LEFT(AD64,4))-VALUE(LEFT(AD63,4))</f>
        <v>1</v>
      </c>
      <c r="Y64" s="64">
        <f t="shared" si="5"/>
        <v>4.3700000000000003E-2</v>
      </c>
      <c r="Z64" s="64">
        <f t="shared" si="6"/>
        <v>23.3337</v>
      </c>
      <c r="AA64" s="64">
        <f>ABS(Z64-Y64)</f>
        <v>23.29</v>
      </c>
      <c r="AB64" s="61" t="e">
        <f>VLOOKUP(A64,Enforcements!$C$7:$K$19,8,0)</f>
        <v>#N/A</v>
      </c>
      <c r="AC64" s="57" t="e">
        <f>VLOOKUP(A64,Enforcements!$C$7:$E$19,3,0)</f>
        <v>#N/A</v>
      </c>
      <c r="AD64" s="58" t="str">
        <f>IF(LEN(A64)=6,"0"&amp;A64,A64)</f>
        <v>0151-04</v>
      </c>
      <c r="AE64" s="8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 &amp; 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</v>
      </c>
      <c r="AF64" s="84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/stypes="app*4009*20170104*" /stext=" 17:.+((SYSTEM_STATE.+slice.+state.+changed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88" t="str">
        <f t="shared" si="7"/>
        <v>"%USERPROFILE%\Documents\GitHub\eaglep3\Utilities\RefineRTDCRunTimes.py" --tripid 151-04 --locoid 4009 --swversion DE.1.0.8.0 --startMP 204:437 --initTime 2017-01-04T09:52:39 --startdatetime 2017-01-04T10:00:17 --delay 1 --endMP 204:233337 --enddatetime 2017-01-04T10:36:47 --enforcementcount 0 &gt;&gt;C:\Users\stu\Documents\GitHub\eaglep3-reporting\EC\2017-01-04-refined-times.txt</v>
      </c>
      <c r="AI64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{"issue":{"subject":"","project_id":79,"tracker_id":40,"status_id":1,"priority_id":2,"assigned_to_id":23,"start_date":"2017-01-04","description":"","custom_fields":[{"id":1,"name":"Subdivision","value":"EC"},{"id":4,"name":"Milepost","value":"23.3337"},{"id":17,"name":"Train ID","value":"151-04"},{"id":16,"name":"Locomotive ID","value":"4009"},{"id":130,"name":"Impact","value":""},{"id":150,"name":"Time of Event (Mountain Time)","value":"10:36:47"},{"id":151,"name":"Denver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9"/>
        <v>start /low /b %USERPROFILE%\Documents\GitHub\eaglep3\Utilities\DownloadLogsFromS3.py --loco 4009 --day 2017-01-04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559</v>
      </c>
      <c r="B65" s="7">
        <v>4010</v>
      </c>
      <c r="C65" s="22" t="s">
        <v>203</v>
      </c>
      <c r="D65" s="22" t="s">
        <v>328</v>
      </c>
      <c r="E65" s="13">
        <v>42739.450115740743</v>
      </c>
      <c r="F65" s="13">
        <v>42739.455717592595</v>
      </c>
      <c r="G65" s="7">
        <v>1</v>
      </c>
      <c r="H65" s="22" t="s">
        <v>423</v>
      </c>
      <c r="I65" s="13">
        <v>42739.482534722221</v>
      </c>
      <c r="J65" s="7">
        <v>0</v>
      </c>
      <c r="K65" s="105" t="str">
        <f>IF(ISEVEN(B65),(B65-1)&amp;"/"&amp;B65,B65&amp;"/"&amp;(B65+1))</f>
        <v>4009/4010</v>
      </c>
      <c r="L65" s="22" t="str">
        <f>VLOOKUP(A65,'Trips&amp;Operators'!$C$1:$G$99999,5,FALSE)</f>
        <v>OUN ZACK</v>
      </c>
      <c r="M65" s="6">
        <f>I65-F65</f>
        <v>2.6817129626579117E-2</v>
      </c>
      <c r="N65" s="7">
        <f>24*60*SUM($M65:$M65)</f>
        <v>38.616666662273929</v>
      </c>
      <c r="O65" s="7"/>
      <c r="P65" s="7"/>
      <c r="Q65" s="23"/>
      <c r="R65" s="23"/>
      <c r="S65" s="32">
        <f>SUM(U65:U65)/IF(AG65="EC",12,1)</f>
        <v>1</v>
      </c>
      <c r="T65" s="47" t="str">
        <f>IF(ISEVEN(LEFT(AD65,4)),"Southbound","NorthBound")</f>
        <v>Southbound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hh:mm:ss")&amp;utc_offset&amp;"00',mode:absolute,to:'"&amp;TEXT(I65+1/24,"yyyy-MM-DD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https://search-rtdc-monitor-bjffxe2xuh6vdkpspy63sjmuny.us-east-1.es.amazonaws.com/_plugin/kibana/#/discover/Steve-Slow-Train-Analysis-(2080s-and-2083s)?_g=(refreshInterval:(display:Off,section:0,value:0),time:(from:'2017-01-04 09:48:10-700',mode:absolute,to:'2017-01-04 12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5" s="49" t="str">
        <f>IF(AA65&lt;IF(AG65="EC",23,5.65),"Y","N")</f>
        <v>N</v>
      </c>
      <c r="X65" s="173">
        <f>VALUE(LEFT(AD65,4))-VALUE(LEFT(AD64,4))</f>
        <v>1</v>
      </c>
      <c r="Y65" s="64">
        <f t="shared" si="5"/>
        <v>23.3</v>
      </c>
      <c r="Z65" s="64">
        <f t="shared" si="6"/>
        <v>1.6500000000000001E-2</v>
      </c>
      <c r="AA65" s="64">
        <f>ABS(Z65-Y65)</f>
        <v>23.2835</v>
      </c>
      <c r="AB65" s="61" t="e">
        <f>VLOOKUP(A65,Enforcements!$C$7:$K$19,8,0)</f>
        <v>#N/A</v>
      </c>
      <c r="AC65" s="57" t="e">
        <f>VLOOKUP(A65,Enforcements!$C$7:$E$19,3,0)</f>
        <v>#N/A</v>
      </c>
      <c r="AD65" s="58" t="str">
        <f>IF(LEN(A65)=6,"0"&amp;A65,A65)</f>
        <v>0152-04</v>
      </c>
      <c r="AE65" s="8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 &amp; 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</v>
      </c>
      <c r="AF65" s="84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/stypes="app*4010*20170104*" /stext=" 18:.+((SYSTEM_STATE.+slice.+state.+changed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88" t="str">
        <f t="shared" si="7"/>
        <v>"%USERPROFILE%\Documents\GitHub\eaglep3\Utilities\RefineRTDCRunTimes.py" --tripid 152-04 --locoid 4010 --swversion DE.1.0.8.0 --startMP 204:233000 --initTime 2017-01-04T10:48:10 --startdatetime 2017-01-04T10:56:14 --delay 1 --endMP 204:165 --enddatetime 2017-01-04T11:34:51 --enforcementcount 0 &gt;&gt;C:\Users\stu\Documents\GitHub\eaglep3-reporting\EC\2017-01-04-refined-times.txt</v>
      </c>
      <c r="AI65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{"issue":{"subject":"","project_id":79,"tracker_id":40,"status_id":1,"priority_id":2,"assigned_to_id":23,"start_date":"2017-01-04","description":"","custom_fields":[{"id":1,"name":"Subdivision","value":"EC"},{"id":4,"name":"Milepost","value":"0.0165"},{"id":17,"name":"Train ID","value":"152-04"},{"id":16,"name":"Locomotive ID","value":"4010"},{"id":130,"name":"Impact","value":""},{"id":150,"name":"Time of Event (Mountain Time)","value":"11:34:51"},{"id":151,"name":"Denver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9"/>
        <v>start /low /b %USERPROFILE%\Documents\GitHub\eaglep3\Utilities\DownloadLogsFromS3.py --loco 4010 --day 2017-01-04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549</v>
      </c>
      <c r="B66" s="7">
        <v>4022</v>
      </c>
      <c r="C66" s="22" t="s">
        <v>203</v>
      </c>
      <c r="D66" s="22" t="s">
        <v>247</v>
      </c>
      <c r="E66" s="13">
        <v>42739.421377314815</v>
      </c>
      <c r="F66" s="13">
        <v>42739.427581018521</v>
      </c>
      <c r="G66" s="7">
        <v>1</v>
      </c>
      <c r="H66" s="22" t="s">
        <v>421</v>
      </c>
      <c r="I66" s="13">
        <v>42739.452499999999</v>
      </c>
      <c r="J66" s="7">
        <v>0</v>
      </c>
      <c r="K66" s="105" t="str">
        <f>IF(ISEVEN(B66),(B66-1)&amp;"/"&amp;B66,B66&amp;"/"&amp;(B66+1))</f>
        <v>4021/4022</v>
      </c>
      <c r="L66" s="22" t="str">
        <f>VLOOKUP(A66,'Trips&amp;Operators'!$C$1:$G$99999,5,FALSE)</f>
        <v>YANG JAN</v>
      </c>
      <c r="M66" s="6">
        <f>I66-F66</f>
        <v>2.491898147854954E-2</v>
      </c>
      <c r="N66" s="7">
        <f>24*60*SUM($M66:$M66)</f>
        <v>35.883333329111338</v>
      </c>
      <c r="O66" s="7"/>
      <c r="P66" s="7"/>
      <c r="Q66" s="23"/>
      <c r="R66" s="23"/>
      <c r="S66" s="32">
        <f>SUM(U66:U66)/IF(AG66="EC",12,1)</f>
        <v>1</v>
      </c>
      <c r="T66" s="47" t="str">
        <f>IF(ISEVEN(LEFT(AD66,4)),"Southbound","NorthBound")</f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hh:mm:ss")&amp;utc_offset&amp;"00',mode:absolute,to:'"&amp;TEXT(I66+1/24,"yyyy-MM-DD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https://search-rtdc-monitor-bjffxe2xuh6vdkpspy63sjmuny.us-east-1.es.amazonaws.com/_plugin/kibana/#/discover/Steve-Slow-Train-Analysis-(2080s-and-2083s)?_g=(refreshInterval:(display:Off,section:0,value:0),time:(from:'2017-01-04 09:06:47-700',mode:absolute,to:'2017-01-04 11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6" s="49" t="str">
        <f>IF(AA66&lt;IF(AG66="EC",23,5.65),"Y","N")</f>
        <v>N</v>
      </c>
      <c r="X66" s="173">
        <f>VALUE(LEFT(AD66,4))-VALUE(LEFT(AD65,4))</f>
        <v>1</v>
      </c>
      <c r="Y66" s="64">
        <f t="shared" si="5"/>
        <v>4.6399999999999997E-2</v>
      </c>
      <c r="Z66" s="64">
        <f t="shared" si="6"/>
        <v>23.3323</v>
      </c>
      <c r="AA66" s="64">
        <f>ABS(Z66-Y66)</f>
        <v>23.285900000000002</v>
      </c>
      <c r="AB66" s="61" t="e">
        <f>VLOOKUP(A66,Enforcements!$C$7:$K$19,8,0)</f>
        <v>#N/A</v>
      </c>
      <c r="AC66" s="57" t="e">
        <f>VLOOKUP(A66,Enforcements!$C$7:$E$19,3,0)</f>
        <v>#N/A</v>
      </c>
      <c r="AD66" s="58" t="str">
        <f>IF(LEN(A66)=6,"0"&amp;A66,A66)</f>
        <v>0153-04</v>
      </c>
      <c r="AE66" s="8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 &amp; 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</v>
      </c>
      <c r="AF66" s="84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/stypes="app*4022*20170104*" /stext=" 17:.+((SYSTEM_STATE.+slice.+state.+changed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88" t="str">
        <f t="shared" si="7"/>
        <v>"%USERPROFILE%\Documents\GitHub\eaglep3\Utilities\RefineRTDCRunTimes.py" --tripid 153-04 --locoid 4022 --swversion DE.1.0.8.0 --startMP 204:464 --initTime 2017-01-04T10:06:47 --startdatetime 2017-01-04T10:15:43 --delay 1 --endMP 204:233323 --enddatetime 2017-01-04T10:51:36 --enforcementcount 0 &gt;&gt;C:\Users\stu\Documents\GitHub\eaglep3-reporting\EC\2017-01-04-refined-times.txt</v>
      </c>
      <c r="AI66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{"issue":{"subject":"","project_id":79,"tracker_id":40,"status_id":1,"priority_id":2,"assigned_to_id":23,"start_date":"2017-01-04","description":"","custom_fields":[{"id":1,"name":"Subdivision","value":"EC"},{"id":4,"name":"Milepost","value":"23.3323"},{"id":17,"name":"Train ID","value":"153-04"},{"id":16,"name":"Locomotive ID","value":"4022"},{"id":130,"name":"Impact","value":""},{"id":150,"name":"Time of Event (Mountain Time)","value":"10:51:36"},{"id":151,"name":"Denver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9"/>
        <v>start /low /b %USERPROFILE%\Documents\GitHub\eaglep3\Utilities\DownloadLogsFromS3.py --loco 4022 --day 2017-01-04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562</v>
      </c>
      <c r="B67" s="7">
        <v>4021</v>
      </c>
      <c r="C67" s="22" t="s">
        <v>203</v>
      </c>
      <c r="D67" s="22" t="s">
        <v>328</v>
      </c>
      <c r="E67" s="13">
        <v>42739.458784722221</v>
      </c>
      <c r="F67" s="13">
        <v>42739.466504629629</v>
      </c>
      <c r="G67" s="7">
        <v>1</v>
      </c>
      <c r="H67" s="22" t="s">
        <v>230</v>
      </c>
      <c r="I67" s="13">
        <v>42739.493113425924</v>
      </c>
      <c r="J67" s="7">
        <v>0</v>
      </c>
      <c r="K67" s="105" t="str">
        <f>IF(ISEVEN(B67),(B67-1)&amp;"/"&amp;B67,B67&amp;"/"&amp;(B67+1))</f>
        <v>4021/4022</v>
      </c>
      <c r="L67" s="22" t="str">
        <f>VLOOKUP(A67,'Trips&amp;Operators'!$C$1:$G$99999,5,FALSE)</f>
        <v>YANG JAN</v>
      </c>
      <c r="M67" s="6">
        <f>I67-F67</f>
        <v>2.6608796295477077E-2</v>
      </c>
      <c r="N67" s="7">
        <f>24*60*SUM($M67:$M67)</f>
        <v>38.316666665486991</v>
      </c>
      <c r="O67" s="7"/>
      <c r="P67" s="7"/>
      <c r="Q67" s="23"/>
      <c r="R67" s="23"/>
      <c r="S67" s="32">
        <f>SUM(U67:U67)/IF(AG67="EC",12,1)</f>
        <v>1</v>
      </c>
      <c r="T67" s="47" t="str">
        <f>IF(ISEVEN(LEFT(AD67,4)),"Southbound","NorthBound")</f>
        <v>Southbound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hh:mm:ss")&amp;utc_offset&amp;"00',mode:absolute,to:'"&amp;TEXT(I67+1/24,"yyyy-MM-DD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https://search-rtdc-monitor-bjffxe2xuh6vdkpspy63sjmuny.us-east-1.es.amazonaws.com/_plugin/kibana/#/discover/Steve-Slow-Train-Analysis-(2080s-and-2083s)?_g=(refreshInterval:(display:Off,section:0,value:0),time:(from:'2017-01-04 10:00:39-700',mode:absolute,to:'2017-01-04 12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7" s="49" t="str">
        <f>IF(AA67&lt;IF(AG67="EC",23,5.65),"Y","N")</f>
        <v>N</v>
      </c>
      <c r="X67" s="173">
        <f>VALUE(LEFT(AD67,4))-VALUE(LEFT(AD66,4))</f>
        <v>1</v>
      </c>
      <c r="Y67" s="64">
        <f t="shared" si="5"/>
        <v>23.3</v>
      </c>
      <c r="Z67" s="64">
        <f t="shared" si="6"/>
        <v>1.4500000000000001E-2</v>
      </c>
      <c r="AA67" s="64">
        <f>ABS(Z67-Y67)</f>
        <v>23.285499999999999</v>
      </c>
      <c r="AB67" s="61" t="e">
        <f>VLOOKUP(A67,Enforcements!$C$7:$K$19,8,0)</f>
        <v>#N/A</v>
      </c>
      <c r="AC67" s="57" t="e">
        <f>VLOOKUP(A67,Enforcements!$C$7:$E$19,3,0)</f>
        <v>#N/A</v>
      </c>
      <c r="AD67" s="58" t="str">
        <f>IF(LEN(A67)=6,"0"&amp;A67,A67)</f>
        <v>0154-04</v>
      </c>
      <c r="AE67" s="8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 &amp; 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</v>
      </c>
      <c r="AF67" s="84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/stypes="app*4021*20170104*"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88" t="str">
        <f t="shared" si="7"/>
        <v>"%USERPROFILE%\Documents\GitHub\eaglep3\Utilities\RefineRTDCRunTimes.py" --tripid 154-04 --locoid 4021 --swversion DE.1.0.8.0 --startMP 204:233000 --initTime 2017-01-04T11:00:39 --startdatetime 2017-01-04T11:11:46 --delay 1 --endMP 204:145 --enddatetime 2017-01-04T11:50:05 --enforcementcount 0 &gt;&gt;C:\Users\stu\Documents\GitHub\eaglep3-reporting\EC\2017-01-04-refined-times.txt</v>
      </c>
      <c r="AI67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{"issue":{"subject":"","project_id":79,"tracker_id":40,"status_id":1,"priority_id":2,"assigned_to_id":23,"start_date":"2017-01-04","description":"","custom_fields":[{"id":1,"name":"Subdivision","value":"EC"},{"id":4,"name":"Milepost","value":"0.0145"},{"id":17,"name":"Train ID","value":"154-04"},{"id":16,"name":"Locomotive ID","value":"4021"},{"id":130,"name":"Impact","value":""},{"id":150,"name":"Time of Event (Mountain Time)","value":"11:50:05"},{"id":151,"name":"Denver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9"/>
        <v>start /low /b %USERPROFILE%\Documents\GitHub\eaglep3\Utilities\DownloadLogsFromS3.py --loco 4021 --day 2017-01-04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552</v>
      </c>
      <c r="B68" s="7">
        <v>4003</v>
      </c>
      <c r="C68" s="22" t="s">
        <v>203</v>
      </c>
      <c r="D68" s="22" t="s">
        <v>718</v>
      </c>
      <c r="E68" s="13">
        <v>42739.432986111111</v>
      </c>
      <c r="F68" s="13">
        <v>42739.437719907408</v>
      </c>
      <c r="G68" s="7">
        <v>1</v>
      </c>
      <c r="H68" s="22" t="s">
        <v>415</v>
      </c>
      <c r="I68" s="13">
        <v>42739.46193287037</v>
      </c>
      <c r="J68" s="7">
        <v>0</v>
      </c>
      <c r="K68" s="105" t="str">
        <f>IF(ISEVEN(B68),(B68-1)&amp;"/"&amp;B68,B68&amp;"/"&amp;(B68+1))</f>
        <v>4003/4004</v>
      </c>
      <c r="L68" s="22" t="str">
        <f>VLOOKUP(A68,'Trips&amp;Operators'!$C$1:$G$99999,5,FALSE)</f>
        <v>YORK EDGAR</v>
      </c>
      <c r="M68" s="6">
        <f>I68-F68</f>
        <v>2.421296296233777E-2</v>
      </c>
      <c r="N68" s="7">
        <f>24*60*SUM($M68:$M68)</f>
        <v>34.866666665766388</v>
      </c>
      <c r="O68" s="7"/>
      <c r="P68" s="7"/>
      <c r="Q68" s="23"/>
      <c r="R68" s="23"/>
      <c r="S68" s="32">
        <f>SUM(U68:U68)/IF(AG68="EC",12,1)</f>
        <v>1</v>
      </c>
      <c r="T68" s="47" t="str">
        <f>IF(ISEVEN(LEFT(AD68,4)),"Southbound","NorthBound")</f>
        <v>NorthBound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hh:mm:ss")&amp;utc_offset&amp;"00',mode:absolute,to:'"&amp;TEXT(I68+1/24,"yyyy-MM-DD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https://search-rtdc-monitor-bjffxe2xuh6vdkpspy63sjmuny.us-east-1.es.amazonaws.com/_plugin/kibana/#/discover/Steve-Slow-Train-Analysis-(2080s-and-2083s)?_g=(refreshInterval:(display:Off,section:0,value:0),time:(from:'2017-01-04 09:23:30-700',mode:absolute,to:'2017-01-04 12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8" s="49" t="str">
        <f>IF(AA68&lt;IF(AG68="EC",23,5.65),"Y","N")</f>
        <v>N</v>
      </c>
      <c r="X68" s="173">
        <f>VALUE(LEFT(AD68,4))-VALUE(LEFT(AD67,4))</f>
        <v>1</v>
      </c>
      <c r="Y68" s="64">
        <f t="shared" si="5"/>
        <v>4.8800000000000003E-2</v>
      </c>
      <c r="Z68" s="64">
        <f t="shared" si="6"/>
        <v>23.328600000000002</v>
      </c>
      <c r="AA68" s="64">
        <f>ABS(Z68-Y68)</f>
        <v>23.279800000000002</v>
      </c>
      <c r="AB68" s="61" t="e">
        <f>VLOOKUP(A68,Enforcements!$C$7:$K$19,8,0)</f>
        <v>#N/A</v>
      </c>
      <c r="AC68" s="57" t="e">
        <f>VLOOKUP(A68,Enforcements!$C$7:$E$19,3,0)</f>
        <v>#N/A</v>
      </c>
      <c r="AD68" s="58" t="str">
        <f>IF(LEN(A68)=6,"0"&amp;A68,A68)</f>
        <v>0155-04</v>
      </c>
      <c r="AE68" s="8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s3://rtdc.mdm.uploadarchive.raw/RTDC4003/ "%USERPROFILE%\AppData\Local\Temp\OnboardLogs"\RTDC4003\2017-01-04 --exclude "*" --recursive --include "*20170104*" &amp; "%USERPROFILE%\Documents\GitHub\mrs-test-scripts\Headless Mode &amp; Sideloading\WalkAndUnGZ.bat" "%USERPROFILE%\AppData\Local\Temp\OnboardLogs"\RTDC4003\2017-01-04 &amp; 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</v>
      </c>
      <c r="AF68" s="84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/stypes="app*4003*20170104*" /stext=" 18:.+((SYSTEM_STATE.+slice.+state.+changed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88" t="str">
        <f t="shared" si="7"/>
        <v>"%USERPROFILE%\Documents\GitHub\eaglep3\Utilities\RefineRTDCRunTimes.py" --tripid 155-04 --locoid 4003 --swversion DE.1.0.8.0 --startMP 204:488 --initTime 2017-01-04T10:23:30 --startdatetime 2017-01-04T10:30:19 --delay 1 --endMP 204:233286 --enddatetime 2017-01-04T11:05:11 --enforcementcount 0 &gt;&gt;C:\Users\stu\Documents\GitHub\eaglep3-reporting\EC\2017-01-04-refined-times.txt</v>
      </c>
      <c r="AI68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{"issue":{"subject":"","project_id":79,"tracker_id":40,"status_id":1,"priority_id":2,"assigned_to_id":23,"start_date":"2017-01-04","description":"","custom_fields":[{"id":1,"name":"Subdivision","value":"EC"},{"id":4,"name":"Milepost","value":"23.3286"},{"id":17,"name":"Train ID","value":"155-04"},{"id":16,"name":"Locomotive ID","value":"4003"},{"id":130,"name":"Impact","value":""},{"id":150,"name":"Time of Event (Mountain Time)","value":"11:05:11"},{"id":151,"name":"Denver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9"/>
        <v>start /low /b %USERPROFILE%\Documents\GitHub\eaglep3\Utilities\DownloadLogsFromS3.py --loco 4003 --day 2017-01-04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563</v>
      </c>
      <c r="B69" s="7">
        <v>4004</v>
      </c>
      <c r="C69" s="22" t="s">
        <v>203</v>
      </c>
      <c r="D69" s="22" t="s">
        <v>289</v>
      </c>
      <c r="E69" s="13">
        <v>42739.46298611111</v>
      </c>
      <c r="F69" s="13">
        <v>42739.47693287037</v>
      </c>
      <c r="G69" s="7">
        <v>0</v>
      </c>
      <c r="H69" s="22" t="s">
        <v>191</v>
      </c>
      <c r="I69" s="13">
        <v>42739.503229166665</v>
      </c>
      <c r="J69" s="7">
        <v>0</v>
      </c>
      <c r="K69" s="105" t="str">
        <f>IF(ISEVEN(B69),(B69-1)&amp;"/"&amp;B69,B69&amp;"/"&amp;(B69+1))</f>
        <v>4003/4004</v>
      </c>
      <c r="L69" s="22" t="str">
        <f>VLOOKUP(A69,'Trips&amp;Operators'!$C$1:$G$99999,5,FALSE)</f>
        <v>YORK EDGAR</v>
      </c>
      <c r="M69" s="6">
        <f>I69-F69</f>
        <v>2.6296296295186039E-2</v>
      </c>
      <c r="N69" s="7">
        <f>24*60*SUM($M69:$M69)</f>
        <v>37.866666665067896</v>
      </c>
      <c r="O69" s="7"/>
      <c r="P69" s="7"/>
      <c r="Q69" s="23"/>
      <c r="R69" s="23" t="s">
        <v>964</v>
      </c>
      <c r="S69" s="32">
        <f>SUM(U69:U69)/IF(AG69="EC",12,1)</f>
        <v>1</v>
      </c>
      <c r="T69" s="47" t="str">
        <f>IF(ISEVEN(LEFT(AD69,4)),"Southbound","NorthBound")</f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hh:mm:ss")&amp;utc_offset&amp;"00',mode:absolute,to:'"&amp;TEXT(I69+1/24,"yyyy-MM-DD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https://search-rtdc-monitor-bjffxe2xuh6vdkpspy63sjmuny.us-east-1.es.amazonaws.com/_plugin/kibana/#/discover/Steve-Slow-Train-Analysis-(2080s-and-2083s)?_g=(refreshInterval:(display:Off,section:0,value:0),time:(from:'2017-01-04 10:06:42-700',mode:absolute,to:'2017-01-04 13:04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9" s="49" t="str">
        <f>IF(AA69&lt;IF(AG69="EC",23,5.65),"Y","N")</f>
        <v>N</v>
      </c>
      <c r="X69" s="173">
        <f>VALUE(LEFT(AD69,4))-VALUE(LEFT(AD68,4))</f>
        <v>1</v>
      </c>
      <c r="Y69" s="64">
        <f t="shared" si="5"/>
        <v>23.297999999999998</v>
      </c>
      <c r="Z69" s="64">
        <f t="shared" si="6"/>
        <v>1.49E-2</v>
      </c>
      <c r="AA69" s="64">
        <f>ABS(Z69-Y69)</f>
        <v>23.283099999999997</v>
      </c>
      <c r="AB69" s="61" t="e">
        <f>VLOOKUP(A69,Enforcements!$C$7:$K$19,8,0)</f>
        <v>#N/A</v>
      </c>
      <c r="AC69" s="57" t="e">
        <f>VLOOKUP(A69,Enforcements!$C$7:$E$19,3,0)</f>
        <v>#N/A</v>
      </c>
      <c r="AD69" s="58" t="str">
        <f>IF(LEN(A69)=6,"0"&amp;A69,A69)</f>
        <v>0156-04</v>
      </c>
      <c r="AE69" s="8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 &amp; 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</v>
      </c>
      <c r="AF69" s="84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/stypes="app*4004*20170104*" /stext=" 19:.+((SYSTEM_STATE.+slice.+state.+changed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88" t="str">
        <f t="shared" si="7"/>
        <v>"%USERPROFILE%\Documents\GitHub\eaglep3\Utilities\RefineRTDCRunTimes.py" --tripid 156-04 --locoid 4004 --swversion DE.1.0.8.0 --startMP 204:232980 --initTime 2017-01-04T11:06:42 --startdatetime 2017-01-04T11:26:47 --delay 0 --endMP 204:149 --enddatetime 2017-01-04T12:04:39 --enforcementcount 0 &gt;&gt;C:\Users\stu\Documents\GitHub\eaglep3-reporting\EC\2017-01-04-refined-times.txt</v>
      </c>
      <c r="AI69" s="115" t="str">
        <f t="shared" si="8"/>
        <v>echo {"issue":{"subject":"Wi-MAX data drop, no enforcement","project_id":79,"tracker_id":40,"status_id":1,"priority_id":2,"assigned_to_id":23,"start_date":"2017-01-04","description":"http://stevetu21.github.io/eaglep3/load_kml.html?kml=http://rtdc.gmaps-snips.s3.amazonaws.com/bef1a1a1-1bf1-452d-999f-c2ffb7049c5c.kml","custom_fields":[{"id":1,"name":"Subdivision","value":"EC"},{"id":4,"name":"Milepost","value":"0.0149"},{"id":17,"name":"Train ID","value":"156-04"},{"id":16,"name":"Locomotive ID","value":"4004"},{"id":130,"name":"Impact","value":"Others"},{"id":150,"name":"Time of Event (Mountain Time)","value":"12:04:39"},{"id":151,"name":"Denver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69" t="s">
        <v>967</v>
      </c>
      <c r="AK69" s="50" t="s">
        <v>137</v>
      </c>
      <c r="AL69" s="50" t="s">
        <v>138</v>
      </c>
      <c r="AM69" s="180" t="str">
        <f t="shared" si="9"/>
        <v>start /low /b %USERPROFILE%\Documents\GitHub\eaglep3\Utilities\DownloadLogsFromS3.py --loco 4004 --day 2017-01-04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557</v>
      </c>
      <c r="B70" s="7">
        <v>4044</v>
      </c>
      <c r="C70" s="22" t="s">
        <v>203</v>
      </c>
      <c r="D70" s="22" t="s">
        <v>424</v>
      </c>
      <c r="E70" s="13">
        <v>42739.443159722221</v>
      </c>
      <c r="F70" s="13">
        <v>42739.448159722226</v>
      </c>
      <c r="G70" s="7">
        <v>1</v>
      </c>
      <c r="H70" s="22" t="s">
        <v>265</v>
      </c>
      <c r="I70" s="13">
        <v>42739.473356481481</v>
      </c>
      <c r="J70" s="7">
        <v>0</v>
      </c>
      <c r="K70" s="105" t="str">
        <f>IF(ISEVEN(B70),(B70-1)&amp;"/"&amp;B70,B70&amp;"/"&amp;(B70+1))</f>
        <v>4043/4044</v>
      </c>
      <c r="L70" s="22" t="str">
        <f>VLOOKUP(A70,'Trips&amp;Operators'!$C$1:$G$99999,5,FALSE)</f>
        <v>BEAM ROSS</v>
      </c>
      <c r="M70" s="6">
        <f>I70-F70</f>
        <v>2.5196759255777579E-2</v>
      </c>
      <c r="N70" s="7">
        <f>24*60*SUM($M70:$M70)</f>
        <v>36.283333328319713</v>
      </c>
      <c r="O70" s="7"/>
      <c r="P70" s="7"/>
      <c r="Q70" s="23"/>
      <c r="R70" s="23"/>
      <c r="S70" s="32">
        <f>SUM(U70:U70)/IF(AG70="EC",12,1)</f>
        <v>1</v>
      </c>
      <c r="T70" s="47" t="str">
        <f>IF(ISEVEN(LEFT(AD70,4)),"Southbound","NorthBound")</f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hh:mm:ss")&amp;utc_offset&amp;"00',mode:absolute,to:'"&amp;TEXT(I70+1/24,"yyyy-MM-DD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https://search-rtdc-monitor-bjffxe2xuh6vdkpspy63sjmuny.us-east-1.es.amazonaws.com/_plugin/kibana/#/discover/Steve-Slow-Train-Analysis-(2080s-and-2083s)?_g=(refreshInterval:(display:Off,section:0,value:0),time:(from:'2017-01-04 09:38:09-700',mode:absolute,to:'2017-01-04 12:21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0" s="49" t="str">
        <f>IF(AA70&lt;IF(AG70="EC",23,5.65),"Y","N")</f>
        <v>N</v>
      </c>
      <c r="X70" s="173">
        <f>VALUE(LEFT(AD70,4))-VALUE(LEFT(AD69,4))</f>
        <v>1</v>
      </c>
      <c r="Y70" s="64">
        <f t="shared" si="5"/>
        <v>4.6600000000000003E-2</v>
      </c>
      <c r="Z70" s="64">
        <f t="shared" si="6"/>
        <v>23.3308</v>
      </c>
      <c r="AA70" s="64">
        <f>ABS(Z70-Y70)</f>
        <v>23.284199999999998</v>
      </c>
      <c r="AB70" s="61" t="e">
        <f>VLOOKUP(A70,Enforcements!$C$7:$K$19,8,0)</f>
        <v>#N/A</v>
      </c>
      <c r="AC70" s="57" t="e">
        <f>VLOOKUP(A70,Enforcements!$C$7:$E$19,3,0)</f>
        <v>#N/A</v>
      </c>
      <c r="AD70" s="58" t="str">
        <f>IF(LEN(A70)=6,"0"&amp;A70,A70)</f>
        <v>0157-04</v>
      </c>
      <c r="AE70" s="8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AF70" s="84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/stypes="app*4044*20170104*" /stext=" 18:.+((SYSTEM_STATE.+slice.+state.+changed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88" t="str">
        <f t="shared" si="7"/>
        <v>"%USERPROFILE%\Documents\GitHub\eaglep3\Utilities\RefineRTDCRunTimes.py" --tripid 157-04 --locoid 4044 --swversion DE.1.0.8.0 --startMP 204:466 --initTime 2017-01-04T10:38:09 --startdatetime 2017-01-04T10:45:21 --delay 1 --endMP 204:233308 --enddatetime 2017-01-04T11:21:38 --enforcementcount 0 &gt;&gt;C:\Users\stu\Documents\GitHub\eaglep3-reporting\EC\2017-01-04-refined-times.txt</v>
      </c>
      <c r="AI70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{"issue":{"subject":"","project_id":79,"tracker_id":40,"status_id":1,"priority_id":2,"assigned_to_id":23,"start_date":"2017-01-04","description":"","custom_fields":[{"id":1,"name":"Subdivision","value":"EC"},{"id":4,"name":"Milepost","value":"23.3308"},{"id":17,"name":"Train ID","value":"157-04"},{"id":16,"name":"Locomotive ID","value":"4044"},{"id":130,"name":"Impact","value":""},{"id":150,"name":"Time of Event (Mountain Time)","value":"11:21:38"},{"id":151,"name":"Denver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9"/>
        <v>start /low /b %USERPROFILE%\Documents\GitHub\eaglep3\Utilities\DownloadLogsFromS3.py --loco 4044 --day 2017-01-04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567</v>
      </c>
      <c r="B71" s="7">
        <v>4043</v>
      </c>
      <c r="C71" s="22" t="s">
        <v>203</v>
      </c>
      <c r="D71" s="22" t="s">
        <v>296</v>
      </c>
      <c r="E71" s="13">
        <v>42739.4766087963</v>
      </c>
      <c r="F71" s="13">
        <v>42739.486990740741</v>
      </c>
      <c r="G71" s="7">
        <v>1</v>
      </c>
      <c r="H71" s="22" t="s">
        <v>370</v>
      </c>
      <c r="I71" s="13">
        <v>42739.514675925922</v>
      </c>
      <c r="J71" s="7">
        <v>0</v>
      </c>
      <c r="K71" s="105" t="str">
        <f>IF(ISEVEN(B71),(B71-1)&amp;"/"&amp;B71,B71&amp;"/"&amp;(B71+1))</f>
        <v>4043/4044</v>
      </c>
      <c r="L71" s="22" t="str">
        <f>VLOOKUP(A71,'Trips&amp;Operators'!$C$1:$G$99999,5,FALSE)</f>
        <v>SANTIZO D. EDY</v>
      </c>
      <c r="M71" s="6">
        <f>I71-F71</f>
        <v>2.7685185181326233E-2</v>
      </c>
      <c r="N71" s="7">
        <f>24*60*SUM($M71:$M71)</f>
        <v>39.866666661109775</v>
      </c>
      <c r="O71" s="7"/>
      <c r="P71" s="7"/>
      <c r="Q71" s="23"/>
      <c r="R71" s="23"/>
      <c r="S71" s="32">
        <f>SUM(U71:U71)/IF(AG71="EC",12,1)</f>
        <v>1</v>
      </c>
      <c r="T71" s="47" t="str">
        <f>IF(ISEVEN(LEFT(AD71,4)),"Southbound","NorthBound")</f>
        <v>Southbound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hh:mm:ss")&amp;utc_offset&amp;"00',mode:absolute,to:'"&amp;TEXT(I71+1/24,"yyyy-MM-DD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https://search-rtdc-monitor-bjffxe2xuh6vdkpspy63sjmuny.us-east-1.es.amazonaws.com/_plugin/kibana/#/discover/Steve-Slow-Train-Analysis-(2080s-and-2083s)?_g=(refreshInterval:(display:Off,section:0,value:0),time:(from:'2017-01-04 10:26:19-700',mode:absolute,to:'2017-01-04 13:21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1" s="49" t="str">
        <f>IF(AA71&lt;IF(AG71="EC",23,5.65),"Y","N")</f>
        <v>N</v>
      </c>
      <c r="X71" s="173">
        <f>VALUE(LEFT(AD71,4))-VALUE(LEFT(AD70,4))</f>
        <v>1</v>
      </c>
      <c r="Y71" s="64">
        <f t="shared" si="5"/>
        <v>23.299800000000001</v>
      </c>
      <c r="Z71" s="64">
        <f t="shared" si="6"/>
        <v>1.7600000000000001E-2</v>
      </c>
      <c r="AA71" s="64">
        <f>ABS(Z71-Y71)</f>
        <v>23.2822</v>
      </c>
      <c r="AB71" s="61" t="e">
        <f>VLOOKUP(A71,Enforcements!$C$7:$K$19,8,0)</f>
        <v>#N/A</v>
      </c>
      <c r="AC71" s="57" t="e">
        <f>VLOOKUP(A71,Enforcements!$C$7:$E$19,3,0)</f>
        <v>#N/A</v>
      </c>
      <c r="AD71" s="58" t="str">
        <f>IF(LEN(A71)=6,"0"&amp;A71,A71)</f>
        <v>0158-04</v>
      </c>
      <c r="AE71" s="8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s3://rtdc.mdm.uploadarchive.raw/RTDC4043/ "%USERPROFILE%\AppData\Local\Temp\OnboardLogs"\RTDC4043\2017-01-04 --exclude "*" --recursive --include "*20170104*" &amp; "%USERPROFILE%\Documents\GitHub\mrs-test-scripts\Headless Mode &amp; Sideloading\WalkAndUnGZ.bat" "%USERPROFILE%\AppData\Local\Temp\OnboardLogs"\RTDC4043\2017-01-04 &amp; 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</v>
      </c>
      <c r="AF71" s="84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/stypes="app*4043*20170104*" /stext=" 19:.+((SYSTEM_STATE.+slice.+state.+changed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88" t="str">
        <f t="shared" si="7"/>
        <v>"%USERPROFILE%\Documents\GitHub\eaglep3\Utilities\RefineRTDCRunTimes.py" --tripid 158-04 --locoid 4043 --swversion DE.1.0.8.0 --startMP 204:232998 --initTime 2017-01-04T11:26:19 --startdatetime 2017-01-04T11:41:16 --delay 1 --endMP 204:176 --enddatetime 2017-01-04T12:21:08 --enforcementcount 0 &gt;&gt;C:\Users\stu\Documents\GitHub\eaglep3-reporting\EC\2017-01-04-refined-times.txt</v>
      </c>
      <c r="AI71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{"issue":{"subject":"","project_id":79,"tracker_id":40,"status_id":1,"priority_id":2,"assigned_to_id":23,"start_date":"2017-01-04","description":"","custom_fields":[{"id":1,"name":"Subdivision","value":"EC"},{"id":4,"name":"Milepost","value":"0.0176"},{"id":17,"name":"Train ID","value":"158-04"},{"id":16,"name":"Locomotive ID","value":"4043"},{"id":130,"name":"Impact","value":""},{"id":150,"name":"Time of Event (Mountain Time)","value":"12:21:08"},{"id":151,"name":"Denver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9"/>
        <v>start /low /b %USERPROFILE%\Documents\GitHub\eaglep3\Utilities\DownloadLogsFromS3.py --loco 4043 --day 2017-01-04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560</v>
      </c>
      <c r="B72" s="7">
        <v>4042</v>
      </c>
      <c r="C72" s="22" t="s">
        <v>203</v>
      </c>
      <c r="D72" s="22" t="s">
        <v>247</v>
      </c>
      <c r="E72" s="13">
        <v>42739.452592592592</v>
      </c>
      <c r="F72" s="13">
        <v>42739.458703703705</v>
      </c>
      <c r="G72" s="7">
        <v>2</v>
      </c>
      <c r="H72" s="22" t="s">
        <v>341</v>
      </c>
      <c r="I72" s="13">
        <v>42739.484918981485</v>
      </c>
      <c r="J72" s="7">
        <v>0</v>
      </c>
      <c r="K72" s="105" t="str">
        <f>IF(ISEVEN(B72),(B72-1)&amp;"/"&amp;B72,B72&amp;"/"&amp;(B72+1))</f>
        <v>4041/4042</v>
      </c>
      <c r="L72" s="22" t="str">
        <f>VLOOKUP(A72,'Trips&amp;Operators'!$C$1:$G$99999,5,FALSE)</f>
        <v>STRICKLAND EVAN</v>
      </c>
      <c r="M72" s="6">
        <f>I72-F72</f>
        <v>2.6215277779556345E-2</v>
      </c>
      <c r="N72" s="7">
        <f>24*60*SUM($M72:$M72)</f>
        <v>37.750000002561137</v>
      </c>
      <c r="O72" s="7"/>
      <c r="P72" s="7"/>
      <c r="Q72" s="23"/>
      <c r="R72" s="23"/>
      <c r="S72" s="32">
        <f>SUM(U72:U72)/IF(AG72="EC",12,1)</f>
        <v>1</v>
      </c>
      <c r="T72" s="47" t="str">
        <f>IF(ISEVEN(LEFT(AD72,4)),"Southbound","NorthBound")</f>
        <v>NorthBound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hh:mm:ss")&amp;utc_offset&amp;"00',mode:absolute,to:'"&amp;TEXT(I72+1/24,"yyyy-MM-DD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https://search-rtdc-monitor-bjffxe2xuh6vdkpspy63sjmuny.us-east-1.es.amazonaws.com/_plugin/kibana/#/discover/Steve-Slow-Train-Analysis-(2080s-and-2083s)?_g=(refreshInterval:(display:Off,section:0,value:0),time:(from:'2017-01-04 09:51:44-700',mode:absolute,to:'2017-01-04 12:38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2" s="49" t="str">
        <f>IF(AA72&lt;IF(AG72="EC",23,5.65),"Y","N")</f>
        <v>N</v>
      </c>
      <c r="X72" s="173">
        <f>VALUE(LEFT(AD72,4))-VALUE(LEFT(AD71,4))</f>
        <v>1</v>
      </c>
      <c r="Y72" s="64">
        <f t="shared" si="5"/>
        <v>4.6399999999999997E-2</v>
      </c>
      <c r="Z72" s="64">
        <f t="shared" si="6"/>
        <v>23.330300000000001</v>
      </c>
      <c r="AA72" s="64">
        <f>ABS(Z72-Y72)</f>
        <v>23.283900000000003</v>
      </c>
      <c r="AB72" s="61" t="e">
        <f>VLOOKUP(A72,Enforcements!$C$7:$K$19,8,0)</f>
        <v>#N/A</v>
      </c>
      <c r="AC72" s="57" t="e">
        <f>VLOOKUP(A72,Enforcements!$C$7:$E$19,3,0)</f>
        <v>#N/A</v>
      </c>
      <c r="AD72" s="58" t="str">
        <f>IF(LEN(A72)=6,"0"&amp;A72,A72)</f>
        <v>0159-04</v>
      </c>
      <c r="AE72" s="8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s3://rtdc.mdm.uploadarchive.raw/RTDC4042/ "%USERPROFILE%\AppData\Local\Temp\OnboardLogs"\RTDC4042\2017-01-04 --exclude "*" --recursive --include "*20170104*" &amp; "%USERPROFILE%\Documents\GitHub\mrs-test-scripts\Headless Mode &amp; Sideloading\WalkAndUnGZ.bat" "%USERPROFILE%\AppData\Local\Temp\OnboardLogs"\RTDC4042\2017-01-04 &amp; 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</v>
      </c>
      <c r="AF72" s="84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/stypes="app*4042*20170104*" /stext=" 18:.+((SYSTEM_STATE.+slice.+state.+changed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88" t="str">
        <f t="shared" si="7"/>
        <v>"%USERPROFILE%\Documents\GitHub\eaglep3\Utilities\RefineRTDCRunTimes.py" --tripid 159-04 --locoid 4042 --swversion DE.1.0.8.0 --startMP 204:464 --initTime 2017-01-04T10:51:44 --startdatetime 2017-01-04T11:00:32 --delay 2 --endMP 204:233303 --enddatetime 2017-01-04T11:38:17 --enforcementcount 0 &gt;&gt;C:\Users\stu\Documents\GitHub\eaglep3-reporting\EC\2017-01-04-refined-times.txt</v>
      </c>
      <c r="AI72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{"issue":{"subject":"","project_id":79,"tracker_id":40,"status_id":1,"priority_id":2,"assigned_to_id":23,"start_date":"2017-01-04","description":"","custom_fields":[{"id":1,"name":"Subdivision","value":"EC"},{"id":4,"name":"Milepost","value":"23.3303"},{"id":17,"name":"Train ID","value":"159-04"},{"id":16,"name":"Locomotive ID","value":"4042"},{"id":130,"name":"Impact","value":""},{"id":150,"name":"Time of Event (Mountain Time)","value":"11:38:17"},{"id":151,"name":"Denver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9"/>
        <v>start /low /b %USERPROFILE%\Documents\GitHub\eaglep3\Utilities\DownloadLogsFromS3.py --loco 4042 --day 2017-01-04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572</v>
      </c>
      <c r="B73" s="7">
        <v>4041</v>
      </c>
      <c r="C73" s="22" t="s">
        <v>203</v>
      </c>
      <c r="D73" s="22" t="s">
        <v>328</v>
      </c>
      <c r="E73" s="13">
        <v>42739.486527777779</v>
      </c>
      <c r="F73" s="13">
        <v>42739.497430555559</v>
      </c>
      <c r="G73" s="7">
        <v>1</v>
      </c>
      <c r="H73" s="22" t="s">
        <v>222</v>
      </c>
      <c r="I73" s="13">
        <v>42739.525173611109</v>
      </c>
      <c r="J73" s="7">
        <v>0</v>
      </c>
      <c r="K73" s="105" t="str">
        <f>IF(ISEVEN(B73),(B73-1)&amp;"/"&amp;B73,B73&amp;"/"&amp;(B73+1))</f>
        <v>4041/4042</v>
      </c>
      <c r="L73" s="22" t="str">
        <f>VLOOKUP(A73,'Trips&amp;Operators'!$C$1:$G$99999,5,FALSE)</f>
        <v>STRICKLAND EVAN</v>
      </c>
      <c r="M73" s="6">
        <f>I73-F73</f>
        <v>2.774305555067258E-2</v>
      </c>
      <c r="N73" s="7">
        <f>24*60*SUM($M73:$M73)</f>
        <v>39.949999992968515</v>
      </c>
      <c r="O73" s="7"/>
      <c r="P73" s="7"/>
      <c r="Q73" s="23"/>
      <c r="R73" s="23"/>
      <c r="S73" s="32">
        <f>SUM(U73:U73)/IF(AG73="EC",12,1)</f>
        <v>1</v>
      </c>
      <c r="T73" s="47" t="str">
        <f>IF(ISEVEN(LEFT(AD73,4)),"Southbound","NorthBound")</f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hh:mm:ss")&amp;utc_offset&amp;"00',mode:absolute,to:'"&amp;TEXT(I73+1/24,"yyyy-MM-DD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https://search-rtdc-monitor-bjffxe2xuh6vdkpspy63sjmuny.us-east-1.es.amazonaws.com/_plugin/kibana/#/discover/Steve-Slow-Train-Analysis-(2080s-and-2083s)?_g=(refreshInterval:(display:Off,section:0,value:0),time:(from:'2017-01-04 10:40:36-700',mode:absolute,to:'2017-01-04 13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3" s="49" t="str">
        <f>IF(AA73&lt;IF(AG73="EC",23,5.65),"Y","N")</f>
        <v>N</v>
      </c>
      <c r="X73" s="173">
        <f>VALUE(LEFT(AD73,4))-VALUE(LEFT(AD72,4))</f>
        <v>1</v>
      </c>
      <c r="Y73" s="64">
        <f t="shared" si="5"/>
        <v>23.3</v>
      </c>
      <c r="Z73" s="64">
        <f t="shared" si="6"/>
        <v>1.54E-2</v>
      </c>
      <c r="AA73" s="64">
        <f>ABS(Z73-Y73)</f>
        <v>23.284600000000001</v>
      </c>
      <c r="AB73" s="61" t="e">
        <f>VLOOKUP(A73,Enforcements!$C$7:$K$19,8,0)</f>
        <v>#N/A</v>
      </c>
      <c r="AC73" s="57" t="e">
        <f>VLOOKUP(A73,Enforcements!$C$7:$E$19,3,0)</f>
        <v>#N/A</v>
      </c>
      <c r="AD73" s="58" t="str">
        <f>IF(LEN(A73)=6,"0"&amp;A73,A73)</f>
        <v>0160-04</v>
      </c>
      <c r="AE73" s="8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 &amp; 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</v>
      </c>
      <c r="AF73" s="84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/stypes="app*4041*20170104*" /stext=" 19:.+((SYSTEM_STATE.+slice.+state.+changed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88" t="str">
        <f t="shared" si="7"/>
        <v>"%USERPROFILE%\Documents\GitHub\eaglep3\Utilities\RefineRTDCRunTimes.py" --tripid 160-04 --locoid 4041 --swversion DE.1.0.8.0 --startMP 204:233000 --initTime 2017-01-04T11:40:36 --startdatetime 2017-01-04T11:56:18 --delay 1 --endMP 204:154 --enddatetime 2017-01-04T12:36:15 --enforcementcount 0 &gt;&gt;C:\Users\stu\Documents\GitHub\eaglep3-reporting\EC\2017-01-04-refined-times.txt</v>
      </c>
      <c r="AI73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{"issue":{"subject":"","project_id":79,"tracker_id":40,"status_id":1,"priority_id":2,"assigned_to_id":23,"start_date":"2017-01-04","description":"","custom_fields":[{"id":1,"name":"Subdivision","value":"EC"},{"id":4,"name":"Milepost","value":"0.0154"},{"id":17,"name":"Train ID","value":"160-04"},{"id":16,"name":"Locomotive ID","value":"4041"},{"id":130,"name":"Impact","value":""},{"id":150,"name":"Time of Event (Mountain Time)","value":"12:36:15"},{"id":151,"name":"Denver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9"/>
        <v>start /low /b %USERPROFILE%\Documents\GitHub\eaglep3\Utilities\DownloadLogsFromS3.py --loco 4041 --day 2017-01-04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564</v>
      </c>
      <c r="B74" s="7">
        <v>4016</v>
      </c>
      <c r="C74" s="22" t="s">
        <v>203</v>
      </c>
      <c r="D74" s="22" t="s">
        <v>317</v>
      </c>
      <c r="E74" s="13">
        <v>42739.466307870367</v>
      </c>
      <c r="F74" s="13">
        <v>42739.469178240739</v>
      </c>
      <c r="G74" s="7">
        <v>1</v>
      </c>
      <c r="H74" s="22" t="s">
        <v>325</v>
      </c>
      <c r="I74" s="13">
        <v>42739.496469907404</v>
      </c>
      <c r="J74" s="7">
        <v>0</v>
      </c>
      <c r="K74" s="105" t="str">
        <f>IF(ISEVEN(B74),(B74-1)&amp;"/"&amp;B74,B74&amp;"/"&amp;(B74+1))</f>
        <v>4015/4016</v>
      </c>
      <c r="L74" s="22" t="str">
        <f>VLOOKUP(A74,'Trips&amp;Operators'!$C$1:$G$99999,5,FALSE)</f>
        <v>DAVIS MICHAEL</v>
      </c>
      <c r="M74" s="6">
        <f>I74-F74</f>
        <v>2.7291666665405501E-2</v>
      </c>
      <c r="N74" s="7">
        <f>24*60*SUM($M74:$M74)</f>
        <v>39.299999998183921</v>
      </c>
      <c r="O74" s="7"/>
      <c r="P74" s="7"/>
      <c r="Q74" s="23"/>
      <c r="R74" s="23"/>
      <c r="S74" s="32">
        <f>SUM(U74:U74)/IF(AG74="EC",12,1)</f>
        <v>1</v>
      </c>
      <c r="T74" s="47" t="str">
        <f>IF(ISEVEN(LEFT(AD74,4)),"Southbound","NorthBound")</f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hh:mm:ss")&amp;utc_offset&amp;"00',mode:absolute,to:'"&amp;TEXT(I74+1/24,"yyyy-MM-DD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https://search-rtdc-monitor-bjffxe2xuh6vdkpspy63sjmuny.us-east-1.es.amazonaws.com/_plugin/kibana/#/discover/Steve-Slow-Train-Analysis-(2080s-and-2083s)?_g=(refreshInterval:(display:Off,section:0,value:0),time:(from:'2017-01-04 10:11:29-700',mode:absolute,to:'2017-01-04 12:54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4" s="49" t="str">
        <f>IF(AA74&lt;IF(AG74="EC",23,5.65),"Y","N")</f>
        <v>N</v>
      </c>
      <c r="X74" s="173">
        <f>VALUE(LEFT(AD74,4))-VALUE(LEFT(AD73,4))</f>
        <v>1</v>
      </c>
      <c r="Y74" s="64">
        <f t="shared" si="5"/>
        <v>4.7800000000000002E-2</v>
      </c>
      <c r="Z74" s="64">
        <f t="shared" si="6"/>
        <v>23.331499999999998</v>
      </c>
      <c r="AA74" s="64">
        <f>ABS(Z74-Y74)</f>
        <v>23.2837</v>
      </c>
      <c r="AB74" s="61" t="e">
        <f>VLOOKUP(A74,Enforcements!$C$7:$K$19,8,0)</f>
        <v>#N/A</v>
      </c>
      <c r="AC74" s="57" t="e">
        <f>VLOOKUP(A74,Enforcements!$C$7:$E$19,3,0)</f>
        <v>#N/A</v>
      </c>
      <c r="AD74" s="58" t="str">
        <f>IF(LEN(A74)=6,"0"&amp;A74,A74)</f>
        <v>0161-04</v>
      </c>
      <c r="AE74" s="8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AF74" s="84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/stypes="app*4016*20170104*" /stext=" 18:.+((SYSTEM_STATE.+slice.+state.+changed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88" t="str">
        <f t="shared" si="7"/>
        <v>"%USERPROFILE%\Documents\GitHub\eaglep3\Utilities\RefineRTDCRunTimes.py" --tripid 161-04 --locoid 4016 --swversion DE.1.0.8.0 --startMP 204:478 --initTime 2017-01-04T11:11:29 --startdatetime 2017-01-04T11:15:37 --delay 1 --endMP 204:233315 --enddatetime 2017-01-04T11:54:55 --enforcementcount 0 &gt;&gt;C:\Users\stu\Documents\GitHub\eaglep3-reporting\EC\2017-01-04-refined-times.txt</v>
      </c>
      <c r="AI74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{"issue":{"subject":"","project_id":79,"tracker_id":40,"status_id":1,"priority_id":2,"assigned_to_id":23,"start_date":"2017-01-04","description":"","custom_fields":[{"id":1,"name":"Subdivision","value":"EC"},{"id":4,"name":"Milepost","value":"23.3315"},{"id":17,"name":"Train ID","value":"161-04"},{"id":16,"name":"Locomotive ID","value":"4016"},{"id":130,"name":"Impact","value":""},{"id":150,"name":"Time of Event (Mountain Time)","value":"11:54:55"},{"id":151,"name":"Denver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9"/>
        <v>start /low /b %USERPROFILE%\Documents\GitHub\eaglep3\Utilities\DownloadLogsFromS3.py --loco 4016 --day 2017-01-04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455</v>
      </c>
      <c r="B75" s="7">
        <v>4015</v>
      </c>
      <c r="C75" s="22" t="s">
        <v>203</v>
      </c>
      <c r="D75" s="22" t="s">
        <v>719</v>
      </c>
      <c r="E75" s="13">
        <v>42739.503935185188</v>
      </c>
      <c r="F75" s="13">
        <v>42739.508067129631</v>
      </c>
      <c r="G75" s="7">
        <v>2</v>
      </c>
      <c r="H75" s="22" t="s">
        <v>191</v>
      </c>
      <c r="I75" s="13">
        <v>42739.537789351853</v>
      </c>
      <c r="J75" s="7">
        <v>0</v>
      </c>
      <c r="K75" s="105" t="str">
        <f>IF(ISEVEN(B75),(B75-1)&amp;"/"&amp;B75,B75&amp;"/"&amp;(B75+1))</f>
        <v>4015/4016</v>
      </c>
      <c r="L75" s="22" t="str">
        <f>VLOOKUP(A75,'Trips&amp;Operators'!$C$1:$G$99999,5,FALSE)</f>
        <v>DAVIS MICHAEL</v>
      </c>
      <c r="M75" s="6">
        <f>I75-F75</f>
        <v>2.9722222221607808E-2</v>
      </c>
      <c r="N75" s="7">
        <f>24*60*SUM($M75:$M75)</f>
        <v>42.799999999115244</v>
      </c>
      <c r="O75" s="7"/>
      <c r="P75" s="7"/>
      <c r="Q75" s="23"/>
      <c r="R75" s="23"/>
      <c r="S75" s="32">
        <f>SUM(U75:U75)/IF(AG75="EC",12,1)</f>
        <v>1</v>
      </c>
      <c r="T75" s="47" t="str">
        <f>IF(ISEVEN(LEFT(AD75,4)),"Southbound","NorthBound")</f>
        <v>Southbound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hh:mm:ss")&amp;utc_offset&amp;"00',mode:absolute,to:'"&amp;TEXT(I75+1/24,"yyyy-MM-DD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https://search-rtdc-monitor-bjffxe2xuh6vdkpspy63sjmuny.us-east-1.es.amazonaws.com/_plugin/kibana/#/discover/Steve-Slow-Train-Analysis-(2080s-and-2083s)?_g=(refreshInterval:(display:Off,section:0,value:0),time:(from:'2017-01-04 11:05:40-700',mode:absolute,to:'2017-01-04 13:54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5" s="49" t="str">
        <f>IF(AA75&lt;IF(AG75="EC",23,5.65),"Y","N")</f>
        <v>N</v>
      </c>
      <c r="X75" s="173">
        <f>VALUE(LEFT(AD75,4))-VALUE(LEFT(AD74,4))</f>
        <v>1</v>
      </c>
      <c r="Y75" s="64">
        <f t="shared" si="5"/>
        <v>23.301300000000001</v>
      </c>
      <c r="Z75" s="64">
        <f t="shared" si="6"/>
        <v>1.49E-2</v>
      </c>
      <c r="AA75" s="64">
        <f>ABS(Z75-Y75)</f>
        <v>23.2864</v>
      </c>
      <c r="AB75" s="61" t="str">
        <f>VLOOKUP(A75,Enforcements!$C$7:$K$19,8,0)</f>
        <v>Bulletin (2)</v>
      </c>
      <c r="AC75" s="57" t="str">
        <f>VLOOKUP(A75,Enforcements!$C$7:$E$19,3,0)</f>
        <v>GRADE CROSSING</v>
      </c>
      <c r="AD75" s="58" t="str">
        <f>IF(LEN(A75)=6,"0"&amp;A75,A75)</f>
        <v>0162-04</v>
      </c>
      <c r="AE75" s="8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 &amp; 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</v>
      </c>
      <c r="AF75" s="84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/stypes="app*4015*20170104*" /stext=" 19:.+((SYSTEM_STATE.+slice.+state.+changed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88" t="str">
        <f t="shared" si="7"/>
        <v>"%USERPROFILE%\Documents\GitHub\eaglep3\Utilities\RefineRTDCRunTimes.py" --tripid 162-04 --locoid 4015 --swversion DE.1.0.8.0 --startMP 204:233013 --initTime 2017-01-04T12:05:40 --startdatetime 2017-01-04T12:11:37 --delay 2 --endMP 204:149 --enddatetime 2017-01-04T12:54:25 --enforcementcount 0 &gt;&gt;C:\Users\stu\Documents\GitHub\eaglep3-reporting\EC\2017-01-04-refined-times.txt</v>
      </c>
      <c r="AI75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{"issue":{"subject":"","project_id":79,"tracker_id":40,"status_id":1,"priority_id":2,"assigned_to_id":23,"start_date":"2017-01-04","description":"","custom_fields":[{"id":1,"name":"Subdivision","value":"EC"},{"id":4,"name":"Milepost","value":"0.0149"},{"id":17,"name":"Train ID","value":"162-04"},{"id":16,"name":"Locomotive ID","value":"4015"},{"id":130,"name":"Impact","value":""},{"id":150,"name":"Time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9"/>
        <v>start /low /b %USERPROFILE%\Documents\GitHub\eaglep3\Utilities\DownloadLogsFromS3.py --loco 4015 --day 2017-01-04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566</v>
      </c>
      <c r="B76" s="7">
        <v>4029</v>
      </c>
      <c r="C76" s="22" t="s">
        <v>203</v>
      </c>
      <c r="D76" s="22" t="s">
        <v>319</v>
      </c>
      <c r="E76" s="13">
        <v>42739.47556712963</v>
      </c>
      <c r="F76" s="13">
        <v>42739.479618055557</v>
      </c>
      <c r="G76" s="7">
        <v>1</v>
      </c>
      <c r="H76" s="22" t="s">
        <v>327</v>
      </c>
      <c r="I76" s="13">
        <v>42739.504942129628</v>
      </c>
      <c r="J76" s="7">
        <v>0</v>
      </c>
      <c r="K76" s="105" t="str">
        <f>IF(ISEVEN(B76),(B76-1)&amp;"/"&amp;B76,B76&amp;"/"&amp;(B76+1))</f>
        <v>4029/4030</v>
      </c>
      <c r="L76" s="22" t="str">
        <f>VLOOKUP(A76,'Trips&amp;Operators'!$C$1:$G$99999,5,FALSE)</f>
        <v>LEVERE CRAIG</v>
      </c>
      <c r="M76" s="6">
        <f>I76-F76</f>
        <v>2.5324074071249925E-2</v>
      </c>
      <c r="N76" s="7">
        <f>24*60*SUM($M76:$M76)</f>
        <v>36.466666662599891</v>
      </c>
      <c r="O76" s="7"/>
      <c r="P76" s="7"/>
      <c r="Q76" s="23"/>
      <c r="R76" s="23"/>
      <c r="S76" s="32">
        <f>SUM(U76:U76)/IF(AG76="EC",12,1)</f>
        <v>1</v>
      </c>
      <c r="T76" s="47" t="str">
        <f>IF(ISEVEN(LEFT(AD76,4)),"Southbound","NorthBound")</f>
        <v>NorthBound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https://search-rtdc-monitor-bjffxe2xuh6vdkpspy63sjmuny.us-east-1.es.amazonaws.com/_plugin/kibana/#/discover/Steve-Slow-Train-Analysis-(2080s-and-2083s)?_g=(refreshInterval:(display:Off,section:0,value:0),time:(from:'2017-01-04 10:24:49-700',mode:absolute,to:'2017-01-04 13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6" s="49" t="str">
        <f>IF(AA76&lt;IF(AG76="EC",23,5.65),"Y","N")</f>
        <v>N</v>
      </c>
      <c r="X76" s="173">
        <f>VALUE(LEFT(AD76,4))-VALUE(LEFT(AD75,4))</f>
        <v>1</v>
      </c>
      <c r="Y76" s="64">
        <f t="shared" si="5"/>
        <v>4.7100000000000003E-2</v>
      </c>
      <c r="Z76" s="64">
        <f t="shared" si="6"/>
        <v>23.330500000000001</v>
      </c>
      <c r="AA76" s="64">
        <f>ABS(Z76-Y76)</f>
        <v>23.2834</v>
      </c>
      <c r="AB76" s="61" t="e">
        <f>VLOOKUP(A76,Enforcements!$C$7:$K$19,8,0)</f>
        <v>#N/A</v>
      </c>
      <c r="AC76" s="57" t="e">
        <f>VLOOKUP(A76,Enforcements!$C$7:$E$19,3,0)</f>
        <v>#N/A</v>
      </c>
      <c r="AD76" s="58" t="str">
        <f>IF(LEN(A76)=6,"0"&amp;A76,A76)</f>
        <v>0163-04</v>
      </c>
      <c r="AE76" s="8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 &amp; 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</v>
      </c>
      <c r="AF76" s="84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/stypes="app*4029*20170104*" /stext=" 19:.+((SYSTEM_STATE.+slice.+state.+changed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88" t="str">
        <f t="shared" si="7"/>
        <v>"%USERPROFILE%\Documents\GitHub\eaglep3\Utilities\RefineRTDCRunTimes.py" --tripid 163-04 --locoid 4029 --swversion DE.1.0.8.0 --startMP 204:471 --initTime 2017-01-04T11:24:49 --startdatetime 2017-01-04T11:30:39 --delay 1 --endMP 204:233305 --enddatetime 2017-01-04T12:07:07 --enforcementcount 0 &gt;&gt;C:\Users\stu\Documents\GitHub\eaglep3-reporting\EC\2017-01-04-refined-times.txt</v>
      </c>
      <c r="AI76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{"issue":{"subject":"","project_id":79,"tracker_id":40,"status_id":1,"priority_id":2,"assigned_to_id":23,"start_date":"2017-01-04","description":"","custom_fields":[{"id":1,"name":"Subdivision","value":"EC"},{"id":4,"name":"Milepost","value":"23.3305"},{"id":17,"name":"Train ID","value":"163-04"},{"id":16,"name":"Locomotive ID","value":"4029"},{"id":130,"name":"Impact","value":""},{"id":150,"name":"Time of Event (Mountain Time)","value":"12:07:07"},{"id":151,"name":"Denver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9"/>
        <v>start /low /b %USERPROFILE%\Documents\GitHub\eaglep3\Utilities\DownloadLogsFromS3.py --loco 4029 --day 2017-01-04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576</v>
      </c>
      <c r="B77" s="7">
        <v>4030</v>
      </c>
      <c r="C77" s="22" t="s">
        <v>203</v>
      </c>
      <c r="D77" s="22" t="s">
        <v>261</v>
      </c>
      <c r="E77" s="13">
        <v>42739.510011574072</v>
      </c>
      <c r="F77" s="13">
        <v>42739.518229166664</v>
      </c>
      <c r="G77" s="7">
        <v>1</v>
      </c>
      <c r="H77" s="22" t="s">
        <v>209</v>
      </c>
      <c r="I77" s="13">
        <v>42739.546678240738</v>
      </c>
      <c r="J77" s="7">
        <v>0</v>
      </c>
      <c r="K77" s="105" t="str">
        <f>IF(ISEVEN(B77),(B77-1)&amp;"/"&amp;B77,B77&amp;"/"&amp;(B77+1))</f>
        <v>4029/4030</v>
      </c>
      <c r="L77" s="22" t="str">
        <f>VLOOKUP(A77,'Trips&amp;Operators'!$C$1:$G$99999,5,FALSE)</f>
        <v>LEVERE CRAIG</v>
      </c>
      <c r="M77" s="6">
        <f>I77-F77</f>
        <v>2.8449074074160308E-2</v>
      </c>
      <c r="N77" s="7">
        <f>24*60*SUM($M77:$M77)</f>
        <v>40.966666666790843</v>
      </c>
      <c r="O77" s="7"/>
      <c r="P77" s="7"/>
      <c r="Q77" s="23"/>
      <c r="R77" s="23"/>
      <c r="S77" s="32">
        <f>SUM(U77:U77)/IF(AG77="EC",12,1)</f>
        <v>1</v>
      </c>
      <c r="T77" s="47" t="str">
        <f>IF(ISEVEN(LEFT(AD77,4)),"Southbound","NorthBound")</f>
        <v>Southbound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https://search-rtdc-monitor-bjffxe2xuh6vdkpspy63sjmuny.us-east-1.es.amazonaws.com/_plugin/kibana/#/discover/Steve-Slow-Train-Analysis-(2080s-and-2083s)?_g=(refreshInterval:(display:Off,section:0,value:0),time:(from:'2017-01-04 11:14:25-700',mode:absolute,to:'2017-01-04 14:07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7" s="49" t="str">
        <f>IF(AA77&lt;IF(AG77="EC",23,5.65),"Y","N")</f>
        <v>N</v>
      </c>
      <c r="X77" s="173">
        <f>VALUE(LEFT(AD77,4))-VALUE(LEFT(AD76,4))</f>
        <v>1</v>
      </c>
      <c r="Y77" s="64">
        <f t="shared" si="5"/>
        <v>23.2986</v>
      </c>
      <c r="Z77" s="64">
        <f t="shared" si="6"/>
        <v>1.4999999999999999E-2</v>
      </c>
      <c r="AA77" s="64">
        <f>ABS(Z77-Y77)</f>
        <v>23.2836</v>
      </c>
      <c r="AB77" s="61" t="e">
        <f>VLOOKUP(A77,Enforcements!$C$7:$K$19,8,0)</f>
        <v>#N/A</v>
      </c>
      <c r="AC77" s="57" t="e">
        <f>VLOOKUP(A77,Enforcements!$C$7:$E$19,3,0)</f>
        <v>#N/A</v>
      </c>
      <c r="AD77" s="58" t="str">
        <f>IF(LEN(A77)=6,"0"&amp;A77,A77)</f>
        <v>0164-04</v>
      </c>
      <c r="AE77" s="8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 &amp; 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</v>
      </c>
      <c r="AF77" s="84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/stypes="app*4030*20170104*" /stext=" 20:.+((SYSTEM_STATE.+slice.+state.+changed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88" t="str">
        <f t="shared" si="7"/>
        <v>"%USERPROFILE%\Documents\GitHub\eaglep3\Utilities\RefineRTDCRunTimes.py" --tripid 164-04 --locoid 4030 --swversion DE.1.0.8.0 --startMP 204:232986 --initTime 2017-01-04T12:14:25 --startdatetime 2017-01-04T12:26:15 --delay 1 --endMP 204:150 --enddatetime 2017-01-04T13:07:13 --enforcementcount 0 &gt;&gt;C:\Users\stu\Documents\GitHub\eaglep3-reporting\EC\2017-01-04-refined-times.txt</v>
      </c>
      <c r="AI77" s="115" t="str">
        <f t="shared" si="8"/>
        <v>echo {"issue":{"subject":"","project_id":79,"tracker_id":40,"status_id":1,"priority_id":2,"assigned_to_id":23,"start_date":"2017-01-04","description":"","custom_fields":[{"id":1,"name":"Subdivision","value":"EC"},{"id":4,"name":"Milepost","value":"0.015"},{"id":17,"name":"Train ID","value":"164-04"},{"id":16,"name":"Locomotive ID","value":"4030"},{"id":130,"name":"Impact","value":""},{"id":150,"name":"Time of Event (Mountain Time)","value":"13:07:13"},{"id":151,"name":"Denver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9"/>
        <v>start /low /b %USERPROFILE%\Documents\GitHub\eaglep3\Utilities\DownloadLogsFromS3.py --loco 4030 --day 2017-01-04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569</v>
      </c>
      <c r="B78" s="7">
        <v>4009</v>
      </c>
      <c r="C78" s="22" t="s">
        <v>203</v>
      </c>
      <c r="D78" s="22" t="s">
        <v>255</v>
      </c>
      <c r="E78" s="13">
        <v>42739.485995370371</v>
      </c>
      <c r="F78" s="13">
        <v>42739.489942129629</v>
      </c>
      <c r="G78" s="7">
        <v>1</v>
      </c>
      <c r="H78" s="22" t="s">
        <v>325</v>
      </c>
      <c r="I78" s="13">
        <v>42739.515370370369</v>
      </c>
      <c r="J78" s="7">
        <v>0</v>
      </c>
      <c r="K78" s="105" t="str">
        <f>IF(ISEVEN(B78),(B78-1)&amp;"/"&amp;B78,B78&amp;"/"&amp;(B78+1))</f>
        <v>4009/4010</v>
      </c>
      <c r="L78" s="22" t="str">
        <f>VLOOKUP(A78,'Trips&amp;Operators'!$C$1:$G$99999,5,FALSE)</f>
        <v>HELVIE ADAM</v>
      </c>
      <c r="M78" s="6">
        <f>I78-F78</f>
        <v>2.5428240740438923E-2</v>
      </c>
      <c r="N78" s="7">
        <f>24*60*SUM($M78:$M78)</f>
        <v>36.616666666232049</v>
      </c>
      <c r="O78" s="7"/>
      <c r="P78" s="7"/>
      <c r="Q78" s="23"/>
      <c r="R78" s="23"/>
      <c r="S78" s="32">
        <f>SUM(U78:U78)/IF(AG78="EC",12,1)</f>
        <v>1</v>
      </c>
      <c r="T78" s="47" t="str">
        <f>IF(ISEVEN(LEFT(AD78,4)),"Southbound","NorthBound")</f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https://search-rtdc-monitor-bjffxe2xuh6vdkpspy63sjmuny.us-east-1.es.amazonaws.com/_plugin/kibana/#/discover/Steve-Slow-Train-Analysis-(2080s-and-2083s)?_g=(refreshInterval:(display:Off,section:0,value:0),time:(from:'2017-01-04 10:39:50-700',mode:absolute,to:'2017-01-04 13:22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8" s="49" t="str">
        <f>IF(AA78&lt;IF(AG78="EC",23,5.65),"Y","N")</f>
        <v>N</v>
      </c>
      <c r="X78" s="173">
        <f>VALUE(LEFT(AD78,4))-VALUE(LEFT(AD77,4))</f>
        <v>1</v>
      </c>
      <c r="Y78" s="64">
        <f t="shared" ref="Y78:Y139" si="10">RIGHT(D78,LEN(D78)-4)/10000</f>
        <v>4.6199999999999998E-2</v>
      </c>
      <c r="Z78" s="64">
        <f t="shared" ref="Z78:Z139" si="11">RIGHT(H78,LEN(H78)-4)/10000</f>
        <v>23.331499999999998</v>
      </c>
      <c r="AA78" s="64">
        <f>ABS(Z78-Y78)</f>
        <v>23.285299999999999</v>
      </c>
      <c r="AB78" s="61" t="e">
        <f>VLOOKUP(A78,Enforcements!$C$7:$K$19,8,0)</f>
        <v>#N/A</v>
      </c>
      <c r="AC78" s="57" t="e">
        <f>VLOOKUP(A78,Enforcements!$C$7:$E$19,3,0)</f>
        <v>#N/A</v>
      </c>
      <c r="AD78" s="58" t="str">
        <f>IF(LEN(A78)=6,"0"&amp;A78,A78)</f>
        <v>0165-04</v>
      </c>
      <c r="AE78" s="8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 &amp; 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</v>
      </c>
      <c r="AF78" s="84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/stypes="app*4009*20170104*" /stext=" 19:.+((SYSTEM_STATE.+slice.+state.+changed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88" t="str">
        <f t="shared" ref="AH78:AH139" si="1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165-04 --locoid 4009 --swversion DE.1.0.8.0 --startMP 204:462 --initTime 2017-01-04T11:39:50 --startdatetime 2017-01-04T11:45:31 --delay 1 --endMP 204:233315 --enddatetime 2017-01-04T12:22:08 --enforcementcount 0 &gt;&gt;C:\Users\stu\Documents\GitHub\eaglep3-reporting\EC\2017-01-04-refined-times.txt</v>
      </c>
      <c r="AI78" s="115" t="str">
        <f t="shared" ref="AI78:AI139" si="1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{"issue":{"subject":"","project_id":79,"tracker_id":40,"status_id":1,"priority_id":2,"assigned_to_id":23,"start_date":"2017-01-04","description":"","custom_fields":[{"id":1,"name":"Subdivision","value":"EC"},{"id":4,"name":"Milepost","value":"23.3315"},{"id":17,"name":"Train ID","value":"165-04"},{"id":16,"name":"Locomotive ID","value":"4009"},{"id":130,"name":"Impact","value":""},{"id":150,"name":"Time of Event (Mountain Time)","value":"12:22:08"},{"id":151,"name":"Denver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ref="AM78:AM139" si="14">"start /low /b "&amp;dls3logs&amp;" --loco "&amp;B78&amp;" --day "&amp;TEXT(F78,"YYYY-MM-DD")</f>
        <v>start /low /b %USERPROFILE%\Documents\GitHub\eaglep3\Utilities\DownloadLogsFromS3.py --loco 4009 --day 2017-01-04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578</v>
      </c>
      <c r="B79" s="7">
        <v>4010</v>
      </c>
      <c r="C79" s="22" t="s">
        <v>203</v>
      </c>
      <c r="D79" s="22" t="s">
        <v>704</v>
      </c>
      <c r="E79" s="13">
        <v>42739.524224537039</v>
      </c>
      <c r="F79" s="13">
        <v>42739.528692129628</v>
      </c>
      <c r="G79" s="7">
        <v>2</v>
      </c>
      <c r="H79" s="22" t="s">
        <v>302</v>
      </c>
      <c r="I79" s="13">
        <v>42739.554942129631</v>
      </c>
      <c r="J79" s="7">
        <v>0</v>
      </c>
      <c r="K79" s="105" t="str">
        <f>IF(ISEVEN(B79),(B79-1)&amp;"/"&amp;B79,B79&amp;"/"&amp;(B79+1))</f>
        <v>4009/4010</v>
      </c>
      <c r="L79" s="22" t="str">
        <f>VLOOKUP(A79,'Trips&amp;Operators'!$C$1:$G$99999,5,FALSE)</f>
        <v>HELVIE ADAM</v>
      </c>
      <c r="M79" s="6">
        <f>I79-F79</f>
        <v>2.6250000002619345E-2</v>
      </c>
      <c r="N79" s="7">
        <f>24*60*SUM($M79:$M79)</f>
        <v>37.800000003771856</v>
      </c>
      <c r="O79" s="7"/>
      <c r="P79" s="7"/>
      <c r="Q79" s="23"/>
      <c r="R79" s="23"/>
      <c r="S79" s="32">
        <f>SUM(U79:U79)/IF(AG79="EC",12,1)</f>
        <v>1</v>
      </c>
      <c r="T79" s="47" t="str">
        <f>IF(ISEVEN(LEFT(AD79,4)),"Southbound","NorthBound")</f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https://search-rtdc-monitor-bjffxe2xuh6vdkpspy63sjmuny.us-east-1.es.amazonaws.com/_plugin/kibana/#/discover/Steve-Slow-Train-Analysis-(2080s-and-2083s)?_g=(refreshInterval:(display:Off,section:0,value:0),time:(from:'2017-01-04 11:34:53-700',mode:absolute,to:'2017-01-04 14:19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9" s="49" t="str">
        <f>IF(AA79&lt;IF(AG79="EC",23,5.65),"Y","N")</f>
        <v>N</v>
      </c>
      <c r="X79" s="173">
        <f>VALUE(LEFT(AD79,4))-VALUE(LEFT(AD78,4))</f>
        <v>1</v>
      </c>
      <c r="Y79" s="64">
        <f t="shared" si="10"/>
        <v>23.2987</v>
      </c>
      <c r="Z79" s="64">
        <f t="shared" si="11"/>
        <v>1.5599999999999999E-2</v>
      </c>
      <c r="AA79" s="64">
        <f>ABS(Z79-Y79)</f>
        <v>23.283100000000001</v>
      </c>
      <c r="AB79" s="61" t="e">
        <f>VLOOKUP(A79,Enforcements!$C$7:$K$19,8,0)</f>
        <v>#N/A</v>
      </c>
      <c r="AC79" s="57" t="e">
        <f>VLOOKUP(A79,Enforcements!$C$7:$E$19,3,0)</f>
        <v>#N/A</v>
      </c>
      <c r="AD79" s="58" t="str">
        <f>IF(LEN(A79)=6,"0"&amp;A79,A79)</f>
        <v>0166-04</v>
      </c>
      <c r="AE79" s="8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 &amp; 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</v>
      </c>
      <c r="AF79" s="84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/stypes="app*4010*20170104*" /stext=" 20:.+((SYSTEM_STATE.+slice.+state.+changed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88" t="str">
        <f t="shared" si="12"/>
        <v>"%USERPROFILE%\Documents\GitHub\eaglep3\Utilities\RefineRTDCRunTimes.py" --tripid 166-04 --locoid 4010 --swversion DE.1.0.8.0 --startMP 204:232987 --initTime 2017-01-04T12:34:53 --startdatetime 2017-01-04T12:41:19 --delay 2 --endMP 204:156 --enddatetime 2017-01-04T13:19:07 --enforcementcount 0 &gt;&gt;C:\Users\stu\Documents\GitHub\eaglep3-reporting\EC\2017-01-04-refined-times.txt</v>
      </c>
      <c r="AI79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{"issue":{"subject":"","project_id":79,"tracker_id":40,"status_id":1,"priority_id":2,"assigned_to_id":23,"start_date":"2017-01-04","description":"","custom_fields":[{"id":1,"name":"Subdivision","value":"EC"},{"id":4,"name":"Milepost","value":"0.0156"},{"id":17,"name":"Train ID","value":"166-04"},{"id":16,"name":"Locomotive ID","value":"4010"},{"id":130,"name":"Impact","value":""},{"id":150,"name":"Time of Event (Mountain Time)","value":"13:19:07"},{"id":151,"name":"Denver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14"/>
        <v>start /low /b %USERPROFILE%\Documents\GitHub\eaglep3\Utilities\DownloadLogsFromS3.py --loco 4010 --day 2017-01-04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573</v>
      </c>
      <c r="B80" s="7">
        <v>4022</v>
      </c>
      <c r="C80" s="22" t="s">
        <v>203</v>
      </c>
      <c r="D80" s="22" t="s">
        <v>720</v>
      </c>
      <c r="E80" s="13">
        <v>42739.504074074073</v>
      </c>
      <c r="F80" s="13">
        <v>42739.505150462966</v>
      </c>
      <c r="G80" s="7">
        <v>0</v>
      </c>
      <c r="H80" s="22" t="s">
        <v>367</v>
      </c>
      <c r="I80" s="13">
        <v>42739.527407407404</v>
      </c>
      <c r="J80" s="7">
        <v>0</v>
      </c>
      <c r="K80" s="105" t="str">
        <f>IF(ISEVEN(B80),(B80-1)&amp;"/"&amp;B80,B80&amp;"/"&amp;(B80+1))</f>
        <v>4021/4022</v>
      </c>
      <c r="L80" s="22" t="str">
        <f>VLOOKUP(A80,'Trips&amp;Operators'!$C$1:$G$99999,5,FALSE)</f>
        <v>CRAYTON QUNTRELL</v>
      </c>
      <c r="M80" s="6">
        <f>I80-F80</f>
        <v>2.2256944437685888E-2</v>
      </c>
      <c r="N80" s="7"/>
      <c r="O80" s="7"/>
      <c r="P80" s="7">
        <f>24*60*SUM($M80:$M80)</f>
        <v>32.049999990267679</v>
      </c>
      <c r="Q80" s="23"/>
      <c r="R80" s="23" t="s">
        <v>874</v>
      </c>
      <c r="S80" s="32">
        <f>SUM(U80:U80)/IF(AG80="EC",12,1)</f>
        <v>1</v>
      </c>
      <c r="T80" s="47" t="str">
        <f>IF(ISEVEN(LEFT(AD80,4)),"Southbound","NorthBound")</f>
        <v>NorthBound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hh:mm:ss")&amp;utc_offset&amp;"00',mode:absolute,to:'"&amp;TEXT(I80+1/24,"yyyy-MM-DD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https://search-rtdc-monitor-bjffxe2xuh6vdkpspy63sjmuny.us-east-1.es.amazonaws.com/_plugin/kibana/#/discover/Steve-Slow-Train-Analysis-(2080s-and-2083s)?_g=(refreshInterval:(display:Off,section:0,value:0),time:(from:'2017-01-04 11:05:52-700',mode:absolute,to:'2017-01-04 13:39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0" s="49" t="str">
        <f>IF(AA80&lt;IF(AG80="EC",23,5.65),"Y","N")</f>
        <v>Y</v>
      </c>
      <c r="X80" s="173">
        <f>VALUE(LEFT(AD80,4))-VALUE(LEFT(AD79,4))</f>
        <v>1</v>
      </c>
      <c r="Y80" s="64">
        <f t="shared" si="10"/>
        <v>1.91</v>
      </c>
      <c r="Z80" s="64">
        <f t="shared" si="11"/>
        <v>23.329499999999999</v>
      </c>
      <c r="AA80" s="64">
        <f>ABS(Z80-Y80)</f>
        <v>21.419499999999999</v>
      </c>
      <c r="AB80" s="61" t="e">
        <f>VLOOKUP(A80,Enforcements!$C$7:$K$19,8,0)</f>
        <v>#N/A</v>
      </c>
      <c r="AC80" s="57" t="e">
        <f>VLOOKUP(A80,Enforcements!$C$7:$E$19,3,0)</f>
        <v>#N/A</v>
      </c>
      <c r="AD80" s="58" t="str">
        <f>IF(LEN(A80)=6,"0"&amp;A80,A80)</f>
        <v>0167-04</v>
      </c>
      <c r="AE80" s="8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 &amp; 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</v>
      </c>
      <c r="AF80" s="84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/stypes="app*4022*20170104*" /stext=" 19:.+((SYSTEM_STATE.+slice.+state.+changed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88" t="str">
        <f t="shared" si="12"/>
        <v>"%USERPROFILE%\Documents\GitHub\eaglep3\Utilities\RefineRTDCRunTimes.py" --tripid 167-04 --locoid 4022 --swversion DE.1.0.8.0 --startMP 204:19100 --initTime 2017-01-04T12:05:52 --startdatetime 2017-01-04T12:07:25 --delay 0 --endMP 204:233295 --enddatetime 2017-01-04T12:39:28 --enforcementcount 0 &gt;&gt;C:\Users\stu\Documents\GitHub\eaglep3-reporting\EC\2017-01-04-refined-times.txt</v>
      </c>
      <c r="AI80" s="115" t="str">
        <f t="shared" si="13"/>
        <v>echo {"issue":{"subject":"DUS 2N/20N STOP","project_id":79,"tracker_id":40,"status_id":1,"priority_id":2,"assigned_to_id":23,"start_date":"2017-01-04","description":"","custom_fields":[{"id":1,"name":"Subdivision","value":"EC"},{"id":4,"name":"Milepost","value":"23.3295"},{"id":17,"name":"Train ID","value":"167-04"},{"id":16,"name":"Locomotive ID","value":"4022"},{"id":130,"name":"Impact","value":""},{"id":150,"name":"Time of Event (Mountain Time)","value":"12:39:28"},{"id":151,"name":"Denver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14"/>
        <v>start /low /b %USERPROFILE%\Documents\GitHub\eaglep3\Utilities\DownloadLogsFromS3.py --loco 4022 --day 2017-01-04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573</v>
      </c>
      <c r="B81" s="7">
        <v>4022</v>
      </c>
      <c r="C81" s="22" t="s">
        <v>203</v>
      </c>
      <c r="D81" s="22" t="s">
        <v>721</v>
      </c>
      <c r="E81" s="13">
        <v>42739.494942129626</v>
      </c>
      <c r="F81" s="13">
        <v>42739.505150462966</v>
      </c>
      <c r="G81" s="7">
        <v>1</v>
      </c>
      <c r="H81" s="22" t="s">
        <v>722</v>
      </c>
      <c r="I81" s="13">
        <v>42739.527407407404</v>
      </c>
      <c r="J81" s="7">
        <v>0</v>
      </c>
      <c r="K81" s="105" t="str">
        <f>IF(ISEVEN(B81),(B81-1)&amp;"/"&amp;B81,B81&amp;"/"&amp;(B81+1))</f>
        <v>4021/4022</v>
      </c>
      <c r="L81" s="22" t="str">
        <f>VLOOKUP(A81,'Trips&amp;Operators'!$C$1:$G$99999,5,FALSE)</f>
        <v>CRAYTON QUNTRELL</v>
      </c>
      <c r="M81" s="6">
        <f>I81-F81</f>
        <v>2.2256944437685888E-2</v>
      </c>
      <c r="N81" s="7"/>
      <c r="O81" s="7"/>
      <c r="P81" s="7"/>
      <c r="Q81" s="23"/>
      <c r="R81" s="23"/>
      <c r="S81" s="32">
        <f>SUM(U81:U81)/IF(AG81="EC",12,1)</f>
        <v>0</v>
      </c>
      <c r="T81" s="47" t="str">
        <f>IF(ISEVEN(LEFT(AD81,4)),"Southbound","NorthBound")</f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0</v>
      </c>
      <c r="V81" s="94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hh:mm:ss")&amp;utc_offset&amp;"00',mode:absolute,to:'"&amp;TEXT(I81+1/24,"yyyy-MM-DD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https://search-rtdc-monitor-bjffxe2xuh6vdkpspy63sjmuny.us-east-1.es.amazonaws.com/_plugin/kibana/#/discover/Steve-Slow-Train-Analysis-(2080s-and-2083s)?_g=(refreshInterval:(display:Off,section:0,value:0),time:(from:'2017-01-04 10:52:43-700',mode:absolute,to:'2017-01-04 13:39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1" s="49" t="str">
        <f>IF(AA81&lt;IF(AG81="EC",23,5.65),"Y","N")</f>
        <v>Y</v>
      </c>
      <c r="X81" s="173">
        <f>VALUE(LEFT(AD81,4))-VALUE(LEFT(AD80,4))</f>
        <v>0</v>
      </c>
      <c r="Y81" s="64">
        <f t="shared" si="10"/>
        <v>4.2900000000000001E-2</v>
      </c>
      <c r="Z81" s="64">
        <f t="shared" si="11"/>
        <v>7.2099999999999997E-2</v>
      </c>
      <c r="AA81" s="64">
        <f>ABS(Z81-Y81)</f>
        <v>2.9199999999999997E-2</v>
      </c>
      <c r="AB81" s="61" t="e">
        <f>VLOOKUP(A81,Enforcements!$C$7:$K$19,8,0)</f>
        <v>#N/A</v>
      </c>
      <c r="AC81" s="57" t="e">
        <f>VLOOKUP(A81,Enforcements!$C$7:$E$19,3,0)</f>
        <v>#N/A</v>
      </c>
      <c r="AD81" s="58" t="str">
        <f>IF(LEN(A81)=6,"0"&amp;A81,A81)</f>
        <v>0167-04</v>
      </c>
      <c r="AE81" s="8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 &amp; 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</v>
      </c>
      <c r="AF81" s="84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/stypes="app*4022*20170104*" /stext=" 19:.+((SYSTEM_STATE.+slice.+state.+changed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88" t="str">
        <f t="shared" si="12"/>
        <v>"%USERPROFILE%\Documents\GitHub\eaglep3\Utilities\RefineRTDCRunTimes.py" --tripid 167-04 --locoid 4022 --swversion DE.1.0.8.0 --startMP 204:429 --initTime 2017-01-04T11:52:43 --startdatetime 2017-01-04T12:07:25 --delay 1 --endMP 204:721 --enddatetime 2017-01-04T12:39:28 --enforcementcount 0 &gt;&gt;C:\Users\stu\Documents\GitHub\eaglep3-reporting\EC\2017-01-04-refined-times.txt</v>
      </c>
      <c r="AI81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{"issue":{"subject":"","project_id":79,"tracker_id":40,"status_id":1,"priority_id":2,"assigned_to_id":23,"start_date":"2017-01-04","description":"","custom_fields":[{"id":1,"name":"Subdivision","value":"EC"},{"id":4,"name":"Milepost","value":"0.0721"},{"id":17,"name":"Train ID","value":"167-04"},{"id":16,"name":"Locomotive ID","value":"4022"},{"id":130,"name":"Impact","value":""},{"id":150,"name":"Time of Event (Mountain Time)","value":"12:39:28"},{"id":151,"name":"Denver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14"/>
        <v>start /low /b %USERPROFILE%\Documents\GitHub\eaglep3\Utilities\DownloadLogsFromS3.py --loco 4022 --day 2017-01-04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580</v>
      </c>
      <c r="B82" s="7">
        <v>4021</v>
      </c>
      <c r="C82" s="22" t="s">
        <v>203</v>
      </c>
      <c r="D82" s="22" t="s">
        <v>253</v>
      </c>
      <c r="E82" s="13">
        <v>42739.532268518517</v>
      </c>
      <c r="F82" s="13">
        <v>42739.539236111108</v>
      </c>
      <c r="G82" s="7">
        <v>1</v>
      </c>
      <c r="H82" s="22" t="s">
        <v>723</v>
      </c>
      <c r="I82" s="13">
        <v>42739.567476851851</v>
      </c>
      <c r="J82" s="7">
        <v>0</v>
      </c>
      <c r="K82" s="105" t="str">
        <f>IF(ISEVEN(B82),(B82-1)&amp;"/"&amp;B82,B82&amp;"/"&amp;(B82+1))</f>
        <v>4021/4022</v>
      </c>
      <c r="L82" s="22" t="str">
        <f>VLOOKUP(A82,'Trips&amp;Operators'!$C$1:$G$99999,5,FALSE)</f>
        <v>CRAYTON QUNTRELL</v>
      </c>
      <c r="M82" s="6">
        <f>I82-F82</f>
        <v>2.8240740743058268E-2</v>
      </c>
      <c r="N82" s="7">
        <f>24*60*SUM($M82:$M82)</f>
        <v>40.666666670003906</v>
      </c>
      <c r="O82" s="7"/>
      <c r="P82" s="7"/>
      <c r="Q82" s="23"/>
      <c r="R82" s="23"/>
      <c r="S82" s="32">
        <f>SUM(U82:U82)/IF(AG82="EC",12,1)</f>
        <v>1</v>
      </c>
      <c r="T82" s="47" t="str">
        <f>IF(ISEVEN(LEFT(AD82,4)),"Southbound","NorthBound")</f>
        <v>Southbound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hh:mm:ss")&amp;utc_offset&amp;"00',mode:absolute,to:'"&amp;TEXT(I82+1/24,"yyyy-MM-DD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https://search-rtdc-monitor-bjffxe2xuh6vdkpspy63sjmuny.us-east-1.es.amazonaws.com/_plugin/kibana/#/discover/Steve-Slow-Train-Analysis-(2080s-and-2083s)?_g=(refreshInterval:(display:Off,section:0,value:0),time:(from:'2017-01-04 11:46:28-700',mode:absolute,to:'2017-01-04 14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2" s="49" t="str">
        <f>IF(AA82&lt;IF(AG82="EC",23,5.65),"Y","N")</f>
        <v>N</v>
      </c>
      <c r="X82" s="173">
        <f t="shared" ref="X82:X87" si="15">VALUE(LEFT(AD82,4))-VALUE(LEFT(AD81,4))</f>
        <v>1</v>
      </c>
      <c r="Y82" s="64">
        <f t="shared" si="10"/>
        <v>23.297699999999999</v>
      </c>
      <c r="Z82" s="64">
        <f t="shared" si="11"/>
        <v>1.7399999999999999E-2</v>
      </c>
      <c r="AA82" s="64">
        <f>ABS(Z82-Y82)</f>
        <v>23.2803</v>
      </c>
      <c r="AB82" s="61" t="e">
        <f>VLOOKUP(A82,Enforcements!$C$7:$K$19,8,0)</f>
        <v>#N/A</v>
      </c>
      <c r="AC82" s="57" t="e">
        <f>VLOOKUP(A82,Enforcements!$C$7:$E$19,3,0)</f>
        <v>#N/A</v>
      </c>
      <c r="AD82" s="58" t="str">
        <f>IF(LEN(A82)=6,"0"&amp;A82,A82)</f>
        <v>0168-04</v>
      </c>
      <c r="AE82" s="8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 &amp; 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</v>
      </c>
      <c r="AF82" s="84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/stypes="app*4021*20170104*" /stext=" 20:.+((SYSTEM_STATE.+slice.+state.+changed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88" t="str">
        <f t="shared" si="12"/>
        <v>"%USERPROFILE%\Documents\GitHub\eaglep3\Utilities\RefineRTDCRunTimes.py" --tripid 168-04 --locoid 4021 --swversion DE.1.0.8.0 --startMP 204:232977 --initTime 2017-01-04T12:46:28 --startdatetime 2017-01-04T12:56:30 --delay 1 --endMP 204:174 --enddatetime 2017-01-04T13:37:10 --enforcementcount 0 &gt;&gt;C:\Users\stu\Documents\GitHub\eaglep3-reporting\EC\2017-01-04-refined-times.txt</v>
      </c>
      <c r="AI82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{"issue":{"subject":"","project_id":79,"tracker_id":40,"status_id":1,"priority_id":2,"assigned_to_id":23,"start_date":"2017-01-04","description":"","custom_fields":[{"id":1,"name":"Subdivision","value":"EC"},{"id":4,"name":"Milepost","value":"0.0174"},{"id":17,"name":"Train ID","value":"168-04"},{"id":16,"name":"Locomotive ID","value":"4021"},{"id":130,"name":"Impact","value":""},{"id":150,"name":"Time of Event (Mountain Time)","value":"13:37:10"},{"id":151,"name":"Denver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14"/>
        <v>start /low /b %USERPROFILE%\Documents\GitHub\eaglep3\Utilities\DownloadLogsFromS3.py --loco 4021 --day 2017-01-04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575</v>
      </c>
      <c r="B83" s="7">
        <v>4003</v>
      </c>
      <c r="C83" s="22" t="s">
        <v>203</v>
      </c>
      <c r="D83" s="22" t="s">
        <v>194</v>
      </c>
      <c r="E83" s="13">
        <v>42739.505972222221</v>
      </c>
      <c r="F83" s="13">
        <v>42739.510625000003</v>
      </c>
      <c r="G83" s="7">
        <v>2</v>
      </c>
      <c r="H83" s="22" t="s">
        <v>303</v>
      </c>
      <c r="I83" s="13">
        <v>42739.537002314813</v>
      </c>
      <c r="J83" s="7">
        <v>0</v>
      </c>
      <c r="K83" s="105" t="str">
        <f>IF(ISEVEN(B83),(B83-1)&amp;"/"&amp;B83,B83&amp;"/"&amp;(B83+1))</f>
        <v>4003/4004</v>
      </c>
      <c r="L83" s="22" t="str">
        <f>VLOOKUP(A83,'Trips&amp;Operators'!$C$1:$G$99999,5,FALSE)</f>
        <v>LEVIN SCOTT</v>
      </c>
      <c r="M83" s="6">
        <f>I83-F83</f>
        <v>2.6377314810815733E-2</v>
      </c>
      <c r="N83" s="7">
        <f>24*60*SUM($M83:$M83)</f>
        <v>37.983333327574655</v>
      </c>
      <c r="O83" s="7"/>
      <c r="P83" s="7"/>
      <c r="Q83" s="23"/>
      <c r="R83" s="23"/>
      <c r="S83" s="32">
        <f>SUM(U83:U83)/IF(AG83="EC",12,1)</f>
        <v>1</v>
      </c>
      <c r="T83" s="47" t="str">
        <f>IF(ISEVEN(LEFT(AD83,4)),"Southbound","NorthBound")</f>
        <v>NorthBound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hh:mm:ss")&amp;utc_offset&amp;"00',mode:absolute,to:'"&amp;TEXT(I83+1/24,"yyyy-MM-DD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https://search-rtdc-monitor-bjffxe2xuh6vdkpspy63sjmuny.us-east-1.es.amazonaws.com/_plugin/kibana/#/discover/Steve-Slow-Train-Analysis-(2080s-and-2083s)?_g=(refreshInterval:(display:Off,section:0,value:0),time:(from:'2017-01-04 11:08:36-700',mode:absolute,to:'2017-01-04 13:53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3" s="49" t="str">
        <f>IF(AA83&lt;IF(AG83="EC",23,5.65),"Y","N")</f>
        <v>N</v>
      </c>
      <c r="X83" s="173">
        <f t="shared" si="15"/>
        <v>1</v>
      </c>
      <c r="Y83" s="64">
        <f t="shared" si="10"/>
        <v>4.5100000000000001E-2</v>
      </c>
      <c r="Z83" s="64">
        <f t="shared" si="11"/>
        <v>23.331700000000001</v>
      </c>
      <c r="AA83" s="64">
        <f>ABS(Z83-Y83)</f>
        <v>23.2866</v>
      </c>
      <c r="AB83" s="61" t="e">
        <f>VLOOKUP(A83,Enforcements!$C$7:$K$19,8,0)</f>
        <v>#N/A</v>
      </c>
      <c r="AC83" s="57" t="e">
        <f>VLOOKUP(A83,Enforcements!$C$7:$E$19,3,0)</f>
        <v>#N/A</v>
      </c>
      <c r="AD83" s="58" t="str">
        <f>IF(LEN(A83)=6,"0"&amp;A83,A83)</f>
        <v>0169-04</v>
      </c>
      <c r="AE83" s="8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s3://rtdc.mdm.uploadarchive.raw/RTDC4003/ "%USERPROFILE%\AppData\Local\Temp\OnboardLogs"\RTDC4003\2017-01-04 --exclude "*" --recursive --include "*20170104*" &amp; "%USERPROFILE%\Documents\GitHub\mrs-test-scripts\Headless Mode &amp; Sideloading\WalkAndUnGZ.bat" "%USERPROFILE%\AppData\Local\Temp\OnboardLogs"\RTDC4003\2017-01-04 &amp; 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</v>
      </c>
      <c r="AF83" s="84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/stypes="app*4003*20170104*" /stext=" 19:.+((SYSTEM_STATE.+slice.+state.+changed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88" t="str">
        <f t="shared" si="12"/>
        <v>"%USERPROFILE%\Documents\GitHub\eaglep3\Utilities\RefineRTDCRunTimes.py" --tripid 169-04 --locoid 4003 --swversion DE.1.0.8.0 --startMP 204:451 --initTime 2017-01-04T12:08:36 --startdatetime 2017-01-04T12:15:18 --delay 2 --endMP 204:233317 --enddatetime 2017-01-04T12:53:17 --enforcementcount 0 &gt;&gt;C:\Users\stu\Documents\GitHub\eaglep3-reporting\EC\2017-01-04-refined-times.txt</v>
      </c>
      <c r="AI83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{"issue":{"subject":"","project_id":79,"tracker_id":40,"status_id":1,"priority_id":2,"assigned_to_id":23,"start_date":"2017-01-04","description":"","custom_fields":[{"id":1,"name":"Subdivision","value":"EC"},{"id":4,"name":"Milepost","value":"23.3317"},{"id":17,"name":"Train ID","value":"169-04"},{"id":16,"name":"Locomotive ID","value":"4003"},{"id":130,"name":"Impact","value":""},{"id":150,"name":"Time of Event (Mountain Time)","value":"12:53:17"},{"id":151,"name":"Denver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14"/>
        <v>start /low /b %USERPROFILE%\Documents\GitHub\eaglep3\Utilities\DownloadLogsFromS3.py --loco 4003 --day 2017-01-04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582</v>
      </c>
      <c r="B84" s="7">
        <v>4004</v>
      </c>
      <c r="C84" s="22" t="s">
        <v>203</v>
      </c>
      <c r="D84" s="22" t="s">
        <v>318</v>
      </c>
      <c r="E84" s="13">
        <v>42739.543923611112</v>
      </c>
      <c r="F84" s="13">
        <v>42739.549537037034</v>
      </c>
      <c r="G84" s="7">
        <v>1</v>
      </c>
      <c r="H84" s="22" t="s">
        <v>249</v>
      </c>
      <c r="I84" s="13">
        <v>42739.577546296299</v>
      </c>
      <c r="J84" s="7">
        <v>0</v>
      </c>
      <c r="K84" s="105" t="str">
        <f>IF(ISEVEN(B84),(B84-1)&amp;"/"&amp;B84,B84&amp;"/"&amp;(B84+1))</f>
        <v>4003/4004</v>
      </c>
      <c r="L84" s="22" t="str">
        <f>VLOOKUP(A84,'Trips&amp;Operators'!$C$1:$G$99999,5,FALSE)</f>
        <v>LEVIN SCOTT</v>
      </c>
      <c r="M84" s="6">
        <f>I84-F84</f>
        <v>2.8009259265672881E-2</v>
      </c>
      <c r="N84" s="7">
        <f>24*60*SUM($M84:$M84)</f>
        <v>40.333333342568949</v>
      </c>
      <c r="O84" s="7"/>
      <c r="P84" s="7"/>
      <c r="Q84" s="23"/>
      <c r="R84" s="23"/>
      <c r="S84" s="32">
        <f>SUM(U84:U84)/IF(AG84="EC",12,1)</f>
        <v>1</v>
      </c>
      <c r="T84" s="47" t="str">
        <f>IF(ISEVEN(LEFT(AD84,4)),"Southbound","NorthBound")</f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hh:mm:ss")&amp;utc_offset&amp;"00',mode:absolute,to:'"&amp;TEXT(I84+1/24,"yyyy-MM-DD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https://search-rtdc-monitor-bjffxe2xuh6vdkpspy63sjmuny.us-east-1.es.amazonaws.com/_plugin/kibana/#/discover/Steve-Slow-Train-Analysis-(2080s-and-2083s)?_g=(refreshInterval:(display:Off,section:0,value:0),time:(from:'2017-01-04 12:03:15-700',mode:absolute,to:'2017-01-04 14:51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4" s="49" t="str">
        <f>IF(AA84&lt;IF(AG84="EC",23,5.65),"Y","N")</f>
        <v>N</v>
      </c>
      <c r="X84" s="173">
        <f t="shared" si="15"/>
        <v>1</v>
      </c>
      <c r="Y84" s="64">
        <f t="shared" si="10"/>
        <v>23.301100000000002</v>
      </c>
      <c r="Z84" s="64">
        <f t="shared" si="11"/>
        <v>1.47E-2</v>
      </c>
      <c r="AA84" s="64">
        <f>ABS(Z84-Y84)</f>
        <v>23.2864</v>
      </c>
      <c r="AB84" s="61" t="e">
        <f>VLOOKUP(A84,Enforcements!$C$7:$K$19,8,0)</f>
        <v>#N/A</v>
      </c>
      <c r="AC84" s="57" t="e">
        <f>VLOOKUP(A84,Enforcements!$C$7:$E$19,3,0)</f>
        <v>#N/A</v>
      </c>
      <c r="AD84" s="58" t="str">
        <f>IF(LEN(A84)=6,"0"&amp;A84,A84)</f>
        <v>0170-04</v>
      </c>
      <c r="AE84" s="8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 &amp; 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</v>
      </c>
      <c r="AF84" s="84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/stypes="app*4004*20170104*" /stext=" 20:.+((SYSTEM_STATE.+slice.+state.+changed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88" t="str">
        <f t="shared" si="12"/>
        <v>"%USERPROFILE%\Documents\GitHub\eaglep3\Utilities\RefineRTDCRunTimes.py" --tripid 170-04 --locoid 4004 --swversion DE.1.0.8.0 --startMP 204:233011 --initTime 2017-01-04T13:03:15 --startdatetime 2017-01-04T13:11:20 --delay 1 --endMP 204:147 --enddatetime 2017-01-04T13:51:40 --enforcementcount 0 &gt;&gt;C:\Users\stu\Documents\GitHub\eaglep3-reporting\EC\2017-01-04-refined-times.txt</v>
      </c>
      <c r="AI84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{"issue":{"subject":"","project_id":79,"tracker_id":40,"status_id":1,"priority_id":2,"assigned_to_id":23,"start_date":"2017-01-04","description":"","custom_fields":[{"id":1,"name":"Subdivision","value":"EC"},{"id":4,"name":"Milepost","value":"0.0147"},{"id":17,"name":"Train ID","value":"170-04"},{"id":16,"name":"Locomotive ID","value":"4004"},{"id":130,"name":"Impact","value":""},{"id":150,"name":"Time of Event (Mountain Time)","value":"13:51:40"},{"id":151,"name":"Denver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14"/>
        <v>start /low /b %USERPROFILE%\Documents\GitHub\eaglep3\Utilities\DownloadLogsFromS3.py --loco 4004 --day 2017-01-04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577</v>
      </c>
      <c r="B85" s="7">
        <v>4044</v>
      </c>
      <c r="C85" s="22" t="s">
        <v>203</v>
      </c>
      <c r="D85" s="22" t="s">
        <v>724</v>
      </c>
      <c r="E85" s="13">
        <v>42739.516736111109</v>
      </c>
      <c r="F85" s="13">
        <v>42739.520972222221</v>
      </c>
      <c r="G85" s="7">
        <v>2</v>
      </c>
      <c r="H85" s="22" t="s">
        <v>412</v>
      </c>
      <c r="I85" s="13">
        <v>42739.545763888891</v>
      </c>
      <c r="J85" s="7">
        <v>0</v>
      </c>
      <c r="K85" s="105" t="str">
        <f>IF(ISEVEN(B85),(B85-1)&amp;"/"&amp;B85,B85&amp;"/"&amp;(B85+1))</f>
        <v>4043/4044</v>
      </c>
      <c r="L85" s="22" t="str">
        <f>VLOOKUP(A85,'Trips&amp;Operators'!$C$1:$G$99999,5,FALSE)</f>
        <v>BRANNON JEFFREY</v>
      </c>
      <c r="M85" s="6">
        <f>I85-F85</f>
        <v>2.4791666670353152E-2</v>
      </c>
      <c r="N85" s="7">
        <f>24*60*SUM($M85:$M85)</f>
        <v>35.700000005308539</v>
      </c>
      <c r="O85" s="7"/>
      <c r="P85" s="7"/>
      <c r="Q85" s="23"/>
      <c r="R85" s="23"/>
      <c r="S85" s="32">
        <f>SUM(U85:U85)/IF(AG85="EC",12,1)</f>
        <v>1</v>
      </c>
      <c r="T85" s="47" t="str">
        <f>IF(ISEVEN(LEFT(AD85,4)),"Southbound","NorthBound")</f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hh:mm:ss")&amp;utc_offset&amp;"00',mode:absolute,to:'"&amp;TEXT(I85+1/24,"yyyy-MM-DD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https://search-rtdc-monitor-bjffxe2xuh6vdkpspy63sjmuny.us-east-1.es.amazonaws.com/_plugin/kibana/#/discover/Steve-Slow-Train-Analysis-(2080s-and-2083s)?_g=(refreshInterval:(display:Off,section:0,value:0),time:(from:'2017-01-04 11:24:06-700',mode:absolute,to:'2017-01-04 14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5" s="49" t="str">
        <f>IF(AA85&lt;IF(AG85="EC",23,5.65),"Y","N")</f>
        <v>N</v>
      </c>
      <c r="X85" s="173">
        <f t="shared" si="15"/>
        <v>1</v>
      </c>
      <c r="Y85" s="64">
        <f t="shared" si="10"/>
        <v>4.7300000000000002E-2</v>
      </c>
      <c r="Z85" s="64">
        <f t="shared" si="11"/>
        <v>23.331099999999999</v>
      </c>
      <c r="AA85" s="64">
        <f>ABS(Z85-Y85)</f>
        <v>23.283799999999999</v>
      </c>
      <c r="AB85" s="61" t="e">
        <f>VLOOKUP(A85,Enforcements!$C$7:$K$19,8,0)</f>
        <v>#N/A</v>
      </c>
      <c r="AC85" s="57" t="e">
        <f>VLOOKUP(A85,Enforcements!$C$7:$E$19,3,0)</f>
        <v>#N/A</v>
      </c>
      <c r="AD85" s="58" t="str">
        <f>IF(LEN(A85)=6,"0"&amp;A85,A85)</f>
        <v>0171-04</v>
      </c>
      <c r="AE85" s="8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AF85" s="84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/stypes="app*4044*20170104*" /stext=" 20:.+((SYSTEM_STATE.+slice.+state.+changed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88" t="str">
        <f t="shared" si="12"/>
        <v>"%USERPROFILE%\Documents\GitHub\eaglep3\Utilities\RefineRTDCRunTimes.py" --tripid 171-04 --locoid 4044 --swversion DE.1.0.8.0 --startMP 204:473 --initTime 2017-01-04T12:24:06 --startdatetime 2017-01-04T12:30:12 --delay 2 --endMP 204:233311 --enddatetime 2017-01-04T13:05:54 --enforcementcount 0 &gt;&gt;C:\Users\stu\Documents\GitHub\eaglep3-reporting\EC\2017-01-04-refined-times.txt</v>
      </c>
      <c r="AI85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{"issue":{"subject":"","project_id":79,"tracker_id":40,"status_id":1,"priority_id":2,"assigned_to_id":23,"start_date":"2017-01-04","description":"","custom_fields":[{"id":1,"name":"Subdivision","value":"EC"},{"id":4,"name":"Milepost","value":"23.3311"},{"id":17,"name":"Train ID","value":"171-04"},{"id":16,"name":"Locomotive ID","value":"4044"},{"id":130,"name":"Impact","value":""},{"id":150,"name":"Time of Event (Mountain Time)","value":"13:05:54"},{"id":151,"name":"Denver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14"/>
        <v>start /low /b %USERPROFILE%\Documents\GitHub\eaglep3\Utilities\DownloadLogsFromS3.py --loco 4044 --day 2017-01-04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583</v>
      </c>
      <c r="B86" s="7">
        <v>4043</v>
      </c>
      <c r="C86" s="22" t="s">
        <v>203</v>
      </c>
      <c r="D86" s="22" t="s">
        <v>261</v>
      </c>
      <c r="E86" s="13">
        <v>42739.547037037039</v>
      </c>
      <c r="F86" s="13">
        <v>42739.559872685182</v>
      </c>
      <c r="G86" s="7">
        <v>1</v>
      </c>
      <c r="H86" s="22" t="s">
        <v>259</v>
      </c>
      <c r="I86" s="13">
        <v>42739.588622685187</v>
      </c>
      <c r="J86" s="7">
        <v>0</v>
      </c>
      <c r="K86" s="105" t="str">
        <f>IF(ISEVEN(B86),(B86-1)&amp;"/"&amp;B86,B86&amp;"/"&amp;(B86+1))</f>
        <v>4043/4044</v>
      </c>
      <c r="L86" s="22" t="str">
        <f>VLOOKUP(A86,'Trips&amp;Operators'!$C$1:$G$99999,5,FALSE)</f>
        <v>BRANNON JEFFREY</v>
      </c>
      <c r="M86" s="6">
        <f>I86-F86</f>
        <v>2.8750000004947651E-2</v>
      </c>
      <c r="N86" s="7">
        <f>24*60*SUM($M86:$M86)</f>
        <v>41.400000007124618</v>
      </c>
      <c r="O86" s="7"/>
      <c r="P86" s="7"/>
      <c r="Q86" s="23"/>
      <c r="R86" s="23"/>
      <c r="S86" s="32">
        <f>SUM(U86:U86)/IF(AG86="EC",12,1)</f>
        <v>1</v>
      </c>
      <c r="T86" s="47" t="str">
        <f>IF(ISEVEN(LEFT(AD86,4)),"Southbound","NorthBound")</f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hh:mm:ss")&amp;utc_offset&amp;"00',mode:absolute,to:'"&amp;TEXT(I86+1/24,"yyyy-MM-DD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https://search-rtdc-monitor-bjffxe2xuh6vdkpspy63sjmuny.us-east-1.es.amazonaws.com/_plugin/kibana/#/discover/Steve-Slow-Train-Analysis-(2080s-and-2083s)?_g=(refreshInterval:(display:Off,section:0,value:0),time:(from:'2017-01-04 12:07:44-700',mode:absolute,to:'2017-01-04 15:07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6" s="49" t="str">
        <f>IF(AA86&lt;IF(AG86="EC",23,5.65),"Y","N")</f>
        <v>N</v>
      </c>
      <c r="X86" s="173">
        <f t="shared" si="15"/>
        <v>1</v>
      </c>
      <c r="Y86" s="64">
        <f t="shared" si="10"/>
        <v>23.2986</v>
      </c>
      <c r="Z86" s="64">
        <f t="shared" si="11"/>
        <v>1.38E-2</v>
      </c>
      <c r="AA86" s="64">
        <f>ABS(Z86-Y86)</f>
        <v>23.284800000000001</v>
      </c>
      <c r="AB86" s="61" t="e">
        <f>VLOOKUP(A86,Enforcements!$C$7:$K$19,8,0)</f>
        <v>#N/A</v>
      </c>
      <c r="AC86" s="57" t="e">
        <f>VLOOKUP(A86,Enforcements!$C$7:$E$19,3,0)</f>
        <v>#N/A</v>
      </c>
      <c r="AD86" s="58" t="str">
        <f>IF(LEN(A86)=6,"0"&amp;A86,A86)</f>
        <v>0172-04</v>
      </c>
      <c r="AE86" s="8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s3://rtdc.mdm.uploadarchive.raw/RTDC4043/ "%USERPROFILE%\AppData\Local\Temp\OnboardLogs"\RTDC4043\2017-01-04 --exclude "*" --recursive --include "*20170104*" &amp; "%USERPROFILE%\Documents\GitHub\mrs-test-scripts\Headless Mode &amp; Sideloading\WalkAndUnGZ.bat" "%USERPROFILE%\AppData\Local\Temp\OnboardLogs"\RTDC4043\2017-01-04 &amp; 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</v>
      </c>
      <c r="AF86" s="84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/stypes="app*4043*20170104*" /stext=" 21:.+((SYSTEM_STATE.+slice.+state.+changed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88" t="str">
        <f t="shared" si="12"/>
        <v>"%USERPROFILE%\Documents\GitHub\eaglep3\Utilities\RefineRTDCRunTimes.py" --tripid 172-04 --locoid 4043 --swversion DE.1.0.8.0 --startMP 204:232986 --initTime 2017-01-04T13:07:44 --startdatetime 2017-01-04T13:26:13 --delay 1 --endMP 204:138 --enddatetime 2017-01-04T14:07:37 --enforcementcount 0 &gt;&gt;C:\Users\stu\Documents\GitHub\eaglep3-reporting\EC\2017-01-04-refined-times.txt</v>
      </c>
      <c r="AI86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{"issue":{"subject":"","project_id":79,"tracker_id":40,"status_id":1,"priority_id":2,"assigned_to_id":23,"start_date":"2017-01-04","description":"","custom_fields":[{"id":1,"name":"Subdivision","value":"EC"},{"id":4,"name":"Milepost","value":"0.0138"},{"id":17,"name":"Train ID","value":"172-04"},{"id":16,"name":"Locomotive ID","value":"4043"},{"id":130,"name":"Impact","value":""},{"id":150,"name":"Time of Event (Mountain Time)","value":"14:07:37"},{"id":151,"name":"Denver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14"/>
        <v>start /low /b %USERPROFILE%\Documents\GitHub\eaglep3\Utilities\DownloadLogsFromS3.py --loco 4043 --day 2017-01-04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4" t="s">
        <v>456</v>
      </c>
      <c r="B87" s="7">
        <v>4042</v>
      </c>
      <c r="C87" s="22" t="s">
        <v>203</v>
      </c>
      <c r="D87" s="22" t="s">
        <v>225</v>
      </c>
      <c r="E87" s="13">
        <v>42739.526562500003</v>
      </c>
      <c r="F87" s="13">
        <v>42739.531423611108</v>
      </c>
      <c r="G87" s="7">
        <v>1</v>
      </c>
      <c r="H87" s="22" t="s">
        <v>725</v>
      </c>
      <c r="I87" s="13">
        <v>42739.559861111113</v>
      </c>
      <c r="J87" s="7">
        <v>0</v>
      </c>
      <c r="K87" s="105" t="str">
        <f>IF(ISEVEN(B87),(B87-1)&amp;"/"&amp;B87,B87&amp;"/"&amp;(B87+1))</f>
        <v>4041/4042</v>
      </c>
      <c r="L87" s="22" t="str">
        <f>VLOOKUP(A87,'Trips&amp;Operators'!$C$1:$G$99999,5,FALSE)</f>
        <v>CLARK KATHLEEN</v>
      </c>
      <c r="M87" s="6">
        <f>I87-F87</f>
        <v>2.8437500004656613E-2</v>
      </c>
      <c r="N87" s="7">
        <f>24*60*SUM($M87:$M87)</f>
        <v>40.950000006705523</v>
      </c>
      <c r="O87" s="7"/>
      <c r="P87" s="7"/>
      <c r="Q87" s="23"/>
      <c r="R87" s="23"/>
      <c r="S87" s="32">
        <f>SUM(U87:U87)/IF(AG87="EC",12,1)</f>
        <v>1</v>
      </c>
      <c r="T87" s="47" t="str">
        <f>IF(ISEVEN(LEFT(AD87,4)),"Southbound","NorthBound")</f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hh:mm:ss")&amp;utc_offset&amp;"00',mode:absolute,to:'"&amp;TEXT(I87+1/24,"yyyy-MM-DD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https://search-rtdc-monitor-bjffxe2xuh6vdkpspy63sjmuny.us-east-1.es.amazonaws.com/_plugin/kibana/#/discover/Steve-Slow-Train-Analysis-(2080s-and-2083s)?_g=(refreshInterval:(display:Off,section:0,value:0),time:(from:'2017-01-04 11:38:15-700',mode:absolute,to:'2017-01-04 14:26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7" s="49" t="str">
        <f>IF(AA87&lt;IF(AG87="EC",23,5.65),"Y","N")</f>
        <v>N</v>
      </c>
      <c r="X87" s="173">
        <f t="shared" si="15"/>
        <v>1</v>
      </c>
      <c r="Y87" s="64">
        <f t="shared" si="10"/>
        <v>4.5499999999999999E-2</v>
      </c>
      <c r="Z87" s="64">
        <f t="shared" si="11"/>
        <v>23.270600000000002</v>
      </c>
      <c r="AA87" s="64">
        <f>ABS(Z87-Y87)</f>
        <v>23.225100000000001</v>
      </c>
      <c r="AB87" s="61" t="e">
        <f>VLOOKUP(A87,Enforcements!$C$7:$K$19,8,0)</f>
        <v>#N/A</v>
      </c>
      <c r="AC87" s="57" t="e">
        <f>VLOOKUP(A87,Enforcements!$C$7:$E$19,3,0)</f>
        <v>#N/A</v>
      </c>
      <c r="AD87" s="58" t="str">
        <f>IF(LEN(A87)=6,"0"&amp;A87,A87)</f>
        <v>0173-04</v>
      </c>
      <c r="AE87" s="8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s3://rtdc.mdm.uploadarchive.raw/RTDC4042/ "%USERPROFILE%\AppData\Local\Temp\OnboardLogs"\RTDC4042\2017-01-04 --exclude "*" --recursive --include "*20170104*" &amp; "%USERPROFILE%\Documents\GitHub\mrs-test-scripts\Headless Mode &amp; Sideloading\WalkAndUnGZ.bat" "%USERPROFILE%\AppData\Local\Temp\OnboardLogs"\RTDC4042\2017-01-04 &amp; 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</v>
      </c>
      <c r="AF87" s="84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/stypes="app*4042*20170104*" /stext=" 20:.+((SYSTEM_STATE.+slice.+state.+changed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88" t="str">
        <f t="shared" si="12"/>
        <v>"%USERPROFILE%\Documents\GitHub\eaglep3\Utilities\RefineRTDCRunTimes.py" --tripid 173-04 --locoid 4042 --swversion DE.1.0.8.0 --startMP 204:455 --initTime 2017-01-04T12:38:15 --startdatetime 2017-01-04T12:45:15 --delay 1 --endMP 204:232706 --enddatetime 2017-01-04T13:26:12 --enforcementcount 0 &gt;&gt;C:\Users\stu\Documents\GitHub\eaglep3-reporting\EC\2017-01-04-refined-times.txt</v>
      </c>
      <c r="AI87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{"issue":{"subject":"","project_id":79,"tracker_id":40,"status_id":1,"priority_id":2,"assigned_to_id":23,"start_date":"2017-01-04","description":"","custom_fields":[{"id":1,"name":"Subdivision","value":"EC"},{"id":4,"name":"Milepost","value":"23.2706"},{"id":17,"name":"Train ID","value":"173-04"},{"id":16,"name":"Locomotive ID","value":"4042"},{"id":130,"name":"Impact","value":""},{"id":150,"name":"Time of Event (Mountain Time)","value":"13:26:12"},{"id":151,"name":"Denver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14"/>
        <v>start /low /b %USERPROFILE%\Documents\GitHub\eaglep3\Utilities\DownloadLogsFromS3.py --loco 4042 --day 2017-01-04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589</v>
      </c>
      <c r="B88" s="7">
        <v>4041</v>
      </c>
      <c r="C88" s="22" t="s">
        <v>203</v>
      </c>
      <c r="D88" s="22" t="s">
        <v>726</v>
      </c>
      <c r="E88" s="13">
        <v>42739.567060185182</v>
      </c>
      <c r="F88" s="13">
        <v>42739.5703125</v>
      </c>
      <c r="G88" s="7">
        <v>1</v>
      </c>
      <c r="H88" s="22" t="s">
        <v>723</v>
      </c>
      <c r="I88" s="13">
        <v>42739.599340277775</v>
      </c>
      <c r="J88" s="7">
        <v>0</v>
      </c>
      <c r="K88" s="105" t="str">
        <f>IF(ISEVEN(B88),(B88-1)&amp;"/"&amp;B88,B88&amp;"/"&amp;(B88+1))</f>
        <v>4041/4042</v>
      </c>
      <c r="L88" s="22" t="str">
        <f>VLOOKUP(A88,'Trips&amp;Operators'!$C$1:$G$99999,5,FALSE)</f>
        <v>CLARK KATHLEEN</v>
      </c>
      <c r="M88" s="6">
        <f>I88-F88</f>
        <v>2.9027777774899732E-2</v>
      </c>
      <c r="N88" s="7">
        <f>24*60*SUM($M88:$M88)</f>
        <v>41.799999995855615</v>
      </c>
      <c r="O88" s="7"/>
      <c r="P88" s="7"/>
      <c r="Q88" s="23"/>
      <c r="R88" s="23"/>
      <c r="S88" s="32">
        <f>SUM(U88:U88)/IF(AG88="EC",12,1)</f>
        <v>1</v>
      </c>
      <c r="T88" s="47" t="str">
        <f>IF(ISEVEN(LEFT(AD88,4)),"Southbound","NorthBound")</f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hh:mm:ss")&amp;utc_offset&amp;"00',mode:absolute,to:'"&amp;TEXT(I88+1/24,"yyyy-MM-DD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https://search-rtdc-monitor-bjffxe2xuh6vdkpspy63sjmuny.us-east-1.es.amazonaws.com/_plugin/kibana/#/discover/Steve-Slow-Train-Analysis-(2080s-and-2083s)?_g=(refreshInterval:(display:Off,section:0,value:0),time:(from:'2017-01-04 12:36:34-700',mode:absolute,to:'2017-01-04 15:23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8" s="49" t="str">
        <f>IF(AA88&lt;IF(AG88="EC",23,5.65),"Y","N")</f>
        <v>N</v>
      </c>
      <c r="X88" s="173">
        <f>VALUE(LEFT(AD88,4))-VALUE(LEFT(AD87,4))</f>
        <v>1</v>
      </c>
      <c r="Y88" s="64">
        <f t="shared" si="10"/>
        <v>23.2972</v>
      </c>
      <c r="Z88" s="64">
        <f t="shared" si="11"/>
        <v>1.7399999999999999E-2</v>
      </c>
      <c r="AA88" s="64">
        <f>ABS(Z88-Y88)</f>
        <v>23.279800000000002</v>
      </c>
      <c r="AB88" s="61" t="e">
        <f>VLOOKUP(A88,Enforcements!$C$7:$K$19,8,0)</f>
        <v>#N/A</v>
      </c>
      <c r="AC88" s="57" t="e">
        <f>VLOOKUP(A88,Enforcements!$C$7:$E$19,3,0)</f>
        <v>#N/A</v>
      </c>
      <c r="AD88" s="58" t="str">
        <f>IF(LEN(A88)=6,"0"&amp;A88,A88)</f>
        <v>0174-04</v>
      </c>
      <c r="AE88" s="8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 &amp; 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</v>
      </c>
      <c r="AF88" s="84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/stypes="app*4041*20170104*" /stext=" 21:.+((SYSTEM_STATE.+slice.+state.+changed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88" t="str">
        <f t="shared" si="12"/>
        <v>"%USERPROFILE%\Documents\GitHub\eaglep3\Utilities\RefineRTDCRunTimes.py" --tripid 174-04 --locoid 4041 --swversion DE.1.0.8.0 --startMP 204:232972 --initTime 2017-01-04T13:36:34 --startdatetime 2017-01-04T13:41:15 --delay 1 --endMP 204:174 --enddatetime 2017-01-04T14:23:03 --enforcementcount 0 &gt;&gt;C:\Users\stu\Documents\GitHub\eaglep3-reporting\EC\2017-01-04-refined-times.txt</v>
      </c>
      <c r="AI88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{"issue":{"subject":"","project_id":79,"tracker_id":40,"status_id":1,"priority_id":2,"assigned_to_id":23,"start_date":"2017-01-04","description":"","custom_fields":[{"id":1,"name":"Subdivision","value":"EC"},{"id":4,"name":"Milepost","value":"0.0174"},{"id":17,"name":"Train ID","value":"174-04"},{"id":16,"name":"Locomotive ID","value":"4041"},{"id":130,"name":"Impact","value":""},{"id":150,"name":"Time of Event (Mountain Time)","value":"14:23:03"},{"id":151,"name":"Denver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14"/>
        <v>start /low /b %USERPROFILE%\Documents\GitHub\eaglep3\Utilities\DownloadLogsFromS3.py --loco 4041 --day 2017-01-04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581</v>
      </c>
      <c r="B89" s="7">
        <v>4016</v>
      </c>
      <c r="C89" s="22" t="s">
        <v>203</v>
      </c>
      <c r="D89" s="22" t="s">
        <v>316</v>
      </c>
      <c r="E89" s="13">
        <v>42739.540162037039</v>
      </c>
      <c r="F89" s="13">
        <v>42739.542349537034</v>
      </c>
      <c r="G89" s="7">
        <v>1</v>
      </c>
      <c r="H89" s="22" t="s">
        <v>285</v>
      </c>
      <c r="I89" s="13">
        <v>42739.568749999999</v>
      </c>
      <c r="J89" s="7">
        <v>0</v>
      </c>
      <c r="K89" s="105" t="str">
        <f>IF(ISEVEN(B89),(B89-1)&amp;"/"&amp;B89,B89&amp;"/"&amp;(B89+1))</f>
        <v>4015/4016</v>
      </c>
      <c r="L89" s="22" t="str">
        <f>VLOOKUP(A89,'Trips&amp;Operators'!$C$1:$G$99999,5,FALSE)</f>
        <v>MOSES BRADLEY</v>
      </c>
      <c r="M89" s="6">
        <f>I89-F89</f>
        <v>2.6400462964375038E-2</v>
      </c>
      <c r="N89" s="7">
        <f>24*60*SUM($M89:$M89)</f>
        <v>38.016666668700054</v>
      </c>
      <c r="O89" s="7"/>
      <c r="P89" s="7"/>
      <c r="Q89" s="23"/>
      <c r="R89" s="23"/>
      <c r="S89" s="32">
        <f>SUM(U89:U89)/IF(AG89="EC",12,1)</f>
        <v>1</v>
      </c>
      <c r="T89" s="47" t="str">
        <f>IF(ISEVEN(LEFT(AD89,4)),"Southbound","NorthBound")</f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hh:mm:ss")&amp;utc_offset&amp;"00',mode:absolute,to:'"&amp;TEXT(I89+1/24,"yyyy-MM-DD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https://search-rtdc-monitor-bjffxe2xuh6vdkpspy63sjmuny.us-east-1.es.amazonaws.com/_plugin/kibana/#/discover/Steve-Slow-Train-Analysis-(2080s-and-2083s)?_g=(refreshInterval:(display:Off,section:0,value:0),time:(from:'2017-01-04 11:57:50-700',mode:absolute,to:'2017-01-04 14:39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9" s="49" t="str">
        <f>IF(AA89&lt;IF(AG89="EC",23,5.65),"Y","N")</f>
        <v>N</v>
      </c>
      <c r="X89" s="173">
        <f>VALUE(LEFT(AD89,4))-VALUE(LEFT(AD88,4))</f>
        <v>1</v>
      </c>
      <c r="Y89" s="64">
        <f t="shared" si="10"/>
        <v>4.3700000000000003E-2</v>
      </c>
      <c r="Z89" s="64">
        <f t="shared" si="11"/>
        <v>23.329699999999999</v>
      </c>
      <c r="AA89" s="64">
        <f>ABS(Z89-Y89)</f>
        <v>23.285999999999998</v>
      </c>
      <c r="AB89" s="61" t="e">
        <f>VLOOKUP(A89,Enforcements!$C$7:$K$19,8,0)</f>
        <v>#N/A</v>
      </c>
      <c r="AC89" s="57" t="e">
        <f>VLOOKUP(A89,Enforcements!$C$7:$E$19,3,0)</f>
        <v>#N/A</v>
      </c>
      <c r="AD89" s="58" t="str">
        <f>IF(LEN(A89)=6,"0"&amp;A89,A89)</f>
        <v>0175-04</v>
      </c>
      <c r="AE89" s="8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AF89" s="84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/stypes="app*4016*20170104*" /stext=" 20:.+((SYSTEM_STATE.+slice.+state.+changed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88" t="str">
        <f t="shared" si="12"/>
        <v>"%USERPROFILE%\Documents\GitHub\eaglep3\Utilities\RefineRTDCRunTimes.py" --tripid 175-04 --locoid 4016 --swversion DE.1.0.8.0 --startMP 204:437 --initTime 2017-01-04T12:57:50 --startdatetime 2017-01-04T13:00:59 --delay 1 --endMP 204:233297 --enddatetime 2017-01-04T13:39:00 --enforcementcount 0 &gt;&gt;C:\Users\stu\Documents\GitHub\eaglep3-reporting\EC\2017-01-04-refined-times.txt</v>
      </c>
      <c r="AI89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{"issue":{"subject":"","project_id":79,"tracker_id":40,"status_id":1,"priority_id":2,"assigned_to_id":23,"start_date":"2017-01-04","description":"","custom_fields":[{"id":1,"name":"Subdivision","value":"EC"},{"id":4,"name":"Milepost","value":"23.3297"},{"id":17,"name":"Train ID","value":"175-04"},{"id":16,"name":"Locomotive ID","value":"4016"},{"id":130,"name":"Impact","value":""},{"id":150,"name":"Time of Event (Mountain Time)","value":"13:39:00"},{"id":151,"name":"Denver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14"/>
        <v>start /low /b %USERPROFILE%\Documents\GitHub\eaglep3\Utilities\DownloadLogsFromS3.py --loco 4016 --day 2017-01-04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592</v>
      </c>
      <c r="B90" s="7">
        <v>4015</v>
      </c>
      <c r="C90" s="22" t="s">
        <v>203</v>
      </c>
      <c r="D90" s="22" t="s">
        <v>727</v>
      </c>
      <c r="E90" s="13">
        <v>42739.57571759259</v>
      </c>
      <c r="F90" s="13">
        <v>42739.580995370372</v>
      </c>
      <c r="G90" s="7">
        <v>1</v>
      </c>
      <c r="H90" s="22" t="s">
        <v>192</v>
      </c>
      <c r="I90" s="13">
        <v>42739.6096875</v>
      </c>
      <c r="J90" s="7">
        <v>0</v>
      </c>
      <c r="K90" s="105" t="str">
        <f>IF(ISEVEN(B90),(B90-1)&amp;"/"&amp;B90,B90&amp;"/"&amp;(B90+1))</f>
        <v>4015/4016</v>
      </c>
      <c r="L90" s="22" t="str">
        <f>VLOOKUP(A90,'Trips&amp;Operators'!$C$1:$G$99999,5,FALSE)</f>
        <v>MOSES BRADLEY</v>
      </c>
      <c r="M90" s="6">
        <f>I90-F90</f>
        <v>2.8692129628325347E-2</v>
      </c>
      <c r="N90" s="7">
        <f>24*60*SUM($M90:$M90)</f>
        <v>41.316666664788499</v>
      </c>
      <c r="O90" s="7"/>
      <c r="P90" s="7"/>
      <c r="Q90" s="23"/>
      <c r="R90" s="23"/>
      <c r="S90" s="32">
        <f>SUM(U90:U90)/IF(AG90="EC",12,1)</f>
        <v>1</v>
      </c>
      <c r="T90" s="47" t="str">
        <f>IF(ISEVEN(LEFT(AD90,4)),"Southbound","NorthBound")</f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hh:mm:ss")&amp;utc_offset&amp;"00',mode:absolute,to:'"&amp;TEXT(I90+1/24,"yyyy-MM-DD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https://search-rtdc-monitor-bjffxe2xuh6vdkpspy63sjmuny.us-east-1.es.amazonaws.com/_plugin/kibana/#/discover/Steve-Slow-Train-Analysis-(2080s-and-2083s)?_g=(refreshInterval:(display:Off,section:0,value:0),time:(from:'2017-01-04 12:49:02-700',mode:absolute,to:'2017-01-04 15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0" s="49" t="str">
        <f>IF(AA90&lt;IF(AG90="EC",23,5.65),"Y","N")</f>
        <v>N</v>
      </c>
      <c r="X90" s="173">
        <f>VALUE(LEFT(AD90,4))-VALUE(LEFT(AD89,4))</f>
        <v>1</v>
      </c>
      <c r="Y90" s="64">
        <f t="shared" si="10"/>
        <v>23.2988</v>
      </c>
      <c r="Z90" s="64">
        <f t="shared" si="11"/>
        <v>1.43E-2</v>
      </c>
      <c r="AA90" s="64">
        <f>ABS(Z90-Y90)</f>
        <v>23.284500000000001</v>
      </c>
      <c r="AB90" s="61" t="e">
        <f>VLOOKUP(A90,Enforcements!$C$7:$K$19,8,0)</f>
        <v>#N/A</v>
      </c>
      <c r="AC90" s="57" t="e">
        <f>VLOOKUP(A90,Enforcements!$C$7:$E$19,3,0)</f>
        <v>#N/A</v>
      </c>
      <c r="AD90" s="58" t="str">
        <f>IF(LEN(A90)=6,"0"&amp;A90,A90)</f>
        <v>0176-04</v>
      </c>
      <c r="AE90" s="8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 &amp; 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</v>
      </c>
      <c r="AF90" s="84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/stypes="app*4015*20170104*" /stext=" 21:.+((SYSTEM_STATE.+slice.+state.+changed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88" t="str">
        <f t="shared" si="12"/>
        <v>"%USERPROFILE%\Documents\GitHub\eaglep3\Utilities\RefineRTDCRunTimes.py" --tripid 176-04 --locoid 4015 --swversion DE.1.0.8.0 --startMP 204:232988 --initTime 2017-01-04T13:49:02 --startdatetime 2017-01-04T13:56:38 --delay 1 --endMP 204:143 --enddatetime 2017-01-04T14:37:57 --enforcementcount 0 &gt;&gt;C:\Users\stu\Documents\GitHub\eaglep3-reporting\EC\2017-01-04-refined-times.txt</v>
      </c>
      <c r="AI90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{"issue":{"subject":"","project_id":79,"tracker_id":40,"status_id":1,"priority_id":2,"assigned_to_id":23,"start_date":"2017-01-04","description":"","custom_fields":[{"id":1,"name":"Subdivision","value":"EC"},{"id":4,"name":"Milepost","value":"0.0143"},{"id":17,"name":"Train ID","value":"176-04"},{"id":16,"name":"Locomotive ID","value":"4015"},{"id":130,"name":"Impact","value":""},{"id":150,"name":"Time of Event (Mountain Time)","value":"14:37:57"},{"id":151,"name":"Denver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14"/>
        <v>start /low /b %USERPROFILE%\Documents\GitHub\eaglep3\Utilities\DownloadLogsFromS3.py --loco 4015 --day 2017-01-04</v>
      </c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584</v>
      </c>
      <c r="B91" s="7">
        <v>4029</v>
      </c>
      <c r="C91" s="22" t="s">
        <v>203</v>
      </c>
      <c r="D91" s="22" t="s">
        <v>247</v>
      </c>
      <c r="E91" s="13">
        <v>42739.548101851855</v>
      </c>
      <c r="F91" s="13">
        <v>42739.552349537036</v>
      </c>
      <c r="G91" s="7">
        <v>1</v>
      </c>
      <c r="H91" s="22" t="s">
        <v>303</v>
      </c>
      <c r="I91" s="13">
        <v>42739.579467592594</v>
      </c>
      <c r="J91" s="7">
        <v>0</v>
      </c>
      <c r="K91" s="105" t="str">
        <f>IF(ISEVEN(B91),(B91-1)&amp;"/"&amp;B91,B91&amp;"/"&amp;(B91+1))</f>
        <v>4029/4030</v>
      </c>
      <c r="L91" s="22" t="str">
        <f>VLOOKUP(A91,'Trips&amp;Operators'!$C$1:$G$99999,5,FALSE)</f>
        <v>LEVERE CRAIG</v>
      </c>
      <c r="M91" s="6">
        <f>I91-F91</f>
        <v>2.7118055557366461E-2</v>
      </c>
      <c r="N91" s="7">
        <f>24*60*SUM($M91:$M91)</f>
        <v>39.050000002607703</v>
      </c>
      <c r="O91" s="7"/>
      <c r="P91" s="7"/>
      <c r="Q91" s="23"/>
      <c r="R91" s="23"/>
      <c r="S91" s="32">
        <f>SUM(U91:U91)/IF(AG91="EC",12,1)</f>
        <v>1</v>
      </c>
      <c r="T91" s="47" t="str">
        <f>IF(ISEVEN(LEFT(AD91,4)),"Southbound","NorthBound")</f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hh:mm:ss")&amp;utc_offset&amp;"00',mode:absolute,to:'"&amp;TEXT(I91+1/24,"yyyy-MM-DD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https://search-rtdc-monitor-bjffxe2xuh6vdkpspy63sjmuny.us-east-1.es.amazonaws.com/_plugin/kibana/#/discover/Steve-Slow-Train-Analysis-(2080s-and-2083s)?_g=(refreshInterval:(display:Off,section:0,value:0),time:(from:'2017-01-04 12:09:16-700',mode:absolute,to:'2017-01-04 14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1" s="49" t="str">
        <f>IF(AA91&lt;IF(AG91="EC",23,5.65),"Y","N")</f>
        <v>N</v>
      </c>
      <c r="X91" s="173">
        <f>VALUE(LEFT(AD91,4))-VALUE(LEFT(AD90,4))</f>
        <v>1</v>
      </c>
      <c r="Y91" s="64">
        <f t="shared" si="10"/>
        <v>4.6399999999999997E-2</v>
      </c>
      <c r="Z91" s="64">
        <f t="shared" si="11"/>
        <v>23.331700000000001</v>
      </c>
      <c r="AA91" s="64">
        <f>ABS(Z91-Y91)</f>
        <v>23.285300000000003</v>
      </c>
      <c r="AB91" s="61" t="e">
        <f>VLOOKUP(A91,Enforcements!$C$7:$K$19,8,0)</f>
        <v>#N/A</v>
      </c>
      <c r="AC91" s="57" t="e">
        <f>VLOOKUP(A91,Enforcements!$C$7:$E$19,3,0)</f>
        <v>#N/A</v>
      </c>
      <c r="AD91" s="58" t="str">
        <f>IF(LEN(A91)=6,"0"&amp;A91,A91)</f>
        <v>0177-04</v>
      </c>
      <c r="AE91" s="8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 &amp; 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</v>
      </c>
      <c r="AF91" s="84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/stypes="app*4029*20170104*" /stext=" 20:.+((SYSTEM_STATE.+slice.+state.+changed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88" t="str">
        <f t="shared" si="12"/>
        <v>"%USERPROFILE%\Documents\GitHub\eaglep3\Utilities\RefineRTDCRunTimes.py" --tripid 177-04 --locoid 4029 --swversion DE.1.0.8.0 --startMP 204:464 --initTime 2017-01-04T13:09:16 --startdatetime 2017-01-04T13:15:23 --delay 1 --endMP 204:233317 --enddatetime 2017-01-04T13:54:26 --enforcementcount 0 &gt;&gt;C:\Users\stu\Documents\GitHub\eaglep3-reporting\EC\2017-01-04-refined-times.txt</v>
      </c>
      <c r="AI91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{"issue":{"subject":"","project_id":79,"tracker_id":40,"status_id":1,"priority_id":2,"assigned_to_id":23,"start_date":"2017-01-04","description":"","custom_fields":[{"id":1,"name":"Subdivision","value":"EC"},{"id":4,"name":"Milepost","value":"23.3317"},{"id":17,"name":"Train ID","value":"177-04"},{"id":16,"name":"Locomotive ID","value":"4029"},{"id":130,"name":"Impact","value":""},{"id":150,"name":"Time of Event (Mountain Time)","value":"13:54:26"},{"id":151,"name":"Denver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14"/>
        <v>start /low /b %USERPROFILE%\Documents\GitHub\eaglep3\Utilities\DownloadLogsFromS3.py --loco 4029 --day 2017-01-04</v>
      </c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4" t="s">
        <v>594</v>
      </c>
      <c r="B92" s="7">
        <v>4030</v>
      </c>
      <c r="C92" s="22" t="s">
        <v>203</v>
      </c>
      <c r="D92" s="22" t="s">
        <v>728</v>
      </c>
      <c r="E92" s="13">
        <v>42739.584409722222</v>
      </c>
      <c r="F92" s="13">
        <v>42739.591145833336</v>
      </c>
      <c r="G92" s="7">
        <v>1</v>
      </c>
      <c r="H92" s="22" t="s">
        <v>209</v>
      </c>
      <c r="I92" s="13">
        <v>42739.619259259256</v>
      </c>
      <c r="J92" s="7">
        <v>0</v>
      </c>
      <c r="K92" s="105" t="str">
        <f>IF(ISEVEN(B92),(B92-1)&amp;"/"&amp;B92,B92&amp;"/"&amp;(B92+1))</f>
        <v>4029/4030</v>
      </c>
      <c r="L92" s="22" t="str">
        <f>VLOOKUP(A92,'Trips&amp;Operators'!$C$1:$G$99999,5,FALSE)</f>
        <v>LEVERE CRAIG</v>
      </c>
      <c r="M92" s="6">
        <f>I92-F92</f>
        <v>2.8113425920309965E-2</v>
      </c>
      <c r="N92" s="7">
        <f>24*60*SUM($M92:$M92)</f>
        <v>40.483333325246349</v>
      </c>
      <c r="O92" s="7"/>
      <c r="P92" s="7"/>
      <c r="Q92" s="23"/>
      <c r="R92" s="23"/>
      <c r="S92" s="32">
        <f>SUM(U92:U92)/IF(AG92="EC",12,1)</f>
        <v>1</v>
      </c>
      <c r="T92" s="47" t="str">
        <f>IF(ISEVEN(LEFT(AD92,4)),"Southbound","NorthBound")</f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hh:mm:ss")&amp;utc_offset&amp;"00',mode:absolute,to:'"&amp;TEXT(I92+1/24,"yyyy-MM-DD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https://search-rtdc-monitor-bjffxe2xuh6vdkpspy63sjmuny.us-east-1.es.amazonaws.com/_plugin/kibana/#/discover/Steve-Slow-Train-Analysis-(2080s-and-2083s)?_g=(refreshInterval:(display:Off,section:0,value:0),time:(from:'2017-01-04 13:01:33-700',mode:absolute,to:'2017-01-04 15:51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2" s="49" t="str">
        <f>IF(AA92&lt;IF(AG92="EC",23,5.65),"Y","N")</f>
        <v>N</v>
      </c>
      <c r="X92" s="173">
        <f>VALUE(LEFT(AD92,4))-VALUE(LEFT(AD91,4))</f>
        <v>1</v>
      </c>
      <c r="Y92" s="64">
        <f t="shared" si="10"/>
        <v>23.299299999999999</v>
      </c>
      <c r="Z92" s="64">
        <f t="shared" si="11"/>
        <v>1.4999999999999999E-2</v>
      </c>
      <c r="AA92" s="64">
        <f>ABS(Z92-Y92)</f>
        <v>23.284299999999998</v>
      </c>
      <c r="AB92" s="61" t="e">
        <f>VLOOKUP(A92,Enforcements!$C$7:$K$19,8,0)</f>
        <v>#N/A</v>
      </c>
      <c r="AC92" s="57" t="e">
        <f>VLOOKUP(A92,Enforcements!$C$7:$E$19,3,0)</f>
        <v>#N/A</v>
      </c>
      <c r="AD92" s="58" t="str">
        <f>IF(LEN(A92)=6,"0"&amp;A92,A92)</f>
        <v>0178-04</v>
      </c>
      <c r="AE92" s="8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 &amp; 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</v>
      </c>
      <c r="AF92" s="84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/stypes="app*4030*20170104*" /stext=" 21:.+((SYSTEM_STATE.+slice.+state.+changed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88" t="str">
        <f t="shared" si="12"/>
        <v>"%USERPROFILE%\Documents\GitHub\eaglep3\Utilities\RefineRTDCRunTimes.py" --tripid 178-04 --locoid 4030 --swversion DE.1.0.8.0 --startMP 204:232993 --initTime 2017-01-04T14:01:33 --startdatetime 2017-01-04T14:11:15 --delay 1 --endMP 204:150 --enddatetime 2017-01-04T14:51:44 --enforcementcount 0 &gt;&gt;C:\Users\stu\Documents\GitHub\eaglep3-reporting\EC\2017-01-04-refined-times.txt</v>
      </c>
      <c r="AI92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{"issue":{"subject":"","project_id":79,"tracker_id":40,"status_id":1,"priority_id":2,"assigned_to_id":23,"start_date":"2017-01-04","description":"","custom_fields":[{"id":1,"name":"Subdivision","value":"EC"},{"id":4,"name":"Milepost","value":"0.015"},{"id":17,"name":"Train ID","value":"178-04"},{"id":16,"name":"Locomotive ID","value":"4030"},{"id":130,"name":"Impact","value":""},{"id":150,"name":"Time of Event (Mountain Time)","value":"14:51:44"},{"id":151,"name":"Denver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14"/>
        <v>start /low /b %USERPROFILE%\Documents\GitHub\eaglep3\Utilities\DownloadLogsFromS3.py --loco 4030 --day 2017-01-04</v>
      </c>
    </row>
    <row r="93" spans="1:91" x14ac:dyDescent="0.25">
      <c r="A93" s="34" t="s">
        <v>588</v>
      </c>
      <c r="B93" s="7">
        <v>4009</v>
      </c>
      <c r="C93" s="22" t="s">
        <v>203</v>
      </c>
      <c r="D93" s="22" t="s">
        <v>319</v>
      </c>
      <c r="E93" s="13">
        <v>42739.559664351851</v>
      </c>
      <c r="F93" s="13">
        <v>42739.562731481485</v>
      </c>
      <c r="G93" s="7">
        <v>1</v>
      </c>
      <c r="H93" s="22" t="s">
        <v>729</v>
      </c>
      <c r="I93" s="13">
        <v>42739.587129629632</v>
      </c>
      <c r="J93" s="7">
        <v>0</v>
      </c>
      <c r="K93" s="105" t="str">
        <f>IF(ISEVEN(B93),(B93-1)&amp;"/"&amp;B93,B93&amp;"/"&amp;(B93+1))</f>
        <v>4009/4010</v>
      </c>
      <c r="L93" s="22" t="str">
        <f>VLOOKUP(A93,'Trips&amp;Operators'!$C$1:$G$99999,5,FALSE)</f>
        <v>HELVIE ADAM</v>
      </c>
      <c r="M93" s="6">
        <f>I93-F93</f>
        <v>2.4398148147156462E-2</v>
      </c>
      <c r="N93" s="7">
        <f>24*60*SUM($M93:$M93)</f>
        <v>35.133333331905305</v>
      </c>
      <c r="O93" s="7"/>
      <c r="P93" s="7"/>
      <c r="Q93" s="23"/>
      <c r="R93" s="23"/>
      <c r="S93" s="32">
        <f>SUM(U93:U93)/IF(AG93="EC",12,1)</f>
        <v>1</v>
      </c>
      <c r="T93" s="47" t="str">
        <f>IF(ISEVEN(LEFT(AD93,4)),"Southbound","NorthBound")</f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hh:mm:ss")&amp;utc_offset&amp;"00',mode:absolute,to:'"&amp;TEXT(I93+1/24,"yyyy-MM-DD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https://search-rtdc-monitor-bjffxe2xuh6vdkpspy63sjmuny.us-east-1.es.amazonaws.com/_plugin/kibana/#/discover/Steve-Slow-Train-Analysis-(2080s-and-2083s)?_g=(refreshInterval:(display:Off,section:0,value:0),time:(from:'2017-01-04 12:25:55-700',mode:absolute,to:'2017-01-04 15:05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3" s="49" t="str">
        <f>IF(AA93&lt;IF(AG93="EC",23,5.65),"Y","N")</f>
        <v>N</v>
      </c>
      <c r="X93" s="173">
        <f>VALUE(LEFT(AD93,4))-VALUE(LEFT(AD92,4))</f>
        <v>1</v>
      </c>
      <c r="Y93" s="64">
        <f t="shared" si="10"/>
        <v>4.7100000000000003E-2</v>
      </c>
      <c r="Z93" s="64">
        <f t="shared" si="11"/>
        <v>23.329899999999999</v>
      </c>
      <c r="AA93" s="64">
        <f>ABS(Z93-Y93)</f>
        <v>23.282799999999998</v>
      </c>
      <c r="AB93" s="61" t="e">
        <f>VLOOKUP(A93,Enforcements!$C$7:$K$19,8,0)</f>
        <v>#N/A</v>
      </c>
      <c r="AC93" s="57" t="e">
        <f>VLOOKUP(A93,Enforcements!$C$7:$E$19,3,0)</f>
        <v>#N/A</v>
      </c>
      <c r="AD93" s="58" t="str">
        <f>IF(LEN(A93)=6,"0"&amp;A93,A93)</f>
        <v>0179-04</v>
      </c>
      <c r="AE93" s="8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 &amp; 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</v>
      </c>
      <c r="AF93" s="84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/stypes="app*4009*20170104*" /stext=" 21:.+((SYSTEM_STATE.+slice.+state.+changed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88" t="str">
        <f t="shared" si="12"/>
        <v>"%USERPROFILE%\Documents\GitHub\eaglep3\Utilities\RefineRTDCRunTimes.py" --tripid 179-04 --locoid 4009 --swversion DE.1.0.8.0 --startMP 204:471 --initTime 2017-01-04T13:25:55 --startdatetime 2017-01-04T13:30:20 --delay 1 --endMP 204:233299 --enddatetime 2017-01-04T14:05:28 --enforcementcount 0 &gt;&gt;C:\Users\stu\Documents\GitHub\eaglep3-reporting\EC\2017-01-04-refined-times.txt</v>
      </c>
      <c r="AI93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{"issue":{"subject":"","project_id":79,"tracker_id":40,"status_id":1,"priority_id":2,"assigned_to_id":23,"start_date":"2017-01-04","description":"","custom_fields":[{"id":1,"name":"Subdivision","value":"EC"},{"id":4,"name":"Milepost","value":"23.3299"},{"id":17,"name":"Train ID","value":"179-04"},{"id":16,"name":"Locomotive ID","value":"4009"},{"id":130,"name":"Impact","value":""},{"id":150,"name":"Time of Event (Mountain Time)","value":"14:05:28"},{"id":151,"name":"Denver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14"/>
        <v>start /low /b %USERPROFILE%\Documents\GitHub\eaglep3\Utilities\DownloadLogsFromS3.py --loco 4009 --day 2017-01-04</v>
      </c>
    </row>
    <row r="94" spans="1:91" x14ac:dyDescent="0.25">
      <c r="A94" s="34" t="s">
        <v>597</v>
      </c>
      <c r="B94" s="7">
        <v>4010</v>
      </c>
      <c r="C94" s="22" t="s">
        <v>203</v>
      </c>
      <c r="D94" s="22" t="s">
        <v>369</v>
      </c>
      <c r="E94" s="13">
        <v>42739.597071759257</v>
      </c>
      <c r="F94" s="13">
        <v>42739.601805555554</v>
      </c>
      <c r="G94" s="7">
        <v>1</v>
      </c>
      <c r="H94" s="22" t="s">
        <v>209</v>
      </c>
      <c r="I94" s="13">
        <v>42739.628657407404</v>
      </c>
      <c r="J94" s="7">
        <v>0</v>
      </c>
      <c r="K94" s="105" t="str">
        <f>IF(ISEVEN(B94),(B94-1)&amp;"/"&amp;B94,B94&amp;"/"&amp;(B94+1))</f>
        <v>4009/4010</v>
      </c>
      <c r="L94" s="22" t="str">
        <f>VLOOKUP(A94,'Trips&amp;Operators'!$C$1:$G$99999,5,FALSE)</f>
        <v>HELVIE ADAM</v>
      </c>
      <c r="M94" s="6">
        <f>I94-F94</f>
        <v>2.6851851849642117E-2</v>
      </c>
      <c r="N94" s="7">
        <f>24*60*SUM($M94:$M94)</f>
        <v>38.666666663484648</v>
      </c>
      <c r="O94" s="7"/>
      <c r="P94" s="7"/>
      <c r="Q94" s="23"/>
      <c r="R94" s="23"/>
      <c r="S94" s="32">
        <f>SUM(U94:U94)/IF(AG94="EC",12,1)</f>
        <v>1</v>
      </c>
      <c r="T94" s="47" t="str">
        <f>IF(ISEVEN(LEFT(AD94,4)),"Southbound","NorthBound")</f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hh:mm:ss")&amp;utc_offset&amp;"00',mode:absolute,to:'"&amp;TEXT(I94+1/24,"yyyy-MM-DD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https://search-rtdc-monitor-bjffxe2xuh6vdkpspy63sjmuny.us-east-1.es.amazonaws.com/_plugin/kibana/#/discover/Steve-Slow-Train-Analysis-(2080s-and-2083s)?_g=(refreshInterval:(display:Off,section:0,value:0),time:(from:'2017-01-04 13:19:47-700',mode:absolute,to:'2017-01-04 16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4" s="49" t="str">
        <f>IF(AA94&lt;IF(AG94="EC",23,5.65),"Y","N")</f>
        <v>N</v>
      </c>
      <c r="X94" s="173">
        <f>VALUE(LEFT(AD94,4))-VALUE(LEFT(AD93,4))</f>
        <v>1</v>
      </c>
      <c r="Y94" s="64">
        <f t="shared" si="10"/>
        <v>23.299199999999999</v>
      </c>
      <c r="Z94" s="64">
        <f t="shared" si="11"/>
        <v>1.4999999999999999E-2</v>
      </c>
      <c r="AA94" s="64">
        <f>ABS(Z94-Y94)</f>
        <v>23.284199999999998</v>
      </c>
      <c r="AB94" s="61" t="e">
        <f>VLOOKUP(A94,Enforcements!$C$7:$K$19,8,0)</f>
        <v>#N/A</v>
      </c>
      <c r="AC94" s="57" t="e">
        <f>VLOOKUP(A94,Enforcements!$C$7:$E$19,3,0)</f>
        <v>#N/A</v>
      </c>
      <c r="AD94" s="58" t="str">
        <f>IF(LEN(A94)=6,"0"&amp;A94,A94)</f>
        <v>0180-04</v>
      </c>
      <c r="AE94" s="8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 &amp; 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</v>
      </c>
      <c r="AF94" s="84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/stypes="app*4010*20170104*" /stext=" 22:.+((SYSTEM_STATE.+slice.+state.+changed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88" t="str">
        <f t="shared" si="12"/>
        <v>"%USERPROFILE%\Documents\GitHub\eaglep3\Utilities\RefineRTDCRunTimes.py" --tripid 180-04 --locoid 4010 --swversion DE.1.0.8.0 --startMP 204:232992 --initTime 2017-01-04T14:19:47 --startdatetime 2017-01-04T14:26:36 --delay 1 --endMP 204:150 --enddatetime 2017-01-04T15:05:16 --enforcementcount 0 &gt;&gt;C:\Users\stu\Documents\GitHub\eaglep3-reporting\EC\2017-01-04-refined-times.txt</v>
      </c>
      <c r="AI94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{"issue":{"subject":"","project_id":79,"tracker_id":40,"status_id":1,"priority_id":2,"assigned_to_id":23,"start_date":"2017-01-04","description":"","custom_fields":[{"id":1,"name":"Subdivision","value":"EC"},{"id":4,"name":"Milepost","value":"0.015"},{"id":17,"name":"Train ID","value":"180-04"},{"id":16,"name":"Locomotive ID","value":"4010"},{"id":130,"name":"Impact","value":""},{"id":150,"name":"Time of Event (Mountain Time)","value":"15:05:16"},{"id":151,"name":"Denver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14"/>
        <v>start /low /b %USERPROFILE%\Documents\GitHub\eaglep3\Utilities\DownloadLogsFromS3.py --loco 4010 --day 2017-01-04</v>
      </c>
    </row>
    <row r="95" spans="1:91" s="21" customFormat="1" x14ac:dyDescent="0.25">
      <c r="A95" s="34" t="s">
        <v>591</v>
      </c>
      <c r="B95" s="7">
        <v>4022</v>
      </c>
      <c r="C95" s="22" t="s">
        <v>203</v>
      </c>
      <c r="D95" s="22" t="s">
        <v>730</v>
      </c>
      <c r="E95" s="13">
        <v>42739.569108796299</v>
      </c>
      <c r="F95" s="13">
        <v>42739.573437500003</v>
      </c>
      <c r="G95" s="7">
        <v>1</v>
      </c>
      <c r="H95" s="22" t="s">
        <v>345</v>
      </c>
      <c r="I95" s="13">
        <v>42739.599317129629</v>
      </c>
      <c r="J95" s="7">
        <v>0</v>
      </c>
      <c r="K95" s="105" t="str">
        <f>IF(ISEVEN(B95),(B95-1)&amp;"/"&amp;B95,B95&amp;"/"&amp;(B95+1))</f>
        <v>4021/4022</v>
      </c>
      <c r="L95" s="22" t="str">
        <f>VLOOKUP(A95,'Trips&amp;Operators'!$C$1:$G$99999,5,FALSE)</f>
        <v>CRAYTON QUNTRELL</v>
      </c>
      <c r="M95" s="6">
        <f>I95-F95</f>
        <v>2.5879629625706002E-2</v>
      </c>
      <c r="N95" s="7">
        <f>24*60*SUM($M95:$M95)</f>
        <v>37.266666661016643</v>
      </c>
      <c r="O95" s="7"/>
      <c r="P95" s="7"/>
      <c r="Q95" s="23"/>
      <c r="R95" s="23"/>
      <c r="S95" s="32">
        <f>SUM(U95:U95)/IF(AG95="EC",12,1)</f>
        <v>1</v>
      </c>
      <c r="T95" s="47" t="str">
        <f>IF(ISEVEN(LEFT(AD95,4)),"Southbound","NorthBound")</f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hh:mm:ss")&amp;utc_offset&amp;"00',mode:absolute,to:'"&amp;TEXT(I95+1/24,"yyyy-MM-DD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https://search-rtdc-monitor-bjffxe2xuh6vdkpspy63sjmuny.us-east-1.es.amazonaws.com/_plugin/kibana/#/discover/Steve-Slow-Train-Analysis-(2080s-and-2083s)?_g=(refreshInterval:(display:Off,section:0,value:0),time:(from:'2017-01-04 12:39:31-700',mode:absolute,to:'2017-01-04 15:23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5" s="49" t="str">
        <f>IF(AA95&lt;IF(AG95="EC",23,5.65),"Y","N")</f>
        <v>N</v>
      </c>
      <c r="X95" s="173">
        <f>VALUE(LEFT(AD95,4))-VALUE(LEFT(AD94,4))</f>
        <v>1</v>
      </c>
      <c r="Y95" s="64">
        <f t="shared" si="10"/>
        <v>4.8399999999999999E-2</v>
      </c>
      <c r="Z95" s="64">
        <f t="shared" si="11"/>
        <v>23.329799999999999</v>
      </c>
      <c r="AA95" s="64">
        <f>ABS(Z95-Y95)</f>
        <v>23.281399999999998</v>
      </c>
      <c r="AB95" s="61" t="e">
        <f>VLOOKUP(A95,Enforcements!$C$7:$K$19,8,0)</f>
        <v>#N/A</v>
      </c>
      <c r="AC95" s="57" t="e">
        <f>VLOOKUP(A95,Enforcements!$C$7:$E$19,3,0)</f>
        <v>#N/A</v>
      </c>
      <c r="AD95" s="58" t="str">
        <f>IF(LEN(A95)=6,"0"&amp;A95,A95)</f>
        <v>0181-04</v>
      </c>
      <c r="AE95" s="8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 &amp; 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</v>
      </c>
      <c r="AF95" s="84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/stypes="app*4022*20170104*" /stext=" 21:.+((SYSTEM_STATE.+slice.+state.+changed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88" t="str">
        <f t="shared" si="12"/>
        <v>"%USERPROFILE%\Documents\GitHub\eaglep3\Utilities\RefineRTDCRunTimes.py" --tripid 181-04 --locoid 4022 --swversion DE.1.0.8.0 --startMP 204:484 --initTime 2017-01-04T13:39:31 --startdatetime 2017-01-04T13:45:45 --delay 1 --endMP 204:233298 --enddatetime 2017-01-04T14:23:01 --enforcementcount 0 &gt;&gt;C:\Users\stu\Documents\GitHub\eaglep3-reporting\EC\2017-01-04-refined-times.txt</v>
      </c>
      <c r="AI95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{"issue":{"subject":"","project_id":79,"tracker_id":40,"status_id":1,"priority_id":2,"assigned_to_id":23,"start_date":"2017-01-04","description":"","custom_fields":[{"id":1,"name":"Subdivision","value":"EC"},{"id":4,"name":"Milepost","value":"23.3298"},{"id":17,"name":"Train ID","value":"181-04"},{"id":16,"name":"Locomotive ID","value":"4022"},{"id":130,"name":"Impact","value":""},{"id":150,"name":"Time of Event (Mountain Time)","value":"14:23:01"},{"id":151,"name":"Denver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14"/>
        <v>start /low /b %USERPROFILE%\Documents\GitHub\eaglep3\Utilities\DownloadLogsFromS3.py --loco 4022 --day 2017-01-04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599</v>
      </c>
      <c r="B96" s="7">
        <v>4021</v>
      </c>
      <c r="C96" s="22" t="s">
        <v>203</v>
      </c>
      <c r="D96" s="22" t="s">
        <v>308</v>
      </c>
      <c r="E96" s="13">
        <v>42739.606168981481</v>
      </c>
      <c r="F96" s="13">
        <v>42739.612349537034</v>
      </c>
      <c r="G96" s="7">
        <v>1</v>
      </c>
      <c r="H96" s="22" t="s">
        <v>209</v>
      </c>
      <c r="I96" s="13">
        <v>42739.641053240739</v>
      </c>
      <c r="J96" s="7">
        <v>0</v>
      </c>
      <c r="K96" s="105" t="str">
        <f>IF(ISEVEN(B96),(B96-1)&amp;"/"&amp;B96,B96&amp;"/"&amp;(B96+1))</f>
        <v>4021/4022</v>
      </c>
      <c r="L96" s="22" t="str">
        <f>VLOOKUP(A96,'Trips&amp;Operators'!$C$1:$G$99999,5,FALSE)</f>
        <v>CRAYTON QUNTRELL</v>
      </c>
      <c r="M96" s="6">
        <f>I96-F96</f>
        <v>2.8703703705104999E-2</v>
      </c>
      <c r="N96" s="7">
        <f>24*60*SUM($M96:$M96)</f>
        <v>41.333333335351199</v>
      </c>
      <c r="O96" s="7"/>
      <c r="P96" s="7"/>
      <c r="Q96" s="23"/>
      <c r="R96" s="23"/>
      <c r="S96" s="32">
        <f>SUM(U96:U96)/IF(AG96="EC",12,1)</f>
        <v>1</v>
      </c>
      <c r="T96" s="47" t="str">
        <f>IF(ISEVEN(LEFT(AD96,4)),"Southbound","NorthBound")</f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hh:mm:ss")&amp;utc_offset&amp;"00',mode:absolute,to:'"&amp;TEXT(I96+1/24,"yyyy-MM-DD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https://search-rtdc-monitor-bjffxe2xuh6vdkpspy63sjmuny.us-east-1.es.amazonaws.com/_plugin/kibana/#/discover/Steve-Slow-Train-Analysis-(2080s-and-2083s)?_g=(refreshInterval:(display:Off,section:0,value:0),time:(from:'2017-01-04 13:32:53-700',mode:absolute,to:'2017-01-04 16:23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6" s="49" t="str">
        <f>IF(AA96&lt;IF(AG96="EC",23,5.65),"Y","N")</f>
        <v>N</v>
      </c>
      <c r="X96" s="173">
        <f>VALUE(LEFT(AD96,4))-VALUE(LEFT(AD95,4))</f>
        <v>1</v>
      </c>
      <c r="Y96" s="64">
        <f t="shared" si="10"/>
        <v>23.2989</v>
      </c>
      <c r="Z96" s="64">
        <f t="shared" si="11"/>
        <v>1.4999999999999999E-2</v>
      </c>
      <c r="AA96" s="64">
        <f>ABS(Z96-Y96)</f>
        <v>23.283899999999999</v>
      </c>
      <c r="AB96" s="61" t="e">
        <f>VLOOKUP(A96,Enforcements!$C$7:$K$19,8,0)</f>
        <v>#N/A</v>
      </c>
      <c r="AC96" s="57" t="e">
        <f>VLOOKUP(A96,Enforcements!$C$7:$E$19,3,0)</f>
        <v>#N/A</v>
      </c>
      <c r="AD96" s="58" t="str">
        <f>IF(LEN(A96)=6,"0"&amp;A96,A96)</f>
        <v>0182-04</v>
      </c>
      <c r="AE96" s="8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 &amp; 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</v>
      </c>
      <c r="AF96" s="84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/stypes="app*4021*20170104*" /stext=" 22:.+((SYSTEM_STATE.+slice.+state.+changed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88" t="str">
        <f t="shared" si="12"/>
        <v>"%USERPROFILE%\Documents\GitHub\eaglep3\Utilities\RefineRTDCRunTimes.py" --tripid 182-04 --locoid 4021 --swversion DE.1.0.8.0 --startMP 204:232989 --initTime 2017-01-04T14:32:53 --startdatetime 2017-01-04T14:41:47 --delay 1 --endMP 204:150 --enddatetime 2017-01-04T15:23:07 --enforcementcount 0 &gt;&gt;C:\Users\stu\Documents\GitHub\eaglep3-reporting\EC\2017-01-04-refined-times.txt</v>
      </c>
      <c r="AI96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{"issue":{"subject":"","project_id":79,"tracker_id":40,"status_id":1,"priority_id":2,"assigned_to_id":23,"start_date":"2017-01-04","description":"","custom_fields":[{"id":1,"name":"Subdivision","value":"EC"},{"id":4,"name":"Milepost","value":"0.015"},{"id":17,"name":"Train ID","value":"182-04"},{"id":16,"name":"Locomotive ID","value":"4021"},{"id":130,"name":"Impact","value":""},{"id":150,"name":"Time of Event (Mountain Time)","value":"15:23:07"},{"id":151,"name":"Denver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14"/>
        <v>start /low /b %USERPROFILE%\Documents\GitHub\eaglep3\Utilities\DownloadLogsFromS3.py --loco 4021 --day 2017-01-04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593</v>
      </c>
      <c r="B97" s="7">
        <v>4003</v>
      </c>
      <c r="C97" s="22" t="s">
        <v>203</v>
      </c>
      <c r="D97" s="22" t="s">
        <v>372</v>
      </c>
      <c r="E97" s="13">
        <v>42739.580729166664</v>
      </c>
      <c r="F97" s="13">
        <v>42739.58357638889</v>
      </c>
      <c r="G97" s="7">
        <v>1</v>
      </c>
      <c r="H97" s="22" t="s">
        <v>341</v>
      </c>
      <c r="I97" s="13">
        <v>42739.608449074076</v>
      </c>
      <c r="J97" s="7">
        <v>0</v>
      </c>
      <c r="K97" s="105" t="str">
        <f>IF(ISEVEN(B97),(B97-1)&amp;"/"&amp;B97,B97&amp;"/"&amp;(B97+1))</f>
        <v>4003/4004</v>
      </c>
      <c r="L97" s="22" t="str">
        <f>VLOOKUP(A97,'Trips&amp;Operators'!$C$1:$G$99999,5,FALSE)</f>
        <v>LEVIN SCOTT</v>
      </c>
      <c r="M97" s="6">
        <f>I97-F97</f>
        <v>2.4872685185982846E-2</v>
      </c>
      <c r="N97" s="7">
        <f>24*60*SUM($M97:$M97)</f>
        <v>35.816666667815298</v>
      </c>
      <c r="O97" s="7"/>
      <c r="P97" s="7"/>
      <c r="Q97" s="23"/>
      <c r="R97" s="23"/>
      <c r="S97" s="32">
        <f>SUM(U97:U97)/IF(AG97="EC",12,1)</f>
        <v>1</v>
      </c>
      <c r="T97" s="47" t="str">
        <f>IF(ISEVEN(LEFT(AD97,4)),"Southbound","NorthBound")</f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hh:mm:ss")&amp;utc_offset&amp;"00',mode:absolute,to:'"&amp;TEXT(I97+1/24,"yyyy-MM-DD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https://search-rtdc-monitor-bjffxe2xuh6vdkpspy63sjmuny.us-east-1.es.amazonaws.com/_plugin/kibana/#/discover/Steve-Slow-Train-Analysis-(2080s-and-2083s)?_g=(refreshInterval:(display:Off,section:0,value:0),time:(from:'2017-01-04 12:56:15-700',mode:absolute,to:'2017-01-04 15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7" s="49" t="str">
        <f>IF(AA97&lt;IF(AG97="EC",23,5.65),"Y","N")</f>
        <v>N</v>
      </c>
      <c r="X97" s="173">
        <f>VALUE(LEFT(AD97,4))-VALUE(LEFT(AD96,4))</f>
        <v>1</v>
      </c>
      <c r="Y97" s="64">
        <f t="shared" si="10"/>
        <v>4.58E-2</v>
      </c>
      <c r="Z97" s="64">
        <f t="shared" si="11"/>
        <v>23.330300000000001</v>
      </c>
      <c r="AA97" s="64">
        <f>ABS(Z97-Y97)</f>
        <v>23.284500000000001</v>
      </c>
      <c r="AB97" s="61" t="e">
        <f>VLOOKUP(A97,Enforcements!$C$7:$K$19,8,0)</f>
        <v>#N/A</v>
      </c>
      <c r="AC97" s="57" t="e">
        <f>VLOOKUP(A97,Enforcements!$C$7:$E$19,3,0)</f>
        <v>#N/A</v>
      </c>
      <c r="AD97" s="58" t="str">
        <f>IF(LEN(A97)=6,"0"&amp;A97,A97)</f>
        <v>0183-04</v>
      </c>
      <c r="AE97" s="8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s3://rtdc.mdm.uploadarchive.raw/RTDC4003/ "%USERPROFILE%\AppData\Local\Temp\OnboardLogs"\RTDC4003\2017-01-04 --exclude "*" --recursive --include "*20170104*" &amp; "%USERPROFILE%\Documents\GitHub\mrs-test-scripts\Headless Mode &amp; Sideloading\WalkAndUnGZ.bat" "%USERPROFILE%\AppData\Local\Temp\OnboardLogs"\RTDC4003\2017-01-04 &amp; 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</v>
      </c>
      <c r="AF97" s="84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/stypes="app*4003*20170104*" /stext=" 21:.+((SYSTEM_STATE.+slice.+state.+changed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88" t="str">
        <f t="shared" si="12"/>
        <v>"%USERPROFILE%\Documents\GitHub\eaglep3\Utilities\RefineRTDCRunTimes.py" --tripid 183-04 --locoid 4003 --swversion DE.1.0.8.0 --startMP 204:458 --initTime 2017-01-04T13:56:15 --startdatetime 2017-01-04T14:00:21 --delay 1 --endMP 204:233303 --enddatetime 2017-01-04T14:36:10 --enforcementcount 0 &gt;&gt;C:\Users\stu\Documents\GitHub\eaglep3-reporting\EC\2017-01-04-refined-times.txt</v>
      </c>
      <c r="AI97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{"issue":{"subject":"","project_id":79,"tracker_id":40,"status_id":1,"priority_id":2,"assigned_to_id":23,"start_date":"2017-01-04","description":"","custom_fields":[{"id":1,"name":"Subdivision","value":"EC"},{"id":4,"name":"Milepost","value":"23.3303"},{"id":17,"name":"Train ID","value":"183-04"},{"id":16,"name":"Locomotive ID","value":"4003"},{"id":130,"name":"Impact","value":""},{"id":150,"name":"Time of Event (Mountain Time)","value":"14:36:10"},{"id":151,"name":"Denver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14"/>
        <v>start /low /b %USERPROFILE%\Documents\GitHub\eaglep3\Utilities\DownloadLogsFromS3.py --loco 4003 --day 2017-01-04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600</v>
      </c>
      <c r="B98" s="7">
        <v>4004</v>
      </c>
      <c r="C98" s="22" t="s">
        <v>203</v>
      </c>
      <c r="D98" s="22" t="s">
        <v>342</v>
      </c>
      <c r="E98" s="13">
        <v>42739.617858796293</v>
      </c>
      <c r="F98" s="13">
        <v>42739.622534722221</v>
      </c>
      <c r="G98" s="7">
        <v>1</v>
      </c>
      <c r="H98" s="22" t="s">
        <v>731</v>
      </c>
      <c r="I98" s="13">
        <v>42739.651388888888</v>
      </c>
      <c r="J98" s="7">
        <v>0</v>
      </c>
      <c r="K98" s="105" t="str">
        <f>IF(ISEVEN(B98),(B98-1)&amp;"/"&amp;B98,B98&amp;"/"&amp;(B98+1))</f>
        <v>4003/4004</v>
      </c>
      <c r="L98" s="22" t="str">
        <f>VLOOKUP(A98,'Trips&amp;Operators'!$C$1:$G$99999,5,FALSE)</f>
        <v>LEVIN SCOTT</v>
      </c>
      <c r="M98" s="6">
        <f>I98-F98</f>
        <v>2.8854166666860692E-2</v>
      </c>
      <c r="N98" s="7">
        <f>24*60*SUM($M98:$M98)</f>
        <v>41.550000000279397</v>
      </c>
      <c r="O98" s="7"/>
      <c r="P98" s="7"/>
      <c r="Q98" s="23"/>
      <c r="R98" s="23"/>
      <c r="S98" s="32">
        <f>SUM(U98:U98)/IF(AG98="EC",12,1)</f>
        <v>1</v>
      </c>
      <c r="T98" s="47" t="str">
        <f>IF(ISEVEN(LEFT(AD98,4)),"Southbound","NorthBound")</f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hh:mm:ss")&amp;utc_offset&amp;"00',mode:absolute,to:'"&amp;TEXT(I98+1/24,"yyyy-MM-DD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https://search-rtdc-monitor-bjffxe2xuh6vdkpspy63sjmuny.us-east-1.es.amazonaws.com/_plugin/kibana/#/discover/Steve-Slow-Train-Analysis-(2080s-and-2083s)?_g=(refreshInterval:(display:Off,section:0,value:0),time:(from:'2017-01-04 13:49:43-700',mode:absolute,to:'2017-01-04 16:38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8" s="49" t="str">
        <f>IF(AA98&lt;IF(AG98="EC",23,5.65),"Y","N")</f>
        <v>N</v>
      </c>
      <c r="X98" s="173">
        <f>VALUE(LEFT(AD98,4))-VALUE(LEFT(AD97,4))</f>
        <v>1</v>
      </c>
      <c r="Y98" s="64">
        <f t="shared" si="10"/>
        <v>23.298999999999999</v>
      </c>
      <c r="Z98" s="64">
        <f t="shared" si="11"/>
        <v>1.21E-2</v>
      </c>
      <c r="AA98" s="64">
        <f>ABS(Z98-Y98)</f>
        <v>23.286899999999999</v>
      </c>
      <c r="AB98" s="61" t="e">
        <f>VLOOKUP(A98,Enforcements!$C$7:$K$19,8,0)</f>
        <v>#N/A</v>
      </c>
      <c r="AC98" s="57" t="e">
        <f>VLOOKUP(A98,Enforcements!$C$7:$E$19,3,0)</f>
        <v>#N/A</v>
      </c>
      <c r="AD98" s="58" t="str">
        <f>IF(LEN(A98)=6,"0"&amp;A98,A98)</f>
        <v>0184-04</v>
      </c>
      <c r="AE98" s="8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 &amp; 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</v>
      </c>
      <c r="AF98" s="84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/stypes="app*4004*20170104*" /stext=" 22:.+((SYSTEM_STATE.+slice.+state.+changed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88" t="str">
        <f t="shared" si="12"/>
        <v>"%USERPROFILE%\Documents\GitHub\eaglep3\Utilities\RefineRTDCRunTimes.py" --tripid 184-04 --locoid 4004 --swversion DE.1.0.8.0 --startMP 204:232990 --initTime 2017-01-04T14:49:43 --startdatetime 2017-01-04T14:56:27 --delay 1 --endMP 204:121 --enddatetime 2017-01-04T15:38:00 --enforcementcount 0 &gt;&gt;C:\Users\stu\Documents\GitHub\eaglep3-reporting\EC\2017-01-04-refined-times.txt</v>
      </c>
      <c r="AI98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{"issue":{"subject":"","project_id":79,"tracker_id":40,"status_id":1,"priority_id":2,"assigned_to_id":23,"start_date":"2017-01-04","description":"","custom_fields":[{"id":1,"name":"Subdivision","value":"EC"},{"id":4,"name":"Milepost","value":"0.0121"},{"id":17,"name":"Train ID","value":"184-04"},{"id":16,"name":"Locomotive ID","value":"4004"},{"id":130,"name":"Impact","value":""},{"id":150,"name":"Time of Event (Mountain Time)","value":"15:38:00"},{"id":151,"name":"Denver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14"/>
        <v>start /low /b %USERPROFILE%\Documents\GitHub\eaglep3\Utilities\DownloadLogsFromS3.py --loco 4004 --day 2017-01-04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595</v>
      </c>
      <c r="B99" s="7">
        <v>4044</v>
      </c>
      <c r="C99" s="22" t="s">
        <v>203</v>
      </c>
      <c r="D99" s="22" t="s">
        <v>225</v>
      </c>
      <c r="E99" s="13">
        <v>42739.590127314812</v>
      </c>
      <c r="F99" s="13">
        <v>42739.593900462962</v>
      </c>
      <c r="G99" s="7">
        <v>1</v>
      </c>
      <c r="H99" s="22" t="s">
        <v>420</v>
      </c>
      <c r="I99" s="13">
        <v>42739.620370370372</v>
      </c>
      <c r="J99" s="7">
        <v>0</v>
      </c>
      <c r="K99" s="105" t="str">
        <f>IF(ISEVEN(B99),(B99-1)&amp;"/"&amp;B99,B99&amp;"/"&amp;(B99+1))</f>
        <v>4043/4044</v>
      </c>
      <c r="L99" s="22" t="str">
        <f>VLOOKUP(A99,'Trips&amp;Operators'!$C$1:$G$99999,5,FALSE)</f>
        <v>BRANNON JEFFREY</v>
      </c>
      <c r="M99" s="6">
        <f>I99-F99</f>
        <v>2.6469907410501037E-2</v>
      </c>
      <c r="N99" s="7">
        <f>24*60*SUM($M99:$M99)</f>
        <v>38.116666671121493</v>
      </c>
      <c r="O99" s="7"/>
      <c r="P99" s="7"/>
      <c r="Q99" s="23"/>
      <c r="R99" s="23"/>
      <c r="S99" s="32">
        <f>SUM(U99:U99)/IF(AG99="EC",12,1)</f>
        <v>1</v>
      </c>
      <c r="T99" s="47" t="str">
        <f>IF(ISEVEN(LEFT(AD99,4)),"Southbound","NorthBound")</f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hh:mm:ss")&amp;utc_offset&amp;"00',mode:absolute,to:'"&amp;TEXT(I99+1/24,"yyyy-MM-DD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https://search-rtdc-monitor-bjffxe2xuh6vdkpspy63sjmuny.us-east-1.es.amazonaws.com/_plugin/kibana/#/discover/Steve-Slow-Train-Analysis-(2080s-and-2083s)?_g=(refreshInterval:(display:Off,section:0,value:0),time:(from:'2017-01-04 13:09:47-700',mode:absolute,to:'2017-01-04 15:53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9" s="49" t="str">
        <f>IF(AA99&lt;IF(AG99="EC",23,5.65),"Y","N")</f>
        <v>N</v>
      </c>
      <c r="X99" s="173">
        <f>VALUE(LEFT(AD99,4))-VALUE(LEFT(AD98,4))</f>
        <v>1</v>
      </c>
      <c r="Y99" s="64">
        <f t="shared" si="10"/>
        <v>4.5499999999999999E-2</v>
      </c>
      <c r="Z99" s="64">
        <f t="shared" si="11"/>
        <v>23.331399999999999</v>
      </c>
      <c r="AA99" s="64">
        <f>ABS(Z99-Y99)</f>
        <v>23.285899999999998</v>
      </c>
      <c r="AB99" s="61" t="e">
        <f>VLOOKUP(A99,Enforcements!$C$7:$K$19,8,0)</f>
        <v>#N/A</v>
      </c>
      <c r="AC99" s="57" t="e">
        <f>VLOOKUP(A99,Enforcements!$C$7:$E$19,3,0)</f>
        <v>#N/A</v>
      </c>
      <c r="AD99" s="58" t="str">
        <f>IF(LEN(A99)=6,"0"&amp;A99,A99)</f>
        <v>0185-04</v>
      </c>
      <c r="AE99" s="8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AF99" s="84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/stypes="app*4044*20170104*" /stext=" 21:.+((SYSTEM_STATE.+slice.+state.+changed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88" t="str">
        <f t="shared" si="12"/>
        <v>"%USERPROFILE%\Documents\GitHub\eaglep3\Utilities\RefineRTDCRunTimes.py" --tripid 185-04 --locoid 4044 --swversion DE.1.0.8.0 --startMP 204:455 --initTime 2017-01-04T14:09:47 --startdatetime 2017-01-04T14:15:13 --delay 1 --endMP 204:233314 --enddatetime 2017-01-04T14:53:20 --enforcementcount 0 &gt;&gt;C:\Users\stu\Documents\GitHub\eaglep3-reporting\EC\2017-01-04-refined-times.txt</v>
      </c>
      <c r="AI99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{"issue":{"subject":"","project_id":79,"tracker_id":40,"status_id":1,"priority_id":2,"assigned_to_id":23,"start_date":"2017-01-04","description":"","custom_fields":[{"id":1,"name":"Subdivision","value":"EC"},{"id":4,"name":"Milepost","value":"23.3314"},{"id":17,"name":"Train ID","value":"185-04"},{"id":16,"name":"Locomotive ID","value":"4044"},{"id":130,"name":"Impact","value":""},{"id":150,"name":"Time of Event (Mountain Time)","value":"14:53:20"},{"id":151,"name":"Denver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14"/>
        <v>start /low /b %USERPROFILE%\Documents\GitHub\eaglep3\Utilities\DownloadLogsFromS3.py --loco 4044 --day 2017-01-04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4" t="s">
        <v>602</v>
      </c>
      <c r="B100" s="7">
        <v>4043</v>
      </c>
      <c r="C100" s="22" t="s">
        <v>203</v>
      </c>
      <c r="D100" s="22" t="s">
        <v>704</v>
      </c>
      <c r="E100" s="13">
        <v>42739.625185185185</v>
      </c>
      <c r="F100" s="13">
        <v>42739.6328125</v>
      </c>
      <c r="G100" s="7">
        <v>1</v>
      </c>
      <c r="H100" s="22" t="s">
        <v>230</v>
      </c>
      <c r="I100" s="13">
        <v>42739.661215277774</v>
      </c>
      <c r="J100" s="7">
        <v>0</v>
      </c>
      <c r="K100" s="105" t="str">
        <f>IF(ISEVEN(B100),(B100-1)&amp;"/"&amp;B100,B100&amp;"/"&amp;(B100+1))</f>
        <v>4043/4044</v>
      </c>
      <c r="L100" s="22" t="str">
        <f>VLOOKUP(A100,'Trips&amp;Operators'!$C$1:$G$99999,5,FALSE)</f>
        <v>BRANNON JEFFREY</v>
      </c>
      <c r="M100" s="6">
        <f>I100-F100</f>
        <v>2.8402777774317656E-2</v>
      </c>
      <c r="N100" s="7">
        <f>24*60*SUM($M100:$M100)</f>
        <v>40.899999995017424</v>
      </c>
      <c r="O100" s="7"/>
      <c r="P100" s="7"/>
      <c r="Q100" s="23"/>
      <c r="R100" s="23"/>
      <c r="S100" s="32">
        <f>SUM(U100:U100)/IF(AG100="EC",12,1)</f>
        <v>1</v>
      </c>
      <c r="T100" s="47" t="str">
        <f>IF(ISEVEN(LEFT(AD100,4)),"Southbound","NorthBound")</f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hh:mm:ss")&amp;utc_offset&amp;"00',mode:absolute,to:'"&amp;TEXT(I100+1/24,"yyyy-MM-DD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https://search-rtdc-monitor-bjffxe2xuh6vdkpspy63sjmuny.us-east-1.es.amazonaws.com/_plugin/kibana/#/discover/Steve-Slow-Train-Analysis-(2080s-and-2083s)?_g=(refreshInterval:(display:Off,section:0,value:0),time:(from:'2017-01-04 14:00:16-700',mode:absolute,to:'2017-01-04 16:52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0" s="49" t="str">
        <f>IF(AA100&lt;IF(AG100="EC",23,5.65),"Y","N")</f>
        <v>N</v>
      </c>
      <c r="X100" s="173">
        <f>VALUE(LEFT(AD100,4))-VALUE(LEFT(AD99,4))</f>
        <v>1</v>
      </c>
      <c r="Y100" s="64">
        <f t="shared" si="10"/>
        <v>23.2987</v>
      </c>
      <c r="Z100" s="64">
        <f t="shared" si="11"/>
        <v>1.4500000000000001E-2</v>
      </c>
      <c r="AA100" s="64">
        <f>ABS(Z100-Y100)</f>
        <v>23.284199999999998</v>
      </c>
      <c r="AB100" s="61" t="e">
        <f>VLOOKUP(A100,Enforcements!$C$7:$K$19,8,0)</f>
        <v>#N/A</v>
      </c>
      <c r="AC100" s="57" t="e">
        <f>VLOOKUP(A100,Enforcements!$C$7:$E$19,3,0)</f>
        <v>#N/A</v>
      </c>
      <c r="AD100" s="58" t="str">
        <f>IF(LEN(A100)=6,"0"&amp;A100,A100)</f>
        <v>0186-04</v>
      </c>
      <c r="AE100" s="8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s3://rtdc.mdm.uploadarchive.raw/RTDC4043/ "%USERPROFILE%\AppData\Local\Temp\OnboardLogs"\RTDC4043\2017-01-04 --exclude "*" --recursive --include "*20170104*" &amp; "%USERPROFILE%\Documents\GitHub\mrs-test-scripts\Headless Mode &amp; Sideloading\WalkAndUnGZ.bat" "%USERPROFILE%\AppData\Local\Temp\OnboardLogs"\RTDC4043\2017-01-04 &amp; 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</v>
      </c>
      <c r="AF100" s="84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/stypes="app*4043*20170104*" /stext=" 22:.+((SYSTEM_STATE.+slice.+state.+changed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88" t="str">
        <f t="shared" si="12"/>
        <v>"%USERPROFILE%\Documents\GitHub\eaglep3\Utilities\RefineRTDCRunTimes.py" --tripid 186-04 --locoid 4043 --swversion DE.1.0.8.0 --startMP 204:232987 --initTime 2017-01-04T15:00:16 --startdatetime 2017-01-04T15:11:15 --delay 1 --endMP 204:145 --enddatetime 2017-01-04T15:52:09 --enforcementcount 0 &gt;&gt;C:\Users\stu\Documents\GitHub\eaglep3-reporting\EC\2017-01-04-refined-times.txt</v>
      </c>
      <c r="AI100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{"issue":{"subject":"","project_id":79,"tracker_id":40,"status_id":1,"priority_id":2,"assigned_to_id":23,"start_date":"2017-01-04","description":"","custom_fields":[{"id":1,"name":"Subdivision","value":"EC"},{"id":4,"name":"Milepost","value":"0.0145"},{"id":17,"name":"Train ID","value":"186-04"},{"id":16,"name":"Locomotive ID","value":"4043"},{"id":130,"name":"Impact","value":""},{"id":150,"name":"Time of Event (Mountain Time)","value":"15:52:09"},{"id":151,"name":"Denver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14"/>
        <v>start /low /b %USERPROFILE%\Documents\GitHub\eaglep3\Utilities\DownloadLogsFromS3.py --loco 4043 --day 2017-01-04</v>
      </c>
    </row>
    <row r="101" spans="1:91" s="21" customFormat="1" x14ac:dyDescent="0.25">
      <c r="A101" s="34" t="s">
        <v>598</v>
      </c>
      <c r="B101" s="7">
        <v>4042</v>
      </c>
      <c r="C101" s="22" t="s">
        <v>203</v>
      </c>
      <c r="D101" s="22" t="s">
        <v>255</v>
      </c>
      <c r="E101" s="13">
        <v>42739.601412037038</v>
      </c>
      <c r="F101" s="13">
        <v>42739.60434027778</v>
      </c>
      <c r="G101" s="7">
        <v>1</v>
      </c>
      <c r="H101" s="22" t="s">
        <v>714</v>
      </c>
      <c r="I101" s="13">
        <v>42739.632789351854</v>
      </c>
      <c r="J101" s="7">
        <v>0</v>
      </c>
      <c r="K101" s="105" t="str">
        <f>IF(ISEVEN(B101),(B101-1)&amp;"/"&amp;B101,B101&amp;"/"&amp;(B101+1))</f>
        <v>4041/4042</v>
      </c>
      <c r="L101" s="22" t="str">
        <f>VLOOKUP(A101,'Trips&amp;Operators'!$C$1:$G$99999,5,FALSE)</f>
        <v>CLARK KATHLEEN</v>
      </c>
      <c r="M101" s="6">
        <f>I101-F101</f>
        <v>2.8449074074160308E-2</v>
      </c>
      <c r="N101" s="7">
        <f>24*60*SUM($M101:$M101)</f>
        <v>40.966666666790843</v>
      </c>
      <c r="O101" s="7"/>
      <c r="P101" s="7"/>
      <c r="Q101" s="23"/>
      <c r="R101" s="23"/>
      <c r="S101" s="32">
        <f>SUM(U101:U101)/IF(AG101="EC",12,1)</f>
        <v>1</v>
      </c>
      <c r="T101" s="47" t="str">
        <f>IF(ISEVEN(LEFT(AD101,4)),"Southbound","NorthBound")</f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hh:mm:ss")&amp;utc_offset&amp;"00',mode:absolute,to:'"&amp;TEXT(I101+1/24,"yyyy-MM-DD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https://search-rtdc-monitor-bjffxe2xuh6vdkpspy63sjmuny.us-east-1.es.amazonaws.com/_plugin/kibana/#/discover/Steve-Slow-Train-Analysis-(2080s-and-2083s)?_g=(refreshInterval:(display:Off,section:0,value:0),time:(from:'2017-01-04 13:26:02-700',mode:absolute,to:'2017-01-04 16:11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1" s="49" t="str">
        <f>IF(AA101&lt;IF(AG101="EC",23,5.65),"Y","N")</f>
        <v>N</v>
      </c>
      <c r="X101" s="173">
        <f>VALUE(LEFT(AD101,4))-VALUE(LEFT(AD100,4))</f>
        <v>1</v>
      </c>
      <c r="Y101" s="64">
        <f t="shared" si="10"/>
        <v>4.6199999999999998E-2</v>
      </c>
      <c r="Z101" s="64">
        <f t="shared" si="11"/>
        <v>23.330100000000002</v>
      </c>
      <c r="AA101" s="64">
        <f>ABS(Z101-Y101)</f>
        <v>23.283900000000003</v>
      </c>
      <c r="AB101" s="61" t="e">
        <f>VLOOKUP(A101,Enforcements!$C$7:$K$19,8,0)</f>
        <v>#N/A</v>
      </c>
      <c r="AC101" s="57" t="e">
        <f>VLOOKUP(A101,Enforcements!$C$7:$E$19,3,0)</f>
        <v>#N/A</v>
      </c>
      <c r="AD101" s="58" t="str">
        <f>IF(LEN(A101)=6,"0"&amp;A101,A101)</f>
        <v>0187-04</v>
      </c>
      <c r="AE101" s="8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s3://rtdc.mdm.uploadarchive.raw/RTDC4042/ "%USERPROFILE%\AppData\Local\Temp\OnboardLogs"\RTDC4042\2017-01-04 --exclude "*" --recursive --include "*20170104*" &amp; "%USERPROFILE%\Documents\GitHub\mrs-test-scripts\Headless Mode &amp; Sideloading\WalkAndUnGZ.bat" "%USERPROFILE%\AppData\Local\Temp\OnboardLogs"\RTDC4042\2017-01-04 &amp; 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</v>
      </c>
      <c r="AF101" s="84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/stypes="app*4042*20170104*" /stext=" 22:.+((SYSTEM_STATE.+slice.+state.+changed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88" t="str">
        <f t="shared" si="12"/>
        <v>"%USERPROFILE%\Documents\GitHub\eaglep3\Utilities\RefineRTDCRunTimes.py" --tripid 187-04 --locoid 4042 --swversion DE.1.0.8.0 --startMP 204:462 --initTime 2017-01-04T14:26:02 --startdatetime 2017-01-04T14:30:15 --delay 1 --endMP 204:233301 --enddatetime 2017-01-04T15:11:13 --enforcementcount 0 &gt;&gt;C:\Users\stu\Documents\GitHub\eaglep3-reporting\EC\2017-01-04-refined-times.txt</v>
      </c>
      <c r="AI101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{"issue":{"subject":"","project_id":79,"tracker_id":40,"status_id":1,"priority_id":2,"assigned_to_id":23,"start_date":"2017-01-04","description":"","custom_fields":[{"id":1,"name":"Subdivision","value":"EC"},{"id":4,"name":"Milepost","value":"23.3301"},{"id":17,"name":"Train ID","value":"187-04"},{"id":16,"name":"Locomotive ID","value":"4042"},{"id":130,"name":"Impact","value":""},{"id":150,"name":"Time of Event (Mountain Time)","value":"15:11:13"},{"id":151,"name":"Denver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14"/>
        <v>start /low /b %USERPROFILE%\Documents\GitHub\eaglep3\Utilities\DownloadLogsFromS3.py --loco 4042 --day 2017-01-04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605</v>
      </c>
      <c r="B102" s="7">
        <v>4041</v>
      </c>
      <c r="C102" s="22" t="s">
        <v>203</v>
      </c>
      <c r="D102" s="22" t="s">
        <v>266</v>
      </c>
      <c r="E102" s="13">
        <v>42739.637476851851</v>
      </c>
      <c r="F102" s="13">
        <v>42739.643240740741</v>
      </c>
      <c r="G102" s="7">
        <v>1</v>
      </c>
      <c r="H102" s="22" t="s">
        <v>302</v>
      </c>
      <c r="I102" s="13">
        <v>42739.673935185187</v>
      </c>
      <c r="J102" s="7">
        <v>0</v>
      </c>
      <c r="K102" s="105" t="str">
        <f>IF(ISEVEN(B102),(B102-1)&amp;"/"&amp;B102,B102&amp;"/"&amp;(B102+1))</f>
        <v>4041/4042</v>
      </c>
      <c r="L102" s="22" t="str">
        <f>VLOOKUP(A102,'Trips&amp;Operators'!$C$1:$G$99999,5,FALSE)</f>
        <v>CLARK KATHLEEN</v>
      </c>
      <c r="M102" s="6">
        <f>I102-F102</f>
        <v>3.0694444445543922E-2</v>
      </c>
      <c r="N102" s="7">
        <f>24*60*SUM($M102:$M102)</f>
        <v>44.200000001583248</v>
      </c>
      <c r="O102" s="7"/>
      <c r="P102" s="7"/>
      <c r="Q102" s="23"/>
      <c r="R102" s="23" t="s">
        <v>968</v>
      </c>
      <c r="S102" s="32">
        <f>SUM(U102:U102)/IF(AG102="EC",12,1)</f>
        <v>1</v>
      </c>
      <c r="T102" s="47" t="str">
        <f>IF(ISEVEN(LEFT(AD102,4)),"Southbound","NorthBound")</f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hh:mm:ss")&amp;utc_offset&amp;"00',mode:absolute,to:'"&amp;TEXT(I102+1/24,"yyyy-MM-DD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https://search-rtdc-monitor-bjffxe2xuh6vdkpspy63sjmuny.us-east-1.es.amazonaws.com/_plugin/kibana/#/discover/Steve-Slow-Train-Analysis-(2080s-and-2083s)?_g=(refreshInterval:(display:Off,section:0,value:0),time:(from:'2017-01-04 14:17:58-700',mode:absolute,to:'2017-01-04 17:10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2" s="49" t="str">
        <f>IF(AA102&lt;IF(AG102="EC",23,5.65),"Y","N")</f>
        <v>N</v>
      </c>
      <c r="X102" s="173">
        <f>VALUE(LEFT(AD102,4))-VALUE(LEFT(AD101,4))</f>
        <v>1</v>
      </c>
      <c r="Y102" s="64">
        <f t="shared" si="10"/>
        <v>23.2973</v>
      </c>
      <c r="Z102" s="64">
        <f t="shared" si="11"/>
        <v>1.5599999999999999E-2</v>
      </c>
      <c r="AA102" s="64">
        <f>ABS(Z102-Y102)</f>
        <v>23.281700000000001</v>
      </c>
      <c r="AB102" s="61" t="e">
        <f>VLOOKUP(A102,Enforcements!$C$7:$K$19,8,0)</f>
        <v>#N/A</v>
      </c>
      <c r="AC102" s="57" t="e">
        <f>VLOOKUP(A102,Enforcements!$C$7:$E$19,3,0)</f>
        <v>#N/A</v>
      </c>
      <c r="AD102" s="58" t="str">
        <f>IF(LEN(A102)=6,"0"&amp;A102,A102)</f>
        <v>0188-04</v>
      </c>
      <c r="AE102" s="8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 &amp; 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</v>
      </c>
      <c r="AF102" s="84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/stypes="app*4041*20170104*" /stext=" 23:.+((SYSTEM_STATE.+slice.+state.+changed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88" t="str">
        <f t="shared" si="12"/>
        <v>"%USERPROFILE%\Documents\GitHub\eaglep3\Utilities\RefineRTDCRunTimes.py" --tripid 188-04 --locoid 4041 --swversion DE.1.0.8.0 --startMP 204:232973 --initTime 2017-01-04T15:17:58 --startdatetime 2017-01-04T15:26:16 --delay 1 --endMP 204:156 --enddatetime 2017-01-04T16:10:28 --enforcementcount 0 &gt;&gt;C:\Users\stu\Documents\GitHub\eaglep3-reporting\EC\2017-01-04-refined-times.txt</v>
      </c>
      <c r="AI102" s="115" t="str">
        <f t="shared" si="13"/>
        <v>echo {"issue":{"subject":"Onboard slice vote out (semi in-route failure) cause unhealthy xing","project_id":79,"tracker_id":40,"status_id":1,"priority_id":2,"assigned_to_id":23,"start_date":"2017-01-04","description":"","custom_fields":[{"id":1,"name":"Subdivision","value":"EC"},{"id":4,"name":"Milepost","value":"0.0156"},{"id":17,"name":"Train ID","value":"188-04"},{"id":16,"name":"Locomotive ID","value":"4041"},{"id":130,"name":"Impact","value":""},{"id":150,"name":"Time of Event (Mountain Time)","value":"16:10:28"},{"id":151,"name":"Denver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14"/>
        <v>start /low /b %USERPROFILE%\Documents\GitHub\eaglep3\Utilities\DownloadLogsFromS3.py --loco 4041 --day 2017-01-04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458</v>
      </c>
      <c r="B103" s="7">
        <v>4016</v>
      </c>
      <c r="C103" s="22" t="s">
        <v>203</v>
      </c>
      <c r="D103" s="22" t="s">
        <v>264</v>
      </c>
      <c r="E103" s="13">
        <v>42739.61241898148</v>
      </c>
      <c r="F103" s="13">
        <v>42739.615219907406</v>
      </c>
      <c r="G103" s="7">
        <v>2</v>
      </c>
      <c r="H103" s="22" t="s">
        <v>732</v>
      </c>
      <c r="I103" s="13">
        <v>42739.642430555556</v>
      </c>
      <c r="J103" s="7">
        <v>0</v>
      </c>
      <c r="K103" s="105" t="str">
        <f>IF(ISEVEN(B103),(B103-1)&amp;"/"&amp;B103,B103&amp;"/"&amp;(B103+1))</f>
        <v>4015/4016</v>
      </c>
      <c r="L103" s="22" t="str">
        <f>VLOOKUP(A103,'Trips&amp;Operators'!$C$1:$G$99999,5,FALSE)</f>
        <v>DAVIS MICHAEL</v>
      </c>
      <c r="M103" s="6">
        <f>I103-F103</f>
        <v>2.7210648149775807E-2</v>
      </c>
      <c r="N103" s="7">
        <f>24*60*SUM($M103:$M103)</f>
        <v>39.183333335677162</v>
      </c>
      <c r="O103" s="7"/>
      <c r="P103" s="7"/>
      <c r="Q103" s="23"/>
      <c r="R103" s="23"/>
      <c r="S103" s="32">
        <f>SUM(U103:U103)/IF(AG103="EC",12,1)</f>
        <v>1</v>
      </c>
      <c r="T103" s="47" t="str">
        <f>IF(ISEVEN(LEFT(AD103,4)),"Southbound","NorthBound")</f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hh:mm:ss")&amp;utc_offset&amp;"00',mode:absolute,to:'"&amp;TEXT(I103+1/24,"yyyy-MM-DD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https://search-rtdc-monitor-bjffxe2xuh6vdkpspy63sjmuny.us-east-1.es.amazonaws.com/_plugin/kibana/#/discover/Steve-Slow-Train-Analysis-(2080s-and-2083s)?_g=(refreshInterval:(display:Off,section:0,value:0),time:(from:'2017-01-04 13:41:53-700',mode:absolute,to:'2017-01-04 16:25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3" s="49" t="str">
        <f>IF(AA103&lt;IF(AG103="EC",23,5.65),"Y","N")</f>
        <v>N</v>
      </c>
      <c r="X103" s="173">
        <f>VALUE(LEFT(AD103,4))-VALUE(LEFT(AD102,4))</f>
        <v>1</v>
      </c>
      <c r="Y103" s="64">
        <f t="shared" si="10"/>
        <v>4.4900000000000002E-2</v>
      </c>
      <c r="Z103" s="64">
        <f t="shared" si="11"/>
        <v>23.328499999999998</v>
      </c>
      <c r="AA103" s="64">
        <f>ABS(Z103-Y103)</f>
        <v>23.2836</v>
      </c>
      <c r="AB103" s="61" t="e">
        <f>VLOOKUP(A103,Enforcements!$C$7:$K$19,8,0)</f>
        <v>#N/A</v>
      </c>
      <c r="AC103" s="57" t="e">
        <f>VLOOKUP(A103,Enforcements!$C$7:$E$19,3,0)</f>
        <v>#N/A</v>
      </c>
      <c r="AD103" s="58" t="str">
        <f>IF(LEN(A103)=6,"0"&amp;A103,A103)</f>
        <v>0189-04</v>
      </c>
      <c r="AE103" s="8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AF103" s="84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/stypes="app*4016*20170104*" /stext=" 22:.+((SYSTEM_STATE.+slice.+state.+changed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88" t="str">
        <f t="shared" si="12"/>
        <v>"%USERPROFILE%\Documents\GitHub\eaglep3\Utilities\RefineRTDCRunTimes.py" --tripid 189-04 --locoid 4016 --swversion DE.1.0.8.0 --startMP 204:449 --initTime 2017-01-04T14:41:53 --startdatetime 2017-01-04T14:45:55 --delay 2 --endMP 204:233285 --enddatetime 2017-01-04T15:25:06 --enforcementcount 0 &gt;&gt;C:\Users\stu\Documents\GitHub\eaglep3-reporting\EC\2017-01-04-refined-times.txt</v>
      </c>
      <c r="AI103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{"issue":{"subject":"","project_id":79,"tracker_id":40,"status_id":1,"priority_id":2,"assigned_to_id":23,"start_date":"2017-01-04","description":"","custom_fields":[{"id":1,"name":"Subdivision","value":"EC"},{"id":4,"name":"Milepost","value":"23.3285"},{"id":17,"name":"Train ID","value":"189-04"},{"id":16,"name":"Locomotive ID","value":"4016"},{"id":130,"name":"Impact","value":""},{"id":150,"name":"Time of Event (Mountain Time)","value":"15:25:06"},{"id":151,"name":"Denver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14"/>
        <v>start /low /b %USERPROFILE%\Documents\GitHub\eaglep3\Utilities\DownloadLogsFromS3.py --loco 4016 --day 2017-01-04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608</v>
      </c>
      <c r="B104" s="7">
        <v>4015</v>
      </c>
      <c r="C104" s="22" t="s">
        <v>203</v>
      </c>
      <c r="D104" s="22" t="s">
        <v>344</v>
      </c>
      <c r="E104" s="13">
        <v>42739.650891203702</v>
      </c>
      <c r="F104" s="13">
        <v>42739.654537037037</v>
      </c>
      <c r="G104" s="7">
        <v>1</v>
      </c>
      <c r="H104" s="22" t="s">
        <v>249</v>
      </c>
      <c r="I104" s="13">
        <v>42739.683321759258</v>
      </c>
      <c r="J104" s="7">
        <v>0</v>
      </c>
      <c r="K104" s="105" t="str">
        <f>IF(ISEVEN(B104),(B104-1)&amp;"/"&amp;B104,B104&amp;"/"&amp;(B104+1))</f>
        <v>4015/4016</v>
      </c>
      <c r="L104" s="22" t="str">
        <f>VLOOKUP(A104,'Trips&amp;Operators'!$C$1:$G$99999,5,FALSE)</f>
        <v>DAVIS MICHAEL</v>
      </c>
      <c r="M104" s="6">
        <f>I104-F104</f>
        <v>2.8784722220734693E-2</v>
      </c>
      <c r="N104" s="7">
        <f>24*60*SUM($M104:$M104)</f>
        <v>41.449999997857958</v>
      </c>
      <c r="O104" s="7"/>
      <c r="P104" s="7"/>
      <c r="Q104" s="23"/>
      <c r="R104" s="23"/>
      <c r="S104" s="32">
        <f>SUM(U104:U104)/IF(AG104="EC",12,1)</f>
        <v>1</v>
      </c>
      <c r="T104" s="47" t="str">
        <f>IF(ISEVEN(LEFT(AD104,4)),"Southbound","NorthBound")</f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hh:mm:ss")&amp;utc_offset&amp;"00',mode:absolute,to:'"&amp;TEXT(I104+1/24,"yyyy-MM-DD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https://search-rtdc-monitor-bjffxe2xuh6vdkpspy63sjmuny.us-east-1.es.amazonaws.com/_plugin/kibana/#/discover/Steve-Slow-Train-Analysis-(2080s-and-2083s)?_g=(refreshInterval:(display:Off,section:0,value:0),time:(from:'2017-01-04 14:37:17-700',mode:absolute,to:'2017-01-04 17:23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4" s="49" t="str">
        <f>IF(AA104&lt;IF(AG104="EC",23,5.65),"Y","N")</f>
        <v>N</v>
      </c>
      <c r="X104" s="173">
        <f>VALUE(LEFT(AD104,4))-VALUE(LEFT(AD103,4))</f>
        <v>1</v>
      </c>
      <c r="Y104" s="64">
        <f t="shared" si="10"/>
        <v>23.298300000000001</v>
      </c>
      <c r="Z104" s="64">
        <f t="shared" si="11"/>
        <v>1.47E-2</v>
      </c>
      <c r="AA104" s="64">
        <f>ABS(Z104-Y104)</f>
        <v>23.2836</v>
      </c>
      <c r="AB104" s="61" t="e">
        <f>VLOOKUP(A104,Enforcements!$C$7:$K$19,8,0)</f>
        <v>#N/A</v>
      </c>
      <c r="AC104" s="57" t="e">
        <f>VLOOKUP(A104,Enforcements!$C$7:$E$19,3,0)</f>
        <v>#N/A</v>
      </c>
      <c r="AD104" s="58" t="str">
        <f>IF(LEN(A104)=6,"0"&amp;A104,A104)</f>
        <v>0190-04</v>
      </c>
      <c r="AE104" s="8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 &amp; 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</v>
      </c>
      <c r="AF104" s="84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/stypes="app*4015*20170104*" /stext=" 23:.+((SYSTEM_STATE.+slice.+state.+changed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88" t="str">
        <f t="shared" si="12"/>
        <v>"%USERPROFILE%\Documents\GitHub\eaglep3\Utilities\RefineRTDCRunTimes.py" --tripid 190-04 --locoid 4015 --swversion DE.1.0.8.0 --startMP 204:232983 --initTime 2017-01-04T15:37:17 --startdatetime 2017-01-04T15:42:32 --delay 1 --endMP 204:147 --enddatetime 2017-01-04T16:23:59 --enforcementcount 0 &gt;&gt;C:\Users\stu\Documents\GitHub\eaglep3-reporting\EC\2017-01-04-refined-times.txt</v>
      </c>
      <c r="AI104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{"issue":{"subject":"","project_id":79,"tracker_id":40,"status_id":1,"priority_id":2,"assigned_to_id":23,"start_date":"2017-01-04","description":"","custom_fields":[{"id":1,"name":"Subdivision","value":"EC"},{"id":4,"name":"Milepost","value":"0.0147"},{"id":17,"name":"Train ID","value":"190-04"},{"id":16,"name":"Locomotive ID","value":"4015"},{"id":130,"name":"Impact","value":""},{"id":150,"name":"Time of Event (Mountain Time)","value":"16:23:59"},{"id":151,"name":"Denver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14"/>
        <v>start /low /b %USERPROFILE%\Documents\GitHub\eaglep3\Utilities\DownloadLogsFromS3.py --loco 4015 --day 2017-01-04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601</v>
      </c>
      <c r="B105" s="7">
        <v>4029</v>
      </c>
      <c r="C105" s="22" t="s">
        <v>203</v>
      </c>
      <c r="D105" s="22" t="s">
        <v>317</v>
      </c>
      <c r="E105" s="13">
        <v>42739.620995370373</v>
      </c>
      <c r="F105" s="13">
        <v>42739.625289351854</v>
      </c>
      <c r="G105" s="7">
        <v>1</v>
      </c>
      <c r="H105" s="22" t="s">
        <v>711</v>
      </c>
      <c r="I105" s="13">
        <v>42739.652546296296</v>
      </c>
      <c r="J105" s="7">
        <v>0</v>
      </c>
      <c r="K105" s="105" t="str">
        <f>IF(ISEVEN(B105),(B105-1)&amp;"/"&amp;B105,B105&amp;"/"&amp;(B105+1))</f>
        <v>4029/4030</v>
      </c>
      <c r="L105" s="22" t="str">
        <f>VLOOKUP(A105,'Trips&amp;Operators'!$C$1:$G$99999,5,FALSE)</f>
        <v>LEVERE CRAIG</v>
      </c>
      <c r="M105" s="6">
        <f>I105-F105</f>
        <v>2.7256944442342501E-2</v>
      </c>
      <c r="N105" s="7">
        <f>24*60*SUM($M105:$M105)</f>
        <v>39.249999996973202</v>
      </c>
      <c r="O105" s="7"/>
      <c r="P105" s="7"/>
      <c r="Q105" s="23"/>
      <c r="R105" s="23"/>
      <c r="S105" s="32">
        <f>SUM(U105:U105)/IF(AG105="EC",12,1)</f>
        <v>1</v>
      </c>
      <c r="T105" s="47" t="str">
        <f>IF(ISEVEN(LEFT(AD105,4)),"Southbound","NorthBound")</f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hh:mm:ss")&amp;utc_offset&amp;"00',mode:absolute,to:'"&amp;TEXT(I105+1/24,"yyyy-MM-DD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https://search-rtdc-monitor-bjffxe2xuh6vdkpspy63sjmuny.us-east-1.es.amazonaws.com/_plugin/kibana/#/discover/Steve-Slow-Train-Analysis-(2080s-and-2083s)?_g=(refreshInterval:(display:Off,section:0,value:0),time:(from:'2017-01-04 13:54:14-700',mode:absolute,to:'2017-01-04 16:39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5" s="49" t="str">
        <f>IF(AA105&lt;IF(AG105="EC",23,5.65),"Y","N")</f>
        <v>N</v>
      </c>
      <c r="X105" s="173">
        <f>VALUE(LEFT(AD105,4))-VALUE(LEFT(AD104,4))</f>
        <v>1</v>
      </c>
      <c r="Y105" s="64">
        <f t="shared" si="10"/>
        <v>4.7800000000000002E-2</v>
      </c>
      <c r="Z105" s="64">
        <f t="shared" si="11"/>
        <v>23.3291</v>
      </c>
      <c r="AA105" s="64">
        <f>ABS(Z105-Y105)</f>
        <v>23.281300000000002</v>
      </c>
      <c r="AB105" s="61" t="e">
        <f>VLOOKUP(A105,Enforcements!$C$7:$K$19,8,0)</f>
        <v>#N/A</v>
      </c>
      <c r="AC105" s="57" t="e">
        <f>VLOOKUP(A105,Enforcements!$C$7:$E$19,3,0)</f>
        <v>#N/A</v>
      </c>
      <c r="AD105" s="58" t="str">
        <f>IF(LEN(A105)=6,"0"&amp;A105,A105)</f>
        <v>0191-04</v>
      </c>
      <c r="AE105" s="8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 &amp; 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</v>
      </c>
      <c r="AF105" s="84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/stypes="app*4029*20170104*" /stext=" 22:.+((SYSTEM_STATE.+slice.+state.+changed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88" t="str">
        <f t="shared" si="12"/>
        <v>"%USERPROFILE%\Documents\GitHub\eaglep3\Utilities\RefineRTDCRunTimes.py" --tripid 191-04 --locoid 4029 --swversion DE.1.0.8.0 --startMP 204:478 --initTime 2017-01-04T14:54:14 --startdatetime 2017-01-04T15:00:25 --delay 1 --endMP 204:233291 --enddatetime 2017-01-04T15:39:40 --enforcementcount 0 &gt;&gt;C:\Users\stu\Documents\GitHub\eaglep3-reporting\EC\2017-01-04-refined-times.txt</v>
      </c>
      <c r="AI105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{"issue":{"subject":"","project_id":79,"tracker_id":40,"status_id":1,"priority_id":2,"assigned_to_id":23,"start_date":"2017-01-04","description":"","custom_fields":[{"id":1,"name":"Subdivision","value":"EC"},{"id":4,"name":"Milepost","value":"23.3291"},{"id":17,"name":"Train ID","value":"191-04"},{"id":16,"name":"Locomotive ID","value":"4029"},{"id":130,"name":"Impact","value":""},{"id":150,"name":"Time of Event (Mountain Time)","value":"15:39:40"},{"id":151,"name":"Denver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14"/>
        <v>start /low /b %USERPROFILE%\Documents\GitHub\eaglep3\Utilities\DownloadLogsFromS3.py --loco 4029 --day 2017-01-04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609</v>
      </c>
      <c r="B106" s="7">
        <v>4030</v>
      </c>
      <c r="C106" s="22" t="s">
        <v>203</v>
      </c>
      <c r="D106" s="22" t="s">
        <v>329</v>
      </c>
      <c r="E106" s="13">
        <v>42739.657361111109</v>
      </c>
      <c r="F106" s="13">
        <v>42739.66443287037</v>
      </c>
      <c r="G106" s="7">
        <v>1</v>
      </c>
      <c r="H106" s="22" t="s">
        <v>423</v>
      </c>
      <c r="I106" s="13">
        <v>42739.693333333336</v>
      </c>
      <c r="J106" s="7">
        <v>0</v>
      </c>
      <c r="K106" s="105" t="str">
        <f>IF(ISEVEN(B106),(B106-1)&amp;"/"&amp;B106,B106&amp;"/"&amp;(B106+1))</f>
        <v>4029/4030</v>
      </c>
      <c r="L106" s="22" t="str">
        <f>VLOOKUP(A106,'Trips&amp;Operators'!$C$1:$G$99999,5,FALSE)</f>
        <v>LEVERE CRAIG</v>
      </c>
      <c r="M106" s="6">
        <f>I106-F106</f>
        <v>2.8900462966703344E-2</v>
      </c>
      <c r="N106" s="7">
        <f>24*60*SUM($M106:$M106)</f>
        <v>41.616666672052816</v>
      </c>
      <c r="O106" s="7"/>
      <c r="P106" s="7"/>
      <c r="Q106" s="23"/>
      <c r="R106" s="23"/>
      <c r="S106" s="32">
        <f>SUM(U106:U106)/IF(AG106="EC",12,1)</f>
        <v>1</v>
      </c>
      <c r="T106" s="47" t="str">
        <f>IF(ISEVEN(LEFT(AD106,4)),"Southbound","NorthBound")</f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hh:mm:ss")&amp;utc_offset&amp;"00',mode:absolute,to:'"&amp;TEXT(I106+1/24,"yyyy-MM-DD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https://search-rtdc-monitor-bjffxe2xuh6vdkpspy63sjmuny.us-east-1.es.amazonaws.com/_plugin/kibana/#/discover/Steve-Slow-Train-Analysis-(2080s-and-2083s)?_g=(refreshInterval:(display:Off,section:0,value:0),time:(from:'2017-01-04 14:46:36-700',mode:absolute,to:'2017-01-04 17:38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6" s="49" t="str">
        <f>IF(AA106&lt;IF(AG106="EC",23,5.65),"Y","N")</f>
        <v>N</v>
      </c>
      <c r="X106" s="173">
        <f>VALUE(LEFT(AD106,4))-VALUE(LEFT(AD105,4))</f>
        <v>1</v>
      </c>
      <c r="Y106" s="64">
        <f t="shared" si="10"/>
        <v>23.296700000000001</v>
      </c>
      <c r="Z106" s="64">
        <f t="shared" si="11"/>
        <v>1.6500000000000001E-2</v>
      </c>
      <c r="AA106" s="64">
        <f>ABS(Z106-Y106)</f>
        <v>23.280200000000001</v>
      </c>
      <c r="AB106" s="61" t="e">
        <f>VLOOKUP(A106,Enforcements!$C$7:$K$19,8,0)</f>
        <v>#N/A</v>
      </c>
      <c r="AC106" s="57" t="e">
        <f>VLOOKUP(A106,Enforcements!$C$7:$E$19,3,0)</f>
        <v>#N/A</v>
      </c>
      <c r="AD106" s="58" t="str">
        <f>IF(LEN(A106)=6,"0"&amp;A106,A106)</f>
        <v>0192-04</v>
      </c>
      <c r="AE106" s="8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 &amp; 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</v>
      </c>
      <c r="AF106" s="84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/stypes="app*4030*20170104*" /stext=" 23:.+((SYSTEM_STATE.+slice.+state.+changed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88" t="str">
        <f t="shared" si="12"/>
        <v>"%USERPROFILE%\Documents\GitHub\eaglep3\Utilities\RefineRTDCRunTimes.py" --tripid 192-04 --locoid 4030 --swversion DE.1.0.8.0 --startMP 204:232967 --initTime 2017-01-04T15:46:36 --startdatetime 2017-01-04T15:56:47 --delay 1 --endMP 204:165 --enddatetime 2017-01-04T16:38:24 --enforcementcount 0 &gt;&gt;C:\Users\stu\Documents\GitHub\eaglep3-reporting\EC\2017-01-04-refined-times.txt</v>
      </c>
      <c r="AI106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{"issue":{"subject":"","project_id":79,"tracker_id":40,"status_id":1,"priority_id":2,"assigned_to_id":23,"start_date":"2017-01-04","description":"","custom_fields":[{"id":1,"name":"Subdivision","value":"EC"},{"id":4,"name":"Milepost","value":"0.0165"},{"id":17,"name":"Train ID","value":"192-04"},{"id":16,"name":"Locomotive ID","value":"4030"},{"id":130,"name":"Impact","value":""},{"id":150,"name":"Time of Event (Mountain Time)","value":"16:38:24"},{"id":151,"name":"Denver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14"/>
        <v>start /low /b %USERPROFILE%\Documents\GitHub\eaglep3\Utilities\DownloadLogsFromS3.py --loco 4030 --day 2017-01-04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604</v>
      </c>
      <c r="B107" s="7">
        <v>4009</v>
      </c>
      <c r="C107" s="22" t="s">
        <v>203</v>
      </c>
      <c r="D107" s="22" t="s">
        <v>246</v>
      </c>
      <c r="E107" s="13">
        <v>42739.631921296299</v>
      </c>
      <c r="F107" s="13">
        <v>42739.635671296295</v>
      </c>
      <c r="G107" s="7">
        <v>1</v>
      </c>
      <c r="H107" s="22" t="s">
        <v>287</v>
      </c>
      <c r="I107" s="13">
        <v>42739.660185185188</v>
      </c>
      <c r="J107" s="7">
        <v>0</v>
      </c>
      <c r="K107" s="105" t="str">
        <f>IF(ISEVEN(B107),(B107-1)&amp;"/"&amp;B107,B107&amp;"/"&amp;(B107+1))</f>
        <v>4009/4010</v>
      </c>
      <c r="L107" s="22" t="str">
        <f>VLOOKUP(A107,'Trips&amp;Operators'!$C$1:$G$99999,5,FALSE)</f>
        <v>HELVIE ADAM</v>
      </c>
      <c r="M107" s="6">
        <f>I107-F107</f>
        <v>2.4513888893125113E-2</v>
      </c>
      <c r="N107" s="7">
        <f>24*60*SUM($M107:$M107)</f>
        <v>35.300000006100163</v>
      </c>
      <c r="O107" s="7"/>
      <c r="P107" s="7"/>
      <c r="Q107" s="23"/>
      <c r="R107" s="23"/>
      <c r="S107" s="32">
        <f>SUM(U107:U107)/IF(AG107="EC",12,1)</f>
        <v>1</v>
      </c>
      <c r="T107" s="47" t="str">
        <f>IF(ISEVEN(LEFT(AD107,4)),"Southbound","NorthBound")</f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hh:mm:ss")&amp;utc_offset&amp;"00',mode:absolute,to:'"&amp;TEXT(I107+1/24,"yyyy-MM-DD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https://search-rtdc-monitor-bjffxe2xuh6vdkpspy63sjmuny.us-east-1.es.amazonaws.com/_plugin/kibana/#/discover/Steve-Slow-Train-Analysis-(2080s-and-2083s)?_g=(refreshInterval:(display:Off,section:0,value:0),time:(from:'2017-01-04 14:09:58-700',mode:absolute,to:'2017-01-04 16:50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7" s="49" t="str">
        <f>IF(AA107&lt;IF(AG107="EC",23,5.65),"Y","N")</f>
        <v>N</v>
      </c>
      <c r="X107" s="173">
        <f>VALUE(LEFT(AD107,4))-VALUE(LEFT(AD106,4))</f>
        <v>1</v>
      </c>
      <c r="Y107" s="64">
        <f t="shared" si="10"/>
        <v>4.53E-2</v>
      </c>
      <c r="Z107" s="64">
        <f t="shared" si="11"/>
        <v>23.33</v>
      </c>
      <c r="AA107" s="64">
        <f>ABS(Z107-Y107)</f>
        <v>23.284699999999997</v>
      </c>
      <c r="AB107" s="61" t="e">
        <f>VLOOKUP(A107,Enforcements!$C$7:$K$19,8,0)</f>
        <v>#N/A</v>
      </c>
      <c r="AC107" s="57" t="e">
        <f>VLOOKUP(A107,Enforcements!$C$7:$E$19,3,0)</f>
        <v>#N/A</v>
      </c>
      <c r="AD107" s="58" t="str">
        <f>IF(LEN(A107)=6,"0"&amp;A107,A107)</f>
        <v>0193-04</v>
      </c>
      <c r="AE107" s="8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 &amp; 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</v>
      </c>
      <c r="AF107" s="84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/stypes="app*4009*20170104*" /stext=" 22:.+((SYSTEM_STATE.+slice.+state.+changed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88" t="str">
        <f t="shared" si="12"/>
        <v>"%USERPROFILE%\Documents\GitHub\eaglep3\Utilities\RefineRTDCRunTimes.py" --tripid 193-04 --locoid 4009 --swversion DE.1.0.8.0 --startMP 204:453 --initTime 2017-01-04T15:09:58 --startdatetime 2017-01-04T15:15:22 --delay 1 --endMP 204:233300 --enddatetime 2017-01-04T15:50:40 --enforcementcount 0 &gt;&gt;C:\Users\stu\Documents\GitHub\eaglep3-reporting\EC\2017-01-04-refined-times.txt</v>
      </c>
      <c r="AI107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{"issue":{"subject":"","project_id":79,"tracker_id":40,"status_id":1,"priority_id":2,"assigned_to_id":23,"start_date":"2017-01-04","description":"","custom_fields":[{"id":1,"name":"Subdivision","value":"EC"},{"id":4,"name":"Milepost","value":"23.33"},{"id":17,"name":"Train ID","value":"193-04"},{"id":16,"name":"Locomotive ID","value":"4009"},{"id":130,"name":"Impact","value":""},{"id":150,"name":"Time of Event (Mountain Time)","value":"15:50:40"},{"id":151,"name":"Denver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14"/>
        <v>start /low /b %USERPROFILE%\Documents\GitHub\eaglep3\Utilities\DownloadLogsFromS3.py --loco 4009 --day 2017-01-04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612</v>
      </c>
      <c r="B108" s="7">
        <v>4010</v>
      </c>
      <c r="C108" s="22" t="s">
        <v>203</v>
      </c>
      <c r="D108" s="22" t="s">
        <v>310</v>
      </c>
      <c r="E108" s="13">
        <v>42739.670671296299</v>
      </c>
      <c r="F108" s="13">
        <v>42739.67459490741</v>
      </c>
      <c r="G108" s="7">
        <v>2</v>
      </c>
      <c r="H108" s="22" t="s">
        <v>254</v>
      </c>
      <c r="I108" s="13">
        <v>42739.702222222222</v>
      </c>
      <c r="J108" s="7">
        <v>0</v>
      </c>
      <c r="K108" s="105" t="str">
        <f>IF(ISEVEN(B108),(B108-1)&amp;"/"&amp;B108,B108&amp;"/"&amp;(B108+1))</f>
        <v>4009/4010</v>
      </c>
      <c r="L108" s="22" t="str">
        <f>VLOOKUP(A108,'Trips&amp;Operators'!$C$1:$G$99999,5,FALSE)</f>
        <v>HELVIE ADAM</v>
      </c>
      <c r="M108" s="6">
        <f>I108-F108</f>
        <v>2.7627314811979886E-2</v>
      </c>
      <c r="N108" s="7">
        <f>24*60*SUM($M108:$M108)</f>
        <v>39.783333329251036</v>
      </c>
      <c r="O108" s="7"/>
      <c r="P108" s="7"/>
      <c r="Q108" s="23"/>
      <c r="R108" s="23" t="s">
        <v>969</v>
      </c>
      <c r="S108" s="32">
        <f>SUM(U108:U108)/IF(AG108="EC",12,1)</f>
        <v>1</v>
      </c>
      <c r="T108" s="47" t="str">
        <f>IF(ISEVEN(LEFT(AD108,4)),"Southbound","NorthBound")</f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hh:mm:ss")&amp;utc_offset&amp;"00',mode:absolute,to:'"&amp;TEXT(I108+1/24,"yyyy-MM-DD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https://search-rtdc-monitor-bjffxe2xuh6vdkpspy63sjmuny.us-east-1.es.amazonaws.com/_plugin/kibana/#/discover/Steve-Slow-Train-Analysis-(2080s-and-2083s)?_g=(refreshInterval:(display:Off,section:0,value:0),time:(from:'2017-01-04 15:05:46-700',mode:absolute,to:'2017-01-04 17:51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8" s="49" t="str">
        <f>IF(AA108&lt;IF(AG108="EC",23,5.65),"Y","N")</f>
        <v>N</v>
      </c>
      <c r="X108" s="173">
        <f>VALUE(LEFT(AD108,4))-VALUE(LEFT(AD107,4))</f>
        <v>1</v>
      </c>
      <c r="Y108" s="64">
        <f t="shared" si="10"/>
        <v>23.298500000000001</v>
      </c>
      <c r="Z108" s="64">
        <f t="shared" si="11"/>
        <v>1.6E-2</v>
      </c>
      <c r="AA108" s="64">
        <f>ABS(Z108-Y108)</f>
        <v>23.282500000000002</v>
      </c>
      <c r="AB108" s="61" t="e">
        <f>VLOOKUP(A108,Enforcements!$C$7:$K$19,8,0)</f>
        <v>#N/A</v>
      </c>
      <c r="AC108" s="57" t="e">
        <f>VLOOKUP(A108,Enforcements!$C$7:$E$19,3,0)</f>
        <v>#N/A</v>
      </c>
      <c r="AD108" s="58" t="str">
        <f>IF(LEN(A108)=6,"0"&amp;A108,A108)</f>
        <v>0194-04</v>
      </c>
      <c r="AE108" s="8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 &amp; 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</v>
      </c>
      <c r="AF108" s="84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/stypes="app*4010*20170104*" /stext=" 23:.+((SYSTEM_STATE.+slice.+state.+changed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88" t="str">
        <f t="shared" si="12"/>
        <v>"%USERPROFILE%\Documents\GitHub\eaglep3\Utilities\RefineRTDCRunTimes.py" --tripid 194-04 --locoid 4010 --swversion DE.1.0.8.0 --startMP 204:232985 --initTime 2017-01-04T16:05:46 --startdatetime 2017-01-04T16:11:25 --delay 2 --endMP 204:160 --enddatetime 2017-01-04T16:51:12 --enforcementcount 0 &gt;&gt;C:\Users\stu\Documents\GitHub\eaglep3-reporting\EC\2017-01-04-refined-times.txt</v>
      </c>
      <c r="AI108" s="115" t="str">
        <f t="shared" si="13"/>
        <v>echo {"issue":{"subject":"No evidence of penalty found","project_id":79,"tracker_id":40,"status_id":1,"priority_id":2,"assigned_to_id":23,"start_date":"2017-01-04","description":"","custom_fields":[{"id":1,"name":"Subdivision","value":"EC"},{"id":4,"name":"Milepost","value":"0.016"},{"id":17,"name":"Train ID","value":"194-04"},{"id":16,"name":"Locomotive ID","value":"4010"},{"id":130,"name":"Impact","value":""},{"id":150,"name":"Time of Event (Mountain Time)","value":"16:51:12"},{"id":151,"name":"Denver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14"/>
        <v>start /low /b %USERPROFILE%\Documents\GitHub\eaglep3\Utilities\DownloadLogsFromS3.py --loco 4010 --day 2017-01-04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606</v>
      </c>
      <c r="B109" s="7">
        <v>4022</v>
      </c>
      <c r="C109" s="22" t="s">
        <v>203</v>
      </c>
      <c r="D109" s="22" t="s">
        <v>246</v>
      </c>
      <c r="E109" s="13">
        <v>42739.64267361111</v>
      </c>
      <c r="F109" s="13">
        <v>42739.646053240744</v>
      </c>
      <c r="G109" s="7">
        <v>1</v>
      </c>
      <c r="H109" s="22" t="s">
        <v>711</v>
      </c>
      <c r="I109" s="13">
        <v>42739.673055555555</v>
      </c>
      <c r="J109" s="7">
        <v>0</v>
      </c>
      <c r="K109" s="105" t="str">
        <f>IF(ISEVEN(B109),(B109-1)&amp;"/"&amp;B109,B109&amp;"/"&amp;(B109+1))</f>
        <v>4021/4022</v>
      </c>
      <c r="L109" s="22" t="str">
        <f>VLOOKUP(A109,'Trips&amp;Operators'!$C$1:$G$99999,5,FALSE)</f>
        <v>CRAYTON QUNTRELL</v>
      </c>
      <c r="M109" s="6">
        <f>I109-F109</f>
        <v>2.700231481139781E-2</v>
      </c>
      <c r="N109" s="7">
        <f>24*60*SUM($M109:$M109)</f>
        <v>38.883333328412846</v>
      </c>
      <c r="O109" s="7"/>
      <c r="P109" s="7"/>
      <c r="Q109" s="23"/>
      <c r="R109" s="23"/>
      <c r="S109" s="32">
        <f>SUM(U109:U109)/IF(AG109="EC",12,1)</f>
        <v>1</v>
      </c>
      <c r="T109" s="47" t="str">
        <f>IF(ISEVEN(LEFT(AD109,4)),"Southbound","NorthBound")</f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hh:mm:ss")&amp;utc_offset&amp;"00',mode:absolute,to:'"&amp;TEXT(I109+1/24,"yyyy-MM-DD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https://search-rtdc-monitor-bjffxe2xuh6vdkpspy63sjmuny.us-east-1.es.amazonaws.com/_plugin/kibana/#/discover/Steve-Slow-Train-Analysis-(2080s-and-2083s)?_g=(refreshInterval:(display:Off,section:0,value:0),time:(from:'2017-01-04 14:25:27-700',mode:absolute,to:'2017-01-04 17:09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9" s="49" t="str">
        <f>IF(AA109&lt;IF(AG109="EC",23,5.65),"Y","N")</f>
        <v>N</v>
      </c>
      <c r="X109" s="173">
        <f>VALUE(LEFT(AD109,4))-VALUE(LEFT(AD108,4))</f>
        <v>1</v>
      </c>
      <c r="Y109" s="64">
        <f t="shared" si="10"/>
        <v>4.53E-2</v>
      </c>
      <c r="Z109" s="64">
        <f t="shared" si="11"/>
        <v>23.3291</v>
      </c>
      <c r="AA109" s="64">
        <f>ABS(Z109-Y109)</f>
        <v>23.283799999999999</v>
      </c>
      <c r="AB109" s="61" t="e">
        <f>VLOOKUP(A109,Enforcements!$C$7:$K$19,8,0)</f>
        <v>#N/A</v>
      </c>
      <c r="AC109" s="57" t="e">
        <f>VLOOKUP(A109,Enforcements!$C$7:$E$19,3,0)</f>
        <v>#N/A</v>
      </c>
      <c r="AD109" s="58" t="str">
        <f>IF(LEN(A109)=6,"0"&amp;A109,A109)</f>
        <v>0195-04</v>
      </c>
      <c r="AE109" s="8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 &amp; 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</v>
      </c>
      <c r="AF109" s="84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/stypes="app*4022*20170104*" /stext=" 23:.+((SYSTEM_STATE.+slice.+state.+changed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88" t="str">
        <f t="shared" si="12"/>
        <v>"%USERPROFILE%\Documents\GitHub\eaglep3\Utilities\RefineRTDCRunTimes.py" --tripid 195-04 --locoid 4022 --swversion DE.1.0.8.0 --startMP 204:453 --initTime 2017-01-04T15:25:27 --startdatetime 2017-01-04T15:30:19 --delay 1 --endMP 204:233291 --enddatetime 2017-01-04T16:09:12 --enforcementcount 0 &gt;&gt;C:\Users\stu\Documents\GitHub\eaglep3-reporting\EC\2017-01-04-refined-times.txt</v>
      </c>
      <c r="AI109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{"issue":{"subject":"","project_id":79,"tracker_id":40,"status_id":1,"priority_id":2,"assigned_to_id":23,"start_date":"2017-01-04","description":"","custom_fields":[{"id":1,"name":"Subdivision","value":"EC"},{"id":4,"name":"Milepost","value":"23.3291"},{"id":17,"name":"Train ID","value":"195-04"},{"id":16,"name":"Locomotive ID","value":"4022"},{"id":130,"name":"Impact","value":""},{"id":150,"name":"Time of Event (Mountain Time)","value":"16:09:12"},{"id":151,"name":"Denver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14"/>
        <v>start /low /b %USERPROFILE%\Documents\GitHub\eaglep3\Utilities\DownloadLogsFromS3.py --loco 4022 --day 2017-01-04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616</v>
      </c>
      <c r="B110" s="7">
        <v>4021</v>
      </c>
      <c r="C110" s="22" t="s">
        <v>203</v>
      </c>
      <c r="D110" s="22" t="s">
        <v>348</v>
      </c>
      <c r="E110" s="13">
        <v>42739.678877314815</v>
      </c>
      <c r="F110" s="13">
        <v>42739.685127314813</v>
      </c>
      <c r="G110" s="7">
        <v>2</v>
      </c>
      <c r="H110" s="22" t="s">
        <v>422</v>
      </c>
      <c r="I110" s="13">
        <v>42739.714131944442</v>
      </c>
      <c r="J110" s="7">
        <v>0</v>
      </c>
      <c r="K110" s="105" t="str">
        <f>IF(ISEVEN(B110),(B110-1)&amp;"/"&amp;B110,B110&amp;"/"&amp;(B110+1))</f>
        <v>4021/4022</v>
      </c>
      <c r="L110" s="22" t="str">
        <f>VLOOKUP(A110,'Trips&amp;Operators'!$C$1:$G$99999,5,FALSE)</f>
        <v>CRAYTON QUNTRELL</v>
      </c>
      <c r="M110" s="6">
        <f>I110-F110</f>
        <v>2.9004629628616385E-2</v>
      </c>
      <c r="N110" s="7">
        <f>24*60*SUM($M110:$M110)</f>
        <v>41.766666665207595</v>
      </c>
      <c r="O110" s="7"/>
      <c r="P110" s="7"/>
      <c r="Q110" s="23"/>
      <c r="R110" s="23"/>
      <c r="S110" s="32">
        <f>SUM(U110:U110)/IF(AG110="EC",12,1)</f>
        <v>1</v>
      </c>
      <c r="T110" s="47" t="str">
        <f>IF(ISEVEN(LEFT(AD110,4)),"Southbound","NorthBound")</f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hh:mm:ss")&amp;utc_offset&amp;"00',mode:absolute,to:'"&amp;TEXT(I110+1/24,"yyyy-MM-DD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https://search-rtdc-monitor-bjffxe2xuh6vdkpspy63sjmuny.us-east-1.es.amazonaws.com/_plugin/kibana/#/discover/Steve-Slow-Train-Analysis-(2080s-and-2083s)?_g=(refreshInterval:(display:Off,section:0,value:0),time:(from:'2017-01-04 15:17:35-700',mode:absolute,to:'2017-01-04 18:08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0" s="49" t="str">
        <f>IF(AA110&lt;IF(AG110="EC",23,5.65),"Y","N")</f>
        <v>N</v>
      </c>
      <c r="X110" s="173">
        <f>VALUE(LEFT(AD110,4))-VALUE(LEFT(AD109,4))</f>
        <v>1</v>
      </c>
      <c r="Y110" s="64">
        <f t="shared" si="10"/>
        <v>23.296500000000002</v>
      </c>
      <c r="Z110" s="64">
        <f t="shared" si="11"/>
        <v>1.6899999999999998E-2</v>
      </c>
      <c r="AA110" s="64">
        <f>ABS(Z110-Y110)</f>
        <v>23.279600000000002</v>
      </c>
      <c r="AB110" s="61" t="e">
        <f>VLOOKUP(A110,Enforcements!$C$7:$K$19,8,0)</f>
        <v>#N/A</v>
      </c>
      <c r="AC110" s="57" t="e">
        <f>VLOOKUP(A110,Enforcements!$C$7:$E$19,3,0)</f>
        <v>#N/A</v>
      </c>
      <c r="AD110" s="58" t="str">
        <f>IF(LEN(A110)=6,"0"&amp;A110,A110)</f>
        <v>0196-04</v>
      </c>
      <c r="AE110" s="8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s3://rtdc.mdm.uploadarchive.raw/RTDC4021/ "%USERPROFILE%\AppData\Local\Temp\OnboardLogs"\RTDC4021\2017-01-04 --exclude "*" --recursive --include "*20170104*" &amp; "%USERPROFILE%\Documents\GitHub\mrs-test-scripts\Headless Mode &amp; Sideloading\WalkAndUnGZ.bat" "%USERPROFILE%\AppData\Local\Temp\OnboardLogs"\RTDC4021\2017-01-04 &amp; 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</v>
      </c>
      <c r="AF110" s="84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/stypes="app*4021*20170105*" /stext=" 00:.+((SYSTEM_STATE.+slice.+state.+changed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88" t="str">
        <f t="shared" si="12"/>
        <v>"%USERPROFILE%\Documents\GitHub\eaglep3\Utilities\RefineRTDCRunTimes.py" --tripid 196-04 --locoid 4021 --swversion DE.1.0.8.0 --startMP 204:232965 --initTime 2017-01-04T16:17:35 --startdatetime 2017-01-04T16:26:35 --delay 2 --endMP 204:169 --enddatetime 2017-01-04T17:08:21 --enforcementcount 0 &gt;&gt;C:\Users\stu\Documents\GitHub\eaglep3-reporting\EC\2017-01-04-refined-times.txt</v>
      </c>
      <c r="AI110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{"issue":{"subject":"","project_id":79,"tracker_id":40,"status_id":1,"priority_id":2,"assigned_to_id":23,"start_date":"2017-01-04","description":"","custom_fields":[{"id":1,"name":"Subdivision","value":"EC"},{"id":4,"name":"Milepost","value":"0.0169"},{"id":17,"name":"Train ID","value":"196-04"},{"id":16,"name":"Locomotive ID","value":"4021"},{"id":130,"name":"Impact","value":""},{"id":150,"name":"Time of Event (Mountain Time)","value":"17:08:21"},{"id":151,"name":"Denver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14"/>
        <v>start /low /b %USERPROFILE%\Documents\GitHub\eaglep3\Utilities\DownloadLogsFromS3.py --loco 4021 --day 2017-01-04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459</v>
      </c>
      <c r="B111" s="7">
        <v>4003</v>
      </c>
      <c r="C111" s="22" t="s">
        <v>203</v>
      </c>
      <c r="D111" s="22" t="s">
        <v>733</v>
      </c>
      <c r="E111" s="13">
        <v>42739.653020833335</v>
      </c>
      <c r="F111" s="13">
        <v>42739.656643518516</v>
      </c>
      <c r="G111" s="7">
        <v>2</v>
      </c>
      <c r="H111" s="22" t="s">
        <v>734</v>
      </c>
      <c r="I111" s="13">
        <v>42739.681585648148</v>
      </c>
      <c r="J111" s="7">
        <v>0</v>
      </c>
      <c r="K111" s="105" t="str">
        <f>IF(ISEVEN(B111),(B111-1)&amp;"/"&amp;B111,B111&amp;"/"&amp;(B111+1))</f>
        <v>4003/4004</v>
      </c>
      <c r="L111" s="22" t="str">
        <f>VLOOKUP(A111,'Trips&amp;Operators'!$C$1:$G$99999,5,FALSE)</f>
        <v>LEVIN SCOTT</v>
      </c>
      <c r="M111" s="6">
        <f>I111-F111</f>
        <v>2.4942129632108845E-2</v>
      </c>
      <c r="N111" s="7">
        <f>24*60*SUM($M111:$M111)</f>
        <v>35.916666670236737</v>
      </c>
      <c r="O111" s="7"/>
      <c r="P111" s="7"/>
      <c r="Q111" s="23"/>
      <c r="R111" s="23"/>
      <c r="S111" s="32">
        <f>SUM(U111:U111)/IF(AG111="EC",12,1)</f>
        <v>1</v>
      </c>
      <c r="T111" s="47" t="str">
        <f>IF(ISEVEN(LEFT(AD111,4)),"Southbound","NorthBound")</f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hh:mm:ss")&amp;utc_offset&amp;"00',mode:absolute,to:'"&amp;TEXT(I111+1/24,"yyyy-MM-DD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https://search-rtdc-monitor-bjffxe2xuh6vdkpspy63sjmuny.us-east-1.es.amazonaws.com/_plugin/kibana/#/discover/Steve-Slow-Train-Analysis-(2080s-and-2083s)?_g=(refreshInterval:(display:Off,section:0,value:0),time:(from:'2017-01-04 14:40:21-700',mode:absolute,to:'2017-01-04 17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1" s="49" t="str">
        <f>IF(AA111&lt;IF(AG111="EC",23,5.65),"Y","N")</f>
        <v>N</v>
      </c>
      <c r="X111" s="173">
        <f>VALUE(LEFT(AD111,4))-VALUE(LEFT(AD110,4))</f>
        <v>1</v>
      </c>
      <c r="Y111" s="64">
        <f t="shared" si="10"/>
        <v>4.3499999999999997E-2</v>
      </c>
      <c r="Z111" s="64">
        <f t="shared" si="11"/>
        <v>23.334399999999999</v>
      </c>
      <c r="AA111" s="64">
        <f>ABS(Z111-Y111)</f>
        <v>23.290899999999997</v>
      </c>
      <c r="AB111" s="61" t="str">
        <f>VLOOKUP(A111,Enforcements!$C$7:$K$19,8,0)</f>
        <v>Signal based authority (5)</v>
      </c>
      <c r="AC111" s="57" t="str">
        <f>VLOOKUP(A111,Enforcements!$C$7:$E$19,3,0)</f>
        <v>SIGNAL</v>
      </c>
      <c r="AD111" s="58" t="str">
        <f>IF(LEN(A111)=6,"0"&amp;A111,A111)</f>
        <v>0197-04</v>
      </c>
      <c r="AE111" s="8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s3://rtdc.mdm.uploadarchive.raw/RTDC4003/ "%USERPROFILE%\AppData\Local\Temp\OnboardLogs"\RTDC4003\2017-01-04 --exclude "*" --recursive --include "*20170104*" &amp; "%USERPROFILE%\Documents\GitHub\mrs-test-scripts\Headless Mode &amp; Sideloading\WalkAndUnGZ.bat" "%USERPROFILE%\AppData\Local\Temp\OnboardLogs"\RTDC4003\2017-01-04 &amp; 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</v>
      </c>
      <c r="AF111" s="84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/stypes="app*4003*20170104*" /stext=" 23:.+((SYSTEM_STATE.+slice.+state.+changed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88" t="str">
        <f t="shared" si="12"/>
        <v>"%USERPROFILE%\Documents\GitHub\eaglep3\Utilities\RefineRTDCRunTimes.py" --tripid 197-04 --locoid 4003 --swversion DE.1.0.8.0 --startMP 204:435 --initTime 2017-01-04T15:40:21 --startdatetime 2017-01-04T15:45:34 --delay 2 --endMP 204:233344 --enddatetime 2017-01-04T16:21:29 --enforcementcount 0 &gt;&gt;C:\Users\stu\Documents\GitHub\eaglep3-reporting\EC\2017-01-04-refined-times.txt</v>
      </c>
      <c r="AI111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{"issue":{"subject":"","project_id":79,"tracker_id":40,"status_id":1,"priority_id":2,"assigned_to_id":23,"start_date":"2017-01-04","description":"","custom_fields":[{"id":1,"name":"Subdivision","value":"EC"},{"id":4,"name":"Milepost","value":"23.3344"},{"id":17,"name":"Train ID","value":"197-04"},{"id":16,"name":"Locomotive ID","value":"4003"},{"id":130,"name":"Impact","value":""},{"id":150,"name":"Time of Event (Mountain Time)","value":"16:21:29"},{"id":151,"name":"Denver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14"/>
        <v>start /low /b %USERPROFILE%\Documents\GitHub\eaglep3\Utilities\DownloadLogsFromS3.py --loco 4003 --day 2017-01-04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x14ac:dyDescent="0.25">
      <c r="A112" s="34" t="s">
        <v>461</v>
      </c>
      <c r="B112" s="7">
        <v>4004</v>
      </c>
      <c r="C112" s="22" t="s">
        <v>203</v>
      </c>
      <c r="D112" s="22" t="s">
        <v>735</v>
      </c>
      <c r="E112" s="13">
        <v>42739.690092592595</v>
      </c>
      <c r="F112" s="13">
        <v>42739.695486111108</v>
      </c>
      <c r="G112" s="7">
        <v>2</v>
      </c>
      <c r="H112" s="22" t="s">
        <v>411</v>
      </c>
      <c r="I112" s="13">
        <v>42739.72556712963</v>
      </c>
      <c r="J112" s="7">
        <v>0</v>
      </c>
      <c r="K112" s="105" t="str">
        <f>IF(ISEVEN(B112),(B112-1)&amp;"/"&amp;B112,B112&amp;"/"&amp;(B112+1))</f>
        <v>4003/4004</v>
      </c>
      <c r="L112" s="22" t="str">
        <f>VLOOKUP(A112,'Trips&amp;Operators'!$C$1:$G$99999,5,FALSE)</f>
        <v>LEVIN SCOTT</v>
      </c>
      <c r="M112" s="6">
        <f>I112-F112</f>
        <v>3.0081018521741498E-2</v>
      </c>
      <c r="N112" s="7">
        <f>24*60*SUM($M112:$M112)</f>
        <v>43.316666671307757</v>
      </c>
      <c r="O112" s="7"/>
      <c r="P112" s="7"/>
      <c r="Q112" s="23"/>
      <c r="R112" s="23"/>
      <c r="S112" s="32">
        <f>SUM(U112:U112)/IF(AG112="EC",12,1)</f>
        <v>1</v>
      </c>
      <c r="T112" s="47" t="str">
        <f>IF(ISEVEN(LEFT(AD112,4)),"Southbound","NorthBound")</f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hh:mm:ss")&amp;utc_offset&amp;"00',mode:absolute,to:'"&amp;TEXT(I112+1/24,"yyyy-MM-DD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https://search-rtdc-monitor-bjffxe2xuh6vdkpspy63sjmuny.us-east-1.es.amazonaws.com/_plugin/kibana/#/discover/Steve-Slow-Train-Analysis-(2080s-and-2083s)?_g=(refreshInterval:(display:Off,section:0,value:0),time:(from:'2017-01-04 15:33:44-700',mode:absolute,to:'2017-01-04 18:24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2" s="49" t="str">
        <f>IF(AA112&lt;IF(AG112="EC",23,5.65),"Y","N")</f>
        <v>N</v>
      </c>
      <c r="X112" s="173">
        <f>VALUE(LEFT(AD112,4))-VALUE(LEFT(AD111,4))</f>
        <v>1</v>
      </c>
      <c r="Y112" s="64">
        <f t="shared" si="10"/>
        <v>23.302299999999999</v>
      </c>
      <c r="Z112" s="64">
        <f t="shared" si="11"/>
        <v>1.34E-2</v>
      </c>
      <c r="AA112" s="64">
        <f>ABS(Z112-Y112)</f>
        <v>23.288899999999998</v>
      </c>
      <c r="AB112" s="61" t="str">
        <f>VLOOKUP(A112,Enforcements!$C$7:$K$19,8,0)</f>
        <v>Bulletin (2)</v>
      </c>
      <c r="AC112" s="57" t="str">
        <f>VLOOKUP(A112,Enforcements!$C$7:$E$19,3,0)</f>
        <v>GRADE CROSSING</v>
      </c>
      <c r="AD112" s="58" t="str">
        <f>IF(LEN(A112)=6,"0"&amp;A112,A112)</f>
        <v>0198-04</v>
      </c>
      <c r="AE112" s="8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 &amp; 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</v>
      </c>
      <c r="AF112" s="84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/stypes="app*4004*20170105*" /stext=" 00:.+((SYSTEM_STATE.+slice.+state.+changed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88" t="str">
        <f t="shared" si="12"/>
        <v>"%USERPROFILE%\Documents\GitHub\eaglep3\Utilities\RefineRTDCRunTimes.py" --tripid 198-04 --locoid 4004 --swversion DE.1.0.8.0 --startMP 204:233023 --initTime 2017-01-04T16:33:44 --startdatetime 2017-01-04T16:41:30 --delay 2 --endMP 204:134 --enddatetime 2017-01-04T17:24:49 --enforcementcount 0 &gt;&gt;C:\Users\stu\Documents\GitHub\eaglep3-reporting\EC\2017-01-04-refined-times.txt</v>
      </c>
      <c r="AI112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{"issue":{"subject":"","project_id":79,"tracker_id":40,"status_id":1,"priority_id":2,"assigned_to_id":23,"start_date":"2017-01-04","description":"","custom_fields":[{"id":1,"name":"Subdivision","value":"EC"},{"id":4,"name":"Milepost","value":"0.0134"},{"id":17,"name":"Train ID","value":"198-04"},{"id":16,"name":"Locomotive ID","value":"4004"},{"id":130,"name":"Impact","value":""},{"id":150,"name":"Time of Event (Mountain Time)","value":"17:24:49"},{"id":151,"name":"Denver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14"/>
        <v>start /low /b %USERPROFILE%\Documents\GitHub\eaglep3\Utilities\DownloadLogsFromS3.py --loco 4004 --day 2017-01-04</v>
      </c>
    </row>
    <row r="113" spans="1:91" s="21" customFormat="1" x14ac:dyDescent="0.25">
      <c r="A113" s="34" t="s">
        <v>611</v>
      </c>
      <c r="B113" s="7">
        <v>4044</v>
      </c>
      <c r="C113" s="22" t="s">
        <v>203</v>
      </c>
      <c r="D113" s="22" t="s">
        <v>736</v>
      </c>
      <c r="E113" s="13">
        <v>42739.663101851853</v>
      </c>
      <c r="F113" s="13">
        <v>42739.666817129626</v>
      </c>
      <c r="G113" s="7">
        <v>1</v>
      </c>
      <c r="H113" s="22" t="s">
        <v>327</v>
      </c>
      <c r="I113" s="13">
        <v>42739.692395833335</v>
      </c>
      <c r="J113" s="7">
        <v>0</v>
      </c>
      <c r="K113" s="105" t="str">
        <f>IF(ISEVEN(B113),(B113-1)&amp;"/"&amp;B113,B113&amp;"/"&amp;(B113+1))</f>
        <v>4043/4044</v>
      </c>
      <c r="L113" s="22" t="str">
        <f>VLOOKUP(A113,'Trips&amp;Operators'!$C$1:$G$99999,5,FALSE)</f>
        <v>BRANNON JEFFREY</v>
      </c>
      <c r="M113" s="6">
        <f>I113-F113</f>
        <v>2.5578703709470574E-2</v>
      </c>
      <c r="N113" s="7">
        <f>24*60*SUM($M113:$M113)</f>
        <v>36.833333341637626</v>
      </c>
      <c r="O113" s="7"/>
      <c r="P113" s="7"/>
      <c r="Q113" s="23"/>
      <c r="R113" s="23"/>
      <c r="S113" s="32">
        <f>SUM(U113:U113)/IF(AG113="EC",12,1)</f>
        <v>1</v>
      </c>
      <c r="T113" s="47" t="str">
        <f>IF(ISEVEN(LEFT(AD113,4)),"Southbound","NorthBound")</f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hh:mm:ss")&amp;utc_offset&amp;"00',mode:absolute,to:'"&amp;TEXT(I113+1/24,"yyyy-MM-DD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https://search-rtdc-monitor-bjffxe2xuh6vdkpspy63sjmuny.us-east-1.es.amazonaws.com/_plugin/kibana/#/discover/Steve-Slow-Train-Analysis-(2080s-and-2083s)?_g=(refreshInterval:(display:Off,section:0,value:0),time:(from:'2017-01-04 14:54:52-700',mode:absolute,to:'2017-01-04 17:37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3" s="49" t="str">
        <f>IF(AA113&lt;IF(AG113="EC",23,5.65),"Y","N")</f>
        <v>N</v>
      </c>
      <c r="X113" s="173">
        <f>VALUE(LEFT(AD113,4))-VALUE(LEFT(AD112,4))</f>
        <v>1</v>
      </c>
      <c r="Y113" s="64">
        <f t="shared" si="10"/>
        <v>4.8000000000000001E-2</v>
      </c>
      <c r="Z113" s="64">
        <f t="shared" si="11"/>
        <v>23.330500000000001</v>
      </c>
      <c r="AA113" s="64">
        <f>ABS(Z113-Y113)</f>
        <v>23.282500000000002</v>
      </c>
      <c r="AB113" s="61" t="e">
        <f>VLOOKUP(A113,Enforcements!$C$7:$K$19,8,0)</f>
        <v>#N/A</v>
      </c>
      <c r="AC113" s="57" t="e">
        <f>VLOOKUP(A113,Enforcements!$C$7:$E$19,3,0)</f>
        <v>#N/A</v>
      </c>
      <c r="AD113" s="58" t="str">
        <f>IF(LEN(A113)=6,"0"&amp;A113,A113)</f>
        <v>0199-04</v>
      </c>
      <c r="AE113" s="8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AF113" s="84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/stypes="app*4044*20170104*" /stext=" 23:.+((SYSTEM_STATE.+slice.+state.+changed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88" t="str">
        <f t="shared" si="12"/>
        <v>"%USERPROFILE%\Documents\GitHub\eaglep3\Utilities\RefineRTDCRunTimes.py" --tripid 199-04 --locoid 4044 --swversion DE.1.0.8.0 --startMP 204:480 --initTime 2017-01-04T15:54:52 --startdatetime 2017-01-04T16:00:13 --delay 1 --endMP 204:233305 --enddatetime 2017-01-04T16:37:03 --enforcementcount 0 &gt;&gt;C:\Users\stu\Documents\GitHub\eaglep3-reporting\EC\2017-01-04-refined-times.txt</v>
      </c>
      <c r="AI113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{"issue":{"subject":"","project_id":79,"tracker_id":40,"status_id":1,"priority_id":2,"assigned_to_id":23,"start_date":"2017-01-04","description":"","custom_fields":[{"id":1,"name":"Subdivision","value":"EC"},{"id":4,"name":"Milepost","value":"23.3305"},{"id":17,"name":"Train ID","value":"199-04"},{"id":16,"name":"Locomotive ID","value":"4044"},{"id":130,"name":"Impact","value":""},{"id":150,"name":"Time of Event (Mountain Time)","value":"16:37:03"},{"id":151,"name":"Denver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14"/>
        <v>start /low /b %USERPROFILE%\Documents\GitHub\eaglep3\Utilities\DownloadLogsFromS3.py --loco 4044 --day 2017-01-04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618</v>
      </c>
      <c r="B114" s="7">
        <v>4043</v>
      </c>
      <c r="C114" s="22" t="s">
        <v>203</v>
      </c>
      <c r="D114" s="22" t="s">
        <v>369</v>
      </c>
      <c r="E114" s="13">
        <v>42739.69363425926</v>
      </c>
      <c r="F114" s="13">
        <v>42739.705717592595</v>
      </c>
      <c r="G114" s="7">
        <v>1</v>
      </c>
      <c r="H114" s="22" t="s">
        <v>302</v>
      </c>
      <c r="I114" s="13">
        <v>42739.735486111109</v>
      </c>
      <c r="J114" s="7">
        <v>0</v>
      </c>
      <c r="K114" s="105" t="str">
        <f>IF(ISEVEN(B114),(B114-1)&amp;"/"&amp;B114,B114&amp;"/"&amp;(B114+1))</f>
        <v>4043/4044</v>
      </c>
      <c r="L114" s="22" t="str">
        <f>VLOOKUP(A114,'Trips&amp;Operators'!$C$1:$G$99999,5,FALSE)</f>
        <v>BRANNON JEFFREY</v>
      </c>
      <c r="M114" s="6">
        <f>I114-F114</f>
        <v>2.9768518514174502E-2</v>
      </c>
      <c r="N114" s="7">
        <f>24*60*SUM($M114:$M114)</f>
        <v>42.866666660411283</v>
      </c>
      <c r="O114" s="7"/>
      <c r="P114" s="7"/>
      <c r="Q114" s="23"/>
      <c r="R114" s="23"/>
      <c r="S114" s="32">
        <f>SUM(U114:U114)/IF(AG114="EC",12,1)</f>
        <v>1</v>
      </c>
      <c r="T114" s="47" t="str">
        <f>IF(ISEVEN(LEFT(AD114,4)),"Southbound","NorthBound")</f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hh:mm:ss")&amp;utc_offset&amp;"00',mode:absolute,to:'"&amp;TEXT(I114+1/24,"yyyy-MM-DD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https://search-rtdc-monitor-bjffxe2xuh6vdkpspy63sjmuny.us-east-1.es.amazonaws.com/_plugin/kibana/#/discover/Steve-Slow-Train-Analysis-(2080s-and-2083s)?_g=(refreshInterval:(display:Off,section:0,value:0),time:(from:'2017-01-04 15:38:50-700',mode:absolute,to:'2017-01-04 18:39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4" s="49" t="str">
        <f>IF(AA114&lt;IF(AG114="EC",23,5.65),"Y","N")</f>
        <v>N</v>
      </c>
      <c r="X114" s="173">
        <f>VALUE(LEFT(AD114,4))-VALUE(LEFT(AD113,4))</f>
        <v>1</v>
      </c>
      <c r="Y114" s="64">
        <f t="shared" si="10"/>
        <v>23.299199999999999</v>
      </c>
      <c r="Z114" s="64">
        <f t="shared" si="11"/>
        <v>1.5599999999999999E-2</v>
      </c>
      <c r="AA114" s="64">
        <f>ABS(Z114-Y114)</f>
        <v>23.2836</v>
      </c>
      <c r="AB114" s="61" t="e">
        <f>VLOOKUP(A114,Enforcements!$C$7:$K$19,8,0)</f>
        <v>#N/A</v>
      </c>
      <c r="AC114" s="57" t="e">
        <f>VLOOKUP(A114,Enforcements!$C$7:$E$19,3,0)</f>
        <v>#N/A</v>
      </c>
      <c r="AD114" s="58" t="str">
        <f>IF(LEN(A114)=6,"0"&amp;A114,A114)</f>
        <v>0200-04</v>
      </c>
      <c r="AE114" s="8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s3://rtdc.mdm.uploadarchive.raw/RTDC4043/ "%USERPROFILE%\AppData\Local\Temp\OnboardLogs"\RTDC4043\2017-01-04 --exclude "*" --recursive --include "*20170104*" &amp; "%USERPROFILE%\Documents\GitHub\mrs-test-scripts\Headless Mode &amp; Sideloading\WalkAndUnGZ.bat" "%USERPROFILE%\AppData\Local\Temp\OnboardLogs"\RTDC4043\2017-01-04 &amp; 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</v>
      </c>
      <c r="AF114" s="84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/stypes="app*4043*20170105*" /stext=" 00:.+((SYSTEM_STATE.+slice.+state.+changed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88" t="str">
        <f t="shared" si="12"/>
        <v>"%USERPROFILE%\Documents\GitHub\eaglep3\Utilities\RefineRTDCRunTimes.py" --tripid 200-04 --locoid 4043 --swversion DE.1.0.8.0 --startMP 204:232992 --initTime 2017-01-04T16:38:50 --startdatetime 2017-01-04T16:56:14 --delay 1 --endMP 204:156 --enddatetime 2017-01-04T17:39:06 --enforcementcount 0 &gt;&gt;C:\Users\stu\Documents\GitHub\eaglep3-reporting\EC\2017-01-04-refined-times.txt</v>
      </c>
      <c r="AI114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{"issue":{"subject":"","project_id":79,"tracker_id":40,"status_id":1,"priority_id":2,"assigned_to_id":23,"start_date":"2017-01-04","description":"","custom_fields":[{"id":1,"name":"Subdivision","value":"EC"},{"id":4,"name":"Milepost","value":"0.0156"},{"id":17,"name":"Train ID","value":"200-04"},{"id":16,"name":"Locomotive ID","value":"4043"},{"id":130,"name":"Impact","value":""},{"id":150,"name":"Time of Event (Mountain Time)","value":"17:39:06"},{"id":151,"name":"Denver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14"/>
        <v>start /low /b %USERPROFILE%\Documents\GitHub\eaglep3\Utilities\DownloadLogsFromS3.py --loco 4043 --day 2017-01-04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614</v>
      </c>
      <c r="B115" s="7">
        <v>4042</v>
      </c>
      <c r="C115" s="22" t="s">
        <v>203</v>
      </c>
      <c r="D115" s="22" t="s">
        <v>372</v>
      </c>
      <c r="E115" s="13">
        <v>42739.675324074073</v>
      </c>
      <c r="F115" s="13">
        <v>42739.677719907406</v>
      </c>
      <c r="G115" s="7">
        <v>1</v>
      </c>
      <c r="H115" s="22" t="s">
        <v>260</v>
      </c>
      <c r="I115" s="13">
        <v>42739.705069444448</v>
      </c>
      <c r="J115" s="7">
        <v>0</v>
      </c>
      <c r="K115" s="105" t="str">
        <f>IF(ISEVEN(B115),(B115-1)&amp;"/"&amp;B115,B115&amp;"/"&amp;(B115+1))</f>
        <v>4041/4042</v>
      </c>
      <c r="L115" s="22" t="str">
        <f>VLOOKUP(A115,'Trips&amp;Operators'!$C$1:$G$99999,5,FALSE)</f>
        <v>CLARK KATHLEEN</v>
      </c>
      <c r="M115" s="6">
        <f>I115-F115</f>
        <v>2.7349537042027805E-2</v>
      </c>
      <c r="N115" s="7">
        <f>24*60*SUM($M115:$M115)</f>
        <v>39.383333340520039</v>
      </c>
      <c r="O115" s="7"/>
      <c r="P115" s="7"/>
      <c r="Q115" s="23"/>
      <c r="R115" s="23"/>
      <c r="S115" s="32">
        <f>SUM(U115:U115)/IF(AG115="EC",12,1)</f>
        <v>1</v>
      </c>
      <c r="T115" s="47" t="str">
        <f>IF(ISEVEN(LEFT(AD115,4)),"Southbound","NorthBound")</f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hh:mm:ss")&amp;utc_offset&amp;"00',mode:absolute,to:'"&amp;TEXT(I115+1/24,"yyyy-MM-DD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https://search-rtdc-monitor-bjffxe2xuh6vdkpspy63sjmuny.us-east-1.es.amazonaws.com/_plugin/kibana/#/discover/Steve-Slow-Train-Analysis-(2080s-and-2083s)?_g=(refreshInterval:(display:Off,section:0,value:0),time:(from:'2017-01-04 15:12:28-700',mode:absolute,to:'2017-01-04 17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5" s="49" t="str">
        <f>IF(AA115&lt;IF(AG115="EC",23,5.65),"Y","N")</f>
        <v>N</v>
      </c>
      <c r="X115" s="173">
        <f>VALUE(LEFT(AD115,4))-VALUE(LEFT(AD114,4))</f>
        <v>1</v>
      </c>
      <c r="Y115" s="64">
        <f t="shared" si="10"/>
        <v>4.58E-2</v>
      </c>
      <c r="Z115" s="64">
        <f t="shared" si="11"/>
        <v>23.328900000000001</v>
      </c>
      <c r="AA115" s="64">
        <f>ABS(Z115-Y115)</f>
        <v>23.283100000000001</v>
      </c>
      <c r="AB115" s="61" t="e">
        <f>VLOOKUP(A115,Enforcements!$C$7:$K$19,8,0)</f>
        <v>#N/A</v>
      </c>
      <c r="AC115" s="57" t="e">
        <f>VLOOKUP(A115,Enforcements!$C$7:$E$19,3,0)</f>
        <v>#N/A</v>
      </c>
      <c r="AD115" s="58" t="str">
        <f>IF(LEN(A115)=6,"0"&amp;A115,A115)</f>
        <v>0201-04</v>
      </c>
      <c r="AE115" s="8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s3://rtdc.mdm.uploadarchive.raw/RTDC4042/ "%USERPROFILE%\AppData\Local\Temp\OnboardLogs"\RTDC4042\2017-01-04 --exclude "*" --recursive --include "*20170104*" &amp; "%USERPROFILE%\Documents\GitHub\mrs-test-scripts\Headless Mode &amp; Sideloading\WalkAndUnGZ.bat" "%USERPROFILE%\AppData\Local\Temp\OnboardLogs"\RTDC4042\2017-01-04 &amp; 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</v>
      </c>
      <c r="AF115" s="84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/stypes="app*4042*20170104*" /stext=" 23:.+((SYSTEM_STATE.+slice.+state.+changed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88" t="str">
        <f t="shared" si="12"/>
        <v>"%USERPROFILE%\Documents\GitHub\eaglep3\Utilities\RefineRTDCRunTimes.py" --tripid 201-04 --locoid 4042 --swversion DE.1.0.8.0 --startMP 204:458 --initTime 2017-01-04T16:12:28 --startdatetime 2017-01-04T16:15:55 --delay 1 --endMP 204:233289 --enddatetime 2017-01-04T16:55:18 --enforcementcount 0 &gt;&gt;C:\Users\stu\Documents\GitHub\eaglep3-reporting\EC\2017-01-04-refined-times.txt</v>
      </c>
      <c r="AI115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{"issue":{"subject":"","project_id":79,"tracker_id":40,"status_id":1,"priority_id":2,"assigned_to_id":23,"start_date":"2017-01-04","description":"","custom_fields":[{"id":1,"name":"Subdivision","value":"EC"},{"id":4,"name":"Milepost","value":"23.3289"},{"id":17,"name":"Train ID","value":"201-04"},{"id":16,"name":"Locomotive ID","value":"4042"},{"id":130,"name":"Impact","value":""},{"id":150,"name":"Time of Event (Mountain Time)","value":"16:55:18"},{"id":151,"name":"Denver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14"/>
        <v>start /low /b %USERPROFILE%\Documents\GitHub\eaglep3\Utilities\DownloadLogsFromS3.py --loco 4042 --day 2017-01-04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623</v>
      </c>
      <c r="B116" s="7">
        <v>4041</v>
      </c>
      <c r="C116" s="22" t="s">
        <v>203</v>
      </c>
      <c r="D116" s="22" t="s">
        <v>737</v>
      </c>
      <c r="E116" s="13">
        <v>42739.710555555554</v>
      </c>
      <c r="F116" s="13">
        <v>42739.716111111113</v>
      </c>
      <c r="G116" s="7">
        <v>1</v>
      </c>
      <c r="H116" s="22" t="s">
        <v>416</v>
      </c>
      <c r="I116" s="13">
        <v>42739.74664351852</v>
      </c>
      <c r="J116" s="7">
        <v>0</v>
      </c>
      <c r="K116" s="105" t="str">
        <f>IF(ISEVEN(B116),(B116-1)&amp;"/"&amp;B116,B116&amp;"/"&amp;(B116+1))</f>
        <v>4041/4042</v>
      </c>
      <c r="L116" s="22" t="str">
        <f>VLOOKUP(A116,'Trips&amp;Operators'!$C$1:$G$99999,5,FALSE)</f>
        <v>CLARK KATHLEEN</v>
      </c>
      <c r="M116" s="6">
        <f>I116-F116</f>
        <v>3.0532407407008577E-2</v>
      </c>
      <c r="N116" s="7">
        <f>24*60*SUM($M116:$M116)</f>
        <v>43.966666666092351</v>
      </c>
      <c r="O116" s="7"/>
      <c r="P116" s="7"/>
      <c r="Q116" s="23"/>
      <c r="R116" s="23"/>
      <c r="S116" s="32">
        <f>SUM(U116:U116)/IF(AG116="EC",12,1)</f>
        <v>1</v>
      </c>
      <c r="T116" s="47" t="str">
        <f>IF(ISEVEN(LEFT(AD116,4)),"Southbound","NorthBound")</f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hh:mm:ss")&amp;utc_offset&amp;"00',mode:absolute,to:'"&amp;TEXT(I116+1/24,"yyyy-MM-DD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https://search-rtdc-monitor-bjffxe2xuh6vdkpspy63sjmuny.us-east-1.es.amazonaws.com/_plugin/kibana/#/discover/Steve-Slow-Train-Analysis-(2080s-and-2083s)?_g=(refreshInterval:(display:Off,section:0,value:0),time:(from:'2017-01-04 16:03:12-700',mode:absolute,to:'2017-01-04 18:55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6" s="49" t="str">
        <f>IF(AA116&lt;IF(AG116="EC",23,5.65),"Y","N")</f>
        <v>N</v>
      </c>
      <c r="X116" s="173">
        <f>VALUE(LEFT(AD116,4))-VALUE(LEFT(AD115,4))</f>
        <v>1</v>
      </c>
      <c r="Y116" s="64">
        <f t="shared" si="10"/>
        <v>23.296800000000001</v>
      </c>
      <c r="Z116" s="64">
        <f t="shared" si="11"/>
        <v>1.61E-2</v>
      </c>
      <c r="AA116" s="64">
        <f>ABS(Z116-Y116)</f>
        <v>23.2807</v>
      </c>
      <c r="AB116" s="61" t="e">
        <f>VLOOKUP(A116,Enforcements!$C$7:$K$19,8,0)</f>
        <v>#N/A</v>
      </c>
      <c r="AC116" s="57" t="e">
        <f>VLOOKUP(A116,Enforcements!$C$7:$E$19,3,0)</f>
        <v>#N/A</v>
      </c>
      <c r="AD116" s="58" t="str">
        <f>IF(LEN(A116)=6,"0"&amp;A116,A116)</f>
        <v>0202-04</v>
      </c>
      <c r="AE116" s="8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 &amp; 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</v>
      </c>
      <c r="AF116" s="84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/stypes="app*4041*20170105*" /stext=" 00:.+((SYSTEM_STATE.+slice.+state.+changed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88" t="str">
        <f t="shared" si="12"/>
        <v>"%USERPROFILE%\Documents\GitHub\eaglep3\Utilities\RefineRTDCRunTimes.py" --tripid 202-04 --locoid 4041 --swversion DE.1.0.8.0 --startMP 204:232968 --initTime 2017-01-04T17:03:12 --startdatetime 2017-01-04T17:11:12 --delay 1 --endMP 204:161 --enddatetime 2017-01-04T17:55:10 --enforcementcount 0 &gt;&gt;C:\Users\stu\Documents\GitHub\eaglep3-reporting\EC\2017-01-04-refined-times.txt</v>
      </c>
      <c r="AI116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{"issue":{"subject":"","project_id":79,"tracker_id":40,"status_id":1,"priority_id":2,"assigned_to_id":23,"start_date":"2017-01-04","description":"","custom_fields":[{"id":1,"name":"Subdivision","value":"EC"},{"id":4,"name":"Milepost","value":"0.0161"},{"id":17,"name":"Train ID","value":"202-04"},{"id":16,"name":"Locomotive ID","value":"4041"},{"id":130,"name":"Impact","value":""},{"id":150,"name":"Time of Event (Mountain Time)","value":"17:55:10"},{"id":151,"name":"Denver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14"/>
        <v>start /low /b %USERPROFILE%\Documents\GitHub\eaglep3\Utilities\DownloadLogsFromS3.py --loco 4041 --day 2017-01-04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617</v>
      </c>
      <c r="B117" s="7">
        <v>4016</v>
      </c>
      <c r="C117" s="22" t="s">
        <v>203</v>
      </c>
      <c r="D117" s="22" t="s">
        <v>425</v>
      </c>
      <c r="E117" s="13">
        <v>42739.686099537037</v>
      </c>
      <c r="F117" s="13">
        <v>42739.688136574077</v>
      </c>
      <c r="G117" s="7">
        <v>1</v>
      </c>
      <c r="H117" s="22" t="s">
        <v>701</v>
      </c>
      <c r="I117" s="13">
        <v>42739.71607638889</v>
      </c>
      <c r="J117" s="7">
        <v>0</v>
      </c>
      <c r="K117" s="105" t="str">
        <f>IF(ISEVEN(B117),(B117-1)&amp;"/"&amp;B117,B117&amp;"/"&amp;(B117+1))</f>
        <v>4015/4016</v>
      </c>
      <c r="L117" s="22" t="str">
        <f>VLOOKUP(A117,'Trips&amp;Operators'!$C$1:$G$99999,5,FALSE)</f>
        <v>DAVIS MICHAEL</v>
      </c>
      <c r="M117" s="6">
        <f>I117-F117</f>
        <v>2.7939814812270924E-2</v>
      </c>
      <c r="N117" s="7">
        <f>24*60*SUM($M117:$M117)</f>
        <v>40.233333329670131</v>
      </c>
      <c r="O117" s="7"/>
      <c r="P117" s="7"/>
      <c r="Q117" s="23"/>
      <c r="R117" s="23"/>
      <c r="S117" s="32">
        <f>SUM(U117:U117)/IF(AG117="EC",12,1)</f>
        <v>1</v>
      </c>
      <c r="T117" s="47" t="str">
        <f>IF(ISEVEN(LEFT(AD117,4)),"Southbound","NorthBound")</f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hh:mm:ss")&amp;utc_offset&amp;"00',mode:absolute,to:'"&amp;TEXT(I117+1/24,"yyyy-MM-DD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https://search-rtdc-monitor-bjffxe2xuh6vdkpspy63sjmuny.us-east-1.es.amazonaws.com/_plugin/kibana/#/discover/Steve-Slow-Train-Analysis-(2080s-and-2083s)?_g=(refreshInterval:(display:Off,section:0,value:0),time:(from:'2017-01-04 15:27:59-700',mode:absolute,to:'2017-01-04 18:11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7" s="49" t="str">
        <f>IF(AA117&lt;IF(AG117="EC",23,5.65),"Y","N")</f>
        <v>N</v>
      </c>
      <c r="X117" s="173">
        <f>VALUE(LEFT(AD117,4))-VALUE(LEFT(AD116,4))</f>
        <v>1</v>
      </c>
      <c r="Y117" s="64">
        <f t="shared" si="10"/>
        <v>4.4200000000000003E-2</v>
      </c>
      <c r="Z117" s="64">
        <f t="shared" si="11"/>
        <v>23.328399999999998</v>
      </c>
      <c r="AA117" s="64">
        <f>ABS(Z117-Y117)</f>
        <v>23.284199999999998</v>
      </c>
      <c r="AB117" s="61" t="e">
        <f>VLOOKUP(A117,Enforcements!$C$7:$K$19,8,0)</f>
        <v>#N/A</v>
      </c>
      <c r="AC117" s="57" t="e">
        <f>VLOOKUP(A117,Enforcements!$C$7:$E$19,3,0)</f>
        <v>#N/A</v>
      </c>
      <c r="AD117" s="58" t="str">
        <f>IF(LEN(A117)=6,"0"&amp;A117,A117)</f>
        <v>0203-04</v>
      </c>
      <c r="AE117" s="8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AF117" s="84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/stypes="app*4016*20170105*" /stext=" 00:.+((SYSTEM_STATE.+slice.+state.+changed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88" t="str">
        <f t="shared" si="12"/>
        <v>"%USERPROFILE%\Documents\GitHub\eaglep3\Utilities\RefineRTDCRunTimes.py" --tripid 203-04 --locoid 4016 --swversion DE.1.0.8.0 --startMP 204:442 --initTime 2017-01-04T16:27:59 --startdatetime 2017-01-04T16:30:55 --delay 1 --endMP 204:233284 --enddatetime 2017-01-04T17:11:09 --enforcementcount 0 &gt;&gt;C:\Users\stu\Documents\GitHub\eaglep3-reporting\EC\2017-01-04-refined-times.txt</v>
      </c>
      <c r="AI117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{"issue":{"subject":"","project_id":79,"tracker_id":40,"status_id":1,"priority_id":2,"assigned_to_id":23,"start_date":"2017-01-04","description":"","custom_fields":[{"id":1,"name":"Subdivision","value":"EC"},{"id":4,"name":"Milepost","value":"23.3284"},{"id":17,"name":"Train ID","value":"203-04"},{"id":16,"name":"Locomotive ID","value":"4016"},{"id":130,"name":"Impact","value":""},{"id":150,"name":"Time of Event (Mountain Time)","value":"17:11:09"},{"id":151,"name":"Denver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14"/>
        <v>start /low /b %USERPROFILE%\Documents\GitHub\eaglep3\Utilities\DownloadLogsFromS3.py --loco 4016 --day 2017-01-04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464</v>
      </c>
      <c r="B118" s="7">
        <v>4015</v>
      </c>
      <c r="C118" s="22" t="s">
        <v>203</v>
      </c>
      <c r="D118" s="22" t="s">
        <v>738</v>
      </c>
      <c r="E118" s="13">
        <v>42739.72315972222</v>
      </c>
      <c r="F118" s="13">
        <v>42739.727013888885</v>
      </c>
      <c r="G118" s="7">
        <v>1</v>
      </c>
      <c r="H118" s="22" t="s">
        <v>191</v>
      </c>
      <c r="I118" s="13">
        <v>42739.757106481484</v>
      </c>
      <c r="J118" s="7">
        <v>0</v>
      </c>
      <c r="K118" s="105" t="str">
        <f>IF(ISEVEN(B118),(B118-1)&amp;"/"&amp;B118,B118&amp;"/"&amp;(B118+1))</f>
        <v>4015/4016</v>
      </c>
      <c r="L118" s="22" t="str">
        <f>VLOOKUP(A118,'Trips&amp;Operators'!$C$1:$G$99999,5,FALSE)</f>
        <v>DAVIS MICHAEL</v>
      </c>
      <c r="M118" s="6">
        <f>I118-F118</f>
        <v>3.0092592598521151E-2</v>
      </c>
      <c r="N118" s="7">
        <f>24*60*SUM($M118:$M118)</f>
        <v>43.333333341870457</v>
      </c>
      <c r="O118" s="7"/>
      <c r="P118" s="7"/>
      <c r="Q118" s="23"/>
      <c r="R118" s="23"/>
      <c r="S118" s="32">
        <f>SUM(U118:U118)/IF(AG118="EC",12,1)</f>
        <v>1</v>
      </c>
      <c r="T118" s="47" t="str">
        <f>IF(ISEVEN(LEFT(AD118,4)),"Southbound","NorthBound")</f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hh:mm:ss")&amp;utc_offset&amp;"00',mode:absolute,to:'"&amp;TEXT(I118+1/24,"yyyy-MM-DD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https://search-rtdc-monitor-bjffxe2xuh6vdkpspy63sjmuny.us-east-1.es.amazonaws.com/_plugin/kibana/#/discover/Steve-Slow-Train-Analysis-(2080s-and-2083s)?_g=(refreshInterval:(display:Off,section:0,value:0),time:(from:'2017-01-04 16:21:21-700',mode:absolute,to:'2017-01-04 19:10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8" s="49" t="str">
        <f>IF(AA118&lt;IF(AG118="EC",23,5.65),"Y","N")</f>
        <v>N</v>
      </c>
      <c r="X118" s="173">
        <f>VALUE(LEFT(AD118,4))-VALUE(LEFT(AD117,4))</f>
        <v>1</v>
      </c>
      <c r="Y118" s="64">
        <f t="shared" si="10"/>
        <v>23.2957</v>
      </c>
      <c r="Z118" s="64">
        <f t="shared" si="11"/>
        <v>1.49E-2</v>
      </c>
      <c r="AA118" s="64">
        <f>ABS(Z118-Y118)</f>
        <v>23.280799999999999</v>
      </c>
      <c r="AB118" s="61" t="str">
        <f>VLOOKUP(A118,Enforcements!$C$7:$K$19,8,0)</f>
        <v>Form based authority (4)</v>
      </c>
      <c r="AC118" s="57" t="str">
        <f>VLOOKUP(A118,Enforcements!$C$7:$E$19,3,0)</f>
        <v>TRACK WARRANT AUTHORITY</v>
      </c>
      <c r="AD118" s="58" t="str">
        <f>IF(LEN(A118)=6,"0"&amp;A118,A118)</f>
        <v>0204-04</v>
      </c>
      <c r="AE118" s="8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 &amp; 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</v>
      </c>
      <c r="AF118" s="84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/stypes="app*4015*20170105*" /stext=" 01:.+((SYSTEM_STATE.+slice.+state.+changed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88" t="str">
        <f t="shared" si="12"/>
        <v>"%USERPROFILE%\Documents\GitHub\eaglep3\Utilities\RefineRTDCRunTimes.py" --tripid 204-04 --locoid 4015 --swversion DE.1.0.8.0 --startMP 204:232957 --initTime 2017-01-04T17:21:21 --startdatetime 2017-01-04T17:26:54 --delay 1 --endMP 204:149 --enddatetime 2017-01-04T18:10:14 --enforcementcount 0 &gt;&gt;C:\Users\stu\Documents\GitHub\eaglep3-reporting\EC\2017-01-04-refined-times.txt</v>
      </c>
      <c r="AI118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{"issue":{"subject":"","project_id":79,"tracker_id":40,"status_id":1,"priority_id":2,"assigned_to_id":23,"start_date":"2017-01-04","description":"","custom_fields":[{"id":1,"name":"Subdivision","value":"EC"},{"id":4,"name":"Milepost","value":"0.0149"},{"id":17,"name":"Train ID","value":"204-04"},{"id":16,"name":"Locomotive ID","value":"4015"},{"id":130,"name":"Impact","value":""},{"id":150,"name":"Time of Event (Mountain Time)","value":"18:10:14"},{"id":151,"name":"Denver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14"/>
        <v>start /low /b %USERPROFILE%\Documents\GitHub\eaglep3\Utilities\DownloadLogsFromS3.py --loco 4015 --day 2017-01-04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620</v>
      </c>
      <c r="B119" s="7">
        <v>4029</v>
      </c>
      <c r="C119" s="22" t="s">
        <v>203</v>
      </c>
      <c r="D119" s="22" t="s">
        <v>346</v>
      </c>
      <c r="E119" s="13">
        <v>42739.6952662037</v>
      </c>
      <c r="F119" s="13">
        <v>42739.69835648148</v>
      </c>
      <c r="G119" s="7">
        <v>1</v>
      </c>
      <c r="H119" s="22" t="s">
        <v>732</v>
      </c>
      <c r="I119" s="13">
        <v>42739.724583333336</v>
      </c>
      <c r="J119" s="7">
        <v>0</v>
      </c>
      <c r="K119" s="105" t="str">
        <f>IF(ISEVEN(B119),(B119-1)&amp;"/"&amp;B119,B119&amp;"/"&amp;(B119+1))</f>
        <v>4029/4030</v>
      </c>
      <c r="L119" s="22" t="str">
        <f>VLOOKUP(A119,'Trips&amp;Operators'!$C$1:$G$99999,5,FALSE)</f>
        <v>LEVERE CRAIG</v>
      </c>
      <c r="M119" s="6">
        <f>I119-F119</f>
        <v>2.6226851856335998E-2</v>
      </c>
      <c r="N119" s="7">
        <f>24*60*SUM($M119:$M119)</f>
        <v>37.766666673123837</v>
      </c>
      <c r="O119" s="7"/>
      <c r="P119" s="7"/>
      <c r="Q119" s="23"/>
      <c r="R119" s="23"/>
      <c r="S119" s="32">
        <f>SUM(U119:U119)/IF(AG119="EC",12,1)</f>
        <v>1</v>
      </c>
      <c r="T119" s="47" t="str">
        <f>IF(ISEVEN(LEFT(AD119,4)),"Southbound","NorthBound")</f>
        <v>NorthBound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hh:mm:ss")&amp;utc_offset&amp;"00',mode:absolute,to:'"&amp;TEXT(I119+1/24,"yyyy-MM-DD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https://search-rtdc-monitor-bjffxe2xuh6vdkpspy63sjmuny.us-east-1.es.amazonaws.com/_plugin/kibana/#/discover/Steve-Slow-Train-Analysis-(2080s-and-2083s)?_g=(refreshInterval:(display:Off,section:0,value:0),time:(from:'2017-01-04 15:41:11-700',mode:absolute,to:'2017-01-04 18:23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9" s="49" t="str">
        <f>IF(AA119&lt;IF(AG119="EC",23,5.65),"Y","N")</f>
        <v>N</v>
      </c>
      <c r="X119" s="173">
        <f>VALUE(LEFT(AD119,4))-VALUE(LEFT(AD118,4))</f>
        <v>1</v>
      </c>
      <c r="Y119" s="64">
        <f t="shared" si="10"/>
        <v>4.4600000000000001E-2</v>
      </c>
      <c r="Z119" s="64">
        <f t="shared" si="11"/>
        <v>23.328499999999998</v>
      </c>
      <c r="AA119" s="64">
        <f>ABS(Z119-Y119)</f>
        <v>23.283899999999999</v>
      </c>
      <c r="AB119" s="61" t="e">
        <f>VLOOKUP(A119,Enforcements!$C$7:$K$19,8,0)</f>
        <v>#N/A</v>
      </c>
      <c r="AC119" s="57" t="e">
        <f>VLOOKUP(A119,Enforcements!$C$7:$E$19,3,0)</f>
        <v>#N/A</v>
      </c>
      <c r="AD119" s="58" t="str">
        <f>IF(LEN(A119)=6,"0"&amp;A119,A119)</f>
        <v>0205-04</v>
      </c>
      <c r="AE119" s="8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 &amp; 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</v>
      </c>
      <c r="AF119" s="84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/stypes="app*4029*20170105*" /stext=" 00:.+((SYSTEM_STATE.+slice.+state.+changed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88" t="str">
        <f t="shared" si="12"/>
        <v>"%USERPROFILE%\Documents\GitHub\eaglep3\Utilities\RefineRTDCRunTimes.py" --tripid 205-04 --locoid 4029 --swversion DE.1.0.8.0 --startMP 204:446 --initTime 2017-01-04T16:41:11 --startdatetime 2017-01-04T16:45:38 --delay 1 --endMP 204:233285 --enddatetime 2017-01-04T17:23:24 --enforcementcount 0 &gt;&gt;C:\Users\stu\Documents\GitHub\eaglep3-reporting\EC\2017-01-04-refined-times.txt</v>
      </c>
      <c r="AI119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{"issue":{"subject":"","project_id":79,"tracker_id":40,"status_id":1,"priority_id":2,"assigned_to_id":23,"start_date":"2017-01-04","description":"","custom_fields":[{"id":1,"name":"Subdivision","value":"EC"},{"id":4,"name":"Milepost","value":"23.3285"},{"id":17,"name":"Train ID","value":"205-04"},{"id":16,"name":"Locomotive ID","value":"4029"},{"id":130,"name":"Impact","value":""},{"id":150,"name":"Time of Event (Mountain Time)","value":"17:23:24"},{"id":151,"name":"Denver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14"/>
        <v>start /low /b %USERPROFILE%\Documents\GitHub\eaglep3\Utilities\DownloadLogsFromS3.py --loco 4029 --day 2017-01-04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630</v>
      </c>
      <c r="B120" s="7">
        <v>4030</v>
      </c>
      <c r="C120" s="22" t="s">
        <v>203</v>
      </c>
      <c r="D120" s="22" t="s">
        <v>739</v>
      </c>
      <c r="E120" s="13">
        <v>42739.730393518519</v>
      </c>
      <c r="F120" s="13">
        <v>42739.737025462964</v>
      </c>
      <c r="G120" s="7">
        <v>1</v>
      </c>
      <c r="H120" s="22" t="s">
        <v>423</v>
      </c>
      <c r="I120" s="13">
        <v>42739.767488425925</v>
      </c>
      <c r="J120" s="7">
        <v>0</v>
      </c>
      <c r="K120" s="105" t="str">
        <f>IF(ISEVEN(B120),(B120-1)&amp;"/"&amp;B120,B120&amp;"/"&amp;(B120+1))</f>
        <v>4029/4030</v>
      </c>
      <c r="L120" s="22" t="str">
        <f>VLOOKUP(A120,'Trips&amp;Operators'!$C$1:$G$99999,5,FALSE)</f>
        <v>LEVERE CRAIG</v>
      </c>
      <c r="M120" s="6">
        <f>I120-F120</f>
        <v>3.0462962960882578E-2</v>
      </c>
      <c r="N120" s="7">
        <f>24*60*SUM($M120:$M120)</f>
        <v>43.866666663670912</v>
      </c>
      <c r="O120" s="7"/>
      <c r="P120" s="7"/>
      <c r="Q120" s="23"/>
      <c r="R120" s="23"/>
      <c r="S120" s="32">
        <f>SUM(U120:U120)/IF(AG120="EC",12,1)</f>
        <v>1</v>
      </c>
      <c r="T120" s="47" t="str">
        <f>IF(ISEVEN(LEFT(AD120,4)),"Southbound","NorthBound")</f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hh:mm:ss")&amp;utc_offset&amp;"00',mode:absolute,to:'"&amp;TEXT(I120+1/24,"yyyy-MM-DD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https://search-rtdc-monitor-bjffxe2xuh6vdkpspy63sjmuny.us-east-1.es.amazonaws.com/_plugin/kibana/#/discover/Steve-Slow-Train-Analysis-(2080s-and-2083s)?_g=(refreshInterval:(display:Off,section:0,value:0),time:(from:'2017-01-04 16:31:46-700',mode:absolute,to:'2017-01-04 19:25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0" s="49" t="str">
        <f>IF(AA120&lt;IF(AG120="EC",23,5.65),"Y","N")</f>
        <v>N</v>
      </c>
      <c r="X120" s="173">
        <f>VALUE(LEFT(AD120,4))-VALUE(LEFT(AD119,4))</f>
        <v>1</v>
      </c>
      <c r="Y120" s="64">
        <f t="shared" si="10"/>
        <v>23.296199999999999</v>
      </c>
      <c r="Z120" s="64">
        <f t="shared" si="11"/>
        <v>1.6500000000000001E-2</v>
      </c>
      <c r="AA120" s="64">
        <f>ABS(Z120-Y120)</f>
        <v>23.279699999999998</v>
      </c>
      <c r="AB120" s="61" t="e">
        <f>VLOOKUP(A120,Enforcements!$C$7:$K$19,8,0)</f>
        <v>#N/A</v>
      </c>
      <c r="AC120" s="57" t="e">
        <f>VLOOKUP(A120,Enforcements!$C$7:$E$19,3,0)</f>
        <v>#N/A</v>
      </c>
      <c r="AD120" s="58" t="str">
        <f>IF(LEN(A120)=6,"0"&amp;A120,A120)</f>
        <v>0206-04</v>
      </c>
      <c r="AE120" s="8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 &amp; 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</v>
      </c>
      <c r="AF120" s="84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/stypes="app*4030*20170105*" /stext=" 01:.+((SYSTEM_STATE.+slice.+state.+changed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88" t="str">
        <f t="shared" si="12"/>
        <v>"%USERPROFILE%\Documents\GitHub\eaglep3\Utilities\RefineRTDCRunTimes.py" --tripid 206-04 --locoid 4030 --swversion DE.1.0.8.0 --startMP 204:232962 --initTime 2017-01-04T17:31:46 --startdatetime 2017-01-04T17:41:19 --delay 1 --endMP 204:165 --enddatetime 2017-01-04T18:25:11 --enforcementcount 0 &gt;&gt;C:\Users\stu\Documents\GitHub\eaglep3-reporting\EC\2017-01-04-refined-times.txt</v>
      </c>
      <c r="AI120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{"issue":{"subject":"","project_id":79,"tracker_id":40,"status_id":1,"priority_id":2,"assigned_to_id":23,"start_date":"2017-01-04","description":"","custom_fields":[{"id":1,"name":"Subdivision","value":"EC"},{"id":4,"name":"Milepost","value":"0.0165"},{"id":17,"name":"Train ID","value":"206-04"},{"id":16,"name":"Locomotive ID","value":"4030"},{"id":130,"name":"Impact","value":""},{"id":150,"name":"Time of Event (Mountain Time)","value":"18:25:11"},{"id":151,"name":"Denver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14"/>
        <v>start /low /b %USERPROFILE%\Documents\GitHub\eaglep3\Utilities\DownloadLogsFromS3.py --loco 4030 --day 2017-01-04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622</v>
      </c>
      <c r="B121" s="7">
        <v>4009</v>
      </c>
      <c r="C121" s="22" t="s">
        <v>203</v>
      </c>
      <c r="D121" s="22" t="s">
        <v>193</v>
      </c>
      <c r="E121" s="13">
        <v>42739.704664351855</v>
      </c>
      <c r="F121" s="13">
        <v>42739.708935185183</v>
      </c>
      <c r="G121" s="7">
        <v>1</v>
      </c>
      <c r="H121" s="22" t="s">
        <v>285</v>
      </c>
      <c r="I121" s="13">
        <v>42739.734791666669</v>
      </c>
      <c r="J121" s="7">
        <v>0</v>
      </c>
      <c r="K121" s="105" t="str">
        <f>IF(ISEVEN(B121),(B121-1)&amp;"/"&amp;B121,B121&amp;"/"&amp;(B121+1))</f>
        <v>4009/4010</v>
      </c>
      <c r="L121" s="22" t="str">
        <f>VLOOKUP(A121,'Trips&amp;Operators'!$C$1:$G$99999,5,FALSE)</f>
        <v>HELVIE ADAM</v>
      </c>
      <c r="M121" s="6">
        <f>I121-F121</f>
        <v>2.5856481486698613E-2</v>
      </c>
      <c r="N121" s="7">
        <f>24*60*SUM($M121:$M121)</f>
        <v>37.233333340846002</v>
      </c>
      <c r="O121" s="7"/>
      <c r="P121" s="7"/>
      <c r="Q121" s="23"/>
      <c r="R121" s="23"/>
      <c r="S121" s="32">
        <f>SUM(U121:U121)/IF(AG121="EC",12,1)</f>
        <v>1</v>
      </c>
      <c r="T121" s="47" t="str">
        <f>IF(ISEVEN(LEFT(AD121,4)),"Southbound","NorthBound")</f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hh:mm:ss")&amp;utc_offset&amp;"00',mode:absolute,to:'"&amp;TEXT(I121+1/24,"yyyy-MM-DD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https://search-rtdc-monitor-bjffxe2xuh6vdkpspy63sjmuny.us-east-1.es.amazonaws.com/_plugin/kibana/#/discover/Steve-Slow-Train-Analysis-(2080s-and-2083s)?_g=(refreshInterval:(display:Off,section:0,value:0),time:(from:'2017-01-04 15:54:43-700',mode:absolute,to:'2017-01-04 18:38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1" s="49" t="str">
        <f>IF(AA121&lt;IF(AG121="EC",23,5.65),"Y","N")</f>
        <v>N</v>
      </c>
      <c r="X121" s="173">
        <f>VALUE(LEFT(AD121,4))-VALUE(LEFT(AD120,4))</f>
        <v>1</v>
      </c>
      <c r="Y121" s="64">
        <f t="shared" si="10"/>
        <v>4.4699999999999997E-2</v>
      </c>
      <c r="Z121" s="64">
        <f t="shared" si="11"/>
        <v>23.329699999999999</v>
      </c>
      <c r="AA121" s="64">
        <f>ABS(Z121-Y121)</f>
        <v>23.285</v>
      </c>
      <c r="AB121" s="61" t="e">
        <f>VLOOKUP(A121,Enforcements!$C$7:$K$19,8,0)</f>
        <v>#N/A</v>
      </c>
      <c r="AC121" s="57" t="e">
        <f>VLOOKUP(A121,Enforcements!$C$7:$E$19,3,0)</f>
        <v>#N/A</v>
      </c>
      <c r="AD121" s="58" t="str">
        <f>IF(LEN(A121)=6,"0"&amp;A121,A121)</f>
        <v>0207-04</v>
      </c>
      <c r="AE121" s="8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s3://rtdc.mdm.uploadarchive.raw/RTDC4009/ "%USERPROFILE%\AppData\Local\Temp\OnboardLogs"\RTDC4009\2017-01-04 --exclude "*" --recursive --include "*20170104*" &amp; "%USERPROFILE%\Documents\GitHub\mrs-test-scripts\Headless Mode &amp; Sideloading\WalkAndUnGZ.bat" "%USERPROFILE%\AppData\Local\Temp\OnboardLogs"\RTDC4009\2017-01-04 &amp; 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</v>
      </c>
      <c r="AF121" s="84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/stypes="app*4009*20170105*" /stext=" 00:.+((SYSTEM_STATE.+slice.+state.+changed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88" t="str">
        <f t="shared" si="12"/>
        <v>"%USERPROFILE%\Documents\GitHub\eaglep3\Utilities\RefineRTDCRunTimes.py" --tripid 207-04 --locoid 4009 --swversion DE.1.0.8.0 --startMP 204:447 --initTime 2017-01-04T16:54:43 --startdatetime 2017-01-04T17:00:52 --delay 1 --endMP 204:233297 --enddatetime 2017-01-04T17:38:06 --enforcementcount 0 &gt;&gt;C:\Users\stu\Documents\GitHub\eaglep3-reporting\EC\2017-01-04-refined-times.txt</v>
      </c>
      <c r="AI121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{"issue":{"subject":"","project_id":79,"tracker_id":40,"status_id":1,"priority_id":2,"assigned_to_id":23,"start_date":"2017-01-04","description":"","custom_fields":[{"id":1,"name":"Subdivision","value":"EC"},{"id":4,"name":"Milepost","value":"23.3297"},{"id":17,"name":"Train ID","value":"207-04"},{"id":16,"name":"Locomotive ID","value":"4009"},{"id":130,"name":"Impact","value":""},{"id":150,"name":"Time of Event (Mountain Time)","value":"17:38:06"},{"id":151,"name":"Denver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14"/>
        <v>start /low /b %USERPROFILE%\Documents\GitHub\eaglep3\Utilities\DownloadLogsFromS3.py --loco 4009 --day 2017-01-04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633</v>
      </c>
      <c r="B122" s="7">
        <v>4010</v>
      </c>
      <c r="C122" s="22" t="s">
        <v>203</v>
      </c>
      <c r="D122" s="22" t="s">
        <v>427</v>
      </c>
      <c r="E122" s="13">
        <v>42739.745208333334</v>
      </c>
      <c r="F122" s="13">
        <v>42739.747488425928</v>
      </c>
      <c r="G122" s="7">
        <v>0</v>
      </c>
      <c r="H122" s="22" t="s">
        <v>230</v>
      </c>
      <c r="I122" s="13">
        <v>42739.776689814818</v>
      </c>
      <c r="J122" s="7">
        <v>0</v>
      </c>
      <c r="K122" s="105" t="str">
        <f>IF(ISEVEN(B122),(B122-1)&amp;"/"&amp;B122,B122&amp;"/"&amp;(B122+1))</f>
        <v>4009/4010</v>
      </c>
      <c r="L122" s="22" t="str">
        <f>VLOOKUP(A122,'Trips&amp;Operators'!$C$1:$G$99999,5,FALSE)</f>
        <v>HELVIE ADAM</v>
      </c>
      <c r="M122" s="6">
        <f>I122-F122</f>
        <v>2.920138889021473E-2</v>
      </c>
      <c r="N122" s="7">
        <f>24*60*SUM($M122:$M122)</f>
        <v>42.050000001909211</v>
      </c>
      <c r="O122" s="7"/>
      <c r="P122" s="7"/>
      <c r="Q122" s="23"/>
      <c r="R122" s="23"/>
      <c r="S122" s="32">
        <f>SUM(U122:U122)/IF(AG122="EC",12,1)</f>
        <v>1</v>
      </c>
      <c r="T122" s="47" t="str">
        <f>IF(ISEVEN(LEFT(AD122,4)),"Southbound","NorthBound")</f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hh:mm:ss")&amp;utc_offset&amp;"00',mode:absolute,to:'"&amp;TEXT(I122+1/24,"yyyy-MM-DD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https://search-rtdc-monitor-bjffxe2xuh6vdkpspy63sjmuny.us-east-1.es.amazonaws.com/_plugin/kibana/#/discover/Steve-Slow-Train-Analysis-(2080s-and-2083s)?_g=(refreshInterval:(display:Off,section:0,value:0),time:(from:'2017-01-04 16:53:06-700',mode:absolute,to:'2017-01-04 19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2" s="49" t="str">
        <f>IF(AA122&lt;IF(AG122="EC",23,5.65),"Y","N")</f>
        <v>N</v>
      </c>
      <c r="X122" s="173">
        <f>VALUE(LEFT(AD122,4))-VALUE(LEFT(AD121,4))</f>
        <v>1</v>
      </c>
      <c r="Y122" s="64">
        <f t="shared" si="10"/>
        <v>23.2959</v>
      </c>
      <c r="Z122" s="64">
        <f t="shared" si="11"/>
        <v>1.4500000000000001E-2</v>
      </c>
      <c r="AA122" s="64">
        <f>ABS(Z122-Y122)</f>
        <v>23.281399999999998</v>
      </c>
      <c r="AB122" s="61" t="e">
        <f>VLOOKUP(A122,Enforcements!$C$7:$K$19,8,0)</f>
        <v>#N/A</v>
      </c>
      <c r="AC122" s="57" t="e">
        <f>VLOOKUP(A122,Enforcements!$C$7:$E$19,3,0)</f>
        <v>#N/A</v>
      </c>
      <c r="AD122" s="58" t="str">
        <f>IF(LEN(A122)=6,"0"&amp;A122,A122)</f>
        <v>0208-04</v>
      </c>
      <c r="AE122" s="8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 &amp; 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</v>
      </c>
      <c r="AF122" s="84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/stypes="app*4010*20170105*" /stext=" 01:.+((SYSTEM_STATE.+slice.+state.+changed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88" t="str">
        <f t="shared" si="12"/>
        <v>"%USERPROFILE%\Documents\GitHub\eaglep3\Utilities\RefineRTDCRunTimes.py" --tripid 208-04 --locoid 4010 --swversion DE.1.0.8.0 --startMP 204:232959 --initTime 2017-01-04T17:53:06 --startdatetime 2017-01-04T17:56:23 --delay 0 --endMP 204:145 --enddatetime 2017-01-04T18:38:26 --enforcementcount 0 &gt;&gt;C:\Users\stu\Documents\GitHub\eaglep3-reporting\EC\2017-01-04-refined-times.txt</v>
      </c>
      <c r="AI122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{"issue":{"subject":"","project_id":79,"tracker_id":40,"status_id":1,"priority_id":2,"assigned_to_id":23,"start_date":"2017-01-04","description":"","custom_fields":[{"id":1,"name":"Subdivision","value":"EC"},{"id":4,"name":"Milepost","value":"0.0145"},{"id":17,"name":"Train ID","value":"208-04"},{"id":16,"name":"Locomotive ID","value":"4010"},{"id":130,"name":"Impact","value":""},{"id":150,"name":"Time of Event (Mountain Time)","value":"18:38:26"},{"id":151,"name":"Denver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14"/>
        <v>start /low /b %USERPROFILE%\Documents\GitHub\eaglep3\Utilities\DownloadLogsFromS3.py --loco 4010 --day 2017-01-04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625</v>
      </c>
      <c r="B123" s="7">
        <v>4002</v>
      </c>
      <c r="C123" s="22" t="s">
        <v>203</v>
      </c>
      <c r="D123" s="22" t="s">
        <v>740</v>
      </c>
      <c r="E123" s="13">
        <v>42739.714224537034</v>
      </c>
      <c r="F123" s="13">
        <v>42739.719710648147</v>
      </c>
      <c r="G123" s="7">
        <v>1</v>
      </c>
      <c r="H123" s="22" t="s">
        <v>741</v>
      </c>
      <c r="I123" s="13">
        <v>42739.745057870372</v>
      </c>
      <c r="J123" s="7">
        <v>0</v>
      </c>
      <c r="K123" s="105" t="str">
        <f>IF(ISEVEN(B123),(B123-1)&amp;"/"&amp;B123,B123&amp;"/"&amp;(B123+1))</f>
        <v>4001/4002</v>
      </c>
      <c r="L123" s="22" t="str">
        <f>VLOOKUP(A123,'Trips&amp;Operators'!$C$1:$G$99999,5,FALSE)</f>
        <v>HILLS DUSTIN</v>
      </c>
      <c r="M123" s="6">
        <f>I123-F123</f>
        <v>2.5347222224809229E-2</v>
      </c>
      <c r="N123" s="7">
        <f>24*60*SUM($M123:$M123)</f>
        <v>36.50000000372529</v>
      </c>
      <c r="O123" s="7"/>
      <c r="P123" s="7"/>
      <c r="Q123" s="23"/>
      <c r="R123" s="23"/>
      <c r="S123" s="32">
        <f>SUM(U123:U123)/IF(AG123="EC",12,1)</f>
        <v>1</v>
      </c>
      <c r="T123" s="47" t="str">
        <f>IF(ISEVEN(LEFT(AD123,4)),"Southbound","NorthBound")</f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hh:mm:ss")&amp;utc_offset&amp;"00',mode:absolute,to:'"&amp;TEXT(I123+1/24,"yyyy-MM-DD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https://search-rtdc-monitor-bjffxe2xuh6vdkpspy63sjmuny.us-east-1.es.amazonaws.com/_plugin/kibana/#/discover/Steve-Slow-Train-Analysis-(2080s-and-2083s)?_g=(refreshInterval:(display:Off,section:0,value:0),time:(from:'2017-01-04 16:08:29-700',mode:absolute,to:'2017-01-04 18:52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3" s="49" t="str">
        <f>IF(AA123&lt;IF(AG123="EC",23,5.65),"Y","N")</f>
        <v>N</v>
      </c>
      <c r="X123" s="173">
        <f>VALUE(LEFT(AD123,4))-VALUE(LEFT(AD122,4))</f>
        <v>1</v>
      </c>
      <c r="Y123" s="64">
        <f t="shared" si="10"/>
        <v>0.14979999999999999</v>
      </c>
      <c r="Z123" s="64">
        <f t="shared" si="11"/>
        <v>23.338000000000001</v>
      </c>
      <c r="AA123" s="64">
        <f>ABS(Z123-Y123)</f>
        <v>23.188200000000002</v>
      </c>
      <c r="AB123" s="61" t="e">
        <f>VLOOKUP(A123,Enforcements!$C$7:$K$19,8,0)</f>
        <v>#N/A</v>
      </c>
      <c r="AC123" s="57" t="e">
        <f>VLOOKUP(A123,Enforcements!$C$7:$E$19,3,0)</f>
        <v>#N/A</v>
      </c>
      <c r="AD123" s="58" t="str">
        <f>IF(LEN(A123)=6,"0"&amp;A123,A123)</f>
        <v>0209-04</v>
      </c>
      <c r="AE123" s="8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s3://rtdc.mdm.uploadarchive.raw/RTDC4002/ "%USERPROFILE%\AppData\Local\Temp\OnboardLogs"\RTDC4002\2017-01-04 --exclude "*" --recursive --include "*20170104*" &amp; "%USERPROFILE%\Documents\GitHub\mrs-test-scripts\Headless Mode &amp; Sideloading\WalkAndUnGZ.bat" "%USERPROFILE%\AppData\Local\Temp\OnboardLogs"\RTDC4002\2017-01-04 &amp; 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</v>
      </c>
      <c r="AF123" s="84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/stypes="app*4002*20170105*" /stext=" 00:.+((SYSTEM_STATE.+slice.+state.+changed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88" t="str">
        <f t="shared" si="12"/>
        <v>"%USERPROFILE%\Documents\GitHub\eaglep3\Utilities\RefineRTDCRunTimes.py" --tripid 209-04 --locoid 4002 --swversion DE.1.0.8.0 --startMP 204:1498 --initTime 2017-01-04T17:08:29 --startdatetime 2017-01-04T17:16:23 --delay 1 --endMP 204:233380 --enddatetime 2017-01-04T17:52:53 --enforcementcount 0 &gt;&gt;C:\Users\stu\Documents\GitHub\eaglep3-reporting\EC\2017-01-04-refined-times.txt</v>
      </c>
      <c r="AI123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{"issue":{"subject":"","project_id":79,"tracker_id":40,"status_id":1,"priority_id":2,"assigned_to_id":23,"start_date":"2017-01-04","description":"","custom_fields":[{"id":1,"name":"Subdivision","value":"EC"},{"id":4,"name":"Milepost","value":"23.338"},{"id":17,"name":"Train ID","value":"209-04"},{"id":16,"name":"Locomotive ID","value":"4002"},{"id":130,"name":"Impact","value":""},{"id":150,"name":"Time of Event (Mountain Time)","value":"17:52:53"},{"id":151,"name":"Denver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14"/>
        <v>start /low /b %USERPROFILE%\Documents\GitHub\eaglep3\Utilities\DownloadLogsFromS3.py --loco 4002 --day 2017-01-04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635</v>
      </c>
      <c r="B124" s="7">
        <v>4001</v>
      </c>
      <c r="C124" s="22" t="s">
        <v>203</v>
      </c>
      <c r="D124" s="22" t="s">
        <v>742</v>
      </c>
      <c r="E124" s="13">
        <v>42739.74900462963</v>
      </c>
      <c r="F124" s="13">
        <v>42739.757800925923</v>
      </c>
      <c r="G124" s="7">
        <v>3</v>
      </c>
      <c r="H124" s="22" t="s">
        <v>743</v>
      </c>
      <c r="I124" s="13">
        <v>42739.786006944443</v>
      </c>
      <c r="J124" s="7">
        <v>0</v>
      </c>
      <c r="K124" s="105" t="str">
        <f>IF(ISEVEN(B124),(B124-1)&amp;"/"&amp;B124,B124&amp;"/"&amp;(B124+1))</f>
        <v>4001/4002</v>
      </c>
      <c r="L124" s="22" t="str">
        <f>VLOOKUP(A124,'Trips&amp;Operators'!$C$1:$G$99999,5,FALSE)</f>
        <v>HILLS DUSTIN</v>
      </c>
      <c r="M124" s="6">
        <f>I124-F124</f>
        <v>2.8206018519995268E-2</v>
      </c>
      <c r="N124" s="7">
        <f>24*60*SUM($M124:$M124)</f>
        <v>40.616666668793187</v>
      </c>
      <c r="O124" s="7"/>
      <c r="P124" s="7"/>
      <c r="Q124" s="23"/>
      <c r="R124" s="23"/>
      <c r="S124" s="32">
        <f>SUM(U124:U124)/IF(AG124="EC",12,1)</f>
        <v>1</v>
      </c>
      <c r="T124" s="47" t="str">
        <f>IF(ISEVEN(LEFT(AD124,4)),"Southbound","NorthBound")</f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hh:mm:ss")&amp;utc_offset&amp;"00',mode:absolute,to:'"&amp;TEXT(I124+1/24,"yyyy-MM-DD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https://search-rtdc-monitor-bjffxe2xuh6vdkpspy63sjmuny.us-east-1.es.amazonaws.com/_plugin/kibana/#/discover/Steve-Slow-Train-Analysis-(2080s-and-2083s)?_g=(refreshInterval:(display:Off,section:0,value:0),time:(from:'2017-01-04 16:58:34-700',mode:absolute,to:'2017-01-04 19:51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4" s="49" t="str">
        <f>IF(AA124&lt;IF(AG124="EC",23,5.65),"Y","N")</f>
        <v>N</v>
      </c>
      <c r="X124" s="173">
        <f>VALUE(LEFT(AD124,4))-VALUE(LEFT(AD123,4))</f>
        <v>1</v>
      </c>
      <c r="Y124" s="64">
        <f t="shared" si="10"/>
        <v>23.308700000000002</v>
      </c>
      <c r="Z124" s="64">
        <f t="shared" si="11"/>
        <v>9.7999999999999997E-3</v>
      </c>
      <c r="AA124" s="64">
        <f>ABS(Z124-Y124)</f>
        <v>23.298900000000003</v>
      </c>
      <c r="AB124" s="61" t="e">
        <f>VLOOKUP(A124,Enforcements!$C$7:$K$19,8,0)</f>
        <v>#N/A</v>
      </c>
      <c r="AC124" s="57" t="e">
        <f>VLOOKUP(A124,Enforcements!$C$7:$E$19,3,0)</f>
        <v>#N/A</v>
      </c>
      <c r="AD124" s="58" t="str">
        <f>IF(LEN(A124)=6,"0"&amp;A124,A124)</f>
        <v>0210-04</v>
      </c>
      <c r="AE124" s="8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s3://rtdc.mdm.uploadarchive.raw/RTDC4001/ "%USERPROFILE%\AppData\Local\Temp\OnboardLogs"\RTDC4001\2017-01-04 --exclude "*" --recursive --include "*20170104*" &amp; "%USERPROFILE%\Documents\GitHub\mrs-test-scripts\Headless Mode &amp; Sideloading\WalkAndUnGZ.bat" "%USERPROFILE%\AppData\Local\Temp\OnboardLogs"\RTDC4001\2017-01-04 &amp; 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</v>
      </c>
      <c r="AF124" s="84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/stypes="app*4001*20170105*" /stext=" 01:.+((SYSTEM_STATE.+slice.+state.+changed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88" t="str">
        <f t="shared" si="12"/>
        <v>"%USERPROFILE%\Documents\GitHub\eaglep3\Utilities\RefineRTDCRunTimes.py" --tripid 210-04 --locoid 4001 --swversion DE.1.0.8.0 --startMP 204:233087 --initTime 2017-01-04T17:58:34 --startdatetime 2017-01-04T18:11:14 --delay 3 --endMP 204:98 --enddatetime 2017-01-04T18:51:51 --enforcementcount 0 &gt;&gt;C:\Users\stu\Documents\GitHub\eaglep3-reporting\EC\2017-01-04-refined-times.txt</v>
      </c>
      <c r="AI124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{"issue":{"subject":"","project_id":79,"tracker_id":40,"status_id":1,"priority_id":2,"assigned_to_id":23,"start_date":"2017-01-04","description":"","custom_fields":[{"id":1,"name":"Subdivision","value":"EC"},{"id":4,"name":"Milepost","value":"0.0098"},{"id":17,"name":"Train ID","value":"210-04"},{"id":16,"name":"Locomotive ID","value":"4001"},{"id":130,"name":"Impact","value":""},{"id":150,"name":"Time of Event (Mountain Time)","value":"18:51:51"},{"id":151,"name":"Denver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14"/>
        <v>start /low /b %USERPROFILE%\Documents\GitHub\eaglep3\Utilities\DownloadLogsFromS3.py --loco 4001 --day 2017-01-04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628</v>
      </c>
      <c r="B125" s="7">
        <v>4003</v>
      </c>
      <c r="C125" s="22" t="s">
        <v>203</v>
      </c>
      <c r="D125" s="22" t="s">
        <v>744</v>
      </c>
      <c r="E125" s="13">
        <v>42739.726863425924</v>
      </c>
      <c r="F125" s="13">
        <v>42739.729328703703</v>
      </c>
      <c r="G125" s="7">
        <v>1</v>
      </c>
      <c r="H125" s="22" t="s">
        <v>745</v>
      </c>
      <c r="I125" s="13">
        <v>42739.756944444445</v>
      </c>
      <c r="J125" s="7">
        <v>0</v>
      </c>
      <c r="K125" s="105" t="str">
        <f>IF(ISEVEN(B125),(B125-1)&amp;"/"&amp;B125,B125&amp;"/"&amp;(B125+1))</f>
        <v>4003/4004</v>
      </c>
      <c r="L125" s="22" t="str">
        <f>VLOOKUP(A125,'Trips&amp;Operators'!$C$1:$G$99999,5,FALSE)</f>
        <v>CRAYTON QUNTRELL</v>
      </c>
      <c r="M125" s="6">
        <f>I125-F125</f>
        <v>2.7615740742476191E-2</v>
      </c>
      <c r="N125" s="7">
        <f>24*60*SUM($M125:$M125)</f>
        <v>39.766666669165716</v>
      </c>
      <c r="O125" s="7"/>
      <c r="P125" s="7"/>
      <c r="Q125" s="23"/>
      <c r="R125" s="23"/>
      <c r="S125" s="32">
        <f>SUM(U125:U125)/IF(AG125="EC",12,1)</f>
        <v>1</v>
      </c>
      <c r="T125" s="47" t="str">
        <f>IF(ISEVEN(LEFT(AD125,4)),"Southbound","NorthBound")</f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hh:mm:ss")&amp;utc_offset&amp;"00',mode:absolute,to:'"&amp;TEXT(I125+1/24,"yyyy-MM-DD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https://search-rtdc-monitor-bjffxe2xuh6vdkpspy63sjmuny.us-east-1.es.amazonaws.com/_plugin/kibana/#/discover/Steve-Slow-Train-Analysis-(2080s-and-2083s)?_g=(refreshInterval:(display:Off,section:0,value:0),time:(from:'2017-01-04 16:26:41-700',mode:absolute,to:'2017-01-04 19:10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5" s="49" t="str">
        <f>IF(AA125&lt;IF(AG125="EC",23,5.65),"Y","N")</f>
        <v>N</v>
      </c>
      <c r="X125" s="173">
        <f>VALUE(LEFT(AD125,4))-VALUE(LEFT(AD124,4))</f>
        <v>1</v>
      </c>
      <c r="Y125" s="64">
        <f t="shared" si="10"/>
        <v>4.2000000000000003E-2</v>
      </c>
      <c r="Z125" s="64">
        <f t="shared" si="11"/>
        <v>23.339700000000001</v>
      </c>
      <c r="AA125" s="64">
        <f>ABS(Z125-Y125)</f>
        <v>23.297699999999999</v>
      </c>
      <c r="AB125" s="61" t="e">
        <f>VLOOKUP(A125,Enforcements!$C$7:$K$19,8,0)</f>
        <v>#N/A</v>
      </c>
      <c r="AC125" s="57" t="e">
        <f>VLOOKUP(A125,Enforcements!$C$7:$E$19,3,0)</f>
        <v>#N/A</v>
      </c>
      <c r="AD125" s="58" t="str">
        <f>IF(LEN(A125)=6,"0"&amp;A125,A125)</f>
        <v>0211-04</v>
      </c>
      <c r="AE125" s="8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s3://rtdc.mdm.uploadarchive.raw/RTDC4003/ "%USERPROFILE%\AppData\Local\Temp\OnboardLogs"\RTDC4003\2017-01-04 --exclude "*" --recursive --include "*20170104*" &amp; "%USERPROFILE%\Documents\GitHub\mrs-test-scripts\Headless Mode &amp; Sideloading\WalkAndUnGZ.bat" "%USERPROFILE%\AppData\Local\Temp\OnboardLogs"\RTDC4003\2017-01-04 &amp; 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</v>
      </c>
      <c r="AF125" s="84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/stypes="app*4003*20170105*" /stext=" 01:.+((SYSTEM_STATE.+slice.+state.+changed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88" t="str">
        <f t="shared" si="12"/>
        <v>"%USERPROFILE%\Documents\GitHub\eaglep3\Utilities\RefineRTDCRunTimes.py" --tripid 211-04 --locoid 4003 --swversion DE.1.0.8.0 --startMP 204:420 --initTime 2017-01-04T17:26:41 --startdatetime 2017-01-04T17:30:14 --delay 1 --endMP 204:233397 --enddatetime 2017-01-04T18:10:00 --enforcementcount 0 &gt;&gt;C:\Users\stu\Documents\GitHub\eaglep3-reporting\EC\2017-01-04-refined-times.txt</v>
      </c>
      <c r="AI125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{"issue":{"subject":"","project_id":79,"tracker_id":40,"status_id":1,"priority_id":2,"assigned_to_id":23,"start_date":"2017-01-04","description":"","custom_fields":[{"id":1,"name":"Subdivision","value":"EC"},{"id":4,"name":"Milepost","value":"23.3397"},{"id":17,"name":"Train ID","value":"211-04"},{"id":16,"name":"Locomotive ID","value":"4003"},{"id":130,"name":"Impact","value":""},{"id":150,"name":"Time of Event (Mountain Time)","value":"18:10:00"},{"id":151,"name":"Denver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14"/>
        <v>start /low /b %USERPROFILE%\Documents\GitHub\eaglep3\Utilities\DownloadLogsFromS3.py --loco 4003 --day 2017-01-04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643</v>
      </c>
      <c r="B126" s="7">
        <v>4004</v>
      </c>
      <c r="C126" s="22" t="s">
        <v>203</v>
      </c>
      <c r="D126" s="22" t="s">
        <v>746</v>
      </c>
      <c r="E126" s="13">
        <v>42739.762789351851</v>
      </c>
      <c r="F126" s="13">
        <v>42739.768217592595</v>
      </c>
      <c r="G126" s="7">
        <v>1</v>
      </c>
      <c r="H126" s="22" t="s">
        <v>747</v>
      </c>
      <c r="I126" s="13">
        <v>42739.7965625</v>
      </c>
      <c r="J126" s="7">
        <v>0</v>
      </c>
      <c r="K126" s="105" t="str">
        <f>IF(ISEVEN(B126),(B126-1)&amp;"/"&amp;B126,B126&amp;"/"&amp;(B126+1))</f>
        <v>4003/4004</v>
      </c>
      <c r="L126" s="22" t="str">
        <f>VLOOKUP(A126,'Trips&amp;Operators'!$C$1:$G$99999,5,FALSE)</f>
        <v>CRAYTON QUNTRELL</v>
      </c>
      <c r="M126" s="6">
        <f>I126-F126</f>
        <v>2.8344907404971309E-2</v>
      </c>
      <c r="N126" s="7">
        <f>24*60*SUM($M126:$M126)</f>
        <v>40.816666663158685</v>
      </c>
      <c r="O126" s="7"/>
      <c r="P126" s="7"/>
      <c r="Q126" s="23"/>
      <c r="R126" s="23"/>
      <c r="S126" s="32">
        <f>SUM(U126:U126)/IF(AG126="EC",12,1)</f>
        <v>1</v>
      </c>
      <c r="T126" s="47" t="str">
        <f>IF(ISEVEN(LEFT(AD126,4)),"Southbound","NorthBound")</f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hh:mm:ss")&amp;utc_offset&amp;"00',mode:absolute,to:'"&amp;TEXT(I126+1/24,"yyyy-MM-DD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https://search-rtdc-monitor-bjffxe2xuh6vdkpspy63sjmuny.us-east-1.es.amazonaws.com/_plugin/kibana/#/discover/Steve-Slow-Train-Analysis-(2080s-and-2083s)?_g=(refreshInterval:(display:Off,section:0,value:0),time:(from:'2017-01-04 17:18:25-700',mode:absolute,to:'2017-01-04 20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6" s="49" t="str">
        <f>IF(AA126&lt;IF(AG126="EC",23,5.65),"Y","N")</f>
        <v>N</v>
      </c>
      <c r="X126" s="173">
        <f>VALUE(LEFT(AD126,4))-VALUE(LEFT(AD125,4))</f>
        <v>1</v>
      </c>
      <c r="Y126" s="64">
        <f t="shared" si="10"/>
        <v>23.3096</v>
      </c>
      <c r="Z126" s="64">
        <f t="shared" si="11"/>
        <v>1.7000000000000001E-2</v>
      </c>
      <c r="AA126" s="64">
        <f>ABS(Z126-Y126)</f>
        <v>23.2926</v>
      </c>
      <c r="AB126" s="61" t="e">
        <f>VLOOKUP(A126,Enforcements!$C$7:$K$19,8,0)</f>
        <v>#N/A</v>
      </c>
      <c r="AC126" s="57" t="e">
        <f>VLOOKUP(A126,Enforcements!$C$7:$E$19,3,0)</f>
        <v>#N/A</v>
      </c>
      <c r="AD126" s="58" t="str">
        <f>IF(LEN(A126)=6,"0"&amp;A126,A126)</f>
        <v>0212-04</v>
      </c>
      <c r="AE126" s="8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 &amp; 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</v>
      </c>
      <c r="AF126" s="84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/stypes="app*4004*20170105*" /stext=" 02:.+((SYSTEM_STATE.+slice.+state.+changed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88" t="str">
        <f t="shared" si="12"/>
        <v>"%USERPROFILE%\Documents\GitHub\eaglep3\Utilities\RefineRTDCRunTimes.py" --tripid 212-04 --locoid 4004 --swversion DE.1.0.8.0 --startMP 204:233096 --initTime 2017-01-04T18:18:25 --startdatetime 2017-01-04T18:26:14 --delay 1 --endMP 204:170 --enddatetime 2017-01-04T19:07:03 --enforcementcount 0 &gt;&gt;C:\Users\stu\Documents\GitHub\eaglep3-reporting\EC\2017-01-04-refined-times.txt</v>
      </c>
      <c r="AI126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{"issue":{"subject":"","project_id":79,"tracker_id":40,"status_id":1,"priority_id":2,"assigned_to_id":23,"start_date":"2017-01-04","description":"","custom_fields":[{"id":1,"name":"Subdivision","value":"EC"},{"id":4,"name":"Milepost","value":"0.017"},{"id":17,"name":"Train ID","value":"212-04"},{"id":16,"name":"Locomotive ID","value":"4004"},{"id":130,"name":"Impact","value":""},{"id":150,"name":"Time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14"/>
        <v>start /low /b %USERPROFILE%\Documents\GitHub\eaglep3\Utilities\DownloadLogsFromS3.py --loco 4004 --day 2017-01-04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465</v>
      </c>
      <c r="B127" s="7">
        <v>4044</v>
      </c>
      <c r="C127" s="22" t="s">
        <v>203</v>
      </c>
      <c r="D127" s="22" t="s">
        <v>372</v>
      </c>
      <c r="E127" s="13">
        <v>42739.737905092596</v>
      </c>
      <c r="F127" s="13">
        <v>42739.74015046296</v>
      </c>
      <c r="G127" s="7">
        <v>2</v>
      </c>
      <c r="H127" s="22" t="s">
        <v>709</v>
      </c>
      <c r="I127" s="13">
        <v>42739.766377314816</v>
      </c>
      <c r="J127" s="7">
        <v>0</v>
      </c>
      <c r="K127" s="105" t="str">
        <f>IF(ISEVEN(B127),(B127-1)&amp;"/"&amp;B127,B127&amp;"/"&amp;(B127+1))</f>
        <v>4043/4044</v>
      </c>
      <c r="L127" s="22" t="str">
        <f>VLOOKUP(A127,'Trips&amp;Operators'!$C$1:$G$99999,5,FALSE)</f>
        <v>STORY SAMANTHA</v>
      </c>
      <c r="M127" s="6">
        <f>I127-F127</f>
        <v>2.6226851856335998E-2</v>
      </c>
      <c r="N127" s="7">
        <f>24*60*SUM($M127:$M127)</f>
        <v>37.766666673123837</v>
      </c>
      <c r="O127" s="7"/>
      <c r="P127" s="7"/>
      <c r="Q127" s="23"/>
      <c r="R127" s="23"/>
      <c r="S127" s="32">
        <f>SUM(U127:U127)/IF(AG127="EC",12,1)</f>
        <v>1</v>
      </c>
      <c r="T127" s="47" t="str">
        <f>IF(ISEVEN(LEFT(AD127,4)),"Southbound","NorthBound")</f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hh:mm:ss")&amp;utc_offset&amp;"00',mode:absolute,to:'"&amp;TEXT(I127+1/24,"yyyy-MM-DD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https://search-rtdc-monitor-bjffxe2xuh6vdkpspy63sjmuny.us-east-1.es.amazonaws.com/_plugin/kibana/#/discover/Steve-Slow-Train-Analysis-(2080s-and-2083s)?_g=(refreshInterval:(display:Off,section:0,value:0),time:(from:'2017-01-04 16:42:35-700',mode:absolute,to:'2017-01-04 19:23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7" s="49" t="str">
        <f>IF(AA127&lt;IF(AG127="EC",23,5.65),"Y","N")</f>
        <v>N</v>
      </c>
      <c r="X127" s="173">
        <f>VALUE(LEFT(AD127,4))-VALUE(LEFT(AD126,4))</f>
        <v>1</v>
      </c>
      <c r="Y127" s="64">
        <f t="shared" si="10"/>
        <v>4.58E-2</v>
      </c>
      <c r="Z127" s="64">
        <f t="shared" si="11"/>
        <v>23.336400000000001</v>
      </c>
      <c r="AA127" s="64">
        <f>ABS(Z127-Y127)</f>
        <v>23.290600000000001</v>
      </c>
      <c r="AB127" s="61" t="e">
        <f>VLOOKUP(A127,Enforcements!$C$7:$K$19,8,0)</f>
        <v>#N/A</v>
      </c>
      <c r="AC127" s="57" t="e">
        <f>VLOOKUP(A127,Enforcements!$C$7:$E$19,3,0)</f>
        <v>#N/A</v>
      </c>
      <c r="AD127" s="58" t="str">
        <f>IF(LEN(A127)=6,"0"&amp;A127,A127)</f>
        <v>0213-04</v>
      </c>
      <c r="AE127" s="8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AF127" s="84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/stypes="app*4044*20170105*" /stext=" 01:.+((SYSTEM_STATE.+slice.+state.+changed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88" t="str">
        <f t="shared" si="12"/>
        <v>"%USERPROFILE%\Documents\GitHub\eaglep3\Utilities\RefineRTDCRunTimes.py" --tripid 213-04 --locoid 4044 --swversion DE.1.0.8.0 --startMP 204:458 --initTime 2017-01-04T17:42:35 --startdatetime 2017-01-04T17:45:49 --delay 2 --endMP 204:233364 --enddatetime 2017-01-04T18:23:35 --enforcementcount 0 &gt;&gt;C:\Users\stu\Documents\GitHub\eaglep3-reporting\EC\2017-01-04-refined-times.txt</v>
      </c>
      <c r="AI127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{"issue":{"subject":"","project_id":79,"tracker_id":40,"status_id":1,"priority_id":2,"assigned_to_id":23,"start_date":"2017-01-04","description":"","custom_fields":[{"id":1,"name":"Subdivision","value":"EC"},{"id":4,"name":"Milepost","value":"23.3364"},{"id":17,"name":"Train ID","value":"213-04"},{"id":16,"name":"Locomotive ID","value":"4044"},{"id":130,"name":"Impact","value":""},{"id":150,"name":"Time of Event (Mountain Time)","value":"18:23:35"},{"id":151,"name":"Denver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14"/>
        <v>start /low /b %USERPROFILE%\Documents\GitHub\eaglep3\Utilities\DownloadLogsFromS3.py --loco 4044 --day 2017-01-04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648</v>
      </c>
      <c r="B128" s="7">
        <v>4043</v>
      </c>
      <c r="C128" s="22" t="s">
        <v>203</v>
      </c>
      <c r="D128" s="22" t="s">
        <v>748</v>
      </c>
      <c r="E128" s="13">
        <v>42739.774328703701</v>
      </c>
      <c r="F128" s="13">
        <v>42739.778692129628</v>
      </c>
      <c r="G128" s="7">
        <v>3</v>
      </c>
      <c r="H128" s="22" t="s">
        <v>238</v>
      </c>
      <c r="I128" s="13">
        <v>42739.806539351855</v>
      </c>
      <c r="J128" s="7">
        <v>0</v>
      </c>
      <c r="K128" s="105" t="str">
        <f>IF(ISEVEN(B128),(B128-1)&amp;"/"&amp;B128,B128&amp;"/"&amp;(B128+1))</f>
        <v>4043/4044</v>
      </c>
      <c r="L128" s="22" t="str">
        <f>VLOOKUP(A128,'Trips&amp;Operators'!$C$1:$G$99999,5,FALSE)</f>
        <v>STORY SAMANTHA</v>
      </c>
      <c r="M128" s="6">
        <f>I128-F128</f>
        <v>2.7847222227137536E-2</v>
      </c>
      <c r="N128" s="7">
        <f>24*60*SUM($M128:$M128)</f>
        <v>40.100000007078052</v>
      </c>
      <c r="O128" s="7"/>
      <c r="P128" s="7"/>
      <c r="Q128" s="23"/>
      <c r="R128" s="23"/>
      <c r="S128" s="32">
        <f>SUM(U128:U128)/IF(AG128="EC",12,1)</f>
        <v>1</v>
      </c>
      <c r="T128" s="47" t="str">
        <f>IF(ISEVEN(LEFT(AD128,4)),"Southbound","NorthBound")</f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hh:mm:ss")&amp;utc_offset&amp;"00',mode:absolute,to:'"&amp;TEXT(I128+1/24,"yyyy-MM-DD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https://search-rtdc-monitor-bjffxe2xuh6vdkpspy63sjmuny.us-east-1.es.amazonaws.com/_plugin/kibana/#/discover/Steve-Slow-Train-Analysis-(2080s-and-2083s)?_g=(refreshInterval:(display:Off,section:0,value:0),time:(from:'2017-01-04 17:35:02-700',mode:absolute,to:'2017-01-04 20:21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8" s="49" t="str">
        <f>IF(AA128&lt;IF(AG128="EC",23,5.65),"Y","N")</f>
        <v>N</v>
      </c>
      <c r="X128" s="173">
        <f>VALUE(LEFT(AD128,4))-VALUE(LEFT(AD127,4))</f>
        <v>1</v>
      </c>
      <c r="Y128" s="64">
        <f t="shared" si="10"/>
        <v>23.3064</v>
      </c>
      <c r="Z128" s="64">
        <f t="shared" si="11"/>
        <v>1.6299999999999999E-2</v>
      </c>
      <c r="AA128" s="64">
        <f>ABS(Z128-Y128)</f>
        <v>23.290099999999999</v>
      </c>
      <c r="AB128" s="61" t="e">
        <f>VLOOKUP(A128,Enforcements!$C$7:$K$19,8,0)</f>
        <v>#N/A</v>
      </c>
      <c r="AC128" s="57" t="e">
        <f>VLOOKUP(A128,Enforcements!$C$7:$E$19,3,0)</f>
        <v>#N/A</v>
      </c>
      <c r="AD128" s="58" t="str">
        <f>IF(LEN(A128)=6,"0"&amp;A128,A128)</f>
        <v>0214-04</v>
      </c>
      <c r="AE128" s="8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s3://rtdc.mdm.uploadarchive.raw/RTDC4043/ "%USERPROFILE%\AppData\Local\Temp\OnboardLogs"\RTDC4043\2017-01-04 --exclude "*" --recursive --include "*20170104*" &amp; "%USERPROFILE%\Documents\GitHub\mrs-test-scripts\Headless Mode &amp; Sideloading\WalkAndUnGZ.bat" "%USERPROFILE%\AppData\Local\Temp\OnboardLogs"\RTDC4043\2017-01-04 &amp; 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</v>
      </c>
      <c r="AF128" s="84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/stypes="app*4043*20170105*" /stext=" 02:.+((SYSTEM_STATE.+slice.+state.+changed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88" t="str">
        <f t="shared" si="12"/>
        <v>"%USERPROFILE%\Documents\GitHub\eaglep3\Utilities\RefineRTDCRunTimes.py" --tripid 214-04 --locoid 4043 --swversion DE.1.0.8.0 --startMP 204:233064 --initTime 2017-01-04T18:35:02 --startdatetime 2017-01-04T18:41:19 --delay 3 --endMP 204:163 --enddatetime 2017-01-04T19:21:25 --enforcementcount 0 &gt;&gt;C:\Users\stu\Documents\GitHub\eaglep3-reporting\EC\2017-01-04-refined-times.txt</v>
      </c>
      <c r="AI128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{"issue":{"subject":"","project_id":79,"tracker_id":40,"status_id":1,"priority_id":2,"assigned_to_id":23,"start_date":"2017-01-04","description":"","custom_fields":[{"id":1,"name":"Subdivision","value":"EC"},{"id":4,"name":"Milepost","value":"0.0163"},{"id":17,"name":"Train ID","value":"214-04"},{"id":16,"name":"Locomotive ID","value":"4043"},{"id":130,"name":"Impact","value":""},{"id":150,"name":"Time of Event (Mountain Time)","value":"19:21:25"},{"id":151,"name":"Denver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14"/>
        <v>start /low /b %USERPROFILE%\Documents\GitHub\eaglep3\Utilities\DownloadLogsFromS3.py --loco 4043 --day 2017-01-04</v>
      </c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 s="34" t="s">
        <v>634</v>
      </c>
      <c r="B129" s="7">
        <v>4042</v>
      </c>
      <c r="C129" s="22" t="s">
        <v>203</v>
      </c>
      <c r="D129" s="22" t="s">
        <v>724</v>
      </c>
      <c r="E129" s="13">
        <v>42739.74832175926</v>
      </c>
      <c r="F129" s="13">
        <v>42739.750173611108</v>
      </c>
      <c r="G129" s="7">
        <v>1</v>
      </c>
      <c r="H129" s="22" t="s">
        <v>415</v>
      </c>
      <c r="I129" s="13">
        <v>42739.77584490741</v>
      </c>
      <c r="J129" s="7">
        <v>0</v>
      </c>
      <c r="K129" s="105" t="str">
        <f>IF(ISEVEN(B129),(B129-1)&amp;"/"&amp;B129,B129&amp;"/"&amp;(B129+1))</f>
        <v>4041/4042</v>
      </c>
      <c r="L129" s="22" t="str">
        <f>VLOOKUP(A129,'Trips&amp;Operators'!$C$1:$G$99999,5,FALSE)</f>
        <v>BRANNON JEFFREY</v>
      </c>
      <c r="M129" s="6">
        <f>I129-F129</f>
        <v>2.567129630187992E-2</v>
      </c>
      <c r="N129" s="7">
        <f>24*60*SUM($M129:$M129)</f>
        <v>36.966666674707085</v>
      </c>
      <c r="O129" s="7"/>
      <c r="P129" s="7"/>
      <c r="Q129" s="23"/>
      <c r="R129" s="23"/>
      <c r="S129" s="32">
        <f>SUM(U129:U129)/IF(AG129="EC",12,1)</f>
        <v>1</v>
      </c>
      <c r="T129" s="47" t="str">
        <f>IF(ISEVEN(LEFT(AD129,4)),"Southbound","NorthBound")</f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hh:mm:ss")&amp;utc_offset&amp;"00',mode:absolute,to:'"&amp;TEXT(I129+1/24,"yyyy-MM-DD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https://search-rtdc-monitor-bjffxe2xuh6vdkpspy63sjmuny.us-east-1.es.amazonaws.com/_plugin/kibana/#/discover/Steve-Slow-Train-Analysis-(2080s-and-2083s)?_g=(refreshInterval:(display:Off,section:0,value:0),time:(from:'2017-01-04 16:57:35-700',mode:absolute,to:'2017-01-04 19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9" s="49" t="str">
        <f>IF(AA129&lt;IF(AG129="EC",23,5.65),"Y","N")</f>
        <v>N</v>
      </c>
      <c r="X129" s="173">
        <f>VALUE(LEFT(AD129,4))-VALUE(LEFT(AD128,4))</f>
        <v>1</v>
      </c>
      <c r="Y129" s="64">
        <f t="shared" si="10"/>
        <v>4.7300000000000002E-2</v>
      </c>
      <c r="Z129" s="64">
        <f t="shared" si="11"/>
        <v>23.328600000000002</v>
      </c>
      <c r="AA129" s="64">
        <f>ABS(Z129-Y129)</f>
        <v>23.281300000000002</v>
      </c>
      <c r="AB129" s="61" t="e">
        <f>VLOOKUP(A129,Enforcements!$C$7:$K$19,8,0)</f>
        <v>#N/A</v>
      </c>
      <c r="AC129" s="57" t="e">
        <f>VLOOKUP(A129,Enforcements!$C$7:$E$19,3,0)</f>
        <v>#N/A</v>
      </c>
      <c r="AD129" s="58" t="str">
        <f>IF(LEN(A129)=6,"0"&amp;A129,A129)</f>
        <v>0215-04</v>
      </c>
      <c r="AE129" s="8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s3://rtdc.mdm.uploadarchive.raw/RTDC4042/ "%USERPROFILE%\AppData\Local\Temp\OnboardLogs"\RTDC4042\2017-01-04 --exclude "*" --recursive --include "*20170104*" &amp; "%USERPROFILE%\Documents\GitHub\mrs-test-scripts\Headless Mode &amp; Sideloading\WalkAndUnGZ.bat" "%USERPROFILE%\AppData\Local\Temp\OnboardLogs"\RTDC4042\2017-01-04 &amp; 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</v>
      </c>
      <c r="AF129" s="84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/stypes="app*4042*20170105*" /stext=" 01:.+((SYSTEM_STATE.+slice.+state.+changed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88" t="str">
        <f t="shared" si="12"/>
        <v>"%USERPROFILE%\Documents\GitHub\eaglep3\Utilities\RefineRTDCRunTimes.py" --tripid 215-04 --locoid 4042 --swversion DE.1.0.8.0 --startMP 204:473 --initTime 2017-01-04T17:57:35 --startdatetime 2017-01-04T18:00:15 --delay 1 --endMP 204:233286 --enddatetime 2017-01-04T18:37:13 --enforcementcount 0 &gt;&gt;C:\Users\stu\Documents\GitHub\eaglep3-reporting\EC\2017-01-04-refined-times.txt</v>
      </c>
      <c r="AI129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{"issue":{"subject":"","project_id":79,"tracker_id":40,"status_id":1,"priority_id":2,"assigned_to_id":23,"start_date":"2017-01-04","description":"","custom_fields":[{"id":1,"name":"Subdivision","value":"EC"},{"id":4,"name":"Milepost","value":"23.3286"},{"id":17,"name":"Train ID","value":"215-04"},{"id":16,"name":"Locomotive ID","value":"4042"},{"id":130,"name":"Impact","value":""},{"id":150,"name":"Time of Event (Mountain Time)","value":"18:37:13"},{"id":151,"name":"Denver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14"/>
        <v>start /low /b %USERPROFILE%\Documents\GitHub\eaglep3\Utilities\DownloadLogsFromS3.py --loco 4042 --day 2017-01-04</v>
      </c>
    </row>
    <row r="130" spans="1:91" s="21" customFormat="1" x14ac:dyDescent="0.25">
      <c r="A130" s="34" t="s">
        <v>651</v>
      </c>
      <c r="B130" s="7">
        <v>4041</v>
      </c>
      <c r="C130" s="22" t="s">
        <v>203</v>
      </c>
      <c r="D130" s="22" t="s">
        <v>738</v>
      </c>
      <c r="E130" s="13">
        <v>42739.780775462961</v>
      </c>
      <c r="F130" s="13">
        <v>42739.783263888887</v>
      </c>
      <c r="G130" s="7">
        <v>3</v>
      </c>
      <c r="H130" s="22" t="s">
        <v>191</v>
      </c>
      <c r="I130" s="13">
        <v>42739.817037037035</v>
      </c>
      <c r="J130" s="7">
        <v>0</v>
      </c>
      <c r="K130" s="105" t="str">
        <f>IF(ISEVEN(B130),(B130-1)&amp;"/"&amp;B130,B130&amp;"/"&amp;(B130+1))</f>
        <v>4041/4042</v>
      </c>
      <c r="L130" s="22" t="str">
        <f>VLOOKUP(A130,'Trips&amp;Operators'!$C$1:$G$99999,5,FALSE)</f>
        <v>BRANNON JEFFREY</v>
      </c>
      <c r="M130" s="6">
        <f>I130-F130</f>
        <v>3.3773148148611654E-2</v>
      </c>
      <c r="N130" s="7">
        <f>24*60*SUM($M130:$M130)</f>
        <v>48.633333334000781</v>
      </c>
      <c r="O130" s="7"/>
      <c r="P130" s="7"/>
      <c r="Q130" s="23"/>
      <c r="R130" s="23" t="s">
        <v>875</v>
      </c>
      <c r="S130" s="32">
        <f>SUM(U130:U130)/IF(AG130="EC",12,1)</f>
        <v>1</v>
      </c>
      <c r="T130" s="47" t="str">
        <f>IF(ISEVEN(LEFT(AD130,4)),"Southbound","NorthBound")</f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hh:mm:ss")&amp;utc_offset&amp;"00',mode:absolute,to:'"&amp;TEXT(I130+1/24,"yyyy-MM-DD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https://search-rtdc-monitor-bjffxe2xuh6vdkpspy63sjmuny.us-east-1.es.amazonaws.com/_plugin/kibana/#/discover/Steve-Slow-Train-Analysis-(2080s-and-2083s)?_g=(refreshInterval:(display:Off,section:0,value:0),time:(from:'2017-01-04 17:44:19-700',mode:absolute,to:'2017-01-04 20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0" s="49" t="str">
        <f>IF(AA130&lt;IF(AG130="EC",23,5.65),"Y","N")</f>
        <v>N</v>
      </c>
      <c r="X130" s="173">
        <f t="shared" ref="X130:X134" si="16">VALUE(LEFT(AD130,4))-VALUE(LEFT(AD129,4))</f>
        <v>1</v>
      </c>
      <c r="Y130" s="64">
        <f t="shared" si="10"/>
        <v>23.2957</v>
      </c>
      <c r="Z130" s="64">
        <f t="shared" si="11"/>
        <v>1.49E-2</v>
      </c>
      <c r="AA130" s="64">
        <f>ABS(Z130-Y130)</f>
        <v>23.280799999999999</v>
      </c>
      <c r="AB130" s="61" t="e">
        <f>VLOOKUP(A130,Enforcements!$C$7:$K$19,8,0)</f>
        <v>#N/A</v>
      </c>
      <c r="AC130" s="57" t="e">
        <f>VLOOKUP(A130,Enforcements!$C$7:$E$19,3,0)</f>
        <v>#N/A</v>
      </c>
      <c r="AD130" s="58" t="str">
        <f>IF(LEN(A130)=6,"0"&amp;A130,A130)</f>
        <v>0216-04</v>
      </c>
      <c r="AE130" s="8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 &amp; 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</v>
      </c>
      <c r="AF130" s="84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/stypes="app*4041*20170105*" /stext=" 02:.+((SYSTEM_STATE.+slice.+state.+changed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88" t="str">
        <f t="shared" si="12"/>
        <v>"%USERPROFILE%\Documents\GitHub\eaglep3\Utilities\RefineRTDCRunTimes.py" --tripid 216-04 --locoid 4041 --swversion DE.1.0.8.0 --startMP 204:232957 --initTime 2017-01-04T18:44:19 --startdatetime 2017-01-04T18:47:54 --delay 3 --endMP 204:149 --enddatetime 2017-01-04T19:36:32 --enforcementcount 0 &gt;&gt;C:\Users\stu\Documents\GitHub\eaglep3-reporting\EC\2017-01-04-refined-times.txt</v>
      </c>
      <c r="AI130" s="115" t="str">
        <f t="shared" si="13"/>
        <v>echo {"issue":{"subject":"Delayed by onboard in-route failure","project_id":79,"tracker_id":40,"status_id":1,"priority_id":2,"assigned_to_id":23,"start_date":"2017-01-04","description":"","custom_fields":[{"id":1,"name":"Subdivision","value":"EC"},{"id":4,"name":"Milepost","value":"0.0149"},{"id":17,"name":"Train ID","value":"216-04"},{"id":16,"name":"Locomotive ID","value":"4041"},{"id":130,"name":"Impact","value":""},{"id":150,"name":"Time of Event (Mountain Time)","value":"19:36:32"},{"id":151,"name":"Denver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14"/>
        <v>start /low /b %USERPROFILE%\Documents\GitHub\eaglep3\Utilities\DownloadLogsFromS3.py --loco 4041 --day 2017-01-04</v>
      </c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x14ac:dyDescent="0.25">
      <c r="A131" s="34" t="s">
        <v>639</v>
      </c>
      <c r="B131" s="7">
        <v>4016</v>
      </c>
      <c r="C131" s="22" t="s">
        <v>203</v>
      </c>
      <c r="D131" s="22" t="s">
        <v>372</v>
      </c>
      <c r="E131" s="13">
        <v>42739.759363425925</v>
      </c>
      <c r="F131" s="13">
        <v>42739.760983796295</v>
      </c>
      <c r="G131" s="7">
        <v>1</v>
      </c>
      <c r="H131" s="22" t="s">
        <v>734</v>
      </c>
      <c r="I131" s="13">
        <v>42739.786724537036</v>
      </c>
      <c r="J131" s="7">
        <v>0</v>
      </c>
      <c r="K131" s="105" t="str">
        <f>IF(ISEVEN(B131),(B131-1)&amp;"/"&amp;B131,B131&amp;"/"&amp;(B131+1))</f>
        <v>4015/4016</v>
      </c>
      <c r="L131" s="22" t="str">
        <f>VLOOKUP(A131,'Trips&amp;Operators'!$C$1:$G$99999,5,FALSE)</f>
        <v>BROWN JACOB</v>
      </c>
      <c r="M131" s="6">
        <f>I131-F131</f>
        <v>2.5740740740729962E-2</v>
      </c>
      <c r="N131" s="7">
        <f>24*60*SUM($M131:$M131)</f>
        <v>37.066666666651145</v>
      </c>
      <c r="O131" s="7"/>
      <c r="P131" s="7"/>
      <c r="Q131" s="23"/>
      <c r="R131" s="23"/>
      <c r="S131" s="32">
        <f>SUM(U131:U131)/IF(AG131="EC",12,1)</f>
        <v>1</v>
      </c>
      <c r="T131" s="47" t="str">
        <f>IF(ISEVEN(LEFT(AD131,4)),"Southbound","NorthBound")</f>
        <v>NorthBound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hh:mm:ss")&amp;utc_offset&amp;"00',mode:absolute,to:'"&amp;TEXT(I131+1/24,"yyyy-MM-DD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https://search-rtdc-monitor-bjffxe2xuh6vdkpspy63sjmuny.us-east-1.es.amazonaws.com/_plugin/kibana/#/discover/Steve-Slow-Train-Analysis-(2080s-and-2083s)?_g=(refreshInterval:(display:Off,section:0,value:0),time:(from:'2017-01-04 17:13:29-700',mode:absolute,to:'2017-01-04 19:52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1" s="49" t="str">
        <f>IF(AA131&lt;IF(AG131="EC",23,5.65),"Y","N")</f>
        <v>N</v>
      </c>
      <c r="X131" s="173">
        <f t="shared" si="16"/>
        <v>1</v>
      </c>
      <c r="Y131" s="64">
        <f t="shared" si="10"/>
        <v>4.58E-2</v>
      </c>
      <c r="Z131" s="64">
        <f t="shared" si="11"/>
        <v>23.334399999999999</v>
      </c>
      <c r="AA131" s="64">
        <f>ABS(Z131-Y131)</f>
        <v>23.288599999999999</v>
      </c>
      <c r="AB131" s="61" t="e">
        <f>VLOOKUP(A131,Enforcements!$C$7:$K$19,8,0)</f>
        <v>#N/A</v>
      </c>
      <c r="AC131" s="57" t="e">
        <f>VLOOKUP(A131,Enforcements!$C$7:$E$19,3,0)</f>
        <v>#N/A</v>
      </c>
      <c r="AD131" s="58" t="str">
        <f>IF(LEN(A131)=6,"0"&amp;A131,A131)</f>
        <v>0217-04</v>
      </c>
      <c r="AE131" s="8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AF131" s="84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/stypes="app*4016*20170105*" /stext=" 01:.+((SYSTEM_STATE.+slice.+state.+changed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88" t="str">
        <f t="shared" si="12"/>
        <v>"%USERPROFILE%\Documents\GitHub\eaglep3\Utilities\RefineRTDCRunTimes.py" --tripid 217-04 --locoid 4016 --swversion DE.1.0.8.0 --startMP 204:458 --initTime 2017-01-04T18:13:29 --startdatetime 2017-01-04T18:15:49 --delay 1 --endMP 204:233344 --enddatetime 2017-01-04T18:52:53 --enforcementcount 0 &gt;&gt;C:\Users\stu\Documents\GitHub\eaglep3-reporting\EC\2017-01-04-refined-times.txt</v>
      </c>
      <c r="AI131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{"issue":{"subject":"","project_id":79,"tracker_id":40,"status_id":1,"priority_id":2,"assigned_to_id":23,"start_date":"2017-01-04","description":"","custom_fields":[{"id":1,"name":"Subdivision","value":"EC"},{"id":4,"name":"Milepost","value":"23.3344"},{"id":17,"name":"Train ID","value":"217-04"},{"id":16,"name":"Locomotive ID","value":"4016"},{"id":130,"name":"Impact","value":""},{"id":150,"name":"Time of Event (Mountain Time)","value":"18:52:53"},{"id":151,"name":"Denver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14"/>
        <v>start /low /b %USERPROFILE%\Documents\GitHub\eaglep3\Utilities\DownloadLogsFromS3.py --loco 4016 --day 2017-01-04</v>
      </c>
    </row>
    <row r="132" spans="1:91" s="21" customFormat="1" x14ac:dyDescent="0.25">
      <c r="A132" s="34" t="s">
        <v>653</v>
      </c>
      <c r="B132" s="7">
        <v>4015</v>
      </c>
      <c r="C132" s="22" t="s">
        <v>203</v>
      </c>
      <c r="D132" s="22" t="s">
        <v>749</v>
      </c>
      <c r="E132" s="13">
        <v>42739.791354166664</v>
      </c>
      <c r="F132" s="13">
        <v>42739.799456018518</v>
      </c>
      <c r="G132" s="7">
        <v>1</v>
      </c>
      <c r="H132" s="22" t="s">
        <v>426</v>
      </c>
      <c r="I132" s="13">
        <v>42739.828738425924</v>
      </c>
      <c r="J132" s="7">
        <v>0</v>
      </c>
      <c r="K132" s="105" t="str">
        <f>IF(ISEVEN(B132),(B132-1)&amp;"/"&amp;B132,B132&amp;"/"&amp;(B132+1))</f>
        <v>4015/4016</v>
      </c>
      <c r="L132" s="22" t="str">
        <f>VLOOKUP(A132,'Trips&amp;Operators'!$C$1:$G$99999,5,FALSE)</f>
        <v>BROWN JACOB</v>
      </c>
      <c r="M132" s="6">
        <f>I132-F132</f>
        <v>2.9282407405844424E-2</v>
      </c>
      <c r="N132" s="7">
        <f>24*60*SUM($M132:$M132)</f>
        <v>42.16666666441597</v>
      </c>
      <c r="O132" s="7"/>
      <c r="P132" s="7"/>
      <c r="Q132" s="23"/>
      <c r="R132" s="23" t="s">
        <v>969</v>
      </c>
      <c r="S132" s="32">
        <f>SUM(U132:U132)/IF(AG132="EC",12,1)</f>
        <v>1</v>
      </c>
      <c r="T132" s="47" t="str">
        <f>IF(ISEVEN(LEFT(AD132,4)),"Southbound","NorthBound")</f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hh:mm:ss")&amp;utc_offset&amp;"00',mode:absolute,to:'"&amp;TEXT(I132+1/24,"yyyy-MM-DD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https://search-rtdc-monitor-bjffxe2xuh6vdkpspy63sjmuny.us-east-1.es.amazonaws.com/_plugin/kibana/#/discover/Steve-Slow-Train-Analysis-(2080s-and-2083s)?_g=(refreshInterval:(display:Off,section:0,value:0),time:(from:'2017-01-04 17:59:33-700',mode:absolute,to:'2017-01-04 20:53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2" s="49" t="str">
        <f>IF(AA132&lt;IF(AG132="EC",23,5.65),"Y","N")</f>
        <v>N</v>
      </c>
      <c r="X132" s="173">
        <f t="shared" si="16"/>
        <v>1</v>
      </c>
      <c r="Y132" s="64">
        <f t="shared" si="10"/>
        <v>23.300599999999999</v>
      </c>
      <c r="Z132" s="64">
        <f t="shared" si="11"/>
        <v>1.2999999999999999E-2</v>
      </c>
      <c r="AA132" s="64">
        <f>ABS(Z132-Y132)</f>
        <v>23.287599999999998</v>
      </c>
      <c r="AB132" s="61" t="e">
        <f>VLOOKUP(A132,Enforcements!$C$7:$K$19,8,0)</f>
        <v>#N/A</v>
      </c>
      <c r="AC132" s="57" t="e">
        <f>VLOOKUP(A132,Enforcements!$C$7:$E$19,3,0)</f>
        <v>#N/A</v>
      </c>
      <c r="AD132" s="58" t="str">
        <f>IF(LEN(A132)=6,"0"&amp;A132,A132)</f>
        <v>0218-04</v>
      </c>
      <c r="AE132" s="8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 &amp; 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</v>
      </c>
      <c r="AF132" s="84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/stypes="app*4015*20170105*" /stext=" 02:.+((SYSTEM_STATE.+slice.+state.+changed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88" t="str">
        <f t="shared" si="12"/>
        <v>"%USERPROFILE%\Documents\GitHub\eaglep3\Utilities\RefineRTDCRunTimes.py" --tripid 218-04 --locoid 4015 --swversion DE.1.0.8.0 --startMP 204:233006 --initTime 2017-01-04T18:59:33 --startdatetime 2017-01-04T19:11:13 --delay 1 --endMP 204:130 --enddatetime 2017-01-04T19:53:23 --enforcementcount 0 &gt;&gt;C:\Users\stu\Documents\GitHub\eaglep3-reporting\EC\2017-01-04-refined-times.txt</v>
      </c>
      <c r="AI132" s="115" t="str">
        <f t="shared" si="13"/>
        <v>echo {"issue":{"subject":"No evidence of penalty found","project_id":79,"tracker_id":40,"status_id":1,"priority_id":2,"assigned_to_id":23,"start_date":"2017-01-04","description":"","custom_fields":[{"id":1,"name":"Subdivision","value":"EC"},{"id":4,"name":"Milepost","value":"0.013"},{"id":17,"name":"Train ID","value":"218-04"},{"id":16,"name":"Locomotive ID","value":"4015"},{"id":130,"name":"Impact","value":""},{"id":150,"name":"Time of Event (Mountain Time)","value":"19:53:23"},{"id":151,"name":"Denver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14"/>
        <v>start /low /b %USERPROFILE%\Documents\GitHub\eaglep3\Utilities\DownloadLogsFromS3.py --loco 4015 --day 2017-01-04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645</v>
      </c>
      <c r="B133" s="7">
        <v>4029</v>
      </c>
      <c r="C133" s="22" t="s">
        <v>203</v>
      </c>
      <c r="D133" s="22" t="s">
        <v>351</v>
      </c>
      <c r="E133" s="13">
        <v>42739.771539351852</v>
      </c>
      <c r="F133" s="13">
        <v>42739.7733912037</v>
      </c>
      <c r="G133" s="7">
        <v>1</v>
      </c>
      <c r="H133" s="22" t="s">
        <v>412</v>
      </c>
      <c r="I133" s="13">
        <v>42739.798078703701</v>
      </c>
      <c r="J133" s="7">
        <v>0</v>
      </c>
      <c r="K133" s="105" t="str">
        <f>IF(ISEVEN(B133),(B133-1)&amp;"/"&amp;B133,B133&amp;"/"&amp;(B133+1))</f>
        <v>4029/4030</v>
      </c>
      <c r="L133" s="22" t="str">
        <f>VLOOKUP(A133,'Trips&amp;Operators'!$C$1:$G$99999,5,FALSE)</f>
        <v>NEWELL JAMES</v>
      </c>
      <c r="M133" s="6">
        <f>I133-F133</f>
        <v>2.4687500001164153E-2</v>
      </c>
      <c r="N133" s="7">
        <f>24*60*SUM($M133:$M133)</f>
        <v>35.550000001676381</v>
      </c>
      <c r="O133" s="7"/>
      <c r="P133" s="7"/>
      <c r="Q133" s="23"/>
      <c r="R133" s="23"/>
      <c r="S133" s="32">
        <f>SUM(U133:U133)/IF(AG133="EC",12,1)</f>
        <v>1</v>
      </c>
      <c r="T133" s="47" t="str">
        <f>IF(ISEVEN(LEFT(AD133,4)),"Southbound","NorthBound")</f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hh:mm:ss")&amp;utc_offset&amp;"00',mode:absolute,to:'"&amp;TEXT(I133+1/24,"yyyy-MM-DD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https://search-rtdc-monitor-bjffxe2xuh6vdkpspy63sjmuny.us-east-1.es.amazonaws.com/_plugin/kibana/#/discover/Steve-Slow-Train-Analysis-(2080s-and-2083s)?_g=(refreshInterval:(display:Off,section:0,value:0),time:(from:'2017-01-04 17:31:01-700',mode:absolute,to:'2017-01-04 20:09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3" s="49" t="str">
        <f>IF(AA133&lt;IF(AG133="EC",23,5.65),"Y","N")</f>
        <v>N</v>
      </c>
      <c r="X133" s="173">
        <f t="shared" si="16"/>
        <v>1</v>
      </c>
      <c r="Y133" s="64">
        <f t="shared" si="10"/>
        <v>4.82E-2</v>
      </c>
      <c r="Z133" s="64">
        <f t="shared" si="11"/>
        <v>23.331099999999999</v>
      </c>
      <c r="AA133" s="64">
        <f>ABS(Z133-Y133)</f>
        <v>23.282899999999998</v>
      </c>
      <c r="AB133" s="61" t="e">
        <f>VLOOKUP(A133,Enforcements!$C$7:$K$19,8,0)</f>
        <v>#N/A</v>
      </c>
      <c r="AC133" s="57" t="e">
        <f>VLOOKUP(A133,Enforcements!$C$7:$E$19,3,0)</f>
        <v>#N/A</v>
      </c>
      <c r="AD133" s="58" t="str">
        <f>IF(LEN(A133)=6,"0"&amp;A133,A133)</f>
        <v>0219-04</v>
      </c>
      <c r="AE133" s="8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 &amp; 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</v>
      </c>
      <c r="AF133" s="84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/stypes="app*4029*20170105*" /stext=" 02:.+((SYSTEM_STATE.+slice.+state.+changed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88" t="str">
        <f t="shared" si="12"/>
        <v>"%USERPROFILE%\Documents\GitHub\eaglep3\Utilities\RefineRTDCRunTimes.py" --tripid 219-04 --locoid 4029 --swversion DE.1.0.8.0 --startMP 204:482 --initTime 2017-01-04T18:31:01 --startdatetime 2017-01-04T18:33:41 --delay 1 --endMP 204:233311 --enddatetime 2017-01-04T19:09:14 --enforcementcount 0 &gt;&gt;C:\Users\stu\Documents\GitHub\eaglep3-reporting\EC\2017-01-04-refined-times.txt</v>
      </c>
      <c r="AI133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{"issue":{"subject":"","project_id":79,"tracker_id":40,"status_id":1,"priority_id":2,"assigned_to_id":23,"start_date":"2017-01-04","description":"","custom_fields":[{"id":1,"name":"Subdivision","value":"EC"},{"id":4,"name":"Milepost","value":"23.3311"},{"id":17,"name":"Train ID","value":"219-04"},{"id":16,"name":"Locomotive ID","value":"4029"},{"id":130,"name":"Impact","value":""},{"id":150,"name":"Time of Event (Mountain Time)","value":"19:09:14"},{"id":151,"name":"Denver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14"/>
        <v>start /low /b %USERPROFILE%\Documents\GitHub\eaglep3\Utilities\DownloadLogsFromS3.py --loco 4029 --day 2017-01-04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657</v>
      </c>
      <c r="B134" s="7">
        <v>4030</v>
      </c>
      <c r="C134" s="22" t="s">
        <v>203</v>
      </c>
      <c r="D134" s="22" t="s">
        <v>328</v>
      </c>
      <c r="E134" s="13">
        <v>42739.804386574076</v>
      </c>
      <c r="F134" s="13">
        <v>42739.810324074075</v>
      </c>
      <c r="G134" s="7">
        <v>1</v>
      </c>
      <c r="H134" s="22" t="s">
        <v>302</v>
      </c>
      <c r="I134" s="13">
        <v>42739.836261574077</v>
      </c>
      <c r="J134" s="7">
        <v>0</v>
      </c>
      <c r="K134" s="105" t="str">
        <f>IF(ISEVEN(B134),(B134-1)&amp;"/"&amp;B134,B134&amp;"/"&amp;(B134+1))</f>
        <v>4029/4030</v>
      </c>
      <c r="L134" s="22" t="str">
        <f>VLOOKUP(A134,'Trips&amp;Operators'!$C$1:$G$99999,5,FALSE)</f>
        <v>NEWELL JAMES</v>
      </c>
      <c r="M134" s="6">
        <f>I134-F134</f>
        <v>2.5937500002328306E-2</v>
      </c>
      <c r="N134" s="7">
        <f>24*60*SUM($M134:$M134)</f>
        <v>37.350000003352761</v>
      </c>
      <c r="O134" s="7"/>
      <c r="P134" s="7"/>
      <c r="Q134" s="23"/>
      <c r="R134" s="23"/>
      <c r="S134" s="32">
        <f>SUM(U134:U134)/IF(AG134="EC",12,1)</f>
        <v>1</v>
      </c>
      <c r="T134" s="47" t="str">
        <f>IF(ISEVEN(LEFT(AD134,4)),"Southbound","NorthBound")</f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hh:mm:ss")&amp;utc_offset&amp;"00',mode:absolute,to:'"&amp;TEXT(I134+1/24,"yyyy-MM-DD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https://search-rtdc-monitor-bjffxe2xuh6vdkpspy63sjmuny.us-east-1.es.amazonaws.com/_plugin/kibana/#/discover/Steve-Slow-Train-Analysis-(2080s-and-2083s)?_g=(refreshInterval:(display:Off,section:0,value:0),time:(from:'2017-01-04 18:18:19-700',mode:absolute,to:'2017-01-04 21:04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4" s="49" t="str">
        <f>IF(AA134&lt;IF(AG134="EC",23,5.65),"Y","N")</f>
        <v>N</v>
      </c>
      <c r="X134" s="173">
        <f t="shared" si="16"/>
        <v>1</v>
      </c>
      <c r="Y134" s="64">
        <f t="shared" si="10"/>
        <v>23.3</v>
      </c>
      <c r="Z134" s="64">
        <f t="shared" si="11"/>
        <v>1.5599999999999999E-2</v>
      </c>
      <c r="AA134" s="64">
        <f>ABS(Z134-Y134)</f>
        <v>23.284400000000002</v>
      </c>
      <c r="AB134" s="61" t="e">
        <f>VLOOKUP(A134,Enforcements!$C$7:$K$19,8,0)</f>
        <v>#N/A</v>
      </c>
      <c r="AC134" s="57" t="e">
        <f>VLOOKUP(A134,Enforcements!$C$7:$E$19,3,0)</f>
        <v>#N/A</v>
      </c>
      <c r="AD134" s="58" t="str">
        <f>IF(LEN(A134)=6,"0"&amp;A134,A134)</f>
        <v>0220-04</v>
      </c>
      <c r="AE134" s="8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 &amp; 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</v>
      </c>
      <c r="AF134" s="84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/stypes="app*4030*20170105*" /stext=" 03:.+((SYSTEM_STATE.+slice.+state.+changed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88" t="str">
        <f t="shared" si="12"/>
        <v>"%USERPROFILE%\Documents\GitHub\eaglep3\Utilities\RefineRTDCRunTimes.py" --tripid 220-04 --locoid 4030 --swversion DE.1.0.8.0 --startMP 204:233000 --initTime 2017-01-04T19:18:19 --startdatetime 2017-01-04T19:26:52 --delay 1 --endMP 204:156 --enddatetime 2017-01-04T20:04:13 --enforcementcount 0 &gt;&gt;C:\Users\stu\Documents\GitHub\eaglep3-reporting\EC\2017-01-04-refined-times.txt</v>
      </c>
      <c r="AI134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{"issue":{"subject":"","project_id":79,"tracker_id":40,"status_id":1,"priority_id":2,"assigned_to_id":23,"start_date":"2017-01-04","description":"","custom_fields":[{"id":1,"name":"Subdivision","value":"EC"},{"id":4,"name":"Milepost","value":"0.0156"},{"id":17,"name":"Train ID","value":"220-04"},{"id":16,"name":"Locomotive ID","value":"4030"},{"id":130,"name":"Impact","value":""},{"id":150,"name":"Time of Event (Mountain Time)","value":"20:04:13"},{"id":151,"name":"Denver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14"/>
        <v>start /low /b %USERPROFILE%\Documents\GitHub\eaglep3\Utilities\DownloadLogsFromS3.py --loco 4030 --day 2017-01-04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652</v>
      </c>
      <c r="B135" s="7">
        <v>4002</v>
      </c>
      <c r="C135" s="22" t="s">
        <v>203</v>
      </c>
      <c r="D135" s="22" t="s">
        <v>750</v>
      </c>
      <c r="E135" s="13">
        <v>42739.787939814814</v>
      </c>
      <c r="F135" s="13">
        <v>42739.791863425926</v>
      </c>
      <c r="G135" s="7">
        <v>1</v>
      </c>
      <c r="H135" s="22" t="s">
        <v>751</v>
      </c>
      <c r="I135" s="13">
        <v>42739.818067129629</v>
      </c>
      <c r="J135" s="7">
        <v>0</v>
      </c>
      <c r="K135" s="105" t="str">
        <f>IF(ISEVEN(B135),(B135-1)&amp;"/"&amp;B135,B135&amp;"/"&amp;(B135+1))</f>
        <v>4001/4002</v>
      </c>
      <c r="L135" s="22" t="str">
        <f>VLOOKUP(A135,'Trips&amp;Operators'!$C$1:$G$99999,5,FALSE)</f>
        <v>HILLS DUSTIN</v>
      </c>
      <c r="M135" s="6">
        <f>I135-F135</f>
        <v>2.6203703702776693E-2</v>
      </c>
      <c r="N135" s="7">
        <f>24*60*SUM($M135:$M135)</f>
        <v>37.733333331998438</v>
      </c>
      <c r="O135" s="7"/>
      <c r="P135" s="7"/>
      <c r="Q135" s="23"/>
      <c r="R135" s="23"/>
      <c r="S135" s="32">
        <f>SUM(U135:U135)/IF(AG135="EC",12,1)</f>
        <v>1</v>
      </c>
      <c r="T135" s="47" t="str">
        <f>IF(ISEVEN(LEFT(AD135,4)),"Southbound","NorthBound")</f>
        <v>NorthBound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hh:mm:ss")&amp;utc_offset&amp;"00',mode:absolute,to:'"&amp;TEXT(I135+1/24,"yyyy-MM-DD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https://search-rtdc-monitor-bjffxe2xuh6vdkpspy63sjmuny.us-east-1.es.amazonaws.com/_plugin/kibana/#/discover/Steve-Slow-Train-Analysis-(2080s-and-2083s)?_g=(refreshInterval:(display:Off,section:0,value:0),time:(from:'2017-01-04 17:54:38-700',mode:absolute,to:'2017-01-04 20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5" s="49" t="str">
        <f>IF(AA135&lt;IF(AG135="EC",23,5.65),"Y","N")</f>
        <v>N</v>
      </c>
      <c r="X135" s="173">
        <f>VALUE(LEFT(AD135,4))-VALUE(LEFT(AD134,4))</f>
        <v>1</v>
      </c>
      <c r="Y135" s="64">
        <f t="shared" si="10"/>
        <v>4.0899999999999999E-2</v>
      </c>
      <c r="Z135" s="64">
        <f t="shared" si="11"/>
        <v>23.3401</v>
      </c>
      <c r="AA135" s="64">
        <f>ABS(Z135-Y135)</f>
        <v>23.299199999999999</v>
      </c>
      <c r="AB135" s="61" t="e">
        <f>VLOOKUP(A135,Enforcements!$C$7:$K$19,8,0)</f>
        <v>#N/A</v>
      </c>
      <c r="AC135" s="57" t="e">
        <f>VLOOKUP(A135,Enforcements!$C$7:$E$19,3,0)</f>
        <v>#N/A</v>
      </c>
      <c r="AD135" s="58" t="str">
        <f>IF(LEN(A135)=6,"0"&amp;A135,A135)</f>
        <v>0221-04</v>
      </c>
      <c r="AE135" s="8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s3://rtdc.mdm.uploadarchive.raw/RTDC4002/ "%USERPROFILE%\AppData\Local\Temp\OnboardLogs"\RTDC4002\2017-01-04 --exclude "*" --recursive --include "*20170104*" &amp; "%USERPROFILE%\Documents\GitHub\mrs-test-scripts\Headless Mode &amp; Sideloading\WalkAndUnGZ.bat" "%USERPROFILE%\AppData\Local\Temp\OnboardLogs"\RTDC4002\2017-01-04 &amp; 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</v>
      </c>
      <c r="AF135" s="84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/stypes="app*4002*20170105*" /stext=" 02:.+((SYSTEM_STATE.+slice.+state.+changed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88" t="str">
        <f t="shared" si="12"/>
        <v>"%USERPROFILE%\Documents\GitHub\eaglep3\Utilities\RefineRTDCRunTimes.py" --tripid 221-04 --locoid 4002 --swversion DE.1.0.8.0 --startMP 204:409 --initTime 2017-01-04T18:54:38 --startdatetime 2017-01-04T19:00:17 --delay 1 --endMP 204:233401 --enddatetime 2017-01-04T19:38:01 --enforcementcount 0 &gt;&gt;C:\Users\stu\Documents\GitHub\eaglep3-reporting\EC\2017-01-04-refined-times.txt</v>
      </c>
      <c r="AI135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{"issue":{"subject":"","project_id":79,"tracker_id":40,"status_id":1,"priority_id":2,"assigned_to_id":23,"start_date":"2017-01-04","description":"","custom_fields":[{"id":1,"name":"Subdivision","value":"EC"},{"id":4,"name":"Milepost","value":"23.3401"},{"id":17,"name":"Train ID","value":"221-04"},{"id":16,"name":"Locomotive ID","value":"4002"},{"id":130,"name":"Impact","value":""},{"id":150,"name":"Time of Event (Mountain Time)","value":"19:38:01"},{"id":151,"name":"Denver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14"/>
        <v>start /low /b %USERPROFILE%\Documents\GitHub\eaglep3\Utilities\DownloadLogsFromS3.py --loco 4002 --day 2017-01-04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469</v>
      </c>
      <c r="B136" s="7">
        <v>4001</v>
      </c>
      <c r="C136" s="22" t="s">
        <v>203</v>
      </c>
      <c r="D136" s="22" t="s">
        <v>752</v>
      </c>
      <c r="E136" s="13">
        <v>42739.820081018515</v>
      </c>
      <c r="F136" s="13">
        <v>42739.830983796295</v>
      </c>
      <c r="G136" s="7">
        <v>13</v>
      </c>
      <c r="H136" s="22" t="s">
        <v>426</v>
      </c>
      <c r="I136" s="13">
        <v>42739.85900462963</v>
      </c>
      <c r="J136" s="7">
        <v>0</v>
      </c>
      <c r="K136" s="105" t="str">
        <f>IF(ISEVEN(B136),(B136-1)&amp;"/"&amp;B136,B136&amp;"/"&amp;(B136+1))</f>
        <v>4001/4002</v>
      </c>
      <c r="L136" s="22" t="str">
        <f>VLOOKUP(A136,'Trips&amp;Operators'!$C$1:$G$99999,5,FALSE)</f>
        <v>HILLS DUSTIN</v>
      </c>
      <c r="M136" s="6">
        <f>I136-F136</f>
        <v>2.8020833335176576E-2</v>
      </c>
      <c r="N136" s="7">
        <f>24*60*SUM($M136:$M136)</f>
        <v>40.350000002654269</v>
      </c>
      <c r="O136" s="7"/>
      <c r="P136" s="7"/>
      <c r="Q136" s="23"/>
      <c r="R136" s="23"/>
      <c r="S136" s="32">
        <f>SUM(U136:U136)/IF(AG136="EC",12,1)</f>
        <v>1</v>
      </c>
      <c r="T136" s="47" t="str">
        <f>IF(ISEVEN(LEFT(AD136,4)),"Southbound","NorthBound")</f>
        <v>Southbound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hh:mm:ss")&amp;utc_offset&amp;"00',mode:absolute,to:'"&amp;TEXT(I136+1/24,"yyyy-MM-DD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https://search-rtdc-monitor-bjffxe2xuh6vdkpspy63sjmuny.us-east-1.es.amazonaws.com/_plugin/kibana/#/discover/Steve-Slow-Train-Analysis-(2080s-and-2083s)?_g=(refreshInterval:(display:Off,section:0,value:0),time:(from:'2017-01-04 18:40:55-700',mode:absolute,to:'2017-01-04 21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6" s="49" t="str">
        <f>IF(AA136&lt;IF(AG136="EC",23,5.65),"Y","N")</f>
        <v>N</v>
      </c>
      <c r="X136" s="173">
        <f>VALUE(LEFT(AD136,4))-VALUE(LEFT(AD135,4))</f>
        <v>1</v>
      </c>
      <c r="Y136" s="64">
        <f t="shared" si="10"/>
        <v>23.308199999999999</v>
      </c>
      <c r="Z136" s="64">
        <f t="shared" si="11"/>
        <v>1.2999999999999999E-2</v>
      </c>
      <c r="AA136" s="64">
        <f>ABS(Z136-Y136)</f>
        <v>23.295199999999998</v>
      </c>
      <c r="AB136" s="61" t="str">
        <f>VLOOKUP(A136,Enforcements!$C$7:$K$19,8,0)</f>
        <v>Speed (6)</v>
      </c>
      <c r="AC136" s="57" t="str">
        <f>VLOOKUP(A136,Enforcements!$C$7:$E$19,3,0)</f>
        <v>PERMANENT SPEED RESTRICTION</v>
      </c>
      <c r="AD136" s="58" t="str">
        <f>IF(LEN(A136)=6,"0"&amp;A136,A136)</f>
        <v>0222-04</v>
      </c>
      <c r="AE136" s="8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s3://rtdc.mdm.uploadarchive.raw/RTDC4001/ "%USERPROFILE%\AppData\Local\Temp\OnboardLogs"\RTDC4001\2017-01-04 --exclude "*" --recursive --include "*20170104*" &amp; "%USERPROFILE%\Documents\GitHub\mrs-test-scripts\Headless Mode &amp; Sideloading\WalkAndUnGZ.bat" "%USERPROFILE%\AppData\Local\Temp\OnboardLogs"\RTDC4001\2017-01-04 &amp; 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</v>
      </c>
      <c r="AF136" s="84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/stypes="app*4001*20170105*" /stext=" 03:.+((SYSTEM_STATE.+slice.+state.+changed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88" t="str">
        <f t="shared" si="12"/>
        <v>"%USERPROFILE%\Documents\GitHub\eaglep3\Utilities\RefineRTDCRunTimes.py" --tripid 222-04 --locoid 4001 --swversion DE.1.0.8.0 --startMP 204:233082 --initTime 2017-01-04T19:40:55 --startdatetime 2017-01-04T19:56:37 --delay 13 --endMP 204:130 --enddatetime 2017-01-04T20:36:58 --enforcementcount 0 &gt;&gt;C:\Users\stu\Documents\GitHub\eaglep3-reporting\EC\2017-01-04-refined-times.txt</v>
      </c>
      <c r="AI136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{"issue":{"subject":"","project_id":79,"tracker_id":40,"status_id":1,"priority_id":2,"assigned_to_id":23,"start_date":"2017-01-04","description":"","custom_fields":[{"id":1,"name":"Subdivision","value":"EC"},{"id":4,"name":"Milepost","value":"0.013"},{"id":17,"name":"Train ID","value":"222-04"},{"id":16,"name":"Locomotive ID","value":"4001"},{"id":130,"name":"Impact","value":""},{"id":150,"name":"Time of Event (Mountain Time)","value":"20:36:58"},{"id":151,"name":"Denver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14"/>
        <v>start /low /b %USERPROFILE%\Documents\GitHub\eaglep3\Utilities\DownloadLogsFromS3.py --loco 4001 --day 2017-01-04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658</v>
      </c>
      <c r="B137" s="7">
        <v>4044</v>
      </c>
      <c r="C137" s="22" t="s">
        <v>203</v>
      </c>
      <c r="D137" s="22" t="s">
        <v>736</v>
      </c>
      <c r="E137" s="13">
        <v>42739.808287037034</v>
      </c>
      <c r="F137" s="13">
        <v>42739.813368055555</v>
      </c>
      <c r="G137" s="7">
        <v>6</v>
      </c>
      <c r="H137" s="22" t="s">
        <v>741</v>
      </c>
      <c r="I137" s="13">
        <v>42739.840115740742</v>
      </c>
      <c r="J137" s="7">
        <v>0</v>
      </c>
      <c r="K137" s="105" t="str">
        <f>IF(ISEVEN(B137),(B137-1)&amp;"/"&amp;B137,B137&amp;"/"&amp;(B137+1))</f>
        <v>4043/4044</v>
      </c>
      <c r="L137" s="22" t="str">
        <f>VLOOKUP(A137,'Trips&amp;Operators'!$C$1:$G$99999,5,FALSE)</f>
        <v>STORY SAMANTHA</v>
      </c>
      <c r="M137" s="6">
        <f>I137-F137</f>
        <v>2.6747685187729076E-2</v>
      </c>
      <c r="N137" s="7">
        <f>24*60*SUM($M137:$M137)</f>
        <v>38.516666670329869</v>
      </c>
      <c r="O137" s="7"/>
      <c r="P137" s="7"/>
      <c r="Q137" s="23"/>
      <c r="R137" s="23"/>
      <c r="S137" s="32">
        <f>SUM(U137:U137)/IF(AG137="EC",12,1)</f>
        <v>1</v>
      </c>
      <c r="T137" s="47" t="str">
        <f>IF(ISEVEN(LEFT(AD137,4)),"Southbound","NorthBound")</f>
        <v>NorthBound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hh:mm:ss")&amp;utc_offset&amp;"00',mode:absolute,to:'"&amp;TEXT(I137+1/24,"yyyy-MM-DD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https://search-rtdc-monitor-bjffxe2xuh6vdkpspy63sjmuny.us-east-1.es.amazonaws.com/_plugin/kibana/#/discover/Steve-Slow-Train-Analysis-(2080s-and-2083s)?_g=(refreshInterval:(display:Off,section:0,value:0),time:(from:'2017-01-04 18:23:56-700',mode:absolute,to:'2017-01-04 21:09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7" s="49" t="str">
        <f>IF(AA137&lt;IF(AG137="EC",23,5.65),"Y","N")</f>
        <v>N</v>
      </c>
      <c r="X137" s="173">
        <f>VALUE(LEFT(AD137,4))-VALUE(LEFT(AD136,4))</f>
        <v>1</v>
      </c>
      <c r="Y137" s="64">
        <f t="shared" si="10"/>
        <v>4.8000000000000001E-2</v>
      </c>
      <c r="Z137" s="64">
        <f t="shared" si="11"/>
        <v>23.338000000000001</v>
      </c>
      <c r="AA137" s="64">
        <f>ABS(Z137-Y137)</f>
        <v>23.290000000000003</v>
      </c>
      <c r="AB137" s="61" t="e">
        <f>VLOOKUP(A137,Enforcements!$C$7:$K$19,8,0)</f>
        <v>#N/A</v>
      </c>
      <c r="AC137" s="57" t="e">
        <f>VLOOKUP(A137,Enforcements!$C$7:$E$19,3,0)</f>
        <v>#N/A</v>
      </c>
      <c r="AD137" s="58" t="str">
        <f>IF(LEN(A137)=6,"0"&amp;A137,A137)</f>
        <v>0223-04</v>
      </c>
      <c r="AE137" s="8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AF137" s="84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/stypes="app*4044*20170105*" /stext=" 03:.+((SYSTEM_STATE.+slice.+state.+changed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88" t="str">
        <f t="shared" si="12"/>
        <v>"%USERPROFILE%\Documents\GitHub\eaglep3\Utilities\RefineRTDCRunTimes.py" --tripid 223-04 --locoid 4044 --swversion DE.1.0.8.0 --startMP 204:480 --initTime 2017-01-04T19:23:56 --startdatetime 2017-01-04T19:31:15 --delay 6 --endMP 204:233380 --enddatetime 2017-01-04T20:09:46 --enforcementcount 0 &gt;&gt;C:\Users\stu\Documents\GitHub\eaglep3-reporting\EC\2017-01-04-refined-times.txt</v>
      </c>
      <c r="AI137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{"issue":{"subject":"","project_id":79,"tracker_id":40,"status_id":1,"priority_id":2,"assigned_to_id":23,"start_date":"2017-01-04","description":"","custom_fields":[{"id":1,"name":"Subdivision","value":"EC"},{"id":4,"name":"Milepost","value":"23.338"},{"id":17,"name":"Train ID","value":"223-04"},{"id":16,"name":"Locomotive ID","value":"4044"},{"id":130,"name":"Impact","value":""},{"id":150,"name":"Time of Event (Mountain Time)","value":"20:09:46"},{"id":151,"name":"Denver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14"/>
        <v>start /low /b %USERPROFILE%\Documents\GitHub\eaglep3\Utilities\DownloadLogsFromS3.py --loco 4044 --day 2017-01-04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663</v>
      </c>
      <c r="B138" s="7">
        <v>4043</v>
      </c>
      <c r="C138" s="22" t="s">
        <v>203</v>
      </c>
      <c r="D138" s="22" t="s">
        <v>753</v>
      </c>
      <c r="E138" s="13">
        <v>42739.846076388887</v>
      </c>
      <c r="F138" s="13">
        <v>42739.851724537039</v>
      </c>
      <c r="G138" s="7">
        <v>1</v>
      </c>
      <c r="H138" s="22" t="s">
        <v>259</v>
      </c>
      <c r="I138" s="13">
        <v>42739.879293981481</v>
      </c>
      <c r="J138" s="7">
        <v>0</v>
      </c>
      <c r="K138" s="105" t="str">
        <f>IF(ISEVEN(B138),(B138-1)&amp;"/"&amp;B138,B138&amp;"/"&amp;(B138+1))</f>
        <v>4043/4044</v>
      </c>
      <c r="L138" s="22" t="str">
        <f>VLOOKUP(A138,'Trips&amp;Operators'!$C$1:$G$99999,5,FALSE)</f>
        <v>STORY SAMANTHA</v>
      </c>
      <c r="M138" s="6">
        <f>I138-F138</f>
        <v>2.7569444442633539E-2</v>
      </c>
      <c r="N138" s="7">
        <f>24*60*SUM($M138:$M138)</f>
        <v>39.699999997392297</v>
      </c>
      <c r="O138" s="7"/>
      <c r="P138" s="7"/>
      <c r="Q138" s="23"/>
      <c r="R138" s="23"/>
      <c r="S138" s="32">
        <f>SUM(U138:U138)/IF(AG138="EC",12,1)</f>
        <v>1</v>
      </c>
      <c r="T138" s="47" t="str">
        <f>IF(ISEVEN(LEFT(AD138,4)),"Southbound","NorthBound")</f>
        <v>Southbound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hh:mm:ss")&amp;utc_offset&amp;"00',mode:absolute,to:'"&amp;TEXT(I138+1/24,"yyyy-MM-DD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https://search-rtdc-monitor-bjffxe2xuh6vdkpspy63sjmuny.us-east-1.es.amazonaws.com/_plugin/kibana/#/discover/Steve-Slow-Train-Analysis-(2080s-and-2083s)?_g=(refreshInterval:(display:Off,section:0,value:0),time:(from:'2017-01-04 19:18:21-700',mode:absolute,to:'2017-01-04 22:06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8" s="49" t="str">
        <f>IF(AA138&lt;IF(AG138="EC",23,5.65),"Y","N")</f>
        <v>N</v>
      </c>
      <c r="X138" s="173">
        <f>VALUE(LEFT(AD138,4))-VALUE(LEFT(AD137,4))</f>
        <v>1</v>
      </c>
      <c r="Y138" s="64">
        <f t="shared" si="10"/>
        <v>23.307600000000001</v>
      </c>
      <c r="Z138" s="64">
        <f t="shared" si="11"/>
        <v>1.38E-2</v>
      </c>
      <c r="AA138" s="64">
        <f>ABS(Z138-Y138)</f>
        <v>23.293800000000001</v>
      </c>
      <c r="AB138" s="61" t="e">
        <f>VLOOKUP(A138,Enforcements!$C$7:$K$19,8,0)</f>
        <v>#N/A</v>
      </c>
      <c r="AC138" s="57" t="e">
        <f>VLOOKUP(A138,Enforcements!$C$7:$E$19,3,0)</f>
        <v>#N/A</v>
      </c>
      <c r="AD138" s="58" t="str">
        <f>IF(LEN(A138)=6,"0"&amp;A138,A138)</f>
        <v>0224-04</v>
      </c>
      <c r="AE138" s="8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s3://rtdc.mdm.uploadarchive.raw/RTDC4043/ "%USERPROFILE%\AppData\Local\Temp\OnboardLogs"\RTDC4043\2017-01-04 --exclude "*" --recursive --include "*20170104*" &amp; "%USERPROFILE%\Documents\GitHub\mrs-test-scripts\Headless Mode &amp; Sideloading\WalkAndUnGZ.bat" "%USERPROFILE%\AppData\Local\Temp\OnboardLogs"\RTDC4043\2017-01-04 &amp; 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</v>
      </c>
      <c r="AF138" s="84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/stypes="app*4043*20170105*" /stext=" 04:.+((SYSTEM_STATE.+slice.+state.+changed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88" t="str">
        <f t="shared" si="12"/>
        <v>"%USERPROFILE%\Documents\GitHub\eaglep3\Utilities\RefineRTDCRunTimes.py" --tripid 224-04 --locoid 4043 --swversion DE.1.0.8.0 --startMP 204:233076 --initTime 2017-01-04T20:18:21 --startdatetime 2017-01-04T20:26:29 --delay 1 --endMP 204:138 --enddatetime 2017-01-04T21:06:11 --enforcementcount 0 &gt;&gt;C:\Users\stu\Documents\GitHub\eaglep3-reporting\EC\2017-01-04-refined-times.txt</v>
      </c>
      <c r="AI138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{"issue":{"subject":"","project_id":79,"tracker_id":40,"status_id":1,"priority_id":2,"assigned_to_id":23,"start_date":"2017-01-04","description":"","custom_fields":[{"id":1,"name":"Subdivision","value":"EC"},{"id":4,"name":"Milepost","value":"0.0138"},{"id":17,"name":"Train ID","value":"224-04"},{"id":16,"name":"Locomotive ID","value":"4043"},{"id":130,"name":"Impact","value":""},{"id":150,"name":"Time of Event (Mountain Time)","value":"21:06:11"},{"id":151,"name":"Denver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14"/>
        <v>start /low /b %USERPROFILE%\Documents\GitHub\eaglep3\Utilities\DownloadLogsFromS3.py --loco 4043 --day 2017-01-04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661</v>
      </c>
      <c r="B139" s="7">
        <v>4016</v>
      </c>
      <c r="C139" s="22" t="s">
        <v>203</v>
      </c>
      <c r="D139" s="22" t="s">
        <v>307</v>
      </c>
      <c r="E139" s="13">
        <v>42739.831203703703</v>
      </c>
      <c r="F139" s="13">
        <v>42739.833657407406</v>
      </c>
      <c r="G139" s="7">
        <v>1</v>
      </c>
      <c r="H139" s="22" t="s">
        <v>286</v>
      </c>
      <c r="I139" s="13">
        <v>42739.861319444448</v>
      </c>
      <c r="J139" s="7">
        <v>0</v>
      </c>
      <c r="K139" s="105" t="str">
        <f>IF(ISEVEN(B139),(B139-1)&amp;"/"&amp;B139,B139&amp;"/"&amp;(B139+1))</f>
        <v>4015/4016</v>
      </c>
      <c r="L139" s="22" t="str">
        <f>VLOOKUP(A139,'Trips&amp;Operators'!$C$1:$G$99999,5,FALSE)</f>
        <v>BROWN JACOB</v>
      </c>
      <c r="M139" s="6">
        <f>I139-F139</f>
        <v>2.7662037042318843E-2</v>
      </c>
      <c r="N139" s="7">
        <f>24*60*SUM($M139:$M139)</f>
        <v>39.833333340939134</v>
      </c>
      <c r="O139" s="7"/>
      <c r="P139" s="7"/>
      <c r="Q139" s="23"/>
      <c r="R139" s="23"/>
      <c r="S139" s="32">
        <f>SUM(U139:U139)/IF(AG139="EC",12,1)</f>
        <v>1</v>
      </c>
      <c r="T139" s="47" t="str">
        <f>IF(ISEVEN(LEFT(AD139,4)),"Southbound","NorthBound")</f>
        <v>NorthBound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https://search-rtdc-monitor-bjffxe2xuh6vdkpspy63sjmuny.us-east-1.es.amazonaws.com/_plugin/kibana/#/discover/Steve-Slow-Train-Analysis-(2080s-and-2083s)?_g=(refreshInterval:(display:Off,section:0,value:0),time:(from:'2017-01-04 18:56:56-700',mode:absolute,to:'2017-01-04 21:40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9" s="49" t="str">
        <f>IF(AA139&lt;IF(AG139="EC",23,5.65),"Y","N")</f>
        <v>N</v>
      </c>
      <c r="X139" s="173">
        <f>VALUE(LEFT(AD139,4))-VALUE(LEFT(AD138,4))</f>
        <v>1</v>
      </c>
      <c r="Y139" s="64">
        <f t="shared" si="10"/>
        <v>4.4400000000000002E-2</v>
      </c>
      <c r="Z139" s="64">
        <f t="shared" si="11"/>
        <v>23.331199999999999</v>
      </c>
      <c r="AA139" s="64">
        <f>ABS(Z139-Y139)</f>
        <v>23.286799999999999</v>
      </c>
      <c r="AB139" s="61" t="e">
        <f>VLOOKUP(A139,Enforcements!$C$7:$K$19,8,0)</f>
        <v>#N/A</v>
      </c>
      <c r="AC139" s="57" t="e">
        <f>VLOOKUP(A139,Enforcements!$C$7:$E$19,3,0)</f>
        <v>#N/A</v>
      </c>
      <c r="AD139" s="58" t="str">
        <f>IF(LEN(A139)=6,"0"&amp;A139,A139)</f>
        <v>0225-04</v>
      </c>
      <c r="AE139" s="8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AF139" s="84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/stypes="app*4016*20170105*" /stext=" 03:.+((SYSTEM_STATE.+slice.+state.+changed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88" t="str">
        <f t="shared" si="12"/>
        <v>"%USERPROFILE%\Documents\GitHub\eaglep3\Utilities\RefineRTDCRunTimes.py" --tripid 225-04 --locoid 4016 --swversion DE.1.0.8.0 --startMP 204:444 --initTime 2017-01-04T19:56:56 --startdatetime 2017-01-04T20:00:28 --delay 1 --endMP 204:233312 --enddatetime 2017-01-04T20:40:18 --enforcementcount 0 &gt;&gt;C:\Users\stu\Documents\GitHub\eaglep3-reporting\EC\2017-01-04-refined-times.txt</v>
      </c>
      <c r="AI139" s="115" t="str">
        <f t="shared" si="13"/>
        <v>echo {"issue":{"subject":"","project_id":79,"tracker_id":40,"status_id":1,"priority_id":2,"assigned_to_id":23,"start_date":"2017-01-04","description":"","custom_fields":[{"id":1,"name":"Subdivision","value":"EC"},{"id":4,"name":"Milepost","value":"23.3312"},{"id":17,"name":"Train ID","value":"225-04"},{"id":16,"name":"Locomotive ID","value":"4016"},{"id":130,"name":"Impact","value":""},{"id":150,"name":"Time of Event (Mountain Time)","value":"20:40:18"},{"id":151,"name":"Denver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14"/>
        <v>start /low /b %USERPROFILE%\Documents\GitHub\eaglep3\Utilities\DownloadLogsFromS3.py --loco 4016 --day 2017-01-04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471</v>
      </c>
      <c r="B140" s="7">
        <v>4015</v>
      </c>
      <c r="C140" s="22" t="s">
        <v>203</v>
      </c>
      <c r="D140" s="22" t="s">
        <v>342</v>
      </c>
      <c r="E140" s="13">
        <v>42739.864872685182</v>
      </c>
      <c r="F140" s="13">
        <v>42739.872407407405</v>
      </c>
      <c r="G140" s="7">
        <v>1</v>
      </c>
      <c r="H140" s="22" t="s">
        <v>250</v>
      </c>
      <c r="I140" s="13">
        <v>42739.901608796295</v>
      </c>
      <c r="J140" s="7">
        <v>0</v>
      </c>
      <c r="K140" s="105" t="str">
        <f>IF(ISEVEN(B140),(B140-1)&amp;"/"&amp;B140,B140&amp;"/"&amp;(B140+1))</f>
        <v>4015/4016</v>
      </c>
      <c r="L140" s="22" t="str">
        <f>VLOOKUP(A140,'Trips&amp;Operators'!$C$1:$G$99999,5,FALSE)</f>
        <v>BROWN JACOB</v>
      </c>
      <c r="M140" s="6">
        <f>I140-F140</f>
        <v>2.920138889021473E-2</v>
      </c>
      <c r="N140" s="7">
        <f>24*60*SUM($M140:$M140)</f>
        <v>42.050000001909211</v>
      </c>
      <c r="O140" s="7"/>
      <c r="P140" s="7"/>
      <c r="Q140" s="23"/>
      <c r="R140" s="23"/>
      <c r="S140" s="32">
        <f>SUM(U140:U140)/IF(AG140="EC",12,1)</f>
        <v>1</v>
      </c>
      <c r="T140" s="47" t="str">
        <f>IF(ISEVEN(LEFT(AD140,4)),"Southbound","NorthBound")</f>
        <v>Southbound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https://search-rtdc-monitor-bjffxe2xuh6vdkpspy63sjmuny.us-east-1.es.amazonaws.com/_plugin/kibana/#/discover/Steve-Slow-Train-Analysis-(2080s-and-2083s)?_g=(refreshInterval:(display:Off,section:0,value:0),time:(from:'2017-01-04 19:45:25-700',mode:absolute,to:'2017-01-04 22:38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0" s="49" t="str">
        <f>IF(AA140&lt;IF(AG140="EC",23,5.65),"Y","N")</f>
        <v>N</v>
      </c>
      <c r="X140" s="173">
        <f>VALUE(LEFT(AD140,4))-VALUE(LEFT(AD139,4))</f>
        <v>1</v>
      </c>
      <c r="Y140" s="64">
        <f t="shared" ref="Y140:Y203" si="17">RIGHT(D140,LEN(D140)-4)/10000</f>
        <v>23.298999999999999</v>
      </c>
      <c r="Z140" s="64">
        <f t="shared" ref="Z140:Z203" si="18">RIGHT(H140,LEN(H140)-4)/10000</f>
        <v>1.3899999999999999E-2</v>
      </c>
      <c r="AA140" s="64">
        <f>ABS(Z140-Y140)</f>
        <v>23.2851</v>
      </c>
      <c r="AB140" s="61" t="str">
        <f>VLOOKUP(A140,Enforcements!$C$7:$K$19,8,0)</f>
        <v>Speed (6)</v>
      </c>
      <c r="AC140" s="57" t="str">
        <f>VLOOKUP(A140,Enforcements!$C$7:$E$19,3,0)</f>
        <v>PERMANENT SPEED RESTRICTION</v>
      </c>
      <c r="AD140" s="58" t="str">
        <f>IF(LEN(A140)=6,"0"&amp;A140,A140)</f>
        <v>0226-04</v>
      </c>
      <c r="AE140" s="8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 &amp; 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</v>
      </c>
      <c r="AF140" s="84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/stypes="app*4015*20170105*" /stext=" 04:.+((SYSTEM_STATE.+slice.+state.+changed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88" t="str">
        <f t="shared" ref="AH140:AH203" si="19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226-04 --locoid 4015 --swversion DE.1.0.8.0 --startMP 204:232990 --initTime 2017-01-04T20:45:25 --startdatetime 2017-01-04T20:56:16 --delay 1 --endMP 204:139 --enddatetime 2017-01-04T21:38:19 --enforcementcount 0 &gt;&gt;C:\Users\stu\Documents\GitHub\eaglep3-reporting\EC\2017-01-04-refined-times.txt</v>
      </c>
      <c r="AI140" s="115" t="str">
        <f t="shared" ref="AI140:AI203" si="20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{"issue":{"subject":"","project_id":79,"tracker_id":40,"status_id":1,"priority_id":2,"assigned_to_id":23,"start_date":"2017-01-04","description":"","custom_fields":[{"id":1,"name":"Subdivision","value":"EC"},{"id":4,"name":"Milepost","value":"0.0139"},{"id":17,"name":"Train ID","value":"226-04"},{"id":16,"name":"Locomotive ID","value":"4015"},{"id":130,"name":"Impact","value":""},{"id":150,"name":"Time of Event (Mountain Time)","value":"21:38:19"},{"id":151,"name":"Denver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ref="AM140:AM203" si="21">"start /low /b "&amp;dls3logs&amp;" --loco "&amp;B140&amp;" --day "&amp;TEXT(F140,"YYYY-MM-DD")</f>
        <v>start /low /b %USERPROFILE%\Documents\GitHub\eaglep3\Utilities\DownloadLogsFromS3.py --loco 4015 --day 2017-01-04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470</v>
      </c>
      <c r="B141" s="7">
        <v>4029</v>
      </c>
      <c r="C141" s="22" t="s">
        <v>203</v>
      </c>
      <c r="D141" s="22" t="s">
        <v>225</v>
      </c>
      <c r="E141" s="13">
        <v>42739.847893518519</v>
      </c>
      <c r="F141" s="13">
        <v>42739.854328703703</v>
      </c>
      <c r="G141" s="7">
        <v>1</v>
      </c>
      <c r="H141" s="22" t="s">
        <v>341</v>
      </c>
      <c r="I141" s="13">
        <v>42739.881574074076</v>
      </c>
      <c r="J141" s="7">
        <v>0</v>
      </c>
      <c r="K141" s="105" t="str">
        <f>IF(ISEVEN(B141),(B141-1)&amp;"/"&amp;B141,B141&amp;"/"&amp;(B141+1))</f>
        <v>4029/4030</v>
      </c>
      <c r="L141" s="22" t="str">
        <f>VLOOKUP(A141,'Trips&amp;Operators'!$C$1:$G$99999,5,FALSE)</f>
        <v>NEWELL JAMES</v>
      </c>
      <c r="M141" s="6">
        <f>I141-F141</f>
        <v>2.7245370372838806E-2</v>
      </c>
      <c r="N141" s="7">
        <f>24*60*SUM($M141:$M141)</f>
        <v>39.233333336887881</v>
      </c>
      <c r="O141" s="7"/>
      <c r="P141" s="7"/>
      <c r="Q141" s="23"/>
      <c r="R141" s="23"/>
      <c r="S141" s="32">
        <f>SUM(U141:U141)/IF(AG141="EC",12,1)</f>
        <v>1</v>
      </c>
      <c r="T141" s="47" t="str">
        <f>IF(ISEVEN(LEFT(AD141,4)),"Southbound","NorthBound")</f>
        <v>NorthBound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https://search-rtdc-monitor-bjffxe2xuh6vdkpspy63sjmuny.us-east-1.es.amazonaws.com/_plugin/kibana/#/discover/Steve-Slow-Train-Analysis-(2080s-and-2083s)?_g=(refreshInterval:(display:Off,section:0,value:0),time:(from:'2017-01-04 19:20:58-700',mode:absolute,to:'2017-01-04 22:09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1" s="49" t="str">
        <f>IF(AA141&lt;IF(AG141="EC",23,5.65),"Y","N")</f>
        <v>N</v>
      </c>
      <c r="X141" s="173">
        <f>VALUE(LEFT(AD141,4))-VALUE(LEFT(AD140,4))</f>
        <v>1</v>
      </c>
      <c r="Y141" s="64">
        <f t="shared" si="17"/>
        <v>4.5499999999999999E-2</v>
      </c>
      <c r="Z141" s="64">
        <f t="shared" si="18"/>
        <v>23.330300000000001</v>
      </c>
      <c r="AA141" s="64">
        <f>ABS(Z141-Y141)</f>
        <v>23.284800000000001</v>
      </c>
      <c r="AB141" s="61" t="str">
        <f>VLOOKUP(A141,Enforcements!$C$7:$K$19,8,0)</f>
        <v>Signal based authority (5)</v>
      </c>
      <c r="AC141" s="57" t="str">
        <f>VLOOKUP(A141,Enforcements!$C$7:$E$19,3,0)</f>
        <v>SIGNAL</v>
      </c>
      <c r="AD141" s="58" t="str">
        <f>IF(LEN(A141)=6,"0"&amp;A141,A141)</f>
        <v>0227-04</v>
      </c>
      <c r="AE141" s="8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 &amp; 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</v>
      </c>
      <c r="AF141" s="84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/stypes="app*4029*20170105*" /stext=" 04:.+((SYSTEM_STATE.+slice.+state.+changed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88" t="str">
        <f t="shared" si="19"/>
        <v>"%USERPROFILE%\Documents\GitHub\eaglep3\Utilities\RefineRTDCRunTimes.py" --tripid 227-04 --locoid 4029 --swversion DE.1.0.8.0 --startMP 204:455 --initTime 2017-01-04T20:20:58 --startdatetime 2017-01-04T20:30:14 --delay 1 --endMP 204:233303 --enddatetime 2017-01-04T21:09:28 --enforcementcount 0 &gt;&gt;C:\Users\stu\Documents\GitHub\eaglep3-reporting\EC\2017-01-04-refined-times.txt</v>
      </c>
      <c r="AI141" s="115" t="str">
        <f t="shared" si="20"/>
        <v>echo {"issue":{"subject":"","project_id":79,"tracker_id":40,"status_id":1,"priority_id":2,"assigned_to_id":23,"start_date":"2017-01-04","description":"","custom_fields":[{"id":1,"name":"Subdivision","value":"EC"},{"id":4,"name":"Milepost","value":"23.3303"},{"id":17,"name":"Train ID","value":"227-04"},{"id":16,"name":"Locomotive ID","value":"4029"},{"id":130,"name":"Impact","value":""},{"id":150,"name":"Time of Event (Mountain Time)","value":"21:09:28"},{"id":151,"name":"Denver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21"/>
        <v>start /low /b %USERPROFILE%\Documents\GitHub\eaglep3\Utilities\DownloadLogsFromS3.py --loco 4029 --day 2017-01-04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667</v>
      </c>
      <c r="B142" s="7">
        <v>4030</v>
      </c>
      <c r="C142" s="22" t="s">
        <v>203</v>
      </c>
      <c r="D142" s="22" t="s">
        <v>290</v>
      </c>
      <c r="E142" s="13">
        <v>42739.888726851852</v>
      </c>
      <c r="F142" s="13">
        <v>42739.937685185185</v>
      </c>
      <c r="G142" s="7">
        <v>1</v>
      </c>
      <c r="H142" s="22" t="s">
        <v>192</v>
      </c>
      <c r="I142" s="13">
        <v>42739.964502314811</v>
      </c>
      <c r="J142" s="7">
        <v>0</v>
      </c>
      <c r="K142" s="105" t="str">
        <f>IF(ISEVEN(B142),(B142-1)&amp;"/"&amp;B142,B142&amp;"/"&amp;(B142+1))</f>
        <v>4029/4030</v>
      </c>
      <c r="L142" s="22" t="str">
        <f>VLOOKUP(A142,'Trips&amp;Operators'!$C$1:$G$99999,5,FALSE)</f>
        <v>NEWELL JAMES</v>
      </c>
      <c r="M142" s="6">
        <f>I142-F142</f>
        <v>2.6817129626579117E-2</v>
      </c>
      <c r="N142" s="7">
        <f>24*60*SUM($M142:$M142)</f>
        <v>38.616666662273929</v>
      </c>
      <c r="O142" s="7"/>
      <c r="P142" s="7"/>
      <c r="Q142" s="23"/>
      <c r="R142" s="23"/>
      <c r="S142" s="32">
        <f>SUM(U142:U142)/IF(AG142="EC",12,1)</f>
        <v>1</v>
      </c>
      <c r="T142" s="47" t="str">
        <f>IF(ISEVEN(LEFT(AD142,4)),"Southbound","NorthBound")</f>
        <v>Southbound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https://search-rtdc-monitor-bjffxe2xuh6vdkpspy63sjmuny.us-east-1.es.amazonaws.com/_plugin/kibana/#/discover/Steve-Slow-Train-Analysis-(2080s-and-2083s)?_g=(refreshInterval:(display:Off,section:0,value:0),time:(from:'2017-01-04 20:19:46-700',mode:absolute,to:'2017-01-05 00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2" s="49" t="str">
        <f>IF(AA142&lt;IF(AG142="EC",23,5.65),"Y","N")</f>
        <v>N</v>
      </c>
      <c r="X142" s="173">
        <f>VALUE(LEFT(AD142,4))-VALUE(LEFT(AD141,4))</f>
        <v>1</v>
      </c>
      <c r="Y142" s="64">
        <f t="shared" si="17"/>
        <v>23.298200000000001</v>
      </c>
      <c r="Z142" s="64">
        <f t="shared" si="18"/>
        <v>1.43E-2</v>
      </c>
      <c r="AA142" s="64">
        <f>ABS(Z142-Y142)</f>
        <v>23.283900000000003</v>
      </c>
      <c r="AB142" s="61" t="e">
        <f>VLOOKUP(A142,Enforcements!$C$7:$K$19,8,0)</f>
        <v>#N/A</v>
      </c>
      <c r="AC142" s="57" t="e">
        <f>VLOOKUP(A142,Enforcements!$C$7:$E$19,3,0)</f>
        <v>#N/A</v>
      </c>
      <c r="AD142" s="58" t="str">
        <f>IF(LEN(A142)=6,"0"&amp;A142,A142)</f>
        <v>0228-04</v>
      </c>
      <c r="AE142" s="8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 &amp; 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</v>
      </c>
      <c r="AF142" s="84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/stypes="app*4030*20170105*" /stext=" 06:.+((SYSTEM_STATE.+slice.+state.+changed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88" t="str">
        <f t="shared" si="19"/>
        <v>"%USERPROFILE%\Documents\GitHub\eaglep3\Utilities\RefineRTDCRunTimes.py" --tripid 228-04 --locoid 4030 --swversion DE.1.0.8.0 --startMP 204:232982 --initTime 2017-01-04T21:19:46 --startdatetime 2017-01-04T22:30:16 --delay 1 --endMP 204:143 --enddatetime 2017-01-04T23:08:53 --enforcementcount 0 &gt;&gt;C:\Users\stu\Documents\GitHub\eaglep3-reporting\EC\2017-01-04-refined-times.txt</v>
      </c>
      <c r="AI142" s="115" t="str">
        <f t="shared" si="20"/>
        <v>echo {"issue":{"subject":"","project_id":79,"tracker_id":40,"status_id":1,"priority_id":2,"assigned_to_id":23,"start_date":"2017-01-04","description":"","custom_fields":[{"id":1,"name":"Subdivision","value":"EC"},{"id":4,"name":"Milepost","value":"0.0143"},{"id":17,"name":"Train ID","value":"228-04"},{"id":16,"name":"Locomotive ID","value":"4030"},{"id":130,"name":"Impact","value":""},{"id":150,"name":"Time of Event (Mountain Time)","value":"23:08:53"},{"id":151,"name":"Denver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21"/>
        <v>start /low /b %USERPROFILE%\Documents\GitHub\eaglep3\Utilities\DownloadLogsFromS3.py --loco 4030 --day 2017-01-04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665</v>
      </c>
      <c r="B143" s="7">
        <v>4002</v>
      </c>
      <c r="C143" s="22" t="s">
        <v>203</v>
      </c>
      <c r="D143" s="22" t="s">
        <v>326</v>
      </c>
      <c r="E143" s="13">
        <v>42739.869456018518</v>
      </c>
      <c r="F143" s="13">
        <v>42739.875138888892</v>
      </c>
      <c r="G143" s="7">
        <v>1</v>
      </c>
      <c r="H143" s="22" t="s">
        <v>754</v>
      </c>
      <c r="I143" s="13">
        <v>42739.901585648149</v>
      </c>
      <c r="J143" s="7">
        <v>0</v>
      </c>
      <c r="K143" s="105" t="str">
        <f>IF(ISEVEN(B143),(B143-1)&amp;"/"&amp;B143,B143&amp;"/"&amp;(B143+1))</f>
        <v>4001/4002</v>
      </c>
      <c r="L143" s="22" t="str">
        <f>VLOOKUP(A143,'Trips&amp;Operators'!$C$1:$G$99999,5,FALSE)</f>
        <v>HILLS DUSTIN</v>
      </c>
      <c r="M143" s="6">
        <f>I143-F143</f>
        <v>2.6446759256941732E-2</v>
      </c>
      <c r="N143" s="7">
        <f>24*60*SUM($M143:$M143)</f>
        <v>38.083333329996094</v>
      </c>
      <c r="O143" s="7"/>
      <c r="P143" s="7"/>
      <c r="Q143" s="23"/>
      <c r="R143" s="23"/>
      <c r="S143" s="32">
        <f>SUM(U143:U143)/IF(AG143="EC",12,1)</f>
        <v>1</v>
      </c>
      <c r="T143" s="47" t="str">
        <f>IF(ISEVEN(LEFT(AD143,4)),"Southbound","NorthBound")</f>
        <v>NorthBound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https://search-rtdc-monitor-bjffxe2xuh6vdkpspy63sjmuny.us-east-1.es.amazonaws.com/_plugin/kibana/#/discover/Steve-Slow-Train-Analysis-(2080s-and-2083s)?_g=(refreshInterval:(display:Off,section:0,value:0),time:(from:'2017-01-04 19:52:01-700',mode:absolute,to:'2017-01-04 22:38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3" s="49" t="str">
        <f>IF(AA143&lt;IF(AG143="EC",23,5.65),"Y","N")</f>
        <v>N</v>
      </c>
      <c r="X143" s="173">
        <f>VALUE(LEFT(AD143,4))-VALUE(LEFT(AD142,4))</f>
        <v>1</v>
      </c>
      <c r="Y143" s="64">
        <f t="shared" si="17"/>
        <v>4.6699999999999998E-2</v>
      </c>
      <c r="Z143" s="64">
        <f t="shared" si="18"/>
        <v>23.3385</v>
      </c>
      <c r="AA143" s="64">
        <f>ABS(Z143-Y143)</f>
        <v>23.291799999999999</v>
      </c>
      <c r="AB143" s="61" t="e">
        <f>VLOOKUP(A143,Enforcements!$C$7:$K$19,8,0)</f>
        <v>#N/A</v>
      </c>
      <c r="AC143" s="57" t="e">
        <f>VLOOKUP(A143,Enforcements!$C$7:$E$19,3,0)</f>
        <v>#N/A</v>
      </c>
      <c r="AD143" s="58" t="str">
        <f>IF(LEN(A143)=6,"0"&amp;A143,A143)</f>
        <v>0229-04</v>
      </c>
      <c r="AE143" s="8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s3://rtdc.mdm.uploadarchive.raw/RTDC4002/ "%USERPROFILE%\AppData\Local\Temp\OnboardLogs"\RTDC4002\2017-01-04 --exclude "*" --recursive --include "*20170104*" &amp; "%USERPROFILE%\Documents\GitHub\mrs-test-scripts\Headless Mode &amp; Sideloading\WalkAndUnGZ.bat" "%USERPROFILE%\AppData\Local\Temp\OnboardLogs"\RTDC4002\2017-01-04 &amp; 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</v>
      </c>
      <c r="AF143" s="84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/stypes="app*4002*20170105*" /stext=" 04:.+((SYSTEM_STATE.+slice.+state.+changed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88" t="str">
        <f t="shared" si="19"/>
        <v>"%USERPROFILE%\Documents\GitHub\eaglep3\Utilities\RefineRTDCRunTimes.py" --tripid 229-04 --locoid 4002 --swversion DE.1.0.8.0 --startMP 204:467 --initTime 2017-01-04T20:52:01 --startdatetime 2017-01-04T21:00:12 --delay 1 --endMP 204:233385 --enddatetime 2017-01-04T21:38:17 --enforcementcount 0 &gt;&gt;C:\Users\stu\Documents\GitHub\eaglep3-reporting\EC\2017-01-04-refined-times.txt</v>
      </c>
      <c r="AI143" s="115" t="str">
        <f t="shared" si="20"/>
        <v>echo {"issue":{"subject":"","project_id":79,"tracker_id":40,"status_id":1,"priority_id":2,"assigned_to_id":23,"start_date":"2017-01-04","description":"","custom_fields":[{"id":1,"name":"Subdivision","value":"EC"},{"id":4,"name":"Milepost","value":"23.3385"},{"id":17,"name":"Train ID","value":"229-04"},{"id":16,"name":"Locomotive ID","value":"4002"},{"id":130,"name":"Impact","value":""},{"id":150,"name":"Time of Event (Mountain Time)","value":"21:38:17"},{"id":151,"name":"Denver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21"/>
        <v>start /low /b %USERPROFILE%\Documents\GitHub\eaglep3\Utilities\DownloadLogsFromS3.py --loco 4002 --day 2017-01-04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668</v>
      </c>
      <c r="B144" s="7">
        <v>4001</v>
      </c>
      <c r="C144" s="22" t="s">
        <v>203</v>
      </c>
      <c r="D144" s="22" t="s">
        <v>755</v>
      </c>
      <c r="E144" s="13">
        <v>42739.902905092589</v>
      </c>
      <c r="F144" s="13">
        <v>42739.914317129631</v>
      </c>
      <c r="G144" s="7">
        <v>1</v>
      </c>
      <c r="H144" s="22" t="s">
        <v>731</v>
      </c>
      <c r="I144" s="13">
        <v>42739.94332175926</v>
      </c>
      <c r="J144" s="7">
        <v>0</v>
      </c>
      <c r="K144" s="105" t="str">
        <f>IF(ISEVEN(B144),(B144-1)&amp;"/"&amp;B144,B144&amp;"/"&amp;(B144+1))</f>
        <v>4001/4002</v>
      </c>
      <c r="L144" s="22" t="str">
        <f>VLOOKUP(A144,'Trips&amp;Operators'!$C$1:$G$99999,5,FALSE)</f>
        <v>HILLS DUSTIN</v>
      </c>
      <c r="M144" s="6">
        <f>I144-F144</f>
        <v>2.9004629628616385E-2</v>
      </c>
      <c r="N144" s="7">
        <f>24*60*SUM($M144:$M144)</f>
        <v>41.766666665207595</v>
      </c>
      <c r="O144" s="7"/>
      <c r="P144" s="7"/>
      <c r="Q144" s="23"/>
      <c r="R144" s="23"/>
      <c r="S144" s="32">
        <f>SUM(U144:U144)/IF(AG144="EC",12,1)</f>
        <v>1</v>
      </c>
      <c r="T144" s="47" t="str">
        <f>IF(ISEVEN(LEFT(AD144,4)),"Southbound","NorthBound")</f>
        <v>Southbound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https://search-rtdc-monitor-bjffxe2xuh6vdkpspy63sjmuny.us-east-1.es.amazonaws.com/_plugin/kibana/#/discover/Steve-Slow-Train-Analysis-(2080s-and-2083s)?_g=(refreshInterval:(display:Off,section:0,value:0),time:(from:'2017-01-04 20:40:11-700',mode:absolute,to:'2017-01-04 23:38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4" s="49" t="str">
        <f>IF(AA144&lt;IF(AG144="EC",23,5.65),"Y","N")</f>
        <v>N</v>
      </c>
      <c r="X144" s="173">
        <f>VALUE(LEFT(AD144,4))-VALUE(LEFT(AD143,4))</f>
        <v>1</v>
      </c>
      <c r="Y144" s="64">
        <f t="shared" si="17"/>
        <v>23.3094</v>
      </c>
      <c r="Z144" s="64">
        <f t="shared" si="18"/>
        <v>1.21E-2</v>
      </c>
      <c r="AA144" s="64">
        <f>ABS(Z144-Y144)</f>
        <v>23.2973</v>
      </c>
      <c r="AB144" s="61" t="e">
        <f>VLOOKUP(A144,Enforcements!$C$7:$K$19,8,0)</f>
        <v>#N/A</v>
      </c>
      <c r="AC144" s="57" t="e">
        <f>VLOOKUP(A144,Enforcements!$C$7:$E$19,3,0)</f>
        <v>#N/A</v>
      </c>
      <c r="AD144" s="58" t="str">
        <f>IF(LEN(A144)=6,"0"&amp;A144,A144)</f>
        <v>0230-04</v>
      </c>
      <c r="AE144" s="8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s3://rtdc.mdm.uploadarchive.raw/RTDC4001/ "%USERPROFILE%\AppData\Local\Temp\OnboardLogs"\RTDC4001\2017-01-04 --exclude "*" --recursive --include "*20170104*" &amp; "%USERPROFILE%\Documents\GitHub\mrs-test-scripts\Headless Mode &amp; Sideloading\WalkAndUnGZ.bat" "%USERPROFILE%\AppData\Local\Temp\OnboardLogs"\RTDC4001\2017-01-04 &amp; 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</v>
      </c>
      <c r="AF144" s="84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/stypes="app*4001*20170105*" /stext=" 05:.+((SYSTEM_STATE.+slice.+state.+changed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88" t="str">
        <f t="shared" si="19"/>
        <v>"%USERPROFILE%\Documents\GitHub\eaglep3\Utilities\RefineRTDCRunTimes.py" --tripid 230-04 --locoid 4001 --swversion DE.1.0.8.0 --startMP 204:233094 --initTime 2017-01-04T21:40:11 --startdatetime 2017-01-04T21:56:37 --delay 1 --endMP 204:121 --enddatetime 2017-01-04T22:38:23 --enforcementcount 0 &gt;&gt;C:\Users\stu\Documents\GitHub\eaglep3-reporting\EC\2017-01-04-refined-times.txt</v>
      </c>
      <c r="AI144" s="115" t="str">
        <f t="shared" si="20"/>
        <v>echo {"issue":{"subject":"","project_id":79,"tracker_id":40,"status_id":1,"priority_id":2,"assigned_to_id":23,"start_date":"2017-01-04","description":"","custom_fields":[{"id":1,"name":"Subdivision","value":"EC"},{"id":4,"name":"Milepost","value":"0.0121"},{"id":17,"name":"Train ID","value":"230-04"},{"id":16,"name":"Locomotive ID","value":"4001"},{"id":130,"name":"Impact","value":""},{"id":150,"name":"Time of Event (Mountain Time)","value":"22:38:23"},{"id":151,"name":"Denver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21"/>
        <v>start /low /b %USERPROFILE%\Documents\GitHub\eaglep3\Utilities\DownloadLogsFromS3.py --loco 4001 --day 2017-01-04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473</v>
      </c>
      <c r="B145" s="7">
        <v>4044</v>
      </c>
      <c r="C145" s="22" t="s">
        <v>203</v>
      </c>
      <c r="D145" s="22" t="s">
        <v>225</v>
      </c>
      <c r="E145" s="13">
        <v>42739.886331018519</v>
      </c>
      <c r="F145" s="13">
        <v>42739.896168981482</v>
      </c>
      <c r="G145" s="7">
        <v>1</v>
      </c>
      <c r="H145" s="22" t="s">
        <v>756</v>
      </c>
      <c r="I145" s="13">
        <v>42739.922581018516</v>
      </c>
      <c r="J145" s="7">
        <v>0</v>
      </c>
      <c r="K145" s="105" t="str">
        <f>IF(ISEVEN(B145),(B145-1)&amp;"/"&amp;B145,B145&amp;"/"&amp;(B145+1))</f>
        <v>4043/4044</v>
      </c>
      <c r="L145" s="22" t="str">
        <f>VLOOKUP(A145,'Trips&amp;Operators'!$C$1:$G$99999,5,FALSE)</f>
        <v>STORY SAMANTHA</v>
      </c>
      <c r="M145" s="6">
        <f>I145-F145</f>
        <v>2.6412037033878732E-2</v>
      </c>
      <c r="N145" s="7">
        <f>24*60*SUM($M145:$M145)</f>
        <v>38.033333328785375</v>
      </c>
      <c r="O145" s="7"/>
      <c r="P145" s="7"/>
      <c r="Q145" s="23"/>
      <c r="R145" s="23"/>
      <c r="S145" s="32">
        <f>SUM(U145:U145)/IF(AG145="EC",12,1)</f>
        <v>1</v>
      </c>
      <c r="T145" s="47" t="str">
        <f>IF(ISEVEN(LEFT(AD145,4)),"Southbound","NorthBound")</f>
        <v>NorthBound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hh:mm:ss")&amp;utc_offset&amp;"00',mode:absolute,to:'"&amp;TEXT(I145+1/24,"yyyy-MM-DD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https://search-rtdc-monitor-bjffxe2xuh6vdkpspy63sjmuny.us-east-1.es.amazonaws.com/_plugin/kibana/#/discover/Steve-Slow-Train-Analysis-(2080s-and-2083s)?_g=(refreshInterval:(display:Off,section:0,value:0),time:(from:'2017-01-04 20:16:19-700',mode:absolute,to:'2017-01-04 23:08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5" s="49" t="str">
        <f>IF(AA145&lt;IF(AG145="EC",23,5.65),"Y","N")</f>
        <v>N</v>
      </c>
      <c r="X145" s="173">
        <f>VALUE(LEFT(AD145,4))-VALUE(LEFT(AD144,4))</f>
        <v>1</v>
      </c>
      <c r="Y145" s="64">
        <f t="shared" si="17"/>
        <v>4.5499999999999999E-2</v>
      </c>
      <c r="Z145" s="64">
        <f t="shared" si="18"/>
        <v>23.338899999999999</v>
      </c>
      <c r="AA145" s="64">
        <f>ABS(Z145-Y145)</f>
        <v>23.293399999999998</v>
      </c>
      <c r="AB145" s="61" t="e">
        <f>VLOOKUP(A145,Enforcements!$C$7:$K$19,8,0)</f>
        <v>#N/A</v>
      </c>
      <c r="AC145" s="57" t="e">
        <f>VLOOKUP(A145,Enforcements!$C$7:$E$19,3,0)</f>
        <v>#N/A</v>
      </c>
      <c r="AD145" s="58" t="str">
        <f>IF(LEN(A145)=6,"0"&amp;A145,A145)</f>
        <v>0231-04</v>
      </c>
      <c r="AE145" s="8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AF145" s="84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/stypes="app*4044*20170105*" /stext=" 05:.+((SYSTEM_STATE.+slice.+state.+changed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88" t="str">
        <f t="shared" si="19"/>
        <v>"%USERPROFILE%\Documents\GitHub\eaglep3\Utilities\RefineRTDCRunTimes.py" --tripid 231-04 --locoid 4044 --swversion DE.1.0.8.0 --startMP 204:455 --initTime 2017-01-04T21:16:19 --startdatetime 2017-01-04T21:30:29 --delay 1 --endMP 204:233389 --enddatetime 2017-01-04T22:08:31 --enforcementcount 0 &gt;&gt;C:\Users\stu\Documents\GitHub\eaglep3-reporting\EC\2017-01-04-refined-times.txt</v>
      </c>
      <c r="AI145" s="115" t="str">
        <f t="shared" si="20"/>
        <v>echo {"issue":{"subject":"","project_id":79,"tracker_id":40,"status_id":1,"priority_id":2,"assigned_to_id":23,"start_date":"2017-01-04","description":"","custom_fields":[{"id":1,"name":"Subdivision","value":"EC"},{"id":4,"name":"Milepost","value":"23.3389"},{"id":17,"name":"Train ID","value":"231-04"},{"id":16,"name":"Locomotive ID","value":"4044"},{"id":130,"name":"Impact","value":""},{"id":150,"name":"Time of Event (Mountain Time)","value":"22:08:31"},{"id":151,"name":"Denver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21"/>
        <v>start /low /b %USERPROFILE%\Documents\GitHub\eaglep3\Utilities\DownloadLogsFromS3.py --loco 4044 --day 2017-01-04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670</v>
      </c>
      <c r="B146" s="7">
        <v>4043</v>
      </c>
      <c r="C146" s="22" t="s">
        <v>203</v>
      </c>
      <c r="D146" s="22" t="s">
        <v>757</v>
      </c>
      <c r="E146" s="13">
        <v>42739.92732638889</v>
      </c>
      <c r="F146" s="13">
        <v>42739.935173611113</v>
      </c>
      <c r="G146" s="7">
        <v>5</v>
      </c>
      <c r="H146" s="22" t="s">
        <v>191</v>
      </c>
      <c r="I146" s="13">
        <v>42739.965729166666</v>
      </c>
      <c r="J146" s="7">
        <v>0</v>
      </c>
      <c r="K146" s="105" t="str">
        <f>IF(ISEVEN(B146),(B146-1)&amp;"/"&amp;B146,B146&amp;"/"&amp;(B146+1))</f>
        <v>4043/4044</v>
      </c>
      <c r="L146" s="22" t="str">
        <f>VLOOKUP(A146,'Trips&amp;Operators'!$C$1:$G$99999,5,FALSE)</f>
        <v>STORY SAMANTHA</v>
      </c>
      <c r="M146" s="6">
        <f>I146-F146</f>
        <v>3.0555555553291924E-2</v>
      </c>
      <c r="N146" s="7">
        <f>24*60*SUM($M146:$M146)</f>
        <v>43.999999996740371</v>
      </c>
      <c r="O146" s="7"/>
      <c r="P146" s="7"/>
      <c r="Q146" s="23"/>
      <c r="R146" s="23"/>
      <c r="S146" s="32">
        <f>SUM(U146:U146)/IF(AG146="EC",12,1)</f>
        <v>1</v>
      </c>
      <c r="T146" s="47" t="str">
        <f>IF(ISEVEN(LEFT(AD146,4)),"Southbound","NorthBound")</f>
        <v>Southbound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hh:mm:ss")&amp;utc_offset&amp;"00',mode:absolute,to:'"&amp;TEXT(I146+1/24,"yyyy-MM-DD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https://search-rtdc-monitor-bjffxe2xuh6vdkpspy63sjmuny.us-east-1.es.amazonaws.com/_plugin/kibana/#/discover/Steve-Slow-Train-Analysis-(2080s-and-2083s)?_g=(refreshInterval:(display:Off,section:0,value:0),time:(from:'2017-01-04 21:15:21-700',mode:absolute,to:'2017-01-05 00:10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6" s="49" t="str">
        <f>IF(AA146&lt;IF(AG146="EC",23,5.65),"Y","N")</f>
        <v>N</v>
      </c>
      <c r="X146" s="173">
        <f>VALUE(LEFT(AD146,4))-VALUE(LEFT(AD145,4))</f>
        <v>1</v>
      </c>
      <c r="Y146" s="64">
        <f t="shared" si="17"/>
        <v>23.306100000000001</v>
      </c>
      <c r="Z146" s="64">
        <f t="shared" si="18"/>
        <v>1.49E-2</v>
      </c>
      <c r="AA146" s="64">
        <f>ABS(Z146-Y146)</f>
        <v>23.2912</v>
      </c>
      <c r="AB146" s="61" t="e">
        <f>VLOOKUP(A146,Enforcements!$C$7:$K$19,8,0)</f>
        <v>#N/A</v>
      </c>
      <c r="AC146" s="57" t="e">
        <f>VLOOKUP(A146,Enforcements!$C$7:$E$19,3,0)</f>
        <v>#N/A</v>
      </c>
      <c r="AD146" s="58" t="str">
        <f>IF(LEN(A146)=6,"0"&amp;A146,A146)</f>
        <v>0232-04</v>
      </c>
      <c r="AE146" s="8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s3://rtdc.mdm.uploadarchive.raw/RTDC4043/ "%USERPROFILE%\AppData\Local\Temp\OnboardLogs"\RTDC4043\2017-01-04 --exclude "*" --recursive --include "*20170104*" &amp; "%USERPROFILE%\Documents\GitHub\mrs-test-scripts\Headless Mode &amp; Sideloading\WalkAndUnGZ.bat" "%USERPROFILE%\AppData\Local\Temp\OnboardLogs"\RTDC4043\2017-01-04 &amp; 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</v>
      </c>
      <c r="AF146" s="84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/stypes="app*4043*20170105*" /stext=" 06:.+((SYSTEM_STATE.+slice.+state.+changed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88" t="str">
        <f t="shared" si="19"/>
        <v>"%USERPROFILE%\Documents\GitHub\eaglep3\Utilities\RefineRTDCRunTimes.py" --tripid 232-04 --locoid 4043 --swversion DE.1.0.8.0 --startMP 204:233061 --initTime 2017-01-04T22:15:21 --startdatetime 2017-01-04T22:26:39 --delay 5 --endMP 204:149 --enddatetime 2017-01-04T23:10:39 --enforcementcount 0 &gt;&gt;C:\Users\stu\Documents\GitHub\eaglep3-reporting\EC\2017-01-04-refined-times.txt</v>
      </c>
      <c r="AI146" s="115" t="str">
        <f t="shared" si="20"/>
        <v>echo {"issue":{"subject":"","project_id":79,"tracker_id":40,"status_id":1,"priority_id":2,"assigned_to_id":23,"start_date":"2017-01-04","description":"","custom_fields":[{"id":1,"name":"Subdivision","value":"EC"},{"id":4,"name":"Milepost","value":"0.0149"},{"id":17,"name":"Train ID","value":"232-04"},{"id":16,"name":"Locomotive ID","value":"4043"},{"id":130,"name":"Impact","value":""},{"id":150,"name":"Time of Event (Mountain Time)","value":"23:10:39"},{"id":151,"name":"Denver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21"/>
        <v>start /low /b %USERPROFILE%\Documents\GitHub\eaglep3\Utilities\DownloadLogsFromS3.py --loco 4043 --day 2017-01-04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669</v>
      </c>
      <c r="B147" s="7">
        <v>4016</v>
      </c>
      <c r="C147" s="22" t="s">
        <v>203</v>
      </c>
      <c r="D147" s="22" t="s">
        <v>246</v>
      </c>
      <c r="E147" s="13">
        <v>42739.908113425925</v>
      </c>
      <c r="F147" s="13">
        <v>42739.916851851849</v>
      </c>
      <c r="G147" s="7">
        <v>1</v>
      </c>
      <c r="H147" s="22" t="s">
        <v>758</v>
      </c>
      <c r="I147" s="13">
        <v>42739.942337962966</v>
      </c>
      <c r="J147" s="7">
        <v>0</v>
      </c>
      <c r="K147" s="105" t="str">
        <f>IF(ISEVEN(B147),(B147-1)&amp;"/"&amp;B147,B147&amp;"/"&amp;(B147+1))</f>
        <v>4015/4016</v>
      </c>
      <c r="L147" s="22" t="str">
        <f>VLOOKUP(A147,'Trips&amp;Operators'!$C$1:$G$99999,5,FALSE)</f>
        <v>BROWN JACOB</v>
      </c>
      <c r="M147" s="6">
        <f>I147-F147</f>
        <v>2.5486111117061228E-2</v>
      </c>
      <c r="N147" s="7">
        <f>24*60*SUM($M147:$M147)</f>
        <v>36.700000008568168</v>
      </c>
      <c r="O147" s="7"/>
      <c r="P147" s="7"/>
      <c r="Q147" s="23"/>
      <c r="R147" s="23"/>
      <c r="S147" s="32">
        <f>SUM(U147:U147)/IF(AG147="EC",12,1)</f>
        <v>1</v>
      </c>
      <c r="T147" s="47" t="str">
        <f>IF(ISEVEN(LEFT(AD147,4)),"Southbound","NorthBound")</f>
        <v>NorthBound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hh:mm:ss")&amp;utc_offset&amp;"00',mode:absolute,to:'"&amp;TEXT(I147+1/24,"yyyy-MM-DD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https://search-rtdc-monitor-bjffxe2xuh6vdkpspy63sjmuny.us-east-1.es.amazonaws.com/_plugin/kibana/#/discover/Steve-Slow-Train-Analysis-(2080s-and-2083s)?_g=(refreshInterval:(display:Off,section:0,value:0),time:(from:'2017-01-04 20:47:41-700',mode:absolute,to:'2017-01-04 23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7" s="49" t="str">
        <f>IF(AA147&lt;IF(AG147="EC",23,5.65),"Y","N")</f>
        <v>N</v>
      </c>
      <c r="X147" s="173">
        <f>VALUE(LEFT(AD147,4))-VALUE(LEFT(AD146,4))</f>
        <v>1</v>
      </c>
      <c r="Y147" s="64">
        <f t="shared" si="17"/>
        <v>4.53E-2</v>
      </c>
      <c r="Z147" s="64">
        <f t="shared" si="18"/>
        <v>23.334199999999999</v>
      </c>
      <c r="AA147" s="64">
        <f>ABS(Z147-Y147)</f>
        <v>23.288899999999998</v>
      </c>
      <c r="AB147" s="61" t="e">
        <f>VLOOKUP(A147,Enforcements!$C$7:$K$19,8,0)</f>
        <v>#N/A</v>
      </c>
      <c r="AC147" s="57" t="e">
        <f>VLOOKUP(A147,Enforcements!$C$7:$E$19,3,0)</f>
        <v>#N/A</v>
      </c>
      <c r="AD147" s="58" t="str">
        <f>IF(LEN(A147)=6,"0"&amp;A147,A147)</f>
        <v>0233-04</v>
      </c>
      <c r="AE147" s="8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AF147" s="84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/stypes="app*4016*20170105*" /stext=" 05:.+((SYSTEM_STATE.+slice.+state.+changed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88" t="str">
        <f t="shared" si="19"/>
        <v>"%USERPROFILE%\Documents\GitHub\eaglep3\Utilities\RefineRTDCRunTimes.py" --tripid 233-04 --locoid 4016 --swversion DE.1.0.8.0 --startMP 204:453 --initTime 2017-01-04T21:47:41 --startdatetime 2017-01-04T22:00:16 --delay 1 --endMP 204:233342 --enddatetime 2017-01-04T22:36:58 --enforcementcount 0 &gt;&gt;C:\Users\stu\Documents\GitHub\eaglep3-reporting\EC\2017-01-04-refined-times.txt</v>
      </c>
      <c r="AI147" s="115" t="str">
        <f t="shared" si="20"/>
        <v>echo {"issue":{"subject":"","project_id":79,"tracker_id":40,"status_id":1,"priority_id":2,"assigned_to_id":23,"start_date":"2017-01-04","description":"","custom_fields":[{"id":1,"name":"Subdivision","value":"EC"},{"id":4,"name":"Milepost","value":"23.3342"},{"id":17,"name":"Train ID","value":"233-04"},{"id":16,"name":"Locomotive ID","value":"4016"},{"id":130,"name":"Impact","value":""},{"id":150,"name":"Time of Event (Mountain Time)","value":"22:36:58"},{"id":151,"name":"Denver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21"/>
        <v>start /low /b %USERPROFILE%\Documents\GitHub\eaglep3\Utilities\DownloadLogsFromS3.py --loco 4016 --day 2017-01-04</v>
      </c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674</v>
      </c>
      <c r="B148" s="7">
        <v>4015</v>
      </c>
      <c r="C148" s="22" t="s">
        <v>203</v>
      </c>
      <c r="D148" s="22" t="s">
        <v>759</v>
      </c>
      <c r="E148" s="13">
        <v>42739.953344907408</v>
      </c>
      <c r="F148" s="13">
        <v>42739.955891203703</v>
      </c>
      <c r="G148" s="7">
        <v>1</v>
      </c>
      <c r="H148" s="22" t="s">
        <v>254</v>
      </c>
      <c r="I148" s="13">
        <v>42739.98542824074</v>
      </c>
      <c r="J148" s="7">
        <v>0</v>
      </c>
      <c r="K148" s="105" t="str">
        <f>IF(ISEVEN(B148),(B148-1)&amp;"/"&amp;B148,B148&amp;"/"&amp;(B148+1))</f>
        <v>4015/4016</v>
      </c>
      <c r="L148" s="22" t="str">
        <f>VLOOKUP(A148,'Trips&amp;Operators'!$C$1:$G$99999,5,FALSE)</f>
        <v>BROWN JACOB</v>
      </c>
      <c r="M148" s="6">
        <f>I148-F148</f>
        <v>2.9537037036789116E-2</v>
      </c>
      <c r="N148" s="7">
        <f>24*60*SUM($M148:$M148)</f>
        <v>42.533333332976326</v>
      </c>
      <c r="O148" s="7"/>
      <c r="P148" s="7"/>
      <c r="Q148" s="23"/>
      <c r="R148" s="23"/>
      <c r="S148" s="32">
        <f>SUM(U148:U148)/IF(AG148="EC",12,1)</f>
        <v>1</v>
      </c>
      <c r="T148" s="47" t="str">
        <f>IF(ISEVEN(LEFT(AD148,4)),"Southbound","NorthBound")</f>
        <v>Southbound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hh:mm:ss")&amp;utc_offset&amp;"00',mode:absolute,to:'"&amp;TEXT(I148+1/24,"yyyy-MM-DD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https://search-rtdc-monitor-bjffxe2xuh6vdkpspy63sjmuny.us-east-1.es.amazonaws.com/_plugin/kibana/#/discover/Steve-Slow-Train-Analysis-(2080s-and-2083s)?_g=(refreshInterval:(display:Off,section:0,value:0),time:(from:'2017-01-04 21:52:49-700',mode:absolute,to:'2017-01-05 00:39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8" s="49" t="str">
        <f>IF(AA148&lt;IF(AG148="EC",23,5.65),"Y","N")</f>
        <v>N</v>
      </c>
      <c r="X148" s="173">
        <f>VALUE(LEFT(AD148,4))-VALUE(LEFT(AD147,4))</f>
        <v>1</v>
      </c>
      <c r="Y148" s="64">
        <f t="shared" si="17"/>
        <v>23.303799999999999</v>
      </c>
      <c r="Z148" s="64">
        <f t="shared" si="18"/>
        <v>1.6E-2</v>
      </c>
      <c r="AA148" s="64">
        <f>ABS(Z148-Y148)</f>
        <v>23.287800000000001</v>
      </c>
      <c r="AB148" s="61" t="e">
        <f>VLOOKUP(A148,Enforcements!$C$7:$K$19,8,0)</f>
        <v>#N/A</v>
      </c>
      <c r="AC148" s="57" t="e">
        <f>VLOOKUP(A148,Enforcements!$C$7:$E$19,3,0)</f>
        <v>#N/A</v>
      </c>
      <c r="AD148" s="58" t="str">
        <f>IF(LEN(A148)=6,"0"&amp;A148,A148)</f>
        <v>0234-04</v>
      </c>
      <c r="AE148" s="8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 &amp; 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</v>
      </c>
      <c r="AF148" s="84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/stypes="app*4015*20170105*" /stext=" 06:.+((SYSTEM_STATE.+slice.+state.+changed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88" t="str">
        <f t="shared" si="19"/>
        <v>"%USERPROFILE%\Documents\GitHub\eaglep3\Utilities\RefineRTDCRunTimes.py" --tripid 234-04 --locoid 4015 --swversion DE.1.0.8.0 --startMP 204:233038 --initTime 2017-01-04T22:52:49 --startdatetime 2017-01-04T22:56:29 --delay 1 --endMP 204:160 --enddatetime 2017-01-04T23:39:01 --enforcementcount 0 &gt;&gt;C:\Users\stu\Documents\GitHub\eaglep3-reporting\EC\2017-01-04-refined-times.txt</v>
      </c>
      <c r="AI148" s="115" t="str">
        <f t="shared" si="20"/>
        <v>echo {"issue":{"subject":"","project_id":79,"tracker_id":40,"status_id":1,"priority_id":2,"assigned_to_id":23,"start_date":"2017-01-04","description":"","custom_fields":[{"id":1,"name":"Subdivision","value":"EC"},{"id":4,"name":"Milepost","value":"0.016"},{"id":17,"name":"Train ID","value":"234-04"},{"id":16,"name":"Locomotive ID","value":"4015"},{"id":130,"name":"Impact","value":""},{"id":150,"name":"Time of Event (Mountain Time)","value":"23:39:01"},{"id":151,"name":"Denver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21"/>
        <v>start /low /b %USERPROFILE%\Documents\GitHub\eaglep3\Utilities\DownloadLogsFromS3.py --loco 4015 --day 2017-01-04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672</v>
      </c>
      <c r="B149" s="7">
        <v>4029</v>
      </c>
      <c r="C149" s="22" t="s">
        <v>203</v>
      </c>
      <c r="D149" s="22" t="s">
        <v>194</v>
      </c>
      <c r="E149" s="13">
        <v>42739.933240740742</v>
      </c>
      <c r="F149" s="13">
        <v>42739.937685185185</v>
      </c>
      <c r="G149" s="7">
        <v>2</v>
      </c>
      <c r="H149" s="22" t="s">
        <v>345</v>
      </c>
      <c r="I149" s="13">
        <v>42739.964502314811</v>
      </c>
      <c r="J149" s="7">
        <v>0</v>
      </c>
      <c r="K149" s="105" t="str">
        <f>IF(ISEVEN(B149),(B149-1)&amp;"/"&amp;B149,B149&amp;"/"&amp;(B149+1))</f>
        <v>4029/4030</v>
      </c>
      <c r="L149" s="22" t="str">
        <f>VLOOKUP(A149,'Trips&amp;Operators'!$C$1:$G$99999,5,FALSE)</f>
        <v>DUNCAN SHEILA</v>
      </c>
      <c r="M149" s="6">
        <f>I149-F149</f>
        <v>2.6817129626579117E-2</v>
      </c>
      <c r="N149" s="7">
        <f>24*60*SUM($M149:$M149)</f>
        <v>38.616666662273929</v>
      </c>
      <c r="O149" s="7"/>
      <c r="P149" s="7"/>
      <c r="Q149" s="23"/>
      <c r="R149" s="23"/>
      <c r="S149" s="32">
        <f>SUM(U149:U149)/IF(AG149="EC",12,1)</f>
        <v>1</v>
      </c>
      <c r="T149" s="47" t="str">
        <f>IF(ISEVEN(LEFT(AD149,4)),"Southbound","NorthBound")</f>
        <v>NorthBound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hh:mm:ss")&amp;utc_offset&amp;"00',mode:absolute,to:'"&amp;TEXT(I149+1/24,"yyyy-MM-DD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https://search-rtdc-monitor-bjffxe2xuh6vdkpspy63sjmuny.us-east-1.es.amazonaws.com/_plugin/kibana/#/discover/Steve-Slow-Train-Analysis-(2080s-and-2083s)?_g=(refreshInterval:(display:Off,section:0,value:0),time:(from:'2017-01-04 21:23:52-700',mode:absolute,to:'2017-01-05 00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9" s="49" t="str">
        <f>IF(AA149&lt;IF(AG149="EC",23,5.65),"Y","N")</f>
        <v>N</v>
      </c>
      <c r="X149" s="173">
        <f>VALUE(LEFT(AD149,4))-VALUE(LEFT(AD148,4))</f>
        <v>1</v>
      </c>
      <c r="Y149" s="64">
        <f t="shared" si="17"/>
        <v>4.5100000000000001E-2</v>
      </c>
      <c r="Z149" s="64">
        <f t="shared" si="18"/>
        <v>23.329799999999999</v>
      </c>
      <c r="AA149" s="64">
        <f>ABS(Z149-Y149)</f>
        <v>23.284699999999997</v>
      </c>
      <c r="AB149" s="61" t="e">
        <f>VLOOKUP(A149,Enforcements!$C$7:$K$19,8,0)</f>
        <v>#N/A</v>
      </c>
      <c r="AC149" s="57" t="e">
        <f>VLOOKUP(A149,Enforcements!$C$7:$E$19,3,0)</f>
        <v>#N/A</v>
      </c>
      <c r="AD149" s="58" t="str">
        <f>IF(LEN(A149)=6,"0"&amp;A149,A149)</f>
        <v>0235-04</v>
      </c>
      <c r="AE149" s="8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 &amp; 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</v>
      </c>
      <c r="AF149" s="84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/stypes="app*4029*20170105*" /stext=" 06:.+((SYSTEM_STATE.+slice.+state.+changed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88" t="str">
        <f t="shared" si="19"/>
        <v>"%USERPROFILE%\Documents\GitHub\eaglep3\Utilities\RefineRTDCRunTimes.py" --tripid 235-04 --locoid 4029 --swversion DE.1.0.8.0 --startMP 204:451 --initTime 2017-01-04T22:23:52 --startdatetime 2017-01-04T22:30:16 --delay 2 --endMP 204:233298 --enddatetime 2017-01-04T23:08:53 --enforcementcount 0 &gt;&gt;C:\Users\stu\Documents\GitHub\eaglep3-reporting\EC\2017-01-04-refined-times.txt</v>
      </c>
      <c r="AI149" s="115" t="str">
        <f t="shared" si="20"/>
        <v>echo {"issue":{"subject":"","project_id":79,"tracker_id":40,"status_id":1,"priority_id":2,"assigned_to_id":23,"start_date":"2017-01-04","description":"","custom_fields":[{"id":1,"name":"Subdivision","value":"EC"},{"id":4,"name":"Milepost","value":"23.3298"},{"id":17,"name":"Train ID","value":"235-04"},{"id":16,"name":"Locomotive ID","value":"4029"},{"id":130,"name":"Impact","value":""},{"id":150,"name":"Time of Event (Mountain Time)","value":"23:08:53"},{"id":151,"name":"Denver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21"/>
        <v>start /low /b %USERPROFILE%\Documents\GitHub\eaglep3\Utilities\DownloadLogsFromS3.py --loco 4029 --day 2017-01-04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4" t="s">
        <v>675</v>
      </c>
      <c r="B150" s="7">
        <v>4030</v>
      </c>
      <c r="C150" s="22" t="s">
        <v>203</v>
      </c>
      <c r="D150" s="22" t="s">
        <v>760</v>
      </c>
      <c r="E150" s="13">
        <v>42739.974386574075</v>
      </c>
      <c r="F150" s="13">
        <v>42739.976585648146</v>
      </c>
      <c r="G150" s="7">
        <v>1</v>
      </c>
      <c r="H150" s="22" t="s">
        <v>254</v>
      </c>
      <c r="I150" s="13">
        <v>42740.005196759259</v>
      </c>
      <c r="J150" s="7">
        <v>0</v>
      </c>
      <c r="K150" s="105" t="str">
        <f>IF(ISEVEN(B150),(B150-1)&amp;"/"&amp;B150,B150&amp;"/"&amp;(B150+1))</f>
        <v>4029/4030</v>
      </c>
      <c r="L150" s="22" t="str">
        <f>VLOOKUP(A150,'Trips&amp;Operators'!$C$1:$G$99999,5,FALSE)</f>
        <v>DUNCAN SHEILA</v>
      </c>
      <c r="M150" s="6">
        <f>I150-F150</f>
        <v>2.8611111112695653E-2</v>
      </c>
      <c r="N150" s="7">
        <f>24*60*SUM($M150:$M150)</f>
        <v>41.20000000228174</v>
      </c>
      <c r="O150" s="7"/>
      <c r="P150" s="7"/>
      <c r="Q150" s="23"/>
      <c r="R150" s="23"/>
      <c r="S150" s="32">
        <f>SUM(U150:U150)/IF(AG150="EC",12,1)</f>
        <v>1</v>
      </c>
      <c r="T150" s="47" t="str">
        <f>IF(ISEVEN(LEFT(AD150,4)),"Southbound","NorthBound")</f>
        <v>Southbound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hh:mm:ss")&amp;utc_offset&amp;"00',mode:absolute,to:'"&amp;TEXT(I150+1/24,"yyyy-MM-DD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https://search-rtdc-monitor-bjffxe2xuh6vdkpspy63sjmuny.us-east-1.es.amazonaws.com/_plugin/kibana/#/discover/Steve-Slow-Train-Analysis-(2080s-and-2083s)?_g=(refreshInterval:(display:Off,section:0,value:0),time:(from:'2017-01-04 22:23:07-700',mode:absolute,to:'2017-01-05 01:07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0" s="49" t="str">
        <f>IF(AA150&lt;IF(AG150="EC",23,5.65),"Y","N")</f>
        <v>N</v>
      </c>
      <c r="X150" s="173">
        <f>VALUE(LEFT(AD150,4))-VALUE(LEFT(AD149,4))</f>
        <v>1</v>
      </c>
      <c r="Y150" s="64">
        <f t="shared" si="17"/>
        <v>23.3004</v>
      </c>
      <c r="Z150" s="64">
        <f t="shared" si="18"/>
        <v>1.6E-2</v>
      </c>
      <c r="AA150" s="64">
        <f>ABS(Z150-Y150)</f>
        <v>23.284400000000002</v>
      </c>
      <c r="AB150" s="61" t="e">
        <f>VLOOKUP(A150,Enforcements!$C$7:$K$19,8,0)</f>
        <v>#N/A</v>
      </c>
      <c r="AC150" s="57" t="e">
        <f>VLOOKUP(A150,Enforcements!$C$7:$E$19,3,0)</f>
        <v>#N/A</v>
      </c>
      <c r="AD150" s="58" t="str">
        <f>IF(LEN(A150)=6,"0"&amp;A150,A150)</f>
        <v>0236-04</v>
      </c>
      <c r="AE150" s="8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 &amp; 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</v>
      </c>
      <c r="AF150" s="84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/stypes="app*4030*20170105*" /stext=" 07:.+((SYSTEM_STATE.+slice.+state.+changed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88" t="str">
        <f t="shared" si="19"/>
        <v>"%USERPROFILE%\Documents\GitHub\eaglep3\Utilities\RefineRTDCRunTimes.py" --tripid 236-04 --locoid 4030 --swversion DE.1.0.8.0 --startMP 204:233004 --initTime 2017-01-04T23:23:07 --startdatetime 2017-01-04T23:26:17 --delay 1 --endMP 204:160 --enddatetime 2017-01-05T00:07:29 --enforcementcount 0 &gt;&gt;C:\Users\stu\Documents\GitHub\eaglep3-reporting\EC\2017-01-04-refined-times.txt</v>
      </c>
      <c r="AI150" s="115" t="str">
        <f t="shared" si="20"/>
        <v>echo {"issue":{"subject":"","project_id":79,"tracker_id":40,"status_id":1,"priority_id":2,"assigned_to_id":23,"start_date":"2017-01-05","description":"","custom_fields":[{"id":1,"name":"Subdivision","value":"EC"},{"id":4,"name":"Milepost","value":"0.016"},{"id":17,"name":"Train ID","value":"236-04"},{"id":16,"name":"Locomotive ID","value":"4030"},{"id":130,"name":"Impact","value":""},{"id":150,"name":"Time of Event (Mountain Time)","value":"00:07:29"},{"id":151,"name":"Denver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21"/>
        <v>start /low /b %USERPROFILE%\Documents\GitHub\eaglep3\Utilities\DownloadLogsFromS3.py --loco 4030 --day 2017-01-04</v>
      </c>
    </row>
    <row r="151" spans="1:91" s="21" customFormat="1" x14ac:dyDescent="0.25">
      <c r="A151" s="34" t="s">
        <v>673</v>
      </c>
      <c r="B151" s="7">
        <v>4002</v>
      </c>
      <c r="C151" s="22" t="s">
        <v>203</v>
      </c>
      <c r="D151" s="22" t="s">
        <v>761</v>
      </c>
      <c r="E151" s="13">
        <v>42739.946423611109</v>
      </c>
      <c r="F151" s="13">
        <v>42739.958495370367</v>
      </c>
      <c r="G151" s="7">
        <v>1</v>
      </c>
      <c r="H151" s="22" t="s">
        <v>762</v>
      </c>
      <c r="I151" s="13">
        <v>42739.983287037037</v>
      </c>
      <c r="J151" s="7">
        <v>0</v>
      </c>
      <c r="K151" s="105" t="str">
        <f>IF(ISEVEN(B151),(B151-1)&amp;"/"&amp;B151,B151&amp;"/"&amp;(B151+1))</f>
        <v>4001/4002</v>
      </c>
      <c r="L151" s="22" t="str">
        <f>VLOOKUP(A151,'Trips&amp;Operators'!$C$1:$G$99999,5,FALSE)</f>
        <v>HILLS DUSTIN</v>
      </c>
      <c r="M151" s="6">
        <f>I151-F151</f>
        <v>2.4791666670353152E-2</v>
      </c>
      <c r="N151" s="7">
        <f>24*60*SUM($M151:$M151)</f>
        <v>35.700000005308539</v>
      </c>
      <c r="O151" s="7"/>
      <c r="P151" s="7"/>
      <c r="Q151" s="23"/>
      <c r="R151" s="23"/>
      <c r="S151" s="32">
        <f>SUM(U151:U151)/IF(AG151="EC",12,1)</f>
        <v>1</v>
      </c>
      <c r="T151" s="47" t="str">
        <f>IF(ISEVEN(LEFT(AD151,4)),"Southbound","NorthBound")</f>
        <v>NorthBound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hh:mm:ss")&amp;utc_offset&amp;"00',mode:absolute,to:'"&amp;TEXT(I151+1/24,"yyyy-MM-DD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https://search-rtdc-monitor-bjffxe2xuh6vdkpspy63sjmuny.us-east-1.es.amazonaws.com/_plugin/kibana/#/discover/Steve-Slow-Train-Analysis-(2080s-and-2083s)?_g=(refreshInterval:(display:Off,section:0,value:0),time:(from:'2017-01-04 21:42:51-700',mode:absolute,to:'2017-01-05 00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1" s="49" t="str">
        <f>IF(AA151&lt;IF(AG151="EC",23,5.65),"Y","N")</f>
        <v>N</v>
      </c>
      <c r="X151" s="173">
        <f>VALUE(LEFT(AD151,4))-VALUE(LEFT(AD150,4))</f>
        <v>1</v>
      </c>
      <c r="Y151" s="64">
        <f t="shared" si="17"/>
        <v>4.3099999999999999E-2</v>
      </c>
      <c r="Z151" s="64">
        <f t="shared" si="18"/>
        <v>23.341000000000001</v>
      </c>
      <c r="AA151" s="64">
        <f>ABS(Z151-Y151)</f>
        <v>23.297900000000002</v>
      </c>
      <c r="AB151" s="61" t="e">
        <f>VLOOKUP(A151,Enforcements!$C$7:$K$19,8,0)</f>
        <v>#N/A</v>
      </c>
      <c r="AC151" s="57" t="e">
        <f>VLOOKUP(A151,Enforcements!$C$7:$E$19,3,0)</f>
        <v>#N/A</v>
      </c>
      <c r="AD151" s="58" t="str">
        <f>IF(LEN(A151)=6,"0"&amp;A151,A151)</f>
        <v>0237-04</v>
      </c>
      <c r="AE151" s="8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s3://rtdc.mdm.uploadarchive.raw/RTDC4002/ "%USERPROFILE%\AppData\Local\Temp\OnboardLogs"\RTDC4002\2017-01-04 --exclude "*" --recursive --include "*20170104*" &amp; "%USERPROFILE%\Documents\GitHub\mrs-test-scripts\Headless Mode &amp; Sideloading\WalkAndUnGZ.bat" "%USERPROFILE%\AppData\Local\Temp\OnboardLogs"\RTDC4002\2017-01-04 &amp; 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</v>
      </c>
      <c r="AF151" s="84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/stypes="app*4002*20170105*" /stext=" 06:.+((SYSTEM_STATE.+slice.+state.+changed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88" t="str">
        <f t="shared" si="19"/>
        <v>"%USERPROFILE%\Documents\GitHub\eaglep3\Utilities\RefineRTDCRunTimes.py" --tripid 237-04 --locoid 4002 --swversion DE.1.0.8.0 --startMP 204:431 --initTime 2017-01-04T22:42:51 --startdatetime 2017-01-04T23:00:14 --delay 1 --endMP 204:233410 --enddatetime 2017-01-04T23:35:56 --enforcementcount 0 &gt;&gt;C:\Users\stu\Documents\GitHub\eaglep3-reporting\EC\2017-01-04-refined-times.txt</v>
      </c>
      <c r="AI151" s="115" t="str">
        <f t="shared" si="20"/>
        <v>echo {"issue":{"subject":"","project_id":79,"tracker_id":40,"status_id":1,"priority_id":2,"assigned_to_id":23,"start_date":"2017-01-04","description":"","custom_fields":[{"id":1,"name":"Subdivision","value":"EC"},{"id":4,"name":"Milepost","value":"23.341"},{"id":17,"name":"Train ID","value":"237-04"},{"id":16,"name":"Locomotive ID","value":"4002"},{"id":130,"name":"Impact","value":""},{"id":150,"name":"Time of Event (Mountain Time)","value":"23:35:56"},{"id":151,"name":"Denver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21"/>
        <v>start /low /b %USERPROFILE%\Documents\GitHub\eaglep3\Utilities\DownloadLogsFromS3.py --loco 4002 --day 2017-01-04</v>
      </c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676</v>
      </c>
      <c r="B152" s="7">
        <v>4001</v>
      </c>
      <c r="C152" s="22" t="s">
        <v>203</v>
      </c>
      <c r="D152" s="22" t="s">
        <v>753</v>
      </c>
      <c r="E152" s="13">
        <v>42739.984872685185</v>
      </c>
      <c r="F152" s="13">
        <v>42739.997546296298</v>
      </c>
      <c r="G152" s="7">
        <v>1</v>
      </c>
      <c r="H152" s="22" t="s">
        <v>763</v>
      </c>
      <c r="I152" s="13">
        <v>42740.02449074074</v>
      </c>
      <c r="J152" s="7">
        <v>0</v>
      </c>
      <c r="K152" s="105" t="str">
        <f>IF(ISEVEN(B152),(B152-1)&amp;"/"&amp;B152,B152&amp;"/"&amp;(B152+1))</f>
        <v>4001/4002</v>
      </c>
      <c r="L152" s="22" t="str">
        <f>VLOOKUP(A152,'Trips&amp;Operators'!$C$1:$G$99999,5,FALSE)</f>
        <v>HILLS DUSTIN</v>
      </c>
      <c r="M152" s="6">
        <f>I152-F152</f>
        <v>2.6944444442051463E-2</v>
      </c>
      <c r="N152" s="7">
        <f>24*60*SUM($M152:$M152)</f>
        <v>38.799999996554106</v>
      </c>
      <c r="O152" s="7"/>
      <c r="P152" s="7"/>
      <c r="Q152" s="23"/>
      <c r="R152" s="23"/>
      <c r="S152" s="32">
        <f>SUM(U152:U152)/IF(AG152="EC",12,1)</f>
        <v>1</v>
      </c>
      <c r="T152" s="47" t="str">
        <f>IF(ISEVEN(LEFT(AD152,4)),"Southbound","NorthBound")</f>
        <v>Southbound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hh:mm:ss")&amp;utc_offset&amp;"00',mode:absolute,to:'"&amp;TEXT(I152+1/24,"yyyy-MM-DD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https://search-rtdc-monitor-bjffxe2xuh6vdkpspy63sjmuny.us-east-1.es.amazonaws.com/_plugin/kibana/#/discover/Steve-Slow-Train-Analysis-(2080s-and-2083s)?_g=(refreshInterval:(display:Off,section:0,value:0),time:(from:'2017-01-04 22:38:13-700',mode:absolute,to:'2017-01-05 01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2" s="49" t="str">
        <f>IF(AA152&lt;IF(AG152="EC",23,5.65),"Y","N")</f>
        <v>N</v>
      </c>
      <c r="X152" s="173">
        <f>VALUE(LEFT(AD152,4))-VALUE(LEFT(AD151,4))</f>
        <v>1</v>
      </c>
      <c r="Y152" s="64">
        <f t="shared" si="17"/>
        <v>23.307600000000001</v>
      </c>
      <c r="Z152" s="64">
        <f t="shared" si="18"/>
        <v>9.5999999999999992E-3</v>
      </c>
      <c r="AA152" s="64">
        <f>ABS(Z152-Y152)</f>
        <v>23.298000000000002</v>
      </c>
      <c r="AB152" s="61" t="e">
        <f>VLOOKUP(A152,Enforcements!$C$7:$K$19,8,0)</f>
        <v>#N/A</v>
      </c>
      <c r="AC152" s="57" t="e">
        <f>VLOOKUP(A152,Enforcements!$C$7:$E$19,3,0)</f>
        <v>#N/A</v>
      </c>
      <c r="AD152" s="58" t="str">
        <f>IF(LEN(A152)=6,"0"&amp;A152,A152)</f>
        <v>0238-04</v>
      </c>
      <c r="AE152" s="8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s3://rtdc.mdm.uploadarchive.raw/RTDC4001/ "%USERPROFILE%\AppData\Local\Temp\OnboardLogs"\RTDC4001\2017-01-04 --exclude "*" --recursive --include "*20170104*" &amp; "%USERPROFILE%\Documents\GitHub\mrs-test-scripts\Headless Mode &amp; Sideloading\WalkAndUnGZ.bat" "%USERPROFILE%\AppData\Local\Temp\OnboardLogs"\RTDC4001\2017-01-04 &amp; 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</v>
      </c>
      <c r="AF152" s="84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/stypes="app*4001*20170105*" /stext=" 07:.+((SYSTEM_STATE.+slice.+state.+changed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88" t="str">
        <f t="shared" si="19"/>
        <v>"%USERPROFILE%\Documents\GitHub\eaglep3\Utilities\RefineRTDCRunTimes.py" --tripid 238-04 --locoid 4001 --swversion DE.1.0.8.0 --startMP 204:233076 --initTime 2017-01-04T23:38:13 --startdatetime 2017-01-04T23:56:28 --delay 1 --endMP 204:96 --enddatetime 2017-01-05T00:35:16 --enforcementcount 0 &gt;&gt;C:\Users\stu\Documents\GitHub\eaglep3-reporting\EC\2017-01-04-refined-times.txt</v>
      </c>
      <c r="AI152" s="115" t="str">
        <f t="shared" si="20"/>
        <v>echo {"issue":{"subject":"","project_id":79,"tracker_id":40,"status_id":1,"priority_id":2,"assigned_to_id":23,"start_date":"2017-01-05","description":"","custom_fields":[{"id":1,"name":"Subdivision","value":"EC"},{"id":4,"name":"Milepost","value":"0.0096"},{"id":17,"name":"Train ID","value":"238-04"},{"id":16,"name":"Locomotive ID","value":"4001"},{"id":130,"name":"Impact","value":""},{"id":150,"name":"Time of Event (Mountain Time)","value":"00:35:16"},{"id":151,"name":"Denver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21"/>
        <v>start /low /b %USERPROFILE%\Documents\GitHub\eaglep3\Utilities\DownloadLogsFromS3.py --loco 4001 --day 2017-01-04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4" t="s">
        <v>475</v>
      </c>
      <c r="B153" s="7">
        <v>4044</v>
      </c>
      <c r="C153" s="22" t="s">
        <v>203</v>
      </c>
      <c r="D153" s="22" t="s">
        <v>372</v>
      </c>
      <c r="E153" s="13">
        <v>42739.975671296299</v>
      </c>
      <c r="F153" s="13">
        <v>42739.979502314818</v>
      </c>
      <c r="G153" s="7">
        <v>5</v>
      </c>
      <c r="H153" s="22" t="s">
        <v>764</v>
      </c>
      <c r="I153" s="13">
        <v>42740.005254629628</v>
      </c>
      <c r="J153" s="7">
        <v>0</v>
      </c>
      <c r="K153" s="105" t="str">
        <f>IF(ISEVEN(B153),(B153-1)&amp;"/"&amp;B153,B153&amp;"/"&amp;(B153+1))</f>
        <v>4043/4044</v>
      </c>
      <c r="L153" s="22" t="str">
        <f>VLOOKUP(A153,'Trips&amp;Operators'!$C$1:$G$99999,5,FALSE)</f>
        <v>STORY SAMANTHA</v>
      </c>
      <c r="M153" s="6">
        <f>I153-F153</f>
        <v>2.5752314810233656E-2</v>
      </c>
      <c r="N153" s="7">
        <f>24*60*SUM($M153:$M153)</f>
        <v>37.083333326736465</v>
      </c>
      <c r="O153" s="7"/>
      <c r="P153" s="7"/>
      <c r="Q153" s="23"/>
      <c r="R153" s="23"/>
      <c r="S153" s="32">
        <f>SUM(U153:U153)/IF(AG153="EC",12,1)</f>
        <v>1</v>
      </c>
      <c r="T153" s="47" t="str">
        <f>IF(ISEVEN(LEFT(AD153,4)),"Southbound","NorthBound")</f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hh:mm:ss")&amp;utc_offset&amp;"00',mode:absolute,to:'"&amp;TEXT(I153+1/24,"yyyy-MM-DD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https://search-rtdc-monitor-bjffxe2xuh6vdkpspy63sjmuny.us-east-1.es.amazonaws.com/_plugin/kibana/#/discover/Steve-Slow-Train-Analysis-(2080s-and-2083s)?_g=(refreshInterval:(display:Off,section:0,value:0),time:(from:'2017-01-04 22:24:58-700',mode:absolute,to:'2017-01-05 01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3" s="49" t="str">
        <f>IF(AA153&lt;IF(AG153="EC",23,5.65),"Y","N")</f>
        <v>N</v>
      </c>
      <c r="X153" s="173">
        <f>VALUE(LEFT(AD153,4))-VALUE(LEFT(AD152,4))</f>
        <v>1</v>
      </c>
      <c r="Y153" s="64">
        <f t="shared" si="17"/>
        <v>4.58E-2</v>
      </c>
      <c r="Z153" s="64">
        <f t="shared" si="18"/>
        <v>23.333200000000001</v>
      </c>
      <c r="AA153" s="64">
        <f>ABS(Z153-Y153)</f>
        <v>23.287400000000002</v>
      </c>
      <c r="AB153" s="61" t="e">
        <f>VLOOKUP(A153,Enforcements!$C$7:$K$19,8,0)</f>
        <v>#N/A</v>
      </c>
      <c r="AC153" s="57" t="e">
        <f>VLOOKUP(A153,Enforcements!$C$7:$E$19,3,0)</f>
        <v>#N/A</v>
      </c>
      <c r="AD153" s="58" t="str">
        <f>IF(LEN(A153)=6,"0"&amp;A153,A153)</f>
        <v>0239-04</v>
      </c>
      <c r="AE153" s="8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AF153" s="84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/stypes="app*4044*20170105*" /stext=" 07:.+((SYSTEM_STATE.+slice.+state.+changed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88" t="str">
        <f t="shared" si="19"/>
        <v>"%USERPROFILE%\Documents\GitHub\eaglep3\Utilities\RefineRTDCRunTimes.py" --tripid 239-04 --locoid 4044 --swversion DE.1.0.8.0 --startMP 204:458 --initTime 2017-01-04T23:24:58 --startdatetime 2017-01-04T23:30:29 --delay 5 --endMP 204:233332 --enddatetime 2017-01-05T00:07:34 --enforcementcount 0 &gt;&gt;C:\Users\stu\Documents\GitHub\eaglep3-reporting\EC\2017-01-04-refined-times.txt</v>
      </c>
      <c r="AI153" s="115" t="str">
        <f t="shared" si="20"/>
        <v>echo {"issue":{"subject":"","project_id":79,"tracker_id":40,"status_id":1,"priority_id":2,"assigned_to_id":23,"start_date":"2017-01-05","description":"","custom_fields":[{"id":1,"name":"Subdivision","value":"EC"},{"id":4,"name":"Milepost","value":"23.3332"},{"id":17,"name":"Train ID","value":"239-04"},{"id":16,"name":"Locomotive ID","value":"4044"},{"id":130,"name":"Impact","value":""},{"id":150,"name":"Time of Event (Mountain Time)","value":"00:07:34"},{"id":151,"name":"Denver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21"/>
        <v>start /low /b %USERPROFILE%\Documents\GitHub\eaglep3\Utilities\DownloadLogsFromS3.py --loco 4044 --day 2017-01-04</v>
      </c>
    </row>
    <row r="154" spans="1:91" s="21" customFormat="1" x14ac:dyDescent="0.25">
      <c r="A154" s="34" t="s">
        <v>680</v>
      </c>
      <c r="B154" s="7">
        <v>4043</v>
      </c>
      <c r="C154" s="22" t="s">
        <v>203</v>
      </c>
      <c r="D154" s="22" t="s">
        <v>414</v>
      </c>
      <c r="E154" s="13">
        <v>42740.011400462965</v>
      </c>
      <c r="F154" s="13">
        <v>42740.018425925926</v>
      </c>
      <c r="G154" s="7">
        <v>5</v>
      </c>
      <c r="H154" s="22" t="s">
        <v>230</v>
      </c>
      <c r="I154" s="13">
        <v>42740.047418981485</v>
      </c>
      <c r="J154" s="7">
        <v>0</v>
      </c>
      <c r="K154" s="105" t="str">
        <f>IF(ISEVEN(B154),(B154-1)&amp;"/"&amp;B154,B154&amp;"/"&amp;(B154+1))</f>
        <v>4043/4044</v>
      </c>
      <c r="L154" s="22" t="str">
        <f>VLOOKUP(A154,'Trips&amp;Operators'!$C$1:$G$99999,5,FALSE)</f>
        <v>STORY SAMANTHA</v>
      </c>
      <c r="M154" s="6">
        <f>I154-F154</f>
        <v>2.899305555911269E-2</v>
      </c>
      <c r="N154" s="7">
        <f>24*60*SUM($M154:$M154)</f>
        <v>41.750000005122274</v>
      </c>
      <c r="O154" s="7"/>
      <c r="P154" s="7"/>
      <c r="Q154" s="23"/>
      <c r="R154" s="23"/>
      <c r="S154" s="32">
        <f>SUM(U154:U154)/IF(AG154="EC",12,1)</f>
        <v>1</v>
      </c>
      <c r="T154" s="47" t="str">
        <f>IF(ISEVEN(LEFT(AD154,4)),"Southbound","NorthBound")</f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hh:mm:ss")&amp;utc_offset&amp;"00',mode:absolute,to:'"&amp;TEXT(I154+1/24,"yyyy-MM-DD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https://search-rtdc-monitor-bjffxe2xuh6vdkpspy63sjmuny.us-east-1.es.amazonaws.com/_plugin/kibana/#/discover/Steve-Slow-Train-Analysis-(2080s-and-2083s)?_g=(refreshInterval:(display:Off,section:0,value:0),time:(from:'2017-01-04 23:16:25-700',mode:absolute,to:'2017-01-05 02:08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4" s="49" t="str">
        <f>IF(AA154&lt;IF(AG154="EC",23,5.65),"Y","N")</f>
        <v>N</v>
      </c>
      <c r="X154" s="173">
        <f>VALUE(LEFT(AD154,4))-VALUE(LEFT(AD153,4))</f>
        <v>1</v>
      </c>
      <c r="Y154" s="64">
        <f t="shared" si="17"/>
        <v>23.3032</v>
      </c>
      <c r="Z154" s="64">
        <f t="shared" si="18"/>
        <v>1.4500000000000001E-2</v>
      </c>
      <c r="AA154" s="64">
        <f>ABS(Z154-Y154)</f>
        <v>23.288699999999999</v>
      </c>
      <c r="AB154" s="61" t="e">
        <f>VLOOKUP(A154,Enforcements!$C$7:$K$19,8,0)</f>
        <v>#N/A</v>
      </c>
      <c r="AC154" s="57" t="e">
        <f>VLOOKUP(A154,Enforcements!$C$7:$E$19,3,0)</f>
        <v>#N/A</v>
      </c>
      <c r="AD154" s="58" t="str">
        <f>IF(LEN(A154)=6,"0"&amp;A154,A154)</f>
        <v>0240-04</v>
      </c>
      <c r="AE154" s="8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54" s="84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/stypes="app*4043*20170105*" /stext=" 08:.+((SYSTEM_STATE.+slice.+state.+changed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88" t="str">
        <f t="shared" si="19"/>
        <v>"%USERPROFILE%\Documents\GitHub\eaglep3\Utilities\RefineRTDCRunTimes.py" --tripid 240-04 --locoid 4043 --swversion DE.1.0.8.0 --startMP 204:233032 --initTime 2017-01-05T00:16:25 --startdatetime 2017-01-05T00:26:32 --delay 5 --endMP 204:145 --enddatetime 2017-01-05T01:08:17 --enforcementcount 0 &gt;&gt;C:\Users\stu\Documents\GitHub\eaglep3-reporting\EC\2017-01-04-refined-times.txt</v>
      </c>
      <c r="AI154" s="115" t="str">
        <f t="shared" si="20"/>
        <v>echo {"issue":{"subject":"","project_id":79,"tracker_id":40,"status_id":1,"priority_id":2,"assigned_to_id":23,"start_date":"2017-01-05","description":"","custom_fields":[{"id":1,"name":"Subdivision","value":"EC"},{"id":4,"name":"Milepost","value":"0.0145"},{"id":17,"name":"Train ID","value":"240-04"},{"id":16,"name":"Locomotive ID","value":"4043"},{"id":130,"name":"Impact","value":""},{"id":150,"name":"Time of Event (Mountain Time)","value":"01:08:17"},{"id":151,"name":"Denver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21"/>
        <v>start /low /b %USERPROFILE%\Documents\GitHub\eaglep3\Utilities\DownloadLogsFromS3.py --loco 4043 --day 2017-01-05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679</v>
      </c>
      <c r="B155" s="7">
        <v>4016</v>
      </c>
      <c r="C155" s="22" t="s">
        <v>203</v>
      </c>
      <c r="D155" s="22" t="s">
        <v>227</v>
      </c>
      <c r="E155" s="13">
        <v>42739.994872685187</v>
      </c>
      <c r="F155" s="13">
        <v>42740.000393518516</v>
      </c>
      <c r="G155" s="7">
        <v>6</v>
      </c>
      <c r="H155" s="22" t="s">
        <v>765</v>
      </c>
      <c r="I155" s="13">
        <v>42740.025682870371</v>
      </c>
      <c r="J155" s="7">
        <v>0</v>
      </c>
      <c r="K155" s="105" t="str">
        <f>IF(ISEVEN(B155),(B155-1)&amp;"/"&amp;B155,B155&amp;"/"&amp;(B155+1))</f>
        <v>4015/4016</v>
      </c>
      <c r="L155" s="22" t="str">
        <f>VLOOKUP(A155,'Trips&amp;Operators'!$C$1:$G$99999,5,FALSE)</f>
        <v>BROWN JACOB</v>
      </c>
      <c r="M155" s="6">
        <f>I155-F155</f>
        <v>2.5289351855462883E-2</v>
      </c>
      <c r="N155" s="7">
        <f>24*60*SUM($M155:$M155)</f>
        <v>36.416666671866551</v>
      </c>
      <c r="O155" s="7"/>
      <c r="P155" s="7"/>
      <c r="Q155" s="23"/>
      <c r="R155" s="23"/>
      <c r="S155" s="32">
        <f>SUM(U155:U155)/IF(AG155="EC",12,1)</f>
        <v>1</v>
      </c>
      <c r="T155" s="47" t="str">
        <f>IF(ISEVEN(LEFT(AD155,4)),"Southbound","NorthBound")</f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hh:mm:ss")&amp;utc_offset&amp;"00',mode:absolute,to:'"&amp;TEXT(I155+1/24,"yyyy-MM-DD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https://search-rtdc-monitor-bjffxe2xuh6vdkpspy63sjmuny.us-east-1.es.amazonaws.com/_plugin/kibana/#/discover/Steve-Slow-Train-Analysis-(2080s-and-2083s)?_g=(refreshInterval:(display:Off,section:0,value:0),time:(from:'2017-01-04 22:52:37-700',mode:absolute,to:'2017-01-05 01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5" s="49" t="str">
        <f>IF(AA155&lt;IF(AG155="EC",23,5.65),"Y","N")</f>
        <v>N</v>
      </c>
      <c r="X155" s="173">
        <f>VALUE(LEFT(AD155,4))-VALUE(LEFT(AD154,4))</f>
        <v>1</v>
      </c>
      <c r="Y155" s="64">
        <f t="shared" si="17"/>
        <v>4.5999999999999999E-2</v>
      </c>
      <c r="Z155" s="64">
        <f t="shared" si="18"/>
        <v>23.327400000000001</v>
      </c>
      <c r="AA155" s="64">
        <f>ABS(Z155-Y155)</f>
        <v>23.281400000000001</v>
      </c>
      <c r="AB155" s="61" t="e">
        <f>VLOOKUP(A155,Enforcements!$C$7:$K$19,8,0)</f>
        <v>#N/A</v>
      </c>
      <c r="AC155" s="57" t="e">
        <f>VLOOKUP(A155,Enforcements!$C$7:$E$19,3,0)</f>
        <v>#N/A</v>
      </c>
      <c r="AD155" s="58" t="str">
        <f>IF(LEN(A155)=6,"0"&amp;A155,A155)</f>
        <v>0241-04</v>
      </c>
      <c r="AE155" s="8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 &amp; aws s3 cp s3://rtdc.mdm.uploadarchive.raw/RTDC4016/ "%USERPROFILE%\AppData\Local\Temp\OnboardLogs"\RTDC4016\2017-01-06 --exclude "*" --recursive --include "*20170106*" &amp; "%USERPROFILE%\Documents\GitHub\mrs-test-scripts\Headless Mode &amp; Sideloading\WalkAndUnGZ.bat" "%USERPROFILE%\AppData\Local\Temp\OnboardLogs"\RTDC4016\2017-01-06</v>
      </c>
      <c r="AF155" s="84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/stypes="app*4016*20170105*" /stext=" 07:.+((SYSTEM_STATE.+slice.+state.+changed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88" t="str">
        <f t="shared" si="19"/>
        <v>"%USERPROFILE%\Documents\GitHub\eaglep3\Utilities\RefineRTDCRunTimes.py" --tripid 241-04 --locoid 4016 --swversion DE.1.0.8.0 --startMP 204:460 --initTime 2017-01-04T23:52:37 --startdatetime 2017-01-05T00:00:34 --delay 6 --endMP 204:233274 --enddatetime 2017-01-05T00:36:59 --enforcementcount 0 &gt;&gt;C:\Users\stu\Documents\GitHub\eaglep3-reporting\EC\2017-01-04-refined-times.txt</v>
      </c>
      <c r="AI155" s="115" t="str">
        <f t="shared" si="20"/>
        <v>echo {"issue":{"subject":"","project_id":79,"tracker_id":40,"status_id":1,"priority_id":2,"assigned_to_id":23,"start_date":"2017-01-05","description":"","custom_fields":[{"id":1,"name":"Subdivision","value":"EC"},{"id":4,"name":"Milepost","value":"23.3274"},{"id":17,"name":"Train ID","value":"241-04"},{"id":16,"name":"Locomotive ID","value":"4016"},{"id":130,"name":"Impact","value":""},{"id":150,"name":"Time of Event (Mountain Time)","value":"00:36:59"},{"id":151,"name":"Denver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21"/>
        <v>start /low /b %USERPROFILE%\Documents\GitHub\eaglep3\Utilities\DownloadLogsFromS3.py --loco 4016 --day 2017-01-05</v>
      </c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683</v>
      </c>
      <c r="B156" s="7">
        <v>4015</v>
      </c>
      <c r="C156" s="22" t="s">
        <v>203</v>
      </c>
      <c r="D156" s="22" t="s">
        <v>708</v>
      </c>
      <c r="E156" s="13">
        <v>42740.03125</v>
      </c>
      <c r="F156" s="13">
        <v>42740.0390625</v>
      </c>
      <c r="G156" s="7">
        <v>2</v>
      </c>
      <c r="H156" s="22" t="s">
        <v>706</v>
      </c>
      <c r="I156" s="13">
        <v>42740.065787037034</v>
      </c>
      <c r="J156" s="7">
        <v>0</v>
      </c>
      <c r="K156" s="105" t="str">
        <f>IF(ISEVEN(B156),(B156-1)&amp;"/"&amp;B156,B156&amp;"/"&amp;(B156+1))</f>
        <v>4015/4016</v>
      </c>
      <c r="L156" s="22" t="str">
        <f>VLOOKUP(A156,'Trips&amp;Operators'!$C$1:$G$99999,5,FALSE)</f>
        <v>BROWN JACOB</v>
      </c>
      <c r="M156" s="6">
        <f>I156-F156</f>
        <v>2.6724537034169771E-2</v>
      </c>
      <c r="N156" s="7">
        <f>24*60*SUM($M156:$M156)</f>
        <v>38.48333332920447</v>
      </c>
      <c r="O156" s="7"/>
      <c r="P156" s="7"/>
      <c r="Q156" s="23"/>
      <c r="R156" s="23"/>
      <c r="S156" s="32">
        <f>SUM(U156:U156)/IF(AG156="EC",12,1)</f>
        <v>1</v>
      </c>
      <c r="T156" s="47" t="str">
        <f>IF(ISEVEN(LEFT(AD156,4)),"Southbound","NorthBound")</f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hh:mm:ss")&amp;utc_offset&amp;"00',mode:absolute,to:'"&amp;TEXT(I156+1/24,"yyyy-MM-DD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https://search-rtdc-monitor-bjffxe2xuh6vdkpspy63sjmuny.us-east-1.es.amazonaws.com/_plugin/kibana/#/discover/Steve-Slow-Train-Analysis-(2080s-and-2083s)?_g=(refreshInterval:(display:Off,section:0,value:0),time:(from:'2017-01-04 23:45:00-700',mode:absolute,to:'2017-01-05 02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6" s="49" t="str">
        <f>IF(AA156&lt;IF(AG156="EC",23,5.65),"Y","N")</f>
        <v>N</v>
      </c>
      <c r="X156" s="173">
        <f>VALUE(LEFT(AD156,4))-VALUE(LEFT(AD155,4))</f>
        <v>1</v>
      </c>
      <c r="Y156" s="64">
        <f t="shared" si="17"/>
        <v>23.295500000000001</v>
      </c>
      <c r="Z156" s="64">
        <f t="shared" si="18"/>
        <v>1.3599999999999999E-2</v>
      </c>
      <c r="AA156" s="64">
        <f>ABS(Z156-Y156)</f>
        <v>23.2819</v>
      </c>
      <c r="AB156" s="61" t="e">
        <f>VLOOKUP(A156,Enforcements!$C$7:$K$19,8,0)</f>
        <v>#N/A</v>
      </c>
      <c r="AC156" s="57" t="e">
        <f>VLOOKUP(A156,Enforcements!$C$7:$E$19,3,0)</f>
        <v>#N/A</v>
      </c>
      <c r="AD156" s="58" t="str">
        <f>IF(LEN(A156)=6,"0"&amp;A156,A156)</f>
        <v>0242-04</v>
      </c>
      <c r="AE156" s="8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 &amp; aws s3 cp s3://rtdc.mdm.uploadarchive.raw/RTDC4015/ "%USERPROFILE%\AppData\Local\Temp\OnboardLogs"\RTDC4015\2017-01-06 --exclude "*" --recursive --include "*20170106*" &amp; "%USERPROFILE%\Documents\GitHub\mrs-test-scripts\Headless Mode &amp; Sideloading\WalkAndUnGZ.bat" "%USERPROFILE%\AppData\Local\Temp\OnboardLogs"\RTDC4015\2017-01-06</v>
      </c>
      <c r="AF156" s="84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/stypes="app*4015*20170105*" /stext=" 08:.+((SYSTEM_STATE.+slice.+state.+changed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88" t="str">
        <f t="shared" si="19"/>
        <v>"%USERPROFILE%\Documents\GitHub\eaglep3\Utilities\RefineRTDCRunTimes.py" --tripid 242-04 --locoid 4015 --swversion DE.1.0.8.0 --startMP 204:232955 --initTime 2017-01-05T00:45:00 --startdatetime 2017-01-05T00:56:15 --delay 2 --endMP 204:136 --enddatetime 2017-01-05T01:34:44 --enforcementcount 0 &gt;&gt;C:\Users\stu\Documents\GitHub\eaglep3-reporting\EC\2017-01-04-refined-times.txt</v>
      </c>
      <c r="AI156" s="115" t="str">
        <f t="shared" si="20"/>
        <v>echo {"issue":{"subject":"","project_id":79,"tracker_id":40,"status_id":1,"priority_id":2,"assigned_to_id":23,"start_date":"2017-01-05","description":"","custom_fields":[{"id":1,"name":"Subdivision","value":"EC"},{"id":4,"name":"Milepost","value":"0.0136"},{"id":17,"name":"Train ID","value":"242-04"},{"id":16,"name":"Locomotive ID","value":"4015"},{"id":130,"name":"Impact","value":""},{"id":150,"name":"Time of Event (Mountain Time)","value":"01:34:44"},{"id":151,"name":"Denver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21"/>
        <v>start /low /b %USERPROFILE%\Documents\GitHub\eaglep3\Utilities\DownloadLogsFromS3.py --loco 4015 --day 2017-01-05</v>
      </c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4" t="s">
        <v>681</v>
      </c>
      <c r="B157" s="7">
        <v>4029</v>
      </c>
      <c r="C157" s="22" t="s">
        <v>203</v>
      </c>
      <c r="D157" s="22" t="s">
        <v>346</v>
      </c>
      <c r="E157" s="13">
        <v>42740.016805555555</v>
      </c>
      <c r="F157" s="13">
        <v>42740.020995370367</v>
      </c>
      <c r="G157" s="7">
        <v>1</v>
      </c>
      <c r="H157" s="22" t="s">
        <v>419</v>
      </c>
      <c r="I157" s="13">
        <v>42740.046238425923</v>
      </c>
      <c r="J157" s="7">
        <v>0</v>
      </c>
      <c r="K157" s="105" t="str">
        <f>IF(ISEVEN(B157),(B157-1)&amp;"/"&amp;B157,B157&amp;"/"&amp;(B157+1))</f>
        <v>4029/4030</v>
      </c>
      <c r="L157" s="22" t="str">
        <f>VLOOKUP(A157,'Trips&amp;Operators'!$C$1:$G$99999,5,FALSE)</f>
        <v>DUNCAN SHEILA</v>
      </c>
      <c r="M157" s="6">
        <f>I157-F157</f>
        <v>2.5243055555620231E-2</v>
      </c>
      <c r="N157" s="7">
        <f>24*60*SUM($M157:$M157)</f>
        <v>36.350000000093132</v>
      </c>
      <c r="O157" s="7"/>
      <c r="P157" s="7"/>
      <c r="Q157" s="23"/>
      <c r="R157" s="23"/>
      <c r="S157" s="32">
        <f>SUM(U157:U157)/IF(AG157="EC",12,1)</f>
        <v>1</v>
      </c>
      <c r="T157" s="47" t="str">
        <f>IF(ISEVEN(LEFT(AD157,4)),"Southbound","NorthBound")</f>
        <v>NorthBound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hh:mm:ss")&amp;utc_offset&amp;"00',mode:absolute,to:'"&amp;TEXT(I157+1/24,"yyyy-MM-DD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https://search-rtdc-monitor-bjffxe2xuh6vdkpspy63sjmuny.us-east-1.es.amazonaws.com/_plugin/kibana/#/discover/Steve-Slow-Train-Analysis-(2080s-and-2083s)?_g=(refreshInterval:(display:Off,section:0,value:0),time:(from:'2017-01-04 23:24:12-700',mode:absolute,to:'2017-01-05 02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7" s="49" t="str">
        <f>IF(AA157&lt;IF(AG157="EC",23,5.65),"Y","N")</f>
        <v>N</v>
      </c>
      <c r="X157" s="173">
        <f>VALUE(LEFT(AD157,4))-VALUE(LEFT(AD156,4))</f>
        <v>1</v>
      </c>
      <c r="Y157" s="64">
        <f t="shared" si="17"/>
        <v>4.4600000000000001E-2</v>
      </c>
      <c r="Z157" s="64">
        <f t="shared" si="18"/>
        <v>23.328800000000001</v>
      </c>
      <c r="AA157" s="64">
        <f>ABS(Z157-Y157)</f>
        <v>23.284200000000002</v>
      </c>
      <c r="AB157" s="61" t="e">
        <f>VLOOKUP(A157,Enforcements!$C$7:$K$19,8,0)</f>
        <v>#N/A</v>
      </c>
      <c r="AC157" s="57" t="e">
        <f>VLOOKUP(A157,Enforcements!$C$7:$E$19,3,0)</f>
        <v>#N/A</v>
      </c>
      <c r="AD157" s="58" t="str">
        <f>IF(LEN(A157)=6,"0"&amp;A157,A157)</f>
        <v>0243-04</v>
      </c>
      <c r="AE157" s="8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 &amp; 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</v>
      </c>
      <c r="AF157" s="84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/stypes="app*4029*20170105*" /stext=" 08:.+((SYSTEM_STATE.+slice.+state.+changed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88" t="str">
        <f t="shared" si="19"/>
        <v>"%USERPROFILE%\Documents\GitHub\eaglep3\Utilities\RefineRTDCRunTimes.py" --tripid 243-04 --locoid 4029 --swversion DE.1.0.8.0 --startMP 204:446 --initTime 2017-01-05T00:24:12 --startdatetime 2017-01-05T00:30:14 --delay 1 --endMP 204:233288 --enddatetime 2017-01-05T01:06:35 --enforcementcount 0 &gt;&gt;C:\Users\stu\Documents\GitHub\eaglep3-reporting\EC\2017-01-04-refined-times.txt</v>
      </c>
      <c r="AI157" s="115" t="str">
        <f t="shared" si="20"/>
        <v>echo {"issue":{"subject":"","project_id":79,"tracker_id":40,"status_id":1,"priority_id":2,"assigned_to_id":23,"start_date":"2017-01-05","description":"","custom_fields":[{"id":1,"name":"Subdivision","value":"EC"},{"id":4,"name":"Milepost","value":"23.3288"},{"id":17,"name":"Train ID","value":"243-04"},{"id":16,"name":"Locomotive ID","value":"4029"},{"id":130,"name":"Impact","value":""},{"id":150,"name":"Time of Event (Mountain Time)","value":"01:06:35"},{"id":151,"name":"Denver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21"/>
        <v>start /low /b %USERPROFILE%\Documents\GitHub\eaglep3\Utilities\DownloadLogsFromS3.py --loco 4029 --day 2017-01-05</v>
      </c>
    </row>
    <row r="158" spans="1:91" s="21" customFormat="1" x14ac:dyDescent="0.25">
      <c r="A158" s="34" t="s">
        <v>686</v>
      </c>
      <c r="B158" s="7">
        <v>4030</v>
      </c>
      <c r="C158" s="22" t="s">
        <v>203</v>
      </c>
      <c r="D158" s="22" t="s">
        <v>727</v>
      </c>
      <c r="E158" s="13">
        <v>42740.052060185182</v>
      </c>
      <c r="F158" s="13">
        <v>42740.059884259259</v>
      </c>
      <c r="G158" s="7">
        <v>0</v>
      </c>
      <c r="H158" s="22" t="s">
        <v>209</v>
      </c>
      <c r="I158" s="13">
        <v>42740.086296296293</v>
      </c>
      <c r="J158" s="7">
        <v>0</v>
      </c>
      <c r="K158" s="105" t="str">
        <f>IF(ISEVEN(B158),(B158-1)&amp;"/"&amp;B158,B158&amp;"/"&amp;(B158+1))</f>
        <v>4029/4030</v>
      </c>
      <c r="L158" s="22" t="str">
        <f>VLOOKUP(A158,'Trips&amp;Operators'!$C$1:$G$99999,5,FALSE)</f>
        <v>DUNCAN SHEILA</v>
      </c>
      <c r="M158" s="6">
        <f>I158-F158</f>
        <v>2.6412037033878732E-2</v>
      </c>
      <c r="N158" s="7">
        <f>24*60*SUM($M158:$M158)</f>
        <v>38.033333328785375</v>
      </c>
      <c r="O158" s="7"/>
      <c r="P158" s="7"/>
      <c r="Q158" s="23"/>
      <c r="R158" s="23"/>
      <c r="S158" s="32">
        <f>SUM(U158:U158)/IF(AG158="EC",12,1)</f>
        <v>1</v>
      </c>
      <c r="T158" s="47" t="str">
        <f>IF(ISEVEN(LEFT(AD158,4)),"Southbound","NorthBound")</f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hh:mm:ss")&amp;utc_offset&amp;"00',mode:absolute,to:'"&amp;TEXT(I158+1/24,"yyyy-MM-DD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https://search-rtdc-monitor-bjffxe2xuh6vdkpspy63sjmuny.us-east-1.es.amazonaws.com/_plugin/kibana/#/discover/Steve-Slow-Train-Analysis-(2080s-and-2083s)?_g=(refreshInterval:(display:Off,section:0,value:0),time:(from:'2017-01-05 00:14:58-700',mode:absolute,to:'2017-01-05 03:04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8" s="49" t="str">
        <f>IF(AA158&lt;IF(AG158="EC",23,5.65),"Y","N")</f>
        <v>N</v>
      </c>
      <c r="X158" s="173">
        <f>VALUE(LEFT(AD158,4))-VALUE(LEFT(AD157,4))</f>
        <v>1</v>
      </c>
      <c r="Y158" s="64">
        <f t="shared" si="17"/>
        <v>23.2988</v>
      </c>
      <c r="Z158" s="64">
        <f t="shared" si="18"/>
        <v>1.4999999999999999E-2</v>
      </c>
      <c r="AA158" s="64">
        <f>ABS(Z158-Y158)</f>
        <v>23.283799999999999</v>
      </c>
      <c r="AB158" s="61" t="e">
        <f>VLOOKUP(A158,Enforcements!$C$7:$K$19,8,0)</f>
        <v>#N/A</v>
      </c>
      <c r="AC158" s="57" t="e">
        <f>VLOOKUP(A158,Enforcements!$C$7:$E$19,3,0)</f>
        <v>#N/A</v>
      </c>
      <c r="AD158" s="58" t="str">
        <f>IF(LEN(A158)=6,"0"&amp;A158,A158)</f>
        <v>0244-04</v>
      </c>
      <c r="AE158" s="8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 &amp; 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</v>
      </c>
      <c r="AF158" s="84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/stypes="app*4030*20170105*" /stext=" 09:.+((SYSTEM_STATE.+slice.+state.+changed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88" t="str">
        <f t="shared" si="19"/>
        <v>"%USERPROFILE%\Documents\GitHub\eaglep3\Utilities\RefineRTDCRunTimes.py" --tripid 244-04 --locoid 4030 --swversion DE.1.0.8.0 --startMP 204:232988 --initTime 2017-01-05T01:14:58 --startdatetime 2017-01-05T01:26:14 --delay 0 --endMP 204:150 --enddatetime 2017-01-05T02:04:16 --enforcementcount 0 &gt;&gt;C:\Users\stu\Documents\GitHub\eaglep3-reporting\EC\2017-01-04-refined-times.txt</v>
      </c>
      <c r="AI158" s="115" t="str">
        <f t="shared" si="20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ID","value":"244-04"},{"id":16,"name":"Locomotive ID","value":"4030"},{"id":130,"name":"Impact","value":""},{"id":150,"name":"Time of Event (Mountain Time)","value":"02:04:16"},{"id":151,"name":"Denver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21"/>
        <v>start /low /b %USERPROFILE%\Documents\GitHub\eaglep3\Utilities\DownloadLogsFromS3.py --loco 4030 --day 2017-01-05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496</v>
      </c>
      <c r="B159" s="7">
        <v>4008</v>
      </c>
      <c r="C159" s="22" t="s">
        <v>203</v>
      </c>
      <c r="D159" s="22" t="s">
        <v>791</v>
      </c>
      <c r="E159" s="13">
        <v>42739.212453703702</v>
      </c>
      <c r="F159" s="13">
        <v>42739.214502314811</v>
      </c>
      <c r="G159" s="7">
        <v>2</v>
      </c>
      <c r="H159" s="22" t="s">
        <v>409</v>
      </c>
      <c r="I159" s="13">
        <v>42739.227407407408</v>
      </c>
      <c r="J159" s="7">
        <v>0</v>
      </c>
      <c r="K159" s="105" t="str">
        <f>IF(ISEVEN(B159),(B159-1)&amp;"/"&amp;B159,B159&amp;"/"&amp;(B159+1))</f>
        <v>4007/4008</v>
      </c>
      <c r="L159" s="22" t="str">
        <f>VLOOKUP(A159,'Trips&amp;Operators'!$C$1:$G$99999,5,FALSE)</f>
        <v>YORK EDGAR</v>
      </c>
      <c r="M159" s="6">
        <f>I159-F159</f>
        <v>1.2905092597065959E-2</v>
      </c>
      <c r="N159" s="7">
        <f>24*60*SUM($M159:$M159)</f>
        <v>18.583333339774981</v>
      </c>
      <c r="O159" s="7"/>
      <c r="P159" s="7"/>
      <c r="Q159" s="23"/>
      <c r="R159" s="23"/>
      <c r="S159" s="32">
        <f>SUM(U159:U159)/IF(AG159="EC",12,1)</f>
        <v>1</v>
      </c>
      <c r="T159" s="47" t="str">
        <f>IF(ISEVEN(LEFT(AD159,4)),"Southbound","NorthBound")</f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hh:mm:ss")&amp;utc_offset&amp;"00',mode:absolute,to:'"&amp;TEXT(I159+1/24,"yyyy-MM-DD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https://search-rtdc-monitor-bjffxe2xuh6vdkpspy63sjmuny.us-east-1.es.amazonaws.com/_plugin/kibana/#/discover/Steve-Slow-Train-Analysis-(2080s-and-2083s)?_g=(refreshInterval:(display:Off,section:0,value:0),time:(from:'2017-01-04 04:05:56-700',mode:absolute,to:'2017-01-04 06:27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9" s="49" t="str">
        <f>IF(AA159&lt;IF(AG159="EC",23,5.65),"Y","N")</f>
        <v>N</v>
      </c>
      <c r="X159" s="173">
        <f>VALUE(LEFT(AD159,4))-VALUE(LEFT(AD158,4))</f>
        <v>556</v>
      </c>
      <c r="Y159" s="64">
        <f t="shared" si="17"/>
        <v>5.8068</v>
      </c>
      <c r="Z159" s="64">
        <f t="shared" si="18"/>
        <v>7.5499999999999998E-2</v>
      </c>
      <c r="AA159" s="64">
        <f>ABS(Z159-Y159)</f>
        <v>5.7313000000000001</v>
      </c>
      <c r="AB159" s="61" t="e">
        <f>VLOOKUP(A159,Enforcements!$C$7:$K$19,8,0)</f>
        <v>#N/A</v>
      </c>
      <c r="AC159" s="57" t="e">
        <f>VLOOKUP(A159,Enforcements!$C$7:$E$19,3,0)</f>
        <v>#N/A</v>
      </c>
      <c r="AD159" s="58" t="str">
        <f>IF(LEN(A159)=6,"0"&amp;A159,A159)</f>
        <v>0800-04</v>
      </c>
      <c r="AE159" s="8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 &amp; 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</v>
      </c>
      <c r="AF159" s="84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/stypes="app*4008*20170104*" /stext=" 12:.+((SYSTEM_STATE.+slice.+state.+changed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88" t="str">
        <f t="shared" si="19"/>
        <v>"%USERPROFILE%\Documents\GitHub\eaglep3\Utilities\RefineRTDCRunTimes.py" --tripid 800-04 --locoid 4008 --swversion DE.1.0.8.0 --startMP 300:58068 --initTime 2017-01-04T05:05:56 --startdatetime 2017-01-04T05:08:53 --delay 2 --endMP 204:755 --enddatetime 2017-01-04T05:27:28 --enforcementcount 0 &gt;&gt;C:\Users\stu\Documents\GitHub\eaglep3-reporting\EC\2017-01-04-refined-times.txt</v>
      </c>
      <c r="AI159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{"issue":{"subject":"","project_id":79,"tracker_id":40,"status_id":1,"priority_id":2,"assigned_to_id":23,"start_date":"2017-01-04","description":"","custom_fields":[{"id":1,"name":"Subdivision","value":"NW"},{"id":4,"name":"Milepost","value":"0.0755"},{"id":17,"name":"Train ID","value":"800-04"},{"id":16,"name":"Locomotive ID","value":"4008"},{"id":130,"name":"Impact","value":""},{"id":150,"name":"Time of Event (Mountain Time)","value":"05:27:28"},{"id":151,"name":"Denver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21"/>
        <v>start /low /b %USERPROFILE%\Documents\GitHub\eaglep3\Utilities\DownloadLogsFromS3.py --loco 4008 --day 2017-01-04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501</v>
      </c>
      <c r="B160" s="7">
        <v>4007</v>
      </c>
      <c r="C160" s="22" t="s">
        <v>203</v>
      </c>
      <c r="D160" s="22" t="s">
        <v>792</v>
      </c>
      <c r="E160" s="13">
        <v>42739.229189814818</v>
      </c>
      <c r="F160" s="13">
        <v>42739.244039351855</v>
      </c>
      <c r="G160" s="7">
        <v>1</v>
      </c>
      <c r="H160" s="22" t="s">
        <v>305</v>
      </c>
      <c r="I160" s="13">
        <v>42739.253472222219</v>
      </c>
      <c r="J160" s="7">
        <v>0</v>
      </c>
      <c r="K160" s="105" t="str">
        <f>IF(ISEVEN(B160),(B160-1)&amp;"/"&amp;B160,B160&amp;"/"&amp;(B160+1))</f>
        <v>4007/4008</v>
      </c>
      <c r="L160" s="22" t="str">
        <f>VLOOKUP(A160,'Trips&amp;Operators'!$C$1:$G$99999,5,FALSE)</f>
        <v>YORK EDGAR</v>
      </c>
      <c r="M160" s="6">
        <f>I160-F160</f>
        <v>9.4328703635255806E-3</v>
      </c>
      <c r="N160" s="7">
        <f>24*60*SUM($M160:$M160)</f>
        <v>13.583333323476836</v>
      </c>
      <c r="O160" s="7"/>
      <c r="P160" s="7"/>
      <c r="Q160" s="23"/>
      <c r="R160" s="23"/>
      <c r="S160" s="32">
        <f>SUM(U160:U160)/IF(AG160="EC",12,1)</f>
        <v>1</v>
      </c>
      <c r="T160" s="47" t="str">
        <f>IF(ISEVEN(LEFT(AD160,4)),"Southbound","NorthBound")</f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hh:mm:ss")&amp;utc_offset&amp;"00',mode:absolute,to:'"&amp;TEXT(I160+1/24,"yyyy-MM-DD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https://search-rtdc-monitor-bjffxe2xuh6vdkpspy63sjmuny.us-east-1.es.amazonaws.com/_plugin/kibana/#/discover/Steve-Slow-Train-Analysis-(2080s-and-2083s)?_g=(refreshInterval:(display:Off,section:0,value:0),time:(from:'2017-01-04 04:30:02-700',mode:absolute,to:'2017-01-04 07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0" s="49" t="str">
        <f>IF(AA160&lt;IF(AG160="EC",23,5.65),"Y","N")</f>
        <v>N</v>
      </c>
      <c r="X160" s="173">
        <f>VALUE(LEFT(AD160,4))-VALUE(LEFT(AD159,4))</f>
        <v>1</v>
      </c>
      <c r="Y160" s="64">
        <f t="shared" si="17"/>
        <v>0.1037</v>
      </c>
      <c r="Z160" s="64">
        <f t="shared" si="18"/>
        <v>5.8930999999999996</v>
      </c>
      <c r="AA160" s="64">
        <f>ABS(Z160-Y160)</f>
        <v>5.7893999999999997</v>
      </c>
      <c r="AB160" s="61" t="e">
        <f>VLOOKUP(A160,Enforcements!$C$7:$K$19,8,0)</f>
        <v>#N/A</v>
      </c>
      <c r="AC160" s="57" t="e">
        <f>VLOOKUP(A160,Enforcements!$C$7:$E$19,3,0)</f>
        <v>#N/A</v>
      </c>
      <c r="AD160" s="58" t="str">
        <f>IF(LEN(A160)=6,"0"&amp;A160,A160)</f>
        <v>0801-04</v>
      </c>
      <c r="AE160" s="8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 &amp; 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</v>
      </c>
      <c r="AF160" s="84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/stypes="app*4007*20170104*" /stext=" 13:.+((SYSTEM_STATE.+slice.+state.+changed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88" t="str">
        <f t="shared" si="19"/>
        <v>"%USERPROFILE%\Documents\GitHub\eaglep3\Utilities\RefineRTDCRunTimes.py" --tripid 801-04 --locoid 4007 --swversion DE.1.0.8.0 --startMP 204:1037 --initTime 2017-01-04T05:30:02 --startdatetime 2017-01-04T05:51:25 --delay 1 --endMP 300:58931 --enddatetime 2017-01-04T06:05:00 --enforcementcount 0 &gt;&gt;C:\Users\stu\Documents\GitHub\eaglep3-reporting\EC\2017-01-04-refined-times.txt</v>
      </c>
      <c r="AI160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{"issue":{"subject":"","project_id":79,"tracker_id":40,"status_id":1,"priority_id":2,"assigned_to_id":23,"start_date":"2017-01-04","description":"","custom_fields":[{"id":1,"name":"Subdivision","value":"NW"},{"id":4,"name":"Milepost","value":"5.8931"},{"id":17,"name":"Train ID","value":"801-04"},{"id":16,"name":"Locomotive ID","value":"4007"},{"id":130,"name":"Impact","value":""},{"id":150,"name":"Time of Event (Mountain Time)","value":"06:05:00"},{"id":151,"name":"Denver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21"/>
        <v>start /low /b %USERPROFILE%\Documents\GitHub\eaglep3\Utilities\DownloadLogsFromS3.py --loco 4007 --day 2017-01-04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448</v>
      </c>
      <c r="B161" s="7">
        <v>4008</v>
      </c>
      <c r="C161" s="22" t="s">
        <v>203</v>
      </c>
      <c r="D161" s="22" t="s">
        <v>382</v>
      </c>
      <c r="E161" s="13">
        <v>42739.254444444443</v>
      </c>
      <c r="F161" s="13">
        <v>42739.256365740737</v>
      </c>
      <c r="G161" s="7">
        <v>1</v>
      </c>
      <c r="H161" s="22" t="s">
        <v>793</v>
      </c>
      <c r="I161" s="13">
        <v>42739.268437500003</v>
      </c>
      <c r="J161" s="7">
        <v>0</v>
      </c>
      <c r="K161" s="105" t="str">
        <f>IF(ISEVEN(B161),(B161-1)&amp;"/"&amp;B161,B161&amp;"/"&amp;(B161+1))</f>
        <v>4007/4008</v>
      </c>
      <c r="L161" s="22" t="str">
        <f>VLOOKUP(A161,'Trips&amp;Operators'!$C$1:$G$99999,5,FALSE)</f>
        <v>YORK EDGAR</v>
      </c>
      <c r="M161" s="6">
        <f>I161-F161</f>
        <v>1.2071759265381843E-2</v>
      </c>
      <c r="N161" s="7">
        <f>24*60*SUM($M161:$M161)</f>
        <v>17.383333342149854</v>
      </c>
      <c r="O161" s="7"/>
      <c r="P161" s="7"/>
      <c r="Q161" s="23"/>
      <c r="R161" s="23"/>
      <c r="S161" s="32">
        <f>SUM(U161:U161)/IF(AG161="EC",12,1)</f>
        <v>1</v>
      </c>
      <c r="T161" s="47" t="str">
        <f>IF(ISEVEN(LEFT(AD161,4)),"Southbound","NorthBound")</f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hh:mm:ss")&amp;utc_offset&amp;"00',mode:absolute,to:'"&amp;TEXT(I161+1/24,"yyyy-MM-DD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https://search-rtdc-monitor-bjffxe2xuh6vdkpspy63sjmuny.us-east-1.es.amazonaws.com/_plugin/kibana/#/discover/Steve-Slow-Train-Analysis-(2080s-and-2083s)?_g=(refreshInterval:(display:Off,section:0,value:0),time:(from:'2017-01-04 05:06:24-700',mode:absolute,to:'2017-01-04 07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1" s="49" t="str">
        <f>IF(AA161&lt;IF(AG161="EC",23,5.65),"Y","N")</f>
        <v>N</v>
      </c>
      <c r="X161" s="173">
        <f>VALUE(LEFT(AD161,4))-VALUE(LEFT(AD160,4))</f>
        <v>1</v>
      </c>
      <c r="Y161" s="64">
        <f t="shared" si="17"/>
        <v>5.8615000000000004</v>
      </c>
      <c r="Z161" s="64">
        <f t="shared" si="18"/>
        <v>7.5200000000000003E-2</v>
      </c>
      <c r="AA161" s="64">
        <f>ABS(Z161-Y161)</f>
        <v>5.7863000000000007</v>
      </c>
      <c r="AB161" s="61" t="e">
        <f>VLOOKUP(A161,Enforcements!$C$7:$K$19,8,0)</f>
        <v>#N/A</v>
      </c>
      <c r="AC161" s="57" t="e">
        <f>VLOOKUP(A161,Enforcements!$C$7:$E$19,3,0)</f>
        <v>#N/A</v>
      </c>
      <c r="AD161" s="58" t="str">
        <f>IF(LEN(A161)=6,"0"&amp;A161,A161)</f>
        <v>0802-04</v>
      </c>
      <c r="AE161" s="8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 &amp; 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</v>
      </c>
      <c r="AF161" s="84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/stypes="app*4008*20170104*" /stext=" 13:.+((SYSTEM_STATE.+slice.+state.+changed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88" t="str">
        <f t="shared" si="19"/>
        <v>"%USERPROFILE%\Documents\GitHub\eaglep3\Utilities\RefineRTDCRunTimes.py" --tripid 802-04 --locoid 4008 --swversion DE.1.0.8.0 --startMP 300:58615 --initTime 2017-01-04T06:06:24 --startdatetime 2017-01-04T06:09:10 --delay 1 --endMP 204:752 --enddatetime 2017-01-04T06:26:33 --enforcementcount 0 &gt;&gt;C:\Users\stu\Documents\GitHub\eaglep3-reporting\EC\2017-01-04-refined-times.txt</v>
      </c>
      <c r="AI161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{"issue":{"subject":"","project_id":79,"tracker_id":40,"status_id":1,"priority_id":2,"assigned_to_id":23,"start_date":"2017-01-04","description":"","custom_fields":[{"id":1,"name":"Subdivision","value":"NW"},{"id":4,"name":"Milepost","value":"0.0752"},{"id":17,"name":"Train ID","value":"802-04"},{"id":16,"name":"Locomotive ID","value":"4008"},{"id":130,"name":"Impact","value":""},{"id":150,"name":"Time of Event (Mountain Time)","value":"06:26:33"},{"id":151,"name":"Denver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21"/>
        <v>start /low /b %USERPROFILE%\Documents\GitHub\eaglep3\Utilities\DownloadLogsFromS3.py --loco 4008 --day 2017-01-04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510</v>
      </c>
      <c r="B162" s="7">
        <v>4011</v>
      </c>
      <c r="C162" s="22" t="s">
        <v>203</v>
      </c>
      <c r="D162" s="22" t="s">
        <v>794</v>
      </c>
      <c r="E162" s="13">
        <v>42739.263460648152</v>
      </c>
      <c r="F162" s="13">
        <v>42739.265300925923</v>
      </c>
      <c r="G162" s="7">
        <v>1</v>
      </c>
      <c r="H162" s="22" t="s">
        <v>795</v>
      </c>
      <c r="I162" s="13">
        <v>42739.275092592594</v>
      </c>
      <c r="J162" s="7">
        <v>0</v>
      </c>
      <c r="K162" s="105" t="str">
        <f>IF(ISEVEN(B162),(B162-1)&amp;"/"&amp;B162,B162&amp;"/"&amp;(B162+1))</f>
        <v>4011/4012</v>
      </c>
      <c r="L162" s="22" t="str">
        <f>VLOOKUP(A162,'Trips&amp;Operators'!$C$1:$G$99999,5,FALSE)</f>
        <v>LOZA FIDEL</v>
      </c>
      <c r="M162" s="6">
        <f>I162-F162</f>
        <v>9.7916666709352285E-3</v>
      </c>
      <c r="N162" s="7">
        <f>24*60*SUM($M162:$M162)</f>
        <v>14.100000006146729</v>
      </c>
      <c r="O162" s="7"/>
      <c r="P162" s="7"/>
      <c r="Q162" s="23"/>
      <c r="R162" s="23"/>
      <c r="S162" s="32">
        <f>SUM(U162:U162)/IF(AG162="EC",12,1)</f>
        <v>1</v>
      </c>
      <c r="T162" s="47" t="str">
        <f>IF(ISEVEN(LEFT(AD162,4)),"Southbound","NorthBound")</f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hh:mm:ss")&amp;utc_offset&amp;"00',mode:absolute,to:'"&amp;TEXT(I162+1/24,"yyyy-MM-DD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https://search-rtdc-monitor-bjffxe2xuh6vdkpspy63sjmuny.us-east-1.es.amazonaws.com/_plugin/kibana/#/discover/Steve-Slow-Train-Analysis-(2080s-and-2083s)?_g=(refreshInterval:(display:Off,section:0,value:0),time:(from:'2017-01-04 05:19:23-700',mode:absolute,to:'2017-01-04 07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2" s="49" t="str">
        <f>IF(AA162&lt;IF(AG162="EC",23,5.65),"Y","N")</f>
        <v>N</v>
      </c>
      <c r="X162" s="173">
        <f>VALUE(LEFT(AD162,4))-VALUE(LEFT(AD161,4))</f>
        <v>1</v>
      </c>
      <c r="Y162" s="64">
        <f t="shared" si="17"/>
        <v>9.74E-2</v>
      </c>
      <c r="Z162" s="64">
        <f t="shared" si="18"/>
        <v>5.8917999999999999</v>
      </c>
      <c r="AA162" s="64">
        <f>ABS(Z162-Y162)</f>
        <v>5.7943999999999996</v>
      </c>
      <c r="AB162" s="61" t="e">
        <f>VLOOKUP(A162,Enforcements!$C$7:$K$19,8,0)</f>
        <v>#N/A</v>
      </c>
      <c r="AC162" s="57" t="e">
        <f>VLOOKUP(A162,Enforcements!$C$7:$E$19,3,0)</f>
        <v>#N/A</v>
      </c>
      <c r="AD162" s="58" t="str">
        <f>IF(LEN(A162)=6,"0"&amp;A162,A162)</f>
        <v>0803-04</v>
      </c>
      <c r="AE162" s="8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162" s="84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/stypes="app*4011*20170104*" /stext=" 13:.+((SYSTEM_STATE.+slice.+state.+changed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88" t="str">
        <f t="shared" si="19"/>
        <v>"%USERPROFILE%\Documents\GitHub\eaglep3\Utilities\RefineRTDCRunTimes.py" --tripid 803-04 --locoid 4011 --swversion DE.1.0.8.0 --startMP 204:974 --initTime 2017-01-04T06:19:23 --startdatetime 2017-01-04T06:22:02 --delay 1 --endMP 300:58918 --enddatetime 2017-01-04T06:36:08 --enforcementcount 0 &gt;&gt;C:\Users\stu\Documents\GitHub\eaglep3-reporting\EC\2017-01-04-refined-times.txt</v>
      </c>
      <c r="AI162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{"issue":{"subject":"","project_id":79,"tracker_id":40,"status_id":1,"priority_id":2,"assigned_to_id":23,"start_date":"2017-01-04","description":"","custom_fields":[{"id":1,"name":"Subdivision","value":"NW"},{"id":4,"name":"Milepost","value":"5.8918"},{"id":17,"name":"Train ID","value":"803-04"},{"id":16,"name":"Locomotive ID","value":"4011"},{"id":130,"name":"Impact","value":""},{"id":150,"name":"Time of Event (Mountain Time)","value":"06:36:08"},{"id":151,"name":"Denver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21"/>
        <v>start /low /b %USERPROFILE%\Documents\GitHub\eaglep3\Utilities\DownloadLogsFromS3.py --loco 4011 --day 2017-01-04</v>
      </c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515</v>
      </c>
      <c r="B163" s="7">
        <v>4012</v>
      </c>
      <c r="C163" s="22" t="s">
        <v>203</v>
      </c>
      <c r="D163" s="22" t="s">
        <v>433</v>
      </c>
      <c r="E163" s="13">
        <v>42739.276886574073</v>
      </c>
      <c r="F163" s="13">
        <v>42739.278969907406</v>
      </c>
      <c r="G163" s="7">
        <v>1</v>
      </c>
      <c r="H163" s="22" t="s">
        <v>378</v>
      </c>
      <c r="I163" s="13">
        <v>42739.289189814815</v>
      </c>
      <c r="J163" s="7">
        <v>0</v>
      </c>
      <c r="K163" s="105" t="str">
        <f>IF(ISEVEN(B163),(B163-1)&amp;"/"&amp;B163,B163&amp;"/"&amp;(B163+1))</f>
        <v>4011/4012</v>
      </c>
      <c r="L163" s="22" t="str">
        <f>VLOOKUP(A163,'Trips&amp;Operators'!$C$1:$G$99999,5,FALSE)</f>
        <v>LOZA FIDEL</v>
      </c>
      <c r="M163" s="6">
        <f>I163-F163</f>
        <v>1.021990740991896E-2</v>
      </c>
      <c r="N163" s="7">
        <f>24*60*SUM($M163:$M163)</f>
        <v>14.716666670283303</v>
      </c>
      <c r="O163" s="7"/>
      <c r="P163" s="7"/>
      <c r="Q163" s="23"/>
      <c r="R163" s="23"/>
      <c r="S163" s="32">
        <f>SUM(U163:U163)/IF(AG163="EC",12,1)</f>
        <v>1</v>
      </c>
      <c r="T163" s="47" t="str">
        <f>IF(ISEVEN(LEFT(AD163,4)),"Southbound","NorthBound")</f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hh:mm:ss")&amp;utc_offset&amp;"00',mode:absolute,to:'"&amp;TEXT(I163+1/24,"yyyy-MM-DD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https://search-rtdc-monitor-bjffxe2xuh6vdkpspy63sjmuny.us-east-1.es.amazonaws.com/_plugin/kibana/#/discover/Steve-Slow-Train-Analysis-(2080s-and-2083s)?_g=(refreshInterval:(display:Off,section:0,value:0),time:(from:'2017-01-04 05:38:43-700',mode:absolute,to:'2017-01-04 07:56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3" s="49" t="str">
        <f>IF(AA163&lt;IF(AG163="EC",23,5.65),"Y","N")</f>
        <v>N</v>
      </c>
      <c r="X163" s="173">
        <f>VALUE(LEFT(AD163,4))-VALUE(LEFT(AD162,4))</f>
        <v>1</v>
      </c>
      <c r="Y163" s="64">
        <f t="shared" si="17"/>
        <v>5.8616999999999999</v>
      </c>
      <c r="Z163" s="64">
        <f t="shared" si="18"/>
        <v>6.8400000000000002E-2</v>
      </c>
      <c r="AA163" s="64">
        <f>ABS(Z163-Y163)</f>
        <v>5.7933000000000003</v>
      </c>
      <c r="AB163" s="61" t="e">
        <f>VLOOKUP(A163,Enforcements!$C$7:$K$19,8,0)</f>
        <v>#N/A</v>
      </c>
      <c r="AC163" s="57" t="e">
        <f>VLOOKUP(A163,Enforcements!$C$7:$E$19,3,0)</f>
        <v>#N/A</v>
      </c>
      <c r="AD163" s="58" t="str">
        <f>IF(LEN(A163)=6,"0"&amp;A163,A163)</f>
        <v>0804-04</v>
      </c>
      <c r="AE163" s="8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63" s="84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/stypes="app*4012*20170104*" /stext=" 13:.+((SYSTEM_STATE.+slice.+state.+changed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88" t="str">
        <f t="shared" si="19"/>
        <v>"%USERPROFILE%\Documents\GitHub\eaglep3\Utilities\RefineRTDCRunTimes.py" --tripid 804-04 --locoid 4012 --swversion DE.1.0.8.0 --startMP 300:58617 --initTime 2017-01-04T06:38:43 --startdatetime 2017-01-04T06:41:43 --delay 1 --endMP 204:684 --enddatetime 2017-01-04T06:56:26 --enforcementcount 0 &gt;&gt;C:\Users\stu\Documents\GitHub\eaglep3-reporting\EC\2017-01-04-refined-times.txt</v>
      </c>
      <c r="AI163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{"issue":{"subject":"","project_id":79,"tracker_id":40,"status_id":1,"priority_id":2,"assigned_to_id":23,"start_date":"2017-01-04","description":"","custom_fields":[{"id":1,"name":"Subdivision","value":"NW"},{"id":4,"name":"Milepost","value":"0.0684"},{"id":17,"name":"Train ID","value":"804-04"},{"id":16,"name":"Locomotive ID","value":"4012"},{"id":130,"name":"Impact","value":""},{"id":150,"name":"Time of Event (Mountain Time)","value":"06:56:26"},{"id":151,"name":"Denver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21"/>
        <v>start /low /b %USERPROFILE%\Documents\GitHub\eaglep3\Utilities\DownloadLogsFromS3.py --loco 4012 --day 2017-01-04</v>
      </c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4" t="s">
        <v>513</v>
      </c>
      <c r="B164" s="7">
        <v>4007</v>
      </c>
      <c r="C164" s="22" t="s">
        <v>203</v>
      </c>
      <c r="D164" s="22" t="s">
        <v>431</v>
      </c>
      <c r="E164" s="13">
        <v>42739.270185185182</v>
      </c>
      <c r="F164" s="13">
        <v>42739.285775462966</v>
      </c>
      <c r="G164" s="7">
        <v>1</v>
      </c>
      <c r="H164" s="22" t="s">
        <v>796</v>
      </c>
      <c r="I164" s="13">
        <v>42739.294872685183</v>
      </c>
      <c r="J164" s="7">
        <v>0</v>
      </c>
      <c r="K164" s="105" t="str">
        <f>IF(ISEVEN(B164),(B164-1)&amp;"/"&amp;B164,B164&amp;"/"&amp;(B164+1))</f>
        <v>4007/4008</v>
      </c>
      <c r="L164" s="22" t="str">
        <f>VLOOKUP(A164,'Trips&amp;Operators'!$C$1:$G$99999,5,FALSE)</f>
        <v>YORK EDGAR</v>
      </c>
      <c r="M164" s="6">
        <f>I164-F164</f>
        <v>9.0972222169511952E-3</v>
      </c>
      <c r="N164" s="7">
        <f>24*60*SUM($M164:$M164)</f>
        <v>13.099999992409721</v>
      </c>
      <c r="O164" s="7"/>
      <c r="P164" s="7"/>
      <c r="Q164" s="23"/>
      <c r="R164" s="23"/>
      <c r="S164" s="32">
        <f>SUM(U164:U164)/IF(AG164="EC",12,1)</f>
        <v>1</v>
      </c>
      <c r="T164" s="47" t="str">
        <f>IF(ISEVEN(LEFT(AD164,4)),"Southbound","NorthBound")</f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hh:mm:ss")&amp;utc_offset&amp;"00',mode:absolute,to:'"&amp;TEXT(I164+1/24,"yyyy-MM-DD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https://search-rtdc-monitor-bjffxe2xuh6vdkpspy63sjmuny.us-east-1.es.amazonaws.com/_plugin/kibana/#/discover/Steve-Slow-Train-Analysis-(2080s-and-2083s)?_g=(refreshInterval:(display:Off,section:0,value:0),time:(from:'2017-01-04 05:29:04-700',mode:absolute,to:'2017-01-04 08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4" s="49" t="str">
        <f>IF(AA164&lt;IF(AG164="EC",23,5.65),"Y","N")</f>
        <v>N</v>
      </c>
      <c r="X164" s="173">
        <f>VALUE(LEFT(AD164,4))-VALUE(LEFT(AD163,4))</f>
        <v>1</v>
      </c>
      <c r="Y164" s="64">
        <f t="shared" si="17"/>
        <v>0.10349999999999999</v>
      </c>
      <c r="Z164" s="64">
        <f t="shared" si="18"/>
        <v>5.8939000000000004</v>
      </c>
      <c r="AA164" s="64">
        <f>ABS(Z164-Y164)</f>
        <v>5.7904</v>
      </c>
      <c r="AB164" s="61" t="e">
        <f>VLOOKUP(A164,Enforcements!$C$7:$K$19,8,0)</f>
        <v>#N/A</v>
      </c>
      <c r="AC164" s="57" t="e">
        <f>VLOOKUP(A164,Enforcements!$C$7:$E$19,3,0)</f>
        <v>#N/A</v>
      </c>
      <c r="AD164" s="58" t="str">
        <f>IF(LEN(A164)=6,"0"&amp;A164,A164)</f>
        <v>0805-04</v>
      </c>
      <c r="AE164" s="8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 &amp; 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</v>
      </c>
      <c r="AF164" s="84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/stypes="app*4007*20170104*" /stext=" 14:.+((SYSTEM_STATE.+slice.+state.+changed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88" t="str">
        <f t="shared" si="19"/>
        <v>"%USERPROFILE%\Documents\GitHub\eaglep3\Utilities\RefineRTDCRunTimes.py" --tripid 805-04 --locoid 4007 --swversion DE.1.0.8.0 --startMP 204:1035 --initTime 2017-01-04T06:29:04 --startdatetime 2017-01-04T06:51:31 --delay 1 --endMP 300:58939 --enddatetime 2017-01-04T07:04:37 --enforcementcount 0 &gt;&gt;C:\Users\stu\Documents\GitHub\eaglep3-reporting\EC\2017-01-04-refined-times.txt</v>
      </c>
      <c r="AI164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{"issue":{"subject":"","project_id":79,"tracker_id":40,"status_id":1,"priority_id":2,"assigned_to_id":23,"start_date":"2017-01-04","description":"","custom_fields":[{"id":1,"name":"Subdivision","value":"NW"},{"id":4,"name":"Milepost","value":"5.8939"},{"id":17,"name":"Train ID","value":"805-04"},{"id":16,"name":"Locomotive ID","value":"4007"},{"id":130,"name":"Impact","value":""},{"id":150,"name":"Time of Event (Mountain Time)","value":"07:04:37"},{"id":151,"name":"Denver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21"/>
        <v>start /low /b %USERPROFILE%\Documents\GitHub\eaglep3\Utilities\DownloadLogsFromS3.py --loco 4007 --day 2017-01-04</v>
      </c>
    </row>
    <row r="165" spans="1:91" x14ac:dyDescent="0.25">
      <c r="A165" s="34" t="s">
        <v>520</v>
      </c>
      <c r="B165" s="7">
        <v>4008</v>
      </c>
      <c r="C165" s="22" t="s">
        <v>203</v>
      </c>
      <c r="D165" s="22" t="s">
        <v>797</v>
      </c>
      <c r="E165" s="13">
        <v>42739.296006944445</v>
      </c>
      <c r="F165" s="13">
        <v>42739.29828703704</v>
      </c>
      <c r="G165" s="7">
        <v>0</v>
      </c>
      <c r="H165" s="22" t="s">
        <v>410</v>
      </c>
      <c r="I165" s="13">
        <v>42739.309131944443</v>
      </c>
      <c r="J165" s="7">
        <v>0</v>
      </c>
      <c r="K165" s="105" t="str">
        <f>IF(ISEVEN(B165),(B165-1)&amp;"/"&amp;B165,B165&amp;"/"&amp;(B165+1))</f>
        <v>4007/4008</v>
      </c>
      <c r="L165" s="22" t="str">
        <f>VLOOKUP(A165,'Trips&amp;Operators'!$C$1:$G$99999,5,FALSE)</f>
        <v>YORK EDGAR</v>
      </c>
      <c r="M165" s="6">
        <f>I165-F165</f>
        <v>1.0844907403225079E-2</v>
      </c>
      <c r="N165" s="7">
        <f>24*60*SUM($M165:$M165)</f>
        <v>15.616666660644114</v>
      </c>
      <c r="O165" s="7"/>
      <c r="P165" s="7"/>
      <c r="Q165" s="23"/>
      <c r="R165" s="23"/>
      <c r="S165" s="32">
        <f>SUM(U165:U165)/IF(AG165="EC",12,1)</f>
        <v>1</v>
      </c>
      <c r="T165" s="47" t="str">
        <f>IF(ISEVEN(LEFT(AD165,4)),"Southbound","NorthBound")</f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hh:mm:ss")&amp;utc_offset&amp;"00',mode:absolute,to:'"&amp;TEXT(I165+1/24,"yyyy-MM-DD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https://search-rtdc-monitor-bjffxe2xuh6vdkpspy63sjmuny.us-east-1.es.amazonaws.com/_plugin/kibana/#/discover/Steve-Slow-Train-Analysis-(2080s-and-2083s)?_g=(refreshInterval:(display:Off,section:0,value:0),time:(from:'2017-01-04 06:06:15-700',mode:absolute,to:'2017-01-04 08:25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5" s="49" t="str">
        <f>IF(AA165&lt;IF(AG165="EC",23,5.65),"Y","N")</f>
        <v>N</v>
      </c>
      <c r="X165" s="173">
        <f>VALUE(LEFT(AD165,4))-VALUE(LEFT(AD164,4))</f>
        <v>1</v>
      </c>
      <c r="Y165" s="64">
        <f t="shared" si="17"/>
        <v>5.8611000000000004</v>
      </c>
      <c r="Z165" s="64">
        <f t="shared" si="18"/>
        <v>7.4800000000000005E-2</v>
      </c>
      <c r="AA165" s="64">
        <f>ABS(Z165-Y165)</f>
        <v>5.7863000000000007</v>
      </c>
      <c r="AB165" s="61" t="e">
        <f>VLOOKUP(A165,Enforcements!$C$7:$K$19,8,0)</f>
        <v>#N/A</v>
      </c>
      <c r="AC165" s="57" t="e">
        <f>VLOOKUP(A165,Enforcements!$C$7:$E$19,3,0)</f>
        <v>#N/A</v>
      </c>
      <c r="AD165" s="58" t="str">
        <f>IF(LEN(A165)=6,"0"&amp;A165,A165)</f>
        <v>0806-04</v>
      </c>
      <c r="AE165" s="8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 &amp; 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</v>
      </c>
      <c r="AF165" s="84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/stypes="app*4008*20170104*" /stext=" 14:.+((SYSTEM_STATE.+slice.+state.+changed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88" t="str">
        <f t="shared" si="19"/>
        <v>"%USERPROFILE%\Documents\GitHub\eaglep3\Utilities\RefineRTDCRunTimes.py" --tripid 806-04 --locoid 4008 --swversion DE.1.0.8.0 --startMP 300:58611 --initTime 2017-01-04T07:06:15 --startdatetime 2017-01-04T07:09:32 --delay 0 --endMP 204:748 --enddatetime 2017-01-04T07:25:09 --enforcementcount 0 &gt;&gt;C:\Users\stu\Documents\GitHub\eaglep3-reporting\EC\2017-01-04-refined-times.txt</v>
      </c>
      <c r="AI165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{"issue":{"subject":"","project_id":79,"tracker_id":40,"status_id":1,"priority_id":2,"assigned_to_id":23,"start_date":"2017-01-04","description":"","custom_fields":[{"id":1,"name":"Subdivision","value":"NW"},{"id":4,"name":"Milepost","value":"0.0748"},{"id":17,"name":"Train ID","value":"806-04"},{"id":16,"name":"Locomotive ID","value":"4008"},{"id":130,"name":"Impact","value":""},{"id":150,"name":"Time of Event (Mountain Time)","value":"07:25:09"},{"id":151,"name":"Denver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21"/>
        <v>start /low /b %USERPROFILE%\Documents\GitHub\eaglep3\Utilities\DownloadLogsFromS3.py --loco 4008 --day 2017-01-04</v>
      </c>
    </row>
    <row r="166" spans="1:91" x14ac:dyDescent="0.25">
      <c r="A166" s="34" t="s">
        <v>522</v>
      </c>
      <c r="B166" s="7">
        <v>4011</v>
      </c>
      <c r="C166" s="22" t="s">
        <v>203</v>
      </c>
      <c r="D166" s="22" t="s">
        <v>794</v>
      </c>
      <c r="E166" s="13">
        <v>42739.299803240741</v>
      </c>
      <c r="F166" s="13">
        <v>42739.306493055556</v>
      </c>
      <c r="G166" s="7">
        <v>1</v>
      </c>
      <c r="H166" s="22" t="s">
        <v>796</v>
      </c>
      <c r="I166" s="13">
        <v>42739.316053240742</v>
      </c>
      <c r="J166" s="7">
        <v>0</v>
      </c>
      <c r="K166" s="105" t="str">
        <f>IF(ISEVEN(B166),(B166-1)&amp;"/"&amp;B166,B166&amp;"/"&amp;(B166+1))</f>
        <v>4011/4012</v>
      </c>
      <c r="L166" s="22" t="str">
        <f>VLOOKUP(A166,'Trips&amp;Operators'!$C$1:$G$99999,5,FALSE)</f>
        <v>LOZA FIDEL</v>
      </c>
      <c r="M166" s="6">
        <f>I166-F166</f>
        <v>9.560185186273884E-3</v>
      </c>
      <c r="N166" s="7">
        <f>24*60*SUM($M166:$M166)</f>
        <v>13.766666668234393</v>
      </c>
      <c r="O166" s="7"/>
      <c r="P166" s="7"/>
      <c r="Q166" s="23"/>
      <c r="R166" s="23"/>
      <c r="S166" s="32">
        <f>SUM(U166:U166)/IF(AG166="EC",12,1)</f>
        <v>1</v>
      </c>
      <c r="T166" s="47" t="str">
        <f>IF(ISEVEN(LEFT(AD166,4)),"Southbound","NorthBound")</f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hh:mm:ss")&amp;utc_offset&amp;"00',mode:absolute,to:'"&amp;TEXT(I166+1/24,"yyyy-MM-DD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https://search-rtdc-monitor-bjffxe2xuh6vdkpspy63sjmuny.us-east-1.es.amazonaws.com/_plugin/kibana/#/discover/Steve-Slow-Train-Analysis-(2080s-and-2083s)?_g=(refreshInterval:(display:Off,section:0,value:0),time:(from:'2017-01-04 06:11:43-700',mode:absolute,to:'2017-01-04 08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6" s="49" t="str">
        <f>IF(AA166&lt;IF(AG166="EC",23,5.65),"Y","N")</f>
        <v>N</v>
      </c>
      <c r="X166" s="173">
        <f>VALUE(LEFT(AD166,4))-VALUE(LEFT(AD165,4))</f>
        <v>1</v>
      </c>
      <c r="Y166" s="64">
        <f t="shared" si="17"/>
        <v>9.74E-2</v>
      </c>
      <c r="Z166" s="64">
        <f t="shared" si="18"/>
        <v>5.8939000000000004</v>
      </c>
      <c r="AA166" s="64">
        <f>ABS(Z166-Y166)</f>
        <v>5.7965</v>
      </c>
      <c r="AB166" s="61" t="e">
        <f>VLOOKUP(A166,Enforcements!$C$7:$K$19,8,0)</f>
        <v>#N/A</v>
      </c>
      <c r="AC166" s="57" t="e">
        <f>VLOOKUP(A166,Enforcements!$C$7:$E$19,3,0)</f>
        <v>#N/A</v>
      </c>
      <c r="AD166" s="58" t="str">
        <f>IF(LEN(A166)=6,"0"&amp;A166,A166)</f>
        <v>0807-04</v>
      </c>
      <c r="AE166" s="8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166" s="84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/stypes="app*4011*20170104*" /stext=" 14:.+((SYSTEM_STATE.+slice.+state.+changed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88" t="str">
        <f t="shared" si="19"/>
        <v>"%USERPROFILE%\Documents\GitHub\eaglep3\Utilities\RefineRTDCRunTimes.py" --tripid 807-04 --locoid 4011 --swversion DE.1.0.8.0 --startMP 204:974 --initTime 2017-01-04T07:11:43 --startdatetime 2017-01-04T07:21:21 --delay 1 --endMP 300:58939 --enddatetime 2017-01-04T07:35:07 --enforcementcount 0 &gt;&gt;C:\Users\stu\Documents\GitHub\eaglep3-reporting\EC\2017-01-04-refined-times.txt</v>
      </c>
      <c r="AI166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{"issue":{"subject":"","project_id":79,"tracker_id":40,"status_id":1,"priority_id":2,"assigned_to_id":23,"start_date":"2017-01-04","description":"","custom_fields":[{"id":1,"name":"Subdivision","value":"NW"},{"id":4,"name":"Milepost","value":"5.8939"},{"id":17,"name":"Train ID","value":"807-04"},{"id":16,"name":"Locomotive ID","value":"4011"},{"id":130,"name":"Impact","value":""},{"id":150,"name":"Time of Event (Mountain Time)","value":"07:35:07"},{"id":151,"name":"Denver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21"/>
        <v>start /low /b %USERPROFILE%\Documents\GitHub\eaglep3\Utilities\DownloadLogsFromS3.py --loco 4011 --day 2017-01-04</v>
      </c>
    </row>
    <row r="167" spans="1:91" x14ac:dyDescent="0.25">
      <c r="A167" s="34" t="s">
        <v>527</v>
      </c>
      <c r="B167" s="7">
        <v>4012</v>
      </c>
      <c r="C167" s="22" t="s">
        <v>203</v>
      </c>
      <c r="D167" s="22" t="s">
        <v>798</v>
      </c>
      <c r="E167" s="13">
        <v>42739.317384259259</v>
      </c>
      <c r="F167" s="13">
        <v>42739.319027777776</v>
      </c>
      <c r="G167" s="7">
        <v>1</v>
      </c>
      <c r="H167" s="22" t="s">
        <v>799</v>
      </c>
      <c r="I167" s="13">
        <v>42739.33084490741</v>
      </c>
      <c r="J167" s="7">
        <v>0</v>
      </c>
      <c r="K167" s="105" t="str">
        <f>IF(ISEVEN(B167),(B167-1)&amp;"/"&amp;B167,B167&amp;"/"&amp;(B167+1))</f>
        <v>4011/4012</v>
      </c>
      <c r="L167" s="22" t="str">
        <f>VLOOKUP(A167,'Trips&amp;Operators'!$C$1:$G$99999,5,FALSE)</f>
        <v>LOZA FIDEL</v>
      </c>
      <c r="M167" s="6">
        <f>I167-F167</f>
        <v>1.1817129634437151E-2</v>
      </c>
      <c r="N167" s="7">
        <f>24*60*SUM($M167:$M167)</f>
        <v>17.016666673589498</v>
      </c>
      <c r="O167" s="7"/>
      <c r="P167" s="7"/>
      <c r="Q167" s="23"/>
      <c r="R167" s="23"/>
      <c r="S167" s="32">
        <f>SUM(U167:U167)/IF(AG167="EC",12,1)</f>
        <v>1</v>
      </c>
      <c r="T167" s="47" t="str">
        <f>IF(ISEVEN(LEFT(AD167,4)),"Southbound","NorthBound")</f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hh:mm:ss")&amp;utc_offset&amp;"00',mode:absolute,to:'"&amp;TEXT(I167+1/24,"yyyy-MM-DD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https://search-rtdc-monitor-bjffxe2xuh6vdkpspy63sjmuny.us-east-1.es.amazonaws.com/_plugin/kibana/#/discover/Steve-Slow-Train-Analysis-(2080s-and-2083s)?_g=(refreshInterval:(display:Off,section:0,value:0),time:(from:'2017-01-04 06:37:02-700',mode:absolute,to:'2017-01-04 08:56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7" s="49" t="str">
        <f>IF(AA167&lt;IF(AG167="EC",23,5.65),"Y","N")</f>
        <v>N</v>
      </c>
      <c r="X167" s="173">
        <f>VALUE(LEFT(AD167,4))-VALUE(LEFT(AD166,4))</f>
        <v>1</v>
      </c>
      <c r="Y167" s="64">
        <f t="shared" si="17"/>
        <v>5.8635999999999999</v>
      </c>
      <c r="Z167" s="64">
        <f t="shared" si="18"/>
        <v>6.9800000000000001E-2</v>
      </c>
      <c r="AA167" s="64">
        <f>ABS(Z167-Y167)</f>
        <v>5.7938000000000001</v>
      </c>
      <c r="AB167" s="61" t="e">
        <f>VLOOKUP(A167,Enforcements!$C$7:$K$19,8,0)</f>
        <v>#N/A</v>
      </c>
      <c r="AC167" s="57" t="e">
        <f>VLOOKUP(A167,Enforcements!$C$7:$E$19,3,0)</f>
        <v>#N/A</v>
      </c>
      <c r="AD167" s="58" t="str">
        <f>IF(LEN(A167)=6,"0"&amp;A167,A167)</f>
        <v>0808-04</v>
      </c>
      <c r="AE167" s="8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67" s="84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/stypes="app*4012*20170104*" /stext=" 14:.+((SYSTEM_STATE.+slice.+state.+changed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88" t="str">
        <f t="shared" si="19"/>
        <v>"%USERPROFILE%\Documents\GitHub\eaglep3\Utilities\RefineRTDCRunTimes.py" --tripid 808-04 --locoid 4012 --swversion DE.1.0.8.0 --startMP 300:58636 --initTime 2017-01-04T07:37:02 --startdatetime 2017-01-04T07:39:24 --delay 1 --endMP 204:698 --enddatetime 2017-01-04T07:56:25 --enforcementcount 0 &gt;&gt;C:\Users\stu\Documents\GitHub\eaglep3-reporting\EC\2017-01-04-refined-times.txt</v>
      </c>
      <c r="AI167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{"issue":{"subject":"","project_id":79,"tracker_id":40,"status_id":1,"priority_id":2,"assigned_to_id":23,"start_date":"2017-01-04","description":"","custom_fields":[{"id":1,"name":"Subdivision","value":"NW"},{"id":4,"name":"Milepost","value":"0.0698"},{"id":17,"name":"Train ID","value":"808-04"},{"id":16,"name":"Locomotive ID","value":"4012"},{"id":130,"name":"Impact","value":""},{"id":150,"name":"Time of Event (Mountain Time)","value":"07:56:25"},{"id":151,"name":"Denver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21"/>
        <v>start /low /b %USERPROFILE%\Documents\GitHub\eaglep3\Utilities\DownloadLogsFromS3.py --loco 4012 --day 2017-01-04</v>
      </c>
    </row>
    <row r="168" spans="1:91" s="21" customFormat="1" x14ac:dyDescent="0.25">
      <c r="A168" s="34" t="s">
        <v>526</v>
      </c>
      <c r="B168" s="7">
        <v>4007</v>
      </c>
      <c r="C168" s="22" t="s">
        <v>203</v>
      </c>
      <c r="D168" s="22" t="s">
        <v>800</v>
      </c>
      <c r="E168" s="13">
        <v>42739.312615740739</v>
      </c>
      <c r="F168" s="13">
        <v>42739.327546296299</v>
      </c>
      <c r="G168" s="7">
        <v>0</v>
      </c>
      <c r="H168" s="22" t="s">
        <v>377</v>
      </c>
      <c r="I168" s="13">
        <v>42739.336273148147</v>
      </c>
      <c r="J168" s="7">
        <v>0</v>
      </c>
      <c r="K168" s="105" t="str">
        <f>IF(ISEVEN(B168),(B168-1)&amp;"/"&amp;B168,B168&amp;"/"&amp;(B168+1))</f>
        <v>4007/4008</v>
      </c>
      <c r="L168" s="22" t="str">
        <f>VLOOKUP(A168,'Trips&amp;Operators'!$C$1:$G$99999,5,FALSE)</f>
        <v>YORK EDGAR</v>
      </c>
      <c r="M168" s="6">
        <f>I168-F168</f>
        <v>8.7268518473138101E-3</v>
      </c>
      <c r="N168" s="7">
        <f>24*60*SUM($M168:$M168)</f>
        <v>12.566666660131887</v>
      </c>
      <c r="O168" s="7"/>
      <c r="P168" s="7"/>
      <c r="Q168" s="23"/>
      <c r="R168" s="23"/>
      <c r="S168" s="32">
        <f>SUM(U168:U168)/IF(AG168="EC",12,1)</f>
        <v>1</v>
      </c>
      <c r="T168" s="47" t="str">
        <f>IF(ISEVEN(LEFT(AD168,4)),"Southbound","NorthBound")</f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hh:mm:ss")&amp;utc_offset&amp;"00',mode:absolute,to:'"&amp;TEXT(I168+1/24,"yyyy-MM-DD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https://search-rtdc-monitor-bjffxe2xuh6vdkpspy63sjmuny.us-east-1.es.amazonaws.com/_plugin/kibana/#/discover/Steve-Slow-Train-Analysis-(2080s-and-2083s)?_g=(refreshInterval:(display:Off,section:0,value:0),time:(from:'2017-01-04 06:30:10-700',mode:absolute,to:'2017-01-04 09:04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8" s="49" t="str">
        <f>IF(AA168&lt;IF(AG168="EC",23,5.65),"Y","N")</f>
        <v>N</v>
      </c>
      <c r="X168" s="173">
        <f>VALUE(LEFT(AD168,4))-VALUE(LEFT(AD167,4))</f>
        <v>1</v>
      </c>
      <c r="Y168" s="64">
        <f t="shared" si="17"/>
        <v>0.1046</v>
      </c>
      <c r="Z168" s="64">
        <f t="shared" si="18"/>
        <v>5.8924000000000003</v>
      </c>
      <c r="AA168" s="64">
        <f>ABS(Z168-Y168)</f>
        <v>5.7878000000000007</v>
      </c>
      <c r="AB168" s="61" t="e">
        <f>VLOOKUP(A168,Enforcements!$C$7:$K$19,8,0)</f>
        <v>#N/A</v>
      </c>
      <c r="AC168" s="57" t="e">
        <f>VLOOKUP(A168,Enforcements!$C$7:$E$19,3,0)</f>
        <v>#N/A</v>
      </c>
      <c r="AD168" s="58" t="str">
        <f>IF(LEN(A168)=6,"0"&amp;A168,A168)</f>
        <v>0809-04</v>
      </c>
      <c r="AE168" s="8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 &amp; 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</v>
      </c>
      <c r="AF168" s="84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/stypes="app*4007*20170104*" /stext=" 15:.+((SYSTEM_STATE.+slice.+state.+changed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88" t="str">
        <f t="shared" si="19"/>
        <v>"%USERPROFILE%\Documents\GitHub\eaglep3\Utilities\RefineRTDCRunTimes.py" --tripid 809-04 --locoid 4007 --swversion DE.1.0.8.0 --startMP 204:1046 --initTime 2017-01-04T07:30:10 --startdatetime 2017-01-04T07:51:40 --delay 0 --endMP 300:58924 --enddatetime 2017-01-04T08:04:14 --enforcementcount 0 &gt;&gt;C:\Users\stu\Documents\GitHub\eaglep3-reporting\EC\2017-01-04-refined-times.txt</v>
      </c>
      <c r="AI168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{"issue":{"subject":"","project_id":79,"tracker_id":40,"status_id":1,"priority_id":2,"assigned_to_id":23,"start_date":"2017-01-04","description":"","custom_fields":[{"id":1,"name":"Subdivision","value":"NW"},{"id":4,"name":"Milepost","value":"5.8924"},{"id":17,"name":"Train ID","value":"809-04"},{"id":16,"name":"Locomotive ID","value":"4007"},{"id":130,"name":"Impact","value":""},{"id":150,"name":"Time of Event (Mountain Time)","value":"08:04:14"},{"id":151,"name":"Denver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21"/>
        <v>start /low /b %USERPROFILE%\Documents\GitHub\eaglep3\Utilities\DownloadLogsFromS3.py --loco 4007 --day 2017-01-04</v>
      </c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4" t="s">
        <v>530</v>
      </c>
      <c r="B169" s="7">
        <v>4008</v>
      </c>
      <c r="C169" s="22" t="s">
        <v>203</v>
      </c>
      <c r="D169" s="22" t="s">
        <v>430</v>
      </c>
      <c r="E169" s="13">
        <v>42739.337291666663</v>
      </c>
      <c r="F169" s="13">
        <v>42739.338958333334</v>
      </c>
      <c r="G169" s="7">
        <v>1</v>
      </c>
      <c r="H169" s="22" t="s">
        <v>801</v>
      </c>
      <c r="I169" s="13">
        <v>42739.350717592592</v>
      </c>
      <c r="J169" s="7">
        <v>0</v>
      </c>
      <c r="K169" s="105" t="str">
        <f>IF(ISEVEN(B169),(B169-1)&amp;"/"&amp;B169,B169&amp;"/"&amp;(B169+1))</f>
        <v>4007/4008</v>
      </c>
      <c r="L169" s="22" t="str">
        <f>VLOOKUP(A169,'Trips&amp;Operators'!$C$1:$G$99999,5,FALSE)</f>
        <v>YORK EDGAR</v>
      </c>
      <c r="M169" s="6">
        <f>I169-F169</f>
        <v>1.1759259257814847E-2</v>
      </c>
      <c r="N169" s="7">
        <f>24*60*SUM($M169:$M169)</f>
        <v>16.93333333125338</v>
      </c>
      <c r="O169" s="7"/>
      <c r="P169" s="7"/>
      <c r="Q169" s="23"/>
      <c r="R169" s="23"/>
      <c r="S169" s="32">
        <f>SUM(U169:U169)/IF(AG169="EC",12,1)</f>
        <v>1</v>
      </c>
      <c r="T169" s="47" t="str">
        <f>IF(ISEVEN(LEFT(AD169,4)),"Southbound","NorthBound")</f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hh:mm:ss")&amp;utc_offset&amp;"00',mode:absolute,to:'"&amp;TEXT(I169+1/24,"yyyy-MM-DD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https://search-rtdc-monitor-bjffxe2xuh6vdkpspy63sjmuny.us-east-1.es.amazonaws.com/_plugin/kibana/#/discover/Steve-Slow-Train-Analysis-(2080s-and-2083s)?_g=(refreshInterval:(display:Off,section:0,value:0),time:(from:'2017-01-04 07:05:42-700',mode:absolute,to:'2017-01-04 09:25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9" s="49" t="str">
        <f>IF(AA169&lt;IF(AG169="EC",23,5.65),"Y","N")</f>
        <v>N</v>
      </c>
      <c r="X169" s="173">
        <f>VALUE(LEFT(AD169,4))-VALUE(LEFT(AD168,4))</f>
        <v>1</v>
      </c>
      <c r="Y169" s="64">
        <f t="shared" si="17"/>
        <v>5.8619000000000003</v>
      </c>
      <c r="Z169" s="64">
        <f t="shared" si="18"/>
        <v>8.1799999999999998E-2</v>
      </c>
      <c r="AA169" s="64">
        <f>ABS(Z169-Y169)</f>
        <v>5.7801</v>
      </c>
      <c r="AB169" s="61" t="e">
        <f>VLOOKUP(A169,Enforcements!$C$7:$K$19,8,0)</f>
        <v>#N/A</v>
      </c>
      <c r="AC169" s="57" t="e">
        <f>VLOOKUP(A169,Enforcements!$C$7:$E$19,3,0)</f>
        <v>#N/A</v>
      </c>
      <c r="AD169" s="58" t="str">
        <f>IF(LEN(A169)=6,"0"&amp;A169,A169)</f>
        <v>0810-04</v>
      </c>
      <c r="AE169" s="8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 &amp; 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</v>
      </c>
      <c r="AF169" s="84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/stypes="app*4008*20170104*" /stext=" 15:.+((SYSTEM_STATE.+slice.+state.+changed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88" t="str">
        <f t="shared" si="19"/>
        <v>"%USERPROFILE%\Documents\GitHub\eaglep3\Utilities\RefineRTDCRunTimes.py" --tripid 810-04 --locoid 4008 --swversion DE.1.0.8.0 --startMP 300:58619 --initTime 2017-01-04T08:05:42 --startdatetime 2017-01-04T08:08:06 --delay 1 --endMP 204:818 --enddatetime 2017-01-04T08:25:02 --enforcementcount 0 &gt;&gt;C:\Users\stu\Documents\GitHub\eaglep3-reporting\EC\2017-01-04-refined-times.txt</v>
      </c>
      <c r="AI169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{"issue":{"subject":"","project_id":79,"tracker_id":40,"status_id":1,"priority_id":2,"assigned_to_id":23,"start_date":"2017-01-04","description":"","custom_fields":[{"id":1,"name":"Subdivision","value":"NW"},{"id":4,"name":"Milepost","value":"0.0818"},{"id":17,"name":"Train ID","value":"810-04"},{"id":16,"name":"Locomotive ID","value":"4008"},{"id":130,"name":"Impact","value":""},{"id":150,"name":"Time of Event (Mountain Time)","value":"08:25:02"},{"id":151,"name":"Denver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21"/>
        <v>start /low /b %USERPROFILE%\Documents\GitHub\eaglep3\Utilities\DownloadLogsFromS3.py --loco 4008 --day 2017-01-04</v>
      </c>
    </row>
    <row r="170" spans="1:91" x14ac:dyDescent="0.25">
      <c r="A170" s="34" t="s">
        <v>532</v>
      </c>
      <c r="B170" s="7">
        <v>4011</v>
      </c>
      <c r="C170" s="22" t="s">
        <v>203</v>
      </c>
      <c r="D170" s="22" t="s">
        <v>802</v>
      </c>
      <c r="E170" s="13">
        <v>42739.342997685184</v>
      </c>
      <c r="F170" s="13">
        <v>42739.348124999997</v>
      </c>
      <c r="G170" s="7">
        <v>2</v>
      </c>
      <c r="H170" s="22" t="s">
        <v>803</v>
      </c>
      <c r="I170" s="13">
        <v>42739.358124999999</v>
      </c>
      <c r="J170" s="7">
        <v>0</v>
      </c>
      <c r="K170" s="105" t="str">
        <f>IF(ISEVEN(B170),(B170-1)&amp;"/"&amp;B170,B170&amp;"/"&amp;(B170+1))</f>
        <v>4011/4012</v>
      </c>
      <c r="L170" s="22" t="str">
        <f>VLOOKUP(A170,'Trips&amp;Operators'!$C$1:$G$99999,5,FALSE)</f>
        <v>LOZA FIDEL</v>
      </c>
      <c r="M170" s="6">
        <f>I170-F170</f>
        <v>1.0000000002037268E-2</v>
      </c>
      <c r="N170" s="7">
        <f>24*60*SUM($M170:$M170)</f>
        <v>14.400000002933666</v>
      </c>
      <c r="O170" s="7"/>
      <c r="P170" s="7"/>
      <c r="Q170" s="23"/>
      <c r="R170" s="23"/>
      <c r="S170" s="32">
        <f>SUM(U170:U170)/IF(AG170="EC",12,1)</f>
        <v>1</v>
      </c>
      <c r="T170" s="47" t="str">
        <f>IF(ISEVEN(LEFT(AD170,4)),"Southbound","NorthBound")</f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hh:mm:ss")&amp;utc_offset&amp;"00',mode:absolute,to:'"&amp;TEXT(I170+1/24,"yyyy-MM-DD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https://search-rtdc-monitor-bjffxe2xuh6vdkpspy63sjmuny.us-east-1.es.amazonaws.com/_plugin/kibana/#/discover/Steve-Slow-Train-Analysis-(2080s-and-2083s)?_g=(refreshInterval:(display:Off,section:0,value:0),time:(from:'2017-01-04 07:13:55-700',mode:absolute,to:'2017-01-04 09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0" s="49" t="str">
        <f>IF(AA170&lt;IF(AG170="EC",23,5.65),"Y","N")</f>
        <v>N</v>
      </c>
      <c r="X170" s="173">
        <f>VALUE(LEFT(AD170,4))-VALUE(LEFT(AD169,4))</f>
        <v>1</v>
      </c>
      <c r="Y170" s="64">
        <f t="shared" si="17"/>
        <v>9.69E-2</v>
      </c>
      <c r="Z170" s="64">
        <f t="shared" si="18"/>
        <v>5.8968999999999996</v>
      </c>
      <c r="AA170" s="64">
        <f>ABS(Z170-Y170)</f>
        <v>5.8</v>
      </c>
      <c r="AB170" s="61" t="e">
        <f>VLOOKUP(A170,Enforcements!$C$7:$K$19,8,0)</f>
        <v>#N/A</v>
      </c>
      <c r="AC170" s="57" t="e">
        <f>VLOOKUP(A170,Enforcements!$C$7:$E$19,3,0)</f>
        <v>#N/A</v>
      </c>
      <c r="AD170" s="58" t="str">
        <f>IF(LEN(A170)=6,"0"&amp;A170,A170)</f>
        <v>0811-04</v>
      </c>
      <c r="AE170" s="8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170" s="84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/stypes="app*4011*20170104*" /stext=" 15:.+((SYSTEM_STATE.+slice.+state.+changed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88" t="str">
        <f t="shared" si="19"/>
        <v>"%USERPROFILE%\Documents\GitHub\eaglep3\Utilities\RefineRTDCRunTimes.py" --tripid 811-04 --locoid 4011 --swversion DE.1.0.8.0 --startMP 204:969 --initTime 2017-01-04T08:13:55 --startdatetime 2017-01-04T08:21:18 --delay 2 --endMP 300:58969 --enddatetime 2017-01-04T08:35:42 --enforcementcount 0 &gt;&gt;C:\Users\stu\Documents\GitHub\eaglep3-reporting\EC\2017-01-04-refined-times.txt</v>
      </c>
      <c r="AI170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{"issue":{"subject":"","project_id":79,"tracker_id":40,"status_id":1,"priority_id":2,"assigned_to_id":23,"start_date":"2017-01-04","description":"","custom_fields":[{"id":1,"name":"Subdivision","value":"NW"},{"id":4,"name":"Milepost","value":"5.8969"},{"id":17,"name":"Train ID","value":"811-04"},{"id":16,"name":"Locomotive ID","value":"4011"},{"id":130,"name":"Impact","value":""},{"id":150,"name":"Time of Event (Mountain Time)","value":"08:35:42"},{"id":151,"name":"Denver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21"/>
        <v>start /low /b %USERPROFILE%\Documents\GitHub\eaglep3\Utilities\DownloadLogsFromS3.py --loco 4011 --day 2017-01-04</v>
      </c>
    </row>
    <row r="171" spans="1:91" x14ac:dyDescent="0.25">
      <c r="A171" s="34" t="s">
        <v>537</v>
      </c>
      <c r="B171" s="7">
        <v>4012</v>
      </c>
      <c r="C171" s="22" t="s">
        <v>203</v>
      </c>
      <c r="D171" s="22" t="s">
        <v>804</v>
      </c>
      <c r="E171" s="13">
        <v>42739.359976851854</v>
      </c>
      <c r="F171" s="13">
        <v>42739.36173611111</v>
      </c>
      <c r="G171" s="7">
        <v>1</v>
      </c>
      <c r="H171" s="22" t="s">
        <v>805</v>
      </c>
      <c r="I171" s="13">
        <v>42739.372002314813</v>
      </c>
      <c r="J171" s="7">
        <v>0</v>
      </c>
      <c r="K171" s="105" t="str">
        <f>IF(ISEVEN(B171),(B171-1)&amp;"/"&amp;B171,B171&amp;"/"&amp;(B171+1))</f>
        <v>4011/4012</v>
      </c>
      <c r="L171" s="22" t="str">
        <f>VLOOKUP(A171,'Trips&amp;Operators'!$C$1:$G$99999,5,FALSE)</f>
        <v>LOZA FIDEL</v>
      </c>
      <c r="M171" s="6">
        <f>I171-F171</f>
        <v>1.0266203702485655E-2</v>
      </c>
      <c r="N171" s="7">
        <f>24*60*SUM($M171:$M171)</f>
        <v>14.783333331579342</v>
      </c>
      <c r="O171" s="7"/>
      <c r="P171" s="7"/>
      <c r="Q171" s="23"/>
      <c r="R171" s="23"/>
      <c r="S171" s="32">
        <f>SUM(U171:U171)/IF(AG171="EC",12,1)</f>
        <v>1</v>
      </c>
      <c r="T171" s="47" t="str">
        <f>IF(ISEVEN(LEFT(AD171,4)),"Southbound","NorthBound")</f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hh:mm:ss")&amp;utc_offset&amp;"00',mode:absolute,to:'"&amp;TEXT(I171+1/24,"yyyy-MM-DD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https://search-rtdc-monitor-bjffxe2xuh6vdkpspy63sjmuny.us-east-1.es.amazonaws.com/_plugin/kibana/#/discover/Steve-Slow-Train-Analysis-(2080s-and-2083s)?_g=(refreshInterval:(display:Off,section:0,value:0),time:(from:'2017-01-04 07:38:22-700',mode:absolute,to:'2017-01-04 09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1" s="49" t="str">
        <f>IF(AA171&lt;IF(AG171="EC",23,5.65),"Y","N")</f>
        <v>N</v>
      </c>
      <c r="X171" s="173">
        <f>VALUE(LEFT(AD171,4))-VALUE(LEFT(AD170,4))</f>
        <v>1</v>
      </c>
      <c r="Y171" s="64">
        <f t="shared" si="17"/>
        <v>5.8655999999999997</v>
      </c>
      <c r="Z171" s="64">
        <f t="shared" si="18"/>
        <v>6.7100000000000007E-2</v>
      </c>
      <c r="AA171" s="64">
        <f>ABS(Z171-Y171)</f>
        <v>5.7984999999999998</v>
      </c>
      <c r="AB171" s="61" t="e">
        <f>VLOOKUP(A171,Enforcements!$C$7:$K$19,8,0)</f>
        <v>#N/A</v>
      </c>
      <c r="AC171" s="57" t="e">
        <f>VLOOKUP(A171,Enforcements!$C$7:$E$19,3,0)</f>
        <v>#N/A</v>
      </c>
      <c r="AD171" s="58" t="str">
        <f>IF(LEN(A171)=6,"0"&amp;A171,A171)</f>
        <v>0812-04</v>
      </c>
      <c r="AE171" s="8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71" s="84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/stypes="app*4012*20170104*" /stext=" 15:.+((SYSTEM_STATE.+slice.+state.+changed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88" t="str">
        <f t="shared" si="19"/>
        <v>"%USERPROFILE%\Documents\GitHub\eaglep3\Utilities\RefineRTDCRunTimes.py" --tripid 812-04 --locoid 4012 --swversion DE.1.0.8.0 --startMP 300:58656 --initTime 2017-01-04T08:38:22 --startdatetime 2017-01-04T08:40:54 --delay 1 --endMP 204:671 --enddatetime 2017-01-04T08:55:41 --enforcementcount 0 &gt;&gt;C:\Users\stu\Documents\GitHub\eaglep3-reporting\EC\2017-01-04-refined-times.txt</v>
      </c>
      <c r="AI171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{"issue":{"subject":"","project_id":79,"tracker_id":40,"status_id":1,"priority_id":2,"assigned_to_id":23,"start_date":"2017-01-04","description":"","custom_fields":[{"id":1,"name":"Subdivision","value":"NW"},{"id":4,"name":"Milepost","value":"0.0671"},{"id":17,"name":"Train ID","value":"812-04"},{"id":16,"name":"Locomotive ID","value":"4012"},{"id":130,"name":"Impact","value":""},{"id":150,"name":"Time of Event (Mountain Time)","value":"08:55:41"},{"id":151,"name":"Denver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21"/>
        <v>start /low /b %USERPROFILE%\Documents\GitHub\eaglep3\Utilities\DownloadLogsFromS3.py --loco 4012 --day 2017-01-04</v>
      </c>
    </row>
    <row r="172" spans="1:91" x14ac:dyDescent="0.25">
      <c r="A172" s="34" t="s">
        <v>542</v>
      </c>
      <c r="B172" s="7">
        <v>4011</v>
      </c>
      <c r="C172" s="22" t="s">
        <v>203</v>
      </c>
      <c r="D172" s="22" t="s">
        <v>806</v>
      </c>
      <c r="E172" s="13">
        <v>42739.386689814812</v>
      </c>
      <c r="F172" s="13">
        <v>42739.38989583333</v>
      </c>
      <c r="G172" s="7">
        <v>1</v>
      </c>
      <c r="H172" s="22" t="s">
        <v>438</v>
      </c>
      <c r="I172" s="13">
        <v>42739.399884259263</v>
      </c>
      <c r="J172" s="7">
        <v>0</v>
      </c>
      <c r="K172" s="105" t="str">
        <f>IF(ISEVEN(B172),(B172-1)&amp;"/"&amp;B172,B172&amp;"/"&amp;(B172+1))</f>
        <v>4011/4012</v>
      </c>
      <c r="L172" s="22" t="str">
        <f>VLOOKUP(A172,'Trips&amp;Operators'!$C$1:$G$99999,5,FALSE)</f>
        <v>LOZA FIDEL</v>
      </c>
      <c r="M172" s="6">
        <f>I172-F172</f>
        <v>9.9884259325335734E-3</v>
      </c>
      <c r="N172" s="7">
        <f>24*60*SUM($M172:$M172)</f>
        <v>14.383333342848346</v>
      </c>
      <c r="O172" s="7"/>
      <c r="P172" s="7"/>
      <c r="Q172" s="23"/>
      <c r="R172" s="23"/>
      <c r="S172" s="32">
        <f>SUM(U172:U172)/IF(AG172="EC",12,1)</f>
        <v>1</v>
      </c>
      <c r="T172" s="47" t="str">
        <f>IF(ISEVEN(LEFT(AD172,4)),"Southbound","NorthBound")</f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hh:mm:ss")&amp;utc_offset&amp;"00',mode:absolute,to:'"&amp;TEXT(I172+1/24,"yyyy-MM-DD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https://search-rtdc-monitor-bjffxe2xuh6vdkpspy63sjmuny.us-east-1.es.amazonaws.com/_plugin/kibana/#/discover/Steve-Slow-Train-Analysis-(2080s-and-2083s)?_g=(refreshInterval:(display:Off,section:0,value:0),time:(from:'2017-01-04 08:16:50-700',mode:absolute,to:'2017-01-04 10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2" s="49" t="str">
        <f>IF(AA172&lt;IF(AG172="EC",23,5.65),"Y","N")</f>
        <v>N</v>
      </c>
      <c r="X172" s="173">
        <f>VALUE(LEFT(AD172,4))-VALUE(LEFT(AD171,4))</f>
        <v>1</v>
      </c>
      <c r="Y172" s="64">
        <f t="shared" si="17"/>
        <v>9.6000000000000002E-2</v>
      </c>
      <c r="Z172" s="64">
        <f t="shared" si="18"/>
        <v>5.8987999999999996</v>
      </c>
      <c r="AA172" s="64">
        <f>ABS(Z172-Y172)</f>
        <v>5.8027999999999995</v>
      </c>
      <c r="AB172" s="61" t="e">
        <f>VLOOKUP(A172,Enforcements!$C$7:$K$19,8,0)</f>
        <v>#N/A</v>
      </c>
      <c r="AC172" s="57" t="e">
        <f>VLOOKUP(A172,Enforcements!$C$7:$E$19,3,0)</f>
        <v>#N/A</v>
      </c>
      <c r="AD172" s="58" t="str">
        <f>IF(LEN(A172)=6,"0"&amp;A172,A172)</f>
        <v>0813-04</v>
      </c>
      <c r="AE172" s="8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172" s="84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/stypes="app*4011*20170104*" /stext=" 16:.+((SYSTEM_STATE.+slice.+state.+changed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88" t="str">
        <f t="shared" si="19"/>
        <v>"%USERPROFILE%\Documents\GitHub\eaglep3\Utilities\RefineRTDCRunTimes.py" --tripid 813-04 --locoid 4011 --swversion DE.1.0.8.0 --startMP 204:960 --initTime 2017-01-04T09:16:50 --startdatetime 2017-01-04T09:21:27 --delay 1 --endMP 300:58988 --enddatetime 2017-01-04T09:35:50 --enforcementcount 0 &gt;&gt;C:\Users\stu\Documents\GitHub\eaglep3-reporting\EC\2017-01-04-refined-times.txt</v>
      </c>
      <c r="AI172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{"issue":{"subject":"","project_id":79,"tracker_id":40,"status_id":1,"priority_id":2,"assigned_to_id":23,"start_date":"2017-01-04","description":"","custom_fields":[{"id":1,"name":"Subdivision","value":"NW"},{"id":4,"name":"Milepost","value":"5.8988"},{"id":17,"name":"Train ID","value":"813-04"},{"id":16,"name":"Locomotive ID","value":"4011"},{"id":130,"name":"Impact","value":""},{"id":150,"name":"Time of Event (Mountain Time)","value":"09:35:50"},{"id":151,"name":"Denver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21"/>
        <v>start /low /b %USERPROFILE%\Documents\GitHub\eaglep3\Utilities\DownloadLogsFromS3.py --loco 4011 --day 2017-01-04</v>
      </c>
    </row>
    <row r="173" spans="1:91" x14ac:dyDescent="0.25">
      <c r="A173" s="34" t="s">
        <v>545</v>
      </c>
      <c r="B173" s="7">
        <v>4012</v>
      </c>
      <c r="C173" s="22" t="s">
        <v>203</v>
      </c>
      <c r="D173" s="22" t="s">
        <v>435</v>
      </c>
      <c r="E173" s="13">
        <v>42739.402106481481</v>
      </c>
      <c r="F173" s="13">
        <v>42739.40384259259</v>
      </c>
      <c r="G173" s="7">
        <v>1</v>
      </c>
      <c r="H173" s="22" t="s">
        <v>807</v>
      </c>
      <c r="I173" s="13">
        <v>42739.41369212963</v>
      </c>
      <c r="J173" s="7">
        <v>0</v>
      </c>
      <c r="K173" s="105" t="str">
        <f>IF(ISEVEN(B173),(B173-1)&amp;"/"&amp;B173,B173&amp;"/"&amp;(B173+1))</f>
        <v>4011/4012</v>
      </c>
      <c r="L173" s="22" t="str">
        <f>VLOOKUP(A173,'Trips&amp;Operators'!$C$1:$G$99999,5,FALSE)</f>
        <v>LOZA FIDEL</v>
      </c>
      <c r="M173" s="6">
        <f>I173-F173</f>
        <v>9.8495370402815752E-3</v>
      </c>
      <c r="N173" s="7">
        <f>24*60*SUM($M173:$M173)</f>
        <v>14.183333338005468</v>
      </c>
      <c r="O173" s="7"/>
      <c r="P173" s="7"/>
      <c r="Q173" s="23"/>
      <c r="R173" s="23"/>
      <c r="S173" s="32">
        <f>SUM(U173:U173)/IF(AG173="EC",12,1)</f>
        <v>1</v>
      </c>
      <c r="T173" s="47" t="str">
        <f>IF(ISEVEN(LEFT(AD173,4)),"Southbound","NorthBound")</f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hh:mm:ss")&amp;utc_offset&amp;"00',mode:absolute,to:'"&amp;TEXT(I173+1/24,"yyyy-MM-DD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https://search-rtdc-monitor-bjffxe2xuh6vdkpspy63sjmuny.us-east-1.es.amazonaws.com/_plugin/kibana/#/discover/Steve-Slow-Train-Analysis-(2080s-and-2083s)?_g=(refreshInterval:(display:Off,section:0,value:0),time:(from:'2017-01-04 08:39:02-700',mode:absolute,to:'2017-01-04 10:55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3" s="49" t="str">
        <f>IF(AA173&lt;IF(AG173="EC",23,5.65),"Y","N")</f>
        <v>N</v>
      </c>
      <c r="X173" s="173">
        <f>VALUE(LEFT(AD173,4))-VALUE(LEFT(AD172,4))</f>
        <v>1</v>
      </c>
      <c r="Y173" s="64">
        <f t="shared" si="17"/>
        <v>5.8667999999999996</v>
      </c>
      <c r="Z173" s="64">
        <f t="shared" si="18"/>
        <v>6.7299999999999999E-2</v>
      </c>
      <c r="AA173" s="64">
        <f>ABS(Z173-Y173)</f>
        <v>5.7994999999999992</v>
      </c>
      <c r="AB173" s="61" t="e">
        <f>VLOOKUP(A173,Enforcements!$C$7:$K$19,8,0)</f>
        <v>#N/A</v>
      </c>
      <c r="AC173" s="57" t="e">
        <f>VLOOKUP(A173,Enforcements!$C$7:$E$19,3,0)</f>
        <v>#N/A</v>
      </c>
      <c r="AD173" s="58" t="str">
        <f>IF(LEN(A173)=6,"0"&amp;A173,A173)</f>
        <v>0814-04</v>
      </c>
      <c r="AE173" s="8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73" s="84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/stypes="app*4012*20170104*" /stext=" 16:.+((SYSTEM_STATE.+slice.+state.+changed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88" t="str">
        <f t="shared" si="19"/>
        <v>"%USERPROFILE%\Documents\GitHub\eaglep3\Utilities\RefineRTDCRunTimes.py" --tripid 814-04 --locoid 4012 --swversion DE.1.0.8.0 --startMP 300:58668 --initTime 2017-01-04T09:39:02 --startdatetime 2017-01-04T09:41:32 --delay 1 --endMP 204:673 --enddatetime 2017-01-04T09:55:43 --enforcementcount 0 &gt;&gt;C:\Users\stu\Documents\GitHub\eaglep3-reporting\EC\2017-01-04-refined-times.txt</v>
      </c>
      <c r="AI173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{"issue":{"subject":"","project_id":79,"tracker_id":40,"status_id":1,"priority_id":2,"assigned_to_id":23,"start_date":"2017-01-04","description":"","custom_fields":[{"id":1,"name":"Subdivision","value":"NW"},{"id":4,"name":"Milepost","value":"0.0673"},{"id":17,"name":"Train ID","value":"814-04"},{"id":16,"name":"Locomotive ID","value":"4012"},{"id":130,"name":"Impact","value":""},{"id":150,"name":"Time of Event (Mountain Time)","value":"09:55:43"},{"id":151,"name":"Denver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21"/>
        <v>start /low /b %USERPROFILE%\Documents\GitHub\eaglep3\Utilities\DownloadLogsFromS3.py --loco 4012 --day 2017-01-04</v>
      </c>
    </row>
    <row r="174" spans="1:91" s="21" customFormat="1" x14ac:dyDescent="0.25">
      <c r="A174" s="34" t="s">
        <v>551</v>
      </c>
      <c r="B174" s="7">
        <v>4011</v>
      </c>
      <c r="C174" s="22" t="s">
        <v>203</v>
      </c>
      <c r="D174" s="22" t="s">
        <v>802</v>
      </c>
      <c r="E174" s="13">
        <v>42739.428240740737</v>
      </c>
      <c r="F174" s="13">
        <v>42739.431597222225</v>
      </c>
      <c r="G174" s="7">
        <v>1</v>
      </c>
      <c r="H174" s="22" t="s">
        <v>808</v>
      </c>
      <c r="I174" s="13">
        <v>42739.441134259258</v>
      </c>
      <c r="J174" s="7">
        <v>0</v>
      </c>
      <c r="K174" s="105" t="str">
        <f>IF(ISEVEN(B174),(B174-1)&amp;"/"&amp;B174,B174&amp;"/"&amp;(B174+1))</f>
        <v>4011/4012</v>
      </c>
      <c r="L174" s="22" t="str">
        <f>VLOOKUP(A174,'Trips&amp;Operators'!$C$1:$G$99999,5,FALSE)</f>
        <v>LOZA FIDEL</v>
      </c>
      <c r="M174" s="6">
        <f>I174-F174</f>
        <v>9.5370370327145793E-3</v>
      </c>
      <c r="N174" s="7">
        <f>24*60*SUM($M174:$M174)</f>
        <v>13.733333327108994</v>
      </c>
      <c r="O174" s="7"/>
      <c r="P174" s="7"/>
      <c r="Q174" s="23"/>
      <c r="R174" s="23"/>
      <c r="S174" s="32">
        <f>SUM(U174:U174)/IF(AG174="EC",12,1)</f>
        <v>1</v>
      </c>
      <c r="T174" s="47" t="str">
        <f>IF(ISEVEN(LEFT(AD174,4)),"Southbound","NorthBound")</f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hh:mm:ss")&amp;utc_offset&amp;"00',mode:absolute,to:'"&amp;TEXT(I174+1/24,"yyyy-MM-DD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https://search-rtdc-monitor-bjffxe2xuh6vdkpspy63sjmuny.us-east-1.es.amazonaws.com/_plugin/kibana/#/discover/Steve-Slow-Train-Analysis-(2080s-and-2083s)?_g=(refreshInterval:(display:Off,section:0,value:0),time:(from:'2017-01-04 09:16:40-700',mode:absolute,to:'2017-01-04 11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4" s="49" t="str">
        <f>IF(AA174&lt;IF(AG174="EC",23,5.65),"Y","N")</f>
        <v>N</v>
      </c>
      <c r="X174" s="173">
        <f>VALUE(LEFT(AD174,4))-VALUE(LEFT(AD173,4))</f>
        <v>1</v>
      </c>
      <c r="Y174" s="64">
        <f t="shared" si="17"/>
        <v>9.69E-2</v>
      </c>
      <c r="Z174" s="64">
        <f t="shared" si="18"/>
        <v>5.8945999999999996</v>
      </c>
      <c r="AA174" s="64">
        <f>ABS(Z174-Y174)</f>
        <v>5.7976999999999999</v>
      </c>
      <c r="AB174" s="61" t="e">
        <f>VLOOKUP(A174,Enforcements!$C$7:$K$19,8,0)</f>
        <v>#N/A</v>
      </c>
      <c r="AC174" s="57" t="e">
        <f>VLOOKUP(A174,Enforcements!$C$7:$E$19,3,0)</f>
        <v>#N/A</v>
      </c>
      <c r="AD174" s="58" t="str">
        <f>IF(LEN(A174)=6,"0"&amp;A174,A174)</f>
        <v>0815-04</v>
      </c>
      <c r="AE174" s="8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174" s="84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/stypes="app*4011*20170104*" /stext=" 17:.+((SYSTEM_STATE.+slice.+state.+changed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88" t="str">
        <f t="shared" si="19"/>
        <v>"%USERPROFILE%\Documents\GitHub\eaglep3\Utilities\RefineRTDCRunTimes.py" --tripid 815-04 --locoid 4011 --swversion DE.1.0.8.0 --startMP 204:969 --initTime 2017-01-04T10:16:40 --startdatetime 2017-01-04T10:21:30 --delay 1 --endMP 300:58946 --enddatetime 2017-01-04T10:35:14 --enforcementcount 0 &gt;&gt;C:\Users\stu\Documents\GitHub\eaglep3-reporting\EC\2017-01-04-refined-times.txt</v>
      </c>
      <c r="AI174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{"issue":{"subject":"","project_id":79,"tracker_id":40,"status_id":1,"priority_id":2,"assigned_to_id":23,"start_date":"2017-01-04","description":"","custom_fields":[{"id":1,"name":"Subdivision","value":"NW"},{"id":4,"name":"Milepost","value":"5.8946"},{"id":17,"name":"Train ID","value":"815-04"},{"id":16,"name":"Locomotive ID","value":"4011"},{"id":130,"name":"Impact","value":""},{"id":150,"name":"Time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21"/>
        <v>start /low /b %USERPROFILE%\Documents\GitHub\eaglep3\Utilities\DownloadLogsFromS3.py --loco 4011 --day 2017-01-04</v>
      </c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558</v>
      </c>
      <c r="B175" s="7">
        <v>4012</v>
      </c>
      <c r="C175" s="22" t="s">
        <v>203</v>
      </c>
      <c r="D175" s="22" t="s">
        <v>809</v>
      </c>
      <c r="E175" s="13">
        <v>42739.443402777775</v>
      </c>
      <c r="F175" s="13">
        <v>42739.445497685185</v>
      </c>
      <c r="G175" s="7">
        <v>1</v>
      </c>
      <c r="H175" s="22" t="s">
        <v>375</v>
      </c>
      <c r="I175" s="13">
        <v>42739.455081018517</v>
      </c>
      <c r="J175" s="7">
        <v>0</v>
      </c>
      <c r="K175" s="105" t="str">
        <f>IF(ISEVEN(B175),(B175-1)&amp;"/"&amp;B175,B175&amp;"/"&amp;(B175+1))</f>
        <v>4011/4012</v>
      </c>
      <c r="L175" s="22" t="str">
        <f>VLOOKUP(A175,'Trips&amp;Operators'!$C$1:$G$99999,5,FALSE)</f>
        <v>LOZA FIDEL</v>
      </c>
      <c r="M175" s="6">
        <f>I175-F175</f>
        <v>9.5833333325572312E-3</v>
      </c>
      <c r="N175" s="7">
        <f>24*60*SUM($M175:$M175)</f>
        <v>13.799999998882413</v>
      </c>
      <c r="O175" s="7"/>
      <c r="P175" s="7"/>
      <c r="Q175" s="23"/>
      <c r="R175" s="23"/>
      <c r="S175" s="32">
        <f>SUM(U175:U175)/IF(AG175="EC",12,1)</f>
        <v>1</v>
      </c>
      <c r="T175" s="47" t="str">
        <f>IF(ISEVEN(LEFT(AD175,4)),"Southbound","NorthBound")</f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hh:mm:ss")&amp;utc_offset&amp;"00',mode:absolute,to:'"&amp;TEXT(I175+1/24,"yyyy-MM-DD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https://search-rtdc-monitor-bjffxe2xuh6vdkpspy63sjmuny.us-east-1.es.amazonaws.com/_plugin/kibana/#/discover/Steve-Slow-Train-Analysis-(2080s-and-2083s)?_g=(refreshInterval:(display:Off,section:0,value:0),time:(from:'2017-01-04 09:38:30-700',mode:absolute,to:'2017-01-04 11:55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5" s="49" t="str">
        <f>IF(AA175&lt;IF(AG175="EC",23,5.65),"Y","N")</f>
        <v>N</v>
      </c>
      <c r="X175" s="173">
        <f>VALUE(LEFT(AD175,4))-VALUE(LEFT(AD174,4))</f>
        <v>1</v>
      </c>
      <c r="Y175" s="64">
        <f t="shared" si="17"/>
        <v>5.8632</v>
      </c>
      <c r="Z175" s="64">
        <f t="shared" si="18"/>
        <v>6.7000000000000004E-2</v>
      </c>
      <c r="AA175" s="64">
        <f>ABS(Z175-Y175)</f>
        <v>5.7961999999999998</v>
      </c>
      <c r="AB175" s="61" t="e">
        <f>VLOOKUP(A175,Enforcements!$C$7:$K$19,8,0)</f>
        <v>#N/A</v>
      </c>
      <c r="AC175" s="57" t="e">
        <f>VLOOKUP(A175,Enforcements!$C$7:$E$19,3,0)</f>
        <v>#N/A</v>
      </c>
      <c r="AD175" s="58" t="str">
        <f>IF(LEN(A175)=6,"0"&amp;A175,A175)</f>
        <v>0816-04</v>
      </c>
      <c r="AE175" s="8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75" s="84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/stypes="app*4012*20170104*" /stext=" 17:.+((SYSTEM_STATE.+slice.+state.+changed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88" t="str">
        <f t="shared" si="19"/>
        <v>"%USERPROFILE%\Documents\GitHub\eaglep3\Utilities\RefineRTDCRunTimes.py" --tripid 816-04 --locoid 4012 --swversion DE.1.0.8.0 --startMP 300:58632 --initTime 2017-01-04T10:38:30 --startdatetime 2017-01-04T10:41:31 --delay 1 --endMP 204:670 --enddatetime 2017-01-04T10:55:19 --enforcementcount 0 &gt;&gt;C:\Users\stu\Documents\GitHub\eaglep3-reporting\EC\2017-01-04-refined-times.txt</v>
      </c>
      <c r="AI175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{"issue":{"subject":"","project_id":79,"tracker_id":40,"status_id":1,"priority_id":2,"assigned_to_id":23,"start_date":"2017-01-04","description":"","custom_fields":[{"id":1,"name":"Subdivision","value":"NW"},{"id":4,"name":"Milepost","value":"0.067"},{"id":17,"name":"Train ID","value":"816-04"},{"id":16,"name":"Locomotive ID","value":"4012"},{"id":130,"name":"Impact","value":""},{"id":150,"name":"Time of Event (Mountain Time)","value":"10:55:19"},{"id":151,"name":"Denver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21"/>
        <v>start /low /b %USERPROFILE%\Documents\GitHub\eaglep3\Utilities\DownloadLogsFromS3.py --loco 4012 --day 2017-01-04</v>
      </c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565</v>
      </c>
      <c r="B176" s="7">
        <v>4011</v>
      </c>
      <c r="C176" s="22" t="s">
        <v>203</v>
      </c>
      <c r="D176" s="22" t="s">
        <v>810</v>
      </c>
      <c r="E176" s="13">
        <v>42739.470543981479</v>
      </c>
      <c r="F176" s="13">
        <v>42739.473171296297</v>
      </c>
      <c r="G176" s="7">
        <v>2</v>
      </c>
      <c r="H176" s="22" t="s">
        <v>811</v>
      </c>
      <c r="I176" s="13">
        <v>42739.482685185183</v>
      </c>
      <c r="J176" s="7">
        <v>0</v>
      </c>
      <c r="K176" s="105" t="str">
        <f>IF(ISEVEN(B176),(B176-1)&amp;"/"&amp;B176,B176&amp;"/"&amp;(B176+1))</f>
        <v>4011/4012</v>
      </c>
      <c r="L176" s="22" t="str">
        <f>VLOOKUP(A176,'Trips&amp;Operators'!$C$1:$G$99999,5,FALSE)</f>
        <v>LOZA FIDEL</v>
      </c>
      <c r="M176" s="6">
        <f>I176-F176</f>
        <v>9.5138888864312321E-3</v>
      </c>
      <c r="N176" s="7">
        <f>24*60*SUM($M176:$M176)</f>
        <v>13.699999996460974</v>
      </c>
      <c r="O176" s="7"/>
      <c r="P176" s="7"/>
      <c r="Q176" s="23"/>
      <c r="R176" s="23"/>
      <c r="S176" s="32">
        <f>SUM(U176:U176)/IF(AG176="EC",12,1)</f>
        <v>1</v>
      </c>
      <c r="T176" s="47" t="str">
        <f>IF(ISEVEN(LEFT(AD176,4)),"Southbound","NorthBound")</f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hh:mm:ss")&amp;utc_offset&amp;"00',mode:absolute,to:'"&amp;TEXT(I176+1/24,"yyyy-MM-DD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https://search-rtdc-monitor-bjffxe2xuh6vdkpspy63sjmuny.us-east-1.es.amazonaws.com/_plugin/kibana/#/discover/Steve-Slow-Train-Analysis-(2080s-and-2083s)?_g=(refreshInterval:(display:Off,section:0,value:0),time:(from:'2017-01-04 10:17:35-700',mode:absolute,to:'2017-01-04 12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6" s="49" t="str">
        <f>IF(AA176&lt;IF(AG176="EC",23,5.65),"Y","N")</f>
        <v>N</v>
      </c>
      <c r="X176" s="173">
        <f>VALUE(LEFT(AD176,4))-VALUE(LEFT(AD175,4))</f>
        <v>1</v>
      </c>
      <c r="Y176" s="64">
        <f t="shared" si="17"/>
        <v>9.7600000000000006E-2</v>
      </c>
      <c r="Z176" s="64">
        <f t="shared" si="18"/>
        <v>5.8975999999999997</v>
      </c>
      <c r="AA176" s="64">
        <f>ABS(Z176-Y176)</f>
        <v>5.8</v>
      </c>
      <c r="AB176" s="61" t="e">
        <f>VLOOKUP(A176,Enforcements!$C$7:$K$19,8,0)</f>
        <v>#N/A</v>
      </c>
      <c r="AC176" s="57" t="e">
        <f>VLOOKUP(A176,Enforcements!$C$7:$E$19,3,0)</f>
        <v>#N/A</v>
      </c>
      <c r="AD176" s="58" t="str">
        <f>IF(LEN(A176)=6,"0"&amp;A176,A176)</f>
        <v>0817-04</v>
      </c>
      <c r="AE176" s="8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176" s="84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/stypes="app*4011*20170104*" /stext=" 18:.+((SYSTEM_STATE.+slice.+state.+changed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88" t="str">
        <f t="shared" si="19"/>
        <v>"%USERPROFILE%\Documents\GitHub\eaglep3\Utilities\RefineRTDCRunTimes.py" --tripid 817-04 --locoid 4011 --swversion DE.1.0.8.0 --startMP 204:976 --initTime 2017-01-04T11:17:35 --startdatetime 2017-01-04T11:21:22 --delay 2 --endMP 300:58976 --enddatetime 2017-01-04T11:35:04 --enforcementcount 0 &gt;&gt;C:\Users\stu\Documents\GitHub\eaglep3-reporting\EC\2017-01-04-refined-times.txt</v>
      </c>
      <c r="AI176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{"issue":{"subject":"","project_id":79,"tracker_id":40,"status_id":1,"priority_id":2,"assigned_to_id":23,"start_date":"2017-01-04","description":"","custom_fields":[{"id":1,"name":"Subdivision","value":"NW"},{"id":4,"name":"Milepost","value":"5.8976"},{"id":17,"name":"Train ID","value":"817-04"},{"id":16,"name":"Locomotive ID","value":"4011"},{"id":130,"name":"Impact","value":""},{"id":150,"name":"Time of Event (Mountain Time)","value":"11:35:04"},{"id":151,"name":"Denver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21"/>
        <v>start /low /b %USERPROFILE%\Documents\GitHub\eaglep3\Utilities\DownloadLogsFromS3.py --loco 4011 --day 2017-01-04</v>
      </c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4" t="s">
        <v>568</v>
      </c>
      <c r="B177" s="7">
        <v>4012</v>
      </c>
      <c r="C177" s="22" t="s">
        <v>203</v>
      </c>
      <c r="D177" s="22" t="s">
        <v>435</v>
      </c>
      <c r="E177" s="13">
        <v>42739.484270833331</v>
      </c>
      <c r="F177" s="13">
        <v>42739.48578703704</v>
      </c>
      <c r="G177" s="7">
        <v>1</v>
      </c>
      <c r="H177" s="22" t="s">
        <v>812</v>
      </c>
      <c r="I177" s="13">
        <v>42739.496469907404</v>
      </c>
      <c r="J177" s="7">
        <v>0</v>
      </c>
      <c r="K177" s="105" t="str">
        <f>IF(ISEVEN(B177),(B177-1)&amp;"/"&amp;B177,B177&amp;"/"&amp;(B177+1))</f>
        <v>4011/4012</v>
      </c>
      <c r="L177" s="22" t="str">
        <f>VLOOKUP(A177,'Trips&amp;Operators'!$C$1:$G$99999,5,FALSE)</f>
        <v>LOZA FIDEL</v>
      </c>
      <c r="M177" s="6">
        <f>I177-F177</f>
        <v>1.0682870364689734E-2</v>
      </c>
      <c r="N177" s="7">
        <f>24*60*SUM($M177:$M177)</f>
        <v>15.383333325153217</v>
      </c>
      <c r="O177" s="7"/>
      <c r="P177" s="7"/>
      <c r="Q177" s="23"/>
      <c r="R177" s="23"/>
      <c r="S177" s="32">
        <f>SUM(U177:U177)/IF(AG177="EC",12,1)</f>
        <v>1</v>
      </c>
      <c r="T177" s="47" t="str">
        <f>IF(ISEVEN(LEFT(AD177,4)),"Southbound","NorthBound")</f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hh:mm:ss")&amp;utc_offset&amp;"00',mode:absolute,to:'"&amp;TEXT(I177+1/24,"yyyy-MM-DD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https://search-rtdc-monitor-bjffxe2xuh6vdkpspy63sjmuny.us-east-1.es.amazonaws.com/_plugin/kibana/#/discover/Steve-Slow-Train-Analysis-(2080s-and-2083s)?_g=(refreshInterval:(display:Off,section:0,value:0),time:(from:'2017-01-04 10:37:21-700',mode:absolute,to:'2017-01-04 12:54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7" s="49" t="str">
        <f>IF(AA177&lt;IF(AG177="EC",23,5.65),"Y","N")</f>
        <v>N</v>
      </c>
      <c r="X177" s="173">
        <f>VALUE(LEFT(AD177,4))-VALUE(LEFT(AD176,4))</f>
        <v>1</v>
      </c>
      <c r="Y177" s="64">
        <f t="shared" si="17"/>
        <v>5.8667999999999996</v>
      </c>
      <c r="Z177" s="64">
        <f t="shared" si="18"/>
        <v>6.8199999999999997E-2</v>
      </c>
      <c r="AA177" s="64">
        <f>ABS(Z177-Y177)</f>
        <v>5.7985999999999995</v>
      </c>
      <c r="AB177" s="61" t="e">
        <f>VLOOKUP(A177,Enforcements!$C$7:$K$19,8,0)</f>
        <v>#N/A</v>
      </c>
      <c r="AC177" s="57" t="e">
        <f>VLOOKUP(A177,Enforcements!$C$7:$E$19,3,0)</f>
        <v>#N/A</v>
      </c>
      <c r="AD177" s="58" t="str">
        <f>IF(LEN(A177)=6,"0"&amp;A177,A177)</f>
        <v>0818-04</v>
      </c>
      <c r="AE177" s="8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77" s="84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/stypes="app*4012*20170104*" /stext=" 18:.+((SYSTEM_STATE.+slice.+state.+changed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88" t="str">
        <f t="shared" si="19"/>
        <v>"%USERPROFILE%\Documents\GitHub\eaglep3\Utilities\RefineRTDCRunTimes.py" --tripid 818-04 --locoid 4012 --swversion DE.1.0.8.0 --startMP 300:58668 --initTime 2017-01-04T11:37:21 --startdatetime 2017-01-04T11:39:32 --delay 1 --endMP 204:682 --enddatetime 2017-01-04T11:54:55 --enforcementcount 0 &gt;&gt;C:\Users\stu\Documents\GitHub\eaglep3-reporting\EC\2017-01-04-refined-times.txt</v>
      </c>
      <c r="AI177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{"issue":{"subject":"","project_id":79,"tracker_id":40,"status_id":1,"priority_id":2,"assigned_to_id":23,"start_date":"2017-01-04","description":"","custom_fields":[{"id":1,"name":"Subdivision","value":"NW"},{"id":4,"name":"Milepost","value":"0.0682"},{"id":17,"name":"Train ID","value":"818-04"},{"id":16,"name":"Locomotive ID","value":"4012"},{"id":130,"name":"Impact","value":""},{"id":150,"name":"Time of Event (Mountain Time)","value":"11:54:55"},{"id":151,"name":"Denver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21"/>
        <v>start /low /b %USERPROFILE%\Documents\GitHub\eaglep3\Utilities\DownloadLogsFromS3.py --loco 4012 --day 2017-01-04</v>
      </c>
    </row>
    <row r="178" spans="1:91" x14ac:dyDescent="0.25">
      <c r="A178" s="34" t="s">
        <v>574</v>
      </c>
      <c r="B178" s="7">
        <v>4011</v>
      </c>
      <c r="C178" s="22" t="s">
        <v>203</v>
      </c>
      <c r="D178" s="22" t="s">
        <v>374</v>
      </c>
      <c r="E178" s="13">
        <v>42739.505856481483</v>
      </c>
      <c r="F178" s="13">
        <v>42739.514791666668</v>
      </c>
      <c r="G178" s="7">
        <v>1</v>
      </c>
      <c r="H178" s="22" t="s">
        <v>813</v>
      </c>
      <c r="I178" s="13">
        <v>42739.524699074071</v>
      </c>
      <c r="J178" s="7">
        <v>0</v>
      </c>
      <c r="K178" s="105" t="str">
        <f>IF(ISEVEN(B178),(B178-1)&amp;"/"&amp;B178,B178&amp;"/"&amp;(B178+1))</f>
        <v>4011/4012</v>
      </c>
      <c r="L178" s="22" t="str">
        <f>VLOOKUP(A178,'Trips&amp;Operators'!$C$1:$G$99999,5,FALSE)</f>
        <v>LOZA FIDEL</v>
      </c>
      <c r="M178" s="6">
        <f>I178-F178</f>
        <v>9.9074074023519643E-3</v>
      </c>
      <c r="N178" s="7">
        <f>24*60*SUM($M178:$M178)</f>
        <v>14.266666659386829</v>
      </c>
      <c r="O178" s="7"/>
      <c r="P178" s="7"/>
      <c r="Q178" s="23"/>
      <c r="R178" s="23"/>
      <c r="S178" s="32">
        <f>SUM(U178:U178)/IF(AG178="EC",12,1)</f>
        <v>1</v>
      </c>
      <c r="T178" s="47" t="str">
        <f>IF(ISEVEN(LEFT(AD178,4)),"Southbound","NorthBound")</f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hh:mm:ss")&amp;utc_offset&amp;"00',mode:absolute,to:'"&amp;TEXT(I178+1/24,"yyyy-MM-DD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https://search-rtdc-monitor-bjffxe2xuh6vdkpspy63sjmuny.us-east-1.es.amazonaws.com/_plugin/kibana/#/discover/Steve-Slow-Train-Analysis-(2080s-and-2083s)?_g=(refreshInterval:(display:Off,section:0,value:0),time:(from:'2017-01-04 11:08:26-700',mode:absolute,to:'2017-01-04 13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8" s="49" t="str">
        <f>IF(AA178&lt;IF(AG178="EC",23,5.65),"Y","N")</f>
        <v>N</v>
      </c>
      <c r="X178" s="173">
        <f>VALUE(LEFT(AD178,4))-VALUE(LEFT(AD177,4))</f>
        <v>1</v>
      </c>
      <c r="Y178" s="64">
        <f t="shared" si="17"/>
        <v>9.64E-2</v>
      </c>
      <c r="Z178" s="64">
        <f t="shared" si="18"/>
        <v>5.9002999999999997</v>
      </c>
      <c r="AA178" s="64">
        <f>ABS(Z178-Y178)</f>
        <v>5.8038999999999996</v>
      </c>
      <c r="AB178" s="61" t="e">
        <f>VLOOKUP(A178,Enforcements!$C$7:$K$19,8,0)</f>
        <v>#N/A</v>
      </c>
      <c r="AC178" s="57" t="e">
        <f>VLOOKUP(A178,Enforcements!$C$7:$E$19,3,0)</f>
        <v>#N/A</v>
      </c>
      <c r="AD178" s="58" t="str">
        <f>IF(LEN(A178)=6,"0"&amp;A178,A178)</f>
        <v>0819-04</v>
      </c>
      <c r="AE178" s="8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178" s="84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/stypes="app*4011*20170104*" /stext=" 19:.+((SYSTEM_STATE.+slice.+state.+changed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88" t="str">
        <f t="shared" si="19"/>
        <v>"%USERPROFILE%\Documents\GitHub\eaglep3\Utilities\RefineRTDCRunTimes.py" --tripid 819-04 --locoid 4011 --swversion DE.1.0.8.0 --startMP 204:964 --initTime 2017-01-04T12:08:26 --startdatetime 2017-01-04T12:21:18 --delay 1 --endMP 300:59003 --enddatetime 2017-01-04T12:35:34 --enforcementcount 0 &gt;&gt;C:\Users\stu\Documents\GitHub\eaglep3-reporting\EC\2017-01-04-refined-times.txt</v>
      </c>
      <c r="AI178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{"issue":{"subject":"","project_id":79,"tracker_id":40,"status_id":1,"priority_id":2,"assigned_to_id":23,"start_date":"2017-01-04","description":"","custom_fields":[{"id":1,"name":"Subdivision","value":"NW"},{"id":4,"name":"Milepost","value":"5.9003"},{"id":17,"name":"Train ID","value":"819-04"},{"id":16,"name":"Locomotive ID","value":"4011"},{"id":130,"name":"Impact","value":""},{"id":150,"name":"Time of Event (Mountain Time)","value":"12:35:34"},{"id":151,"name":"Denver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21"/>
        <v>start /low /b %USERPROFILE%\Documents\GitHub\eaglep3\Utilities\DownloadLogsFromS3.py --loco 4011 --day 2017-01-04</v>
      </c>
    </row>
    <row r="179" spans="1:91" x14ac:dyDescent="0.25">
      <c r="A179" s="34" t="s">
        <v>579</v>
      </c>
      <c r="B179" s="7">
        <v>4012</v>
      </c>
      <c r="C179" s="22" t="s">
        <v>203</v>
      </c>
      <c r="D179" s="22" t="s">
        <v>814</v>
      </c>
      <c r="E179" s="13">
        <v>42739.526539351849</v>
      </c>
      <c r="F179" s="13">
        <v>42739.528229166666</v>
      </c>
      <c r="G179" s="7">
        <v>1</v>
      </c>
      <c r="H179" s="22" t="s">
        <v>815</v>
      </c>
      <c r="I179" s="13">
        <v>42739.538275462961</v>
      </c>
      <c r="J179" s="7">
        <v>0</v>
      </c>
      <c r="K179" s="105" t="str">
        <f>IF(ISEVEN(B179),(B179-1)&amp;"/"&amp;B179,B179&amp;"/"&amp;(B179+1))</f>
        <v>4011/4012</v>
      </c>
      <c r="L179" s="22" t="str">
        <f>VLOOKUP(A179,'Trips&amp;Operators'!$C$1:$G$99999,5,FALSE)</f>
        <v>LOZA FIDEL</v>
      </c>
      <c r="M179" s="6">
        <f>I179-F179</f>
        <v>1.0046296294603962E-2</v>
      </c>
      <c r="N179" s="7">
        <f>24*60*SUM($M179:$M179)</f>
        <v>14.466666664229706</v>
      </c>
      <c r="O179" s="7"/>
      <c r="P179" s="7"/>
      <c r="Q179" s="23"/>
      <c r="R179" s="23"/>
      <c r="S179" s="32">
        <f>SUM(U179:U179)/IF(AG179="EC",12,1)</f>
        <v>1</v>
      </c>
      <c r="T179" s="47" t="str">
        <f>IF(ISEVEN(LEFT(AD179,4)),"Southbound","NorthBound")</f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hh:mm:ss")&amp;utc_offset&amp;"00',mode:absolute,to:'"&amp;TEXT(I179+1/24,"yyyy-MM-DD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https://search-rtdc-monitor-bjffxe2xuh6vdkpspy63sjmuny.us-east-1.es.amazonaws.com/_plugin/kibana/#/discover/Steve-Slow-Train-Analysis-(2080s-and-2083s)?_g=(refreshInterval:(display:Off,section:0,value:0),time:(from:'2017-01-04 11:38:13-700',mode:absolute,to:'2017-01-04 13:55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9" s="49" t="str">
        <f>IF(AA179&lt;IF(AG179="EC",23,5.65),"Y","N")</f>
        <v>N</v>
      </c>
      <c r="X179" s="173">
        <f>VALUE(LEFT(AD179,4))-VALUE(LEFT(AD178,4))</f>
        <v>1</v>
      </c>
      <c r="Y179" s="64">
        <f t="shared" si="17"/>
        <v>5.8688000000000002</v>
      </c>
      <c r="Z179" s="64">
        <f t="shared" si="18"/>
        <v>6.6299999999999998E-2</v>
      </c>
      <c r="AA179" s="64">
        <f>ABS(Z179-Y179)</f>
        <v>5.8025000000000002</v>
      </c>
      <c r="AB179" s="61" t="e">
        <f>VLOOKUP(A179,Enforcements!$C$7:$K$19,8,0)</f>
        <v>#N/A</v>
      </c>
      <c r="AC179" s="57" t="e">
        <f>VLOOKUP(A179,Enforcements!$C$7:$E$19,3,0)</f>
        <v>#N/A</v>
      </c>
      <c r="AD179" s="58" t="str">
        <f>IF(LEN(A179)=6,"0"&amp;A179,A179)</f>
        <v>0820-04</v>
      </c>
      <c r="AE179" s="8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79" s="84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/stypes="app*4012*20170104*" /stext=" 19:.+((SYSTEM_STATE.+slice.+state.+changed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88" t="str">
        <f t="shared" si="19"/>
        <v>"%USERPROFILE%\Documents\GitHub\eaglep3\Utilities\RefineRTDCRunTimes.py" --tripid 820-04 --locoid 4012 --swversion DE.1.0.8.0 --startMP 300:58688 --initTime 2017-01-04T12:38:13 --startdatetime 2017-01-04T12:40:39 --delay 1 --endMP 204:663 --enddatetime 2017-01-04T12:55:07 --enforcementcount 0 &gt;&gt;C:\Users\stu\Documents\GitHub\eaglep3-reporting\EC\2017-01-04-refined-times.txt</v>
      </c>
      <c r="AI179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{"issue":{"subject":"","project_id":79,"tracker_id":40,"status_id":1,"priority_id":2,"assigned_to_id":23,"start_date":"2017-01-04","description":"","custom_fields":[{"id":1,"name":"Subdivision","value":"NW"},{"id":4,"name":"Milepost","value":"0.0663"},{"id":17,"name":"Train ID","value":"820-04"},{"id":16,"name":"Locomotive ID","value":"4012"},{"id":130,"name":"Impact","value":""},{"id":150,"name":"Time of Event (Mountain Time)","value":"12:55:07"},{"id":151,"name":"Denver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21"/>
        <v>start /low /b %USERPROFILE%\Documents\GitHub\eaglep3\Utilities\DownloadLogsFromS3.py --loco 4012 --day 2017-01-04</v>
      </c>
    </row>
    <row r="180" spans="1:91" x14ac:dyDescent="0.25">
      <c r="A180" s="34" t="s">
        <v>585</v>
      </c>
      <c r="B180" s="7">
        <v>4011</v>
      </c>
      <c r="C180" s="22" t="s">
        <v>203</v>
      </c>
      <c r="D180" s="22" t="s">
        <v>816</v>
      </c>
      <c r="E180" s="13">
        <v>42739.550381944442</v>
      </c>
      <c r="F180" s="13">
        <v>42739.556481481479</v>
      </c>
      <c r="G180" s="7">
        <v>1</v>
      </c>
      <c r="H180" s="22" t="s">
        <v>432</v>
      </c>
      <c r="I180" s="13">
        <v>42739.566874999997</v>
      </c>
      <c r="J180" s="7">
        <v>0</v>
      </c>
      <c r="K180" s="105" t="str">
        <f>IF(ISEVEN(B180),(B180-1)&amp;"/"&amp;B180,B180&amp;"/"&amp;(B180+1))</f>
        <v>4011/4012</v>
      </c>
      <c r="L180" s="22" t="str">
        <f>VLOOKUP(A180,'Trips&amp;Operators'!$C$1:$G$99999,5,FALSE)</f>
        <v>BRUDER RICHARD</v>
      </c>
      <c r="M180" s="6">
        <f>I180-F180</f>
        <v>1.0393518517958E-2</v>
      </c>
      <c r="N180" s="7">
        <f>24*60*SUM($M180:$M180)</f>
        <v>14.96666666585952</v>
      </c>
      <c r="O180" s="7"/>
      <c r="P180" s="7"/>
      <c r="Q180" s="23"/>
      <c r="R180" s="23"/>
      <c r="S180" s="32">
        <f>SUM(U180:U180)/IF(AG180="EC",12,1)</f>
        <v>1</v>
      </c>
      <c r="T180" s="47" t="str">
        <f>IF(ISEVEN(LEFT(AD180,4)),"Southbound","NorthBound")</f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hh:mm:ss")&amp;utc_offset&amp;"00',mode:absolute,to:'"&amp;TEXT(I180+1/24,"yyyy-MM-DD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https://search-rtdc-monitor-bjffxe2xuh6vdkpspy63sjmuny.us-east-1.es.amazonaws.com/_plugin/kibana/#/discover/Steve-Slow-Train-Analysis-(2080s-and-2083s)?_g=(refreshInterval:(display:Off,section:0,value:0),time:(from:'2017-01-04 12:12:33-700',mode:absolute,to:'2017-01-04 14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0" s="49" t="str">
        <f>IF(AA180&lt;IF(AG180="EC",23,5.65),"Y","N")</f>
        <v>N</v>
      </c>
      <c r="X180" s="173">
        <f>VALUE(LEFT(AD180,4))-VALUE(LEFT(AD179,4))</f>
        <v>1</v>
      </c>
      <c r="Y180" s="64">
        <f t="shared" si="17"/>
        <v>9.3899999999999997E-2</v>
      </c>
      <c r="Z180" s="64">
        <f t="shared" si="18"/>
        <v>5.8943000000000003</v>
      </c>
      <c r="AA180" s="64">
        <f>ABS(Z180-Y180)</f>
        <v>5.8004000000000007</v>
      </c>
      <c r="AB180" s="61" t="e">
        <f>VLOOKUP(A180,Enforcements!$C$7:$K$19,8,0)</f>
        <v>#N/A</v>
      </c>
      <c r="AC180" s="57" t="e">
        <f>VLOOKUP(A180,Enforcements!$C$7:$E$19,3,0)</f>
        <v>#N/A</v>
      </c>
      <c r="AD180" s="58" t="str">
        <f>IF(LEN(A180)=6,"0"&amp;A180,A180)</f>
        <v>0821-04</v>
      </c>
      <c r="AE180" s="8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180" s="84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/stypes="app*4011*20170104*" /stext=" 20:.+((SYSTEM_STATE.+slice.+state.+changed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88" t="str">
        <f t="shared" si="19"/>
        <v>"%USERPROFILE%\Documents\GitHub\eaglep3\Utilities\RefineRTDCRunTimes.py" --tripid 821-04 --locoid 4011 --swversion DE.1.0.8.0 --startMP 204:939 --initTime 2017-01-04T13:12:33 --startdatetime 2017-01-04T13:21:20 --delay 1 --endMP 300:58943 --enddatetime 2017-01-04T13:36:18 --enforcementcount 0 &gt;&gt;C:\Users\stu\Documents\GitHub\eaglep3-reporting\EC\2017-01-04-refined-times.txt</v>
      </c>
      <c r="AI180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{"issue":{"subject":"","project_id":79,"tracker_id":40,"status_id":1,"priority_id":2,"assigned_to_id":23,"start_date":"2017-01-04","description":"","custom_fields":[{"id":1,"name":"Subdivision","value":"NW"},{"id":4,"name":"Milepost","value":"5.8943"},{"id":17,"name":"Train ID","value":"821-04"},{"id":16,"name":"Locomotive ID","value":"4011"},{"id":130,"name":"Impact","value":""},{"id":150,"name":"Time of Event (Mountain Time)","value":"13:36:18"},{"id":151,"name":"Denver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21"/>
        <v>start /low /b %USERPROFILE%\Documents\GitHub\eaglep3\Utilities\DownloadLogsFromS3.py --loco 4011 --day 2017-01-04</v>
      </c>
    </row>
    <row r="181" spans="1:91" x14ac:dyDescent="0.25">
      <c r="A181" s="34" t="s">
        <v>590</v>
      </c>
      <c r="B181" s="7">
        <v>4012</v>
      </c>
      <c r="C181" s="22" t="s">
        <v>203</v>
      </c>
      <c r="D181" s="22" t="s">
        <v>436</v>
      </c>
      <c r="E181" s="13">
        <v>42739.568148148152</v>
      </c>
      <c r="F181" s="13">
        <v>42739.570196759261</v>
      </c>
      <c r="G181" s="7">
        <v>1</v>
      </c>
      <c r="H181" s="22" t="s">
        <v>378</v>
      </c>
      <c r="I181" s="13">
        <v>42739.580555555556</v>
      </c>
      <c r="J181" s="7">
        <v>0</v>
      </c>
      <c r="K181" s="105" t="str">
        <f>IF(ISEVEN(B181),(B181-1)&amp;"/"&amp;B181,B181&amp;"/"&amp;(B181+1))</f>
        <v>4011/4012</v>
      </c>
      <c r="L181" s="22" t="str">
        <f>VLOOKUP(A181,'Trips&amp;Operators'!$C$1:$G$99999,5,FALSE)</f>
        <v>BRUDER RICHARD</v>
      </c>
      <c r="M181" s="6">
        <f>I181-F181</f>
        <v>1.0358796294895001E-2</v>
      </c>
      <c r="N181" s="7">
        <f>24*60*SUM($M181:$M181)</f>
        <v>14.916666664648801</v>
      </c>
      <c r="O181" s="7"/>
      <c r="P181" s="7"/>
      <c r="Q181" s="23"/>
      <c r="R181" s="23"/>
      <c r="S181" s="32">
        <f>SUM(U181:U181)/IF(AG181="EC",12,1)</f>
        <v>1</v>
      </c>
      <c r="T181" s="47" t="str">
        <f>IF(ISEVEN(LEFT(AD181,4)),"Southbound","NorthBound")</f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hh:mm:ss")&amp;utc_offset&amp;"00',mode:absolute,to:'"&amp;TEXT(I181+1/24,"yyyy-MM-DD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https://search-rtdc-monitor-bjffxe2xuh6vdkpspy63sjmuny.us-east-1.es.amazonaws.com/_plugin/kibana/#/discover/Steve-Slow-Train-Analysis-(2080s-and-2083s)?_g=(refreshInterval:(display:Off,section:0,value:0),time:(from:'2017-01-04 12:38:08-700',mode:absolute,to:'2017-01-04 14:56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1" s="49" t="str">
        <f>IF(AA181&lt;IF(AG181="EC",23,5.65),"Y","N")</f>
        <v>N</v>
      </c>
      <c r="X181" s="173">
        <f>VALUE(LEFT(AD181,4))-VALUE(LEFT(AD180,4))</f>
        <v>1</v>
      </c>
      <c r="Y181" s="64">
        <f t="shared" si="17"/>
        <v>5.8624000000000001</v>
      </c>
      <c r="Z181" s="64">
        <f t="shared" si="18"/>
        <v>6.8400000000000002E-2</v>
      </c>
      <c r="AA181" s="64">
        <f>ABS(Z181-Y181)</f>
        <v>5.7940000000000005</v>
      </c>
      <c r="AB181" s="61" t="e">
        <f>VLOOKUP(A181,Enforcements!$C$7:$K$19,8,0)</f>
        <v>#N/A</v>
      </c>
      <c r="AC181" s="57" t="e">
        <f>VLOOKUP(A181,Enforcements!$C$7:$E$19,3,0)</f>
        <v>#N/A</v>
      </c>
      <c r="AD181" s="58" t="str">
        <f>IF(LEN(A181)=6,"0"&amp;A181,A181)</f>
        <v>0822-04</v>
      </c>
      <c r="AE181" s="8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81" s="84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/stypes="app*4012*20170104*" /stext=" 20:.+((SYSTEM_STATE.+slice.+state.+changed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88" t="str">
        <f t="shared" si="19"/>
        <v>"%USERPROFILE%\Documents\GitHub\eaglep3\Utilities\RefineRTDCRunTimes.py" --tripid 822-04 --locoid 4012 --swversion DE.1.0.8.0 --startMP 300:58624 --initTime 2017-01-04T13:38:08 --startdatetime 2017-01-04T13:41:05 --delay 1 --endMP 204:684 --enddatetime 2017-01-04T13:56:00 --enforcementcount 0 &gt;&gt;C:\Users\stu\Documents\GitHub\eaglep3-reporting\EC\2017-01-04-refined-times.txt</v>
      </c>
      <c r="AI181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{"issue":{"subject":"","project_id":79,"tracker_id":40,"status_id":1,"priority_id":2,"assigned_to_id":23,"start_date":"2017-01-04","description":"","custom_fields":[{"id":1,"name":"Subdivision","value":"NW"},{"id":4,"name":"Milepost","value":"0.0684"},{"id":17,"name":"Train ID","value":"822-04"},{"id":16,"name":"Locomotive ID","value":"4012"},{"id":130,"name":"Impact","value":""},{"id":150,"name":"Time of Event (Mountain Time)","value":"13:56:00"},{"id":151,"name":"Denver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21"/>
        <v>start /low /b %USERPROFILE%\Documents\GitHub\eaglep3\Utilities\DownloadLogsFromS3.py --loco 4012 --day 2017-01-04</v>
      </c>
    </row>
    <row r="182" spans="1:91" x14ac:dyDescent="0.25">
      <c r="A182" s="34" t="s">
        <v>596</v>
      </c>
      <c r="B182" s="7">
        <v>4011</v>
      </c>
      <c r="C182" s="22" t="s">
        <v>203</v>
      </c>
      <c r="D182" s="22" t="s">
        <v>380</v>
      </c>
      <c r="E182" s="13">
        <v>42739.592222222222</v>
      </c>
      <c r="F182" s="13">
        <v>42739.598182870373</v>
      </c>
      <c r="G182" s="7">
        <v>1</v>
      </c>
      <c r="H182" s="22" t="s">
        <v>311</v>
      </c>
      <c r="I182" s="13">
        <v>42739.608749999999</v>
      </c>
      <c r="J182" s="7">
        <v>0</v>
      </c>
      <c r="K182" s="105" t="str">
        <f>IF(ISEVEN(B182),(B182-1)&amp;"/"&amp;B182,B182&amp;"/"&amp;(B182+1))</f>
        <v>4011/4012</v>
      </c>
      <c r="L182" s="22" t="str">
        <f>VLOOKUP(A182,'Trips&amp;Operators'!$C$1:$G$99999,5,FALSE)</f>
        <v>BRUDER RICHARD</v>
      </c>
      <c r="M182" s="6">
        <f>I182-F182</f>
        <v>1.056712962599704E-2</v>
      </c>
      <c r="N182" s="7">
        <f>24*60*SUM($M182:$M182)</f>
        <v>15.216666661435738</v>
      </c>
      <c r="O182" s="7"/>
      <c r="P182" s="7"/>
      <c r="Q182" s="23"/>
      <c r="R182" s="23"/>
      <c r="S182" s="32">
        <f>SUM(U182:U182)/IF(AG182="EC",12,1)</f>
        <v>1</v>
      </c>
      <c r="T182" s="47" t="str">
        <f>IF(ISEVEN(LEFT(AD182,4)),"Southbound","NorthBound")</f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hh:mm:ss")&amp;utc_offset&amp;"00',mode:absolute,to:'"&amp;TEXT(I182+1/24,"yyyy-MM-DD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https://search-rtdc-monitor-bjffxe2xuh6vdkpspy63sjmuny.us-east-1.es.amazonaws.com/_plugin/kibana/#/discover/Steve-Slow-Train-Analysis-(2080s-and-2083s)?_g=(refreshInterval:(display:Off,section:0,value:0),time:(from:'2017-01-04 13:12:48-700',mode:absolute,to:'2017-01-04 15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2" s="49" t="str">
        <f>IF(AA182&lt;IF(AG182="EC",23,5.65),"Y","N")</f>
        <v>N</v>
      </c>
      <c r="X182" s="173">
        <f>VALUE(LEFT(AD182,4))-VALUE(LEFT(AD181,4))</f>
        <v>1</v>
      </c>
      <c r="Y182" s="64">
        <f t="shared" si="17"/>
        <v>9.7199999999999995E-2</v>
      </c>
      <c r="Z182" s="64">
        <f t="shared" si="18"/>
        <v>5.8929</v>
      </c>
      <c r="AA182" s="64">
        <f>ABS(Z182-Y182)</f>
        <v>5.7957000000000001</v>
      </c>
      <c r="AB182" s="61" t="e">
        <f>VLOOKUP(A182,Enforcements!$C$7:$K$19,8,0)</f>
        <v>#N/A</v>
      </c>
      <c r="AC182" s="57" t="e">
        <f>VLOOKUP(A182,Enforcements!$C$7:$E$19,3,0)</f>
        <v>#N/A</v>
      </c>
      <c r="AD182" s="58" t="str">
        <f>IF(LEN(A182)=6,"0"&amp;A182,A182)</f>
        <v>0823-04</v>
      </c>
      <c r="AE182" s="8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182" s="84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/stypes="app*4011*20170104*" /stext=" 21:.+((SYSTEM_STATE.+slice.+state.+changed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88" t="str">
        <f t="shared" si="19"/>
        <v>"%USERPROFILE%\Documents\GitHub\eaglep3\Utilities\RefineRTDCRunTimes.py" --tripid 823-04 --locoid 4011 --swversion DE.1.0.8.0 --startMP 204:972 --initTime 2017-01-04T14:12:48 --startdatetime 2017-01-04T14:21:23 --delay 1 --endMP 300:58929 --enddatetime 2017-01-04T14:36:36 --enforcementcount 0 &gt;&gt;C:\Users\stu\Documents\GitHub\eaglep3-reporting\EC\2017-01-04-refined-times.txt</v>
      </c>
      <c r="AI182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{"issue":{"subject":"","project_id":79,"tracker_id":40,"status_id":1,"priority_id":2,"assigned_to_id":23,"start_date":"2017-01-04","description":"","custom_fields":[{"id":1,"name":"Subdivision","value":"NW"},{"id":4,"name":"Milepost","value":"5.8929"},{"id":17,"name":"Train ID","value":"823-04"},{"id":16,"name":"Locomotive ID","value":"4011"},{"id":130,"name":"Impact","value":""},{"id":150,"name":"Time of Event (Mountain Time)","value":"14:36:36"},{"id":151,"name":"Denver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21"/>
        <v>start /low /b %USERPROFILE%\Documents\GitHub\eaglep3\Utilities\DownloadLogsFromS3.py --loco 4011 --day 2017-01-04</v>
      </c>
    </row>
    <row r="183" spans="1:91" x14ac:dyDescent="0.25">
      <c r="A183" s="34" t="s">
        <v>457</v>
      </c>
      <c r="B183" s="7">
        <v>4012</v>
      </c>
      <c r="C183" s="22" t="s">
        <v>203</v>
      </c>
      <c r="D183" s="22" t="s">
        <v>817</v>
      </c>
      <c r="E183" s="13">
        <v>42739.610162037039</v>
      </c>
      <c r="F183" s="13">
        <v>42739.612372685187</v>
      </c>
      <c r="G183" s="7">
        <v>1</v>
      </c>
      <c r="H183" s="22" t="s">
        <v>818</v>
      </c>
      <c r="I183" s="13">
        <v>42739.623263888891</v>
      </c>
      <c r="J183" s="7">
        <v>0</v>
      </c>
      <c r="K183" s="105" t="str">
        <f>IF(ISEVEN(B183),(B183-1)&amp;"/"&amp;B183,B183&amp;"/"&amp;(B183+1))</f>
        <v>4011/4012</v>
      </c>
      <c r="L183" s="22" t="str">
        <f>VLOOKUP(A183,'Trips&amp;Operators'!$C$1:$G$99999,5,FALSE)</f>
        <v>BRUDER RICHARD</v>
      </c>
      <c r="M183" s="6">
        <f>I183-F183</f>
        <v>1.0891203703067731E-2</v>
      </c>
      <c r="N183" s="7">
        <f>24*60*SUM($M183:$M183)</f>
        <v>15.683333332417533</v>
      </c>
      <c r="O183" s="7"/>
      <c r="P183" s="7"/>
      <c r="Q183" s="23"/>
      <c r="R183" s="23"/>
      <c r="S183" s="32">
        <f>SUM(U183:U183)/IF(AG183="EC",12,1)</f>
        <v>1</v>
      </c>
      <c r="T183" s="47" t="str">
        <f>IF(ISEVEN(LEFT(AD183,4)),"Southbound","NorthBound")</f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hh:mm:ss")&amp;utc_offset&amp;"00',mode:absolute,to:'"&amp;TEXT(I183+1/24,"yyyy-MM-DD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https://search-rtdc-monitor-bjffxe2xuh6vdkpspy63sjmuny.us-east-1.es.amazonaws.com/_plugin/kibana/#/discover/Steve-Slow-Train-Analysis-(2080s-and-2083s)?_g=(refreshInterval:(display:Off,section:0,value:0),time:(from:'2017-01-04 13:38:38-700',mode:absolute,to:'2017-01-04 15:57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3" s="49" t="str">
        <f>IF(AA183&lt;IF(AG183="EC",23,5.65),"Y","N")</f>
        <v>N</v>
      </c>
      <c r="X183" s="173">
        <f>VALUE(LEFT(AD183,4))-VALUE(LEFT(AD182,4))</f>
        <v>1</v>
      </c>
      <c r="Y183" s="64">
        <f t="shared" si="17"/>
        <v>5.8605999999999998</v>
      </c>
      <c r="Z183" s="64">
        <f t="shared" si="18"/>
        <v>7.0099999999999996E-2</v>
      </c>
      <c r="AA183" s="64">
        <f>ABS(Z183-Y183)</f>
        <v>5.7904999999999998</v>
      </c>
      <c r="AB183" s="61" t="e">
        <f>VLOOKUP(A183,Enforcements!$C$7:$K$19,8,0)</f>
        <v>#N/A</v>
      </c>
      <c r="AC183" s="57" t="e">
        <f>VLOOKUP(A183,Enforcements!$C$7:$E$19,3,0)</f>
        <v>#N/A</v>
      </c>
      <c r="AD183" s="58" t="str">
        <f>IF(LEN(A183)=6,"0"&amp;A183,A183)</f>
        <v>0824-04</v>
      </c>
      <c r="AE183" s="8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83" s="84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/stypes="app*4012*20170104*" /stext=" 21:.+((SYSTEM_STATE.+slice.+state.+changed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88" t="str">
        <f t="shared" si="19"/>
        <v>"%USERPROFILE%\Documents\GitHub\eaglep3\Utilities\RefineRTDCRunTimes.py" --tripid 824-04 --locoid 4012 --swversion DE.1.0.8.0 --startMP 300:58606 --initTime 2017-01-04T14:38:38 --startdatetime 2017-01-04T14:41:49 --delay 1 --endMP 204:701 --enddatetime 2017-01-04T14:57:30 --enforcementcount 0 &gt;&gt;C:\Users\stu\Documents\GitHub\eaglep3-reporting\EC\2017-01-04-refined-times.txt</v>
      </c>
      <c r="AI183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{"issue":{"subject":"","project_id":79,"tracker_id":40,"status_id":1,"priority_id":2,"assigned_to_id":23,"start_date":"2017-01-04","description":"","custom_fields":[{"id":1,"name":"Subdivision","value":"NW"},{"id":4,"name":"Milepost","value":"0.0701"},{"id":17,"name":"Train ID","value":"824-04"},{"id":16,"name":"Locomotive ID","value":"4012"},{"id":130,"name":"Impact","value":""},{"id":150,"name":"Time of Event (Mountain Time)","value":"14:57:30"},{"id":151,"name":"Denver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21"/>
        <v>start /low /b %USERPROFILE%\Documents\GitHub\eaglep3\Utilities\DownloadLogsFromS3.py --loco 4012 --day 2017-01-04</v>
      </c>
    </row>
    <row r="184" spans="1:91" s="21" customFormat="1" x14ac:dyDescent="0.25">
      <c r="A184" s="34" t="s">
        <v>603</v>
      </c>
      <c r="B184" s="7">
        <v>4011</v>
      </c>
      <c r="C184" s="22" t="s">
        <v>203</v>
      </c>
      <c r="D184" s="22" t="s">
        <v>439</v>
      </c>
      <c r="E184" s="13">
        <v>42739.630891203706</v>
      </c>
      <c r="F184" s="13">
        <v>42739.639791666668</v>
      </c>
      <c r="G184" s="7">
        <v>1</v>
      </c>
      <c r="H184" s="22" t="s">
        <v>819</v>
      </c>
      <c r="I184" s="13">
        <v>42739.650127314817</v>
      </c>
      <c r="J184" s="7">
        <v>0</v>
      </c>
      <c r="K184" s="105" t="str">
        <f>IF(ISEVEN(B184),(B184-1)&amp;"/"&amp;B184,B184&amp;"/"&amp;(B184+1))</f>
        <v>4011/4012</v>
      </c>
      <c r="L184" s="22" t="str">
        <f>VLOOKUP(A184,'Trips&amp;Operators'!$C$1:$G$99999,5,FALSE)</f>
        <v>MOSES BRADLEY</v>
      </c>
      <c r="M184" s="6">
        <f>I184-F184</f>
        <v>1.0335648148611654E-2</v>
      </c>
      <c r="N184" s="7">
        <f>24*60*SUM($M184:$M184)</f>
        <v>14.883333334000781</v>
      </c>
      <c r="O184" s="7"/>
      <c r="P184" s="7"/>
      <c r="Q184" s="23"/>
      <c r="R184" s="23"/>
      <c r="S184" s="32">
        <f>SUM(U184:U184)/IF(AG184="EC",12,1)</f>
        <v>1</v>
      </c>
      <c r="T184" s="47" t="str">
        <f>IF(ISEVEN(LEFT(AD184,4)),"Southbound","NorthBound")</f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hh:mm:ss")&amp;utc_offset&amp;"00',mode:absolute,to:'"&amp;TEXT(I184+1/24,"yyyy-MM-DD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https://search-rtdc-monitor-bjffxe2xuh6vdkpspy63sjmuny.us-east-1.es.amazonaws.com/_plugin/kibana/#/discover/Steve-Slow-Train-Analysis-(2080s-and-2083s)?_g=(refreshInterval:(display:Off,section:0,value:0),time:(from:'2017-01-04 14:08:29-700',mode:absolute,to:'2017-01-04 16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4" s="49" t="str">
        <f>IF(AA184&lt;IF(AG184="EC",23,5.65),"Y","N")</f>
        <v>N</v>
      </c>
      <c r="X184" s="173">
        <f>VALUE(LEFT(AD184,4))-VALUE(LEFT(AD183,4))</f>
        <v>1</v>
      </c>
      <c r="Y184" s="64">
        <f t="shared" si="17"/>
        <v>9.8599999999999993E-2</v>
      </c>
      <c r="Z184" s="64">
        <f t="shared" si="18"/>
        <v>5.8958000000000004</v>
      </c>
      <c r="AA184" s="64">
        <f>ABS(Z184-Y184)</f>
        <v>5.7972000000000001</v>
      </c>
      <c r="AB184" s="61" t="e">
        <f>VLOOKUP(A184,Enforcements!$C$7:$K$19,8,0)</f>
        <v>#N/A</v>
      </c>
      <c r="AC184" s="57" t="e">
        <f>VLOOKUP(A184,Enforcements!$C$7:$E$19,3,0)</f>
        <v>#N/A</v>
      </c>
      <c r="AD184" s="58" t="str">
        <f>IF(LEN(A184)=6,"0"&amp;A184,A184)</f>
        <v>0825-04</v>
      </c>
      <c r="AE184" s="8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184" s="84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/stypes="app*4011*20170104*" /stext=" 22:.+((SYSTEM_STATE.+slice.+state.+changed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88" t="str">
        <f t="shared" si="19"/>
        <v>"%USERPROFILE%\Documents\GitHub\eaglep3\Utilities\RefineRTDCRunTimes.py" --tripid 825-04 --locoid 4011 --swversion DE.1.0.8.0 --startMP 204:986 --initTime 2017-01-04T15:08:29 --startdatetime 2017-01-04T15:21:18 --delay 1 --endMP 300:58958 --enddatetime 2017-01-04T15:36:11 --enforcementcount 0 &gt;&gt;C:\Users\stu\Documents\GitHub\eaglep3-reporting\EC\2017-01-04-refined-times.txt</v>
      </c>
      <c r="AI184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{"issue":{"subject":"","project_id":79,"tracker_id":40,"status_id":1,"priority_id":2,"assigned_to_id":23,"start_date":"2017-01-04","description":"","custom_fields":[{"id":1,"name":"Subdivision","value":"NW"},{"id":4,"name":"Milepost","value":"5.8958"},{"id":17,"name":"Train ID","value":"825-04"},{"id":16,"name":"Locomotive ID","value":"4011"},{"id":130,"name":"Impact","value":""},{"id":150,"name":"Time of Event (Mountain Time)","value":"15:36:11"},{"id":151,"name":"Denver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21"/>
        <v>start /low /b %USERPROFILE%\Documents\GitHub\eaglep3\Utilities\DownloadLogsFromS3.py --loco 4011 --day 2017-01-04</v>
      </c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4" t="s">
        <v>460</v>
      </c>
      <c r="B185" s="7">
        <v>4012</v>
      </c>
      <c r="C185" s="22" t="s">
        <v>203</v>
      </c>
      <c r="D185" s="22" t="s">
        <v>437</v>
      </c>
      <c r="E185" s="13">
        <v>42739.651620370372</v>
      </c>
      <c r="F185" s="13">
        <v>42739.653321759259</v>
      </c>
      <c r="G185" s="7">
        <v>1</v>
      </c>
      <c r="H185" s="22" t="s">
        <v>705</v>
      </c>
      <c r="I185" s="13">
        <v>42739.664375</v>
      </c>
      <c r="J185" s="7">
        <v>0</v>
      </c>
      <c r="K185" s="105" t="str">
        <f>IF(ISEVEN(B185),(B185-1)&amp;"/"&amp;B185,B185&amp;"/"&amp;(B185+1))</f>
        <v>4011/4012</v>
      </c>
      <c r="L185" s="22" t="str">
        <f>VLOOKUP(A185,'Trips&amp;Operators'!$C$1:$G$99999,5,FALSE)</f>
        <v>MOSES BRADLEY</v>
      </c>
      <c r="M185" s="6">
        <f>I185-F185</f>
        <v>1.1053240741603076E-2</v>
      </c>
      <c r="N185" s="7">
        <f>24*60*SUM($M185:$M185)</f>
        <v>15.91666666790843</v>
      </c>
      <c r="O185" s="7"/>
      <c r="P185" s="7"/>
      <c r="Q185" s="23"/>
      <c r="R185" s="23"/>
      <c r="S185" s="32">
        <f>SUM(U185:U185)/IF(AG185="EC",12,1)</f>
        <v>1</v>
      </c>
      <c r="T185" s="47" t="str">
        <f>IF(ISEVEN(LEFT(AD185,4)),"Southbound","NorthBound")</f>
        <v>Southbound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hh:mm:ss")&amp;utc_offset&amp;"00',mode:absolute,to:'"&amp;TEXT(I185+1/24,"yyyy-MM-DD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https://search-rtdc-monitor-bjffxe2xuh6vdkpspy63sjmuny.us-east-1.es.amazonaws.com/_plugin/kibana/#/discover/Steve-Slow-Train-Analysis-(2080s-and-2083s)?_g=(refreshInterval:(display:Off,section:0,value:0),time:(from:'2017-01-04 14:38:20-700',mode:absolute,to:'2017-01-04 16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5" s="49" t="str">
        <f>IF(AA185&lt;IF(AG185="EC",23,5.65),"Y","N")</f>
        <v>N</v>
      </c>
      <c r="X185" s="173">
        <f>VALUE(LEFT(AD185,4))-VALUE(LEFT(AD184,4))</f>
        <v>1</v>
      </c>
      <c r="Y185" s="64">
        <f t="shared" si="17"/>
        <v>5.8644999999999996</v>
      </c>
      <c r="Z185" s="64">
        <f t="shared" si="18"/>
        <v>7.4300000000000005E-2</v>
      </c>
      <c r="AA185" s="64">
        <f>ABS(Z185-Y185)</f>
        <v>5.7901999999999996</v>
      </c>
      <c r="AB185" s="61" t="e">
        <f>VLOOKUP(A185,Enforcements!$C$7:$K$19,8,0)</f>
        <v>#N/A</v>
      </c>
      <c r="AC185" s="57" t="e">
        <f>VLOOKUP(A185,Enforcements!$C$7:$E$19,3,0)</f>
        <v>#N/A</v>
      </c>
      <c r="AD185" s="58" t="str">
        <f>IF(LEN(A185)=6,"0"&amp;A185,A185)</f>
        <v>0826-04</v>
      </c>
      <c r="AE185" s="8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85" s="84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/stypes="app*4012*20170104*" /stext=" 22:.+((SYSTEM_STATE.+slice.+state.+changed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88" t="str">
        <f t="shared" si="19"/>
        <v>"%USERPROFILE%\Documents\GitHub\eaglep3\Utilities\RefineRTDCRunTimes.py" --tripid 826-04 --locoid 4012 --swversion DE.1.0.8.0 --startMP 300:58645 --initTime 2017-01-04T15:38:20 --startdatetime 2017-01-04T15:40:47 --delay 1 --endMP 204:743 --enddatetime 2017-01-04T15:56:42 --enforcementcount 0 &gt;&gt;C:\Users\stu\Documents\GitHub\eaglep3-reporting\EC\2017-01-04-refined-times.txt</v>
      </c>
      <c r="AI185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{"issue":{"subject":"","project_id":79,"tracker_id":40,"status_id":1,"priority_id":2,"assigned_to_id":23,"start_date":"2017-01-04","description":"","custom_fields":[{"id":1,"name":"Subdivision","value":"NW"},{"id":4,"name":"Milepost","value":"0.0743"},{"id":17,"name":"Train ID","value":"826-04"},{"id":16,"name":"Locomotive ID","value":"4012"},{"id":130,"name":"Impact","value":""},{"id":150,"name":"Time of Event (Mountain Time)","value":"15:56:42"},{"id":151,"name":"Denver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21"/>
        <v>start /low /b %USERPROFILE%\Documents\GitHub\eaglep3\Utilities\DownloadLogsFromS3.py --loco 4012 --day 2017-01-04</v>
      </c>
    </row>
    <row r="186" spans="1:91" s="21" customFormat="1" x14ac:dyDescent="0.25">
      <c r="A186" s="34" t="s">
        <v>610</v>
      </c>
      <c r="B186" s="7">
        <v>4007</v>
      </c>
      <c r="C186" s="22" t="s">
        <v>203</v>
      </c>
      <c r="D186" s="22" t="s">
        <v>820</v>
      </c>
      <c r="E186" s="13">
        <v>42739.659097222226</v>
      </c>
      <c r="F186" s="13">
        <v>42739.660717592589</v>
      </c>
      <c r="G186" s="7">
        <v>1</v>
      </c>
      <c r="H186" s="22" t="s">
        <v>311</v>
      </c>
      <c r="I186" s="13">
        <v>42739.671967592592</v>
      </c>
      <c r="J186" s="7">
        <v>0</v>
      </c>
      <c r="K186" s="105" t="str">
        <f>IF(ISEVEN(B186),(B186-1)&amp;"/"&amp;B186,B186&amp;"/"&amp;(B186+1))</f>
        <v>4007/4008</v>
      </c>
      <c r="L186" s="22" t="str">
        <f>VLOOKUP(A186,'Trips&amp;Operators'!$C$1:$G$99999,5,FALSE)</f>
        <v>CHANDLER KELVIN</v>
      </c>
      <c r="M186" s="6">
        <f>I186-F186</f>
        <v>1.1250000003201421E-2</v>
      </c>
      <c r="N186" s="7">
        <f>24*60*SUM($M186:$M186)</f>
        <v>16.200000004610047</v>
      </c>
      <c r="O186" s="7"/>
      <c r="P186" s="7"/>
      <c r="Q186" s="23"/>
      <c r="R186" s="23"/>
      <c r="S186" s="32">
        <f>SUM(U186:U186)/IF(AG186="EC",12,1)</f>
        <v>1</v>
      </c>
      <c r="T186" s="47" t="str">
        <f>IF(ISEVEN(LEFT(AD186,4)),"Southbound","NorthBound")</f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hh:mm:ss")&amp;utc_offset&amp;"00',mode:absolute,to:'"&amp;TEXT(I186+1/24,"yyyy-MM-DD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https://search-rtdc-monitor-bjffxe2xuh6vdkpspy63sjmuny.us-east-1.es.amazonaws.com/_plugin/kibana/#/discover/Steve-Slow-Train-Analysis-(2080s-and-2083s)?_g=(refreshInterval:(display:Off,section:0,value:0),time:(from:'2017-01-04 14:49:06-700',mode:absolute,to:'2017-01-04 17:07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6" s="49" t="str">
        <f>IF(AA186&lt;IF(AG186="EC",23,5.65),"Y","N")</f>
        <v>N</v>
      </c>
      <c r="X186" s="173">
        <f>VALUE(LEFT(AD186,4))-VALUE(LEFT(AD185,4))</f>
        <v>1</v>
      </c>
      <c r="Y186" s="64">
        <f t="shared" si="17"/>
        <v>9.2499999999999999E-2</v>
      </c>
      <c r="Z186" s="64">
        <f t="shared" si="18"/>
        <v>5.8929</v>
      </c>
      <c r="AA186" s="64">
        <f>ABS(Z186-Y186)</f>
        <v>5.8003999999999998</v>
      </c>
      <c r="AB186" s="61" t="e">
        <f>VLOOKUP(A186,Enforcements!$C$7:$K$19,8,0)</f>
        <v>#N/A</v>
      </c>
      <c r="AC186" s="57" t="e">
        <f>VLOOKUP(A186,Enforcements!$C$7:$E$19,3,0)</f>
        <v>#N/A</v>
      </c>
      <c r="AD186" s="58" t="str">
        <f>IF(LEN(A186)=6,"0"&amp;A186,A186)</f>
        <v>0827-04</v>
      </c>
      <c r="AE186" s="8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 &amp; 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</v>
      </c>
      <c r="AF186" s="84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/stypes="app*4007*20170104*" /stext=" 23:.+((SYSTEM_STATE.+slice.+state.+changed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88" t="str">
        <f t="shared" si="19"/>
        <v>"%USERPROFILE%\Documents\GitHub\eaglep3\Utilities\RefineRTDCRunTimes.py" --tripid 827-04 --locoid 4007 --swversion DE.1.0.8.0 --startMP 204:925 --initTime 2017-01-04T15:49:06 --startdatetime 2017-01-04T15:51:26 --delay 1 --endMP 300:58929 --enddatetime 2017-01-04T16:07:38 --enforcementcount 0 &gt;&gt;C:\Users\stu\Documents\GitHub\eaglep3-reporting\EC\2017-01-04-refined-times.txt</v>
      </c>
      <c r="AI186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{"issue":{"subject":"","project_id":79,"tracker_id":40,"status_id":1,"priority_id":2,"assigned_to_id":23,"start_date":"2017-01-04","description":"","custom_fields":[{"id":1,"name":"Subdivision","value":"NW"},{"id":4,"name":"Milepost","value":"5.8929"},{"id":17,"name":"Train ID","value":"827-04"},{"id":16,"name":"Locomotive ID","value":"4007"},{"id":130,"name":"Impact","value":""},{"id":150,"name":"Time of Event (Mountain Time)","value":"16:07:38"},{"id":151,"name":"Denver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21"/>
        <v>start /low /b %USERPROFILE%\Documents\GitHub\eaglep3\Utilities\DownloadLogsFromS3.py --loco 4007 --day 2017-01-04</v>
      </c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4" t="s">
        <v>613</v>
      </c>
      <c r="B187" s="7">
        <v>4008</v>
      </c>
      <c r="C187" s="22" t="s">
        <v>203</v>
      </c>
      <c r="D187" s="22" t="s">
        <v>821</v>
      </c>
      <c r="E187" s="13">
        <v>42739.673356481479</v>
      </c>
      <c r="F187" s="13">
        <v>42739.674305555556</v>
      </c>
      <c r="G187" s="7">
        <v>0</v>
      </c>
      <c r="H187" s="22" t="s">
        <v>373</v>
      </c>
      <c r="I187" s="13">
        <v>42739.686215277776</v>
      </c>
      <c r="J187" s="7">
        <v>0</v>
      </c>
      <c r="K187" s="105" t="str">
        <f>IF(ISEVEN(B187),(B187-1)&amp;"/"&amp;B187,B187&amp;"/"&amp;(B187+1))</f>
        <v>4007/4008</v>
      </c>
      <c r="L187" s="22" t="str">
        <f>VLOOKUP(A187,'Trips&amp;Operators'!$C$1:$G$99999,5,FALSE)</f>
        <v>CHANDLER KELVIN</v>
      </c>
      <c r="M187" s="6">
        <f>I187-F187</f>
        <v>1.190972221957054E-2</v>
      </c>
      <c r="N187" s="7">
        <f>24*60*SUM($M187:$M187)</f>
        <v>17.149999996181577</v>
      </c>
      <c r="O187" s="7"/>
      <c r="P187" s="7"/>
      <c r="Q187" s="23"/>
      <c r="R187" s="23"/>
      <c r="S187" s="32">
        <f>SUM(U187:U187)/IF(AG187="EC",12,1)</f>
        <v>1</v>
      </c>
      <c r="T187" s="47" t="str">
        <f>IF(ISEVEN(LEFT(AD187,4)),"Southbound","NorthBound")</f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hh:mm:ss")&amp;utc_offset&amp;"00',mode:absolute,to:'"&amp;TEXT(I187+1/24,"yyyy-MM-DD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https://search-rtdc-monitor-bjffxe2xuh6vdkpspy63sjmuny.us-east-1.es.amazonaws.com/_plugin/kibana/#/discover/Steve-Slow-Train-Analysis-(2080s-and-2083s)?_g=(refreshInterval:(display:Off,section:0,value:0),time:(from:'2017-01-04 15:09:38-700',mode:absolute,to:'2017-01-04 17:28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7" s="49" t="str">
        <f>IF(AA187&lt;IF(AG187="EC",23,5.65),"Y","N")</f>
        <v>N</v>
      </c>
      <c r="X187" s="173">
        <f>VALUE(LEFT(AD187,4))-VALUE(LEFT(AD186,4))</f>
        <v>1</v>
      </c>
      <c r="Y187" s="64">
        <f t="shared" si="17"/>
        <v>5.8609</v>
      </c>
      <c r="Z187" s="64">
        <f t="shared" si="18"/>
        <v>6.2100000000000002E-2</v>
      </c>
      <c r="AA187" s="64">
        <f>ABS(Z187-Y187)</f>
        <v>5.7988</v>
      </c>
      <c r="AB187" s="61" t="e">
        <f>VLOOKUP(A187,Enforcements!$C$7:$K$19,8,0)</f>
        <v>#N/A</v>
      </c>
      <c r="AC187" s="57" t="e">
        <f>VLOOKUP(A187,Enforcements!$C$7:$E$19,3,0)</f>
        <v>#N/A</v>
      </c>
      <c r="AD187" s="58" t="str">
        <f>IF(LEN(A187)=6,"0"&amp;A187,A187)</f>
        <v>0828-04</v>
      </c>
      <c r="AE187" s="8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 &amp; 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</v>
      </c>
      <c r="AF187" s="84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/stypes="app*4008*20170104*" /stext=" 23:.+((SYSTEM_STATE.+slice.+state.+changed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88" t="str">
        <f t="shared" si="19"/>
        <v>"%USERPROFILE%\Documents\GitHub\eaglep3\Utilities\RefineRTDCRunTimes.py" --tripid 828-04 --locoid 4008 --swversion DE.1.0.8.0 --startMP 300:58609 --initTime 2017-01-04T16:09:38 --startdatetime 2017-01-04T16:11:00 --delay 0 --endMP 204:621 --enddatetime 2017-01-04T16:28:09 --enforcementcount 0 &gt;&gt;C:\Users\stu\Documents\GitHub\eaglep3-reporting\EC\2017-01-04-refined-times.txt</v>
      </c>
      <c r="AI187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{"issue":{"subject":"","project_id":79,"tracker_id":40,"status_id":1,"priority_id":2,"assigned_to_id":23,"start_date":"2017-01-04","description":"","custom_fields":[{"id":1,"name":"Subdivision","value":"NW"},{"id":4,"name":"Milepost","value":"0.0621"},{"id":17,"name":"Train ID","value":"828-04"},{"id":16,"name":"Locomotive ID","value":"4008"},{"id":130,"name":"Impact","value":""},{"id":150,"name":"Time of Event (Mountain Time)","value":"16:28:09"},{"id":151,"name":"Denver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21"/>
        <v>start /low /b %USERPROFILE%\Documents\GitHub\eaglep3\Utilities\DownloadLogsFromS3.py --loco 4008 --day 2017-01-04</v>
      </c>
    </row>
    <row r="188" spans="1:91" x14ac:dyDescent="0.25">
      <c r="A188" s="34" t="s">
        <v>615</v>
      </c>
      <c r="B188" s="7">
        <v>4011</v>
      </c>
      <c r="C188" s="22" t="s">
        <v>203</v>
      </c>
      <c r="D188" s="22" t="s">
        <v>434</v>
      </c>
      <c r="E188" s="13">
        <v>42739.676851851851</v>
      </c>
      <c r="F188" s="13">
        <v>42739.68172453704</v>
      </c>
      <c r="G188" s="7">
        <v>1</v>
      </c>
      <c r="H188" s="22" t="s">
        <v>822</v>
      </c>
      <c r="I188" s="13">
        <v>42739.692326388889</v>
      </c>
      <c r="J188" s="7">
        <v>0</v>
      </c>
      <c r="K188" s="105" t="str">
        <f>IF(ISEVEN(B188),(B188-1)&amp;"/"&amp;B188,B188&amp;"/"&amp;(B188+1))</f>
        <v>4011/4012</v>
      </c>
      <c r="L188" s="22" t="str">
        <f>VLOOKUP(A188,'Trips&amp;Operators'!$C$1:$G$99999,5,FALSE)</f>
        <v>BRUDER RICHARD</v>
      </c>
      <c r="M188" s="6">
        <f>I188-F188</f>
        <v>1.060185184906004E-2</v>
      </c>
      <c r="N188" s="7">
        <f>24*60*SUM($M188:$M188)</f>
        <v>15.266666662646458</v>
      </c>
      <c r="O188" s="7"/>
      <c r="P188" s="7"/>
      <c r="Q188" s="23"/>
      <c r="R188" s="23"/>
      <c r="S188" s="32">
        <f>SUM(U188:U188)/IF(AG188="EC",12,1)</f>
        <v>1</v>
      </c>
      <c r="T188" s="47" t="str">
        <f>IF(ISEVEN(LEFT(AD188,4)),"Southbound","NorthBound")</f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hh:mm:ss")&amp;utc_offset&amp;"00',mode:absolute,to:'"&amp;TEXT(I188+1/24,"yyyy-MM-DD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https://search-rtdc-monitor-bjffxe2xuh6vdkpspy63sjmuny.us-east-1.es.amazonaws.com/_plugin/kibana/#/discover/Steve-Slow-Train-Analysis-(2080s-and-2083s)?_g=(refreshInterval:(display:Off,section:0,value:0),time:(from:'2017-01-04 15:14:40-700',mode:absolute,to:'2017-01-04 17:36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8" s="49" t="str">
        <f>IF(AA188&lt;IF(AG188="EC",23,5.65),"Y","N")</f>
        <v>N</v>
      </c>
      <c r="X188" s="173">
        <f>VALUE(LEFT(AD188,4))-VALUE(LEFT(AD187,4))</f>
        <v>1</v>
      </c>
      <c r="Y188" s="64">
        <f t="shared" si="17"/>
        <v>0.1023</v>
      </c>
      <c r="Z188" s="64">
        <f t="shared" si="18"/>
        <v>5.8925999999999998</v>
      </c>
      <c r="AA188" s="64">
        <f>ABS(Z188-Y188)</f>
        <v>5.7903000000000002</v>
      </c>
      <c r="AB188" s="61" t="e">
        <f>VLOOKUP(A188,Enforcements!$C$7:$K$19,8,0)</f>
        <v>#N/A</v>
      </c>
      <c r="AC188" s="57" t="e">
        <f>VLOOKUP(A188,Enforcements!$C$7:$E$19,3,0)</f>
        <v>#N/A</v>
      </c>
      <c r="AD188" s="58" t="str">
        <f>IF(LEN(A188)=6,"0"&amp;A188,A188)</f>
        <v>0829-04</v>
      </c>
      <c r="AE188" s="8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188" s="84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/stypes="app*4011*20170104*" /stext=" 23:.+((SYSTEM_STATE.+slice.+state.+changed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88" t="str">
        <f t="shared" si="19"/>
        <v>"%USERPROFILE%\Documents\GitHub\eaglep3\Utilities\RefineRTDCRunTimes.py" --tripid 829-04 --locoid 4011 --swversion DE.1.0.8.0 --startMP 204:1023 --initTime 2017-01-04T16:14:40 --startdatetime 2017-01-04T16:21:41 --delay 1 --endMP 300:58926 --enddatetime 2017-01-04T16:36:57 --enforcementcount 0 &gt;&gt;C:\Users\stu\Documents\GitHub\eaglep3-reporting\EC\2017-01-04-refined-times.txt</v>
      </c>
      <c r="AI188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{"issue":{"subject":"","project_id":79,"tracker_id":40,"status_id":1,"priority_id":2,"assigned_to_id":23,"start_date":"2017-01-04","description":"","custom_fields":[{"id":1,"name":"Subdivision","value":"NW"},{"id":4,"name":"Milepost","value":"5.8926"},{"id":17,"name":"Train ID","value":"829-04"},{"id":16,"name":"Locomotive ID","value":"4011"},{"id":130,"name":"Impact","value":""},{"id":150,"name":"Time of Event (Mountain Time)","value":"16:36:57"},{"id":151,"name":"Denver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21"/>
        <v>start /low /b %USERPROFILE%\Documents\GitHub\eaglep3\Utilities\DownloadLogsFromS3.py --loco 4011 --day 2017-01-04</v>
      </c>
    </row>
    <row r="189" spans="1:91" x14ac:dyDescent="0.25">
      <c r="A189" s="34" t="s">
        <v>619</v>
      </c>
      <c r="B189" s="7">
        <v>4012</v>
      </c>
      <c r="C189" s="22" t="s">
        <v>203</v>
      </c>
      <c r="D189" s="22" t="s">
        <v>821</v>
      </c>
      <c r="E189" s="13">
        <v>42739.693703703706</v>
      </c>
      <c r="F189" s="13">
        <v>42739.695451388892</v>
      </c>
      <c r="G189" s="7">
        <v>1</v>
      </c>
      <c r="H189" s="22" t="s">
        <v>812</v>
      </c>
      <c r="I189" s="13">
        <v>42739.705787037034</v>
      </c>
      <c r="J189" s="7">
        <v>0</v>
      </c>
      <c r="K189" s="105" t="str">
        <f>IF(ISEVEN(B189),(B189-1)&amp;"/"&amp;B189,B189&amp;"/"&amp;(B189+1))</f>
        <v>4011/4012</v>
      </c>
      <c r="L189" s="22" t="str">
        <f>VLOOKUP(A189,'Trips&amp;Operators'!$C$1:$G$99999,5,FALSE)</f>
        <v>BRUDER RICHARD</v>
      </c>
      <c r="M189" s="6">
        <f>I189-F189</f>
        <v>1.0335648141335696E-2</v>
      </c>
      <c r="N189" s="7">
        <f>24*60*SUM($M189:$M189)</f>
        <v>14.883333323523402</v>
      </c>
      <c r="O189" s="7"/>
      <c r="P189" s="7"/>
      <c r="Q189" s="23"/>
      <c r="R189" s="23"/>
      <c r="S189" s="32">
        <f>SUM(U189:U189)/IF(AG189="EC",12,1)</f>
        <v>1</v>
      </c>
      <c r="T189" s="47" t="str">
        <f>IF(ISEVEN(LEFT(AD189,4)),"Southbound","NorthBound")</f>
        <v>Southbound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hh:mm:ss")&amp;utc_offset&amp;"00',mode:absolute,to:'"&amp;TEXT(I189+1/24,"yyyy-MM-DD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https://search-rtdc-monitor-bjffxe2xuh6vdkpspy63sjmuny.us-east-1.es.amazonaws.com/_plugin/kibana/#/discover/Steve-Slow-Train-Analysis-(2080s-and-2083s)?_g=(refreshInterval:(display:Off,section:0,value:0),time:(from:'2017-01-04 15:38:56-700',mode:absolute,to:'2017-01-04 17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9" s="49" t="str">
        <f>IF(AA189&lt;IF(AG189="EC",23,5.65),"Y","N")</f>
        <v>N</v>
      </c>
      <c r="X189" s="173">
        <f>VALUE(LEFT(AD189,4))-VALUE(LEFT(AD188,4))</f>
        <v>1</v>
      </c>
      <c r="Y189" s="64">
        <f t="shared" si="17"/>
        <v>5.8609</v>
      </c>
      <c r="Z189" s="64">
        <f t="shared" si="18"/>
        <v>6.8199999999999997E-2</v>
      </c>
      <c r="AA189" s="64">
        <f>ABS(Z189-Y189)</f>
        <v>5.7927</v>
      </c>
      <c r="AB189" s="61" t="e">
        <f>VLOOKUP(A189,Enforcements!$C$7:$K$19,8,0)</f>
        <v>#N/A</v>
      </c>
      <c r="AC189" s="57" t="e">
        <f>VLOOKUP(A189,Enforcements!$C$7:$E$19,3,0)</f>
        <v>#N/A</v>
      </c>
      <c r="AD189" s="58" t="str">
        <f>IF(LEN(A189)=6,"0"&amp;A189,A189)</f>
        <v>0830-04</v>
      </c>
      <c r="AE189" s="8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89" s="84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/stypes="app*4012*20170104*" /stext=" 23:.+((SYSTEM_STATE.+slice.+state.+changed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88" t="str">
        <f t="shared" si="19"/>
        <v>"%USERPROFILE%\Documents\GitHub\eaglep3\Utilities\RefineRTDCRunTimes.py" --tripid 830-04 --locoid 4012 --swversion DE.1.0.8.0 --startMP 300:58609 --initTime 2017-01-04T16:38:56 --startdatetime 2017-01-04T16:41:27 --delay 1 --endMP 204:682 --enddatetime 2017-01-04T16:56:20 --enforcementcount 0 &gt;&gt;C:\Users\stu\Documents\GitHub\eaglep3-reporting\EC\2017-01-04-refined-times.txt</v>
      </c>
      <c r="AI189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{"issue":{"subject":"","project_id":79,"tracker_id":40,"status_id":1,"priority_id":2,"assigned_to_id":23,"start_date":"2017-01-04","description":"","custom_fields":[{"id":1,"name":"Subdivision","value":"NW"},{"id":4,"name":"Milepost","value":"0.0682"},{"id":17,"name":"Train ID","value":"830-04"},{"id":16,"name":"Locomotive ID","value":"4012"},{"id":130,"name":"Impact","value":""},{"id":150,"name":"Time of Event (Mountain Time)","value":"16:56:20"},{"id":151,"name":"Denver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21"/>
        <v>start /low /b %USERPROFILE%\Documents\GitHub\eaglep3\Utilities\DownloadLogsFromS3.py --loco 4012 --day 2017-01-04</v>
      </c>
    </row>
    <row r="190" spans="1:91" s="21" customFormat="1" x14ac:dyDescent="0.25">
      <c r="A190" s="34" t="s">
        <v>621</v>
      </c>
      <c r="B190" s="7">
        <v>4007</v>
      </c>
      <c r="C190" s="22" t="s">
        <v>203</v>
      </c>
      <c r="D190" s="22" t="s">
        <v>825</v>
      </c>
      <c r="E190" s="13">
        <v>42739.698831018519</v>
      </c>
      <c r="F190" s="13">
        <v>42739.702465277776</v>
      </c>
      <c r="G190" s="7">
        <v>1</v>
      </c>
      <c r="H190" s="22" t="s">
        <v>377</v>
      </c>
      <c r="I190" s="13">
        <v>42739.71366898148</v>
      </c>
      <c r="J190" s="7">
        <v>0</v>
      </c>
      <c r="K190" s="105" t="str">
        <f>IF(ISEVEN(B190),(B190-1)&amp;"/"&amp;B190,B190&amp;"/"&amp;(B190+1))</f>
        <v>4007/4008</v>
      </c>
      <c r="L190" s="22" t="str">
        <f>VLOOKUP(A190,'Trips&amp;Operators'!$C$1:$G$99999,5,FALSE)</f>
        <v>CHANDLER KELVIN</v>
      </c>
      <c r="M190" s="6">
        <f>I190-F190</f>
        <v>1.1203703703358769E-2</v>
      </c>
      <c r="N190" s="7">
        <f>24*60*SUM($M190:$M190)</f>
        <v>16.133333332836628</v>
      </c>
      <c r="O190" s="7"/>
      <c r="P190" s="7"/>
      <c r="Q190" s="23"/>
      <c r="R190" s="23"/>
      <c r="S190" s="32">
        <f>SUM(U190:U190)/IF(AG190="EC",12,1)</f>
        <v>1</v>
      </c>
      <c r="T190" s="47" t="str">
        <f>IF(ISEVEN(LEFT(AD190,4)),"Southbound","NorthBound")</f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hh:mm:ss")&amp;utc_offset&amp;"00',mode:absolute,to:'"&amp;TEXT(I190+1/24,"yyyy-MM-DD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https://search-rtdc-monitor-bjffxe2xuh6vdkpspy63sjmuny.us-east-1.es.amazonaws.com/_plugin/kibana/#/discover/Steve-Slow-Train-Analysis-(2080s-and-2083s)?_g=(refreshInterval:(display:Off,section:0,value:0),time:(from:'2017-01-04 15:46:19-700',mode:absolute,to:'2017-01-04 18:07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0" s="49" t="str">
        <f>IF(AA190&lt;IF(AG190="EC",23,5.65),"Y","N")</f>
        <v>N</v>
      </c>
      <c r="X190" s="173">
        <f>VALUE(LEFT(AD190,4))-VALUE(LEFT(AD189,4))</f>
        <v>1</v>
      </c>
      <c r="Y190" s="64">
        <f t="shared" si="17"/>
        <v>9.1600000000000001E-2</v>
      </c>
      <c r="Z190" s="64">
        <f t="shared" si="18"/>
        <v>5.8924000000000003</v>
      </c>
      <c r="AA190" s="64">
        <f>ABS(Z190-Y190)</f>
        <v>5.8008000000000006</v>
      </c>
      <c r="AB190" s="61" t="e">
        <f>VLOOKUP(A190,Enforcements!$C$7:$K$19,8,0)</f>
        <v>#N/A</v>
      </c>
      <c r="AC190" s="57" t="e">
        <f>VLOOKUP(A190,Enforcements!$C$7:$E$19,3,0)</f>
        <v>#N/A</v>
      </c>
      <c r="AD190" s="58" t="str">
        <f>IF(LEN(A190)=6,"0"&amp;A190,A190)</f>
        <v>0831-04</v>
      </c>
      <c r="AE190" s="8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 &amp; 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</v>
      </c>
      <c r="AF190" s="84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/stypes="app*4007*20170105*" /stext=" 00:.+((SYSTEM_STATE.+slice.+state.+changed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88" t="str">
        <f t="shared" si="19"/>
        <v>"%USERPROFILE%\Documents\GitHub\eaglep3\Utilities\RefineRTDCRunTimes.py" --tripid 831-04 --locoid 4007 --swversion DE.1.0.8.0 --startMP 204:916 --initTime 2017-01-04T16:46:19 --startdatetime 2017-01-04T16:51:33 --delay 1 --endMP 300:58924 --enddatetime 2017-01-04T17:07:41 --enforcementcount 0 &gt;&gt;C:\Users\stu\Documents\GitHub\eaglep3-reporting\EC\2017-01-04-refined-times.txt</v>
      </c>
      <c r="AI190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{"issue":{"subject":"","project_id":79,"tracker_id":40,"status_id":1,"priority_id":2,"assigned_to_id":23,"start_date":"2017-01-04","description":"","custom_fields":[{"id":1,"name":"Subdivision","value":"NW"},{"id":4,"name":"Milepost","value":"5.8924"},{"id":17,"name":"Train ID","value":"831-04"},{"id":16,"name":"Locomotive ID","value":"4007"},{"id":130,"name":"Impact","value":""},{"id":150,"name":"Time of Event (Mountain Time)","value":"17:07:41"},{"id":151,"name":"Denver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21"/>
        <v>start /low /b %USERPROFILE%\Documents\GitHub\eaglep3\Utilities\DownloadLogsFromS3.py --loco 4007 --day 2017-01-04</v>
      </c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4" t="s">
        <v>626</v>
      </c>
      <c r="B191" s="7">
        <v>4008</v>
      </c>
      <c r="C191" s="22" t="s">
        <v>203</v>
      </c>
      <c r="D191" s="22" t="s">
        <v>382</v>
      </c>
      <c r="E191" s="13">
        <v>42739.715150462966</v>
      </c>
      <c r="F191" s="13">
        <v>42739.716145833336</v>
      </c>
      <c r="G191" s="7">
        <v>1</v>
      </c>
      <c r="H191" s="22" t="s">
        <v>373</v>
      </c>
      <c r="I191" s="13">
        <v>42739.727430555555</v>
      </c>
      <c r="J191" s="7">
        <v>0</v>
      </c>
      <c r="K191" s="105" t="str">
        <f>IF(ISEVEN(B191),(B191-1)&amp;"/"&amp;B191,B191&amp;"/"&amp;(B191+1))</f>
        <v>4007/4008</v>
      </c>
      <c r="L191" s="22" t="str">
        <f>VLOOKUP(A191,'Trips&amp;Operators'!$C$1:$G$99999,5,FALSE)</f>
        <v>CHANDLER KELVIN</v>
      </c>
      <c r="M191" s="6">
        <f>I191-F191</f>
        <v>1.1284722218988463E-2</v>
      </c>
      <c r="N191" s="7">
        <f>24*60*SUM($M191:$M191)</f>
        <v>16.249999995343387</v>
      </c>
      <c r="O191" s="7"/>
      <c r="P191" s="7"/>
      <c r="Q191" s="23"/>
      <c r="R191" s="23"/>
      <c r="S191" s="32">
        <f>SUM(U191:U191)/IF(AG191="EC",12,1)</f>
        <v>1</v>
      </c>
      <c r="T191" s="47" t="str">
        <f>IF(ISEVEN(LEFT(AD191,4)),"Southbound","NorthBound")</f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hh:mm:ss")&amp;utc_offset&amp;"00',mode:absolute,to:'"&amp;TEXT(I191+1/24,"yyyy-MM-DD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https://search-rtdc-monitor-bjffxe2xuh6vdkpspy63sjmuny.us-east-1.es.amazonaws.com/_plugin/kibana/#/discover/Steve-Slow-Train-Analysis-(2080s-and-2083s)?_g=(refreshInterval:(display:Off,section:0,value:0),time:(from:'2017-01-04 16:09:49-700',mode:absolute,to:'2017-01-04 18:27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1" s="49" t="str">
        <f>IF(AA191&lt;IF(AG191="EC",23,5.65),"Y","N")</f>
        <v>N</v>
      </c>
      <c r="X191" s="173">
        <f>VALUE(LEFT(AD191,4))-VALUE(LEFT(AD190,4))</f>
        <v>1</v>
      </c>
      <c r="Y191" s="64">
        <f t="shared" si="17"/>
        <v>5.8615000000000004</v>
      </c>
      <c r="Z191" s="64">
        <f t="shared" si="18"/>
        <v>6.2100000000000002E-2</v>
      </c>
      <c r="AA191" s="64">
        <f>ABS(Z191-Y191)</f>
        <v>5.7994000000000003</v>
      </c>
      <c r="AB191" s="61" t="e">
        <f>VLOOKUP(A191,Enforcements!$C$7:$K$19,8,0)</f>
        <v>#N/A</v>
      </c>
      <c r="AC191" s="57" t="e">
        <f>VLOOKUP(A191,Enforcements!$C$7:$E$19,3,0)</f>
        <v>#N/A</v>
      </c>
      <c r="AD191" s="58" t="str">
        <f>IF(LEN(A191)=6,"0"&amp;A191,A191)</f>
        <v>0832-04</v>
      </c>
      <c r="AE191" s="8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 &amp; 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</v>
      </c>
      <c r="AF191" s="84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/stypes="app*4008*20170105*" /stext=" 00:.+((SYSTEM_STATE.+slice.+state.+changed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88" t="str">
        <f t="shared" si="19"/>
        <v>"%USERPROFILE%\Documents\GitHub\eaglep3\Utilities\RefineRTDCRunTimes.py" --tripid 832-04 --locoid 4008 --swversion DE.1.0.8.0 --startMP 300:58615 --initTime 2017-01-04T17:09:49 --startdatetime 2017-01-04T17:11:15 --delay 1 --endMP 204:621 --enddatetime 2017-01-04T17:27:30 --enforcementcount 0 &gt;&gt;C:\Users\stu\Documents\GitHub\eaglep3-reporting\EC\2017-01-04-refined-times.txt</v>
      </c>
      <c r="AI191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{"issue":{"subject":"","project_id":79,"tracker_id":40,"status_id":1,"priority_id":2,"assigned_to_id":23,"start_date":"2017-01-04","description":"","custom_fields":[{"id":1,"name":"Subdivision","value":"NW"},{"id":4,"name":"Milepost","value":"0.0621"},{"id":17,"name":"Train ID","value":"832-04"},{"id":16,"name":"Locomotive ID","value":"4008"},{"id":130,"name":"Impact","value":""},{"id":150,"name":"Time of Event (Mountain Time)","value":"17:27:30"},{"id":151,"name":"Denver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21"/>
        <v>start /low /b %USERPROFILE%\Documents\GitHub\eaglep3\Utilities\DownloadLogsFromS3.py --loco 4008 --day 2017-01-04</v>
      </c>
    </row>
    <row r="192" spans="1:91" x14ac:dyDescent="0.25">
      <c r="A192" s="34" t="s">
        <v>624</v>
      </c>
      <c r="B192" s="7">
        <v>4011</v>
      </c>
      <c r="C192" s="22" t="s">
        <v>203</v>
      </c>
      <c r="D192" s="22" t="s">
        <v>826</v>
      </c>
      <c r="E192" s="13">
        <v>42739.713587962964</v>
      </c>
      <c r="F192" s="13">
        <v>42739.723194444443</v>
      </c>
      <c r="G192" s="7">
        <v>1</v>
      </c>
      <c r="H192" s="22" t="s">
        <v>376</v>
      </c>
      <c r="I192" s="13">
        <v>42739.733958333331</v>
      </c>
      <c r="J192" s="7">
        <v>0</v>
      </c>
      <c r="K192" s="105" t="str">
        <f>IF(ISEVEN(B192),(B192-1)&amp;"/"&amp;B192,B192&amp;"/"&amp;(B192+1))</f>
        <v>4011/4012</v>
      </c>
      <c r="L192" s="22" t="str">
        <f>VLOOKUP(A192,'Trips&amp;Operators'!$C$1:$G$99999,5,FALSE)</f>
        <v>BRUDER RICHARD</v>
      </c>
      <c r="M192" s="6">
        <f>I192-F192</f>
        <v>1.0763888887595385E-2</v>
      </c>
      <c r="N192" s="7">
        <f>24*60*SUM($M192:$M192)</f>
        <v>15.499999998137355</v>
      </c>
      <c r="O192" s="7"/>
      <c r="P192" s="7"/>
      <c r="Q192" s="23"/>
      <c r="R192" s="23"/>
      <c r="S192" s="32">
        <f>SUM(U192:U192)/IF(AG192="EC",12,1)</f>
        <v>1</v>
      </c>
      <c r="T192" s="47" t="str">
        <f>IF(ISEVEN(LEFT(AD192,4)),"Southbound","NorthBound")</f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hh:mm:ss")&amp;utc_offset&amp;"00',mode:absolute,to:'"&amp;TEXT(I192+1/24,"yyyy-MM-DD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https://search-rtdc-monitor-bjffxe2xuh6vdkpspy63sjmuny.us-east-1.es.amazonaws.com/_plugin/kibana/#/discover/Steve-Slow-Train-Analysis-(2080s-and-2083s)?_g=(refreshInterval:(display:Off,section:0,value:0),time:(from:'2017-01-04 16:07:34-700',mode:absolute,to:'2017-01-04 18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2" s="49" t="str">
        <f>IF(AA192&lt;IF(AG192="EC",23,5.65),"Y","N")</f>
        <v>N</v>
      </c>
      <c r="X192" s="173">
        <f>VALUE(LEFT(AD192,4))-VALUE(LEFT(AD191,4))</f>
        <v>1</v>
      </c>
      <c r="Y192" s="64">
        <f t="shared" si="17"/>
        <v>9.6699999999999994E-2</v>
      </c>
      <c r="Z192" s="64">
        <f t="shared" si="18"/>
        <v>5.8928000000000003</v>
      </c>
      <c r="AA192" s="64">
        <f>ABS(Z192-Y192)</f>
        <v>5.7961</v>
      </c>
      <c r="AB192" s="61" t="e">
        <f>VLOOKUP(A192,Enforcements!$C$7:$K$19,8,0)</f>
        <v>#N/A</v>
      </c>
      <c r="AC192" s="57" t="e">
        <f>VLOOKUP(A192,Enforcements!$C$7:$E$19,3,0)</f>
        <v>#N/A</v>
      </c>
      <c r="AD192" s="58" t="str">
        <f>IF(LEN(A192)=6,"0"&amp;A192,A192)</f>
        <v>0833-04</v>
      </c>
      <c r="AE192" s="8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192" s="84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/stypes="app*4011*20170105*" /stext=" 00:.+((SYSTEM_STATE.+slice.+state.+changed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88" t="str">
        <f t="shared" si="19"/>
        <v>"%USERPROFILE%\Documents\GitHub\eaglep3\Utilities\RefineRTDCRunTimes.py" --tripid 833-04 --locoid 4011 --swversion DE.1.0.8.0 --startMP 204:967 --initTime 2017-01-04T17:07:34 --startdatetime 2017-01-04T17:21:24 --delay 1 --endMP 300:58928 --enddatetime 2017-01-04T17:36:54 --enforcementcount 0 &gt;&gt;C:\Users\stu\Documents\GitHub\eaglep3-reporting\EC\2017-01-04-refined-times.txt</v>
      </c>
      <c r="AI192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{"issue":{"subject":"","project_id":79,"tracker_id":40,"status_id":1,"priority_id":2,"assigned_to_id":23,"start_date":"2017-01-04","description":"","custom_fields":[{"id":1,"name":"Subdivision","value":"NW"},{"id":4,"name":"Milepost","value":"5.8928"},{"id":17,"name":"Train ID","value":"833-04"},{"id":16,"name":"Locomotive ID","value":"4011"},{"id":130,"name":"Impact","value":""},{"id":150,"name":"Time of Event (Mountain Time)","value":"17:36:54"},{"id":151,"name":"Denver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21"/>
        <v>start /low /b %USERPROFILE%\Documents\GitHub\eaglep3\Utilities\DownloadLogsFromS3.py --loco 4011 --day 2017-01-04</v>
      </c>
    </row>
    <row r="193" spans="1:91" x14ac:dyDescent="0.25">
      <c r="A193" s="34" t="s">
        <v>631</v>
      </c>
      <c r="B193" s="7">
        <v>4012</v>
      </c>
      <c r="C193" s="22" t="s">
        <v>203</v>
      </c>
      <c r="D193" s="22" t="s">
        <v>382</v>
      </c>
      <c r="E193" s="13">
        <v>42739.735196759262</v>
      </c>
      <c r="F193" s="13">
        <v>42739.736875000002</v>
      </c>
      <c r="G193" s="7">
        <v>1</v>
      </c>
      <c r="H193" s="22" t="s">
        <v>805</v>
      </c>
      <c r="I193" s="13">
        <v>42739.747847222221</v>
      </c>
      <c r="J193" s="7">
        <v>0</v>
      </c>
      <c r="K193" s="105" t="str">
        <f>IF(ISEVEN(B193),(B193-1)&amp;"/"&amp;B193,B193&amp;"/"&amp;(B193+1))</f>
        <v>4011/4012</v>
      </c>
      <c r="L193" s="22" t="str">
        <f>VLOOKUP(A193,'Trips&amp;Operators'!$C$1:$G$99999,5,FALSE)</f>
        <v>BRUDER RICHARD</v>
      </c>
      <c r="M193" s="6">
        <f>I193-F193</f>
        <v>1.0972222218697425E-2</v>
      </c>
      <c r="N193" s="7">
        <f>24*60*SUM($M193:$M193)</f>
        <v>15.799999994924292</v>
      </c>
      <c r="O193" s="7"/>
      <c r="P193" s="7"/>
      <c r="Q193" s="23"/>
      <c r="R193" s="23"/>
      <c r="S193" s="32">
        <f>SUM(U193:U193)/IF(AG193="EC",12,1)</f>
        <v>1</v>
      </c>
      <c r="T193" s="47" t="str">
        <f>IF(ISEVEN(LEFT(AD193,4)),"Southbound","NorthBound")</f>
        <v>Southbound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hh:mm:ss")&amp;utc_offset&amp;"00',mode:absolute,to:'"&amp;TEXT(I193+1/24,"yyyy-MM-DD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https://search-rtdc-monitor-bjffxe2xuh6vdkpspy63sjmuny.us-east-1.es.amazonaws.com/_plugin/kibana/#/discover/Steve-Slow-Train-Analysis-(2080s-and-2083s)?_g=(refreshInterval:(display:Off,section:0,value:0),time:(from:'2017-01-04 16:38:41-700',mode:absolute,to:'2017-01-04 18:56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3" s="49" t="str">
        <f>IF(AA193&lt;IF(AG193="EC",23,5.65),"Y","N")</f>
        <v>N</v>
      </c>
      <c r="X193" s="173">
        <f>VALUE(LEFT(AD193,4))-VALUE(LEFT(AD192,4))</f>
        <v>1</v>
      </c>
      <c r="Y193" s="64">
        <f t="shared" si="17"/>
        <v>5.8615000000000004</v>
      </c>
      <c r="Z193" s="64">
        <f t="shared" si="18"/>
        <v>6.7100000000000007E-2</v>
      </c>
      <c r="AA193" s="64">
        <f>ABS(Z193-Y193)</f>
        <v>5.7944000000000004</v>
      </c>
      <c r="AB193" s="61" t="e">
        <f>VLOOKUP(A193,Enforcements!$C$7:$K$19,8,0)</f>
        <v>#N/A</v>
      </c>
      <c r="AC193" s="57" t="e">
        <f>VLOOKUP(A193,Enforcements!$C$7:$E$19,3,0)</f>
        <v>#N/A</v>
      </c>
      <c r="AD193" s="58" t="str">
        <f>IF(LEN(A193)=6,"0"&amp;A193,A193)</f>
        <v>0834-04</v>
      </c>
      <c r="AE193" s="8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93" s="84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/stypes="app*4012*20170105*" /stext=" 00:.+((SYSTEM_STATE.+slice.+state.+changed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88" t="str">
        <f t="shared" si="19"/>
        <v>"%USERPROFILE%\Documents\GitHub\eaglep3\Utilities\RefineRTDCRunTimes.py" --tripid 834-04 --locoid 4012 --swversion DE.1.0.8.0 --startMP 300:58615 --initTime 2017-01-04T17:38:41 --startdatetime 2017-01-04T17:41:06 --delay 1 --endMP 204:671 --enddatetime 2017-01-04T17:56:54 --enforcementcount 0 &gt;&gt;C:\Users\stu\Documents\GitHub\eaglep3-reporting\EC\2017-01-04-refined-times.txt</v>
      </c>
      <c r="AI193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{"issue":{"subject":"","project_id":79,"tracker_id":40,"status_id":1,"priority_id":2,"assigned_to_id":23,"start_date":"2017-01-04","description":"","custom_fields":[{"id":1,"name":"Subdivision","value":"NW"},{"id":4,"name":"Milepost","value":"0.0671"},{"id":17,"name":"Train ID","value":"834-04"},{"id":16,"name":"Locomotive ID","value":"4012"},{"id":130,"name":"Impact","value":""},{"id":150,"name":"Time of Event (Mountain Time)","value":"17:56:54"},{"id":151,"name":"Denver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21"/>
        <v>start /low /b %USERPROFILE%\Documents\GitHub\eaglep3\Utilities\DownloadLogsFromS3.py --loco 4012 --day 2017-01-04</v>
      </c>
    </row>
    <row r="194" spans="1:91" x14ac:dyDescent="0.25">
      <c r="A194" s="34" t="s">
        <v>632</v>
      </c>
      <c r="B194" s="7">
        <v>4007</v>
      </c>
      <c r="C194" s="22" t="s">
        <v>203</v>
      </c>
      <c r="D194" s="22" t="s">
        <v>825</v>
      </c>
      <c r="E194" s="13">
        <v>42739.741261574076</v>
      </c>
      <c r="F194" s="13">
        <v>42739.744039351855</v>
      </c>
      <c r="G194" s="7">
        <v>1</v>
      </c>
      <c r="H194" s="22" t="s">
        <v>827</v>
      </c>
      <c r="I194" s="13">
        <v>42739.755439814813</v>
      </c>
      <c r="J194" s="7">
        <v>0</v>
      </c>
      <c r="K194" s="105" t="str">
        <f>IF(ISEVEN(B194),(B194-1)&amp;"/"&amp;B194,B194&amp;"/"&amp;(B194+1))</f>
        <v>4007/4008</v>
      </c>
      <c r="L194" s="22" t="str">
        <f>VLOOKUP(A194,'Trips&amp;Operators'!$C$1:$G$99999,5,FALSE)</f>
        <v>CHANDLER KELVIN</v>
      </c>
      <c r="M194" s="6">
        <f>I194-F194</f>
        <v>1.1400462957681157E-2</v>
      </c>
      <c r="N194" s="7">
        <f>24*60*SUM($M194:$M194)</f>
        <v>16.416666659060866</v>
      </c>
      <c r="O194" s="7"/>
      <c r="P194" s="7"/>
      <c r="Q194" s="23"/>
      <c r="R194" s="23"/>
      <c r="S194" s="32">
        <f>SUM(U194:U194)/IF(AG194="EC",12,1)</f>
        <v>1</v>
      </c>
      <c r="T194" s="47" t="str">
        <f>IF(ISEVEN(LEFT(AD194,4)),"Southbound","NorthBound")</f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hh:mm:ss")&amp;utc_offset&amp;"00',mode:absolute,to:'"&amp;TEXT(I194+1/24,"yyyy-MM-DD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https://search-rtdc-monitor-bjffxe2xuh6vdkpspy63sjmuny.us-east-1.es.amazonaws.com/_plugin/kibana/#/discover/Steve-Slow-Train-Analysis-(2080s-and-2083s)?_g=(refreshInterval:(display:Off,section:0,value:0),time:(from:'2017-01-04 16:47:25-700',mode:absolute,to:'2017-01-04 19:07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4" s="49" t="str">
        <f>IF(AA194&lt;IF(AG194="EC",23,5.65),"Y","N")</f>
        <v>N</v>
      </c>
      <c r="X194" s="173">
        <f>VALUE(LEFT(AD194,4))-VALUE(LEFT(AD193,4))</f>
        <v>1</v>
      </c>
      <c r="Y194" s="64">
        <f t="shared" si="17"/>
        <v>9.1600000000000001E-2</v>
      </c>
      <c r="Z194" s="64">
        <f t="shared" si="18"/>
        <v>5.8952</v>
      </c>
      <c r="AA194" s="64">
        <f>ABS(Z194-Y194)</f>
        <v>5.8036000000000003</v>
      </c>
      <c r="AB194" s="61" t="e">
        <f>VLOOKUP(A194,Enforcements!$C$7:$K$19,8,0)</f>
        <v>#N/A</v>
      </c>
      <c r="AC194" s="57" t="e">
        <f>VLOOKUP(A194,Enforcements!$C$7:$E$19,3,0)</f>
        <v>#N/A</v>
      </c>
      <c r="AD194" s="58" t="str">
        <f>IF(LEN(A194)=6,"0"&amp;A194,A194)</f>
        <v>0835-04</v>
      </c>
      <c r="AE194" s="8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 &amp; 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</v>
      </c>
      <c r="AF194" s="84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/stypes="app*4007*20170105*" /stext=" 01:.+((SYSTEM_STATE.+slice.+state.+changed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88" t="str">
        <f t="shared" si="19"/>
        <v>"%USERPROFILE%\Documents\GitHub\eaglep3\Utilities\RefineRTDCRunTimes.py" --tripid 835-04 --locoid 4007 --swversion DE.1.0.8.0 --startMP 204:916 --initTime 2017-01-04T17:47:25 --startdatetime 2017-01-04T17:51:25 --delay 1 --endMP 300:58952 --enddatetime 2017-01-04T18:07:50 --enforcementcount 0 &gt;&gt;C:\Users\stu\Documents\GitHub\eaglep3-reporting\EC\2017-01-04-refined-times.txt</v>
      </c>
      <c r="AI194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{"issue":{"subject":"","project_id":79,"tracker_id":40,"status_id":1,"priority_id":2,"assigned_to_id":23,"start_date":"2017-01-04","description":"","custom_fields":[{"id":1,"name":"Subdivision","value":"NW"},{"id":4,"name":"Milepost","value":"5.8952"},{"id":17,"name":"Train ID","value":"835-04"},{"id":16,"name":"Locomotive ID","value":"4007"},{"id":130,"name":"Impact","value":""},{"id":150,"name":"Time of Event (Mountain Time)","value":"18:07:50"},{"id":151,"name":"Denver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21"/>
        <v>start /low /b %USERPROFILE%\Documents\GitHub\eaglep3\Utilities\DownloadLogsFromS3.py --loco 4007 --day 2017-01-04</v>
      </c>
    </row>
    <row r="195" spans="1:91" s="21" customFormat="1" x14ac:dyDescent="0.25">
      <c r="A195" s="34" t="s">
        <v>466</v>
      </c>
      <c r="B195" s="7">
        <v>4008</v>
      </c>
      <c r="C195" s="22" t="s">
        <v>203</v>
      </c>
      <c r="D195" s="22" t="s">
        <v>798</v>
      </c>
      <c r="E195" s="13">
        <v>42739.757326388892</v>
      </c>
      <c r="F195" s="13">
        <v>42739.758437500001</v>
      </c>
      <c r="G195" s="7">
        <v>1</v>
      </c>
      <c r="H195" s="22" t="s">
        <v>828</v>
      </c>
      <c r="I195" s="13">
        <v>42739.770821759259</v>
      </c>
      <c r="J195" s="7">
        <v>0</v>
      </c>
      <c r="K195" s="105" t="str">
        <f>IF(ISEVEN(B195),(B195-1)&amp;"/"&amp;B195,B195&amp;"/"&amp;(B195+1))</f>
        <v>4007/4008</v>
      </c>
      <c r="L195" s="22" t="str">
        <f>VLOOKUP(A195,'Trips&amp;Operators'!$C$1:$G$99999,5,FALSE)</f>
        <v>CHANDLER KELVIN</v>
      </c>
      <c r="M195" s="6">
        <f>I195-F195</f>
        <v>1.2384259258396924E-2</v>
      </c>
      <c r="N195" s="7">
        <f>24*60*SUM($M195:$M195)</f>
        <v>17.83333333209157</v>
      </c>
      <c r="O195" s="7"/>
      <c r="P195" s="7"/>
      <c r="Q195" s="23"/>
      <c r="R195" s="23"/>
      <c r="S195" s="32">
        <f>SUM(U195:U195)/IF(AG195="EC",12,1)</f>
        <v>1</v>
      </c>
      <c r="T195" s="47" t="str">
        <f>IF(ISEVEN(LEFT(AD195,4)),"Southbound","NorthBound")</f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hh:mm:ss")&amp;utc_offset&amp;"00',mode:absolute,to:'"&amp;TEXT(I195+1/24,"yyyy-MM-DD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https://search-rtdc-monitor-bjffxe2xuh6vdkpspy63sjmuny.us-east-1.es.amazonaws.com/_plugin/kibana/#/discover/Steve-Slow-Train-Analysis-(2080s-and-2083s)?_g=(refreshInterval:(display:Off,section:0,value:0),time:(from:'2017-01-04 17:10:33-700',mode:absolute,to:'2017-01-04 19:29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5" s="49" t="str">
        <f>IF(AA195&lt;IF(AG195="EC",23,5.65),"Y","N")</f>
        <v>N</v>
      </c>
      <c r="X195" s="173">
        <f>VALUE(LEFT(AD195,4))-VALUE(LEFT(AD194,4))</f>
        <v>1</v>
      </c>
      <c r="Y195" s="64">
        <f t="shared" si="17"/>
        <v>5.8635999999999999</v>
      </c>
      <c r="Z195" s="64">
        <f t="shared" si="18"/>
        <v>6.1400000000000003E-2</v>
      </c>
      <c r="AA195" s="64">
        <f>ABS(Z195-Y195)</f>
        <v>5.8022</v>
      </c>
      <c r="AB195" s="61" t="e">
        <f>VLOOKUP(A195,Enforcements!$C$7:$K$19,8,0)</f>
        <v>#N/A</v>
      </c>
      <c r="AC195" s="57" t="e">
        <f>VLOOKUP(A195,Enforcements!$C$7:$E$19,3,0)</f>
        <v>#N/A</v>
      </c>
      <c r="AD195" s="58" t="str">
        <f>IF(LEN(A195)=6,"0"&amp;A195,A195)</f>
        <v>0836-04</v>
      </c>
      <c r="AE195" s="8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 &amp; 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</v>
      </c>
      <c r="AF195" s="84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/stypes="app*4008*20170105*" /stext=" 01:.+((SYSTEM_STATE.+slice.+state.+changed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88" t="str">
        <f t="shared" si="19"/>
        <v>"%USERPROFILE%\Documents\GitHub\eaglep3\Utilities\RefineRTDCRunTimes.py" --tripid 836-04 --locoid 4008 --swversion DE.1.0.8.0 --startMP 300:58636 --initTime 2017-01-04T18:10:33 --startdatetime 2017-01-04T18:12:09 --delay 1 --endMP 204:614 --enddatetime 2017-01-04T18:29:59 --enforcementcount 0 &gt;&gt;C:\Users\stu\Documents\GitHub\eaglep3-reporting\EC\2017-01-04-refined-times.txt</v>
      </c>
      <c r="AI195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{"issue":{"subject":"","project_id":79,"tracker_id":40,"status_id":1,"priority_id":2,"assigned_to_id":23,"start_date":"2017-01-04","description":"","custom_fields":[{"id":1,"name":"Subdivision","value":"NW"},{"id":4,"name":"Milepost","value":"0.0614"},{"id":17,"name":"Train ID","value":"836-04"},{"id":16,"name":"Locomotive ID","value":"4008"},{"id":130,"name":"Impact","value":""},{"id":150,"name":"Time of Event (Mountain Time)","value":"18:29:59"},{"id":151,"name":"Denver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21"/>
        <v>start /low /b %USERPROFILE%\Documents\GitHub\eaglep3\Utilities\DownloadLogsFromS3.py --loco 4008 --day 2017-01-04</v>
      </c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638</v>
      </c>
      <c r="B196" s="7">
        <v>4011</v>
      </c>
      <c r="C196" s="22" t="s">
        <v>203</v>
      </c>
      <c r="D196" s="22" t="s">
        <v>802</v>
      </c>
      <c r="E196" s="13">
        <v>42739.758148148147</v>
      </c>
      <c r="F196" s="13">
        <v>42739.764780092592</v>
      </c>
      <c r="G196" s="7">
        <v>1</v>
      </c>
      <c r="H196" s="22" t="s">
        <v>824</v>
      </c>
      <c r="I196" s="13">
        <v>42739.77548611111</v>
      </c>
      <c r="J196" s="7">
        <v>0</v>
      </c>
      <c r="K196" s="105" t="str">
        <f>IF(ISEVEN(B196),(B196-1)&amp;"/"&amp;B196,B196&amp;"/"&amp;(B196+1))</f>
        <v>4011/4012</v>
      </c>
      <c r="L196" s="22" t="str">
        <f>VLOOKUP(A196,'Trips&amp;Operators'!$C$1:$G$99999,5,FALSE)</f>
        <v>BRUDER RICHARD</v>
      </c>
      <c r="M196" s="6">
        <f>I196-F196</f>
        <v>1.0706018518249039E-2</v>
      </c>
      <c r="N196" s="7">
        <f>24*60*SUM($M196:$M196)</f>
        <v>15.416666666278616</v>
      </c>
      <c r="O196" s="7"/>
      <c r="P196" s="7"/>
      <c r="Q196" s="23"/>
      <c r="R196" s="23"/>
      <c r="S196" s="32">
        <f>SUM(U196:U196)/IF(AG196="EC",12,1)</f>
        <v>1</v>
      </c>
      <c r="T196" s="47" t="str">
        <f>IF(ISEVEN(LEFT(AD196,4)),"Southbound","NorthBound")</f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hh:mm:ss")&amp;utc_offset&amp;"00',mode:absolute,to:'"&amp;TEXT(I196+1/24,"yyyy-MM-DD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https://search-rtdc-monitor-bjffxe2xuh6vdkpspy63sjmuny.us-east-1.es.amazonaws.com/_plugin/kibana/#/discover/Steve-Slow-Train-Analysis-(2080s-and-2083s)?_g=(refreshInterval:(display:Off,section:0,value:0),time:(from:'2017-01-04 17:11:44-700',mode:absolute,to:'2017-01-04 19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6" s="49" t="str">
        <f>IF(AA196&lt;IF(AG196="EC",23,5.65),"Y","N")</f>
        <v>N</v>
      </c>
      <c r="X196" s="173">
        <f>VALUE(LEFT(AD196,4))-VALUE(LEFT(AD195,4))</f>
        <v>1</v>
      </c>
      <c r="Y196" s="64">
        <f t="shared" si="17"/>
        <v>9.69E-2</v>
      </c>
      <c r="Z196" s="64">
        <f t="shared" si="18"/>
        <v>5.8933</v>
      </c>
      <c r="AA196" s="64">
        <f>ABS(Z196-Y196)</f>
        <v>5.7964000000000002</v>
      </c>
      <c r="AB196" s="61" t="e">
        <f>VLOOKUP(A196,Enforcements!$C$7:$K$19,8,0)</f>
        <v>#N/A</v>
      </c>
      <c r="AC196" s="57" t="e">
        <f>VLOOKUP(A196,Enforcements!$C$7:$E$19,3,0)</f>
        <v>#N/A</v>
      </c>
      <c r="AD196" s="58" t="str">
        <f>IF(LEN(A196)=6,"0"&amp;A196,A196)</f>
        <v>0837-04</v>
      </c>
      <c r="AE196" s="8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196" s="84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/stypes="app*4011*20170105*" /stext=" 01:.+((SYSTEM_STATE.+slice.+state.+changed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88" t="str">
        <f t="shared" si="19"/>
        <v>"%USERPROFILE%\Documents\GitHub\eaglep3\Utilities\RefineRTDCRunTimes.py" --tripid 837-04 --locoid 4011 --swversion DE.1.0.8.0 --startMP 204:969 --initTime 2017-01-04T18:11:44 --startdatetime 2017-01-04T18:21:17 --delay 1 --endMP 300:58933 --enddatetime 2017-01-04T18:36:42 --enforcementcount 0 &gt;&gt;C:\Users\stu\Documents\GitHub\eaglep3-reporting\EC\2017-01-04-refined-times.txt</v>
      </c>
      <c r="AI196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{"issue":{"subject":"","project_id":79,"tracker_id":40,"status_id":1,"priority_id":2,"assigned_to_id":23,"start_date":"2017-01-04","description":"","custom_fields":[{"id":1,"name":"Subdivision","value":"NW"},{"id":4,"name":"Milepost","value":"5.8933"},{"id":17,"name":"Train ID","value":"837-04"},{"id":16,"name":"Locomotive ID","value":"4011"},{"id":130,"name":"Impact","value":""},{"id":150,"name":"Time of Event (Mountain Time)","value":"18:36:42"},{"id":151,"name":"Denver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21"/>
        <v>start /low /b %USERPROFILE%\Documents\GitHub\eaglep3\Utilities\DownloadLogsFromS3.py --loco 4011 --day 2017-01-04</v>
      </c>
    </row>
    <row r="197" spans="1:91" s="21" customFormat="1" x14ac:dyDescent="0.25">
      <c r="A197" s="34" t="s">
        <v>649</v>
      </c>
      <c r="B197" s="7">
        <v>4012</v>
      </c>
      <c r="C197" s="22" t="s">
        <v>203</v>
      </c>
      <c r="D197" s="22" t="s">
        <v>330</v>
      </c>
      <c r="E197" s="13">
        <v>42739.776689814818</v>
      </c>
      <c r="F197" s="13">
        <v>42739.778773148151</v>
      </c>
      <c r="G197" s="7">
        <v>2</v>
      </c>
      <c r="H197" s="22" t="s">
        <v>829</v>
      </c>
      <c r="I197" s="13">
        <v>42739.790810185186</v>
      </c>
      <c r="J197" s="7">
        <v>0</v>
      </c>
      <c r="K197" s="105" t="str">
        <f>IF(ISEVEN(B197),(B197-1)&amp;"/"&amp;B197,B197&amp;"/"&amp;(B197+1))</f>
        <v>4011/4012</v>
      </c>
      <c r="L197" s="22" t="str">
        <f>VLOOKUP(A197,'Trips&amp;Operators'!$C$1:$G$99999,5,FALSE)</f>
        <v>BRUDER RICHARD</v>
      </c>
      <c r="M197" s="6">
        <f>I197-F197</f>
        <v>1.2037037035042886E-2</v>
      </c>
      <c r="N197" s="7">
        <f>24*60*SUM($M197:$M197)</f>
        <v>17.333333330461755</v>
      </c>
      <c r="O197" s="7"/>
      <c r="P197" s="7"/>
      <c r="Q197" s="23"/>
      <c r="R197" s="23"/>
      <c r="S197" s="32">
        <f>SUM(U197:U197)/IF(AG197="EC",12,1)</f>
        <v>1</v>
      </c>
      <c r="T197" s="47" t="str">
        <f>IF(ISEVEN(LEFT(AD197,4)),"Southbound","NorthBound")</f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hh:mm:ss")&amp;utc_offset&amp;"00',mode:absolute,to:'"&amp;TEXT(I197+1/24,"yyyy-MM-DD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https://search-rtdc-monitor-bjffxe2xuh6vdkpspy63sjmuny.us-east-1.es.amazonaws.com/_plugin/kibana/#/discover/Steve-Slow-Train-Analysis-(2080s-and-2083s)?_g=(refreshInterval:(display:Off,section:0,value:0),time:(from:'2017-01-04 17:38:26-700',mode:absolute,to:'2017-01-04 19:58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7" s="49" t="str">
        <f>IF(AA197&lt;IF(AG197="EC",23,5.65),"Y","N")</f>
        <v>N</v>
      </c>
      <c r="X197" s="173">
        <f>VALUE(LEFT(AD197,4))-VALUE(LEFT(AD196,4))</f>
        <v>1</v>
      </c>
      <c r="Y197" s="64">
        <f t="shared" si="17"/>
        <v>5.8620999999999999</v>
      </c>
      <c r="Z197" s="64">
        <f t="shared" si="18"/>
        <v>6.9599999999999995E-2</v>
      </c>
      <c r="AA197" s="64">
        <f>ABS(Z197-Y197)</f>
        <v>5.7924999999999995</v>
      </c>
      <c r="AB197" s="61" t="e">
        <f>VLOOKUP(A197,Enforcements!$C$7:$K$19,8,0)</f>
        <v>#N/A</v>
      </c>
      <c r="AC197" s="57" t="e">
        <f>VLOOKUP(A197,Enforcements!$C$7:$E$19,3,0)</f>
        <v>#N/A</v>
      </c>
      <c r="AD197" s="58" t="str">
        <f>IF(LEN(A197)=6,"0"&amp;A197,A197)</f>
        <v>0838-04</v>
      </c>
      <c r="AE197" s="8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97" s="84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/stypes="app*4012*20170105*" /stext=" 01:.+((SYSTEM_STATE.+slice.+state.+changed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88" t="str">
        <f t="shared" si="19"/>
        <v>"%USERPROFILE%\Documents\GitHub\eaglep3\Utilities\RefineRTDCRunTimes.py" --tripid 838-04 --locoid 4012 --swversion DE.1.0.8.0 --startMP 300:58621 --initTime 2017-01-04T18:38:26 --startdatetime 2017-01-04T18:41:26 --delay 2 --endMP 204:696 --enddatetime 2017-01-04T18:58:46 --enforcementcount 0 &gt;&gt;C:\Users\stu\Documents\GitHub\eaglep3-reporting\EC\2017-01-04-refined-times.txt</v>
      </c>
      <c r="AI197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{"issue":{"subject":"","project_id":79,"tracker_id":40,"status_id":1,"priority_id":2,"assigned_to_id":23,"start_date":"2017-01-04","description":"","custom_fields":[{"id":1,"name":"Subdivision","value":"NW"},{"id":4,"name":"Milepost","value":"0.0696"},{"id":17,"name":"Train ID","value":"838-04"},{"id":16,"name":"Locomotive ID","value":"4012"},{"id":130,"name":"Impact","value":""},{"id":150,"name":"Time of Event (Mountain Time)","value":"18:58:46"},{"id":151,"name":"Denver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21"/>
        <v>start /low /b %USERPROFILE%\Documents\GitHub\eaglep3\Utilities\DownloadLogsFromS3.py --loco 4012 --day 2017-01-04</v>
      </c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4" t="s">
        <v>467</v>
      </c>
      <c r="B198" s="7">
        <v>4007</v>
      </c>
      <c r="C198" s="22" t="s">
        <v>203</v>
      </c>
      <c r="D198" s="22" t="s">
        <v>830</v>
      </c>
      <c r="E198" s="13">
        <v>42739.781365740739</v>
      </c>
      <c r="F198" s="13">
        <v>42739.785682870373</v>
      </c>
      <c r="G198" s="7">
        <v>1</v>
      </c>
      <c r="H198" s="22" t="s">
        <v>831</v>
      </c>
      <c r="I198" s="13">
        <v>42739.796875</v>
      </c>
      <c r="J198" s="7">
        <v>0</v>
      </c>
      <c r="K198" s="105" t="str">
        <f>IF(ISEVEN(B198),(B198-1)&amp;"/"&amp;B198,B198&amp;"/"&amp;(B198+1))</f>
        <v>4007/4008</v>
      </c>
      <c r="L198" s="22" t="str">
        <f>VLOOKUP(A198,'Trips&amp;Operators'!$C$1:$G$99999,5,FALSE)</f>
        <v>CHANDLER KELVIN</v>
      </c>
      <c r="M198" s="6">
        <f>I198-F198</f>
        <v>1.1192129626579117E-2</v>
      </c>
      <c r="N198" s="7">
        <f>24*60*SUM($M198:$M198)</f>
        <v>16.116666662273929</v>
      </c>
      <c r="O198" s="7"/>
      <c r="P198" s="7"/>
      <c r="Q198" s="23"/>
      <c r="R198" s="23"/>
      <c r="S198" s="32">
        <f>SUM(U198:U198)/IF(AG198="EC",12,1)</f>
        <v>1</v>
      </c>
      <c r="T198" s="47" t="str">
        <f>IF(ISEVEN(LEFT(AD198,4)),"Southbound","NorthBound")</f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hh:mm:ss")&amp;utc_offset&amp;"00',mode:absolute,to:'"&amp;TEXT(I198+1/24,"yyyy-MM-DD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https://search-rtdc-monitor-bjffxe2xuh6vdkpspy63sjmuny.us-east-1.es.amazonaws.com/_plugin/kibana/#/discover/Steve-Slow-Train-Analysis-(2080s-and-2083s)?_g=(refreshInterval:(display:Off,section:0,value:0),time:(from:'2017-01-04 17:45:10-700',mode:absolute,to:'2017-01-04 20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8" s="49" t="str">
        <f>IF(AA198&lt;IF(AG198="EC",23,5.65),"Y","N")</f>
        <v>N</v>
      </c>
      <c r="X198" s="173">
        <f>VALUE(LEFT(AD198,4))-VALUE(LEFT(AD197,4))</f>
        <v>1</v>
      </c>
      <c r="Y198" s="64">
        <f t="shared" si="17"/>
        <v>9.1999999999999998E-2</v>
      </c>
      <c r="Z198" s="64">
        <f t="shared" si="18"/>
        <v>5.8910999999999998</v>
      </c>
      <c r="AA198" s="64">
        <f>ABS(Z198-Y198)</f>
        <v>5.7991000000000001</v>
      </c>
      <c r="AB198" s="61" t="e">
        <f>VLOOKUP(A198,Enforcements!$C$7:$K$19,8,0)</f>
        <v>#N/A</v>
      </c>
      <c r="AC198" s="57" t="e">
        <f>VLOOKUP(A198,Enforcements!$C$7:$E$19,3,0)</f>
        <v>#N/A</v>
      </c>
      <c r="AD198" s="58" t="str">
        <f>IF(LEN(A198)=6,"0"&amp;A198,A198)</f>
        <v>0839-04</v>
      </c>
      <c r="AE198" s="8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 &amp; 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</v>
      </c>
      <c r="AF198" s="84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/stypes="app*4007*20170105*" /stext=" 02:.+((SYSTEM_STATE.+slice.+state.+changed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88" t="str">
        <f t="shared" si="19"/>
        <v>"%USERPROFILE%\Documents\GitHub\eaglep3\Utilities\RefineRTDCRunTimes.py" --tripid 839-04 --locoid 4007 --swversion DE.1.0.8.0 --startMP 204:920 --initTime 2017-01-04T18:45:10 --startdatetime 2017-01-04T18:51:23 --delay 1 --endMP 300:58911 --enddatetime 2017-01-04T19:07:30 --enforcementcount 0 &gt;&gt;C:\Users\stu\Documents\GitHub\eaglep3-reporting\EC\2017-01-04-refined-times.txt</v>
      </c>
      <c r="AI198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{"issue":{"subject":"","project_id":79,"tracker_id":40,"status_id":1,"priority_id":2,"assigned_to_id":23,"start_date":"2017-01-04","description":"","custom_fields":[{"id":1,"name":"Subdivision","value":"NW"},{"id":4,"name":"Milepost","value":"5.8911"},{"id":17,"name":"Train ID","value":"839-04"},{"id":16,"name":"Locomotive ID","value":"4007"},{"id":130,"name":"Impact","value":""},{"id":150,"name":"Time of Event (Mountain Time)","value":"19:07:30"},{"id":151,"name":"Denver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21"/>
        <v>start /low /b %USERPROFILE%\Documents\GitHub\eaglep3\Utilities\DownloadLogsFromS3.py --loco 4007 --day 2017-01-04</v>
      </c>
    </row>
    <row r="199" spans="1:91" x14ac:dyDescent="0.25">
      <c r="A199" s="34" t="s">
        <v>659</v>
      </c>
      <c r="B199" s="7">
        <v>4012</v>
      </c>
      <c r="C199" s="22" t="s">
        <v>203</v>
      </c>
      <c r="D199" s="22" t="s">
        <v>379</v>
      </c>
      <c r="E199" s="13">
        <v>42739.818101851852</v>
      </c>
      <c r="F199" s="13">
        <v>42739.819907407407</v>
      </c>
      <c r="G199" s="7">
        <v>1</v>
      </c>
      <c r="H199" s="22" t="s">
        <v>812</v>
      </c>
      <c r="I199" s="13">
        <v>42739.830763888887</v>
      </c>
      <c r="J199" s="7">
        <v>0</v>
      </c>
      <c r="K199" s="105" t="str">
        <f>IF(ISEVEN(B199),(B199-1)&amp;"/"&amp;B199,B199&amp;"/"&amp;(B199+1))</f>
        <v>4011/4012</v>
      </c>
      <c r="L199" s="22" t="str">
        <f>VLOOKUP(A199,'Trips&amp;Operators'!$C$1:$G$99999,5,FALSE)</f>
        <v>BRUDER RICHARD</v>
      </c>
      <c r="M199" s="6">
        <f>I199-F199</f>
        <v>1.0856481480004732E-2</v>
      </c>
      <c r="N199" s="7">
        <f>24*60*SUM($M199:$M199)</f>
        <v>15.633333331206813</v>
      </c>
      <c r="O199" s="7"/>
      <c r="P199" s="7"/>
      <c r="Q199" s="23"/>
      <c r="R199" s="23"/>
      <c r="S199" s="32">
        <f>SUM(U199:U199)/IF(AG199="EC",12,1)</f>
        <v>1</v>
      </c>
      <c r="T199" s="47" t="str">
        <f>IF(ISEVEN(LEFT(AD199,4)),"Southbound","NorthBound")</f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hh:mm:ss")&amp;utc_offset&amp;"00',mode:absolute,to:'"&amp;TEXT(I199+1/24,"yyyy-MM-DD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https://search-rtdc-monitor-bjffxe2xuh6vdkpspy63sjmuny.us-east-1.es.amazonaws.com/_plugin/kibana/#/discover/Steve-Slow-Train-Analysis-(2080s-and-2083s)?_g=(refreshInterval:(display:Off,section:0,value:0),time:(from:'2017-01-04 18:38:04-700',mode:absolute,to:'2017-01-04 20:56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9" s="49" t="str">
        <f>IF(AA199&lt;IF(AG199="EC",23,5.65),"Y","N")</f>
        <v>N</v>
      </c>
      <c r="X199" s="173">
        <f>VALUE(LEFT(AD199,4))-VALUE(LEFT(AD198,4))</f>
        <v>1</v>
      </c>
      <c r="Y199" s="64">
        <f t="shared" si="17"/>
        <v>5.8613</v>
      </c>
      <c r="Z199" s="64">
        <f t="shared" si="18"/>
        <v>6.8199999999999997E-2</v>
      </c>
      <c r="AA199" s="64">
        <f>ABS(Z199-Y199)</f>
        <v>5.7930999999999999</v>
      </c>
      <c r="AB199" s="61" t="e">
        <f>VLOOKUP(A199,Enforcements!$C$7:$K$19,8,0)</f>
        <v>#N/A</v>
      </c>
      <c r="AC199" s="57" t="e">
        <f>VLOOKUP(A199,Enforcements!$C$7:$E$19,3,0)</f>
        <v>#N/A</v>
      </c>
      <c r="AD199" s="58" t="str">
        <f>IF(LEN(A199)=6,"0"&amp;A199,A199)</f>
        <v>0840-04</v>
      </c>
      <c r="AE199" s="8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199" s="84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/stypes="app*4012*20170105*" /stext=" 02:.+((SYSTEM_STATE.+slice.+state.+changed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88" t="str">
        <f t="shared" si="19"/>
        <v>"%USERPROFILE%\Documents\GitHub\eaglep3\Utilities\RefineRTDCRunTimes.py" --tripid 840-04 --locoid 4012 --swversion DE.1.0.8.0 --startMP 300:58613 --initTime 2017-01-04T19:38:04 --startdatetime 2017-01-04T19:40:40 --delay 1 --endMP 204:682 --enddatetime 2017-01-04T19:56:18 --enforcementcount 0 &gt;&gt;C:\Users\stu\Documents\GitHub\eaglep3-reporting\EC\2017-01-04-refined-times.txt</v>
      </c>
      <c r="AI199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{"issue":{"subject":"","project_id":79,"tracker_id":40,"status_id":1,"priority_id":2,"assigned_to_id":23,"start_date":"2017-01-04","description":"","custom_fields":[{"id":1,"name":"Subdivision","value":"NW"},{"id":4,"name":"Milepost","value":"0.0682"},{"id":17,"name":"Train ID","value":"840-04"},{"id":16,"name":"Locomotive ID","value":"4012"},{"id":130,"name":"Impact","value":""},{"id":150,"name":"Time of Event (Mountain Time)","value":"19:56:18"},{"id":151,"name":"Denver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21"/>
        <v>start /low /b %USERPROFILE%\Documents\GitHub\eaglep3\Utilities\DownloadLogsFromS3.py --loco 4012 --day 2017-01-04</v>
      </c>
    </row>
    <row r="200" spans="1:91" x14ac:dyDescent="0.25">
      <c r="A200" s="34" t="s">
        <v>654</v>
      </c>
      <c r="B200" s="7">
        <v>4011</v>
      </c>
      <c r="C200" s="22" t="s">
        <v>203</v>
      </c>
      <c r="D200" s="22" t="s">
        <v>794</v>
      </c>
      <c r="E200" s="13">
        <v>42739.798807870371</v>
      </c>
      <c r="F200" s="13">
        <v>42739.806446759256</v>
      </c>
      <c r="G200" s="7">
        <v>1</v>
      </c>
      <c r="H200" s="22" t="s">
        <v>305</v>
      </c>
      <c r="I200" s="13">
        <v>42739.816805555558</v>
      </c>
      <c r="J200" s="7">
        <v>0</v>
      </c>
      <c r="K200" s="105" t="str">
        <f>IF(ISEVEN(B200),(B200-1)&amp;"/"&amp;B200,B200&amp;"/"&amp;(B200+1))</f>
        <v>4011/4012</v>
      </c>
      <c r="L200" s="22" t="str">
        <f>VLOOKUP(A200,'Trips&amp;Operators'!$C$1:$G$99999,5,FALSE)</f>
        <v>BRUDER RICHARD</v>
      </c>
      <c r="M200" s="6">
        <f>I200-F200</f>
        <v>1.0358796302170958E-2</v>
      </c>
      <c r="N200" s="7">
        <f>24*60*SUM($M200:$M200)</f>
        <v>14.91666667512618</v>
      </c>
      <c r="O200" s="7"/>
      <c r="P200" s="7"/>
      <c r="Q200" s="23"/>
      <c r="R200" s="23"/>
      <c r="S200" s="32">
        <f>SUM(U200:U200)/IF(AG200="EC",12,1)</f>
        <v>1</v>
      </c>
      <c r="T200" s="47" t="str">
        <f>IF(ISEVEN(LEFT(AD200,4)),"Southbound","NorthBound")</f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https://search-rtdc-monitor-bjffxe2xuh6vdkpspy63sjmuny.us-east-1.es.amazonaws.com/_plugin/kibana/#/discover/Steve-Slow-Train-Analysis-(2080s-and-2083s)?_g=(refreshInterval:(display:Off,section:0,value:0),time:(from:'2017-01-04 18:10:17-700',mode:absolute,to:'2017-01-04 20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0" s="49" t="str">
        <f>IF(AA200&lt;IF(AG200="EC",23,5.65),"Y","N")</f>
        <v>N</v>
      </c>
      <c r="X200" s="173">
        <f>VALUE(LEFT(AD200,4))-VALUE(LEFT(AD199,4))</f>
        <v>1</v>
      </c>
      <c r="Y200" s="64">
        <f t="shared" si="17"/>
        <v>9.74E-2</v>
      </c>
      <c r="Z200" s="64">
        <f t="shared" si="18"/>
        <v>5.8930999999999996</v>
      </c>
      <c r="AA200" s="64">
        <f>ABS(Z200-Y200)</f>
        <v>5.7956999999999992</v>
      </c>
      <c r="AB200" s="61" t="e">
        <f>VLOOKUP(A200,Enforcements!$C$7:$K$19,8,0)</f>
        <v>#N/A</v>
      </c>
      <c r="AC200" s="57" t="e">
        <f>VLOOKUP(A200,Enforcements!$C$7:$E$19,3,0)</f>
        <v>#N/A</v>
      </c>
      <c r="AD200" s="58" t="str">
        <f>IF(LEN(A200)=6,"0"&amp;A200,A200)</f>
        <v>0841-04</v>
      </c>
      <c r="AE200" s="8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200" s="84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/stypes="app*4011*20170105*" /stext=" 02:.+((SYSTEM_STATE.+slice.+state.+changed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88" t="str">
        <f t="shared" si="19"/>
        <v>"%USERPROFILE%\Documents\GitHub\eaglep3\Utilities\RefineRTDCRunTimes.py" --tripid 841-04 --locoid 4011 --swversion DE.1.0.8.0 --startMP 204:974 --initTime 2017-01-04T19:10:17 --startdatetime 2017-01-04T19:21:17 --delay 1 --endMP 300:58931 --enddatetime 2017-01-04T19:36:12 --enforcementcount 0 &gt;&gt;C:\Users\stu\Documents\GitHub\eaglep3-reporting\EC\2017-01-04-refined-times.txt</v>
      </c>
      <c r="AI200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{"issue":{"subject":"","project_id":79,"tracker_id":40,"status_id":1,"priority_id":2,"assigned_to_id":23,"start_date":"2017-01-04","description":"","custom_fields":[{"id":1,"name":"Subdivision","value":"NW"},{"id":4,"name":"Milepost","value":"5.8931"},{"id":17,"name":"Train ID","value":"841-04"},{"id":16,"name":"Locomotive ID","value":"4011"},{"id":130,"name":"Impact","value":""},{"id":150,"name":"Time of Event (Mountain Time)","value":"19:36:12"},{"id":151,"name":"Denver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21"/>
        <v>start /low /b %USERPROFILE%\Documents\GitHub\eaglep3\Utilities\DownloadLogsFromS3.py --loco 4011 --day 2017-01-04</v>
      </c>
    </row>
    <row r="201" spans="1:91" x14ac:dyDescent="0.25">
      <c r="A201" s="34" t="s">
        <v>664</v>
      </c>
      <c r="B201" s="7">
        <v>4012</v>
      </c>
      <c r="C201" s="22" t="s">
        <v>203</v>
      </c>
      <c r="D201" s="22" t="s">
        <v>382</v>
      </c>
      <c r="E201" s="13">
        <v>42739.86041666667</v>
      </c>
      <c r="F201" s="13">
        <v>42739.861932870372</v>
      </c>
      <c r="G201" s="7">
        <v>1</v>
      </c>
      <c r="H201" s="22" t="s">
        <v>815</v>
      </c>
      <c r="I201" s="13">
        <v>42739.872685185182</v>
      </c>
      <c r="J201" s="7">
        <v>0</v>
      </c>
      <c r="K201" s="105" t="str">
        <f>IF(ISEVEN(B201),(B201-1)&amp;"/"&amp;B201,B201&amp;"/"&amp;(B201+1))</f>
        <v>4011/4012</v>
      </c>
      <c r="L201" s="22" t="str">
        <f>VLOOKUP(A201,'Trips&amp;Operators'!$C$1:$G$99999,5,FALSE)</f>
        <v>BRUDER RICHARD</v>
      </c>
      <c r="M201" s="6">
        <f>I201-F201</f>
        <v>1.0752314810815733E-2</v>
      </c>
      <c r="N201" s="7">
        <f>24*60*SUM($M201:$M201)</f>
        <v>15.483333327574655</v>
      </c>
      <c r="O201" s="7"/>
      <c r="P201" s="7"/>
      <c r="Q201" s="23"/>
      <c r="R201" s="23"/>
      <c r="S201" s="32">
        <f>SUM(U201:U201)/IF(AG201="EC",12,1)</f>
        <v>1</v>
      </c>
      <c r="T201" s="47" t="str">
        <f>IF(ISEVEN(LEFT(AD201,4)),"Southbound","NorthBound")</f>
        <v>Southbound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hh:mm:ss")&amp;utc_offset&amp;"00',mode:absolute,to:'"&amp;TEXT(I201+1/24,"yyyy-MM-DD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https://search-rtdc-monitor-bjffxe2xuh6vdkpspy63sjmuny.us-east-1.es.amazonaws.com/_plugin/kibana/#/discover/Steve-Slow-Train-Analysis-(2080s-and-2083s)?_g=(refreshInterval:(display:Off,section:0,value:0),time:(from:'2017-01-04 19:39:00-700',mode:absolute,to:'2017-01-04 21:56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1" s="49" t="str">
        <f>IF(AA201&lt;IF(AG201="EC",23,5.65),"Y","N")</f>
        <v>N</v>
      </c>
      <c r="X201" s="173">
        <f>VALUE(LEFT(AD201,4))-VALUE(LEFT(AD200,4))</f>
        <v>1</v>
      </c>
      <c r="Y201" s="64">
        <f t="shared" si="17"/>
        <v>5.8615000000000004</v>
      </c>
      <c r="Z201" s="64">
        <f t="shared" si="18"/>
        <v>6.6299999999999998E-2</v>
      </c>
      <c r="AA201" s="64">
        <f>ABS(Z201-Y201)</f>
        <v>5.7952000000000004</v>
      </c>
      <c r="AB201" s="61" t="e">
        <f>VLOOKUP(A201,Enforcements!$C$7:$K$19,8,0)</f>
        <v>#N/A</v>
      </c>
      <c r="AC201" s="57" t="e">
        <f>VLOOKUP(A201,Enforcements!$C$7:$E$19,3,0)</f>
        <v>#N/A</v>
      </c>
      <c r="AD201" s="58" t="str">
        <f>IF(LEN(A201)=6,"0"&amp;A201,A201)</f>
        <v>0842-04</v>
      </c>
      <c r="AE201" s="8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201" s="84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/stypes="app*4012*20170105*" /stext=" 03:.+((SYSTEM_STATE.+slice.+state.+changed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88" t="str">
        <f t="shared" si="19"/>
        <v>"%USERPROFILE%\Documents\GitHub\eaglep3\Utilities\RefineRTDCRunTimes.py" --tripid 842-04 --locoid 4012 --swversion DE.1.0.8.0 --startMP 300:58615 --initTime 2017-01-04T20:39:00 --startdatetime 2017-01-04T20:41:11 --delay 1 --endMP 204:663 --enddatetime 2017-01-04T20:56:40 --enforcementcount 0 &gt;&gt;C:\Users\stu\Documents\GitHub\eaglep3-reporting\EC\2017-01-04-refined-times.txt</v>
      </c>
      <c r="AI201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{"issue":{"subject":"","project_id":79,"tracker_id":40,"status_id":1,"priority_id":2,"assigned_to_id":23,"start_date":"2017-01-04","description":"","custom_fields":[{"id":1,"name":"Subdivision","value":"NW"},{"id":4,"name":"Milepost","value":"0.0663"},{"id":17,"name":"Train ID","value":"842-04"},{"id":16,"name":"Locomotive ID","value":"4012"},{"id":130,"name":"Impact","value":""},{"id":150,"name":"Time of Event (Mountain Time)","value":"20:56:40"},{"id":151,"name":"Denver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21"/>
        <v>start /low /b %USERPROFILE%\Documents\GitHub\eaglep3\Utilities\DownloadLogsFromS3.py --loco 4012 --day 2017-01-04</v>
      </c>
    </row>
    <row r="202" spans="1:91" x14ac:dyDescent="0.25">
      <c r="A202" s="34" t="s">
        <v>662</v>
      </c>
      <c r="B202" s="7">
        <v>4011</v>
      </c>
      <c r="C202" s="22" t="s">
        <v>203</v>
      </c>
      <c r="D202" s="22" t="s">
        <v>802</v>
      </c>
      <c r="E202" s="13">
        <v>42739.840046296296</v>
      </c>
      <c r="F202" s="13">
        <v>42739.84820601852</v>
      </c>
      <c r="G202" s="7">
        <v>1</v>
      </c>
      <c r="H202" s="22" t="s">
        <v>822</v>
      </c>
      <c r="I202" s="13">
        <v>42739.859398148146</v>
      </c>
      <c r="J202" s="7">
        <v>0</v>
      </c>
      <c r="K202" s="105" t="str">
        <f>IF(ISEVEN(B202),(B202-1)&amp;"/"&amp;B202,B202&amp;"/"&amp;(B202+1))</f>
        <v>4011/4012</v>
      </c>
      <c r="L202" s="22" t="str">
        <f>VLOOKUP(A202,'Trips&amp;Operators'!$C$1:$G$99999,5,FALSE)</f>
        <v>BRUDER RICHARD</v>
      </c>
      <c r="M202" s="6">
        <f>I202-F202</f>
        <v>1.1192129626579117E-2</v>
      </c>
      <c r="N202" s="7">
        <f>24*60*SUM($M202:$M202)</f>
        <v>16.116666662273929</v>
      </c>
      <c r="O202" s="7"/>
      <c r="P202" s="7"/>
      <c r="Q202" s="23"/>
      <c r="R202" s="23" t="s">
        <v>970</v>
      </c>
      <c r="S202" s="32">
        <f>SUM(U202:U202)/IF(AG202="EC",12,1)</f>
        <v>1</v>
      </c>
      <c r="T202" s="47" t="str">
        <f>IF(ISEVEN(LEFT(AD202,4)),"Southbound","NorthBound")</f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https://search-rtdc-monitor-bjffxe2xuh6vdkpspy63sjmuny.us-east-1.es.amazonaws.com/_plugin/kibana/#/discover/Steve-Slow-Train-Analysis-(2080s-and-2083s)?_g=(refreshInterval:(display:Off,section:0,value:0),time:(from:'2017-01-04 19:09:40-700',mode:absolute,to:'2017-01-04 21:37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2" s="49" t="str">
        <f>IF(AA202&lt;IF(AG202="EC",23,5.65),"Y","N")</f>
        <v>N</v>
      </c>
      <c r="X202" s="173">
        <f>VALUE(LEFT(AD202,4))-VALUE(LEFT(AD201,4))</f>
        <v>1</v>
      </c>
      <c r="Y202" s="64">
        <f t="shared" si="17"/>
        <v>9.69E-2</v>
      </c>
      <c r="Z202" s="64">
        <f t="shared" si="18"/>
        <v>5.8925999999999998</v>
      </c>
      <c r="AA202" s="64">
        <f>ABS(Z202-Y202)</f>
        <v>5.7957000000000001</v>
      </c>
      <c r="AB202" s="61" t="e">
        <f>VLOOKUP(A202,Enforcements!$C$7:$K$19,8,0)</f>
        <v>#N/A</v>
      </c>
      <c r="AC202" s="57" t="e">
        <f>VLOOKUP(A202,Enforcements!$C$7:$E$19,3,0)</f>
        <v>#N/A</v>
      </c>
      <c r="AD202" s="58" t="str">
        <f>IF(LEN(A202)=6,"0"&amp;A202,A202)</f>
        <v>0843-04</v>
      </c>
      <c r="AE202" s="8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202" s="84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/stypes="app*4011*20170105*" /stext=" 03:.+((SYSTEM_STATE.+slice.+state.+changed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88" t="str">
        <f t="shared" si="19"/>
        <v>"%USERPROFILE%\Documents\GitHub\eaglep3\Utilities\RefineRTDCRunTimes.py" --tripid 843-04 --locoid 4011 --swversion DE.1.0.8.0 --startMP 204:969 --initTime 2017-01-04T20:09:40 --startdatetime 2017-01-04T20:21:25 --delay 1 --endMP 300:58926 --enddatetime 2017-01-04T20:37:32 --enforcementcount 0 &gt;&gt;C:\Users\stu\Documents\GitHub\eaglep3-reporting\EC\2017-01-04-refined-times.txt</v>
      </c>
      <c r="AI202" s="115" t="str">
        <f t="shared" si="20"/>
        <v>echo {"issue":{"subject":"Onboard slice vote out blanked screen, did not affect the run","project_id":79,"tracker_id":40,"status_id":1,"priority_id":2,"assigned_to_id":23,"start_date":"2017-01-04","description":"","custom_fields":[{"id":1,"name":"Subdivision","value":"NW"},{"id":4,"name":"Milepost","value":"5.8926"},{"id":17,"name":"Train ID","value":"843-04"},{"id":16,"name":"Locomotive ID","value":"4011"},{"id":130,"name":"Impact","value":""},{"id":150,"name":"Time of Event (Mountain Time)","value":"20:37:32"},{"id":151,"name":"Denver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21"/>
        <v>start /low /b %USERPROFILE%\Documents\GitHub\eaglep3\Utilities\DownloadLogsFromS3.py --loco 4011 --day 2017-01-04</v>
      </c>
    </row>
    <row r="203" spans="1:91" x14ac:dyDescent="0.25">
      <c r="A203" s="34" t="s">
        <v>472</v>
      </c>
      <c r="B203" s="7">
        <v>4012</v>
      </c>
      <c r="C203" s="22" t="s">
        <v>203</v>
      </c>
      <c r="D203" s="22" t="s">
        <v>381</v>
      </c>
      <c r="E203" s="13">
        <v>42739.903287037036</v>
      </c>
      <c r="F203" s="13">
        <v>42739.904293981483</v>
      </c>
      <c r="G203" s="7">
        <v>1</v>
      </c>
      <c r="H203" s="22" t="s">
        <v>833</v>
      </c>
      <c r="I203" s="13">
        <v>42739.915162037039</v>
      </c>
      <c r="J203" s="7">
        <v>0</v>
      </c>
      <c r="K203" s="105" t="str">
        <f>IF(ISEVEN(B203),(B203-1)&amp;"/"&amp;B203,B203&amp;"/"&amp;(B203+1))</f>
        <v>4011/4012</v>
      </c>
      <c r="L203" s="22" t="str">
        <f>VLOOKUP(A203,'Trips&amp;Operators'!$C$1:$G$99999,5,FALSE)</f>
        <v>CHANDLER KELVIN</v>
      </c>
      <c r="M203" s="6">
        <f>I203-F203</f>
        <v>1.0868055556784384E-2</v>
      </c>
      <c r="N203" s="7">
        <f>24*60*SUM($M203:$M203)</f>
        <v>15.650000001769513</v>
      </c>
      <c r="O203" s="7"/>
      <c r="P203" s="7"/>
      <c r="Q203" s="23"/>
      <c r="R203" s="23"/>
      <c r="S203" s="32">
        <f>SUM(U203:U203)/IF(AG203="EC",12,1)</f>
        <v>1</v>
      </c>
      <c r="T203" s="47" t="str">
        <f>IF(ISEVEN(LEFT(AD203,4)),"Southbound","NorthBound")</f>
        <v>Southbound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https://search-rtdc-monitor-bjffxe2xuh6vdkpspy63sjmuny.us-east-1.es.amazonaws.com/_plugin/kibana/#/discover/Steve-Slow-Train-Analysis-(2080s-and-2083s)?_g=(refreshInterval:(display:Off,section:0,value:0),time:(from:'2017-01-04 20:40:44-700',mode:absolute,to:'2017-01-04 22:57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3" s="49" t="str">
        <f>IF(AA203&lt;IF(AG203="EC",23,5.65),"Y","N")</f>
        <v>N</v>
      </c>
      <c r="X203" s="173">
        <f>VALUE(LEFT(AD203,4))-VALUE(LEFT(AD202,4))</f>
        <v>1</v>
      </c>
      <c r="Y203" s="64">
        <f t="shared" si="17"/>
        <v>5.8604000000000003</v>
      </c>
      <c r="Z203" s="64">
        <f t="shared" si="18"/>
        <v>6.4000000000000001E-2</v>
      </c>
      <c r="AA203" s="64">
        <f>ABS(Z203-Y203)</f>
        <v>5.7964000000000002</v>
      </c>
      <c r="AB203" s="61" t="e">
        <f>VLOOKUP(A203,Enforcements!$C$7:$K$19,8,0)</f>
        <v>#N/A</v>
      </c>
      <c r="AC203" s="57" t="e">
        <f>VLOOKUP(A203,Enforcements!$C$7:$E$19,3,0)</f>
        <v>#N/A</v>
      </c>
      <c r="AD203" s="58" t="str">
        <f>IF(LEN(A203)=6,"0"&amp;A203,A203)</f>
        <v>0844-04</v>
      </c>
      <c r="AE203" s="8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203" s="84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/stypes="app*4012*20170105*" /stext=" 04:.+((SYSTEM_STATE.+slice.+state.+changed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88" t="str">
        <f t="shared" si="19"/>
        <v>"%USERPROFILE%\Documents\GitHub\eaglep3\Utilities\RefineRTDCRunTimes.py" --tripid 844-04 --locoid 4012 --swversion DE.1.0.8.0 --startMP 300:58604 --initTime 2017-01-04T21:40:44 --startdatetime 2017-01-04T21:42:11 --delay 1 --endMP 204:640 --enddatetime 2017-01-04T21:57:50 --enforcementcount 0 &gt;&gt;C:\Users\stu\Documents\GitHub\eaglep3-reporting\EC\2017-01-04-refined-times.txt</v>
      </c>
      <c r="AI203" s="115" t="str">
        <f t="shared" si="20"/>
        <v>echo {"issue":{"subject":"","project_id":79,"tracker_id":40,"status_id":1,"priority_id":2,"assigned_to_id":23,"start_date":"2017-01-04","description":"","custom_fields":[{"id":1,"name":"Subdivision","value":"NW"},{"id":4,"name":"Milepost","value":"0.064"},{"id":17,"name":"Train ID","value":"844-04"},{"id":16,"name":"Locomotive ID","value":"4012"},{"id":130,"name":"Impact","value":""},{"id":150,"name":"Time of Event (Mountain Time)","value":"21:57:50"},{"id":151,"name":"Denver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21"/>
        <v>start /low /b %USERPROFILE%\Documents\GitHub\eaglep3\Utilities\DownloadLogsFromS3.py --loco 4012 --day 2017-01-04</v>
      </c>
    </row>
    <row r="204" spans="1:91" x14ac:dyDescent="0.25">
      <c r="A204" s="34" t="s">
        <v>666</v>
      </c>
      <c r="B204" s="7">
        <v>4011</v>
      </c>
      <c r="C204" s="22" t="s">
        <v>203</v>
      </c>
      <c r="D204" s="22" t="s">
        <v>834</v>
      </c>
      <c r="E204" s="13">
        <v>42739.881377314814</v>
      </c>
      <c r="F204" s="13">
        <v>42739.889965277776</v>
      </c>
      <c r="G204" s="7">
        <v>1</v>
      </c>
      <c r="H204" s="22" t="s">
        <v>835</v>
      </c>
      <c r="I204" s="13">
        <v>42739.901585648149</v>
      </c>
      <c r="J204" s="7">
        <v>0</v>
      </c>
      <c r="K204" s="105" t="str">
        <f>IF(ISEVEN(B204),(B204-1)&amp;"/"&amp;B204,B204&amp;"/"&amp;(B204+1))</f>
        <v>4011/4012</v>
      </c>
      <c r="L204" s="22" t="str">
        <f>VLOOKUP(A204,'Trips&amp;Operators'!$C$1:$G$99999,5,FALSE)</f>
        <v>CHANDLER KELVIN</v>
      </c>
      <c r="M204" s="6">
        <f>I204-F204</f>
        <v>1.1620370372838806E-2</v>
      </c>
      <c r="N204" s="7">
        <f>24*60*SUM($M204:$M204)</f>
        <v>16.733333336887881</v>
      </c>
      <c r="O204" s="7"/>
      <c r="P204" s="7"/>
      <c r="Q204" s="23"/>
      <c r="R204" s="23"/>
      <c r="S204" s="32">
        <f>SUM(U204:U204)/IF(AG204="EC",12,1)</f>
        <v>1</v>
      </c>
      <c r="T204" s="47" t="str">
        <f>IF(ISEVEN(LEFT(AD204,4)),"Southbound","NorthBound")</f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https://search-rtdc-monitor-bjffxe2xuh6vdkpspy63sjmuny.us-east-1.es.amazonaws.com/_plugin/kibana/#/discover/Steve-Slow-Train-Analysis-(2080s-and-2083s)?_g=(refreshInterval:(display:Off,section:0,value:0),time:(from:'2017-01-04 20:09:11-700',mode:absolute,to:'2017-01-04 22:38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4" s="49" t="str">
        <f>IF(AA204&lt;IF(AG204="EC",23,5.65),"Y","N")</f>
        <v>N</v>
      </c>
      <c r="X204" s="173">
        <f>VALUE(LEFT(AD204,4))-VALUE(LEFT(AD203,4))</f>
        <v>1</v>
      </c>
      <c r="Y204" s="64">
        <f t="shared" ref="Y204:Y236" si="22">RIGHT(D204,LEN(D204)-4)/10000</f>
        <v>9.7100000000000006E-2</v>
      </c>
      <c r="Z204" s="64">
        <f t="shared" ref="Z204:Z236" si="23">RIGHT(H204,LEN(H204)-4)/10000</f>
        <v>5.8920000000000003</v>
      </c>
      <c r="AA204" s="64">
        <f>ABS(Z204-Y204)</f>
        <v>5.7949000000000002</v>
      </c>
      <c r="AB204" s="61" t="e">
        <f>VLOOKUP(A204,Enforcements!$C$7:$K$19,8,0)</f>
        <v>#N/A</v>
      </c>
      <c r="AC204" s="57" t="e">
        <f>VLOOKUP(A204,Enforcements!$C$7:$E$19,3,0)</f>
        <v>#N/A</v>
      </c>
      <c r="AD204" s="58" t="str">
        <f>IF(LEN(A204)=6,"0"&amp;A204,A204)</f>
        <v>0845-04</v>
      </c>
      <c r="AE204" s="8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204" s="84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/stypes="app*4011*20170105*" /stext=" 04:.+((SYSTEM_STATE.+slice.+state.+changed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88" t="str">
        <f t="shared" ref="AH204:AH236" si="24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845-04 --locoid 4011 --swversion DE.1.0.8.0 --startMP 204:971 --initTime 2017-01-04T21:09:11 --startdatetime 2017-01-04T21:21:33 --delay 1 --endMP 300:58920 --enddatetime 2017-01-04T21:38:17 --enforcementcount 0 &gt;&gt;C:\Users\stu\Documents\GitHub\eaglep3-reporting\EC\2017-01-04-refined-times.txt</v>
      </c>
      <c r="AI204" s="115" t="str">
        <f t="shared" ref="AI204:AI236" si="25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{"issue":{"subject":"","project_id":79,"tracker_id":40,"status_id":1,"priority_id":2,"assigned_to_id":23,"start_date":"2017-01-04","description":"","custom_fields":[{"id":1,"name":"Subdivision","value":"NW"},{"id":4,"name":"Milepost","value":"5.892"},{"id":17,"name":"Train ID","value":"845-04"},{"id":16,"name":"Locomotive ID","value":"4011"},{"id":130,"name":"Impact","value":""},{"id":150,"name":"Time of Event (Mountain Time)","value":"21:38:17"},{"id":151,"name":"Denver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ref="AM204:AM236" si="26">"start /low /b "&amp;dls3logs&amp;" --loco "&amp;B204&amp;" --day "&amp;TEXT(F204,"YYYY-MM-DD")</f>
        <v>start /low /b %USERPROFILE%\Documents\GitHub\eaglep3\Utilities\DownloadLogsFromS3.py --loco 4011 --day 2017-01-04</v>
      </c>
    </row>
    <row r="205" spans="1:91" x14ac:dyDescent="0.25">
      <c r="A205" s="34" t="s">
        <v>671</v>
      </c>
      <c r="B205" s="7">
        <v>4011</v>
      </c>
      <c r="C205" s="22" t="s">
        <v>203</v>
      </c>
      <c r="D205" s="22" t="s">
        <v>830</v>
      </c>
      <c r="E205" s="13">
        <v>42739.929525462961</v>
      </c>
      <c r="F205" s="13">
        <v>42739.931562500002</v>
      </c>
      <c r="G205" s="7">
        <v>1</v>
      </c>
      <c r="H205" s="22" t="s">
        <v>822</v>
      </c>
      <c r="I205" s="13">
        <v>42739.941979166666</v>
      </c>
      <c r="J205" s="7">
        <v>0</v>
      </c>
      <c r="K205" s="105" t="str">
        <f>IF(ISEVEN(B205),(B205-1)&amp;"/"&amp;B205,B205&amp;"/"&amp;(B205+1))</f>
        <v>4011/4012</v>
      </c>
      <c r="L205" s="22" t="str">
        <f>VLOOKUP(A205,'Trips&amp;Operators'!$C$1:$G$99999,5,FALSE)</f>
        <v>CHANDLER KELVIN</v>
      </c>
      <c r="M205" s="6">
        <f>I205-F205</f>
        <v>1.0416666664241347E-2</v>
      </c>
      <c r="N205" s="7">
        <f>24*60*SUM($M205:$M205)</f>
        <v>14.99999999650754</v>
      </c>
      <c r="O205" s="7"/>
      <c r="P205" s="7"/>
      <c r="Q205" s="23"/>
      <c r="R205" s="23"/>
      <c r="S205" s="32">
        <f>SUM(U205:U205)/IF(AG205="EC",12,1)</f>
        <v>1</v>
      </c>
      <c r="T205" s="47" t="str">
        <f>IF(ISEVEN(LEFT(AD205,4)),"Southbound","NorthBound")</f>
        <v>NorthBound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https://search-rtdc-monitor-bjffxe2xuh6vdkpspy63sjmuny.us-east-1.es.amazonaws.com/_plugin/kibana/#/discover/Steve-Slow-Train-Analysis-(2080s-and-2083s)?_g=(refreshInterval:(display:Off,section:0,value:0),time:(from:'2017-01-04 21:18:31-700',mode:absolute,to:'2017-01-04 23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5" s="49" t="str">
        <f>IF(AA205&lt;IF(AG205="EC",23,5.65),"Y","N")</f>
        <v>N</v>
      </c>
      <c r="X205" s="173">
        <f>VALUE(LEFT(AD205,4))-VALUE(LEFT(AD204,4))</f>
        <v>2</v>
      </c>
      <c r="Y205" s="64">
        <f t="shared" si="22"/>
        <v>9.1999999999999998E-2</v>
      </c>
      <c r="Z205" s="64">
        <f t="shared" si="23"/>
        <v>5.8925999999999998</v>
      </c>
      <c r="AA205" s="64">
        <f>ABS(Z205-Y205)</f>
        <v>5.8006000000000002</v>
      </c>
      <c r="AB205" s="61" t="e">
        <f>VLOOKUP(A205,Enforcements!$C$7:$K$19,8,0)</f>
        <v>#N/A</v>
      </c>
      <c r="AC205" s="57" t="e">
        <f>VLOOKUP(A205,Enforcements!$C$7:$E$19,3,0)</f>
        <v>#N/A</v>
      </c>
      <c r="AD205" s="58" t="str">
        <f>IF(LEN(A205)=6,"0"&amp;A205,A205)</f>
        <v>0847-04</v>
      </c>
      <c r="AE205" s="8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s3://rtdc.mdm.uploadarchive.raw/RTDC4011/ "%USERPROFILE%\AppData\Local\Temp\OnboardLogs"\RTDC4011\2017-01-04 --exclude "*" --recursive --include "*20170104*" &amp; "%USERPROFILE%\Documents\GitHub\mrs-test-scripts\Headless Mode &amp; Sideloading\WalkAndUnGZ.bat" "%USERPROFILE%\AppData\Local\Temp\OnboardLogs"\RTDC4011\2017-01-04 &amp; 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</v>
      </c>
      <c r="AF205" s="84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/stypes="app*4011*20170105*" /stext=" 05:.+((SYSTEM_STATE.+slice.+state.+changed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NW</v>
      </c>
      <c r="AH205" s="88" t="str">
        <f t="shared" si="24"/>
        <v>"%USERPROFILE%\Documents\GitHub\eaglep3\Utilities\RefineRTDCRunTimes.py" --tripid 847-04 --locoid 4011 --swversion DE.1.0.8.0 --startMP 204:920 --initTime 2017-01-04T22:18:31 --startdatetime 2017-01-04T22:21:27 --delay 1 --endMP 300:58926 --enddatetime 2017-01-04T22:36:27 --enforcementcount 0 &gt;&gt;C:\Users\stu\Documents\GitHub\eaglep3-reporting\EC\2017-01-04-refined-times.txt</v>
      </c>
      <c r="AI205" s="115" t="str">
        <f t="shared" si="25"/>
        <v>echo {"issue":{"subject":"","project_id":79,"tracker_id":40,"status_id":1,"priority_id":2,"assigned_to_id":23,"start_date":"2017-01-04","description":"","custom_fields":[{"id":1,"name":"Subdivision","value":"NW"},{"id":4,"name":"Milepost","value":"5.8926"},{"id":17,"name":"Train ID","value":"847-04"},{"id":16,"name":"Locomotive ID","value":"4011"},{"id":130,"name":"Impact","value":""},{"id":150,"name":"Time of Event (Mountain Time)","value":"22:36:27"},{"id":151,"name":"Denver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26"/>
        <v>start /low /b %USERPROFILE%\Documents\GitHub\eaglep3\Utilities\DownloadLogsFromS3.py --loco 4011 --day 2017-01-04</v>
      </c>
    </row>
    <row r="206" spans="1:91" x14ac:dyDescent="0.25">
      <c r="A206" s="34" t="s">
        <v>478</v>
      </c>
      <c r="B206" s="7">
        <v>4004</v>
      </c>
      <c r="C206" s="22" t="s">
        <v>203</v>
      </c>
      <c r="D206" s="22" t="s">
        <v>766</v>
      </c>
      <c r="E206" s="13">
        <v>42739.121550925927</v>
      </c>
      <c r="F206" s="13">
        <v>42739.122546296298</v>
      </c>
      <c r="G206" s="7">
        <v>1</v>
      </c>
      <c r="H206" s="22" t="s">
        <v>230</v>
      </c>
      <c r="I206" s="13">
        <v>42739.129814814813</v>
      </c>
      <c r="J206" s="7">
        <v>0</v>
      </c>
      <c r="K206" s="105" t="str">
        <f>IF(ISEVEN(B206),(B206-1)&amp;"/"&amp;B206,B206&amp;"/"&amp;(B206+1))</f>
        <v>4003/4004</v>
      </c>
      <c r="L206" s="22" t="str">
        <f>VLOOKUP(A206,'Trips&amp;Operators'!$C$1:$G$99999,5,FALSE)</f>
        <v>ISHMAEL JOSEPH</v>
      </c>
      <c r="M206" s="6">
        <f>I206-F206</f>
        <v>7.2685185150476173E-3</v>
      </c>
      <c r="N206" s="7">
        <f>24*60*SUM($M206:$M206)</f>
        <v>10.466666661668569</v>
      </c>
      <c r="O206" s="7"/>
      <c r="P206" s="7"/>
      <c r="Q206" s="23"/>
      <c r="R206" s="23"/>
      <c r="S206" s="32">
        <f>SUM(U206:U206)/IF(AG206="EC",12,1)</f>
        <v>1</v>
      </c>
      <c r="T206" s="47" t="str">
        <f>IF(ISEVEN(LEFT(AD206,4)),"Southbound","NorthBound")</f>
        <v>Southbound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https://search-rtdc-monitor-bjffxe2xuh6vdkpspy63sjmuny.us-east-1.es.amazonaws.com/_plugin/kibana/#/discover/Steve-Slow-Train-Analysis-(2080s-and-2083s)?_g=(refreshInterval:(display:Off,section:0,value:0),time:(from:'2017-01-04 01:55:02-700',mode:absolute,to:'2017-01-04 04:06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6" s="49" t="str">
        <f>IF(AA206&lt;IF(AG206="EC",23,5.65),"Y","N")</f>
        <v>Y</v>
      </c>
      <c r="X206" s="173">
        <f>VALUE(LEFT(AD206,4))-VALUE(LEFT(AD205,4))</f>
        <v>-545</v>
      </c>
      <c r="Y206" s="64">
        <f t="shared" si="22"/>
        <v>2.3029000000000002</v>
      </c>
      <c r="Z206" s="64">
        <f t="shared" si="23"/>
        <v>1.4500000000000001E-2</v>
      </c>
      <c r="AA206" s="64">
        <f>ABS(Z206-Y206)</f>
        <v>2.2884000000000002</v>
      </c>
      <c r="AB206" s="61" t="e">
        <f>VLOOKUP(A206,Enforcements!$C$7:$K$19,8,0)</f>
        <v>#N/A</v>
      </c>
      <c r="AC206" s="57" t="e">
        <f>VLOOKUP(A206,Enforcements!$C$7:$E$19,3,0)</f>
        <v>#N/A</v>
      </c>
      <c r="AD206" s="58" t="str">
        <f>IF(LEN(A206)=6,"0"&amp;A206,A206)</f>
        <v>0302-04</v>
      </c>
      <c r="AE206" s="8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 &amp; 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</v>
      </c>
      <c r="AF206" s="84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/stypes="app*4004*20170104*" /stext=" 10:.+((SYSTEM_STATE.+slice.+state.+changed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88" t="str">
        <f t="shared" si="24"/>
        <v>"%USERPROFILE%\Documents\GitHub\eaglep3\Utilities\RefineRTDCRunTimes.py" --tripid 302-04 --locoid 4004 --swversion DE.1.0.8.0 --startMP 300:23029 --initTime 2017-01-04T02:55:02 --startdatetime 2017-01-04T02:56:28 --delay 1 --endMP 204:145 --enddatetime 2017-01-04T03:06:56 --enforcementcount 0 &gt;&gt;C:\Users\stu\Documents\GitHub\eaglep3-reporting\EC\2017-01-04-refined-times.txt</v>
      </c>
      <c r="AI206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{"issue":{"subject":"","project_id":79,"tracker_id":40,"status_id":1,"priority_id":2,"assigned_to_id":23,"start_date":"2017-01-04","description":"","custom_fields":[{"id":1,"name":"Subdivision","value":"Other"},{"id":4,"name":"Milepost","value":"0.0145"},{"id":17,"name":"Train ID","value":"302-04"},{"id":16,"name":"Locomotive ID","value":"4004"},{"id":130,"name":"Impact","value":""},{"id":150,"name":"Time of Event (Mountain Time)","value":"03:06:56"},{"id":151,"name":"Denver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26"/>
        <v>start /low /b %USERPROFILE%\Documents\GitHub\eaglep3\Utilities\DownloadLogsFromS3.py --loco 4004 --day 2017-01-04</v>
      </c>
    </row>
    <row r="207" spans="1:91" x14ac:dyDescent="0.25">
      <c r="A207" s="34" t="s">
        <v>650</v>
      </c>
      <c r="B207" s="7">
        <v>4009</v>
      </c>
      <c r="C207" s="22" t="s">
        <v>203</v>
      </c>
      <c r="D207" s="22" t="s">
        <v>301</v>
      </c>
      <c r="E207" s="13">
        <v>42739.779398148145</v>
      </c>
      <c r="F207" s="13">
        <v>25568.708333333332</v>
      </c>
      <c r="G207" s="7">
        <v>1</v>
      </c>
      <c r="H207" s="22" t="s">
        <v>767</v>
      </c>
      <c r="I207" s="13">
        <v>25568.708333333332</v>
      </c>
      <c r="J207" s="7">
        <v>0</v>
      </c>
      <c r="K207" s="105" t="str">
        <f>IF(ISEVEN(B207),(B207-1)&amp;"/"&amp;B207,B207&amp;"/"&amp;(B207+1))</f>
        <v>4009/4010</v>
      </c>
      <c r="L207" s="22" t="str">
        <f>VLOOKUP(A207,'Trips&amp;Operators'!$C$1:$G$99999,5,FALSE)</f>
        <v>HELVIE ADAM</v>
      </c>
      <c r="M207" s="6">
        <f>I207-F207</f>
        <v>0</v>
      </c>
      <c r="N207" s="7">
        <f>24*60*SUM($M207:$M207)</f>
        <v>0</v>
      </c>
      <c r="O207" s="7"/>
      <c r="P207" s="7"/>
      <c r="Q207" s="23"/>
      <c r="R207" s="23"/>
      <c r="S207" s="32">
        <f>SUM(U207:U207)/IF(AG207="EC",12,1)</f>
        <v>1</v>
      </c>
      <c r="T207" s="47" t="str">
        <f>IF(ISEVEN(LEFT(AD207,4)),"Southbound","NorthBound")</f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hh:mm:ss")&amp;utc_offset&amp;"00',mode:absolute,to:'"&amp;TEXT(I207+1/24,"yyyy-MM-DD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https://search-rtdc-monitor-bjffxe2xuh6vdkpspy63sjmuny.us-east-1.es.amazonaws.com/_plugin/kibana/#/discover/Steve-Slow-Train-Analysis-(2080s-and-2083s)?_g=(refreshInterval:(display:Off,section:0,value:0),time:(from:'2017-01-04 17:42:20-700',mode:absolute,to:'1969-12-31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7" s="49" t="str">
        <f>IF(AA207&lt;IF(AG207="EC",23,5.65),"Y","N")</f>
        <v>Y</v>
      </c>
      <c r="X207" s="173">
        <f>VALUE(LEFT(AD207,4))-VALUE(LEFT(AD206,4))</f>
        <v>1</v>
      </c>
      <c r="Y207" s="64">
        <f t="shared" si="22"/>
        <v>4.5699999999999998E-2</v>
      </c>
      <c r="Z207" s="64">
        <f t="shared" si="23"/>
        <v>2.3308</v>
      </c>
      <c r="AA207" s="64">
        <f>ABS(Z207-Y207)</f>
        <v>2.2850999999999999</v>
      </c>
      <c r="AB207" s="61" t="e">
        <f>VLOOKUP(A207,Enforcements!$C$7:$K$19,8,0)</f>
        <v>#N/A</v>
      </c>
      <c r="AC207" s="57" t="e">
        <f>VLOOKUP(A207,Enforcements!$C$7:$E$19,3,0)</f>
        <v>#N/A</v>
      </c>
      <c r="AD207" s="58" t="str">
        <f>IF(LEN(A207)=6,"0"&amp;A207,A207)</f>
        <v>0303-04</v>
      </c>
      <c r="AE207" s="8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7" s="84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88" t="str">
        <f t="shared" si="24"/>
        <v>"%USERPROFILE%\Documents\GitHub\eaglep3\Utilities\RefineRTDCRunTimes.py" --tripid 303-04 --locoid 4009 --swversion DE.1.0.8.0 --startMP 204:457 --initTime 2017-01-04T18:42:20 --startdatetime 1969-12-31T17:00:00 --delay 1 --endMP 300:23308 --enddatetime 1969-12-31T17:00:00 --enforcementcount 0 &gt;&gt;C:\Users\stu\Documents\GitHub\eaglep3-reporting\EC\2017-01-04-refined-times.txt</v>
      </c>
      <c r="AI207" s="115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ID","value":"303-04"},{"id":16,"name":"Locomotive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26"/>
        <v>start /low /b %USERPROFILE%\Documents\GitHub\eaglep3\Utilities\DownloadLogsFromS3.py --loco 4009 --day 1969-12-31</v>
      </c>
    </row>
    <row r="208" spans="1:91" x14ac:dyDescent="0.25">
      <c r="A208" s="34" t="s">
        <v>446</v>
      </c>
      <c r="B208" s="7">
        <v>4041</v>
      </c>
      <c r="C208" s="22" t="s">
        <v>203</v>
      </c>
      <c r="D208" s="22" t="s">
        <v>768</v>
      </c>
      <c r="E208" s="13">
        <v>42739.135810185187</v>
      </c>
      <c r="F208" s="13">
        <v>42739.140833333331</v>
      </c>
      <c r="G208" s="7">
        <v>7</v>
      </c>
      <c r="H208" s="22" t="s">
        <v>411</v>
      </c>
      <c r="I208" s="13">
        <v>42739.147164351853</v>
      </c>
      <c r="J208" s="7">
        <v>0</v>
      </c>
      <c r="K208" s="105" t="str">
        <f>IF(ISEVEN(B208),(B208-1)&amp;"/"&amp;B208,B208&amp;"/"&amp;(B208+1))</f>
        <v>4041/4042</v>
      </c>
      <c r="L208" s="22" t="str">
        <f>VLOOKUP(A208,'Trips&amp;Operators'!$C$1:$G$99999,5,FALSE)</f>
        <v>MAELZER KURT</v>
      </c>
      <c r="M208" s="6">
        <f>I208-F208</f>
        <v>6.33101852145046E-3</v>
      </c>
      <c r="N208" s="7">
        <f>24*60*SUM($M208:$M208)</f>
        <v>9.1166666708886623</v>
      </c>
      <c r="O208" s="7"/>
      <c r="P208" s="7"/>
      <c r="Q208" s="23"/>
      <c r="R208" s="23"/>
      <c r="S208" s="32">
        <f>SUM(U208:U208)/IF(AG208="EC",12,1)</f>
        <v>1</v>
      </c>
      <c r="T208" s="47" t="str">
        <f>IF(ISEVEN(LEFT(AD208,4)),"Southbound","NorthBound")</f>
        <v>Southbound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https://search-rtdc-monitor-bjffxe2xuh6vdkpspy63sjmuny.us-east-1.es.amazonaws.com/_plugin/kibana/#/discover/Steve-Slow-Train-Analysis-(2080s-and-2083s)?_g=(refreshInterval:(display:Off,section:0,value:0),time:(from:'2017-01-04 02:15:34-700',mode:absolute,to:'2017-01-04 04:31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8" s="49" t="str">
        <f>IF(AA208&lt;IF(AG208="EC",23,5.65),"Y","N")</f>
        <v>Y</v>
      </c>
      <c r="X208" s="173">
        <f>VALUE(LEFT(AD208,4))-VALUE(LEFT(AD207,4))</f>
        <v>1</v>
      </c>
      <c r="Y208" s="64">
        <f t="shared" si="22"/>
        <v>1.9368000000000001</v>
      </c>
      <c r="Z208" s="64">
        <f t="shared" si="23"/>
        <v>1.34E-2</v>
      </c>
      <c r="AA208" s="64">
        <f>ABS(Z208-Y208)</f>
        <v>1.9234</v>
      </c>
      <c r="AB208" s="61" t="e">
        <f>VLOOKUP(A208,Enforcements!$C$7:$K$19,8,0)</f>
        <v>#N/A</v>
      </c>
      <c r="AC208" s="57" t="e">
        <f>VLOOKUP(A208,Enforcements!$C$7:$E$19,3,0)</f>
        <v>#N/A</v>
      </c>
      <c r="AD208" s="58" t="str">
        <f>IF(LEN(A208)=6,"0"&amp;A208,A208)</f>
        <v>0304-04</v>
      </c>
      <c r="AE208" s="8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 &amp; 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</v>
      </c>
      <c r="AF208" s="84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/stypes="app*4041*20170104*" /stext=" 10:.+((SYSTEM_STATE.+slice.+state.+changed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88" t="str">
        <f t="shared" si="24"/>
        <v>"%USERPROFILE%\Documents\GitHub\eaglep3\Utilities\RefineRTDCRunTimes.py" --tripid 304-04 --locoid 4041 --swversion DE.1.0.8.0 --startMP 300:19368 --initTime 2017-01-04T03:15:34 --startdatetime 2017-01-04T03:22:48 --delay 7 --endMP 204:134 --enddatetime 2017-01-04T03:31:55 --enforcementcount 0 &gt;&gt;C:\Users\stu\Documents\GitHub\eaglep3-reporting\EC\2017-01-04-refined-times.txt</v>
      </c>
      <c r="AI208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{"issue":{"subject":"","project_id":79,"tracker_id":40,"status_id":1,"priority_id":2,"assigned_to_id":23,"start_date":"2017-01-04","description":"","custom_fields":[{"id":1,"name":"Subdivision","value":"Other"},{"id":4,"name":"Milepost","value":"0.0134"},{"id":17,"name":"Train ID","value":"304-04"},{"id":16,"name":"Locomotive ID","value":"4041"},{"id":130,"name":"Impact","value":""},{"id":150,"name":"Time of Event (Mountain Time)","value":"03:31:55"},{"id":151,"name":"Denver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26"/>
        <v>start /low /b %USERPROFILE%\Documents\GitHub\eaglep3\Utilities\DownloadLogsFromS3.py --loco 4041 --day 2017-01-04</v>
      </c>
    </row>
    <row r="209" spans="1:39" x14ac:dyDescent="0.25">
      <c r="A209" s="34" t="s">
        <v>656</v>
      </c>
      <c r="B209" s="7">
        <v>4003</v>
      </c>
      <c r="C209" s="22" t="s">
        <v>203</v>
      </c>
      <c r="D209" s="22" t="s">
        <v>255</v>
      </c>
      <c r="E209" s="13">
        <v>42739.799293981479</v>
      </c>
      <c r="F209" s="13">
        <v>25568.708333333332</v>
      </c>
      <c r="G209" s="7">
        <v>1</v>
      </c>
      <c r="H209" s="22" t="s">
        <v>769</v>
      </c>
      <c r="I209" s="13">
        <v>25568.708333333332</v>
      </c>
      <c r="J209" s="7">
        <v>0</v>
      </c>
      <c r="K209" s="105" t="str">
        <f>IF(ISEVEN(B209),(B209-1)&amp;"/"&amp;B209,B209&amp;"/"&amp;(B209+1))</f>
        <v>4003/4004</v>
      </c>
      <c r="L209" s="22" t="str">
        <f>VLOOKUP(A209,'Trips&amp;Operators'!$C$1:$G$99999,5,FALSE)</f>
        <v>CRAYTON QUNTRELL</v>
      </c>
      <c r="M209" s="6">
        <f>I209-F209</f>
        <v>0</v>
      </c>
      <c r="N209" s="7">
        <f>24*60*SUM($M209:$M209)</f>
        <v>0</v>
      </c>
      <c r="O209" s="7"/>
      <c r="P209" s="7"/>
      <c r="Q209" s="23"/>
      <c r="R209" s="23"/>
      <c r="S209" s="32">
        <f>SUM(U209:U209)/IF(AG209="EC",12,1)</f>
        <v>1</v>
      </c>
      <c r="T209" s="47" t="str">
        <f>IF(ISEVEN(LEFT(AD209,4)),"Southbound","NorthBound")</f>
        <v>NorthBound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hh:mm:ss")&amp;utc_offset&amp;"00',mode:absolute,to:'"&amp;TEXT(I209+1/24,"yyyy-MM-DD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https://search-rtdc-monitor-bjffxe2xuh6vdkpspy63sjmuny.us-east-1.es.amazonaws.com/_plugin/kibana/#/discover/Steve-Slow-Train-Analysis-(2080s-and-2083s)?_g=(refreshInterval:(display:Off,section:0,value:0),time:(from:'2017-01-04 18:10:59-700',mode:absolute,to:'1969-12-31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9" s="49" t="str">
        <f>IF(AA209&lt;IF(AG209="EC",23,5.65),"Y","N")</f>
        <v>Y</v>
      </c>
      <c r="X209" s="173">
        <f>VALUE(LEFT(AD209,4))-VALUE(LEFT(AD208,4))</f>
        <v>1</v>
      </c>
      <c r="Y209" s="64">
        <f t="shared" si="22"/>
        <v>4.6199999999999998E-2</v>
      </c>
      <c r="Z209" s="64">
        <f t="shared" si="23"/>
        <v>2.3298999999999999</v>
      </c>
      <c r="AA209" s="64">
        <f>ABS(Z209-Y209)</f>
        <v>2.2837000000000001</v>
      </c>
      <c r="AB209" s="61" t="e">
        <f>VLOOKUP(A209,Enforcements!$C$7:$K$19,8,0)</f>
        <v>#N/A</v>
      </c>
      <c r="AC209" s="57" t="e">
        <f>VLOOKUP(A209,Enforcements!$C$7:$E$19,3,0)</f>
        <v>#N/A</v>
      </c>
      <c r="AD209" s="58" t="str">
        <f>IF(LEN(A209)=6,"0"&amp;A209,A209)</f>
        <v>0305-04</v>
      </c>
      <c r="AE209" s="8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9" s="84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88" t="str">
        <f t="shared" si="24"/>
        <v>"%USERPROFILE%\Documents\GitHub\eaglep3\Utilities\RefineRTDCRunTimes.py" --tripid 305-04 --locoid 4003 --swversion DE.1.0.8.0 --startMP 204:462 --initTime 2017-01-04T19:10:59 --startdatetime 1969-12-31T17:00:00 --delay 1 --endMP 300:23299 --enddatetime 1969-12-31T17:00:00 --enforcementcount 0 &gt;&gt;C:\Users\stu\Documents\GitHub\eaglep3-reporting\EC\2017-01-04-refined-times.txt</v>
      </c>
      <c r="AI209" s="115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ID","value":"305-04"},{"id":16,"name":"Locomotive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26"/>
        <v>start /low /b %USERPROFILE%\Documents\GitHub\eaglep3\Utilities\DownloadLogsFromS3.py --loco 4003 --day 1969-12-31</v>
      </c>
    </row>
    <row r="210" spans="1:39" x14ac:dyDescent="0.25">
      <c r="A210" s="34" t="s">
        <v>482</v>
      </c>
      <c r="B210" s="7">
        <v>4001</v>
      </c>
      <c r="C210" s="22" t="s">
        <v>203</v>
      </c>
      <c r="D210" s="22" t="s">
        <v>770</v>
      </c>
      <c r="E210" s="13">
        <v>42739.161782407406</v>
      </c>
      <c r="F210" s="13">
        <v>42739.163391203707</v>
      </c>
      <c r="G210" s="7">
        <v>1</v>
      </c>
      <c r="H210" s="22" t="s">
        <v>297</v>
      </c>
      <c r="I210" s="13">
        <v>42739.169479166667</v>
      </c>
      <c r="J210" s="7">
        <v>0</v>
      </c>
      <c r="K210" s="105" t="str">
        <f>IF(ISEVEN(B210),(B210-1)&amp;"/"&amp;B210,B210&amp;"/"&amp;(B210+1))</f>
        <v>4001/4002</v>
      </c>
      <c r="L210" s="22" t="str">
        <f>VLOOKUP(A210,'Trips&amp;Operators'!$C$1:$G$99999,5,FALSE)</f>
        <v>COMELLA JUSTIN</v>
      </c>
      <c r="M210" s="6">
        <f>I210-F210</f>
        <v>6.0879629600094631E-3</v>
      </c>
      <c r="N210" s="7">
        <f>24*60*SUM($M210:$M210)</f>
        <v>8.7666666624136269</v>
      </c>
      <c r="O210" s="7"/>
      <c r="P210" s="7"/>
      <c r="Q210" s="23"/>
      <c r="R210" s="23"/>
      <c r="S210" s="32">
        <f>SUM(U210:U210)/IF(AG210="EC",12,1)</f>
        <v>1</v>
      </c>
      <c r="T210" s="47" t="str">
        <f>IF(ISEVEN(LEFT(AD210,4)),"Southbound","NorthBound")</f>
        <v>Southbound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hh:mm:ss")&amp;utc_offset&amp;"00',mode:absolute,to:'"&amp;TEXT(I210+1/24,"yyyy-MM-DD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https://search-rtdc-monitor-bjffxe2xuh6vdkpspy63sjmuny.us-east-1.es.amazonaws.com/_plugin/kibana/#/discover/Steve-Slow-Train-Analysis-(2080s-and-2083s)?_g=(refreshInterval:(display:Off,section:0,value:0),time:(from:'2017-01-04 02:52:58-700',mode:absolute,to:'2017-01-04 05:04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0" s="49" t="str">
        <f>IF(AA210&lt;IF(AG210="EC",23,5.65),"Y","N")</f>
        <v>Y</v>
      </c>
      <c r="X210" s="173">
        <f>VALUE(LEFT(AD210,4))-VALUE(LEFT(AD209,4))</f>
        <v>1</v>
      </c>
      <c r="Y210" s="64">
        <f t="shared" si="22"/>
        <v>2.3275000000000001</v>
      </c>
      <c r="Z210" s="64">
        <f t="shared" si="23"/>
        <v>1.41E-2</v>
      </c>
      <c r="AA210" s="64">
        <f>ABS(Z210-Y210)</f>
        <v>2.3134000000000001</v>
      </c>
      <c r="AB210" s="61" t="e">
        <f>VLOOKUP(A210,Enforcements!$C$7:$K$19,8,0)</f>
        <v>#N/A</v>
      </c>
      <c r="AC210" s="57" t="e">
        <f>VLOOKUP(A210,Enforcements!$C$7:$E$19,3,0)</f>
        <v>#N/A</v>
      </c>
      <c r="AD210" s="58" t="str">
        <f>IF(LEN(A210)=6,"0"&amp;A210,A210)</f>
        <v>0306-04</v>
      </c>
      <c r="AE210" s="8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s3://rtdc.mdm.uploadarchive.raw/RTDC4001/ "%USERPROFILE%\AppData\Local\Temp\OnboardLogs"\RTDC4001\2017-01-04 --exclude "*" --recursive --include "*20170104*" &amp; "%USERPROFILE%\Documents\GitHub\mrs-test-scripts\Headless Mode &amp; Sideloading\WalkAndUnGZ.bat" "%USERPROFILE%\AppData\Local\Temp\OnboardLogs"\RTDC4001\2017-01-04 &amp; 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</v>
      </c>
      <c r="AF210" s="84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/stypes="app*4001*20170104*" /stext=" 11:.+((SYSTEM_STATE.+slice.+state.+changed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88" t="str">
        <f t="shared" si="24"/>
        <v>"%USERPROFILE%\Documents\GitHub\eaglep3\Utilities\RefineRTDCRunTimes.py" --tripid 306-04 --locoid 4001 --swversion DE.1.0.8.0 --startMP 300:23275 --initTime 2017-01-04T03:52:58 --startdatetime 2017-01-04T03:55:17 --delay 1 --endMP 204:141 --enddatetime 2017-01-04T04:04:03 --enforcementcount 0 &gt;&gt;C:\Users\stu\Documents\GitHub\eaglep3-reporting\EC\2017-01-04-refined-times.txt</v>
      </c>
      <c r="AI210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{"issue":{"subject":"","project_id":79,"tracker_id":40,"status_id":1,"priority_id":2,"assigned_to_id":23,"start_date":"2017-01-04","description":"","custom_fields":[{"id":1,"name":"Subdivision","value":"Other"},{"id":4,"name":"Milepost","value":"0.0141"},{"id":17,"name":"Train ID","value":"306-04"},{"id":16,"name":"Locomotive ID","value":"4001"},{"id":130,"name":"Impact","value":""},{"id":150,"name":"Time of Event (Mountain Time)","value":"04:04:03"},{"id":151,"name":"Denver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26"/>
        <v>start /low /b %USERPROFILE%\Documents\GitHub\eaglep3\Utilities\DownloadLogsFromS3.py --loco 4001 --day 2017-01-04</v>
      </c>
    </row>
    <row r="211" spans="1:39" x14ac:dyDescent="0.25">
      <c r="A211" s="34" t="s">
        <v>660</v>
      </c>
      <c r="B211" s="7">
        <v>4042</v>
      </c>
      <c r="C211" s="22" t="s">
        <v>203</v>
      </c>
      <c r="D211" s="22" t="s">
        <v>225</v>
      </c>
      <c r="E211" s="13">
        <v>42739.818553240744</v>
      </c>
      <c r="F211" s="13">
        <v>25568.708333333332</v>
      </c>
      <c r="G211" s="7">
        <v>0</v>
      </c>
      <c r="H211" s="22" t="s">
        <v>429</v>
      </c>
      <c r="I211" s="13">
        <v>25568.708333333332</v>
      </c>
      <c r="J211" s="7">
        <v>0</v>
      </c>
      <c r="K211" s="105" t="str">
        <f>IF(ISEVEN(B211),(B211-1)&amp;"/"&amp;B211,B211&amp;"/"&amp;(B211+1))</f>
        <v>4041/4042</v>
      </c>
      <c r="L211" s="22" t="str">
        <f>VLOOKUP(A211,'Trips&amp;Operators'!$C$1:$G$99999,5,FALSE)</f>
        <v>BRANNON JEFFREY</v>
      </c>
      <c r="M211" s="6">
        <f>I211-F211</f>
        <v>0</v>
      </c>
      <c r="N211" s="7">
        <f>24*60*SUM($M211:$M211)</f>
        <v>0</v>
      </c>
      <c r="O211" s="7"/>
      <c r="P211" s="7"/>
      <c r="Q211" s="23"/>
      <c r="R211" s="23"/>
      <c r="S211" s="32">
        <f>SUM(U211:U211)/IF(AG211="EC",12,1)</f>
        <v>1</v>
      </c>
      <c r="T211" s="47" t="str">
        <f>IF(ISEVEN(LEFT(AD211,4)),"Southbound","NorthBound")</f>
        <v>NorthBound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hh:mm:ss")&amp;utc_offset&amp;"00',mode:absolute,to:'"&amp;TEXT(I211+1/24,"yyyy-MM-DD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https://search-rtdc-monitor-bjffxe2xuh6vdkpspy63sjmuny.us-east-1.es.amazonaws.com/_plugin/kibana/#/discover/Steve-Slow-Train-Analysis-(2080s-and-2083s)?_g=(refreshInterval:(display:Off,section:0,value:0),time:(from:'2017-01-04 18:38:43-700',mode:absolute,to:'1969-12-31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1" s="49" t="str">
        <f>IF(AA211&lt;IF(AG211="EC",23,5.65),"Y","N")</f>
        <v>Y</v>
      </c>
      <c r="X211" s="173">
        <f>VALUE(LEFT(AD211,4))-VALUE(LEFT(AD210,4))</f>
        <v>1</v>
      </c>
      <c r="Y211" s="64">
        <f t="shared" si="22"/>
        <v>4.5499999999999999E-2</v>
      </c>
      <c r="Z211" s="64">
        <f t="shared" si="23"/>
        <v>2.3313999999999999</v>
      </c>
      <c r="AA211" s="64">
        <f>ABS(Z211-Y211)</f>
        <v>2.2858999999999998</v>
      </c>
      <c r="AB211" s="61" t="e">
        <f>VLOOKUP(A211,Enforcements!$C$7:$K$19,8,0)</f>
        <v>#N/A</v>
      </c>
      <c r="AC211" s="57" t="e">
        <f>VLOOKUP(A211,Enforcements!$C$7:$E$19,3,0)</f>
        <v>#N/A</v>
      </c>
      <c r="AD211" s="58" t="str">
        <f>IF(LEN(A211)=6,"0"&amp;A211,A211)</f>
        <v>0307-04</v>
      </c>
      <c r="AE211" s="8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1" s="84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88" t="str">
        <f t="shared" si="24"/>
        <v>"%USERPROFILE%\Documents\GitHub\eaglep3\Utilities\RefineRTDCRunTimes.py" --tripid 307-04 --locoid 4042 --swversion DE.1.0.8.0 --startMP 204:455 --initTime 2017-01-04T19:38:43 --startdatetime 1969-12-31T17:00:00 --delay 0 --endMP 300:23314 --enddatetime 1969-12-31T17:00:00 --enforcementcount 0 &gt;&gt;C:\Users\stu\Documents\GitHub\eaglep3-reporting\EC\2017-01-04-refined-times.txt</v>
      </c>
      <c r="AI211" s="115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ID","value":"307-04"},{"id":16,"name":"Locomotive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26"/>
        <v>start /low /b %USERPROFILE%\Documents\GitHub\eaglep3\Utilities\DownloadLogsFromS3.py --loco 4042 --day 1969-12-31</v>
      </c>
    </row>
    <row r="212" spans="1:39" x14ac:dyDescent="0.25">
      <c r="A212" s="34" t="s">
        <v>485</v>
      </c>
      <c r="B212" s="7">
        <v>4030</v>
      </c>
      <c r="C212" s="22" t="s">
        <v>203</v>
      </c>
      <c r="D212" s="22" t="s">
        <v>771</v>
      </c>
      <c r="E212" s="13">
        <v>42739.176886574074</v>
      </c>
      <c r="F212" s="13">
        <v>42739.178287037037</v>
      </c>
      <c r="G212" s="7">
        <v>1</v>
      </c>
      <c r="H212" s="22" t="s">
        <v>370</v>
      </c>
      <c r="I212" s="13">
        <v>42739.184490740743</v>
      </c>
      <c r="J212" s="7">
        <v>0</v>
      </c>
      <c r="K212" s="105" t="str">
        <f>IF(ISEVEN(B212),(B212-1)&amp;"/"&amp;B212,B212&amp;"/"&amp;(B212+1))</f>
        <v>4029/4030</v>
      </c>
      <c r="L212" s="22" t="str">
        <f>VLOOKUP(A212,'Trips&amp;Operators'!$C$1:$G$99999,5,FALSE)</f>
        <v>BONDS REYNALDO</v>
      </c>
      <c r="M212" s="6">
        <f>I212-F212</f>
        <v>6.2037037059781142E-3</v>
      </c>
      <c r="N212" s="7">
        <f>24*60*SUM($M212:$M212)</f>
        <v>8.9333333366084844</v>
      </c>
      <c r="O212" s="7"/>
      <c r="P212" s="7"/>
      <c r="Q212" s="23"/>
      <c r="R212" s="23"/>
      <c r="S212" s="32">
        <f>SUM(U212:U212)/IF(AG212="EC",12,1)</f>
        <v>1</v>
      </c>
      <c r="T212" s="47" t="str">
        <f>IF(ISEVEN(LEFT(AD212,4)),"Southbound","NorthBound")</f>
        <v>Southbound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hh:mm:ss")&amp;utc_offset&amp;"00',mode:absolute,to:'"&amp;TEXT(I212+1/24,"yyyy-MM-DD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https://search-rtdc-monitor-bjffxe2xuh6vdkpspy63sjmuny.us-east-1.es.amazonaws.com/_plugin/kibana/#/discover/Steve-Slow-Train-Analysis-(2080s-and-2083s)?_g=(refreshInterval:(display:Off,section:0,value:0),time:(from:'2017-01-04 03:14:43-700',mode:absolute,to:'2017-01-04 05:25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2" s="49" t="str">
        <f>IF(AA212&lt;IF(AG212="EC",23,5.65),"Y","N")</f>
        <v>Y</v>
      </c>
      <c r="X212" s="173">
        <f>VALUE(LEFT(AD212,4))-VALUE(LEFT(AD211,4))</f>
        <v>1</v>
      </c>
      <c r="Y212" s="64">
        <f t="shared" si="22"/>
        <v>2.2198000000000002</v>
      </c>
      <c r="Z212" s="64">
        <f t="shared" si="23"/>
        <v>1.7600000000000001E-2</v>
      </c>
      <c r="AA212" s="64">
        <f>ABS(Z212-Y212)</f>
        <v>2.2022000000000004</v>
      </c>
      <c r="AB212" s="61" t="e">
        <f>VLOOKUP(A212,Enforcements!$C$7:$K$19,8,0)</f>
        <v>#N/A</v>
      </c>
      <c r="AC212" s="57" t="e">
        <f>VLOOKUP(A212,Enforcements!$C$7:$E$19,3,0)</f>
        <v>#N/A</v>
      </c>
      <c r="AD212" s="58" t="str">
        <f>IF(LEN(A212)=6,"0"&amp;A212,A212)</f>
        <v>0308-04</v>
      </c>
      <c r="AE212" s="8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s3://rtdc.mdm.uploadarchive.raw/RTDC4030/ "%USERPROFILE%\AppData\Local\Temp\OnboardLogs"\RTDC4030\2017-01-04 --exclude "*" --recursive --include "*20170104*" &amp; "%USERPROFILE%\Documents\GitHub\mrs-test-scripts\Headless Mode &amp; Sideloading\WalkAndUnGZ.bat" "%USERPROFILE%\AppData\Local\Temp\OnboardLogs"\RTDC4030\2017-01-04 &amp; 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</v>
      </c>
      <c r="AF212" s="84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/stypes="app*4030*20170104*" /stext=" 11:.+((SYSTEM_STATE.+slice.+state.+changed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88" t="str">
        <f t="shared" si="24"/>
        <v>"%USERPROFILE%\Documents\GitHub\eaglep3\Utilities\RefineRTDCRunTimes.py" --tripid 308-04 --locoid 4030 --swversion DE.1.0.8.0 --startMP 300:22198 --initTime 2017-01-04T04:14:43 --startdatetime 2017-01-04T04:16:44 --delay 1 --endMP 204:176 --enddatetime 2017-01-04T04:25:40 --enforcementcount 0 &gt;&gt;C:\Users\stu\Documents\GitHub\eaglep3-reporting\EC\2017-01-04-refined-times.txt</v>
      </c>
      <c r="AI212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{"issue":{"subject":"","project_id":79,"tracker_id":40,"status_id":1,"priority_id":2,"assigned_to_id":23,"start_date":"2017-01-04","description":"","custom_fields":[{"id":1,"name":"Subdivision","value":"Other"},{"id":4,"name":"Milepost","value":"0.0176"},{"id":17,"name":"Train ID","value":"308-04"},{"id":16,"name":"Locomotive ID","value":"4030"},{"id":130,"name":"Impact","value":""},{"id":150,"name":"Time of Event (Mountain Time)","value":"04:25:40"},{"id":151,"name":"Denver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26"/>
        <v>start /low /b %USERPROFILE%\Documents\GitHub\eaglep3\Utilities\DownloadLogsFromS3.py --loco 4030 --day 2017-01-04</v>
      </c>
    </row>
    <row r="213" spans="1:39" x14ac:dyDescent="0.25">
      <c r="A213" s="34" t="s">
        <v>488</v>
      </c>
      <c r="B213" s="7">
        <v>4010</v>
      </c>
      <c r="C213" s="22" t="s">
        <v>203</v>
      </c>
      <c r="D213" s="22" t="s">
        <v>772</v>
      </c>
      <c r="E213" s="13">
        <v>42739.178622685184</v>
      </c>
      <c r="F213" s="13">
        <v>42739.181817129633</v>
      </c>
      <c r="G213" s="7">
        <v>4</v>
      </c>
      <c r="H213" s="22" t="s">
        <v>297</v>
      </c>
      <c r="I213" s="13">
        <v>42739.191122685188</v>
      </c>
      <c r="J213" s="7">
        <v>0</v>
      </c>
      <c r="K213" s="105" t="str">
        <f>IF(ISEVEN(B213),(B213-1)&amp;"/"&amp;B213,B213&amp;"/"&amp;(B213+1))</f>
        <v>4009/4010</v>
      </c>
      <c r="L213" s="22" t="str">
        <f>VLOOKUP(A213,'Trips&amp;Operators'!$C$1:$G$99999,5,FALSE)</f>
        <v>OUN ZACK</v>
      </c>
      <c r="M213" s="6">
        <f>I213-F213</f>
        <v>9.3055555553291924E-3</v>
      </c>
      <c r="N213" s="7">
        <f>24*60*SUM($M213:$M213)</f>
        <v>13.399999999674037</v>
      </c>
      <c r="O213" s="7"/>
      <c r="P213" s="7"/>
      <c r="Q213" s="23"/>
      <c r="R213" s="23"/>
      <c r="S213" s="32">
        <f>SUM(U213:U213)/IF(AG213="EC",12,1)</f>
        <v>1</v>
      </c>
      <c r="T213" s="47" t="str">
        <f>IF(ISEVEN(LEFT(AD213,4)),"Southbound","NorthBound")</f>
        <v>Southbound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hh:mm:ss")&amp;utc_offset&amp;"00',mode:absolute,to:'"&amp;TEXT(I213+1/24,"yyyy-MM-DD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https://search-rtdc-monitor-bjffxe2xuh6vdkpspy63sjmuny.us-east-1.es.amazonaws.com/_plugin/kibana/#/discover/Steve-Slow-Train-Analysis-(2080s-and-2083s)?_g=(refreshInterval:(display:Off,section:0,value:0),time:(from:'2017-01-04 03:17:13-700',mode:absolute,to:'2017-01-04 05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3" s="49" t="str">
        <f>IF(AA213&lt;IF(AG213="EC",23,5.65),"Y","N")</f>
        <v>Y</v>
      </c>
      <c r="X213" s="173">
        <f>VALUE(LEFT(AD213,4))-VALUE(LEFT(AD212,4))</f>
        <v>2</v>
      </c>
      <c r="Y213" s="64">
        <f t="shared" si="22"/>
        <v>2.3188</v>
      </c>
      <c r="Z213" s="64">
        <f t="shared" si="23"/>
        <v>1.41E-2</v>
      </c>
      <c r="AA213" s="64">
        <f>ABS(Z213-Y213)</f>
        <v>2.3047</v>
      </c>
      <c r="AB213" s="61" t="e">
        <f>VLOOKUP(A213,Enforcements!$C$7:$K$19,8,0)</f>
        <v>#N/A</v>
      </c>
      <c r="AC213" s="57" t="e">
        <f>VLOOKUP(A213,Enforcements!$C$7:$E$19,3,0)</f>
        <v>#N/A</v>
      </c>
      <c r="AD213" s="58" t="str">
        <f>IF(LEN(A213)=6,"0"&amp;A213,A213)</f>
        <v>0310-04</v>
      </c>
      <c r="AE213" s="8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s3://rtdc.mdm.uploadarchive.raw/RTDC4010/ "%USERPROFILE%\AppData\Local\Temp\OnboardLogs"\RTDC4010\2017-01-04 --exclude "*" --recursive --include "*20170104*" &amp; "%USERPROFILE%\Documents\GitHub\mrs-test-scripts\Headless Mode &amp; Sideloading\WalkAndUnGZ.bat" "%USERPROFILE%\AppData\Local\Temp\OnboardLogs"\RTDC4010\2017-01-04 &amp; 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</v>
      </c>
      <c r="AF213" s="84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/stypes="app*4010*20170104*" /stext=" 11:.+((SYSTEM_STATE.+slice.+state.+changed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88" t="str">
        <f t="shared" si="24"/>
        <v>"%USERPROFILE%\Documents\GitHub\eaglep3\Utilities\RefineRTDCRunTimes.py" --tripid 310-04 --locoid 4010 --swversion DE.1.0.8.0 --startMP 300:23188 --initTime 2017-01-04T04:17:13 --startdatetime 2017-01-04T04:21:49 --delay 4 --endMP 204:141 --enddatetime 2017-01-04T04:35:13 --enforcementcount 0 &gt;&gt;C:\Users\stu\Documents\GitHub\eaglep3-reporting\EC\2017-01-04-refined-times.txt</v>
      </c>
      <c r="AI213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{"issue":{"subject":"","project_id":79,"tracker_id":40,"status_id":1,"priority_id":2,"assigned_to_id":23,"start_date":"2017-01-04","description":"","custom_fields":[{"id":1,"name":"Subdivision","value":"Other"},{"id":4,"name":"Milepost","value":"0.0141"},{"id":17,"name":"Train ID","value":"310-04"},{"id":16,"name":"Locomotive ID","value":"4010"},{"id":130,"name":"Impact","value":""},{"id":150,"name":"Time of Event (Mountain Time)","value":"04:35:13"},{"id":151,"name":"Denver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26"/>
        <v>start /low /b %USERPROFILE%\Documents\GitHub\eaglep3\Utilities\DownloadLogsFromS3.py --loco 4010 --day 2017-01-04</v>
      </c>
    </row>
    <row r="214" spans="1:39" x14ac:dyDescent="0.25">
      <c r="A214" s="34" t="s">
        <v>685</v>
      </c>
      <c r="B214" s="7">
        <v>4044</v>
      </c>
      <c r="C214" s="22" t="s">
        <v>203</v>
      </c>
      <c r="D214" s="22" t="s">
        <v>425</v>
      </c>
      <c r="E214" s="13">
        <v>42740.050659722219</v>
      </c>
      <c r="F214" s="13">
        <v>25568.708333333332</v>
      </c>
      <c r="G214" s="7">
        <v>1</v>
      </c>
      <c r="H214" s="22" t="s">
        <v>304</v>
      </c>
      <c r="I214" s="13">
        <v>25568.708333333332</v>
      </c>
      <c r="J214" s="7">
        <v>0</v>
      </c>
      <c r="K214" s="105" t="str">
        <f>IF(ISEVEN(B214),(B214-1)&amp;"/"&amp;B214,B214&amp;"/"&amp;(B214+1))</f>
        <v>4043/4044</v>
      </c>
      <c r="L214" s="22" t="str">
        <f>VLOOKUP(A214,'Trips&amp;Operators'!$C$1:$G$99999,5,FALSE)</f>
        <v>STORY SAMANTHA</v>
      </c>
      <c r="M214" s="6">
        <f>I214-F214</f>
        <v>0</v>
      </c>
      <c r="N214" s="7">
        <f>24*60*SUM($M214:$M214)</f>
        <v>0</v>
      </c>
      <c r="O214" s="7"/>
      <c r="P214" s="7"/>
      <c r="Q214" s="23"/>
      <c r="R214" s="23"/>
      <c r="S214" s="32">
        <f>SUM(U214:U214)/IF(AG214="EC",12,1)</f>
        <v>1</v>
      </c>
      <c r="T214" s="47" t="str">
        <f>IF(ISEVEN(LEFT(AD214,4)),"Southbound","NorthBound")</f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hh:mm:ss")&amp;utc_offset&amp;"00',mode:absolute,to:'"&amp;TEXT(I214+1/24,"yyyy-MM-DD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https://search-rtdc-monitor-bjffxe2xuh6vdkpspy63sjmuny.us-east-1.es.amazonaws.com/_plugin/kibana/#/discover/Steve-Slow-Train-Analysis-(2080s-and-2083s)?_g=(refreshInterval:(display:Off,section:0,value:0),time:(from:'2017-01-05 00:12:57-700',mode:absolute,to:'1969-12-31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4" s="49" t="str">
        <f>IF(AA214&lt;IF(AG214="EC",23,5.65),"Y","N")</f>
        <v>Y</v>
      </c>
      <c r="X214" s="173">
        <f>VALUE(LEFT(AD214,4))-VALUE(LEFT(AD213,4))</f>
        <v>1</v>
      </c>
      <c r="Y214" s="64">
        <f t="shared" si="22"/>
        <v>4.4200000000000003E-2</v>
      </c>
      <c r="Z214" s="64">
        <f t="shared" si="23"/>
        <v>2.3304</v>
      </c>
      <c r="AA214" s="64">
        <f>ABS(Z214-Y214)</f>
        <v>2.2862</v>
      </c>
      <c r="AB214" s="61" t="e">
        <f>VLOOKUP(A214,Enforcements!$C$7:$K$19,8,0)</f>
        <v>#N/A</v>
      </c>
      <c r="AC214" s="57" t="e">
        <f>VLOOKUP(A214,Enforcements!$C$7:$E$19,3,0)</f>
        <v>#N/A</v>
      </c>
      <c r="AD214" s="58" t="str">
        <f>IF(LEN(A214)=6,"0"&amp;A214,A214)</f>
        <v>0311-04</v>
      </c>
      <c r="AE214" s="8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4" s="84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88" t="str">
        <f t="shared" si="24"/>
        <v>"%USERPROFILE%\Documents\GitHub\eaglep3\Utilities\RefineRTDCRunTimes.py" --tripid 311-04 --locoid 4044 --swversion DE.1.0.8.0 --startMP 204:442 --initTime 2017-01-05T01:12:57 --startdatetime 1969-12-31T17:00:00 --delay 1 --endMP 300:23304 --enddatetime 1969-12-31T17:00:00 --enforcementcount 0 &gt;&gt;C:\Users\stu\Documents\GitHub\eaglep3-reporting\EC\2017-01-04-refined-times.txt</v>
      </c>
      <c r="AI214" s="115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ID","value":"311-04"},{"id":16,"name":"Locomotive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26"/>
        <v>start /low /b %USERPROFILE%\Documents\GitHub\eaglep3\Utilities\DownloadLogsFromS3.py --loco 4044 --day 1969-12-31</v>
      </c>
    </row>
    <row r="215" spans="1:39" x14ac:dyDescent="0.25">
      <c r="A215" s="34" t="s">
        <v>687</v>
      </c>
      <c r="B215" s="7">
        <v>4016</v>
      </c>
      <c r="C215" s="22" t="s">
        <v>203</v>
      </c>
      <c r="D215" s="22" t="s">
        <v>773</v>
      </c>
      <c r="E215" s="13">
        <v>42740.074189814812</v>
      </c>
      <c r="F215" s="13">
        <v>25568.708333333332</v>
      </c>
      <c r="G215" s="7">
        <v>1</v>
      </c>
      <c r="H215" s="22" t="s">
        <v>304</v>
      </c>
      <c r="I215" s="13">
        <v>25568.708333333332</v>
      </c>
      <c r="J215" s="7">
        <v>0</v>
      </c>
      <c r="K215" s="105" t="str">
        <f>IF(ISEVEN(B215),(B215-1)&amp;"/"&amp;B215,B215&amp;"/"&amp;(B215+1))</f>
        <v>4015/4016</v>
      </c>
      <c r="L215" s="22" t="str">
        <f>VLOOKUP(A215,'Trips&amp;Operators'!$C$1:$G$99999,5,FALSE)</f>
        <v>BROWN JACOB</v>
      </c>
      <c r="M215" s="6">
        <f>I215-F215</f>
        <v>0</v>
      </c>
      <c r="N215" s="7">
        <f>24*60*SUM($M215:$M215)</f>
        <v>0</v>
      </c>
      <c r="O215" s="7"/>
      <c r="P215" s="7"/>
      <c r="Q215" s="23"/>
      <c r="R215" s="23"/>
      <c r="S215" s="32">
        <f>SUM(U215:U215)/IF(AG215="EC",12,1)</f>
        <v>1</v>
      </c>
      <c r="T215" s="47" t="str">
        <f>IF(ISEVEN(LEFT(AD215,4)),"Southbound","NorthBound")</f>
        <v>NorthBound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hh:mm:ss")&amp;utc_offset&amp;"00',mode:absolute,to:'"&amp;TEXT(I215+1/24,"yyyy-MM-DD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https://search-rtdc-monitor-bjffxe2xuh6vdkpspy63sjmuny.us-east-1.es.amazonaws.com/_plugin/kibana/#/discover/Steve-Slow-Train-Analysis-(2080s-and-2083s)?_g=(refreshInterval:(display:Off,section:0,value:0),time:(from:'2017-01-05 00:46:50-700',mode:absolute,to:'1969-12-31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5" s="49" t="str">
        <f>IF(AA215&lt;IF(AG215="EC",23,5.65),"Y","N")</f>
        <v>Y</v>
      </c>
      <c r="X215" s="173">
        <f>VALUE(LEFT(AD215,4))-VALUE(LEFT(AD214,4))</f>
        <v>2</v>
      </c>
      <c r="Y215" s="64">
        <f t="shared" si="22"/>
        <v>0.1391</v>
      </c>
      <c r="Z215" s="64">
        <f t="shared" si="23"/>
        <v>2.3304</v>
      </c>
      <c r="AA215" s="64">
        <f>ABS(Z215-Y215)</f>
        <v>2.1913</v>
      </c>
      <c r="AB215" s="61" t="e">
        <f>VLOOKUP(A215,Enforcements!$C$7:$K$19,8,0)</f>
        <v>#N/A</v>
      </c>
      <c r="AC215" s="57" t="e">
        <f>VLOOKUP(A215,Enforcements!$C$7:$E$19,3,0)</f>
        <v>#N/A</v>
      </c>
      <c r="AD215" s="58" t="str">
        <f>IF(LEN(A215)=6,"0"&amp;A215,A215)</f>
        <v>0313-04</v>
      </c>
      <c r="AE215" s="8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5" s="84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88" t="str">
        <f t="shared" si="24"/>
        <v>"%USERPROFILE%\Documents\GitHub\eaglep3\Utilities\RefineRTDCRunTimes.py" --tripid 313-04 --locoid 4016 --swversion DE.1.0.8.0 --startMP 204:1391 --initTime 2017-01-05T01:46:50 --startdatetime 1969-12-31T17:00:00 --delay 1 --endMP 300:23304 --enddatetime 1969-12-31T17:00:00 --enforcementcount 0 &gt;&gt;C:\Users\stu\Documents\GitHub\eaglep3-reporting\EC\2017-01-04-refined-times.txt</v>
      </c>
      <c r="AI215" s="115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ID","value":"313-04"},{"id":16,"name":"Locomotive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26"/>
        <v>start /low /b %USERPROFILE%\Documents\GitHub\eaglep3\Utilities\DownloadLogsFromS3.py --loco 4016 --day 1969-12-31</v>
      </c>
    </row>
    <row r="216" spans="1:39" x14ac:dyDescent="0.25">
      <c r="A216" s="34" t="s">
        <v>687</v>
      </c>
      <c r="B216" s="7">
        <v>4016</v>
      </c>
      <c r="C216" s="22" t="s">
        <v>203</v>
      </c>
      <c r="D216" s="22" t="s">
        <v>319</v>
      </c>
      <c r="E216" s="13">
        <v>42740.070092592592</v>
      </c>
      <c r="F216" s="13">
        <v>25568.708333333332</v>
      </c>
      <c r="G216" s="7">
        <v>1</v>
      </c>
      <c r="H216" s="22" t="s">
        <v>774</v>
      </c>
      <c r="I216" s="13">
        <v>25568.708333333332</v>
      </c>
      <c r="J216" s="7">
        <v>0</v>
      </c>
      <c r="K216" s="105" t="str">
        <f>IF(ISEVEN(B216),(B216-1)&amp;"/"&amp;B216,B216&amp;"/"&amp;(B216+1))</f>
        <v>4015/4016</v>
      </c>
      <c r="L216" s="22" t="str">
        <f>VLOOKUP(A216,'Trips&amp;Operators'!$C$1:$G$99999,5,FALSE)</f>
        <v>BROWN JACOB</v>
      </c>
      <c r="M216" s="6">
        <f>I216-F216</f>
        <v>0</v>
      </c>
      <c r="N216" s="7">
        <f>24*60*SUM($M216:$M216)</f>
        <v>0</v>
      </c>
      <c r="O216" s="7"/>
      <c r="P216" s="7"/>
      <c r="Q216" s="23"/>
      <c r="R216" s="23"/>
      <c r="S216" s="32">
        <f>SUM(U216:U216)/IF(AG216="EC",12,1)</f>
        <v>0</v>
      </c>
      <c r="T216" s="47" t="str">
        <f>IF(ISEVEN(LEFT(AD216,4)),"Southbound","NorthBound")</f>
        <v>NorthBound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hh:mm:ss")&amp;utc_offset&amp;"00',mode:absolute,to:'"&amp;TEXT(I216+1/24,"yyyy-MM-DD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https://search-rtdc-monitor-bjffxe2xuh6vdkpspy63sjmuny.us-east-1.es.amazonaws.com/_plugin/kibana/#/discover/Steve-Slow-Train-Analysis-(2080s-and-2083s)?_g=(refreshInterval:(display:Off,section:0,value:0),time:(from:'2017-01-05 00:40:56-700',mode:absolute,to:'1969-12-31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6" s="49" t="str">
        <f>IF(AA216&lt;IF(AG216="EC",23,5.65),"Y","N")</f>
        <v>Y</v>
      </c>
      <c r="X216" s="173">
        <f>VALUE(LEFT(AD216,4))-VALUE(LEFT(AD215,4))</f>
        <v>0</v>
      </c>
      <c r="Y216" s="64">
        <f t="shared" si="22"/>
        <v>4.7100000000000003E-2</v>
      </c>
      <c r="Z216" s="64">
        <f t="shared" si="23"/>
        <v>0.1198</v>
      </c>
      <c r="AA216" s="64">
        <f>ABS(Z216-Y216)</f>
        <v>7.2700000000000001E-2</v>
      </c>
      <c r="AB216" s="61" t="e">
        <f>VLOOKUP(A216,Enforcements!$C$7:$K$19,8,0)</f>
        <v>#N/A</v>
      </c>
      <c r="AC216" s="57" t="e">
        <f>VLOOKUP(A216,Enforcements!$C$7:$E$19,3,0)</f>
        <v>#N/A</v>
      </c>
      <c r="AD216" s="58" t="str">
        <f>IF(LEN(A216)=6,"0"&amp;A216,A216)</f>
        <v>0313-04</v>
      </c>
      <c r="AE216" s="8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6" s="84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88" t="str">
        <f t="shared" si="24"/>
        <v>"%USERPROFILE%\Documents\GitHub\eaglep3\Utilities\RefineRTDCRunTimes.py" --tripid 313-04 --locoid 4016 --swversion DE.1.0.8.0 --startMP 204:471 --initTime 2017-01-05T01:40:56 --startdatetime 1969-12-31T17:00:00 --delay 1 --endMP 204:1198 --enddatetime 1969-12-31T17:00:00 --enforcementcount 0 &gt;&gt;C:\Users\stu\Documents\GitHub\eaglep3-reporting\EC\2017-01-04-refined-times.txt</v>
      </c>
      <c r="AI216" s="115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{"issue":{"subject":"","project_id":79,"tracker_id":40,"status_id":1,"priority_id":2,"assigned_to_id":23,"start_date":"1969-12-31","description":"","custom_fields":[{"id":1,"name":"Subdivision","value":"Other"},{"id":4,"name":"Milepost","value":"0.1198"},{"id":17,"name":"Train ID","value":"313-04"},{"id":16,"name":"Locomotive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26"/>
        <v>start /low /b %USERPROFILE%\Documents\GitHub\eaglep3\Utilities\DownloadLogsFromS3.py --loco 4016 --day 1969-12-31</v>
      </c>
    </row>
    <row r="217" spans="1:39" x14ac:dyDescent="0.25">
      <c r="A217" s="34" t="s">
        <v>403</v>
      </c>
      <c r="B217" s="7">
        <v>4018</v>
      </c>
      <c r="C217" s="22" t="s">
        <v>203</v>
      </c>
      <c r="D217" s="22" t="s">
        <v>372</v>
      </c>
      <c r="E217" s="13">
        <v>42739.087500000001</v>
      </c>
      <c r="F217" s="13">
        <v>25568.708333333332</v>
      </c>
      <c r="G217" s="7">
        <v>1</v>
      </c>
      <c r="H217" s="22" t="s">
        <v>429</v>
      </c>
      <c r="I217" s="13">
        <v>25568.708333333332</v>
      </c>
      <c r="J217" s="7">
        <v>0</v>
      </c>
      <c r="K217" s="105" t="str">
        <f>IF(ISEVEN(B217),(B217-1)&amp;"/"&amp;B217,B217&amp;"/"&amp;(B217+1))</f>
        <v>4017/4018</v>
      </c>
      <c r="L217" s="22" t="str">
        <f>VLOOKUP(A217,'Trips&amp;Operators'!$C$1:$G$99999,5,FALSE)</f>
        <v>STAMBAUGH JAMES</v>
      </c>
      <c r="M217" s="6">
        <f>I217-F217</f>
        <v>0</v>
      </c>
      <c r="N217" s="7">
        <f>24*60*SUM($M217:$M217)</f>
        <v>0</v>
      </c>
      <c r="O217" s="7"/>
      <c r="P217" s="7"/>
      <c r="Q217" s="23"/>
      <c r="R217" s="23"/>
      <c r="S217" s="32">
        <f>SUM(U217:U217)/IF(AG217="EC",12,1)</f>
        <v>1</v>
      </c>
      <c r="T217" s="47" t="str">
        <f>IF(ISEVEN(LEFT(AD217,4)),"Southbound","NorthBound")</f>
        <v>NorthBound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hh:mm:ss")&amp;utc_offset&amp;"00',mode:absolute,to:'"&amp;TEXT(I217+1/24,"yyyy-MM-DD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https://search-rtdc-monitor-bjffxe2xuh6vdkpspy63sjmuny.us-east-1.es.amazonaws.com/_plugin/kibana/#/discover/Steve-Slow-Train-Analysis-(2080s-and-2083s)?_g=(refreshInterval:(display:Off,section:0,value:0),time:(from:'2017-01-04 01:06:00-700',mode:absolute,to:'1969-12-31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7" s="49" t="str">
        <f>IF(AA217&lt;IF(AG217="EC",23,5.65),"Y","N")</f>
        <v>Y</v>
      </c>
      <c r="X217" s="173">
        <f>VALUE(LEFT(AD217,4))-VALUE(LEFT(AD216,4))</f>
        <v>2</v>
      </c>
      <c r="Y217" s="64">
        <f t="shared" si="22"/>
        <v>4.58E-2</v>
      </c>
      <c r="Z217" s="64">
        <f t="shared" si="23"/>
        <v>2.3313999999999999</v>
      </c>
      <c r="AA217" s="64">
        <f>ABS(Z217-Y217)</f>
        <v>2.2856000000000001</v>
      </c>
      <c r="AB217" s="61" t="e">
        <f>VLOOKUP(A217,Enforcements!$C$7:$K$19,8,0)</f>
        <v>#N/A</v>
      </c>
      <c r="AC217" s="57" t="e">
        <f>VLOOKUP(A217,Enforcements!$C$7:$E$19,3,0)</f>
        <v>#N/A</v>
      </c>
      <c r="AD217" s="58" t="str">
        <f>IF(LEN(A217)=6,"0"&amp;A217,A217)</f>
        <v>0315-03</v>
      </c>
      <c r="AE217" s="8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7" s="84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88" t="str">
        <f t="shared" si="24"/>
        <v>"%USERPROFILE%\Documents\GitHub\eaglep3\Utilities\RefineRTDCRunTimes.py" --tripid 315-03 --locoid 4018 --swversion DE.1.0.8.0 --startMP 204:458 --initTime 2017-01-04T02:06:00 --startdatetime 1969-12-31T17:00:00 --delay 1 --endMP 300:23314 --enddatetime 1969-12-31T17:00:00 --enforcementcount 0 &gt;&gt;C:\Users\stu\Documents\GitHub\eaglep3-reporting\EC\2017-01-04-refined-times.txt</v>
      </c>
      <c r="AI217" s="115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ID","value":"315-03"},{"id":16,"name":"Locomotive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26"/>
        <v>start /low /b %USERPROFILE%\Documents\GitHub\eaglep3\Utilities\DownloadLogsFromS3.py --loco 4018 --day 1969-12-31</v>
      </c>
    </row>
    <row r="218" spans="1:39" x14ac:dyDescent="0.25">
      <c r="A218" s="34" t="s">
        <v>688</v>
      </c>
      <c r="B218" s="7">
        <v>4029</v>
      </c>
      <c r="C218" s="22" t="s">
        <v>203</v>
      </c>
      <c r="D218" s="22" t="s">
        <v>247</v>
      </c>
      <c r="E218" s="13">
        <v>42740.089108796295</v>
      </c>
      <c r="F218" s="13">
        <v>25568.708333333332</v>
      </c>
      <c r="G218" s="7">
        <v>1</v>
      </c>
      <c r="H218" s="22" t="s">
        <v>767</v>
      </c>
      <c r="I218" s="13">
        <v>25568.708333333332</v>
      </c>
      <c r="J218" s="7">
        <v>0</v>
      </c>
      <c r="K218" s="105" t="str">
        <f>IF(ISEVEN(B218),(B218-1)&amp;"/"&amp;B218,B218&amp;"/"&amp;(B218+1))</f>
        <v>4029/4030</v>
      </c>
      <c r="L218" s="22" t="str">
        <f>VLOOKUP(A218,'Trips&amp;Operators'!$C$1:$G$99999,5,FALSE)</f>
        <v>DUNCAN SHEILA</v>
      </c>
      <c r="M218" s="6">
        <f>I218-F218</f>
        <v>0</v>
      </c>
      <c r="N218" s="7">
        <f>24*60*SUM($M218:$M218)</f>
        <v>0</v>
      </c>
      <c r="O218" s="7"/>
      <c r="P218" s="7"/>
      <c r="Q218" s="23"/>
      <c r="R218" s="23"/>
      <c r="S218" s="32">
        <f>SUM(U218:U218)/IF(AG218="EC",12,1)</f>
        <v>1</v>
      </c>
      <c r="T218" s="47" t="str">
        <f>IF(ISEVEN(LEFT(AD218,4)),"Southbound","NorthBound")</f>
        <v>NorthBound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4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hh:mm:ss")&amp;utc_offset&amp;"00',mode:absolute,to:'"&amp;TEXT(I218+1/24,"yyyy-MM-DD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https://search-rtdc-monitor-bjffxe2xuh6vdkpspy63sjmuny.us-east-1.es.amazonaws.com/_plugin/kibana/#/discover/Steve-Slow-Train-Analysis-(2080s-and-2083s)?_g=(refreshInterval:(display:Off,section:0,value:0),time:(from:'2017-01-05 01:08:19-700',mode:absolute,to:'1969-12-31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8" s="49" t="str">
        <f>IF(AA218&lt;IF(AG218="EC",23,5.65),"Y","N")</f>
        <v>Y</v>
      </c>
      <c r="X218" s="173">
        <f>VALUE(LEFT(AD218,4))-VALUE(LEFT(AD217,4))</f>
        <v>0</v>
      </c>
      <c r="Y218" s="64">
        <f t="shared" si="22"/>
        <v>4.6399999999999997E-2</v>
      </c>
      <c r="Z218" s="64">
        <f t="shared" si="23"/>
        <v>2.3308</v>
      </c>
      <c r="AA218" s="64">
        <f>ABS(Z218-Y218)</f>
        <v>2.2843999999999998</v>
      </c>
      <c r="AB218" s="61" t="e">
        <f>VLOOKUP(A218,Enforcements!$C$7:$K$19,8,0)</f>
        <v>#N/A</v>
      </c>
      <c r="AC218" s="57" t="e">
        <f>VLOOKUP(A218,Enforcements!$C$7:$E$19,3,0)</f>
        <v>#N/A</v>
      </c>
      <c r="AD218" s="58" t="str">
        <f>IF(LEN(A218)=6,"0"&amp;A218,A218)</f>
        <v>0315-04</v>
      </c>
      <c r="AE218" s="8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8" s="84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88" t="str">
        <f t="shared" si="24"/>
        <v>"%USERPROFILE%\Documents\GitHub\eaglep3\Utilities\RefineRTDCRunTimes.py" --tripid 315-04 --locoid 4029 --swversion DE.1.0.8.0 --startMP 204:464 --initTime 2017-01-05T02:08:19 --startdatetime 1969-12-31T17:00:00 --delay 1 --endMP 300:23308 --enddatetime 1969-12-31T17:00:00 --enforcementcount 0 &gt;&gt;C:\Users\stu\Documents\GitHub\eaglep3-reporting\EC\2017-01-04-refined-times.txt</v>
      </c>
      <c r="AI218" s="115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ID","value":"315-04"},{"id":16,"name":"Locomotive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26"/>
        <v>start /low /b %USERPROFILE%\Documents\GitHub\eaglep3\Utilities\DownloadLogsFromS3.py --loco 4029 --day 1969-12-31</v>
      </c>
    </row>
    <row r="219" spans="1:39" x14ac:dyDescent="0.25">
      <c r="A219" s="34" t="s">
        <v>492</v>
      </c>
      <c r="B219" s="7">
        <v>4007</v>
      </c>
      <c r="C219" s="22" t="s">
        <v>203</v>
      </c>
      <c r="D219" s="22" t="s">
        <v>836</v>
      </c>
      <c r="E219" s="13">
        <v>42739.203865740739</v>
      </c>
      <c r="F219" s="13">
        <v>42739.204861111109</v>
      </c>
      <c r="G219" s="7">
        <v>1</v>
      </c>
      <c r="H219" s="22" t="s">
        <v>835</v>
      </c>
      <c r="I219" s="13">
        <v>42739.210428240738</v>
      </c>
      <c r="J219" s="7">
        <v>0</v>
      </c>
      <c r="K219" s="105" t="str">
        <f>IF(ISEVEN(B219),(B219-1)&amp;"/"&amp;B219,B219&amp;"/"&amp;(B219+1))</f>
        <v>4007/4008</v>
      </c>
      <c r="L219" s="22" t="str">
        <f>VLOOKUP(A219,'Trips&amp;Operators'!$C$1:$G$99999,5,FALSE)</f>
        <v>YORK EDGAR</v>
      </c>
      <c r="M219" s="6">
        <f>I219-F219</f>
        <v>5.5671296286163852E-3</v>
      </c>
      <c r="N219" s="7">
        <f>24*60*SUM($M219:$M219)</f>
        <v>8.0166666652075946</v>
      </c>
      <c r="O219" s="7"/>
      <c r="P219" s="7"/>
      <c r="Q219" s="23"/>
      <c r="R219" s="23"/>
      <c r="S219" s="32">
        <f>SUM(U219:U219)/IF(AG219="EC",12,1)</f>
        <v>0</v>
      </c>
      <c r="T219" s="47" t="str">
        <f>IF(ISEVEN(LEFT(AD219,4)),"Southbound","NorthBound")</f>
        <v>NorthBound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hh:mm:ss")&amp;utc_offset&amp;"00',mode:absolute,to:'"&amp;TEXT(I219+1/24,"yyyy-MM-DD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https://search-rtdc-monitor-bjffxe2xuh6vdkpspy63sjmuny.us-east-1.es.amazonaws.com/_plugin/kibana/#/discover/Steve-Slow-Train-Analysis-(2080s-and-2083s)?_g=(refreshInterval:(display:Off,section:0,value:0),time:(from:'2017-01-04 03:53:34-700',mode:absolute,to:'2017-01-04 06:03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9" s="49" t="str">
        <f>IF(AA219&lt;IF(AG219="EC",23,5.65),"Y","N")</f>
        <v>Y</v>
      </c>
      <c r="X219" s="173">
        <f>VALUE(LEFT(AD219,4))-VALUE(LEFT(AD218,4))</f>
        <v>586</v>
      </c>
      <c r="Y219" s="64">
        <f t="shared" si="22"/>
        <v>3.0341</v>
      </c>
      <c r="Z219" s="64">
        <f t="shared" si="23"/>
        <v>5.8920000000000003</v>
      </c>
      <c r="AA219" s="64">
        <f>ABS(Z219-Y219)</f>
        <v>2.8579000000000003</v>
      </c>
      <c r="AB219" s="61" t="e">
        <f>VLOOKUP(A219,Enforcements!$C$7:$K$19,8,0)</f>
        <v>#N/A</v>
      </c>
      <c r="AC219" s="57" t="e">
        <f>VLOOKUP(A219,Enforcements!$C$7:$E$19,3,0)</f>
        <v>#N/A</v>
      </c>
      <c r="AD219" s="58" t="str">
        <f>IF(LEN(A219)=6,"0"&amp;A219,A219)</f>
        <v>0901-04</v>
      </c>
      <c r="AE219" s="8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 &amp; 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</v>
      </c>
      <c r="AF219" s="84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/stypes="app*4007*20170104*" /stext=" 12:.+((SYSTEM_STATE.+slice.+state.+changed )|(ment ac)|(multiple cpu faults)|(system.+state.+changed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88" t="str">
        <f t="shared" si="24"/>
        <v>"%USERPROFILE%\Documents\GitHub\eaglep3\Utilities\RefineRTDCRunTimes.py" --tripid 901-04 --locoid 4007 --swversion DE.1.0.8.0 --startMP 300:30341 --initTime 2017-01-04T04:53:34 --startdatetime 2017-01-04T04:55:00 --delay 1 --endMP 300:58920 --enddatetime 2017-01-04T05:03:01 --enforcementcount 0 &gt;&gt;C:\Users\stu\Documents\GitHub\eaglep3-reporting\EC\2017-01-04-refined-times.txt</v>
      </c>
      <c r="AI219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{"issue":{"subject":"","project_id":79,"tracker_id":40,"status_id":1,"priority_id":2,"assigned_to_id":23,"start_date":"2017-01-04","description":"","custom_fields":[{"id":1,"name":"Subdivision","value":"Other"},{"id":4,"name":"Milepost","value":"5.892"},{"id":17,"name":"Train ID","value":"901-04"},{"id":16,"name":"Locomotive ID","value":"4007"},{"id":130,"name":"Impact","value":""},{"id":150,"name":"Time of Event (Mountain Time)","value":"05:03:01"},{"id":151,"name":"Denver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26"/>
        <v>start /low /b %USERPROFILE%\Documents\GitHub\eaglep3\Utilities\DownloadLogsFromS3.py --loco 4007 --day 2017-01-04</v>
      </c>
    </row>
    <row r="220" spans="1:39" x14ac:dyDescent="0.25">
      <c r="A220" s="34" t="s">
        <v>508</v>
      </c>
      <c r="B220" s="7">
        <v>4012</v>
      </c>
      <c r="C220" s="22" t="s">
        <v>203</v>
      </c>
      <c r="D220" s="22" t="s">
        <v>837</v>
      </c>
      <c r="E220" s="13">
        <v>42739.252986111111</v>
      </c>
      <c r="F220" s="13">
        <v>42739.254270833335</v>
      </c>
      <c r="G220" s="7">
        <v>1</v>
      </c>
      <c r="H220" s="22" t="s">
        <v>440</v>
      </c>
      <c r="I220" s="13">
        <v>42739.260428240741</v>
      </c>
      <c r="J220" s="7">
        <v>0</v>
      </c>
      <c r="K220" s="105" t="str">
        <f>IF(ISEVEN(B220),(B220-1)&amp;"/"&amp;B220,B220&amp;"/"&amp;(B220+1))</f>
        <v>4011/4012</v>
      </c>
      <c r="L220" s="22" t="str">
        <f>VLOOKUP(A220,'Trips&amp;Operators'!$C$1:$G$99999,5,FALSE)</f>
        <v>LOZA FIDEL</v>
      </c>
      <c r="M220" s="6">
        <f>I220-F220</f>
        <v>6.1574074061354622E-3</v>
      </c>
      <c r="N220" s="7">
        <f>24*60*SUM($M220:$M220)</f>
        <v>8.8666666648350656</v>
      </c>
      <c r="O220" s="7"/>
      <c r="P220" s="7"/>
      <c r="Q220" s="23"/>
      <c r="R220" s="23"/>
      <c r="S220" s="32">
        <f>SUM(U220:U220)/IF(AG220="EC",12,1)</f>
        <v>1</v>
      </c>
      <c r="T220" s="47" t="str">
        <f>IF(ISEVEN(LEFT(AD220,4)),"Southbound","NorthBound")</f>
        <v>Southbound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4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hh:mm:ss")&amp;utc_offset&amp;"00',mode:absolute,to:'"&amp;TEXT(I220+1/24,"yyyy-MM-DD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https://search-rtdc-monitor-bjffxe2xuh6vdkpspy63sjmuny.us-east-1.es.amazonaws.com/_plugin/kibana/#/discover/Steve-Slow-Train-Analysis-(2080s-and-2083s)?_g=(refreshInterval:(display:Off,section:0,value:0),time:(from:'2017-01-04 05:04:18-700',mode:absolute,to:'2017-01-04 07:15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0" s="49" t="str">
        <f>IF(AA220&lt;IF(AG220="EC",23,5.65),"Y","N")</f>
        <v>Y</v>
      </c>
      <c r="X220" s="173">
        <f>VALUE(LEFT(AD220,4))-VALUE(LEFT(AD219,4))</f>
        <v>1</v>
      </c>
      <c r="Y220" s="64">
        <f t="shared" si="22"/>
        <v>2.3359999999999999</v>
      </c>
      <c r="Z220" s="64">
        <f t="shared" si="23"/>
        <v>6.7799999999999999E-2</v>
      </c>
      <c r="AA220" s="64">
        <f>ABS(Z220-Y220)</f>
        <v>2.2681999999999998</v>
      </c>
      <c r="AB220" s="61" t="e">
        <f>VLOOKUP(A220,Enforcements!$C$7:$K$19,8,0)</f>
        <v>#N/A</v>
      </c>
      <c r="AC220" s="57" t="e">
        <f>VLOOKUP(A220,Enforcements!$C$7:$E$19,3,0)</f>
        <v>#N/A</v>
      </c>
      <c r="AD220" s="58" t="str">
        <f>IF(LEN(A220)=6,"0"&amp;A220,A220)</f>
        <v>0902-04</v>
      </c>
      <c r="AE220" s="8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AF220" s="84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/stypes="app*4012*20170104*" /stext=" 13:.+((SYSTEM_STATE.+slice.+state.+changed )|(ment ac)|(multiple cpu faults)|(system.+state.+changed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88" t="str">
        <f t="shared" si="24"/>
        <v>"%USERPROFILE%\Documents\GitHub\eaglep3\Utilities\RefineRTDCRunTimes.py" --tripid 902-04 --locoid 4012 --swversion DE.1.0.8.0 --startMP 300:23360 --initTime 2017-01-04T06:04:18 --startdatetime 2017-01-04T06:06:09 --delay 1 --endMP 204:678 --enddatetime 2017-01-04T06:15:01 --enforcementcount 0 &gt;&gt;C:\Users\stu\Documents\GitHub\eaglep3-reporting\EC\2017-01-04-refined-times.txt</v>
      </c>
      <c r="AI220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{"issue":{"subject":"","project_id":79,"tracker_id":40,"status_id":1,"priority_id":2,"assigned_to_id":23,"start_date":"2017-01-04","description":"","custom_fields":[{"id":1,"name":"Subdivision","value":"Other"},{"id":4,"name":"Milepost","value":"0.0678"},{"id":17,"name":"Train ID","value":"902-04"},{"id":16,"name":"Locomotive ID","value":"4012"},{"id":130,"name":"Impact","value":""},{"id":150,"name":"Time of Event (Mountain Time)","value":"06:15:01"},{"id":151,"name":"Denver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26"/>
        <v>start /low /b %USERPROFILE%\Documents\GitHub\eaglep3\Utilities\DownloadLogsFromS3.py --loco 4012 --day 2017-01-04</v>
      </c>
    </row>
    <row r="221" spans="1:39" x14ac:dyDescent="0.25">
      <c r="A221" s="34" t="s">
        <v>534</v>
      </c>
      <c r="B221" s="7">
        <v>4007</v>
      </c>
      <c r="C221" s="22" t="s">
        <v>203</v>
      </c>
      <c r="D221" s="22" t="s">
        <v>838</v>
      </c>
      <c r="E221" s="13">
        <v>42739.352025462962</v>
      </c>
      <c r="F221" s="13">
        <v>42739.353078703702</v>
      </c>
      <c r="G221" s="7">
        <v>0</v>
      </c>
      <c r="H221" s="22" t="s">
        <v>839</v>
      </c>
      <c r="I221" s="13">
        <v>42739.35837962963</v>
      </c>
      <c r="J221" s="7">
        <v>0</v>
      </c>
      <c r="K221" s="105" t="str">
        <f>IF(ISEVEN(B221),(B221-1)&amp;"/"&amp;B221,B221&amp;"/"&amp;(B221+1))</f>
        <v>4007/4008</v>
      </c>
      <c r="L221" s="22" t="str">
        <f>VLOOKUP(A221,'Trips&amp;Operators'!$C$1:$G$99999,5,FALSE)</f>
        <v>YORK EDGAR</v>
      </c>
      <c r="M221" s="6">
        <f>I221-F221</f>
        <v>5.3009259281679988E-3</v>
      </c>
      <c r="N221" s="7">
        <f>24*60*SUM($M221:$M221)</f>
        <v>7.6333333365619183</v>
      </c>
      <c r="O221" s="7"/>
      <c r="P221" s="7"/>
      <c r="Q221" s="23"/>
      <c r="R221" s="23"/>
      <c r="S221" s="32">
        <f>SUM(U221:U221)/IF(AG221="EC",12,1)</f>
        <v>1</v>
      </c>
      <c r="T221" s="47" t="str">
        <f>IF(ISEVEN(LEFT(AD221,4)),"Southbound","NorthBound")</f>
        <v>NorthBound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4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hh:mm:ss")&amp;utc_offset&amp;"00',mode:absolute,to:'"&amp;TEXT(I221+1/24,"yyyy-MM-DD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https://search-rtdc-monitor-bjffxe2xuh6vdkpspy63sjmuny.us-east-1.es.amazonaws.com/_plugin/kibana/#/discover/Steve-Slow-Train-Analysis-(2080s-and-2083s)?_g=(refreshInterval:(display:Off,section:0,value:0),time:(from:'2017-01-04 07:26:55-700',mode:absolute,to:'2017-01-04 09:36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1" s="49" t="str">
        <f>IF(AA221&lt;IF(AG221="EC",23,5.65),"Y","N")</f>
        <v>Y</v>
      </c>
      <c r="X221" s="173">
        <f>VALUE(LEFT(AD221,4))-VALUE(LEFT(AD220,4))</f>
        <v>1</v>
      </c>
      <c r="Y221" s="64">
        <f t="shared" si="22"/>
        <v>0.1114</v>
      </c>
      <c r="Z221" s="64">
        <f t="shared" si="23"/>
        <v>2.4258000000000002</v>
      </c>
      <c r="AA221" s="64">
        <f>ABS(Z221-Y221)</f>
        <v>2.3144</v>
      </c>
      <c r="AB221" s="61" t="e">
        <f>VLOOKUP(A221,Enforcements!$C$7:$K$19,8,0)</f>
        <v>#N/A</v>
      </c>
      <c r="AC221" s="57" t="e">
        <f>VLOOKUP(A221,Enforcements!$C$7:$E$19,3,0)</f>
        <v>#N/A</v>
      </c>
      <c r="AD221" s="58" t="str">
        <f>IF(LEN(A221)=6,"0"&amp;A221,A221)</f>
        <v>0903-04</v>
      </c>
      <c r="AE221" s="8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 &amp; 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</v>
      </c>
      <c r="AF221" s="84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/stypes="app*4007*20170104*" /stext=" 15:.+((SYSTEM_STATE.+slice.+state.+changed )|(ment ac)|(multiple cpu faults)|(system.+state.+changed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88" t="str">
        <f t="shared" si="24"/>
        <v>"%USERPROFILE%\Documents\GitHub\eaglep3\Utilities\RefineRTDCRunTimes.py" --tripid 903-04 --locoid 4007 --swversion DE.1.0.8.0 --startMP 204:1114 --initTime 2017-01-04T08:26:55 --startdatetime 2017-01-04T08:28:26 --delay 0 --endMP 300:24258 --enddatetime 2017-01-04T08:36:04 --enforcementcount 0 &gt;&gt;C:\Users\stu\Documents\GitHub\eaglep3-reporting\EC\2017-01-04-refined-times.txt</v>
      </c>
      <c r="AI221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{"issue":{"subject":"","project_id":79,"tracker_id":40,"status_id":1,"priority_id":2,"assigned_to_id":23,"start_date":"2017-01-04","description":"","custom_fields":[{"id":1,"name":"Subdivision","value":"Other"},{"id":4,"name":"Milepost","value":"2.4258"},{"id":17,"name":"Train ID","value":"903-04"},{"id":16,"name":"Locomotive ID","value":"4007"},{"id":130,"name":"Impact","value":""},{"id":150,"name":"Time of Event (Mountain Time)","value":"08:36:04"},{"id":151,"name":"Denver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26"/>
        <v>start /low /b %USERPROFILE%\Documents\GitHub\eaglep3\Utilities\DownloadLogsFromS3.py --loco 4007 --day 2017-01-04</v>
      </c>
    </row>
    <row r="222" spans="1:39" x14ac:dyDescent="0.25">
      <c r="A222" s="34" t="s">
        <v>607</v>
      </c>
      <c r="B222" s="7">
        <v>4008</v>
      </c>
      <c r="C222" s="22" t="s">
        <v>203</v>
      </c>
      <c r="D222" s="22" t="s">
        <v>840</v>
      </c>
      <c r="E222" s="13">
        <v>42739.645219907405</v>
      </c>
      <c r="F222" s="13">
        <v>42739.646319444444</v>
      </c>
      <c r="G222" s="7">
        <v>1</v>
      </c>
      <c r="H222" s="22" t="s">
        <v>841</v>
      </c>
      <c r="I222" s="13">
        <v>42739.654328703706</v>
      </c>
      <c r="J222" s="7">
        <v>0</v>
      </c>
      <c r="K222" s="105" t="str">
        <f>IF(ISEVEN(B222),(B222-1)&amp;"/"&amp;B222,B222&amp;"/"&amp;(B222+1))</f>
        <v>4007/4008</v>
      </c>
      <c r="L222" s="22" t="str">
        <f>VLOOKUP(A222,'Trips&amp;Operators'!$C$1:$G$99999,5,FALSE)</f>
        <v>CHANDLER KELVIN</v>
      </c>
      <c r="M222" s="6">
        <f>I222-F222</f>
        <v>8.0092592615983449E-3</v>
      </c>
      <c r="N222" s="7">
        <f>24*60*SUM($M222:$M222)</f>
        <v>11.533333336701617</v>
      </c>
      <c r="O222" s="7"/>
      <c r="P222" s="7"/>
      <c r="Q222" s="23"/>
      <c r="R222" s="23"/>
      <c r="S222" s="32">
        <f>SUM(U222:U222)/IF(AG222="EC",12,1)</f>
        <v>1</v>
      </c>
      <c r="T222" s="47" t="str">
        <f>IF(ISEVEN(LEFT(AD222,4)),"Southbound","NorthBound")</f>
        <v>Southbound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4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hh:mm:ss")&amp;utc_offset&amp;"00',mode:absolute,to:'"&amp;TEXT(I222+1/24,"yyyy-MM-DD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https://search-rtdc-monitor-bjffxe2xuh6vdkpspy63sjmuny.us-east-1.es.amazonaws.com/_plugin/kibana/#/discover/Steve-Slow-Train-Analysis-(2080s-and-2083s)?_g=(refreshInterval:(display:Off,section:0,value:0),time:(from:'2017-01-04 14:29:07-700',mode:absolute,to:'2017-01-04 16:42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2" s="49" t="str">
        <f>IF(AA222&lt;IF(AG222="EC",23,5.65),"Y","N")</f>
        <v>Y</v>
      </c>
      <c r="X222" s="173">
        <f>VALUE(LEFT(AD222,4))-VALUE(LEFT(AD221,4))</f>
        <v>1</v>
      </c>
      <c r="Y222" s="64">
        <f t="shared" si="22"/>
        <v>2.3285</v>
      </c>
      <c r="Z222" s="64">
        <f t="shared" si="23"/>
        <v>6.4699999999999994E-2</v>
      </c>
      <c r="AA222" s="64">
        <f>ABS(Z222-Y222)</f>
        <v>2.2637999999999998</v>
      </c>
      <c r="AB222" s="61" t="e">
        <f>VLOOKUP(A222,Enforcements!$C$7:$K$19,8,0)</f>
        <v>#N/A</v>
      </c>
      <c r="AC222" s="57" t="e">
        <f>VLOOKUP(A222,Enforcements!$C$7:$E$19,3,0)</f>
        <v>#N/A</v>
      </c>
      <c r="AD222" s="58" t="str">
        <f>IF(LEN(A222)=6,"0"&amp;A222,A222)</f>
        <v>0904-04</v>
      </c>
      <c r="AE222" s="8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 &amp; 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</v>
      </c>
      <c r="AF222" s="84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/stypes="app*4008*20170104*" /stext=" 22:.+((SYSTEM_STATE.+slice.+state.+changed )|(ment ac)|(multiple cpu faults)|(system.+state.+changed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88" t="str">
        <f t="shared" si="24"/>
        <v>"%USERPROFILE%\Documents\GitHub\eaglep3\Utilities\RefineRTDCRunTimes.py" --tripid 904-04 --locoid 4008 --swversion DE.1.0.8.0 --startMP 300:23285 --initTime 2017-01-04T15:29:07 --startdatetime 2017-01-04T15:30:42 --delay 1 --endMP 204:647 --enddatetime 2017-01-04T15:42:14 --enforcementcount 0 &gt;&gt;C:\Users\stu\Documents\GitHub\eaglep3-reporting\EC\2017-01-04-refined-times.txt</v>
      </c>
      <c r="AI222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{"issue":{"subject":"","project_id":79,"tracker_id":40,"status_id":1,"priority_id":2,"assigned_to_id":23,"start_date":"2017-01-04","description":"","custom_fields":[{"id":1,"name":"Subdivision","value":"Other"},{"id":4,"name":"Milepost","value":"0.0647"},{"id":17,"name":"Train ID","value":"904-04"},{"id":16,"name":"Locomotive ID","value":"4008"},{"id":130,"name":"Impact","value":""},{"id":150,"name":"Time of Event (Mountain Time)","value":"15:42:14"},{"id":151,"name":"Denver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26"/>
        <v>start /low /b %USERPROFILE%\Documents\GitHub\eaglep3\Utilities\DownloadLogsFromS3.py --loco 4008 --day 2017-01-04</v>
      </c>
    </row>
    <row r="223" spans="1:39" x14ac:dyDescent="0.25">
      <c r="A223" s="34" t="s">
        <v>655</v>
      </c>
      <c r="B223" s="7">
        <v>4008</v>
      </c>
      <c r="C223" s="22" t="s">
        <v>203</v>
      </c>
      <c r="D223" s="22" t="s">
        <v>842</v>
      </c>
      <c r="E223" s="13">
        <v>42739.799085648148</v>
      </c>
      <c r="F223" s="13">
        <v>25568.708333333332</v>
      </c>
      <c r="G223" s="7">
        <v>1</v>
      </c>
      <c r="H223" s="22" t="s">
        <v>843</v>
      </c>
      <c r="I223" s="13">
        <v>25568.708333333332</v>
      </c>
      <c r="J223" s="7">
        <v>0</v>
      </c>
      <c r="K223" s="105" t="str">
        <f>IF(ISEVEN(B223),(B223-1)&amp;"/"&amp;B223,B223&amp;"/"&amp;(B223+1))</f>
        <v>4007/4008</v>
      </c>
      <c r="L223" s="22" t="str">
        <f>VLOOKUP(A223,'Trips&amp;Operators'!$C$1:$G$99999,5,FALSE)</f>
        <v>CHANDLER KELVIN</v>
      </c>
      <c r="M223" s="6">
        <f>I223-F223</f>
        <v>0</v>
      </c>
      <c r="N223" s="7">
        <f>24*60*SUM($M223:$M223)</f>
        <v>0</v>
      </c>
      <c r="O223" s="7"/>
      <c r="P223" s="7"/>
      <c r="Q223" s="23"/>
      <c r="R223" s="23"/>
      <c r="S223" s="32">
        <f>SUM(U223:U223)/IF(AG223="EC",12,1)</f>
        <v>0</v>
      </c>
      <c r="T223" s="47" t="str">
        <f>IF(ISEVEN(LEFT(AD223,4)),"Southbound","NorthBound")</f>
        <v>Southbound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hh:mm:ss")&amp;utc_offset&amp;"00',mode:absolute,to:'"&amp;TEXT(I223+1/24,"yyyy-MM-DD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https://search-rtdc-monitor-bjffxe2xuh6vdkpspy63sjmuny.us-east-1.es.amazonaws.com/_plugin/kibana/#/discover/Steve-Slow-Train-Analysis-(2080s-and-2083s)?_g=(refreshInterval:(display:Off,section:0,value:0),time:(from:'2017-01-04 18:10:41-700',mode:absolute,to:'1969-12-31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3" s="49" t="str">
        <f>IF(AA223&lt;IF(AG223="EC",23,5.65),"Y","N")</f>
        <v>Y</v>
      </c>
      <c r="X223" s="173">
        <f>VALUE(LEFT(AD223,4))-VALUE(LEFT(AD222,4))</f>
        <v>2</v>
      </c>
      <c r="Y223" s="64">
        <f t="shared" si="22"/>
        <v>5.8571999999999997</v>
      </c>
      <c r="Z223" s="64">
        <f t="shared" si="23"/>
        <v>2.8793000000000002</v>
      </c>
      <c r="AA223" s="64">
        <f>ABS(Z223-Y223)</f>
        <v>2.9778999999999995</v>
      </c>
      <c r="AB223" s="61" t="e">
        <f>VLOOKUP(A223,Enforcements!$C$7:$K$19,8,0)</f>
        <v>#N/A</v>
      </c>
      <c r="AC223" s="57" t="e">
        <f>VLOOKUP(A223,Enforcements!$C$7:$E$19,3,0)</f>
        <v>#N/A</v>
      </c>
      <c r="AD223" s="58" t="str">
        <f>IF(LEN(A223)=6,"0"&amp;A223,A223)</f>
        <v>0906-04</v>
      </c>
      <c r="AE223" s="8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s3://rtdc.mdm.uploadarchive.raw/RTDC4008/ "%USERPROFILE%\AppData\Local\Temp\OnboardLogs"\RTDC4008\1969-12-31 --exclude "*" --recursive --include "*19691231*" &amp; "%USERPROFILE%\Documents\GitHub\mrs-test-scripts\Headless Mode &amp; Sideloading\WalkAndUnGZ.bat" "%USERPROFILE%\AppData\Local\Temp\OnboardLogs"\RTDC4008\1969-12-31 &amp; aws s3 cp s3://rtdc.mdm.uploadarchive.raw/RTDC4008/ "%USERPROFILE%\AppData\Local\Temp\OnboardLogs"\RTDC4008\1970-01-01 --exclude "*" --recursive --include "*19700101*" &amp; "%USERPROFILE%\Documents\GitHub\mrs-test-scripts\Headless Mode &amp; Sideloading\WalkAndUnGZ.bat" "%USERPROFILE%\AppData\Local\Temp\OnboardLogs"\RTDC4008\1970-01-01</v>
      </c>
      <c r="AF223" s="84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/stypes="app*4008*19700101*" /stext=" 00:.+((SYSTEM_STATE.+slice.+state.+changed )|(ment ac)|(multiple cpu faults)|(system.+state.+changed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88" t="str">
        <f t="shared" si="24"/>
        <v>"%USERPROFILE%\Documents\GitHub\eaglep3\Utilities\RefineRTDCRunTimes.py" --tripid 906-04 --locoid 4008 --swversion DE.1.0.8.0 --startMP 300:58572 --initTime 2017-01-04T19:10:41 --startdatetime 1969-12-31T17:00:00 --delay 1 --endMP 300:28793 --enddatetime 1969-12-31T17:00:00 --enforcementcount 0 &gt;&gt;C:\Users\stu\Documents\GitHub\eaglep3-reporting\EC\2017-01-04-refined-times.txt</v>
      </c>
      <c r="AI223" s="115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{"issue":{"subject":"","project_id":79,"tracker_id":40,"status_id":1,"priority_id":2,"assigned_to_id":23,"start_date":"1969-12-31","description":"","custom_fields":[{"id":1,"name":"Subdivision","value":"Other"},{"id":4,"name":"Milepost","value":"2.8793"},{"id":17,"name":"Train ID","value":"906-04"},{"id":16,"name":"Locomotive ID","value":"4008"},{"id":130,"name":"Impact","value":""},{"id":150,"name":"Time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26"/>
        <v>start /low /b %USERPROFILE%\Documents\GitHub\eaglep3\Utilities\DownloadLogsFromS3.py --loco 4008 --day 1969-12-31</v>
      </c>
    </row>
    <row r="224" spans="1:39" x14ac:dyDescent="0.25">
      <c r="A224" s="34" t="s">
        <v>474</v>
      </c>
      <c r="B224" s="7">
        <v>4012</v>
      </c>
      <c r="C224" s="22" t="s">
        <v>203</v>
      </c>
      <c r="D224" s="22" t="s">
        <v>381</v>
      </c>
      <c r="E224" s="13">
        <v>42739.943530092591</v>
      </c>
      <c r="F224" s="13">
        <v>25568.708333333332</v>
      </c>
      <c r="G224" s="7">
        <v>1</v>
      </c>
      <c r="H224" s="22" t="s">
        <v>844</v>
      </c>
      <c r="I224" s="13">
        <v>25568.708333333332</v>
      </c>
      <c r="J224" s="7">
        <v>0</v>
      </c>
      <c r="K224" s="105" t="str">
        <f>IF(ISEVEN(B224),(B224-1)&amp;"/"&amp;B224,B224&amp;"/"&amp;(B224+1))</f>
        <v>4011/4012</v>
      </c>
      <c r="L224" s="22" t="str">
        <f>VLOOKUP(A224,'Trips&amp;Operators'!$C$1:$G$99999,5,FALSE)</f>
        <v>CHANDLER KELVIN</v>
      </c>
      <c r="M224" s="6">
        <f>I224-F224</f>
        <v>0</v>
      </c>
      <c r="N224" s="7">
        <f>24*60*SUM($M224:$M224)</f>
        <v>0</v>
      </c>
      <c r="O224" s="7"/>
      <c r="P224" s="7"/>
      <c r="Q224" s="23"/>
      <c r="R224" s="23"/>
      <c r="S224" s="32">
        <f>SUM(U224:U224)/IF(AG224="EC",12,1)</f>
        <v>0</v>
      </c>
      <c r="T224" s="47" t="str">
        <f>IF(ISEVEN(LEFT(AD224,4)),"Southbound","NorthBound")</f>
        <v>Southbound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hh:mm:ss")&amp;utc_offset&amp;"00',mode:absolute,to:'"&amp;TEXT(I224+1/24,"yyyy-MM-DD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https://search-rtdc-monitor-bjffxe2xuh6vdkpspy63sjmuny.us-east-1.es.amazonaws.com/_plugin/kibana/#/discover/Steve-Slow-Train-Analysis-(2080s-and-2083s)?_g=(refreshInterval:(display:Off,section:0,value:0),time:(from:'2017-01-04 21:38:41-700',mode:absolute,to:'1969-12-31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4" s="49" t="str">
        <f>IF(AA224&lt;IF(AG224="EC",23,5.65),"Y","N")</f>
        <v>Y</v>
      </c>
      <c r="X224" s="173">
        <f>VALUE(LEFT(AD224,4))-VALUE(LEFT(AD223,4))</f>
        <v>2</v>
      </c>
      <c r="Y224" s="64">
        <f t="shared" si="22"/>
        <v>5.8604000000000003</v>
      </c>
      <c r="Z224" s="64">
        <f t="shared" si="23"/>
        <v>5.7884000000000002</v>
      </c>
      <c r="AA224" s="64">
        <f>ABS(Z224-Y224)</f>
        <v>7.2000000000000064E-2</v>
      </c>
      <c r="AB224" s="61" t="e">
        <f>VLOOKUP(A224,Enforcements!$C$7:$K$19,8,0)</f>
        <v>#N/A</v>
      </c>
      <c r="AC224" s="57" t="e">
        <f>VLOOKUP(A224,Enforcements!$C$7:$E$19,3,0)</f>
        <v>#N/A</v>
      </c>
      <c r="AD224" s="58" t="str">
        <f>IF(LEN(A224)=6,"0"&amp;A224,A224)</f>
        <v>0908-04</v>
      </c>
      <c r="AE224" s="8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AF224" s="84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/stypes="app*4012*19700101*" /stext=" 00:.+((SYSTEM_STATE.+slice.+state.+changed )|(ment ac)|(multiple cpu faults)|(system.+state.+changed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88" t="str">
        <f t="shared" si="24"/>
        <v>"%USERPROFILE%\Documents\GitHub\eaglep3\Utilities\RefineRTDCRunTimes.py" --tripid 908-04 --locoid 4012 --swversion DE.1.0.8.0 --startMP 300:58604 --initTime 2017-01-04T22:38:41 --startdatetime 1969-12-31T17:00:00 --delay 1 --endMP 300:57884 --enddatetime 1969-12-31T17:00:00 --enforcementcount 0 &gt;&gt;C:\Users\stu\Documents\GitHub\eaglep3-reporting\EC\2017-01-04-refined-times.txt</v>
      </c>
      <c r="AI224" s="115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{"issue":{"subject":"","project_id":79,"tracker_id":40,"status_id":1,"priority_id":2,"assigned_to_id":23,"start_date":"1969-12-31","description":"","custom_fields":[{"id":1,"name":"Subdivision","value":"Other"},{"id":4,"name":"Milepost","value":"5.7884"},{"id":17,"name":"Train ID","value":"908-04"},{"id":16,"name":"Locomotive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26"/>
        <v>start /low /b %USERPROFILE%\Documents\GitHub\eaglep3\Utilities\DownloadLogsFromS3.py --loco 4012 --day 1969-12-31</v>
      </c>
    </row>
    <row r="225" spans="1:39" x14ac:dyDescent="0.25">
      <c r="A225" s="34" t="s">
        <v>553</v>
      </c>
      <c r="B225" s="7">
        <v>4045</v>
      </c>
      <c r="C225" s="22" t="s">
        <v>203</v>
      </c>
      <c r="D225" s="22" t="s">
        <v>775</v>
      </c>
      <c r="E225" s="13">
        <v>42739.433553240742</v>
      </c>
      <c r="F225" s="13">
        <v>42739.434733796297</v>
      </c>
      <c r="G225" s="7">
        <v>1</v>
      </c>
      <c r="H225" s="22" t="s">
        <v>776</v>
      </c>
      <c r="I225" s="13">
        <v>42739.441134259258</v>
      </c>
      <c r="J225" s="7">
        <v>0</v>
      </c>
      <c r="K225" s="105" t="str">
        <f>IF(ISEVEN(B225),(B225-1)&amp;"/"&amp;B225,B225&amp;"/"&amp;(B225+1))</f>
        <v>4045/4046</v>
      </c>
      <c r="L225" s="22" t="str">
        <f>VLOOKUP(A225,'Trips&amp;Operators'!$C$1:$G$99999,5,FALSE)</f>
        <v>DE LA ROSA ALEX</v>
      </c>
      <c r="M225" s="6">
        <f>I225-F225</f>
        <v>6.4004629603005014E-3</v>
      </c>
      <c r="N225" s="7">
        <f>24*60*SUM($M225:$M225)</f>
        <v>9.2166666628327221</v>
      </c>
      <c r="O225" s="7"/>
      <c r="P225" s="7"/>
      <c r="Q225" s="23"/>
      <c r="R225" s="23"/>
      <c r="S225" s="32">
        <f>SUM(U225:U225)/IF(AG225="EC",12,1)</f>
        <v>0</v>
      </c>
      <c r="T225" s="47" t="e">
        <f>IF(ISEVEN(LEFT(AD225,4)),"Southbound","NorthBound")</f>
        <v>#VALUE!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hh:mm:ss")&amp;utc_offset&amp;"00',mode:absolute,to:'"&amp;TEXT(I225+1/24,"yyyy-MM-DD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https://search-rtdc-monitor-bjffxe2xuh6vdkpspy63sjmuny.us-east-1.es.amazonaws.com/_plugin/kibana/#/discover/Steve-Slow-Train-Analysis-(2080s-and-2083s)?_g=(refreshInterval:(display:Off,section:0,value:0),time:(from:'2017-01-04 09:24:19-700',mode:absolute,to:'2017-01-04 11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5" s="49" t="str">
        <f>IF(AA225&lt;IF(AG225="EC",23,5.65),"Y","N")</f>
        <v>Y</v>
      </c>
      <c r="X225" s="173" t="e">
        <f>VALUE(LEFT(AD225,4))-VALUE(LEFT(AD224,4))</f>
        <v>#VALUE!</v>
      </c>
      <c r="Y225" s="64">
        <f t="shared" si="22"/>
        <v>2.1958000000000002</v>
      </c>
      <c r="Z225" s="64">
        <f t="shared" si="23"/>
        <v>8.5900000000000004E-2</v>
      </c>
      <c r="AA225" s="64">
        <f>ABS(Z225-Y225)</f>
        <v>2.1099000000000001</v>
      </c>
      <c r="AB225" s="61" t="e">
        <f>VLOOKUP(A225,Enforcements!$C$7:$K$19,8,0)</f>
        <v>#N/A</v>
      </c>
      <c r="AC225" s="57" t="e">
        <f>VLOOKUP(A225,Enforcements!$C$7:$E$19,3,0)</f>
        <v>#N/A</v>
      </c>
      <c r="AD225" s="58" t="str">
        <f>IF(LEN(A225)=6,"0"&amp;A225,A225)</f>
        <v>50-04</v>
      </c>
      <c r="AE225" s="8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 &amp; 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</v>
      </c>
      <c r="AF225" s="84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/stypes="app*4045*20170104*" /stext=" 17:.+((SYSTEM_STATE.+slice.+state.+changed )|(ment ac)|(multiple cpu faults)|(system.+state.+changed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88" t="str">
        <f t="shared" si="24"/>
        <v>"%USERPROFILE%\Documents\GitHub\eaglep3\Utilities\RefineRTDCRunTimes.py" --tripid 50-04 --locoid 4045 --swversion DE.1.0.8.0 --startMP 300:21958 --initTime 2017-01-04T10:24:19 --startdatetime 2017-01-04T10:26:01 --delay 1 --endMP 204:859 --enddatetime 2017-01-04T10:35:14 --enforcementcount 0 &gt;&gt;C:\Users\stu\Documents\GitHub\eaglep3-reporting\EC\2017-01-04-refined-times.txt</v>
      </c>
      <c r="AI225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{"issue":{"subject":"","project_id":79,"tracker_id":40,"status_id":1,"priority_id":2,"assigned_to_id":23,"start_date":"2017-01-04","description":"","custom_fields":[{"id":1,"name":"Subdivision","value":"Other"},{"id":4,"name":"Milepost","value":"0.0859"},{"id":17,"name":"Train ID","value":"50-04"},{"id":16,"name":"Locomotive ID","value":"4045"},{"id":130,"name":"Impact","value":""},{"id":150,"name":"Time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26"/>
        <v>start /low /b %USERPROFILE%\Documents\GitHub\eaglep3\Utilities\DownloadLogsFromS3.py --loco 4045 --day 2017-01-04</v>
      </c>
    </row>
    <row r="226" spans="1:39" x14ac:dyDescent="0.25">
      <c r="A226" s="34" t="s">
        <v>561</v>
      </c>
      <c r="B226" s="7">
        <v>4046</v>
      </c>
      <c r="C226" s="22" t="s">
        <v>203</v>
      </c>
      <c r="D226" s="22" t="s">
        <v>777</v>
      </c>
      <c r="E226" s="13">
        <v>42739.456631944442</v>
      </c>
      <c r="F226" s="13">
        <v>25568.708333333332</v>
      </c>
      <c r="G226" s="7">
        <v>1</v>
      </c>
      <c r="H226" s="22" t="s">
        <v>778</v>
      </c>
      <c r="I226" s="13">
        <v>25568.708333333332</v>
      </c>
      <c r="J226" s="7">
        <v>0</v>
      </c>
      <c r="K226" s="105" t="str">
        <f>IF(ISEVEN(B226),(B226-1)&amp;"/"&amp;B226,B226&amp;"/"&amp;(B226+1))</f>
        <v>4045/4046</v>
      </c>
      <c r="L226" s="22" t="str">
        <f>VLOOKUP(A226,'Trips&amp;Operators'!$C$1:$G$99999,5,FALSE)</f>
        <v>SPECTOR MICHAEL</v>
      </c>
      <c r="M226" s="6">
        <f>I226-F226</f>
        <v>0</v>
      </c>
      <c r="N226" s="7">
        <f>24*60*SUM($M226:$M226)</f>
        <v>0</v>
      </c>
      <c r="O226" s="7"/>
      <c r="P226" s="7"/>
      <c r="Q226" s="23"/>
      <c r="R226" s="23"/>
      <c r="S226" s="32">
        <f>SUM(U226:U226)/IF(AG226="EC",12,1)</f>
        <v>0</v>
      </c>
      <c r="T226" s="47" t="e">
        <f>IF(ISEVEN(LEFT(AD226,4)),"Southbound","NorthBound")</f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hh:mm:ss")&amp;utc_offset&amp;"00',mode:absolute,to:'"&amp;TEXT(I226+1/24,"yyyy-MM-DD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https://search-rtdc-monitor-bjffxe2xuh6vdkpspy63sjmuny.us-east-1.es.amazonaws.com/_plugin/kibana/#/discover/Steve-Slow-Train-Analysis-(2080s-and-2083s)?_g=(refreshInterval:(display:Off,section:0,value:0),time:(from:'2017-01-04 09:57:33-700',mode:absolute,to:'1969-12-31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6" s="49" t="str">
        <f>IF(AA226&lt;IF(AG226="EC",23,5.65),"Y","N")</f>
        <v>Y</v>
      </c>
      <c r="X226" s="173" t="e">
        <f>VALUE(LEFT(AD226,4))-VALUE(LEFT(AD225,4))</f>
        <v>#VALUE!</v>
      </c>
      <c r="Y226" s="64">
        <f t="shared" si="22"/>
        <v>0.11749999999999999</v>
      </c>
      <c r="Z226" s="64">
        <f t="shared" si="23"/>
        <v>2.4226000000000001</v>
      </c>
      <c r="AA226" s="64">
        <f>ABS(Z226-Y226)</f>
        <v>2.3050999999999999</v>
      </c>
      <c r="AB226" s="61" t="e">
        <f>VLOOKUP(A226,Enforcements!$C$7:$K$19,8,0)</f>
        <v>#N/A</v>
      </c>
      <c r="AC226" s="57" t="e">
        <f>VLOOKUP(A226,Enforcements!$C$7:$E$19,3,0)</f>
        <v>#N/A</v>
      </c>
      <c r="AD226" s="58" t="str">
        <f>IF(LEN(A226)=6,"0"&amp;A226,A226)</f>
        <v>51-04</v>
      </c>
      <c r="AE226" s="8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6" s="84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88" t="str">
        <f t="shared" si="24"/>
        <v>"%USERPROFILE%\Documents\GitHub\eaglep3\Utilities\RefineRTDCRunTimes.py" --tripid 51-04 --locoid 4046 --swversion DE.1.0.8.0 --startMP 204:1175 --initTime 2017-01-04T10:57:33 --startdatetime 1969-12-31T17:00:00 --delay 1 --endMP 300:24226 --enddatetime 1969-12-31T17:00:00 --enforcementcount 0 &gt;&gt;C:\Users\stu\Documents\GitHub\eaglep3-reporting\EC\2017-01-04-refined-times.txt</v>
      </c>
      <c r="AI226" s="115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{"issue":{"subject":"","project_id":79,"tracker_id":40,"status_id":1,"priority_id":2,"assigned_to_id":23,"start_date":"1969-12-31","description":"","custom_fields":[{"id":1,"name":"Subdivision","value":"Other"},{"id":4,"name":"Milepost","value":"2.4226"},{"id":17,"name":"Train ID","value":"51-04"},{"id":16,"name":"Locomotive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26"/>
        <v>start /low /b %USERPROFILE%\Documents\GitHub\eaglep3\Utilities\DownloadLogsFromS3.py --loco 4046 --day 1969-12-31</v>
      </c>
    </row>
    <row r="227" spans="1:39" x14ac:dyDescent="0.25">
      <c r="A227" s="34" t="s">
        <v>684</v>
      </c>
      <c r="B227" s="7">
        <v>4031</v>
      </c>
      <c r="C227" s="22" t="s">
        <v>203</v>
      </c>
      <c r="D227" s="22" t="s">
        <v>779</v>
      </c>
      <c r="E227" s="13">
        <v>42740.041018518517</v>
      </c>
      <c r="F227" s="13">
        <v>42740.090219907404</v>
      </c>
      <c r="G227" s="7">
        <v>1</v>
      </c>
      <c r="H227" s="22" t="s">
        <v>780</v>
      </c>
      <c r="I227" s="13">
        <v>42740.11996527778</v>
      </c>
      <c r="J227" s="7">
        <v>0</v>
      </c>
      <c r="K227" s="105" t="str">
        <f>IF(ISEVEN(B227),(B227-1)&amp;"/"&amp;B227,B227&amp;"/"&amp;(B227+1))</f>
        <v>4031/4032</v>
      </c>
      <c r="L227" s="22" t="str">
        <f>VLOOKUP(A227,'Trips&amp;Operators'!$C$1:$G$99999,5,FALSE)</f>
        <v>NELSON ARIANE</v>
      </c>
      <c r="M227" s="6">
        <f>I227-F227</f>
        <v>2.9745370375167113E-2</v>
      </c>
      <c r="N227" s="7">
        <f>24*60*SUM($M227:$M227)</f>
        <v>42.833333340240642</v>
      </c>
      <c r="O227" s="7"/>
      <c r="P227" s="7"/>
      <c r="Q227" s="23"/>
      <c r="R227" s="23"/>
      <c r="S227" s="32">
        <f>SUM(U227:U227)/IF(AG227="EC",12,1)</f>
        <v>0</v>
      </c>
      <c r="T227" s="47" t="e">
        <f>IF(ISEVEN(LEFT(AD227,4)),"Southbound","NorthBound")</f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hh:mm:ss")&amp;utc_offset&amp;"00',mode:absolute,to:'"&amp;TEXT(I227+1/24,"yyyy-MM-DD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https://search-rtdc-monitor-bjffxe2xuh6vdkpspy63sjmuny.us-east-1.es.amazonaws.com/_plugin/kibana/#/discover/Steve-Slow-Train-Analysis-(2080s-and-2083s)?_g=(refreshInterval:(display:Off,section:0,value:0),time:(from:'2017-01-04 23:59:04-700',mode:absolute,to:'2017-01-05 03:52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27" s="49" t="str">
        <f>IF(AA227&lt;IF(AG227="EC",23,5.65),"Y","N")</f>
        <v>N</v>
      </c>
      <c r="X227" s="173" t="e">
        <f>VALUE(LEFT(AD227,4))-VALUE(LEFT(AD226,4))</f>
        <v>#VALUE!</v>
      </c>
      <c r="Y227" s="64">
        <f t="shared" si="22"/>
        <v>0.125</v>
      </c>
      <c r="Z227" s="64">
        <f t="shared" si="23"/>
        <v>22.463100000000001</v>
      </c>
      <c r="AA227" s="64">
        <f>ABS(Z227-Y227)</f>
        <v>22.338100000000001</v>
      </c>
      <c r="AB227" s="61" t="e">
        <f>VLOOKUP(A227,Enforcements!$C$7:$K$19,8,0)</f>
        <v>#N/A</v>
      </c>
      <c r="AC227" s="57" t="e">
        <f>VLOOKUP(A227,Enforcements!$C$7:$E$19,3,0)</f>
        <v>#N/A</v>
      </c>
      <c r="AD227" s="58" t="str">
        <f>IF(LEN(A227)=6,"0"&amp;A227,A227)</f>
        <v>65-04</v>
      </c>
      <c r="AE227" s="8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s3://rtdc.mdm.uploadarchive.raw/RTDC4031/ "%USERPROFILE%\AppData\Local\Temp\OnboardLogs"\RTDC4031\2017-01-05 --exclude "*" --recursive --include "*20170105*" &amp; "%USERPROFILE%\Documents\GitHub\mrs-test-scripts\Headless Mode &amp; Sideloading\WalkAndUnGZ.bat" "%USERPROFILE%\AppData\Local\Temp\OnboardLogs"\RTDC4031\2017-01-05 &amp; aws s3 cp s3://rtdc.mdm.uploadarchive.raw/RTDC4031/ "%USERPROFILE%\AppData\Local\Temp\OnboardLogs"\RTDC4031\2017-01-06 --exclude "*" --recursive --include "*20170106*" &amp; "%USERPROFILE%\Documents\GitHub\mrs-test-scripts\Headless Mode &amp; Sideloading\WalkAndUnGZ.bat" "%USERPROFILE%\AppData\Local\Temp\OnboardLogs"\RTDC4031\2017-01-06</v>
      </c>
      <c r="AF227" s="84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/stypes="app*4031*20170105*" /stext=" 09:.+((SYSTEM_STATE.+slice.+state.+changed )|(ment ac)|(multiple cpu faults)|(system.+state.+changed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88" t="str">
        <f t="shared" si="24"/>
        <v>"%USERPROFILE%\Documents\GitHub\eaglep3\Utilities\RefineRTDCRunTimes.py" --tripid 65-04 --locoid 4031 --swversion DE.1.0.8.0 --startMP 204:1250 --initTime 2017-01-05T00:59:04 --startdatetime 2017-01-05T02:09:55 --delay 1 --endMP 204:224631 --enddatetime 2017-01-05T02:52:45 --enforcementcount 0 &gt;&gt;C:\Users\stu\Documents\GitHub\eaglep3-reporting\EC\2017-01-04-refined-times.txt</v>
      </c>
      <c r="AI227" s="115" t="str">
        <f t="shared" si="25"/>
        <v>echo {"issue":{"subject":"","project_id":79,"tracker_id":40,"status_id":1,"priority_id":2,"assigned_to_id":23,"start_date":"2017-01-05","description":"","custom_fields":[{"id":1,"name":"Subdivision","value":"Other"},{"id":4,"name":"Milepost","value":"22.4631"},{"id":17,"name":"Train ID","value":"65-04"},{"id":16,"name":"Locomotive ID","value":"4031"},{"id":130,"name":"Impact","value":""},{"id":150,"name":"Time of Event (Mountain Time)","value":"02:52:45"},{"id":151,"name":"Denver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26"/>
        <v>start /low /b %USERPROFILE%\Documents\GitHub\eaglep3\Utilities\DownloadLogsFromS3.py --loco 4031 --day 2017-01-05</v>
      </c>
    </row>
    <row r="228" spans="1:39" x14ac:dyDescent="0.25">
      <c r="A228" s="34" t="s">
        <v>462</v>
      </c>
      <c r="B228" s="7">
        <v>4045</v>
      </c>
      <c r="C228" s="22" t="s">
        <v>203</v>
      </c>
      <c r="D228" s="22" t="s">
        <v>781</v>
      </c>
      <c r="E228" s="13">
        <v>42739.725474537037</v>
      </c>
      <c r="F228" s="13">
        <v>42739.7268287037</v>
      </c>
      <c r="G228" s="7">
        <v>1</v>
      </c>
      <c r="H228" s="22">
        <v>8.5222222222222221</v>
      </c>
      <c r="I228" s="13">
        <v>42739.733738425923</v>
      </c>
      <c r="J228" s="7">
        <v>0</v>
      </c>
      <c r="K228" s="105" t="str">
        <f>IF(ISEVEN(B228),(B228-1)&amp;"/"&amp;B228,B228&amp;"/"&amp;(B228+1))</f>
        <v>4045/4046</v>
      </c>
      <c r="L228" s="22" t="str">
        <f>VLOOKUP(A228,'Trips&amp;Operators'!$C$1:$G$99999,5,FALSE)</f>
        <v>STORY SAMANTHA</v>
      </c>
      <c r="M228" s="6">
        <f>I228-F228</f>
        <v>6.9097222221898846E-3</v>
      </c>
      <c r="N228" s="7">
        <f>24*60*SUM($M228:$M228)</f>
        <v>9.9499999999534339</v>
      </c>
      <c r="O228" s="7"/>
      <c r="P228" s="7"/>
      <c r="Q228" s="23"/>
      <c r="R228" s="23"/>
      <c r="S228" s="32">
        <f>SUM(U228:U228)/IF(AG228="EC",12,1)</f>
        <v>0</v>
      </c>
      <c r="T228" s="47" t="e">
        <f>IF(ISEVEN(LEFT(AD228,4)),"Southbound","NorthBound")</f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>"https://search-rtdc-monitor-bjffxe2xuh6vdkpspy63sjmuny.us-east-1.es.amazonaws.com/_plugin/kibana/#/discover/Steve-Slow-Train-Analysis-(2080s-and-2083s)?_g=(refreshInterval:(display:Off,section:0,value:0),time:(from:'"&amp;TEXT(E228-1/24,"yyyy-MM-DD hh:mm:ss")&amp;utc_offset&amp;"00',mode:absolute,to:'"&amp;TEXT(I228+1/24,"yyyy-MM-DD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228&amp;"%22')),sort:!(Time,asc))"</f>
        <v>https://search-rtdc-monitor-bjffxe2xuh6vdkpspy63sjmuny.us-east-1.es.amazonaws.com/_plugin/kibana/#/discover/Steve-Slow-Train-Analysis-(2080s-and-2083s)?_g=(refreshInterval:(display:Off,section:0,value:0),time:(from:'2017-01-04 16:24:41-700',mode:absolute,to:'2017-01-04 18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8" s="49" t="str">
        <f>IF(AA228&lt;IF(AG228="EC",23,5.65),"Y","N")</f>
        <v>N</v>
      </c>
      <c r="X228" s="173" t="e">
        <f>VALUE(LEFT(AD228,4))-VALUE(LEFT(AD227,4))</f>
        <v>#VALUE!</v>
      </c>
      <c r="Y228" s="64">
        <f t="shared" si="22"/>
        <v>2.3233000000000001</v>
      </c>
      <c r="Z228" s="64">
        <f t="shared" si="23"/>
        <v>22222222.222199999</v>
      </c>
      <c r="AA228" s="64">
        <f>ABS(Z228-Y228)</f>
        <v>22222219.898899999</v>
      </c>
      <c r="AB228" s="61" t="e">
        <f>VLOOKUP(A228,Enforcements!$C$7:$K$19,8,0)</f>
        <v>#N/A</v>
      </c>
      <c r="AC228" s="57" t="e">
        <f>VLOOKUP(A228,Enforcements!$C$7:$E$19,3,0)</f>
        <v>#N/A</v>
      </c>
      <c r="AD228" s="58" t="str">
        <f>IF(LEN(A228)=6,"0"&amp;A228,A228)</f>
        <v>68-04</v>
      </c>
      <c r="AE228" s="8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 &amp; 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</v>
      </c>
      <c r="AF228" s="84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/stypes="app*4045*20170105*" /stext=" 00:.+((SYSTEM_STATE.+slice.+state.+changed )|(ment ac)|(multiple cpu faults)|(system.+state.+changed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88" t="str">
        <f t="shared" si="24"/>
        <v>"%USERPROFILE%\Documents\GitHub\eaglep3\Utilities\RefineRTDCRunTimes.py" --tripid 68-04 --locoid 4045 --swversion DE.1.0.8.0 --startMP 300:23233 --initTime 2017-01-04T17:24:41 --startdatetime 2017-01-04T17:26:38 --delay 1 --endMP 8.52222222222222 --enddatetime 2017-01-04T17:36:35 --enforcementcount 0 &gt;&gt;C:\Users\stu\Documents\GitHub\eaglep3-reporting\EC\2017-01-04-refined-times.txt</v>
      </c>
      <c r="AI228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22222222.2222"},{"id":17,"name":"Train ID","value":"68-04"},{"id":16,"name":"Locomotive ID","value":"4045"},{"id":130,"name":"Impact","value":""},{"id":150,"name":"Time of Event (Mountain Time)","value":"17:36:35"},{"id":151,"name":"Denver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26"/>
        <v>start /low /b %USERPROFILE%\Documents\GitHub\eaglep3\Utilities\DownloadLogsFromS3.py --loco 4045 --day 2017-01-04</v>
      </c>
    </row>
    <row r="229" spans="1:39" x14ac:dyDescent="0.25">
      <c r="A229" s="34" t="s">
        <v>463</v>
      </c>
      <c r="B229" s="7">
        <v>4022</v>
      </c>
      <c r="C229" s="22" t="s">
        <v>203</v>
      </c>
      <c r="D229" s="22" t="s">
        <v>418</v>
      </c>
      <c r="E229" s="13">
        <v>42739.718136574076</v>
      </c>
      <c r="F229" s="13">
        <v>42739.727256944447</v>
      </c>
      <c r="G229" s="7">
        <v>1</v>
      </c>
      <c r="H229" s="22" t="s">
        <v>782</v>
      </c>
      <c r="I229" s="13">
        <v>42739.734479166669</v>
      </c>
      <c r="J229" s="7">
        <v>0</v>
      </c>
      <c r="K229" s="105" t="str">
        <f>IF(ISEVEN(B229),(B229-1)&amp;"/"&amp;B229,B229&amp;"/"&amp;(B229+1))</f>
        <v>4021/4022</v>
      </c>
      <c r="L229" s="22" t="str">
        <f>VLOOKUP(A229,'Trips&amp;Operators'!$C$1:$G$99999,5,FALSE)</f>
        <v>HAITHCOX MICHAEL</v>
      </c>
      <c r="M229" s="6">
        <f>I229-F229</f>
        <v>7.2222222224809229E-3</v>
      </c>
      <c r="N229" s="7">
        <f>24*60*SUM($M229:$M229)</f>
        <v>10.400000000372529</v>
      </c>
      <c r="O229" s="7"/>
      <c r="P229" s="7"/>
      <c r="Q229" s="23"/>
      <c r="R229" s="23"/>
      <c r="S229" s="32">
        <f>SUM(U229:U229)/IF(AG229="EC",12,1)</f>
        <v>0</v>
      </c>
      <c r="T229" s="47" t="e">
        <f>IF(ISEVEN(LEFT(AD229,4)),"Southbound","NorthBound")</f>
        <v>#VALUE!</v>
      </c>
      <c r="U229" s="16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>"https://search-rtdc-monitor-bjffxe2xuh6vdkpspy63sjmuny.us-east-1.es.amazonaws.com/_plugin/kibana/#/discover/Steve-Slow-Train-Analysis-(2080s-and-2083s)?_g=(refreshInterval:(display:Off,section:0,value:0),time:(from:'"&amp;TEXT(E229-1/24,"yyyy-MM-DD hh:mm:ss")&amp;utc_offset&amp;"00',mode:absolute,to:'"&amp;TEXT(I229+1/24,"yyyy-MM-DD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229&amp;"%22')),sort:!(Time,asc))"</f>
        <v>https://search-rtdc-monitor-bjffxe2xuh6vdkpspy63sjmuny.us-east-1.es.amazonaws.com/_plugin/kibana/#/discover/Steve-Slow-Train-Analysis-(2080s-and-2083s)?_g=(refreshInterval:(display:Off,section:0,value:0),time:(from:'2017-01-04 16:14:07-700',mode:absolute,to:'2017-01-04 18:37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9" s="49" t="str">
        <f>IF(AA229&lt;IF(AG229="EC",23,5.65),"Y","N")</f>
        <v>Y</v>
      </c>
      <c r="X229" s="173" t="e">
        <f>VALUE(LEFT(AD229,4))-VALUE(LEFT(AD228,4))</f>
        <v>#VALUE!</v>
      </c>
      <c r="Y229" s="64">
        <f t="shared" si="22"/>
        <v>4.6899999999999997E-2</v>
      </c>
      <c r="Z229" s="64">
        <f t="shared" si="23"/>
        <v>2.5800999999999998</v>
      </c>
      <c r="AA229" s="64">
        <f>ABS(Z229-Y229)</f>
        <v>2.5331999999999999</v>
      </c>
      <c r="AB229" s="61" t="e">
        <f>VLOOKUP(A229,Enforcements!$C$7:$K$19,8,0)</f>
        <v>#N/A</v>
      </c>
      <c r="AC229" s="57" t="e">
        <f>VLOOKUP(A229,Enforcements!$C$7:$E$19,3,0)</f>
        <v>#N/A</v>
      </c>
      <c r="AD229" s="58" t="str">
        <f>IF(LEN(A229)=6,"0"&amp;A229,A229)</f>
        <v>69-04</v>
      </c>
      <c r="AE229" s="8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 &amp; 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</v>
      </c>
      <c r="AF229" s="84" t="str">
        <f>astrogrep_path&amp;" /spath="&amp;search_path&amp;" /stypes=""app*"&amp;B229&amp;"*"&amp;TEXT(I229-utc_offset/24,"YYYYMMDD")&amp;"*"" /stext="" "&amp;TEXT(I229-utc_offset/24,"HH")&amp;search_regexp&amp;""" /e /r /s"</f>
        <v>"C:\Program Files (x86)\AstroGrep\AstroGrep.exe" /spath="%USERPROFILE%\AppData\Local\Temp\OnboardLogs" /stypes="app*4022*20170105*" /stext=" 00:.+((SYSTEM_STATE.+slice.+state.+changed )|(ment ac)|(multiple cpu faults)|(system.+state.+changed )|(\[timeout)|(PRM\|1\|D)|(kpr)|(kdp)|(\|lc)|(penalty))" /e /r /s</v>
      </c>
      <c r="AG229" s="1" t="str">
        <f>IFERROR(IF(VALUE(LEFT(AD229,2))&lt;=2,"EC",IF(OR(VALUE(LEFT(AD229,2))=8,VALUE(LEFT(AD229,2))=18),"NW","Other")),"Other")</f>
        <v>Other</v>
      </c>
      <c r="AH229" s="88" t="str">
        <f t="shared" si="24"/>
        <v>"%USERPROFILE%\Documents\GitHub\eaglep3\Utilities\RefineRTDCRunTimes.py" --tripid 69-04 --locoid 4022 --swversion DE.1.0.8.0 --startMP 204:469 --initTime 2017-01-04T17:14:07 --startdatetime 2017-01-04T17:27:15 --delay 1 --endMP 300:25801 --enddatetime 2017-01-04T17:37:39 --enforcementcount 0 &gt;&gt;C:\Users\stu\Documents\GitHub\eaglep3-reporting\EC\2017-01-04-refined-times.txt</v>
      </c>
      <c r="AI229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{"issue":{"subject":"","project_id":79,"tracker_id":40,"status_id":1,"priority_id":2,"assigned_to_id":23,"start_date":"2017-01-04","description":"","custom_fields":[{"id":1,"name":"Subdivision","value":"Other"},{"id":4,"name":"Milepost","value":"2.5801"},{"id":17,"name":"Train ID","value":"69-04"},{"id":16,"name":"Locomotive ID","value":"4022"},{"id":130,"name":"Impact","value":""},{"id":150,"name":"Time of Event (Mountain Time)","value":"17:37:39"},{"id":151,"name":"Denver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80" t="str">
        <f t="shared" si="26"/>
        <v>start /low /b %USERPROFILE%\Documents\GitHub\eaglep3\Utilities\DownloadLogsFromS3.py --loco 4022 --day 2017-01-04</v>
      </c>
    </row>
    <row r="230" spans="1:39" x14ac:dyDescent="0.25">
      <c r="A230" s="34" t="s">
        <v>629</v>
      </c>
      <c r="B230" s="7">
        <v>4014</v>
      </c>
      <c r="C230" s="22" t="s">
        <v>203</v>
      </c>
      <c r="D230" s="22" t="s">
        <v>783</v>
      </c>
      <c r="E230" s="13">
        <v>42739.722291666665</v>
      </c>
      <c r="F230" s="13">
        <v>42739.735729166663</v>
      </c>
      <c r="G230" s="7">
        <v>8</v>
      </c>
      <c r="H230" s="22" t="s">
        <v>784</v>
      </c>
      <c r="I230" s="13">
        <v>42739.746736111112</v>
      </c>
      <c r="J230" s="7">
        <v>0</v>
      </c>
      <c r="K230" s="105" t="str">
        <f>IF(ISEVEN(B230),(B230-1)&amp;"/"&amp;B230,B230&amp;"/"&amp;(B230+1))</f>
        <v>4013/4014</v>
      </c>
      <c r="L230" s="22" t="str">
        <f>VLOOKUP(A230,'Trips&amp;Operators'!$C$1:$G$99999,5,FALSE)</f>
        <v>DE LA ROSA ALEX</v>
      </c>
      <c r="M230" s="6">
        <f>I230-F230</f>
        <v>1.1006944449036382E-2</v>
      </c>
      <c r="N230" s="7">
        <f>24*60*SUM($M230:$M230)</f>
        <v>15.85000000661239</v>
      </c>
      <c r="O230" s="7"/>
      <c r="P230" s="7"/>
      <c r="Q230" s="23"/>
      <c r="R230" s="23"/>
      <c r="S230" s="32">
        <f>SUM(U230:U230)/IF(AG230="EC",12,1)</f>
        <v>0</v>
      </c>
      <c r="T230" s="47" t="e">
        <f>IF(ISEVEN(LEFT(AD230,4)),"Southbound","NorthBound")</f>
        <v>#VALUE!</v>
      </c>
      <c r="U230" s="16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>"https://search-rtdc-monitor-bjffxe2xuh6vdkpspy63sjmuny.us-east-1.es.amazonaws.com/_plugin/kibana/#/discover/Steve-Slow-Train-Analysis-(2080s-and-2083s)?_g=(refreshInterval:(display:Off,section:0,value:0),time:(from:'"&amp;TEXT(E230-1/24,"yyyy-MM-DD hh:mm:ss")&amp;utc_offset&amp;"00',mode:absolute,to:'"&amp;TEXT(I230+1/24,"yyyy-MM-DD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230&amp;"%22')),sort:!(Time,asc))"</f>
        <v>https://search-rtdc-monitor-bjffxe2xuh6vdkpspy63sjmuny.us-east-1.es.amazonaws.com/_plugin/kibana/#/discover/Steve-Slow-Train-Analysis-(2080s-and-2083s)?_g=(refreshInterval:(display:Off,section:0,value:0),time:(from:'2017-01-04 16:20:06-700',mode:absolute,to:'2017-01-04 18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0" s="49" t="str">
        <f>IF(AA230&lt;IF(AG230="EC",23,5.65),"Y","N")</f>
        <v>Y</v>
      </c>
      <c r="X230" s="173" t="e">
        <f>VALUE(LEFT(AD230,4))-VALUE(LEFT(AD229,4))</f>
        <v>#VALUE!</v>
      </c>
      <c r="Y230" s="64">
        <f t="shared" si="22"/>
        <v>0.1164</v>
      </c>
      <c r="Z230" s="64">
        <f t="shared" si="23"/>
        <v>2.4190999999999998</v>
      </c>
      <c r="AA230" s="64">
        <f>ABS(Z230-Y230)</f>
        <v>2.3026999999999997</v>
      </c>
      <c r="AB230" s="61" t="e">
        <f>VLOOKUP(A230,Enforcements!$C$7:$K$19,8,0)</f>
        <v>#N/A</v>
      </c>
      <c r="AC230" s="57" t="e">
        <f>VLOOKUP(A230,Enforcements!$C$7:$E$19,3,0)</f>
        <v>#N/A</v>
      </c>
      <c r="AD230" s="58" t="str">
        <f>IF(LEN(A230)=6,"0"&amp;A230,A230)</f>
        <v>71-04</v>
      </c>
      <c r="AE230" s="8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s3://rtdc.mdm.uploadarchive.raw/RTDC4014/ "%USERPROFILE%\AppData\Local\Temp\OnboardLogs"\RTDC4014\2017-01-04 --exclude "*" --recursive --include "*20170104*" &amp; "%USERPROFILE%\Documents\GitHub\mrs-test-scripts\Headless Mode &amp; Sideloading\WalkAndUnGZ.bat" "%USERPROFILE%\AppData\Local\Temp\OnboardLogs"\RTDC4014\2017-01-04 &amp; aws s3 cp s3://rtdc.mdm.uploadarchive.raw/RTDC4014/ "%USERPROFILE%\AppData\Local\Temp\OnboardLogs"\RTDC4014\2017-01-05 --exclude "*" --recursive --include "*20170105*" &amp; "%USERPROFILE%\Documents\GitHub\mrs-test-scripts\Headless Mode &amp; Sideloading\WalkAndUnGZ.bat" "%USERPROFILE%\AppData\Local\Temp\OnboardLogs"\RTDC4014\2017-01-05</v>
      </c>
      <c r="AF230" s="84" t="str">
        <f>astrogrep_path&amp;" /spath="&amp;search_path&amp;" /stypes=""app*"&amp;B230&amp;"*"&amp;TEXT(I230-utc_offset/24,"YYYYMMDD")&amp;"*"" /stext="" "&amp;TEXT(I230-utc_offset/24,"HH")&amp;search_regexp&amp;""" /e /r /s"</f>
        <v>"C:\Program Files (x86)\AstroGrep\AstroGrep.exe" /spath="%USERPROFILE%\AppData\Local\Temp\OnboardLogs" /stypes="app*4014*20170105*" /stext=" 00:.+((SYSTEM_STATE.+slice.+state.+changed )|(ment ac)|(multiple cpu faults)|(system.+state.+changed )|(\[timeout)|(PRM\|1\|D)|(kpr)|(kdp)|(\|lc)|(penalty))" /e /r /s</v>
      </c>
      <c r="AG230" s="1" t="str">
        <f>IFERROR(IF(VALUE(LEFT(AD230,2))&lt;=2,"EC",IF(OR(VALUE(LEFT(AD230,2))=8,VALUE(LEFT(AD230,2))=18),"NW","Other")),"Other")</f>
        <v>Other</v>
      </c>
      <c r="AH230" s="88" t="str">
        <f t="shared" si="24"/>
        <v>"%USERPROFILE%\Documents\GitHub\eaglep3\Utilities\RefineRTDCRunTimes.py" --tripid 71-04 --locoid 4014 --swversion DE.1.0.8.0 --startMP 204:1164 --initTime 2017-01-04T17:20:06 --startdatetime 2017-01-04T17:39:27 --delay 8 --endMP 300:24191 --enddatetime 2017-01-04T17:55:18 --enforcementcount 0 &gt;&gt;C:\Users\stu\Documents\GitHub\eaglep3-reporting\EC\2017-01-04-refined-times.txt</v>
      </c>
      <c r="AI230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{"issue":{"subject":"","project_id":79,"tracker_id":40,"status_id":1,"priority_id":2,"assigned_to_id":23,"start_date":"2017-01-04","description":"","custom_fields":[{"id":1,"name":"Subdivision","value":"Other"},{"id":4,"name":"Milepost","value":"2.4191"},{"id":17,"name":"Train ID","value":"71-04"},{"id":16,"name":"Locomotive ID","value":"4014"},{"id":130,"name":"Impact","value":""},{"id":150,"name":"Time of Event (Mountain Time)","value":"17:55:18"},{"id":151,"name":"Denver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80" t="str">
        <f t="shared" si="26"/>
        <v>start /low /b %USERPROFILE%\Documents\GitHub\eaglep3\Utilities\DownloadLogsFromS3.py --loco 4014 --day 2017-01-04</v>
      </c>
    </row>
    <row r="231" spans="1:39" x14ac:dyDescent="0.25">
      <c r="A231" s="34" t="s">
        <v>640</v>
      </c>
      <c r="B231" s="7">
        <v>4032</v>
      </c>
      <c r="C231" s="22" t="s">
        <v>203</v>
      </c>
      <c r="D231" s="22" t="s">
        <v>785</v>
      </c>
      <c r="E231" s="13">
        <v>42739.761932870373</v>
      </c>
      <c r="F231" s="13">
        <v>42739.763402777775</v>
      </c>
      <c r="G231" s="7">
        <v>1</v>
      </c>
      <c r="H231" s="22" t="s">
        <v>786</v>
      </c>
      <c r="I231" s="13">
        <v>42739.773923611108</v>
      </c>
      <c r="J231" s="7">
        <v>0</v>
      </c>
      <c r="K231" s="105" t="str">
        <f>IF(ISEVEN(B231),(B231-1)&amp;"/"&amp;B231,B231&amp;"/"&amp;(B231+1))</f>
        <v>4031/4032</v>
      </c>
      <c r="L231" s="22" t="str">
        <f>VLOOKUP(A231,'Trips&amp;Operators'!$C$1:$G$99999,5,FALSE)</f>
        <v>MCREYNOLDS KYLE</v>
      </c>
      <c r="M231" s="6">
        <f>I231-F231</f>
        <v>1.0520833333430346E-2</v>
      </c>
      <c r="N231" s="7">
        <f>24*60*SUM($M231:$M231)</f>
        <v>15.150000000139698</v>
      </c>
      <c r="O231" s="7"/>
      <c r="P231" s="7"/>
      <c r="Q231" s="23"/>
      <c r="R231" s="23"/>
      <c r="S231" s="32">
        <f>SUM(U231:U231)/IF(AG231="EC",12,1)</f>
        <v>0</v>
      </c>
      <c r="T231" s="47" t="e">
        <f>IF(ISEVEN(LEFT(AD231,4)),"Southbound","NorthBound")</f>
        <v>#VALUE!</v>
      </c>
      <c r="U231" s="16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>"https://search-rtdc-monitor-bjffxe2xuh6vdkpspy63sjmuny.us-east-1.es.amazonaws.com/_plugin/kibana/#/discover/Steve-Slow-Train-Analysis-(2080s-and-2083s)?_g=(refreshInterval:(display:Off,section:0,value:0),time:(from:'"&amp;TEXT(E231-1/24,"yyyy-MM-DD hh:mm:ss")&amp;utc_offset&amp;"00',mode:absolute,to:'"&amp;TEXT(I231+1/24,"yyyy-MM-DD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231&amp;"%22')),sort:!(Time,asc))"</f>
        <v>https://search-rtdc-monitor-bjffxe2xuh6vdkpspy63sjmuny.us-east-1.es.amazonaws.com/_plugin/kibana/#/discover/Steve-Slow-Train-Analysis-(2080s-and-2083s)?_g=(refreshInterval:(display:Off,section:0,value:0),time:(from:'2017-01-04 17:17:11-700',mode:absolute,to:'2017-01-04 19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1" s="49" t="str">
        <f>IF(AA231&lt;IF(AG231="EC",23,5.65),"Y","N")</f>
        <v>Y</v>
      </c>
      <c r="X231" s="173" t="e">
        <f>VALUE(LEFT(AD231,4))-VALUE(LEFT(AD230,4))</f>
        <v>#VALUE!</v>
      </c>
      <c r="Y231" s="64">
        <f t="shared" si="22"/>
        <v>2.2071999999999998</v>
      </c>
      <c r="Z231" s="64">
        <f t="shared" si="23"/>
        <v>0.10150000000000001</v>
      </c>
      <c r="AA231" s="64">
        <f>ABS(Z231-Y231)</f>
        <v>2.1056999999999997</v>
      </c>
      <c r="AB231" s="61" t="e">
        <f>VLOOKUP(A231,Enforcements!$C$7:$K$19,8,0)</f>
        <v>#N/A</v>
      </c>
      <c r="AC231" s="57" t="e">
        <f>VLOOKUP(A231,Enforcements!$C$7:$E$19,3,0)</f>
        <v>#N/A</v>
      </c>
      <c r="AD231" s="58" t="str">
        <f>IF(LEN(A231)=6,"0"&amp;A231,A231)</f>
        <v>72-04</v>
      </c>
      <c r="AE231" s="8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s3://rtdc.mdm.uploadarchive.raw/RTDC4032/ "%USERPROFILE%\AppData\Local\Temp\OnboardLogs"\RTDC4032\2017-01-04 --exclude "*" --recursive --include "*20170104*" &amp; "%USERPROFILE%\Documents\GitHub\mrs-test-scripts\Headless Mode &amp; Sideloading\WalkAndUnGZ.bat" "%USERPROFILE%\AppData\Local\Temp\OnboardLogs"\RTDC4032\2017-01-04 &amp; 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</v>
      </c>
      <c r="AF231" s="84" t="str">
        <f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/stypes="app*4032*20170105*" /stext=" 01:.+((SYSTEM_STATE.+slice.+state.+changed )|(ment ac)|(multiple cpu faults)|(system.+state.+changed )|(\[timeout)|(PRM\|1\|D)|(kpr)|(kdp)|(\|lc)|(penalty))" /e /r /s</v>
      </c>
      <c r="AG231" s="1" t="str">
        <f>IFERROR(IF(VALUE(LEFT(AD231,2))&lt;=2,"EC",IF(OR(VALUE(LEFT(AD231,2))=8,VALUE(LEFT(AD231,2))=18),"NW","Other")),"Other")</f>
        <v>Other</v>
      </c>
      <c r="AH231" s="88" t="str">
        <f t="shared" si="24"/>
        <v>"%USERPROFILE%\Documents\GitHub\eaglep3\Utilities\RefineRTDCRunTimes.py" --tripid 72-04 --locoid 4032 --swversion DE.1.0.8.0 --startMP 300:22072 --initTime 2017-01-04T18:17:11 --startdatetime 2017-01-04T18:19:18 --delay 1 --endMP 204:1015 --enddatetime 2017-01-04T18:34:27 --enforcementcount 0 &gt;&gt;C:\Users\stu\Documents\GitHub\eaglep3-reporting\EC\2017-01-04-refined-times.txt</v>
      </c>
      <c r="AI231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{"issue":{"subject":"","project_id":79,"tracker_id":40,"status_id":1,"priority_id":2,"assigned_to_id":23,"start_date":"2017-01-04","description":"","custom_fields":[{"id":1,"name":"Subdivision","value":"Other"},{"id":4,"name":"Milepost","value":"0.1015"},{"id":17,"name":"Train ID","value":"72-04"},{"id":16,"name":"Locomotive ID","value":"4032"},{"id":130,"name":"Impact","value":""},{"id":150,"name":"Time of Event (Mountain Time)","value":"18:34:27"},{"id":151,"name":"Denver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80" t="str">
        <f t="shared" si="26"/>
        <v>start /low /b %USERPROFILE%\Documents\GitHub\eaglep3\Utilities\DownloadLogsFromS3.py --loco 4032 --day 2017-01-04</v>
      </c>
    </row>
    <row r="232" spans="1:39" x14ac:dyDescent="0.25">
      <c r="A232" s="34" t="s">
        <v>644</v>
      </c>
      <c r="B232" s="7">
        <v>4046</v>
      </c>
      <c r="C232" s="22" t="s">
        <v>203</v>
      </c>
      <c r="D232" s="22" t="s">
        <v>787</v>
      </c>
      <c r="E232" s="13">
        <v>42739.762997685182</v>
      </c>
      <c r="F232" s="13">
        <v>25568.708333333332</v>
      </c>
      <c r="G232" s="7">
        <v>1</v>
      </c>
      <c r="H232" s="22" t="s">
        <v>428</v>
      </c>
      <c r="I232" s="13">
        <v>25568.708333333332</v>
      </c>
      <c r="J232" s="7">
        <v>0</v>
      </c>
      <c r="K232" s="105" t="str">
        <f>IF(ISEVEN(B232),(B232-1)&amp;"/"&amp;B232,B232&amp;"/"&amp;(B232+1))</f>
        <v>4045/4046</v>
      </c>
      <c r="L232" s="22" t="str">
        <f>VLOOKUP(A232,'Trips&amp;Operators'!$C$1:$G$99999,5,FALSE)</f>
        <v>CLARK KATHLEEN</v>
      </c>
      <c r="M232" s="6">
        <f>I232-F232</f>
        <v>0</v>
      </c>
      <c r="N232" s="7">
        <f>24*60*SUM($M232:$M232)</f>
        <v>0</v>
      </c>
      <c r="O232" s="7"/>
      <c r="P232" s="7"/>
      <c r="Q232" s="23"/>
      <c r="R232" s="23"/>
      <c r="S232" s="32">
        <f>SUM(U232:U232)/IF(AG232="EC",12,1)</f>
        <v>0</v>
      </c>
      <c r="T232" s="47" t="e">
        <f>IF(ISEVEN(LEFT(AD232,4)),"Southbound","NorthBound")</f>
        <v>#VALUE!</v>
      </c>
      <c r="U232" s="16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>"https://search-rtdc-monitor-bjffxe2xuh6vdkpspy63sjmuny.us-east-1.es.amazonaws.com/_plugin/kibana/#/discover/Steve-Slow-Train-Analysis-(2080s-and-2083s)?_g=(refreshInterval:(display:Off,section:0,value:0),time:(from:'"&amp;TEXT(E232-1/24,"yyyy-MM-DD hh:mm:ss")&amp;utc_offset&amp;"00',mode:absolute,to:'"&amp;TEXT(I232+1/24,"yyyy-MM-DD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232&amp;"%22')),sort:!(Time,asc))"</f>
        <v>https://search-rtdc-monitor-bjffxe2xuh6vdkpspy63sjmuny.us-east-1.es.amazonaws.com/_plugin/kibana/#/discover/Steve-Slow-Train-Analysis-(2080s-and-2083s)?_g=(refreshInterval:(display:Off,section:0,value:0),time:(from:'2017-01-04 17:18:43-700',mode:absolute,to:'1969-12-31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32" s="49" t="str">
        <f>IF(AA232&lt;IF(AG232="EC",23,5.65),"Y","N")</f>
        <v>Y</v>
      </c>
      <c r="X232" s="173" t="e">
        <f>VALUE(LEFT(AD232,4))-VALUE(LEFT(AD231,4))</f>
        <v>#VALUE!</v>
      </c>
      <c r="Y232" s="64">
        <f t="shared" si="22"/>
        <v>3.3700000000000001E-2</v>
      </c>
      <c r="Z232" s="64">
        <f t="shared" si="23"/>
        <v>2.3306</v>
      </c>
      <c r="AA232" s="64">
        <f>ABS(Z232-Y232)</f>
        <v>2.2968999999999999</v>
      </c>
      <c r="AB232" s="61" t="e">
        <f>VLOOKUP(A232,Enforcements!$C$7:$K$19,8,0)</f>
        <v>#N/A</v>
      </c>
      <c r="AC232" s="57" t="e">
        <f>VLOOKUP(A232,Enforcements!$C$7:$E$19,3,0)</f>
        <v>#N/A</v>
      </c>
      <c r="AD232" s="58" t="str">
        <f>IF(LEN(A232)=6,"0"&amp;A232,A232)</f>
        <v>73-04</v>
      </c>
      <c r="AE232" s="8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32" s="84" t="str">
        <f>astrogrep_path&amp;" /spath="&amp;search_path&amp;" /stypes=""app*"&amp;B232&amp;"*"&amp;TEXT(I232-utc_offset/24,"YYYYMMDD")&amp;"*"" /stext="" "&amp;TEXT(I232-utc_offset/24,"HH")&amp;search_regexp&amp;""" /e /r /s"</f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32" s="1" t="str">
        <f>IFERROR(IF(VALUE(LEFT(AD232,2))&lt;=2,"EC",IF(OR(VALUE(LEFT(AD232,2))=8,VALUE(LEFT(AD232,2))=18),"NW","Other")),"Other")</f>
        <v>Other</v>
      </c>
      <c r="AH232" s="88" t="str">
        <f t="shared" si="24"/>
        <v>"%USERPROFILE%\Documents\GitHub\eaglep3\Utilities\RefineRTDCRunTimes.py" --tripid 73-04 --locoid 4046 --swversion DE.1.0.8.0 --startMP 204:337 --initTime 2017-01-04T18:18:43 --startdatetime 1969-12-31T17:00:00 --delay 1 --endMP 300:23306 --enddatetime 1969-12-31T17:00:00 --enforcementcount 0 &gt;&gt;C:\Users\stu\Documents\GitHub\eaglep3-reporting\EC\2017-01-04-refined-times.txt</v>
      </c>
      <c r="AI232" s="115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ID","value":"73-04"},{"id":16,"name":"Locomotive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80" t="str">
        <f t="shared" si="26"/>
        <v>start /low /b %USERPROFILE%\Documents\GitHub\eaglep3\Utilities\DownloadLogsFromS3.py --loco 4046 --day 1969-12-31</v>
      </c>
    </row>
    <row r="233" spans="1:39" x14ac:dyDescent="0.25">
      <c r="A233" s="34" t="s">
        <v>637</v>
      </c>
      <c r="B233" s="7">
        <v>4054</v>
      </c>
      <c r="C233" s="22" t="s">
        <v>203</v>
      </c>
      <c r="D233" s="22" t="s">
        <v>788</v>
      </c>
      <c r="E233" s="13">
        <v>42739.756493055553</v>
      </c>
      <c r="F233" s="13">
        <v>42739.759467592594</v>
      </c>
      <c r="G233" s="7">
        <v>4</v>
      </c>
      <c r="H233" s="22" t="s">
        <v>789</v>
      </c>
      <c r="I233" s="13">
        <v>42739.766030092593</v>
      </c>
      <c r="J233" s="7">
        <v>0</v>
      </c>
      <c r="K233" s="105" t="str">
        <f>IF(ISEVEN(B233),(B233-1)&amp;"/"&amp;B233,B233&amp;"/"&amp;(B233+1))</f>
        <v>4053/4054</v>
      </c>
      <c r="L233" s="22" t="str">
        <f>VLOOKUP(A233,'Trips&amp;Operators'!$C$1:$G$99999,5,FALSE)</f>
        <v>NEWELL JAMES</v>
      </c>
      <c r="M233" s="6">
        <f>I233-F233</f>
        <v>6.5624999988358468E-3</v>
      </c>
      <c r="N233" s="7">
        <f>24*60*SUM($M233:$M233)</f>
        <v>9.4499999983236194</v>
      </c>
      <c r="O233" s="7"/>
      <c r="P233" s="7"/>
      <c r="Q233" s="23"/>
      <c r="R233" s="23"/>
      <c r="S233" s="32">
        <f>SUM(U233:U233)/IF(AG233="EC",12,1)</f>
        <v>0</v>
      </c>
      <c r="T233" s="47" t="e">
        <f>IF(ISEVEN(LEFT(AD233,4)),"Southbound","NorthBound")</f>
        <v>#VALUE!</v>
      </c>
      <c r="U233" s="16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>"https://search-rtdc-monitor-bjffxe2xuh6vdkpspy63sjmuny.us-east-1.es.amazonaws.com/_plugin/kibana/#/discover/Steve-Slow-Train-Analysis-(2080s-and-2083s)?_g=(refreshInterval:(display:Off,section:0,value:0),time:(from:'"&amp;TEXT(E233-1/24,"yyyy-MM-DD hh:mm:ss")&amp;utc_offset&amp;"00',mode:absolute,to:'"&amp;TEXT(I233+1/24,"yyyy-MM-DD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233&amp;"%22')),sort:!(Time,asc))"</f>
        <v>https://search-rtdc-monitor-bjffxe2xuh6vdkpspy63sjmuny.us-east-1.es.amazonaws.com/_plugin/kibana/#/discover/Steve-Slow-Train-Analysis-(2080s-and-2083s)?_g=(refreshInterval:(display:Off,section:0,value:0),time:(from:'2017-01-04 17:09:21-700',mode:absolute,to:'2017-01-04 19:23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33" s="49" t="str">
        <f>IF(AA233&lt;IF(AG233="EC",23,5.65),"Y","N")</f>
        <v>Y</v>
      </c>
      <c r="X233" s="173" t="e">
        <f>VALUE(LEFT(AD233,4))-VALUE(LEFT(AD232,4))</f>
        <v>#VALUE!</v>
      </c>
      <c r="Y233" s="64">
        <f t="shared" si="22"/>
        <v>2.2622</v>
      </c>
      <c r="Z233" s="64">
        <f t="shared" si="23"/>
        <v>8.6900000000000005E-2</v>
      </c>
      <c r="AA233" s="64">
        <f>ABS(Z233-Y233)</f>
        <v>2.1753</v>
      </c>
      <c r="AB233" s="61" t="e">
        <f>VLOOKUP(A233,Enforcements!$C$7:$K$19,8,0)</f>
        <v>#N/A</v>
      </c>
      <c r="AC233" s="57" t="e">
        <f>VLOOKUP(A233,Enforcements!$C$7:$E$19,3,0)</f>
        <v>#N/A</v>
      </c>
      <c r="AD233" s="58" t="str">
        <f>IF(LEN(A233)=6,"0"&amp;A233,A233)</f>
        <v>74-04</v>
      </c>
      <c r="AE233" s="8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s3://rtdc.mdm.uploadarchive.raw/RTDC4054/ "%USERPROFILE%\AppData\Local\Temp\OnboardLogs"\RTDC4054\2017-01-04 --exclude "*" --recursive --include "*20170104*" &amp; "%USERPROFILE%\Documents\GitHub\mrs-test-scripts\Headless Mode &amp; Sideloading\WalkAndUnGZ.bat" "%USERPROFILE%\AppData\Local\Temp\OnboardLogs"\RTDC4054\2017-01-04 &amp; aws s3 cp s3://rtdc.mdm.uploadarchive.raw/RTDC4054/ "%USERPROFILE%\AppData\Local\Temp\OnboardLogs"\RTDC4054\2017-01-05 --exclude "*" --recursive --include "*20170105*" &amp; "%USERPROFILE%\Documents\GitHub\mrs-test-scripts\Headless Mode &amp; Sideloading\WalkAndUnGZ.bat" "%USERPROFILE%\AppData\Local\Temp\OnboardLogs"\RTDC4054\2017-01-05</v>
      </c>
      <c r="AF233" s="84" t="str">
        <f>astrogrep_path&amp;" /spath="&amp;search_path&amp;" /stypes=""app*"&amp;B233&amp;"*"&amp;TEXT(I233-utc_offset/24,"YYYYMMDD")&amp;"*"" /stext="" "&amp;TEXT(I233-utc_offset/24,"HH")&amp;search_regexp&amp;""" /e /r /s"</f>
        <v>"C:\Program Files (x86)\AstroGrep\AstroGrep.exe" /spath="%USERPROFILE%\AppData\Local\Temp\OnboardLogs" /stypes="app*4054*20170105*" /stext=" 01:.+((SYSTEM_STATE.+slice.+state.+changed )|(ment ac)|(multiple cpu faults)|(system.+state.+changed )|(\[timeout)|(PRM\|1\|D)|(kpr)|(kdp)|(\|lc)|(penalty))" /e /r /s</v>
      </c>
      <c r="AG233" s="1" t="str">
        <f>IFERROR(IF(VALUE(LEFT(AD233,2))&lt;=2,"EC",IF(OR(VALUE(LEFT(AD233,2))=8,VALUE(LEFT(AD233,2))=18),"NW","Other")),"Other")</f>
        <v>Other</v>
      </c>
      <c r="AH233" s="88" t="str">
        <f t="shared" si="24"/>
        <v>"%USERPROFILE%\Documents\GitHub\eaglep3\Utilities\RefineRTDCRunTimes.py" --tripid 74-04 --locoid 4054 --swversion DE.1.0.8.0 --startMP 300:22622 --initTime 2017-01-04T18:09:21 --startdatetime 2017-01-04T18:13:38 --delay 4 --endMP 204:869 --enddatetime 2017-01-04T18:23:05 --enforcementcount 0 &gt;&gt;C:\Users\stu\Documents\GitHub\eaglep3-reporting\EC\2017-01-04-refined-times.txt</v>
      </c>
      <c r="AI233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{"issue":{"subject":"","project_id":79,"tracker_id":40,"status_id":1,"priority_id":2,"assigned_to_id":23,"start_date":"2017-01-04","description":"","custom_fields":[{"id":1,"name":"Subdivision","value":"Other"},{"id":4,"name":"Milepost","value":"0.0869"},{"id":17,"name":"Train ID","value":"74-04"},{"id":16,"name":"Locomotive ID","value":"4054"},{"id":130,"name":"Impact","value":""},{"id":150,"name":"Time of Event (Mountain Time)","value":"18:23:05"},{"id":151,"name":"Denver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80" t="str">
        <f t="shared" si="26"/>
        <v>start /low /b %USERPROFILE%\Documents\GitHub\eaglep3\Utilities\DownloadLogsFromS3.py --loco 4054 --day 2017-01-04</v>
      </c>
    </row>
    <row r="234" spans="1:39" x14ac:dyDescent="0.25">
      <c r="A234" s="34" t="s">
        <v>647</v>
      </c>
      <c r="B234" s="7">
        <v>4053</v>
      </c>
      <c r="C234" s="22" t="s">
        <v>203</v>
      </c>
      <c r="D234" s="22" t="s">
        <v>783</v>
      </c>
      <c r="E234" s="13">
        <v>42739.776469907411</v>
      </c>
      <c r="F234" s="13">
        <v>42739.777986111112</v>
      </c>
      <c r="G234" s="7">
        <v>1</v>
      </c>
      <c r="H234" s="22" t="s">
        <v>790</v>
      </c>
      <c r="I234" s="13">
        <v>42739.785011574073</v>
      </c>
      <c r="J234" s="7">
        <v>0</v>
      </c>
      <c r="K234" s="105" t="str">
        <f>IF(ISEVEN(B234),(B234-1)&amp;"/"&amp;B234,B234&amp;"/"&amp;(B234+1))</f>
        <v>4053/4054</v>
      </c>
      <c r="L234" s="22" t="str">
        <f>VLOOKUP(A234,'Trips&amp;Operators'!$C$1:$G$99999,5,FALSE)</f>
        <v>LEVERE CRAIG</v>
      </c>
      <c r="M234" s="6">
        <f>I234-F234</f>
        <v>7.025462960882578E-3</v>
      </c>
      <c r="N234" s="7">
        <f>24*60*SUM($M234:$M234)</f>
        <v>10.116666663670912</v>
      </c>
      <c r="O234" s="7"/>
      <c r="P234" s="7"/>
      <c r="Q234" s="23"/>
      <c r="R234" s="23"/>
      <c r="S234" s="32">
        <f>SUM(U234:U234)/IF(AG234="EC",12,1)</f>
        <v>0</v>
      </c>
      <c r="T234" s="47" t="e">
        <f>IF(ISEVEN(LEFT(AD234,4)),"Southbound","NorthBound")</f>
        <v>#VALUE!</v>
      </c>
      <c r="U234" s="16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4" t="str">
        <f>"https://search-rtdc-monitor-bjffxe2xuh6vdkpspy63sjmuny.us-east-1.es.amazonaws.com/_plugin/kibana/#/discover/Steve-Slow-Train-Analysis-(2080s-and-2083s)?_g=(refreshInterval:(display:Off,section:0,value:0),time:(from:'"&amp;TEXT(E234-1/24,"yyyy-MM-DD hh:mm:ss")&amp;utc_offset&amp;"00',mode:absolute,to:'"&amp;TEXT(I234+1/24,"yyyy-MM-DD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234&amp;"%22')),sort:!(Time,asc))"</f>
        <v>https://search-rtdc-monitor-bjffxe2xuh6vdkpspy63sjmuny.us-east-1.es.amazonaws.com/_plugin/kibana/#/discover/Steve-Slow-Train-Analysis-(2080s-and-2083s)?_g=(refreshInterval:(display:Off,section:0,value:0),time:(from:'2017-01-04 17:38:07-700',mode:absolute,to:'2017-01-04 19:50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4" s="49" t="str">
        <f>IF(AA234&lt;IF(AG234="EC",23,5.65),"Y","N")</f>
        <v>Y</v>
      </c>
      <c r="X234" s="173" t="e">
        <f>VALUE(LEFT(AD234,4))-VALUE(LEFT(AD233,4))</f>
        <v>#VALUE!</v>
      </c>
      <c r="Y234" s="64">
        <f t="shared" si="22"/>
        <v>0.1164</v>
      </c>
      <c r="Z234" s="64">
        <f t="shared" si="23"/>
        <v>2.2846000000000002</v>
      </c>
      <c r="AA234" s="64">
        <f>ABS(Z234-Y234)</f>
        <v>2.1682000000000001</v>
      </c>
      <c r="AB234" s="61" t="e">
        <f>VLOOKUP(A234,Enforcements!$C$7:$K$19,8,0)</f>
        <v>#N/A</v>
      </c>
      <c r="AC234" s="57" t="e">
        <f>VLOOKUP(A234,Enforcements!$C$7:$E$19,3,0)</f>
        <v>#N/A</v>
      </c>
      <c r="AD234" s="58" t="str">
        <f>IF(LEN(A234)=6,"0"&amp;A234,A234)</f>
        <v>75-04</v>
      </c>
      <c r="AE234" s="8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s3://rtdc.mdm.uploadarchive.raw/RTDC4053/ "%USERPROFILE%\AppData\Local\Temp\OnboardLogs"\RTDC4053\2017-01-04 --exclude "*" --recursive --include "*20170104*" &amp; "%USERPROFILE%\Documents\GitHub\mrs-test-scripts\Headless Mode &amp; Sideloading\WalkAndUnGZ.bat" "%USERPROFILE%\AppData\Local\Temp\OnboardLogs"\RTDC4053\2017-01-04 &amp; aws s3 cp s3://rtdc.mdm.uploadarchive.raw/RTDC4053/ "%USERPROFILE%\AppData\Local\Temp\OnboardLogs"\RTDC4053\2017-01-05 --exclude "*" --recursive --include "*20170105*" &amp; "%USERPROFILE%\Documents\GitHub\mrs-test-scripts\Headless Mode &amp; Sideloading\WalkAndUnGZ.bat" "%USERPROFILE%\AppData\Local\Temp\OnboardLogs"\RTDC4053\2017-01-05</v>
      </c>
      <c r="AF234" s="84" t="str">
        <f>astrogrep_path&amp;" /spath="&amp;search_path&amp;" /stypes=""app*"&amp;B234&amp;"*"&amp;TEXT(I234-utc_offset/24,"YYYYMMDD")&amp;"*"" /stext="" "&amp;TEXT(I234-utc_offset/24,"HH")&amp;search_regexp&amp;""" /e /r /s"</f>
        <v>"C:\Program Files (x86)\AstroGrep\AstroGrep.exe" /spath="%USERPROFILE%\AppData\Local\Temp\OnboardLogs" /stypes="app*4053*20170105*" /stext=" 01:.+((SYSTEM_STATE.+slice.+state.+changed )|(ment ac)|(multiple cpu faults)|(system.+state.+changed )|(\[timeout)|(PRM\|1\|D)|(kpr)|(kdp)|(\|lc)|(penalty))" /e /r /s</v>
      </c>
      <c r="AG234" s="1" t="str">
        <f>IFERROR(IF(VALUE(LEFT(AD234,2))&lt;=2,"EC",IF(OR(VALUE(LEFT(AD234,2))=8,VALUE(LEFT(AD234,2))=18),"NW","Other")),"Other")</f>
        <v>Other</v>
      </c>
      <c r="AH234" s="88" t="str">
        <f t="shared" si="24"/>
        <v>"%USERPROFILE%\Documents\GitHub\eaglep3\Utilities\RefineRTDCRunTimes.py" --tripid 75-04 --locoid 4053 --swversion DE.1.0.8.0 --startMP 204:1164 --initTime 2017-01-04T18:38:07 --startdatetime 2017-01-04T18:40:18 --delay 1 --endMP 300:22846 --enddatetime 2017-01-04T18:50:25 --enforcementcount 0 &gt;&gt;C:\Users\stu\Documents\GitHub\eaglep3-reporting\EC\2017-01-04-refined-times.txt</v>
      </c>
      <c r="AI234" s="115" t="str">
        <f t="shared" si="25"/>
        <v>echo {"issue":{"subject":"","project_id":79,"tracker_id":40,"status_id":1,"priority_id":2,"assigned_to_id":23,"start_date":"2017-01-04","description":"","custom_fields":[{"id":1,"name":"Subdivision","value":"Other"},{"id":4,"name":"Milepost","value":"2.2846"},{"id":17,"name":"Train ID","value":"75-04"},{"id":16,"name":"Locomotive ID","value":"4053"},{"id":130,"name":"Impact","value":""},{"id":150,"name":"Time of Event (Mountain Time)","value":"18:50:25"},{"id":151,"name":"Denver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0"/>
      <c r="AK234" s="50"/>
      <c r="AL234" s="50"/>
      <c r="AM234" s="180" t="str">
        <f t="shared" si="26"/>
        <v>start /low /b %USERPROFILE%\Documents\GitHub\eaglep3\Utilities\DownloadLogsFromS3.py --loco 4053 --day 2017-01-04</v>
      </c>
    </row>
    <row r="235" spans="1:39" x14ac:dyDescent="0.25">
      <c r="A235" s="34" t="s">
        <v>476</v>
      </c>
      <c r="B235" s="7">
        <v>4031</v>
      </c>
      <c r="C235" s="22" t="s">
        <v>203</v>
      </c>
      <c r="D235" s="22" t="s">
        <v>823</v>
      </c>
      <c r="E235" s="13">
        <v>42739.994085648148</v>
      </c>
      <c r="F235" s="13">
        <v>42740.000694444447</v>
      </c>
      <c r="G235" s="7">
        <v>2</v>
      </c>
      <c r="H235" s="22" t="s">
        <v>824</v>
      </c>
      <c r="I235" s="13">
        <v>42740.014074074075</v>
      </c>
      <c r="J235" s="7">
        <v>0</v>
      </c>
      <c r="K235" s="105" t="str">
        <f>IF(ISEVEN(B235),(B235-1)&amp;"/"&amp;B235,B235&amp;"/"&amp;(B235+1))</f>
        <v>4031/4032</v>
      </c>
      <c r="L235" s="22" t="str">
        <f>VLOOKUP(A235,'Trips&amp;Operators'!$C$1:$G$99999,5,FALSE)</f>
        <v>NELSON ARIANE</v>
      </c>
      <c r="M235" s="6">
        <f>I235-F235</f>
        <v>1.3379629628616385E-2</v>
      </c>
      <c r="N235" s="7">
        <f>24*60*SUM($M235:$M235)</f>
        <v>19.266666665207595</v>
      </c>
      <c r="O235" s="7"/>
      <c r="P235" s="7"/>
      <c r="Q235" s="23"/>
      <c r="R235" s="23"/>
      <c r="S235" s="32">
        <f>SUM(U235:U235)/IF(AG235="EC",12,1)</f>
        <v>0</v>
      </c>
      <c r="T235" s="47" t="e">
        <f>IF(ISEVEN(LEFT(AD235,4)),"Southbound","NorthBound")</f>
        <v>#VALUE!</v>
      </c>
      <c r="U235" s="167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4" t="str">
        <f>"https://search-rtdc-monitor-bjffxe2xuh6vdkpspy63sjmuny.us-east-1.es.amazonaws.com/_plugin/kibana/#/discover/Steve-Slow-Train-Analysis-(2080s-and-2083s)?_g=(refreshInterval:(display:Off,section:0,value:0),time:(from:'"&amp;TEXT(E235-1/24,"yyyy-MM-DD hh:mm:ss")&amp;utc_offset&amp;"00',mode:absolute,to:'"&amp;TEXT(I235+1/24,"yyyy-MM-DD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235&amp;"%22')),sort:!(Time,asc))"</f>
        <v>https://search-rtdc-monitor-bjffxe2xuh6vdkpspy63sjmuny.us-east-1.es.amazonaws.com/_plugin/kibana/#/discover/Steve-Slow-Train-Analysis-(2080s-and-2083s)?_g=(refreshInterval:(display:Off,section:0,value:0),time:(from:'2017-01-04 22:51:29-700',mode:absolute,to:'2017-01-05 01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35" s="49" t="str">
        <f>IF(AA235&lt;IF(AG235="EC",23,5.65),"Y","N")</f>
        <v>N</v>
      </c>
      <c r="X235" s="173" t="e">
        <f>VALUE(LEFT(AD235,4))-VALUE(LEFT(AD234,4))</f>
        <v>#VALUE!</v>
      </c>
      <c r="Y235" s="64">
        <f t="shared" si="22"/>
        <v>0.1171</v>
      </c>
      <c r="Z235" s="64">
        <f t="shared" si="23"/>
        <v>5.8933</v>
      </c>
      <c r="AA235" s="64">
        <f>ABS(Z235-Y235)</f>
        <v>5.7762000000000002</v>
      </c>
      <c r="AB235" s="61" t="e">
        <f>VLOOKUP(A235,Enforcements!$C$7:$K$19,8,0)</f>
        <v>#N/A</v>
      </c>
      <c r="AC235" s="57" t="e">
        <f>VLOOKUP(A235,Enforcements!$C$7:$E$19,3,0)</f>
        <v>#N/A</v>
      </c>
      <c r="AD235" s="58" t="str">
        <f>IF(LEN(A235)=6,"0"&amp;A235,A235)</f>
        <v>83-04</v>
      </c>
      <c r="AE235" s="8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s3://rtdc.mdm.uploadarchive.raw/RTDC4031/ "%USERPROFILE%\AppData\Local\Temp\OnboardLogs"\RTDC4031\2017-01-05 --exclude "*" --recursive --include "*20170105*" &amp; "%USERPROFILE%\Documents\GitHub\mrs-test-scripts\Headless Mode &amp; Sideloading\WalkAndUnGZ.bat" "%USERPROFILE%\AppData\Local\Temp\OnboardLogs"\RTDC4031\2017-01-05 &amp; aws s3 cp s3://rtdc.mdm.uploadarchive.raw/RTDC4031/ "%USERPROFILE%\AppData\Local\Temp\OnboardLogs"\RTDC4031\2017-01-06 --exclude "*" --recursive --include "*20170106*" &amp; "%USERPROFILE%\Documents\GitHub\mrs-test-scripts\Headless Mode &amp; Sideloading\WalkAndUnGZ.bat" "%USERPROFILE%\AppData\Local\Temp\OnboardLogs"\RTDC4031\2017-01-06</v>
      </c>
      <c r="AF235" s="84" t="str">
        <f>astrogrep_path&amp;" /spath="&amp;search_path&amp;" /stypes=""app*"&amp;B235&amp;"*"&amp;TEXT(I235-utc_offset/24,"YYYYMMDD")&amp;"*"" /stext="" "&amp;TEXT(I235-utc_offset/24,"HH")&amp;search_regexp&amp;""" /e /r /s"</f>
        <v>"C:\Program Files (x86)\AstroGrep\AstroGrep.exe" /spath="%USERPROFILE%\AppData\Local\Temp\OnboardLogs" /stypes="app*4031*20170105*" /stext=" 07:.+((SYSTEM_STATE.+slice.+state.+changed )|(ment ac)|(multiple cpu faults)|(system.+state.+changed )|(\[timeout)|(PRM\|1\|D)|(kpr)|(kdp)|(\|lc)|(penalty))" /e /r /s</v>
      </c>
      <c r="AG235" s="1" t="str">
        <f>IFERROR(IF(VALUE(LEFT(AD235,2))&lt;=2,"EC",IF(OR(VALUE(LEFT(AD235,2))=8,VALUE(LEFT(AD235,2))=18),"NW","Other")),"Other")</f>
        <v>Other</v>
      </c>
      <c r="AH235" s="88" t="str">
        <f t="shared" si="24"/>
        <v>"%USERPROFILE%\Documents\GitHub\eaglep3\Utilities\RefineRTDCRunTimes.py" --tripid 83-04 --locoid 4031 --swversion DE.1.0.8.0 --startMP 204:1171 --initTime 2017-01-04T23:51:29 --startdatetime 2017-01-05T00:01:00 --delay 2 --endMP 300:58933 --enddatetime 2017-01-05T00:20:16 --enforcementcount 0 &gt;&gt;C:\Users\stu\Documents\GitHub\eaglep3-reporting\EC\2017-01-04-refined-times.txt</v>
      </c>
      <c r="AI235" s="115" t="str">
        <f t="shared" si="25"/>
        <v>echo {"issue":{"subject":"","project_id":79,"tracker_id":40,"status_id":1,"priority_id":2,"assigned_to_id":23,"start_date":"2017-01-05","description":"","custom_fields":[{"id":1,"name":"Subdivision","value":"Other"},{"id":4,"name":"Milepost","value":"5.8933"},{"id":17,"name":"Train ID","value":"83-04"},{"id":16,"name":"Locomotive ID","value":"4031"},{"id":130,"name":"Impact","value":""},{"id":150,"name":"Time of Event (Mountain Time)","value":"00:20:16"},{"id":151,"name":"Denver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0"/>
      <c r="AK235" s="50"/>
      <c r="AL235" s="50"/>
      <c r="AM235" s="180" t="str">
        <f t="shared" si="26"/>
        <v>start /low /b %USERPROFILE%\Documents\GitHub\eaglep3\Utilities\DownloadLogsFromS3.py --loco 4031 --day 2017-01-05</v>
      </c>
    </row>
    <row r="236" spans="1:39" x14ac:dyDescent="0.25">
      <c r="A236" s="34" t="s">
        <v>477</v>
      </c>
      <c r="B236" s="7">
        <v>4032</v>
      </c>
      <c r="C236" s="22" t="s">
        <v>203</v>
      </c>
      <c r="D236" s="22" t="s">
        <v>430</v>
      </c>
      <c r="E236" s="13">
        <v>42740.017083333332</v>
      </c>
      <c r="F236" s="13">
        <v>42740.021145833336</v>
      </c>
      <c r="G236" s="7">
        <v>1</v>
      </c>
      <c r="H236" s="22" t="s">
        <v>832</v>
      </c>
      <c r="I236" s="13">
        <v>42740.036145833335</v>
      </c>
      <c r="J236" s="7">
        <v>0</v>
      </c>
      <c r="K236" s="105" t="str">
        <f>IF(ISEVEN(B236),(B236-1)&amp;"/"&amp;B236,B236&amp;"/"&amp;(B236+1))</f>
        <v>4031/4032</v>
      </c>
      <c r="L236" s="22" t="str">
        <f>VLOOKUP(A236,'Trips&amp;Operators'!$C$1:$G$99999,5,FALSE)</f>
        <v>NELSON ARIANE</v>
      </c>
      <c r="M236" s="6">
        <f>I236-F236</f>
        <v>1.4999999999417923E-2</v>
      </c>
      <c r="N236" s="7">
        <f>24*60*SUM($M236:$M236)</f>
        <v>21.59999999916181</v>
      </c>
      <c r="O236" s="7"/>
      <c r="P236" s="7"/>
      <c r="Q236" s="23"/>
      <c r="R236" s="23"/>
      <c r="S236" s="32">
        <f>SUM(U236:U236)/IF(AG236="EC",12,1)</f>
        <v>0</v>
      </c>
      <c r="T236" s="47" t="e">
        <f>IF(ISEVEN(LEFT(AD236,4)),"Southbound","NorthBound")</f>
        <v>#VALUE!</v>
      </c>
      <c r="U236" s="167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4" t="str">
        <f>"https://search-rtdc-monitor-bjffxe2xuh6vdkpspy63sjmuny.us-east-1.es.amazonaws.com/_plugin/kibana/#/discover/Steve-Slow-Train-Analysis-(2080s-and-2083s)?_g=(refreshInterval:(display:Off,section:0,value:0),time:(from:'"&amp;TEXT(E236-1/24,"yyyy-MM-DD hh:mm:ss")&amp;utc_offset&amp;"00',mode:absolute,to:'"&amp;TEXT(I236+1/24,"yyyy-MM-DD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236&amp;"%22')),sort:!(Time,asc))"</f>
        <v>https://search-rtdc-monitor-bjffxe2xuh6vdkpspy63sjmuny.us-east-1.es.amazonaws.com/_plugin/kibana/#/discover/Steve-Slow-Train-Analysis-(2080s-and-2083s)?_g=(refreshInterval:(display:Off,section:0,value:0),time:(from:'2017-01-04 23:24:36-700',mode:absolute,to:'2017-01-05 01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6" s="49" t="str">
        <f>IF(AA236&lt;IF(AG236="EC",23,5.65),"Y","N")</f>
        <v>N</v>
      </c>
      <c r="X236" s="173" t="e">
        <f>VALUE(LEFT(AD236,4))-VALUE(LEFT(AD235,4))</f>
        <v>#VALUE!</v>
      </c>
      <c r="Y236" s="64">
        <f t="shared" si="22"/>
        <v>5.8619000000000003</v>
      </c>
      <c r="Z236" s="64">
        <f t="shared" si="23"/>
        <v>9.2200000000000004E-2</v>
      </c>
      <c r="AA236" s="64">
        <f>ABS(Z236-Y236)</f>
        <v>5.7697000000000003</v>
      </c>
      <c r="AB236" s="61" t="e">
        <f>VLOOKUP(A236,Enforcements!$C$7:$K$19,8,0)</f>
        <v>#N/A</v>
      </c>
      <c r="AC236" s="57" t="e">
        <f>VLOOKUP(A236,Enforcements!$C$7:$E$19,3,0)</f>
        <v>#N/A</v>
      </c>
      <c r="AD236" s="58" t="str">
        <f>IF(LEN(A236)=6,"0"&amp;A236,A236)</f>
        <v>84-04</v>
      </c>
      <c r="AE236" s="8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AF236" s="84" t="str">
        <f>astrogrep_path&amp;" /spath="&amp;search_path&amp;" /stypes=""app*"&amp;B236&amp;"*"&amp;TEXT(I236-utc_offset/24,"YYYYMMDD")&amp;"*"" /stext="" "&amp;TEXT(I236-utc_offset/24,"HH")&amp;search_regexp&amp;""" /e /r /s"</f>
        <v>"C:\Program Files (x86)\AstroGrep\AstroGrep.exe" /spath="%USERPROFILE%\AppData\Local\Temp\OnboardLogs" /stypes="app*4032*20170105*" /stext=" 07:.+((SYSTEM_STATE.+slice.+state.+changed )|(ment ac)|(multiple cpu faults)|(system.+state.+changed )|(\[timeout)|(PRM\|1\|D)|(kpr)|(kdp)|(\|lc)|(penalty))" /e /r /s</v>
      </c>
      <c r="AG236" s="1" t="str">
        <f>IFERROR(IF(VALUE(LEFT(AD236,2))&lt;=2,"EC",IF(OR(VALUE(LEFT(AD236,2))=8,VALUE(LEFT(AD236,2))=18),"NW","Other")),"Other")</f>
        <v>Other</v>
      </c>
      <c r="AH236" s="88" t="str">
        <f t="shared" si="24"/>
        <v>"%USERPROFILE%\Documents\GitHub\eaglep3\Utilities\RefineRTDCRunTimes.py" --tripid 84-04 --locoid 4032 --swversion DE.1.0.8.0 --startMP 300:58619 --initTime 2017-01-05T00:24:36 --startdatetime 2017-01-05T00:30:27 --delay 1 --endMP 204:922 --enddatetime 2017-01-05T00:52:03 --enforcementcount 0 &gt;&gt;C:\Users\stu\Documents\GitHub\eaglep3-reporting\EC\2017-01-04-refined-times.txt</v>
      </c>
      <c r="AI236" s="115" t="str">
        <f t="shared" si="25"/>
        <v>echo {"issue":{"subject":"","project_id":79,"tracker_id":40,"status_id":1,"priority_id":2,"assigned_to_id":23,"start_date":"2017-01-05","description":"","custom_fields":[{"id":1,"name":"Subdivision","value":"Other"},{"id":4,"name":"Milepost","value":"0.0922"},{"id":17,"name":"Train ID","value":"84-04"},{"id":16,"name":"Locomotive ID","value":"4032"},{"id":130,"name":"Impact","value":""},{"id":150,"name":"Time of Event (Mountain Time)","value":"00:52:03"},{"id":151,"name":"Denver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0"/>
      <c r="AK236" s="50"/>
      <c r="AL236" s="50"/>
      <c r="AM236" s="180" t="str">
        <f t="shared" si="26"/>
        <v>start /low /b %USERPROFILE%\Documents\GitHub\eaglep3\Utilities\DownloadLogsFromS3.py --loco 4032 --day 2017-01-05</v>
      </c>
    </row>
  </sheetData>
  <autoFilter ref="A12:AG220">
    <sortState ref="A13:AG238">
      <sortCondition ref="AG13:AG238"/>
      <sortCondition ref="AD13:AD238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352" operator="equal">
      <formula>"Y"</formula>
    </cfRule>
  </conditionalFormatting>
  <conditionalFormatting sqref="X13:X1048576">
    <cfRule type="cellIs" dxfId="9" priority="335" operator="greaterThan">
      <formula>1</formula>
    </cfRule>
  </conditionalFormatting>
  <conditionalFormatting sqref="X12:X1048576">
    <cfRule type="cellIs" dxfId="8" priority="332" operator="equal">
      <formula>0</formula>
    </cfRule>
  </conditionalFormatting>
  <conditionalFormatting sqref="A13:S236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3"/>
  <sheetViews>
    <sheetView topLeftCell="A2" zoomScaleNormal="100" workbookViewId="0">
      <selection activeCell="C22" sqref="C2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COUNTIF($O$7:$O$332,"=Y")</f>
        <v>5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COUNTA($O$7:$O$332)-O2</f>
        <v>32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- 2017-01-04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224</v>
      </c>
      <c r="AE6" s="181" t="s">
        <v>331</v>
      </c>
    </row>
    <row r="7" spans="1:31" s="1" customFormat="1" x14ac:dyDescent="0.25">
      <c r="A7" s="33">
        <v>42739.716307870367</v>
      </c>
      <c r="B7" s="31" t="s">
        <v>257</v>
      </c>
      <c r="C7" s="31" t="s">
        <v>461</v>
      </c>
      <c r="D7" s="31" t="s">
        <v>49</v>
      </c>
      <c r="E7" s="31" t="s">
        <v>240</v>
      </c>
      <c r="F7" s="44">
        <v>560</v>
      </c>
      <c r="G7" s="44">
        <v>634</v>
      </c>
      <c r="H7" s="44">
        <v>49692</v>
      </c>
      <c r="I7" s="44">
        <v>47025</v>
      </c>
      <c r="J7" s="31" t="s">
        <v>241</v>
      </c>
      <c r="K7" s="44">
        <v>48048</v>
      </c>
      <c r="L7" s="150" t="s">
        <v>51</v>
      </c>
      <c r="M7" s="151">
        <f>CONVERT((I7-K7)/10000,"mi","ft")*IF(L7="Increasing Mileposts (1)",-1,1)</f>
        <v>-540.14400000000001</v>
      </c>
      <c r="N7" s="152" t="str">
        <f>VLOOKUP(C7,'Trips&amp;Operators'!$C$1:$G$99999,5,FALSE)</f>
        <v>LEVIN SCOTT</v>
      </c>
      <c r="O7" s="179" t="s">
        <v>195</v>
      </c>
      <c r="P7" s="153" t="s">
        <v>383</v>
      </c>
      <c r="Q7" s="31"/>
      <c r="R7" s="96" t="str">
        <f>VLOOKUP(C7,'Train Runs'!$A$13:$AE$9964,31,0)</f>
        <v>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 &amp; 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</v>
      </c>
      <c r="S7" s="99" t="str">
        <f>VLOOKUP(C7,'Train Runs'!$A$13:$AE$9964,22,0)</f>
        <v>https://search-rtdc-monitor-bjffxe2xuh6vdkpspy63sjmuny.us-east-1.es.amazonaws.com/_plugin/kibana/#/discover/Steve-Slow-Train-Analysis-(2080s-and-2083s)?_g=(refreshInterval:(display:Off,section:0,value:0),time:(from:'2017-01-04 15:33:44-700',mode:absolute,to:'2017-01-04 18:24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7" s="101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/stypes="*4004*201701050*" /stext=" 00:.+((SYSTEM_STATE.+slice.+state.+changed )|(ment ac)|(multiple cpu faults)|(system.+state.+changed )|(\[timeout)|(PRM\|1\|D)|(kpr)|(kdp)|(\|lc)|(penalty))" /e /r /s</v>
      </c>
      <c r="U7" s="9" t="str">
        <f>MID(B7,13,4)</f>
        <v>4004</v>
      </c>
      <c r="V7" s="33">
        <f>A7-utc_offset/24</f>
        <v>42740.007974537031</v>
      </c>
      <c r="W7" s="47" t="str">
        <f>IF(VALUE(LEFT(IF(LEN(C7)=6,"0"&amp;C7,C7),2))&lt;=2,"EC",IF(OR(VALUE(LEFT(IF(LEN(C7)=6,"0"&amp;C7,C7),2))=8,VALUE(LEFT(IF(LEN(C7)=6,"0"&amp;C7,C7),2))=18),"NW","Other"))</f>
        <v>EC</v>
      </c>
      <c r="X7" s="47" t="str">
        <f>IF(AND(E7="TRACK WARRANT AUTHORITY",G7&lt;10),"OMIT","KEEP")</f>
        <v>KEEP</v>
      </c>
      <c r="Y7" s="115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arrival","project_id":79,"tracker_id":40,"status_id":1,"priority_id":2,"assigned_to_id":23,"start_date":"2017-01-04","description":"","custom_fields":[{"id":1,"name":"Subdivision","value":"EC"},{"id":4,"name":"Milepost","value":"4.8048"},{"id":17,"name":"Train ID","value":"198-04"},{"id":16,"name":"Locomotive ID","value":"4004"},{"id":130,"name":"Impact","value":""},{"id":150,"name":"Time of Event (Mountain Time)","value":"17:11:29"},{"id":151,"name":"Denver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"%USERPROFILE%\AppData\Local\Temp\OnboardLogs"\RTDC4004\*4004*201701050*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"%USERPROFILE%\AppData\Local\Temp\OnboardLogs"\RTDC4004\*4004*201701050* &gt;&gt; 42739-slicedisagreementcheck.txt</v>
      </c>
      <c r="AE7" s="183" t="str">
        <f>"start /low /b "&amp;dls3logs&amp;" --loco "&amp;U7&amp;" --day "&amp;TEXT(V7,"YYYY-MM-DD")</f>
        <v>start /low /b %USERPROFILE%\Documents\GitHub\eaglep3\Utilities\DownloadLogsFromS3.py --loco 4004 --day 2017-01-05</v>
      </c>
    </row>
    <row r="8" spans="1:31" s="1" customFormat="1" x14ac:dyDescent="0.25">
      <c r="A8" s="33">
        <v>42739.527256944442</v>
      </c>
      <c r="B8" s="31" t="s">
        <v>356</v>
      </c>
      <c r="C8" s="31" t="s">
        <v>455</v>
      </c>
      <c r="D8" s="31" t="s">
        <v>49</v>
      </c>
      <c r="E8" s="31" t="s">
        <v>240</v>
      </c>
      <c r="F8" s="44">
        <v>440</v>
      </c>
      <c r="G8" s="44">
        <v>493</v>
      </c>
      <c r="H8" s="44">
        <v>54875</v>
      </c>
      <c r="I8" s="44">
        <v>53203</v>
      </c>
      <c r="J8" s="31" t="s">
        <v>241</v>
      </c>
      <c r="K8" s="44">
        <v>53277</v>
      </c>
      <c r="L8" s="150" t="s">
        <v>51</v>
      </c>
      <c r="M8" s="151">
        <f>CONVERT((I8-K8)/10000,"mi","ft")*IF(L8="Increasing Mileposts (1)",-1,1)</f>
        <v>-39.072000000000003</v>
      </c>
      <c r="N8" s="152" t="str">
        <f>VLOOKUP(C8,'Trips&amp;Operators'!$C$1:$G$99999,5,FALSE)</f>
        <v>DAVIS MICHAEL</v>
      </c>
      <c r="O8" s="179" t="s">
        <v>195</v>
      </c>
      <c r="P8" s="153" t="s">
        <v>383</v>
      </c>
      <c r="Q8" s="31"/>
      <c r="R8" s="96" t="str">
        <f>VLOOKUP(C8,'Train Runs'!$A$13:$AE$9964,31,0)</f>
        <v>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 &amp; 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</v>
      </c>
      <c r="S8" s="99" t="str">
        <f>VLOOKUP(C8,'Train Runs'!$A$13:$AE$9964,22,0)</f>
        <v>https://search-rtdc-monitor-bjffxe2xuh6vdkpspy63sjmuny.us-east-1.es.amazonaws.com/_plugin/kibana/#/discover/Steve-Slow-Train-Analysis-(2080s-and-2083s)?_g=(refreshInterval:(display:Off,section:0,value:0),time:(from:'2017-01-04 11:05:40-700',mode:absolute,to:'2017-01-04 13:54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8" s="101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/stypes="*4015*201701041*" /stext=" 19:.+((SYSTEM_STATE.+slice.+state.+changed )|(ment ac)|(multiple cpu faults)|(system.+state.+changed )|(\[timeout)|(PRM\|1\|D)|(kpr)|(kdp)|(\|lc)|(penalty))" /e /r /s</v>
      </c>
      <c r="U8" s="9" t="str">
        <f>MID(B8,13,4)</f>
        <v>4015</v>
      </c>
      <c r="V8" s="33">
        <f>A8-utc_offset/24</f>
        <v>42739.818923611107</v>
      </c>
      <c r="W8" s="47" t="str">
        <f>IF(VALUE(LEFT(IF(LEN(C8)=6,"0"&amp;C8,C8),2))&lt;=2,"EC",IF(OR(VALUE(LEFT(IF(LEN(C8)=6,"0"&amp;C8,C8),2))=8,VALUE(LEFT(IF(LEN(C8)=6,"0"&amp;C8,C8),2))=18),"NW","Other"))</f>
        <v>EC</v>
      </c>
      <c r="X8" s="47" t="str">
        <f>IF(AND(E8="TRACK WARRANT AUTHORITY",G8&lt;10),"OMIT","KEEP")</f>
        <v>KEEP</v>
      </c>
      <c r="Y8" s="115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arrival","project_id":79,"tracker_id":40,"status_id":1,"priority_id":2,"assigned_to_id":23,"start_date":"2017-01-04","description":"","custom_fields":[{"id":1,"name":"Subdivision","value":"EC"},{"id":4,"name":"Milepost","value":"5.3277"},{"id":17,"name":"Train ID","value":"162-04"},{"id":16,"name":"Locomotive ID","value":"4015"},{"id":130,"name":"Impact","value":""},{"id":150,"name":"Time of Event (Mountain Time)","value":"12:39:15"},{"id":151,"name":"Denver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"%USERPROFILE%\AppData\Local\Temp\OnboardLogs"\RTDC4015\*4015*201701041*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"%USERPROFILE%\AppData\Local\Temp\OnboardLogs"\RTDC4015\*4015*201701041* &gt;&gt; 42739-slicedisagreementcheck.txt</v>
      </c>
      <c r="AE8" s="183" t="str">
        <f>"start /low /b "&amp;dls3logs&amp;" --loco "&amp;U8&amp;" --day "&amp;TEXT(V8,"YYYY-MM-DD")</f>
        <v>start /low /b %USERPROFILE%\Documents\GitHub\eaglep3\Utilities\DownloadLogsFromS3.py --loco 4015 --day 2017-01-04</v>
      </c>
    </row>
    <row r="9" spans="1:31" s="1" customFormat="1" x14ac:dyDescent="0.25">
      <c r="A9" s="33">
        <v>42739.419907407406</v>
      </c>
      <c r="B9" s="31" t="s">
        <v>257</v>
      </c>
      <c r="C9" s="31" t="s">
        <v>454</v>
      </c>
      <c r="D9" s="31" t="s">
        <v>49</v>
      </c>
      <c r="E9" s="31" t="s">
        <v>240</v>
      </c>
      <c r="F9" s="44">
        <v>250</v>
      </c>
      <c r="G9" s="44">
        <v>303</v>
      </c>
      <c r="H9" s="44">
        <v>63424</v>
      </c>
      <c r="I9" s="44">
        <v>62784</v>
      </c>
      <c r="J9" s="31" t="s">
        <v>241</v>
      </c>
      <c r="K9" s="44">
        <v>63309</v>
      </c>
      <c r="L9" s="150" t="s">
        <v>51</v>
      </c>
      <c r="M9" s="151">
        <f>CONVERT((I9-K9)/10000,"mi","ft")*IF(L9="Increasing Mileposts (1)",-1,1)</f>
        <v>-277.2</v>
      </c>
      <c r="N9" s="152" t="str">
        <f>VLOOKUP(C9,'Trips&amp;Operators'!$C$1:$G$99999,5,FALSE)</f>
        <v>ISHMAEL JOSEPH</v>
      </c>
      <c r="O9" s="179" t="s">
        <v>195</v>
      </c>
      <c r="P9" s="153" t="s">
        <v>383</v>
      </c>
      <c r="Q9" s="31"/>
      <c r="R9" s="96" t="str">
        <f>VLOOKUP(C9,'Train Runs'!$A$13:$AE$9964,31,0)</f>
        <v>aws s3 cp s3://rtdc.mdm.uploadarchive.raw/RTDC4004/ "%USERPROFILE%\AppData\Local\Temp\OnboardLogs"\RTDC4004\2017-01-04 --exclude "*" --recursive --include "*20170104*" &amp; "%USERPROFILE%\Documents\GitHub\mrs-test-scripts\Headless Mode &amp; Sideloading\WalkAndUnGZ.bat" "%USERPROFILE%\AppData\Local\Temp\OnboardLogs"\RTDC4004\2017-01-04 &amp; 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</v>
      </c>
      <c r="S9" s="99" t="str">
        <f>VLOOKUP(C9,'Train Runs'!$A$13:$AE$9964,22,0)</f>
        <v>https://search-rtdc-monitor-bjffxe2xuh6vdkpspy63sjmuny.us-east-1.es.amazonaws.com/_plugin/kibana/#/discover/Steve-Slow-Train-Analysis-(2080s-and-2083s)?_g=(refreshInterval:(display:Off,section:0,value:0),time:(from:'2017-01-04 08:30:17-700',mode:absolute,to:'2017-01-04 11:19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9" s="101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/stypes="*4004*201701041*" /stext=" 17:.+((SYSTEM_STATE.+slice.+state.+changed )|(ment ac)|(multiple cpu faults)|(system.+state.+changed )|(\[timeout)|(PRM\|1\|D)|(kpr)|(kdp)|(\|lc)|(penalty))" /e /r /s</v>
      </c>
      <c r="U9" s="9" t="str">
        <f>MID(B9,13,4)</f>
        <v>4004</v>
      </c>
      <c r="V9" s="33">
        <f>A9-utc_offset/24</f>
        <v>42739.71157407407</v>
      </c>
      <c r="W9" s="47" t="str">
        <f>IF(VALUE(LEFT(IF(LEN(C9)=6,"0"&amp;C9,C9),2))&lt;=2,"EC",IF(OR(VALUE(LEFT(IF(LEN(C9)=6,"0"&amp;C9,C9),2))=8,VALUE(LEFT(IF(LEN(C9)=6,"0"&amp;C9,C9),2))=18),"NW","Other"))</f>
        <v>EC</v>
      </c>
      <c r="X9" s="47" t="str">
        <f>IF(AND(E9="TRACK WARRANT AUTHORITY",G9&lt;10),"OMIT","KEEP")</f>
        <v>KEEP</v>
      </c>
      <c r="Y9" s="115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arrival","project_id":79,"tracker_id":40,"status_id":1,"priority_id":2,"assigned_to_id":23,"start_date":"2017-01-04","description":"","custom_fields":[{"id":1,"name":"Subdivision","value":"EC"},{"id":4,"name":"Milepost","value":"6.3309"},{"id":17,"name":"Train ID","value":"142-04"},{"id":16,"name":"Locomotive ID","value":"4004"},{"id":130,"name":"Impact","value":""},{"id":150,"name":"Time of Event (Mountain Time)","value":"10:04:40"},{"id":151,"name":"Denver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"%USERPROFILE%\AppData\Local\Temp\OnboardLogs"\RTDC4004\*4004*201701041*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"%USERPROFILE%\AppData\Local\Temp\OnboardLogs"\RTDC4004\*4004*201701041* &gt;&gt; 42739-slicedisagreementcheck.txt</v>
      </c>
      <c r="AE9" s="183" t="str">
        <f>"start /low /b "&amp;dls3logs&amp;" --loco "&amp;U9&amp;" --day "&amp;TEXT(V9,"YYYY-MM-DD")</f>
        <v>start /low /b %USERPROFILE%\Documents\GitHub\eaglep3\Utilities\DownloadLogsFromS3.py --loco 4004 --day 2017-01-04</v>
      </c>
    </row>
    <row r="10" spans="1:31" s="1" customFormat="1" x14ac:dyDescent="0.25">
      <c r="A10" s="33">
        <v>42739.397523148145</v>
      </c>
      <c r="B10" s="31" t="s">
        <v>237</v>
      </c>
      <c r="C10" s="31" t="s">
        <v>452</v>
      </c>
      <c r="D10" s="31" t="s">
        <v>98</v>
      </c>
      <c r="E10" s="31" t="s">
        <v>385</v>
      </c>
      <c r="F10" s="44">
        <v>200</v>
      </c>
      <c r="G10" s="44">
        <v>253</v>
      </c>
      <c r="H10" s="44">
        <v>5346</v>
      </c>
      <c r="I10" s="44">
        <v>5882</v>
      </c>
      <c r="J10" s="31" t="s">
        <v>386</v>
      </c>
      <c r="K10" s="44">
        <v>4677</v>
      </c>
      <c r="L10" s="150" t="s">
        <v>50</v>
      </c>
      <c r="M10" s="151">
        <f>CONVERT((I10-K10)/10000,"mi","ft")*IF(L10="Increasing Mileposts (1)",-1,1)</f>
        <v>-636.24</v>
      </c>
      <c r="N10" s="152" t="str">
        <f>VLOOKUP(C10,'Trips&amp;Operators'!$C$1:$G$99999,5,FALSE)</f>
        <v>COMELLA JUSTIN</v>
      </c>
      <c r="O10" s="179" t="s">
        <v>195</v>
      </c>
      <c r="P10" s="153"/>
      <c r="Q10" s="31"/>
      <c r="R10" s="96" t="str">
        <f>VLOOKUP(C10,'Train Runs'!$A$13:$AE$9964,31,0)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S10" s="99" t="str">
        <f>VLOOKUP(C10,'Train Runs'!$A$13:$AE$9964,22,0)</f>
        <v>https://search-rtdc-monitor-bjffxe2xuh6vdkpspy63sjmuny.us-east-1.es.amazonaws.com/_plugin/kibana/#/discover/Steve-Slow-Train-Analysis-(2080s-and-2083s)?_g=(refreshInterval:(display:Off,section:0,value:0),time:(from:'2017-01-04 08:26:32-700',mode:absolute,to:'2017-01-04 11:07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0" s="101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/stypes="*4016*201701041*" /stext=" 16:.+((SYSTEM_STATE.+slice.+state.+changed )|(ment ac)|(multiple cpu faults)|(system.+state.+changed )|(\[timeout)|(PRM\|1\|D)|(kpr)|(kdp)|(\|lc)|(penalty))" /e /r /s</v>
      </c>
      <c r="U10" s="9" t="str">
        <f>MID(B10,13,4)</f>
        <v>4016</v>
      </c>
      <c r="V10" s="33">
        <f>A10-utc_offset/24</f>
        <v>42739.68918981481</v>
      </c>
      <c r="W10" s="47" t="str">
        <f>IF(VALUE(LEFT(IF(LEN(C10)=6,"0"&amp;C10,C10),2))&lt;=2,"EC",IF(OR(VALUE(LEFT(IF(LEN(C10)=6,"0"&amp;C10,C10),2))=8,VALUE(LEFT(IF(LEN(C10)=6,"0"&amp;C10,C10),2))=18),"NW","Other"))</f>
        <v>EC</v>
      </c>
      <c r="X10" s="47" t="str">
        <f>IF(AND(E10="TRACK WARRANT AUTHORITY",G10&lt;10),"OMIT","KEEP")</f>
        <v>KEEP</v>
      </c>
      <c r="Y10" s="115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{"issue":{"subject":"","project_id":79,"tracker_id":40,"status_id":1,"priority_id":2,"assigned_to_id":23,"start_date":"2017-01-04","description":"","custom_fields":[{"id":1,"name":"Subdivision","value":"EC"},{"id":4,"name":"Milepost","value":"0.4677"},{"id":17,"name":"Train ID","value":"147-04"},{"id":16,"name":"Locomotive ID","value":"4016"},{"id":130,"name":"Impact","value":""},{"id":150,"name":"Time of Event (Mountain Time)","value":"09:32:26"},{"id":151,"name":"Denver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"%USERPROFILE%\AppData\Local\Temp\OnboardLogs"\RTDC4016\*4016*201701041*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"%USERPROFILE%\AppData\Local\Temp\OnboardLogs"\RTDC4016\*4016*201701041* &gt;&gt; 42739-slicedisagreementcheck.txt</v>
      </c>
      <c r="AE10" s="183" t="str">
        <f>"start /low /b "&amp;dls3logs&amp;" --loco "&amp;U10&amp;" --day "&amp;TEXT(V10,"YYYY-MM-DD")</f>
        <v>start /low /b %USERPROFILE%\Documents\GitHub\eaglep3\Utilities\DownloadLogsFromS3.py --loco 4016 --day 2017-01-04</v>
      </c>
    </row>
    <row r="11" spans="1:31" s="1" customFormat="1" x14ac:dyDescent="0.25">
      <c r="A11" s="33">
        <v>42739.896574074075</v>
      </c>
      <c r="B11" s="31" t="s">
        <v>356</v>
      </c>
      <c r="C11" s="31" t="s">
        <v>471</v>
      </c>
      <c r="D11" s="31" t="s">
        <v>49</v>
      </c>
      <c r="E11" s="31" t="s">
        <v>385</v>
      </c>
      <c r="F11" s="44">
        <v>300</v>
      </c>
      <c r="G11" s="44">
        <v>400</v>
      </c>
      <c r="H11" s="44">
        <v>23187</v>
      </c>
      <c r="I11" s="44">
        <v>22126</v>
      </c>
      <c r="J11" s="31" t="s">
        <v>386</v>
      </c>
      <c r="K11" s="44">
        <v>21848</v>
      </c>
      <c r="L11" s="150" t="s">
        <v>51</v>
      </c>
      <c r="M11" s="151">
        <f>CONVERT((I11-K11)/10000,"mi","ft")*IF(L11="Increasing Mileposts (1)",-1,1)</f>
        <v>146.78399999999999</v>
      </c>
      <c r="N11" s="152" t="str">
        <f>VLOOKUP(C11,'Trips&amp;Operators'!$C$1:$G$99999,5,FALSE)</f>
        <v>BROWN JACOB</v>
      </c>
      <c r="O11" s="179" t="s">
        <v>387</v>
      </c>
      <c r="P11" s="153" t="s">
        <v>445</v>
      </c>
      <c r="Q11" s="31"/>
      <c r="R11" s="96" t="str">
        <f>VLOOKUP(C11,'Train Runs'!$A$13:$AE$9964,31,0)</f>
        <v>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 &amp; 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</v>
      </c>
      <c r="S11" s="99" t="str">
        <f>VLOOKUP(C11,'Train Runs'!$A$13:$AE$9964,22,0)</f>
        <v>https://search-rtdc-monitor-bjffxe2xuh6vdkpspy63sjmuny.us-east-1.es.amazonaws.com/_plugin/kibana/#/discover/Steve-Slow-Train-Analysis-(2080s-and-2083s)?_g=(refreshInterval:(display:Off,section:0,value:0),time:(from:'2017-01-04 19:45:25-700',mode:absolute,to:'2017-01-04 22:38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1" s="101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/stypes="*4015*201701050*" /stext=" 04:.+((SYSTEM_STATE.+slice.+state.+changed )|(ment ac)|(multiple cpu faults)|(system.+state.+changed )|(\[timeout)|(PRM\|1\|D)|(kpr)|(kdp)|(\|lc)|(penalty))" /e /r /s</v>
      </c>
      <c r="U11" s="9" t="str">
        <f>MID(B11,13,4)</f>
        <v>4015</v>
      </c>
      <c r="V11" s="33">
        <f>A11-utc_offset/24</f>
        <v>42740.188240740739</v>
      </c>
      <c r="W11" s="47" t="str">
        <f>IF(VALUE(LEFT(IF(LEN(C11)=6,"0"&amp;C11,C11),2))&lt;=2,"EC",IF(OR(VALUE(LEFT(IF(LEN(C11)=6,"0"&amp;C11,C11),2))=8,VALUE(LEFT(IF(LEN(C11)=6,"0"&amp;C11,C11),2))=18),"NW","Other"))</f>
        <v>EC</v>
      </c>
      <c r="X11" s="47" t="str">
        <f>IF(AND(E11="TRACK WARRANT AUTHORITY",G11&lt;10),"OMIT","KEEP")</f>
        <v>KEEP</v>
      </c>
      <c r="Y11" s="115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braking","project_id":79,"tracker_id":40,"status_id":1,"priority_id":2,"assigned_to_id":23,"start_date":"2017-01-04","description":"","custom_fields":[{"id":1,"name":"Subdivision","value":"EC"},{"id":4,"name":"Milepost","value":"2.1848"},{"id":17,"name":"Train ID","value":"226-04"},{"id":16,"name":"Locomotive ID","value":"4015"},{"id":130,"name":"Impact","value":""},{"id":150,"name":"Time of Event (Mountain Time)","value":"21:31:04"},{"id":151,"name":"Denver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"%USERPROFILE%\AppData\Local\Temp\OnboardLogs"\RTDC4015\*4015*201701050*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"%USERPROFILE%\AppData\Local\Temp\OnboardLogs"\RTDC4015\*4015*201701050* &gt;&gt; 42739-slicedisagreementcheck.txt</v>
      </c>
      <c r="AE11" s="183" t="str">
        <f>"start /low /b "&amp;dls3logs&amp;" --loco "&amp;U11&amp;" --day "&amp;TEXT(V11,"YYYY-MM-DD")</f>
        <v>start /low /b %USERPROFILE%\Documents\GitHub\eaglep3\Utilities\DownloadLogsFromS3.py --loco 4015 --day 2017-01-05</v>
      </c>
    </row>
    <row r="12" spans="1:31" s="1" customFormat="1" x14ac:dyDescent="0.25">
      <c r="A12" s="33">
        <v>42739.832465277781</v>
      </c>
      <c r="B12" s="31" t="s">
        <v>468</v>
      </c>
      <c r="C12" s="31" t="s">
        <v>469</v>
      </c>
      <c r="D12" s="31" t="s">
        <v>98</v>
      </c>
      <c r="E12" s="31" t="s">
        <v>385</v>
      </c>
      <c r="F12" s="44">
        <v>350</v>
      </c>
      <c r="G12" s="44">
        <v>400</v>
      </c>
      <c r="H12" s="44">
        <v>224889</v>
      </c>
      <c r="I12" s="44">
        <v>223643</v>
      </c>
      <c r="J12" s="31" t="s">
        <v>386</v>
      </c>
      <c r="K12" s="44">
        <v>232080</v>
      </c>
      <c r="L12" s="150" t="s">
        <v>51</v>
      </c>
      <c r="M12" s="151">
        <f>CONVERT((I12-K12)/10000,"mi","ft")*IF(L12="Increasing Mileposts (1)",-1,1)</f>
        <v>-4454.7359999999999</v>
      </c>
      <c r="N12" s="152" t="str">
        <f>VLOOKUP(C12,'Trips&amp;Operators'!$C$1:$G$99999,5,FALSE)</f>
        <v>HILLS DUSTIN</v>
      </c>
      <c r="O12" s="179" t="s">
        <v>195</v>
      </c>
      <c r="P12" s="153"/>
      <c r="Q12" s="31"/>
      <c r="R12" s="96" t="str">
        <f>VLOOKUP(C12,'Train Runs'!$A$13:$AE$9964,31,0)</f>
        <v>aws s3 cp s3://rtdc.mdm.uploadarchive.raw/RTDC4001/ "%USERPROFILE%\AppData\Local\Temp\OnboardLogs"\RTDC4001\2017-01-04 --exclude "*" --recursive --include "*20170104*" &amp; "%USERPROFILE%\Documents\GitHub\mrs-test-scripts\Headless Mode &amp; Sideloading\WalkAndUnGZ.bat" "%USERPROFILE%\AppData\Local\Temp\OnboardLogs"\RTDC4001\2017-01-04 &amp; 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</v>
      </c>
      <c r="S12" s="99" t="str">
        <f>VLOOKUP(C12,'Train Runs'!$A$13:$AE$9964,22,0)</f>
        <v>https://search-rtdc-monitor-bjffxe2xuh6vdkpspy63sjmuny.us-east-1.es.amazonaws.com/_plugin/kibana/#/discover/Steve-Slow-Train-Analysis-(2080s-and-2083s)?_g=(refreshInterval:(display:Off,section:0,value:0),time:(from:'2017-01-04 18:40:55-700',mode:absolute,to:'2017-01-04 21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2" s="101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/stypes="*4001*201701050*" /stext=" 02:.+((SYSTEM_STATE.+slice.+state.+changed )|(ment ac)|(multiple cpu faults)|(system.+state.+changed )|(\[timeout)|(PRM\|1\|D)|(kpr)|(kdp)|(\|lc)|(penalty))" /e /r /s</v>
      </c>
      <c r="U12" s="9" t="str">
        <f>MID(B12,13,4)</f>
        <v>4001</v>
      </c>
      <c r="V12" s="33">
        <f>A12-utc_offset/24</f>
        <v>42740.124131944445</v>
      </c>
      <c r="W12" s="47" t="str">
        <f>IF(VALUE(LEFT(IF(LEN(C12)=6,"0"&amp;C12,C12),2))&lt;=2,"EC",IF(OR(VALUE(LEFT(IF(LEN(C12)=6,"0"&amp;C12,C12),2))=8,VALUE(LEFT(IF(LEN(C12)=6,"0"&amp;C12,C12),2))=18),"NW","Other"))</f>
        <v>EC</v>
      </c>
      <c r="X12" s="47" t="str">
        <f>IF(AND(E12="TRACK WARRANT AUTHORITY",G12&lt;10),"OMIT","KEEP")</f>
        <v>KEEP</v>
      </c>
      <c r="Y12" s="115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{"issue":{"subject":"","project_id":79,"tracker_id":40,"status_id":1,"priority_id":2,"assigned_to_id":23,"start_date":"2017-01-04","description":"","custom_fields":[{"id":1,"name":"Subdivision","value":"EC"},{"id":4,"name":"Milepost","value":"23.208"},{"id":17,"name":"Train ID","value":"222-04"},{"id":16,"name":"Locomotive ID","value":"4001"},{"id":130,"name":"Impact","value":""},{"id":150,"name":"Time of Event (Mountain Time)","value":"19:58:45"},{"id":151,"name":"Denver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"%USERPROFILE%\AppData\Local\Temp\OnboardLogs"\RTDC4001\*4001*201701050*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"%USERPROFILE%\AppData\Local\Temp\OnboardLogs"\RTDC4001\*4001*201701050* &gt;&gt; 42739-slicedisagreementcheck.txt</v>
      </c>
      <c r="AE12" s="183" t="str">
        <f>"start /low /b "&amp;dls3logs&amp;" --loco "&amp;U12&amp;" --day "&amp;TEXT(V12,"YYYY-MM-DD")</f>
        <v>start /low /b %USERPROFILE%\Documents\GitHub\eaglep3\Utilities\DownloadLogsFromS3.py --loco 4001 --day 2017-01-05</v>
      </c>
    </row>
    <row r="13" spans="1:31" s="1" customFormat="1" x14ac:dyDescent="0.25">
      <c r="A13" s="33">
        <v>42739.341516203705</v>
      </c>
      <c r="B13" s="31" t="s">
        <v>269</v>
      </c>
      <c r="C13" s="31" t="s">
        <v>451</v>
      </c>
      <c r="D13" s="31" t="s">
        <v>98</v>
      </c>
      <c r="E13" s="31" t="s">
        <v>385</v>
      </c>
      <c r="F13" s="44">
        <v>150</v>
      </c>
      <c r="G13" s="44">
        <v>200</v>
      </c>
      <c r="H13" s="44">
        <v>232288</v>
      </c>
      <c r="I13" s="44">
        <v>232047</v>
      </c>
      <c r="J13" s="31" t="s">
        <v>386</v>
      </c>
      <c r="K13" s="44">
        <v>233492</v>
      </c>
      <c r="L13" s="150" t="s">
        <v>51</v>
      </c>
      <c r="M13" s="151">
        <f>CONVERT((I13-K13)/10000,"mi","ft")*IF(L13="Increasing Mileposts (1)",-1,1)</f>
        <v>-762.96</v>
      </c>
      <c r="N13" s="152" t="str">
        <f>VLOOKUP(C13,'Trips&amp;Operators'!$C$1:$G$99999,5,FALSE)</f>
        <v>BEAM ROSS</v>
      </c>
      <c r="O13" s="179" t="s">
        <v>195</v>
      </c>
      <c r="P13" s="153"/>
      <c r="Q13" s="31"/>
      <c r="R13" s="96" t="str">
        <f>VLOOKUP(C13,'Train Runs'!$A$13:$AE$9964,31,0)</f>
        <v>aws s3 cp s3://rtdc.mdm.uploadarchive.raw/RTDC4043/ "%USERPROFILE%\AppData\Local\Temp\OnboardLogs"\RTDC4043\2017-01-04 --exclude "*" --recursive --include "*20170104*" &amp; "%USERPROFILE%\Documents\GitHub\mrs-test-scripts\Headless Mode &amp; Sideloading\WalkAndUnGZ.bat" "%USERPROFILE%\AppData\Local\Temp\OnboardLogs"\RTDC4043\2017-01-04 &amp; 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</v>
      </c>
      <c r="S13" s="99" t="str">
        <f>VLOOKUP(C13,'Train Runs'!$A$13:$AE$9964,22,0)</f>
        <v>https://search-rtdc-monitor-bjffxe2xuh6vdkpspy63sjmuny.us-east-1.es.amazonaws.com/_plugin/kibana/#/discover/Steve-Slow-Train-Analysis-(2080s-and-2083s)?_g=(refreshInterval:(display:Off,section:0,value:0),time:(from:'2017-01-04 07:04:10-700',mode:absolute,to:'2017-01-04 09:51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3" s="101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/stypes="*4043*201701041*" /stext=" 15:.+((SYSTEM_STATE.+slice.+state.+changed )|(ment ac)|(multiple cpu faults)|(system.+state.+changed )|(\[timeout)|(PRM\|1\|D)|(kpr)|(kdp)|(\|lc)|(penalty))" /e /r /s</v>
      </c>
      <c r="U13" s="9" t="str">
        <f>MID(B13,13,4)</f>
        <v>4043</v>
      </c>
      <c r="V13" s="33">
        <f>A13-utc_offset/24</f>
        <v>42739.63318287037</v>
      </c>
      <c r="W13" s="47" t="str">
        <f>IF(VALUE(LEFT(IF(LEN(C13)=6,"0"&amp;C13,C13),2))&lt;=2,"EC",IF(OR(VALUE(LEFT(IF(LEN(C13)=6,"0"&amp;C13,C13),2))=8,VALUE(LEFT(IF(LEN(C13)=6,"0"&amp;C13,C13),2))=18),"NW","Other"))</f>
        <v>EC</v>
      </c>
      <c r="X13" s="47" t="str">
        <f>IF(AND(E13="TRACK WARRANT AUTHORITY",G13&lt;10),"OMIT","KEEP")</f>
        <v>KEEP</v>
      </c>
      <c r="Y13" s="115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{"issue":{"subject":"","project_id":79,"tracker_id":40,"status_id":1,"priority_id":2,"assigned_to_id":23,"start_date":"2017-01-04","description":"","custom_fields":[{"id":1,"name":"Subdivision","value":"EC"},{"id":4,"name":"Milepost","value":"23.3492"},{"id":17,"name":"Train ID","value":"130-04"},{"id":16,"name":"Locomotive ID","value":"4043"},{"id":130,"name":"Impact","value":""},{"id":150,"name":"Time of Event (Mountain Time)","value":"08:11:47"},{"id":151,"name":"Denver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"%USERPROFILE%\AppData\Local\Temp\OnboardLogs"\RTDC4043\*4043*201701041*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"%USERPROFILE%\AppData\Local\Temp\OnboardLogs"\RTDC4043\*4043*201701041* &gt;&gt; 42739-slicedisagreementcheck.txt</v>
      </c>
      <c r="AE13" s="183" t="str">
        <f>"start /low /b "&amp;dls3logs&amp;" --loco "&amp;U13&amp;" --day "&amp;TEXT(V13,"YYYY-MM-DD")</f>
        <v>start /low /b %USERPROFILE%\Documents\GitHub\eaglep3\Utilities\DownloadLogsFromS3.py --loco 4043 --day 2017-01-04</v>
      </c>
    </row>
    <row r="14" spans="1:31" s="1" customFormat="1" x14ac:dyDescent="0.25">
      <c r="A14" s="33">
        <v>42739.661261574074</v>
      </c>
      <c r="B14" s="31" t="s">
        <v>258</v>
      </c>
      <c r="C14" s="31" t="s">
        <v>459</v>
      </c>
      <c r="D14" s="31" t="s">
        <v>49</v>
      </c>
      <c r="E14" s="31" t="s">
        <v>196</v>
      </c>
      <c r="F14" s="44">
        <v>0</v>
      </c>
      <c r="G14" s="44">
        <v>194</v>
      </c>
      <c r="H14" s="44">
        <v>27536</v>
      </c>
      <c r="I14" s="44">
        <v>27769</v>
      </c>
      <c r="J14" s="31" t="s">
        <v>197</v>
      </c>
      <c r="K14" s="44">
        <v>28054</v>
      </c>
      <c r="L14" s="150" t="s">
        <v>50</v>
      </c>
      <c r="M14" s="151">
        <f>CONVERT((I14-K14)/10000,"mi","ft")*IF(L14="Increasing Mileposts (1)",-1,1)</f>
        <v>150.47999999999999</v>
      </c>
      <c r="N14" s="152" t="str">
        <f>VLOOKUP(C14,'Trips&amp;Operators'!$C$1:$G$99999,5,FALSE)</f>
        <v>LEVIN SCOTT</v>
      </c>
      <c r="O14" s="179" t="s">
        <v>387</v>
      </c>
      <c r="P14" s="153" t="s">
        <v>444</v>
      </c>
      <c r="Q14" s="31"/>
      <c r="R14" s="96" t="str">
        <f>VLOOKUP(C14,'Train Runs'!$A$13:$AE$9964,31,0)</f>
        <v>aws s3 cp s3://rtdc.mdm.uploadarchive.raw/RTDC4003/ "%USERPROFILE%\AppData\Local\Temp\OnboardLogs"\RTDC4003\2017-01-04 --exclude "*" --recursive --include "*20170104*" &amp; "%USERPROFILE%\Documents\GitHub\mrs-test-scripts\Headless Mode &amp; Sideloading\WalkAndUnGZ.bat" "%USERPROFILE%\AppData\Local\Temp\OnboardLogs"\RTDC4003\2017-01-04 &amp; 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</v>
      </c>
      <c r="S14" s="99" t="str">
        <f>VLOOKUP(C14,'Train Runs'!$A$13:$AE$9964,22,0)</f>
        <v>https://search-rtdc-monitor-bjffxe2xuh6vdkpspy63sjmuny.us-east-1.es.amazonaws.com/_plugin/kibana/#/discover/Steve-Slow-Train-Analysis-(2080s-and-2083s)?_g=(refreshInterval:(display:Off,section:0,value:0),time:(from:'2017-01-04 14:40:21-700',mode:absolute,to:'2017-01-04 17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4" s="101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/stypes="*4003*201701042*" /stext=" 22:.+((SYSTEM_STATE.+slice.+state.+changed )|(ment ac)|(multiple cpu faults)|(system.+state.+changed )|(\[timeout)|(PRM\|1\|D)|(kpr)|(kdp)|(\|lc)|(penalty))" /e /r /s</v>
      </c>
      <c r="U14" s="9" t="str">
        <f>MID(B14,13,4)</f>
        <v>4003</v>
      </c>
      <c r="V14" s="33">
        <f>A14-utc_offset/24</f>
        <v>42739.952928240738</v>
      </c>
      <c r="W14" s="47" t="str">
        <f>IF(VALUE(LEFT(IF(LEN(C14)=6,"0"&amp;C14,C14),2))&lt;=2,"EC",IF(OR(VALUE(LEFT(IF(LEN(C14)=6,"0"&amp;C14,C14),2))=8,VALUE(LEFT(IF(LEN(C14)=6,"0"&amp;C14,C14),2))=18),"NW","Other"))</f>
        <v>EC</v>
      </c>
      <c r="X14" s="47" t="str">
        <f>IF(AND(E14="TRACK WARRANT AUTHORITY",G14&lt;10),"OMIT","KEEP")</f>
        <v>KEEP</v>
      </c>
      <c r="Y14" s="115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drop","project_id":79,"tracker_id":40,"status_id":1,"priority_id":2,"assigned_to_id":23,"start_date":"2017-01-04","description":"","custom_fields":[{"id":1,"name":"Subdivision","value":"EC"},{"id":4,"name":"Milepost","value":"2.8054"},{"id":17,"name":"Train ID","value":"197-04"},{"id":16,"name":"Locomotive ID","value":"4003"},{"id":130,"name":"Impact","value":""},{"id":150,"name":"Time of Event (Mountain Time)","value":"15:52:13"},{"id":151,"name":"Denver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"%USERPROFILE%\AppData\Local\Temp\OnboardLogs"\RTDC4003\*4003*201701042*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"%USERPROFILE%\AppData\Local\Temp\OnboardLogs"\RTDC4003\*4003*201701042* &gt;&gt; 42739-slicedisagreementcheck.txt</v>
      </c>
      <c r="AE14" s="183" t="str">
        <f>"start /low /b "&amp;dls3logs&amp;" --loco "&amp;U14&amp;" --day "&amp;TEXT(V14,"YYYY-MM-DD")</f>
        <v>start /low /b %USERPROFILE%\Documents\GitHub\eaglep3\Utilities\DownloadLogsFromS3.py --loco 4003 --day 2017-01-04</v>
      </c>
    </row>
    <row r="15" spans="1:31" s="1" customFormat="1" x14ac:dyDescent="0.25">
      <c r="A15" s="33">
        <v>42739.863067129627</v>
      </c>
      <c r="B15" s="31" t="s">
        <v>321</v>
      </c>
      <c r="C15" s="31" t="s">
        <v>470</v>
      </c>
      <c r="D15" s="31" t="s">
        <v>49</v>
      </c>
      <c r="E15" s="31" t="s">
        <v>196</v>
      </c>
      <c r="F15" s="44">
        <v>0</v>
      </c>
      <c r="G15" s="44">
        <v>509</v>
      </c>
      <c r="H15" s="44">
        <v>50398</v>
      </c>
      <c r="I15" s="44">
        <v>52328</v>
      </c>
      <c r="J15" s="31" t="s">
        <v>197</v>
      </c>
      <c r="K15" s="44">
        <v>50746</v>
      </c>
      <c r="L15" s="150" t="s">
        <v>50</v>
      </c>
      <c r="M15" s="151">
        <f>CONVERT((I15-K15)/10000,"mi","ft")*IF(L15="Increasing Mileposts (1)",-1,1)</f>
        <v>-835.29600000000005</v>
      </c>
      <c r="N15" s="152" t="str">
        <f>VLOOKUP(C15,'Trips&amp;Operators'!$C$1:$G$99999,5,FALSE)</f>
        <v>NEWELL JAMES</v>
      </c>
      <c r="O15" s="179" t="s">
        <v>387</v>
      </c>
      <c r="P15" s="153" t="s">
        <v>444</v>
      </c>
      <c r="Q15" s="31"/>
      <c r="R15" s="96" t="str">
        <f>VLOOKUP(C15,'Train Runs'!$A$13:$AE$9964,31,0)</f>
        <v>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 &amp; 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</v>
      </c>
      <c r="S15" s="99" t="str">
        <f>VLOOKUP(C15,'Train Runs'!$A$13:$AE$9964,22,0)</f>
        <v>https://search-rtdc-monitor-bjffxe2xuh6vdkpspy63sjmuny.us-east-1.es.amazonaws.com/_plugin/kibana/#/discover/Steve-Slow-Train-Analysis-(2080s-and-2083s)?_g=(refreshInterval:(display:Off,section:0,value:0),time:(from:'2017-01-04 19:20:58-700',mode:absolute,to:'2017-01-04 22:09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5" s="101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/stypes="*4029*201701050*" /stext=" 03:.+((SYSTEM_STATE.+slice.+state.+changed )|(ment ac)|(multiple cpu faults)|(system.+state.+changed )|(\[timeout)|(PRM\|1\|D)|(kpr)|(kdp)|(\|lc)|(penalty))" /e /r /s</v>
      </c>
      <c r="U15" s="9" t="str">
        <f>MID(B15,13,4)</f>
        <v>4029</v>
      </c>
      <c r="V15" s="33">
        <f>A15-utc_offset/24</f>
        <v>42740.154733796291</v>
      </c>
      <c r="W15" s="47" t="str">
        <f>IF(VALUE(LEFT(IF(LEN(C15)=6,"0"&amp;C15,C15),2))&lt;=2,"EC",IF(OR(VALUE(LEFT(IF(LEN(C15)=6,"0"&amp;C15,C15),2))=8,VALUE(LEFT(IF(LEN(C15)=6,"0"&amp;C15,C15),2))=18),"NW","Other"))</f>
        <v>EC</v>
      </c>
      <c r="X15" s="47" t="str">
        <f>IF(AND(E15="TRACK WARRANT AUTHORITY",G15&lt;10),"OMIT","KEEP")</f>
        <v>KEEP</v>
      </c>
      <c r="Y15" s="115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drop","project_id":79,"tracker_id":40,"status_id":1,"priority_id":2,"assigned_to_id":23,"start_date":"2017-01-04","description":"","custom_fields":[{"id":1,"name":"Subdivision","value":"EC"},{"id":4,"name":"Milepost","value":"5.0746"},{"id":17,"name":"Train ID","value":"227-04"},{"id":16,"name":"Locomotive ID","value":"4029"},{"id":130,"name":"Impact","value":""},{"id":150,"name":"Time of Event (Mountain Time)","value":"20:42:49"},{"id":151,"name":"Denver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"%USERPROFILE%\AppData\Local\Temp\OnboardLogs"\RTDC4029\*4029*201701050*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"%USERPROFILE%\AppData\Local\Temp\OnboardLogs"\RTDC4029\*4029*201701050* &gt;&gt; 42739-slicedisagreementcheck.txt</v>
      </c>
      <c r="AE15" s="183" t="str">
        <f>"start /low /b "&amp;dls3logs&amp;" --loco "&amp;U15&amp;" --day "&amp;TEXT(V15,"YYYY-MM-DD")</f>
        <v>start /low /b %USERPROFILE%\Documents\GitHub\eaglep3\Utilities\DownloadLogsFromS3.py --loco 4029 --day 2017-01-05</v>
      </c>
    </row>
    <row r="16" spans="1:31" s="1" customFormat="1" x14ac:dyDescent="0.25">
      <c r="A16" s="33">
        <v>42739.334363425929</v>
      </c>
      <c r="B16" s="31" t="s">
        <v>237</v>
      </c>
      <c r="C16" s="31" t="s">
        <v>450</v>
      </c>
      <c r="D16" s="31" t="s">
        <v>49</v>
      </c>
      <c r="E16" s="31" t="s">
        <v>196</v>
      </c>
      <c r="F16" s="44">
        <v>0</v>
      </c>
      <c r="G16" s="44">
        <v>666</v>
      </c>
      <c r="H16" s="44">
        <v>80027</v>
      </c>
      <c r="I16" s="44">
        <v>82946</v>
      </c>
      <c r="J16" s="31" t="s">
        <v>197</v>
      </c>
      <c r="K16" s="44">
        <v>81738</v>
      </c>
      <c r="L16" s="150" t="s">
        <v>50</v>
      </c>
      <c r="M16" s="151">
        <f>CONVERT((I16-K16)/10000,"mi","ft")*IF(L16="Increasing Mileposts (1)",-1,1)</f>
        <v>-637.82399999999996</v>
      </c>
      <c r="N16" s="152" t="str">
        <f>VLOOKUP(C16,'Trips&amp;Operators'!$C$1:$G$99999,5,FALSE)</f>
        <v>COMELLA JUSTIN</v>
      </c>
      <c r="O16" s="179" t="s">
        <v>387</v>
      </c>
      <c r="P16" s="153" t="s">
        <v>876</v>
      </c>
      <c r="Q16" s="31"/>
      <c r="R16" s="96" t="str">
        <f>VLOOKUP(C16,'Train Runs'!$A$13:$AE$9964,31,0)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S16" s="99" t="str">
        <f>VLOOKUP(C16,'Train Runs'!$A$13:$AE$9964,22,0)</f>
        <v>https://search-rtdc-monitor-bjffxe2xuh6vdkpspy63sjmuny.us-east-1.es.amazonaws.com/_plugin/kibana/#/discover/Steve-Slow-Train-Analysis-(2080s-and-2083s)?_g=(refreshInterval:(display:Off,section:0,value:0),time:(from:'2017-01-04 06:40:23-700',mode:absolute,to:'2017-01-04 09:26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6" s="101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/stypes="*4016*201701041*" /stext=" 15:.+((SYSTEM_STATE.+slice.+state.+changed )|(ment ac)|(multiple cpu faults)|(system.+state.+changed )|(\[timeout)|(PRM\|1\|D)|(kpr)|(kdp)|(\|lc)|(penalty))" /e /r /s</v>
      </c>
      <c r="U16" s="9" t="str">
        <f>MID(B16,13,4)</f>
        <v>4016</v>
      </c>
      <c r="V16" s="33">
        <f>A16-utc_offset/24</f>
        <v>42739.626030092593</v>
      </c>
      <c r="W16" s="47" t="str">
        <f>IF(VALUE(LEFT(IF(LEN(C16)=6,"0"&amp;C16,C16),2))&lt;=2,"EC",IF(OR(VALUE(LEFT(IF(LEN(C16)=6,"0"&amp;C16,C16),2))=8,VALUE(LEFT(IF(LEN(C16)=6,"0"&amp;C16,C16),2))=18),"NW","Other"))</f>
        <v>EC</v>
      </c>
      <c r="X16" s="47" t="str">
        <f>IF(AND(E16="TRACK WARRANT AUTHORITY",G16&lt;10),"OMIT","KEEP")</f>
        <v>KEEP</v>
      </c>
      <c r="Y16" s="115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{"issue":{"subject":"Premature downgrade at EC0816RH 75-1T 1N","project_id":79,"tracker_id":40,"status_id":1,"priority_id":2,"assigned_to_id":23,"start_date":"2017-01-04","description":"At approx 08:00, EC0816RH 75-1T 1N dropped from 270 to STOP &amp; PROCEED in a way that seemed unexpected. Do logs tell anything strange at this time?","custom_fields":[{"id":1,"name":"Subdivision","value":"EC"},{"id":4,"name":"Milepost","value":"8.1738"},{"id":17,"name":"Train ID","value":"133-04"},{"id":16,"name":"Locomotive ID","value":"4016"},{"id":130,"name":"Impact","value":"Enforcement"},{"id":150,"name":"Time of Event (Mountain Time)","value":"08:01:29"},{"id":151,"name":"Denver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6" s="50" t="s">
        <v>877</v>
      </c>
      <c r="AA16" s="50" t="s">
        <v>125</v>
      </c>
      <c r="AB16" s="50" t="s">
        <v>130</v>
      </c>
      <c r="AC16" s="134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"%USERPROFILE%\AppData\Local\Temp\OnboardLogs"\RTDC4016\*4016*201701041*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"%USERPROFILE%\AppData\Local\Temp\OnboardLogs"\RTDC4016\*4016*201701041* &gt;&gt; 42739-slicedisagreementcheck.txt</v>
      </c>
      <c r="AE16" s="183" t="str">
        <f>"start /low /b "&amp;dls3logs&amp;" --loco "&amp;U16&amp;" --day "&amp;TEXT(V16,"YYYY-MM-DD")</f>
        <v>start /low /b %USERPROFILE%\Documents\GitHub\eaglep3\Utilities\DownloadLogsFromS3.py --loco 4016 --day 2017-01-04</v>
      </c>
    </row>
    <row r="17" spans="1:32" s="1" customFormat="1" x14ac:dyDescent="0.25">
      <c r="A17" s="33">
        <v>42739.757106481484</v>
      </c>
      <c r="B17" s="31" t="s">
        <v>356</v>
      </c>
      <c r="C17" s="31" t="s">
        <v>464</v>
      </c>
      <c r="D17" s="31" t="s">
        <v>49</v>
      </c>
      <c r="E17" s="31" t="s">
        <v>198</v>
      </c>
      <c r="F17" s="44">
        <v>0</v>
      </c>
      <c r="G17" s="44">
        <v>48</v>
      </c>
      <c r="H17" s="44">
        <v>160</v>
      </c>
      <c r="I17" s="44">
        <v>118</v>
      </c>
      <c r="J17" s="31" t="s">
        <v>199</v>
      </c>
      <c r="K17" s="44">
        <v>1</v>
      </c>
      <c r="L17" s="150" t="s">
        <v>51</v>
      </c>
      <c r="M17" s="151">
        <f>CONVERT((I17-K17)/10000,"mi","ft")*IF(L17="Increasing Mileposts (1)",-1,1)</f>
        <v>61.776000000000003</v>
      </c>
      <c r="N17" s="152" t="str">
        <f>VLOOKUP(C17,'Trips&amp;Operators'!$C$1:$G$99999,5,FALSE)</f>
        <v>DAVIS MICHAEL</v>
      </c>
      <c r="O17" s="179" t="s">
        <v>195</v>
      </c>
      <c r="P17" s="153"/>
      <c r="Q17" s="31"/>
      <c r="R17" s="96" t="str">
        <f>VLOOKUP(C17,'Train Runs'!$A$13:$AE$9964,31,0)</f>
        <v>aws s3 cp s3://rtdc.mdm.uploadarchive.raw/RTDC4015/ "%USERPROFILE%\AppData\Local\Temp\OnboardLogs"\RTDC4015\2017-01-04 --exclude "*" --recursive --include "*20170104*" &amp; "%USERPROFILE%\Documents\GitHub\mrs-test-scripts\Headless Mode &amp; Sideloading\WalkAndUnGZ.bat" "%USERPROFILE%\AppData\Local\Temp\OnboardLogs"\RTDC4015\2017-01-04 &amp; aws s3 cp s3://rtdc.mdm.uploadarchive.raw/RTDC4015/ "%USERPROFILE%\AppData\Local\Temp\OnboardLogs"\RTDC4015\2017-01-05 --exclude "*" --recursive --include "*20170105*" &amp; "%USERPROFILE%\Documents\GitHub\mrs-test-scripts\Headless Mode &amp; Sideloading\WalkAndUnGZ.bat" "%USERPROFILE%\AppData\Local\Temp\OnboardLogs"\RTDC4015\2017-01-05</v>
      </c>
      <c r="S17" s="99" t="str">
        <f>VLOOKUP(C17,'Train Runs'!$A$13:$AE$9964,22,0)</f>
        <v>https://search-rtdc-monitor-bjffxe2xuh6vdkpspy63sjmuny.us-east-1.es.amazonaws.com/_plugin/kibana/#/discover/Steve-Slow-Train-Analysis-(2080s-and-2083s)?_g=(refreshInterval:(display:Off,section:0,value:0),time:(from:'2017-01-04 16:21:21-700',mode:absolute,to:'2017-01-04 19:10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7" s="101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/stypes="*4015*201701050*" /stext=" 01:.+((SYSTEM_STATE.+slice.+state.+changed )|(ment ac)|(multiple cpu faults)|(system.+state.+changed )|(\[timeout)|(PRM\|1\|D)|(kpr)|(kdp)|(\|lc)|(penalty))" /e /r /s</v>
      </c>
      <c r="U17" s="9" t="str">
        <f>MID(B17,13,4)</f>
        <v>4015</v>
      </c>
      <c r="V17" s="33">
        <f>A17-utc_offset/24</f>
        <v>42740.048773148148</v>
      </c>
      <c r="W17" s="47" t="str">
        <f>IF(VALUE(LEFT(IF(LEN(C17)=6,"0"&amp;C17,C17),2))&lt;=2,"EC",IF(OR(VALUE(LEFT(IF(LEN(C17)=6,"0"&amp;C17,C17),2))=8,VALUE(LEFT(IF(LEN(C17)=6,"0"&amp;C17,C17),2))=18),"NW","Other"))</f>
        <v>EC</v>
      </c>
      <c r="X17" s="47" t="str">
        <f>IF(AND(E17="TRACK WARRANT AUTHORITY",G17&lt;10),"OMIT","KEEP")</f>
        <v>KEEP</v>
      </c>
      <c r="Y17" s="115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{"issue":{"subject":"","project_id":79,"tracker_id":40,"status_id":1,"priority_id":2,"assigned_to_id":23,"start_date":"2017-01-04","description":"","custom_fields":[{"id":1,"name":"Subdivision","value":"EC"},{"id":4,"name":"Milepost","value":"0.0001"},{"id":17,"name":"Train ID","value":"204-04"},{"id":16,"name":"Locomotive ID","value":"4015"},{"id":130,"name":"Impact","value":""},{"id":150,"name":"Time of Event (Mountain Time)","value":"18:10:14"},{"id":151,"name":"Denver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"%USERPROFILE%\AppData\Local\Temp\OnboardLogs"\RTDC4015\*4015*201701050*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"%USERPROFILE%\AppData\Local\Temp\OnboardLogs"\RTDC4015\*4015*201701050* &gt;&gt; 42739-slicedisagreementcheck.txt</v>
      </c>
      <c r="AE17" s="183" t="str">
        <f>"start /low /b "&amp;dls3logs&amp;" --loco "&amp;U17&amp;" --day "&amp;TEXT(V17,"YYYY-MM-DD")</f>
        <v>start /low /b %USERPROFILE%\Documents\GitHub\eaglep3\Utilities\DownloadLogsFromS3.py --loco 4015 --day 2017-01-05</v>
      </c>
    </row>
    <row r="18" spans="1:32" s="1" customFormat="1" x14ac:dyDescent="0.25">
      <c r="A18" s="33">
        <v>42739.85900462963</v>
      </c>
      <c r="B18" s="31" t="s">
        <v>468</v>
      </c>
      <c r="C18" s="31" t="s">
        <v>469</v>
      </c>
      <c r="D18" s="31" t="s">
        <v>49</v>
      </c>
      <c r="E18" s="31" t="s">
        <v>198</v>
      </c>
      <c r="F18" s="44">
        <v>0</v>
      </c>
      <c r="G18" s="44">
        <v>164</v>
      </c>
      <c r="H18" s="44">
        <v>708</v>
      </c>
      <c r="I18" s="44">
        <v>469</v>
      </c>
      <c r="J18" s="31" t="s">
        <v>199</v>
      </c>
      <c r="K18" s="44">
        <v>1</v>
      </c>
      <c r="L18" s="150" t="s">
        <v>51</v>
      </c>
      <c r="M18" s="151">
        <f>CONVERT((I18-K18)/10000,"mi","ft")*IF(L18="Increasing Mileposts (1)",-1,1)</f>
        <v>247.10400000000001</v>
      </c>
      <c r="N18" s="152" t="str">
        <f>VLOOKUP(C18,'Trips&amp;Operators'!$C$1:$G$99999,5,FALSE)</f>
        <v>HILLS DUSTIN</v>
      </c>
      <c r="O18" s="179" t="s">
        <v>195</v>
      </c>
      <c r="P18" s="153"/>
      <c r="Q18" s="31"/>
      <c r="R18" s="96" t="str">
        <f>VLOOKUP(C18,'Train Runs'!$A$13:$AE$9964,31,0)</f>
        <v>aws s3 cp s3://rtdc.mdm.uploadarchive.raw/RTDC4001/ "%USERPROFILE%\AppData\Local\Temp\OnboardLogs"\RTDC4001\2017-01-04 --exclude "*" --recursive --include "*20170104*" &amp; "%USERPROFILE%\Documents\GitHub\mrs-test-scripts\Headless Mode &amp; Sideloading\WalkAndUnGZ.bat" "%USERPROFILE%\AppData\Local\Temp\OnboardLogs"\RTDC4001\2017-01-04 &amp; 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</v>
      </c>
      <c r="S18" s="99" t="str">
        <f>VLOOKUP(C18,'Train Runs'!$A$13:$AE$9964,22,0)</f>
        <v>https://search-rtdc-monitor-bjffxe2xuh6vdkpspy63sjmuny.us-east-1.es.amazonaws.com/_plugin/kibana/#/discover/Steve-Slow-Train-Analysis-(2080s-and-2083s)?_g=(refreshInterval:(display:Off,section:0,value:0),time:(from:'2017-01-04 18:40:55-700',mode:absolute,to:'2017-01-04 21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8" s="101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/stypes="*4001*201701050*" /stext=" 03:.+((SYSTEM_STATE.+slice.+state.+changed )|(ment ac)|(multiple cpu faults)|(system.+state.+changed )|(\[timeout)|(PRM\|1\|D)|(kpr)|(kdp)|(\|lc)|(penalty))" /e /r /s</v>
      </c>
      <c r="U18" s="9" t="str">
        <f>MID(B18,13,4)</f>
        <v>4001</v>
      </c>
      <c r="V18" s="33">
        <f>A18-utc_offset/24</f>
        <v>42740.150671296295</v>
      </c>
      <c r="W18" s="47" t="str">
        <f>IF(VALUE(LEFT(IF(LEN(C18)=6,"0"&amp;C18,C18),2))&lt;=2,"EC",IF(OR(VALUE(LEFT(IF(LEN(C18)=6,"0"&amp;C18,C18),2))=8,VALUE(LEFT(IF(LEN(C18)=6,"0"&amp;C18,C18),2))=18),"NW","Other"))</f>
        <v>EC</v>
      </c>
      <c r="X18" s="47" t="str">
        <f>IF(AND(E18="TRACK WARRANT AUTHORITY",G18&lt;10),"OMIT","KEEP")</f>
        <v>KEEP</v>
      </c>
      <c r="Y18" s="115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{"issue":{"subject":"","project_id":79,"tracker_id":40,"status_id":1,"priority_id":2,"assigned_to_id":23,"start_date":"2017-01-04","description":"","custom_fields":[{"id":1,"name":"Subdivision","value":"EC"},{"id":4,"name":"Milepost","value":"0.0001"},{"id":17,"name":"Train ID","value":"222-04"},{"id":16,"name":"Locomotive ID","value":"4001"},{"id":130,"name":"Impact","value":""},{"id":150,"name":"Time of Event (Mountain Time)","value":"20:36:58"},{"id":151,"name":"Denver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"%USERPROFILE%\AppData\Local\Temp\OnboardLogs"\RTDC4001\*4001*201701050*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"%USERPROFILE%\AppData\Local\Temp\OnboardLogs"\RTDC4001\*4001*201701050* &gt;&gt; 42739-slicedisagreementcheck.txt</v>
      </c>
      <c r="AE18" s="183" t="str">
        <f>"start /low /b "&amp;dls3logs&amp;" --loco "&amp;U18&amp;" --day "&amp;TEXT(V18,"YYYY-MM-DD")</f>
        <v>start /low /b %USERPROFILE%\Documents\GitHub\eaglep3\Utilities\DownloadLogsFromS3.py --loco 4001 --day 2017-01-05</v>
      </c>
    </row>
    <row r="19" spans="1:32" s="1" customFormat="1" x14ac:dyDescent="0.25">
      <c r="A19" s="33">
        <v>42739.182569444441</v>
      </c>
      <c r="B19" s="31" t="s">
        <v>268</v>
      </c>
      <c r="C19" s="31" t="s">
        <v>447</v>
      </c>
      <c r="D19" s="31" t="s">
        <v>49</v>
      </c>
      <c r="E19" s="31" t="s">
        <v>198</v>
      </c>
      <c r="F19" s="44">
        <v>0</v>
      </c>
      <c r="G19" s="44">
        <v>45</v>
      </c>
      <c r="H19" s="44">
        <v>233300</v>
      </c>
      <c r="I19" s="44">
        <v>233331</v>
      </c>
      <c r="J19" s="31" t="s">
        <v>199</v>
      </c>
      <c r="K19" s="44">
        <v>233491</v>
      </c>
      <c r="L19" s="150" t="s">
        <v>50</v>
      </c>
      <c r="M19" s="151">
        <f>CONVERT((I19-K19)/10000,"mi","ft")*IF(L19="Increasing Mileposts (1)",-1,1)</f>
        <v>84.48</v>
      </c>
      <c r="N19" s="152" t="str">
        <f>VLOOKUP(C19,'Trips&amp;Operators'!$C$1:$G$99999,5,FALSE)</f>
        <v>MAELZER KURT</v>
      </c>
      <c r="O19" s="179" t="s">
        <v>195</v>
      </c>
      <c r="P19" s="153"/>
      <c r="Q19" s="31"/>
      <c r="R19" s="96" t="str">
        <f>VLOOKUP(C19,'Train Runs'!$A$13:$AE$9964,31,0)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S19" s="99" t="str">
        <f>VLOOKUP(C19,'Train Runs'!$A$13:$AE$9964,22,0)</f>
        <v>https://search-rtdc-monitor-bjffxe2xuh6vdkpspy63sjmuny.us-east-1.es.amazonaws.com/_plugin/kibana/#/discover/Steve-Slow-Train-Analysis-(2080s-and-2083s)?_g=(refreshInterval:(display:Off,section:0,value:0),time:(from:'2017-01-04 02:36:52-700',mode:absolute,to:'2017-01-04 05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9" s="101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/stypes="*4044*201701041*" /stext=" 11:.+((SYSTEM_STATE.+slice.+state.+changed )|(ment ac)|(multiple cpu faults)|(system.+state.+changed )|(\[timeout)|(PRM\|1\|D)|(kpr)|(kdp)|(\|lc)|(penalty))" /e /r /s</v>
      </c>
      <c r="U19" s="9" t="str">
        <f>MID(B19,13,4)</f>
        <v>4044</v>
      </c>
      <c r="V19" s="33">
        <f>A19-utc_offset/24</f>
        <v>42739.474236111106</v>
      </c>
      <c r="W19" s="47" t="str">
        <f>IF(VALUE(LEFT(IF(LEN(C19)=6,"0"&amp;C19,C19),2))&lt;=2,"EC",IF(OR(VALUE(LEFT(IF(LEN(C19)=6,"0"&amp;C19,C19),2))=8,VALUE(LEFT(IF(LEN(C19)=6,"0"&amp;C19,C19),2))=18),"NW","Other"))</f>
        <v>EC</v>
      </c>
      <c r="X19" s="47" t="str">
        <f>IF(AND(E19="TRACK WARRANT AUTHORITY",G19&lt;10),"OMIT","KEEP")</f>
        <v>KEEP</v>
      </c>
      <c r="Y19" s="115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{"issue":{"subject":"","project_id":79,"tracker_id":40,"status_id":1,"priority_id":2,"assigned_to_id":23,"start_date":"2017-01-04","description":"","custom_fields":[{"id":1,"name":"Subdivision","value":"EC"},{"id":4,"name":"Milepost","value":"23.3491"},{"id":17,"name":"Train ID","value":"103-04"},{"id":16,"name":"Locomotive ID","value":"4044"},{"id":130,"name":"Impact","value":""},{"id":150,"name":"Time of Event (Mountain Time)","value":"04:22:54"},{"id":151,"name":"Denver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"%USERPROFILE%\AppData\Local\Temp\OnboardLogs"\RTDC4044\*4044*201701041*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"%USERPROFILE%\AppData\Local\Temp\OnboardLogs"\RTDC4044\*4044*201701041* &gt;&gt; 42739-slicedisagreementcheck.txt</v>
      </c>
      <c r="AE19" s="183" t="str">
        <f>"start /low /b "&amp;dls3logs&amp;" --loco "&amp;U19&amp;" --day "&amp;TEXT(V19,"YYYY-MM-DD")</f>
        <v>start /low /b %USERPROFILE%\Documents\GitHub\eaglep3\Utilities\DownloadLogsFromS3.py --loco 4044 --day 2017-01-04</v>
      </c>
    </row>
    <row r="20" spans="1:32" x14ac:dyDescent="0.25">
      <c r="A20" s="33">
        <v>42739.288530092592</v>
      </c>
      <c r="B20" s="31" t="s">
        <v>321</v>
      </c>
      <c r="C20" s="31" t="s">
        <v>449</v>
      </c>
      <c r="D20" s="31" t="s">
        <v>49</v>
      </c>
      <c r="E20" s="31" t="s">
        <v>198</v>
      </c>
      <c r="F20" s="44">
        <v>0</v>
      </c>
      <c r="G20" s="44">
        <v>128</v>
      </c>
      <c r="H20" s="44">
        <v>232345</v>
      </c>
      <c r="I20" s="44">
        <v>233308</v>
      </c>
      <c r="J20" s="31" t="s">
        <v>199</v>
      </c>
      <c r="K20" s="44">
        <v>233491</v>
      </c>
      <c r="L20" s="150" t="s">
        <v>50</v>
      </c>
      <c r="M20" s="151">
        <f>CONVERT((I20-K20)/10000,"mi","ft")*IF(L20="Increasing Mileposts (1)",-1,1)</f>
        <v>96.623999999999995</v>
      </c>
      <c r="N20" s="152" t="str">
        <f>VLOOKUP(C20,'Trips&amp;Operators'!$C$1:$G$99999,5,FALSE)</f>
        <v>BONDS REYNALDO</v>
      </c>
      <c r="O20" s="179" t="s">
        <v>195</v>
      </c>
      <c r="P20" s="153"/>
      <c r="Q20" s="31"/>
      <c r="R20" s="96" t="str">
        <f>VLOOKUP(C20,'Train Runs'!$A$13:$AE$9964,31,0)</f>
        <v>aws s3 cp s3://rtdc.mdm.uploadarchive.raw/RTDC4029/ "%USERPROFILE%\AppData\Local\Temp\OnboardLogs"\RTDC4029\2017-01-04 --exclude "*" --recursive --include "*20170104*" &amp; "%USERPROFILE%\Documents\GitHub\mrs-test-scripts\Headless Mode &amp; Sideloading\WalkAndUnGZ.bat" "%USERPROFILE%\AppData\Local\Temp\OnboardLogs"\RTDC4029\2017-01-04 &amp; 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</v>
      </c>
      <c r="S20" s="99" t="str">
        <f>VLOOKUP(C20,'Train Runs'!$A$13:$AE$9964,22,0)</f>
        <v>https://search-rtdc-monitor-bjffxe2xuh6vdkpspy63sjmuny.us-east-1.es.amazonaws.com/_plugin/kibana/#/discover/Steve-Slow-Train-Analysis-(2080s-and-2083s)?_g=(refreshInterval:(display:Off,section:0,value:0),time:(from:'2017-01-04 05:09:45-700',mode:absolute,to:'2017-01-04 07:55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0" s="101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/stypes="*4029*201701041*" /stext=" 13:.+((SYSTEM_STATE.+slice.+state.+changed )|(ment ac)|(multiple cpu faults)|(system.+state.+changed )|(\[timeout)|(PRM\|1\|D)|(kpr)|(kdp)|(\|lc)|(penalty))" /e /r /s</v>
      </c>
      <c r="U20" s="9" t="str">
        <f>MID(B20,13,4)</f>
        <v>4029</v>
      </c>
      <c r="V20" s="33">
        <f>A20-utc_offset/24</f>
        <v>42739.580196759256</v>
      </c>
      <c r="W20" s="47" t="str">
        <f>IF(VALUE(LEFT(IF(LEN(C20)=6,"0"&amp;C20,C20),2))&lt;=2,"EC",IF(OR(VALUE(LEFT(IF(LEN(C20)=6,"0"&amp;C20,C20),2))=8,VALUE(LEFT(IF(LEN(C20)=6,"0"&amp;C20,C20),2))=18),"NW","Other"))</f>
        <v>EC</v>
      </c>
      <c r="X20" s="47" t="str">
        <f>IF(AND(E20="TRACK WARRANT AUTHORITY",G20&lt;10),"OMIT","KEEP")</f>
        <v>KEEP</v>
      </c>
      <c r="Y20" s="115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{"issue":{"subject":"","project_id":79,"tracker_id":40,"status_id":1,"priority_id":2,"assigned_to_id":23,"start_date":"2017-01-04","description":"","custom_fields":[{"id":1,"name":"Subdivision","value":"EC"},{"id":4,"name":"Milepost","value":"23.3491"},{"id":17,"name":"Train ID","value":"121-04"},{"id":16,"name":"Locomotive ID","value":"4029"},{"id":130,"name":"Impact","value":""},{"id":150,"name":"Time of Event (Mountain Time)","value":"06:55:29"},{"id":151,"name":"Denver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"%USERPROFILE%\AppData\Local\Temp\OnboardLogs"\RTDC4029\*4029*201701041*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"%USERPROFILE%\AppData\Local\Temp\OnboardLogs"\RTDC4029\*4029*201701041* &gt;&gt; 42739-slicedisagreementcheck.txt</v>
      </c>
      <c r="AE20" s="183" t="str">
        <f>"start /low /b "&amp;dls3logs&amp;" --loco "&amp;U20&amp;" --day "&amp;TEXT(V20,"YYYY-MM-DD")</f>
        <v>start /low /b %USERPROFILE%\Documents\GitHub\eaglep3\Utilities\DownloadLogsFromS3.py --loco 4029 --day 2017-01-04</v>
      </c>
      <c r="AF20" s="1"/>
    </row>
    <row r="21" spans="1:32" x14ac:dyDescent="0.25">
      <c r="A21" s="33">
        <v>42739.414340277777</v>
      </c>
      <c r="B21" s="31" t="s">
        <v>228</v>
      </c>
      <c r="C21" s="31" t="s">
        <v>453</v>
      </c>
      <c r="D21" s="31" t="s">
        <v>49</v>
      </c>
      <c r="E21" s="31" t="s">
        <v>198</v>
      </c>
      <c r="F21" s="44">
        <v>0</v>
      </c>
      <c r="G21" s="44">
        <v>50</v>
      </c>
      <c r="H21" s="44">
        <v>233164</v>
      </c>
      <c r="I21" s="44">
        <v>233225</v>
      </c>
      <c r="J21" s="31" t="s">
        <v>199</v>
      </c>
      <c r="K21" s="44">
        <v>233491</v>
      </c>
      <c r="L21" s="150" t="s">
        <v>50</v>
      </c>
      <c r="M21" s="151">
        <f>CONVERT((I21-K21)/10000,"mi","ft")*IF(L21="Increasing Mileposts (1)",-1,1)</f>
        <v>140.44800000000001</v>
      </c>
      <c r="N21" s="152" t="str">
        <f>VLOOKUP(C21,'Trips&amp;Operators'!$C$1:$G$99999,5,FALSE)</f>
        <v>MAELZER KURT</v>
      </c>
      <c r="O21" s="179" t="s">
        <v>195</v>
      </c>
      <c r="P21" s="153"/>
      <c r="Q21" s="31"/>
      <c r="R21" s="96" t="str">
        <f>VLOOKUP(C21,'Train Runs'!$A$13:$AE$9964,31,0)</f>
        <v>aws s3 cp s3://rtdc.mdm.uploadarchive.raw/RTDC4042/ "%USERPROFILE%\AppData\Local\Temp\OnboardLogs"\RTDC4042\2017-01-04 --exclude "*" --recursive --include "*20170104*" &amp; "%USERPROFILE%\Documents\GitHub\mrs-test-scripts\Headless Mode &amp; Sideloading\WalkAndUnGZ.bat" "%USERPROFILE%\AppData\Local\Temp\OnboardLogs"\RTDC4042\2017-01-04 &amp; 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</v>
      </c>
      <c r="S21" s="99" t="str">
        <f>VLOOKUP(C21,'Train Runs'!$A$13:$AE$9964,22,0)</f>
        <v>https://search-rtdc-monitor-bjffxe2xuh6vdkpspy63sjmuny.us-east-1.es.amazonaws.com/_plugin/kibana/#/discover/Steve-Slow-Train-Analysis-(2080s-and-2083s)?_g=(refreshInterval:(display:Off,section:0,value:0),time:(from:'2017-01-04 08:09:12-700',mode:absolute,to:'2017-01-04 10:56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1" s="101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/stypes="*4042*201701041*" /stext=" 16:.+((SYSTEM_STATE.+slice.+state.+changed )|(ment ac)|(multiple cpu faults)|(system.+state.+changed )|(\[timeout)|(PRM\|1\|D)|(kpr)|(kdp)|(\|lc)|(penalty))" /e /r /s</v>
      </c>
      <c r="U21" s="9" t="str">
        <f>MID(B21,13,4)</f>
        <v>4042</v>
      </c>
      <c r="V21" s="33">
        <f>A21-utc_offset/24</f>
        <v>42739.706006944441</v>
      </c>
      <c r="W21" s="47" t="str">
        <f>IF(VALUE(LEFT(IF(LEN(C21)=6,"0"&amp;C21,C21),2))&lt;=2,"EC",IF(OR(VALUE(LEFT(IF(LEN(C21)=6,"0"&amp;C21,C21),2))=8,VALUE(LEFT(IF(LEN(C21)=6,"0"&amp;C21,C21),2))=18),"NW","Other"))</f>
        <v>EC</v>
      </c>
      <c r="X21" s="47" t="str">
        <f>IF(AND(E21="TRACK WARRANT AUTHORITY",G21&lt;10),"OMIT","KEEP")</f>
        <v>KEEP</v>
      </c>
      <c r="Y21" s="115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{"issue":{"subject":"","project_id":79,"tracker_id":40,"status_id":1,"priority_id":2,"assigned_to_id":23,"start_date":"2017-01-04","description":"","custom_fields":[{"id":1,"name":"Subdivision","value":"EC"},{"id":4,"name":"Milepost","value":"23.3491"},{"id":17,"name":"Train ID","value":"145-04"},{"id":16,"name":"Locomotive ID","value":"4042"},{"id":130,"name":"Impact","value":""},{"id":150,"name":"Time of Event (Mountain Time)","value":"09:56:39"},{"id":151,"name":"Denver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"%USERPROFILE%\AppData\Local\Temp\OnboardLogs"\RTDC4042\*4042*201701041*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"%USERPROFILE%\AppData\Local\Temp\OnboardLogs"\RTDC4042\*4042*201701041* &gt;&gt; 42739-slicedisagreementcheck.txt</v>
      </c>
      <c r="AE21" s="183" t="str">
        <f>"start /low /b "&amp;dls3logs&amp;" --loco "&amp;U21&amp;" --day "&amp;TEXT(V21,"YYYY-MM-DD")</f>
        <v>start /low /b %USERPROFILE%\Documents\GitHub\eaglep3\Utilities\DownloadLogsFromS3.py --loco 4042 --day 2017-01-04</v>
      </c>
      <c r="AF21" s="1"/>
    </row>
    <row r="22" spans="1:32" ht="15" customHeight="1" x14ac:dyDescent="0.25">
      <c r="A22" s="33">
        <v>42739.559155092589</v>
      </c>
      <c r="B22" s="31" t="s">
        <v>228</v>
      </c>
      <c r="C22" s="31" t="s">
        <v>456</v>
      </c>
      <c r="D22" s="31" t="s">
        <v>49</v>
      </c>
      <c r="E22" s="31" t="s">
        <v>198</v>
      </c>
      <c r="F22" s="44">
        <v>0</v>
      </c>
      <c r="G22" s="44">
        <v>133</v>
      </c>
      <c r="H22" s="44">
        <v>232269</v>
      </c>
      <c r="I22" s="44">
        <v>232509</v>
      </c>
      <c r="J22" s="31" t="s">
        <v>199</v>
      </c>
      <c r="K22" s="44">
        <v>233491</v>
      </c>
      <c r="L22" s="150" t="s">
        <v>50</v>
      </c>
      <c r="M22" s="151">
        <f>CONVERT((I22-K22)/10000,"mi","ft")*IF(L22="Increasing Mileposts (1)",-1,1)</f>
        <v>518.49599999999998</v>
      </c>
      <c r="N22" s="152" t="str">
        <f>VLOOKUP(C22,'Trips&amp;Operators'!$C$1:$G$99999,5,FALSE)</f>
        <v>CLARK KATHLEEN</v>
      </c>
      <c r="O22" s="179" t="s">
        <v>195</v>
      </c>
      <c r="P22" s="153"/>
      <c r="Q22" s="31"/>
      <c r="R22" s="96" t="str">
        <f>VLOOKUP(C22,'Train Runs'!$A$13:$AE$9964,31,0)</f>
        <v>aws s3 cp s3://rtdc.mdm.uploadarchive.raw/RTDC4042/ "%USERPROFILE%\AppData\Local\Temp\OnboardLogs"\RTDC4042\2017-01-04 --exclude "*" --recursive --include "*20170104*" &amp; "%USERPROFILE%\Documents\GitHub\mrs-test-scripts\Headless Mode &amp; Sideloading\WalkAndUnGZ.bat" "%USERPROFILE%\AppData\Local\Temp\OnboardLogs"\RTDC4042\2017-01-04 &amp; 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</v>
      </c>
      <c r="S22" s="99" t="str">
        <f>VLOOKUP(C22,'Train Runs'!$A$13:$AE$9964,22,0)</f>
        <v>https://search-rtdc-monitor-bjffxe2xuh6vdkpspy63sjmuny.us-east-1.es.amazonaws.com/_plugin/kibana/#/discover/Steve-Slow-Train-Analysis-(2080s-and-2083s)?_g=(refreshInterval:(display:Off,section:0,value:0),time:(from:'2017-01-04 11:38:15-700',mode:absolute,to:'2017-01-04 14:26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2" s="101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/stypes="*4042*201701042*" /stext=" 20:.+((SYSTEM_STATE.+slice.+state.+changed )|(ment ac)|(multiple cpu faults)|(system.+state.+changed )|(\[timeout)|(PRM\|1\|D)|(kpr)|(kdp)|(\|lc)|(penalty))" /e /r /s</v>
      </c>
      <c r="U22" s="9" t="str">
        <f>MID(B22,13,4)</f>
        <v>4042</v>
      </c>
      <c r="V22" s="33">
        <f>A22-utc_offset/24</f>
        <v>42739.850821759253</v>
      </c>
      <c r="W22" s="47" t="str">
        <f>IF(VALUE(LEFT(IF(LEN(C22)=6,"0"&amp;C22,C22),2))&lt;=2,"EC",IF(OR(VALUE(LEFT(IF(LEN(C22)=6,"0"&amp;C22,C22),2))=8,VALUE(LEFT(IF(LEN(C22)=6,"0"&amp;C22,C22),2))=18),"NW","Other"))</f>
        <v>EC</v>
      </c>
      <c r="X22" s="47" t="str">
        <f>IF(AND(E22="TRACK WARRANT AUTHORITY",G22&lt;10),"OMIT","KEEP")</f>
        <v>KEEP</v>
      </c>
      <c r="Y22" s="115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{"issue":{"subject":"","project_id":79,"tracker_id":40,"status_id":1,"priority_id":2,"assigned_to_id":23,"start_date":"2017-01-04","description":"","custom_fields":[{"id":1,"name":"Subdivision","value":"EC"},{"id":4,"name":"Milepost","value":"23.3491"},{"id":17,"name":"Train ID","value":"173-04"},{"id":16,"name":"Locomotive ID","value":"4042"},{"id":130,"name":"Impact","value":""},{"id":150,"name":"Time of Event (Mountain Time)","value":"13:25:11"},{"id":151,"name":"Denver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"%USERPROFILE%\AppData\Local\Temp\OnboardLogs"\RTDC4042\*4042*201701042*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"%USERPROFILE%\AppData\Local\Temp\OnboardLogs"\RTDC4042\*4042*201701042* &gt;&gt; 42739-slicedisagreementcheck.txt</v>
      </c>
      <c r="AE22" s="183" t="str">
        <f>"start /low /b "&amp;dls3logs&amp;" --loco "&amp;U22&amp;" --day "&amp;TEXT(V22,"YYYY-MM-DD")</f>
        <v>start /low /b %USERPROFILE%\Documents\GitHub\eaglep3\Utilities\DownloadLogsFromS3.py --loco 4042 --day 2017-01-04</v>
      </c>
      <c r="AF22" s="1"/>
    </row>
    <row r="23" spans="1:32" x14ac:dyDescent="0.25">
      <c r="A23" s="33">
        <v>42739.559861111113</v>
      </c>
      <c r="B23" s="31" t="s">
        <v>228</v>
      </c>
      <c r="C23" s="31" t="s">
        <v>456</v>
      </c>
      <c r="D23" s="31" t="s">
        <v>49</v>
      </c>
      <c r="E23" s="31" t="s">
        <v>198</v>
      </c>
      <c r="F23" s="44">
        <v>0</v>
      </c>
      <c r="G23" s="44">
        <v>91</v>
      </c>
      <c r="H23" s="44">
        <v>232602</v>
      </c>
      <c r="I23" s="44">
        <v>232738</v>
      </c>
      <c r="J23" s="31" t="s">
        <v>199</v>
      </c>
      <c r="K23" s="44">
        <v>233491</v>
      </c>
      <c r="L23" s="150" t="s">
        <v>50</v>
      </c>
      <c r="M23" s="151">
        <f>CONVERT((I23-K23)/10000,"mi","ft")*IF(L23="Increasing Mileposts (1)",-1,1)</f>
        <v>397.584</v>
      </c>
      <c r="N23" s="152" t="str">
        <f>VLOOKUP(C23,'Trips&amp;Operators'!$C$1:$G$99999,5,FALSE)</f>
        <v>CLARK KATHLEEN</v>
      </c>
      <c r="O23" s="179" t="s">
        <v>195</v>
      </c>
      <c r="P23" s="153"/>
      <c r="Q23" s="31"/>
      <c r="R23" s="96" t="str">
        <f>VLOOKUP(C23,'Train Runs'!$A$13:$AE$9964,31,0)</f>
        <v>aws s3 cp s3://rtdc.mdm.uploadarchive.raw/RTDC4042/ "%USERPROFILE%\AppData\Local\Temp\OnboardLogs"\RTDC4042\2017-01-04 --exclude "*" --recursive --include "*20170104*" &amp; "%USERPROFILE%\Documents\GitHub\mrs-test-scripts\Headless Mode &amp; Sideloading\WalkAndUnGZ.bat" "%USERPROFILE%\AppData\Local\Temp\OnboardLogs"\RTDC4042\2017-01-04 &amp; 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</v>
      </c>
      <c r="S23" s="99" t="str">
        <f>VLOOKUP(C23,'Train Runs'!$A$13:$AE$9964,22,0)</f>
        <v>https://search-rtdc-monitor-bjffxe2xuh6vdkpspy63sjmuny.us-east-1.es.amazonaws.com/_plugin/kibana/#/discover/Steve-Slow-Train-Analysis-(2080s-and-2083s)?_g=(refreshInterval:(display:Off,section:0,value:0),time:(from:'2017-01-04 11:38:15-700',mode:absolute,to:'2017-01-04 14:26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3" s="101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/stypes="*4042*201701042*" /stext=" 20:.+((SYSTEM_STATE.+slice.+state.+changed )|(ment ac)|(multiple cpu faults)|(system.+state.+changed )|(\[timeout)|(PRM\|1\|D)|(kpr)|(kdp)|(\|lc)|(penalty))" /e /r /s</v>
      </c>
      <c r="U23" s="9" t="str">
        <f>MID(B23,13,4)</f>
        <v>4042</v>
      </c>
      <c r="V23" s="33">
        <f>A23-utc_offset/24</f>
        <v>42739.851527777777</v>
      </c>
      <c r="W23" s="47" t="str">
        <f>IF(VALUE(LEFT(IF(LEN(C23)=6,"0"&amp;C23,C23),2))&lt;=2,"EC",IF(OR(VALUE(LEFT(IF(LEN(C23)=6,"0"&amp;C23,C23),2))=8,VALUE(LEFT(IF(LEN(C23)=6,"0"&amp;C23,C23),2))=18),"NW","Other"))</f>
        <v>EC</v>
      </c>
      <c r="X23" s="47" t="str">
        <f>IF(AND(E23="TRACK WARRANT AUTHORITY",G23&lt;10),"OMIT","KEEP")</f>
        <v>KEEP</v>
      </c>
      <c r="Y23" s="115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{"issue":{"subject":"","project_id":79,"tracker_id":40,"status_id":1,"priority_id":2,"assigned_to_id":23,"start_date":"2017-01-04","description":"","custom_fields":[{"id":1,"name":"Subdivision","value":"EC"},{"id":4,"name":"Milepost","value":"23.3491"},{"id":17,"name":"Train ID","value":"173-04"},{"id":16,"name":"Locomotive ID","value":"4042"},{"id":130,"name":"Impact","value":""},{"id":150,"name":"Time of Event (Mountain Time)","value":"13:26:12"},{"id":151,"name":"Denver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"%USERPROFILE%\AppData\Local\Temp\OnboardLogs"\RTDC4042\*4042*201701042*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"%USERPROFILE%\AppData\Local\Temp\OnboardLogs"\RTDC4042\*4042*201701042* &gt;&gt; 42739-slicedisagreementcheck.txt</v>
      </c>
      <c r="AE23" s="183" t="str">
        <f>"start /low /b "&amp;dls3logs&amp;" --loco "&amp;U23&amp;" --day "&amp;TEXT(V23,"YYYY-MM-DD")</f>
        <v>start /low /b %USERPROFILE%\Documents\GitHub\eaglep3\Utilities\DownloadLogsFromS3.py --loco 4042 --day 2017-01-04</v>
      </c>
      <c r="AF23" s="1"/>
    </row>
    <row r="24" spans="1:32" x14ac:dyDescent="0.25">
      <c r="A24" s="33">
        <v>42739.64166666667</v>
      </c>
      <c r="B24" s="31" t="s">
        <v>237</v>
      </c>
      <c r="C24" s="31" t="s">
        <v>458</v>
      </c>
      <c r="D24" s="31" t="s">
        <v>49</v>
      </c>
      <c r="E24" s="31" t="s">
        <v>198</v>
      </c>
      <c r="F24" s="44">
        <v>0</v>
      </c>
      <c r="G24" s="44">
        <v>164</v>
      </c>
      <c r="H24" s="44">
        <v>232604</v>
      </c>
      <c r="I24" s="44">
        <v>232821</v>
      </c>
      <c r="J24" s="31" t="s">
        <v>199</v>
      </c>
      <c r="K24" s="44">
        <v>233491</v>
      </c>
      <c r="L24" s="150" t="s">
        <v>50</v>
      </c>
      <c r="M24" s="151">
        <f>CONVERT((I24-K24)/10000,"mi","ft")*IF(L24="Increasing Mileposts (1)",-1,1)</f>
        <v>353.76000000000005</v>
      </c>
      <c r="N24" s="152" t="str">
        <f>VLOOKUP(C24,'Trips&amp;Operators'!$C$1:$G$99999,5,FALSE)</f>
        <v>DAVIS MICHAEL</v>
      </c>
      <c r="O24" s="179" t="s">
        <v>195</v>
      </c>
      <c r="P24" s="153"/>
      <c r="Q24" s="31"/>
      <c r="R24" s="96" t="str">
        <f>VLOOKUP(C24,'Train Runs'!$A$13:$AE$9964,31,0)</f>
        <v>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 &amp; aws s3 cp s3://rtdc.mdm.uploadarchive.raw/RTDC4016/ "%USERPROFILE%\AppData\Local\Temp\OnboardLogs"\RTDC4016\2017-01-05 --exclude "*" --recursive --include "*20170105*" &amp; "%USERPROFILE%\Documents\GitHub\mrs-test-scripts\Headless Mode &amp; Sideloading\WalkAndUnGZ.bat" "%USERPROFILE%\AppData\Local\Temp\OnboardLogs"\RTDC4016\2017-01-05</v>
      </c>
      <c r="S24" s="99" t="str">
        <f>VLOOKUP(C24,'Train Runs'!$A$13:$AE$9964,22,0)</f>
        <v>https://search-rtdc-monitor-bjffxe2xuh6vdkpspy63sjmuny.us-east-1.es.amazonaws.com/_plugin/kibana/#/discover/Steve-Slow-Train-Analysis-(2080s-and-2083s)?_g=(refreshInterval:(display:Off,section:0,value:0),time:(from:'2017-01-04 13:41:53-700',mode:absolute,to:'2017-01-04 16:25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4" s="101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/stypes="*4016*201701042*" /stext=" 22:.+((SYSTEM_STATE.+slice.+state.+changed )|(ment ac)|(multiple cpu faults)|(system.+state.+changed )|(\[timeout)|(PRM\|1\|D)|(kpr)|(kdp)|(\|lc)|(penalty))" /e /r /s</v>
      </c>
      <c r="U24" s="9" t="str">
        <f>MID(B24,13,4)</f>
        <v>4016</v>
      </c>
      <c r="V24" s="33">
        <f>A24-utc_offset/24</f>
        <v>42739.933333333334</v>
      </c>
      <c r="W24" s="47" t="str">
        <f>IF(VALUE(LEFT(IF(LEN(C24)=6,"0"&amp;C24,C24),2))&lt;=2,"EC",IF(OR(VALUE(LEFT(IF(LEN(C24)=6,"0"&amp;C24,C24),2))=8,VALUE(LEFT(IF(LEN(C24)=6,"0"&amp;C24,C24),2))=18),"NW","Other"))</f>
        <v>EC</v>
      </c>
      <c r="X24" s="47" t="str">
        <f>IF(AND(E24="TRACK WARRANT AUTHORITY",G24&lt;10),"OMIT","KEEP")</f>
        <v>KEEP</v>
      </c>
      <c r="Y24" s="115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{"issue":{"subject":"","project_id":79,"tracker_id":40,"status_id":1,"priority_id":2,"assigned_to_id":23,"start_date":"2017-01-04","description":"","custom_fields":[{"id":1,"name":"Subdivision","value":"EC"},{"id":4,"name":"Milepost","value":"23.3491"},{"id":17,"name":"Train ID","value":"189-04"},{"id":16,"name":"Locomotive ID","value":"4016"},{"id":130,"name":"Impact","value":""},{"id":150,"name":"Time of Event (Mountain Time)","value":"15:24:00"},{"id":151,"name":"Denver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"%USERPROFILE%\AppData\Local\Temp\OnboardLogs"\RTDC4016\*4016*201701042*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"%USERPROFILE%\AppData\Local\Temp\OnboardLogs"\RTDC4016\*4016*201701042* &gt;&gt; 42739-slicedisagreementcheck.txt</v>
      </c>
      <c r="AE24" s="183" t="str">
        <f>"start /low /b "&amp;dls3logs&amp;" --loco "&amp;U24&amp;" --day "&amp;TEXT(V24,"YYYY-MM-DD")</f>
        <v>start /low /b %USERPROFILE%\Documents\GitHub\eaglep3\Utilities\DownloadLogsFromS3.py --loco 4016 --day 2017-01-04</v>
      </c>
      <c r="AF24" s="1"/>
    </row>
    <row r="25" spans="1:32" x14ac:dyDescent="0.25">
      <c r="A25" s="33">
        <v>42739.766388888886</v>
      </c>
      <c r="B25" s="31" t="s">
        <v>268</v>
      </c>
      <c r="C25" s="31" t="s">
        <v>465</v>
      </c>
      <c r="D25" s="31" t="s">
        <v>49</v>
      </c>
      <c r="E25" s="31" t="s">
        <v>198</v>
      </c>
      <c r="F25" s="44">
        <v>0</v>
      </c>
      <c r="G25" s="44">
        <v>146</v>
      </c>
      <c r="H25" s="44">
        <v>232243</v>
      </c>
      <c r="I25" s="44">
        <v>232498</v>
      </c>
      <c r="J25" s="31" t="s">
        <v>199</v>
      </c>
      <c r="K25" s="44">
        <v>233491</v>
      </c>
      <c r="L25" s="150" t="s">
        <v>50</v>
      </c>
      <c r="M25" s="151">
        <f>CONVERT((I25-K25)/10000,"mi","ft")*IF(L25="Increasing Mileposts (1)",-1,1)</f>
        <v>524.30399999999997</v>
      </c>
      <c r="N25" s="152" t="str">
        <f>VLOOKUP(C25,'Trips&amp;Operators'!$C$1:$G$99999,5,FALSE)</f>
        <v>STORY SAMANTHA</v>
      </c>
      <c r="O25" s="179" t="s">
        <v>195</v>
      </c>
      <c r="P25" s="153"/>
      <c r="Q25" s="31"/>
      <c r="R25" s="96" t="str">
        <f>VLOOKUP(C25,'Train Runs'!$A$13:$AE$9964,31,0)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S25" s="99" t="str">
        <f>VLOOKUP(C25,'Train Runs'!$A$13:$AE$9964,22,0)</f>
        <v>https://search-rtdc-monitor-bjffxe2xuh6vdkpspy63sjmuny.us-east-1.es.amazonaws.com/_plugin/kibana/#/discover/Steve-Slow-Train-Analysis-(2080s-and-2083s)?_g=(refreshInterval:(display:Off,section:0,value:0),time:(from:'2017-01-04 16:42:35-700',mode:absolute,to:'2017-01-04 19:23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5" s="101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/stypes="*4044*201701050*" /stext=" 01:.+((SYSTEM_STATE.+slice.+state.+changed )|(ment ac)|(multiple cpu faults)|(system.+state.+changed )|(\[timeout)|(PRM\|1\|D)|(kpr)|(kdp)|(\|lc)|(penalty))" /e /r /s</v>
      </c>
      <c r="U25" s="9" t="str">
        <f>MID(B25,13,4)</f>
        <v>4044</v>
      </c>
      <c r="V25" s="33">
        <f>A25-utc_offset/24</f>
        <v>42740.05805555555</v>
      </c>
      <c r="W25" s="47" t="str">
        <f>IF(VALUE(LEFT(IF(LEN(C25)=6,"0"&amp;C25,C25),2))&lt;=2,"EC",IF(OR(VALUE(LEFT(IF(LEN(C25)=6,"0"&amp;C25,C25),2))=8,VALUE(LEFT(IF(LEN(C25)=6,"0"&amp;C25,C25),2))=18),"NW","Other"))</f>
        <v>EC</v>
      </c>
      <c r="X25" s="47" t="str">
        <f>IF(AND(E25="TRACK WARRANT AUTHORITY",G25&lt;10),"OMIT","KEEP")</f>
        <v>KEEP</v>
      </c>
      <c r="Y25" s="115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{"issue":{"subject":"","project_id":79,"tracker_id":40,"status_id":1,"priority_id":2,"assigned_to_id":23,"start_date":"2017-01-04","description":"","custom_fields":[{"id":1,"name":"Subdivision","value":"EC"},{"id":4,"name":"Milepost","value":"23.3491"},{"id":17,"name":"Train ID","value":"213-04"},{"id":16,"name":"Locomotive ID","value":"4044"},{"id":130,"name":"Impact","value":""},{"id":150,"name":"Time of Event (Mountain Time)","value":"18:23:36"},{"id":151,"name":"Denver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"%USERPROFILE%\AppData\Local\Temp\OnboardLogs"\RTDC4044\*4044*201701050*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"%USERPROFILE%\AppData\Local\Temp\OnboardLogs"\RTDC4044\*4044*201701050* &gt;&gt; 42739-slicedisagreementcheck.txt</v>
      </c>
      <c r="AE25" s="183" t="str">
        <f>"start /low /b "&amp;dls3logs&amp;" --loco "&amp;U25&amp;" --day "&amp;TEXT(V25,"YYYY-MM-DD")</f>
        <v>start /low /b %USERPROFILE%\Documents\GitHub\eaglep3\Utilities\DownloadLogsFromS3.py --loco 4044 --day 2017-01-05</v>
      </c>
      <c r="AF25" s="1"/>
    </row>
    <row r="26" spans="1:32" x14ac:dyDescent="0.25">
      <c r="A26" s="33">
        <v>42739.922592592593</v>
      </c>
      <c r="B26" s="31" t="s">
        <v>268</v>
      </c>
      <c r="C26" s="31" t="s">
        <v>473</v>
      </c>
      <c r="D26" s="31" t="s">
        <v>49</v>
      </c>
      <c r="E26" s="31" t="s">
        <v>198</v>
      </c>
      <c r="F26" s="44">
        <v>0</v>
      </c>
      <c r="G26" s="44">
        <v>28</v>
      </c>
      <c r="H26" s="44">
        <v>233391</v>
      </c>
      <c r="I26" s="44">
        <v>233422</v>
      </c>
      <c r="J26" s="31" t="s">
        <v>199</v>
      </c>
      <c r="K26" s="44">
        <v>233491</v>
      </c>
      <c r="L26" s="150" t="s">
        <v>50</v>
      </c>
      <c r="M26" s="151">
        <f>CONVERT((I26-K26)/10000,"mi","ft")*IF(L26="Increasing Mileposts (1)",-1,1)</f>
        <v>36.432000000000002</v>
      </c>
      <c r="N26" s="152" t="str">
        <f>VLOOKUP(C26,'Trips&amp;Operators'!$C$1:$G$99999,5,FALSE)</f>
        <v>STORY SAMANTHA</v>
      </c>
      <c r="O26" s="179" t="s">
        <v>195</v>
      </c>
      <c r="P26" s="153"/>
      <c r="Q26" s="31"/>
      <c r="R26" s="96" t="str">
        <f>VLOOKUP(C26,'Train Runs'!$A$13:$AE$9964,31,0)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S26" s="99" t="str">
        <f>VLOOKUP(C26,'Train Runs'!$A$13:$AE$9964,22,0)</f>
        <v>https://search-rtdc-monitor-bjffxe2xuh6vdkpspy63sjmuny.us-east-1.es.amazonaws.com/_plugin/kibana/#/discover/Steve-Slow-Train-Analysis-(2080s-and-2083s)?_g=(refreshInterval:(display:Off,section:0,value:0),time:(from:'2017-01-04 20:16:19-700',mode:absolute,to:'2017-01-04 23:08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6" s="101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/stypes="*4044*201701050*" /stext=" 05:.+((SYSTEM_STATE.+slice.+state.+changed )|(ment ac)|(multiple cpu faults)|(system.+state.+changed )|(\[timeout)|(PRM\|1\|D)|(kpr)|(kdp)|(\|lc)|(penalty))" /e /r /s</v>
      </c>
      <c r="U26" s="9" t="str">
        <f>MID(B26,13,4)</f>
        <v>4044</v>
      </c>
      <c r="V26" s="33">
        <f>A26-utc_offset/24</f>
        <v>42740.214259259257</v>
      </c>
      <c r="W26" s="47" t="str">
        <f>IF(VALUE(LEFT(IF(LEN(C26)=6,"0"&amp;C26,C26),2))&lt;=2,"EC",IF(OR(VALUE(LEFT(IF(LEN(C26)=6,"0"&amp;C26,C26),2))=8,VALUE(LEFT(IF(LEN(C26)=6,"0"&amp;C26,C26),2))=18),"NW","Other"))</f>
        <v>EC</v>
      </c>
      <c r="X26" s="47" t="str">
        <f>IF(AND(E26="TRACK WARRANT AUTHORITY",G26&lt;10),"OMIT","KEEP")</f>
        <v>KEEP</v>
      </c>
      <c r="Y26" s="115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{"issue":{"subject":"","project_id":79,"tracker_id":40,"status_id":1,"priority_id":2,"assigned_to_id":23,"start_date":"2017-01-04","description":"","custom_fields":[{"id":1,"name":"Subdivision","value":"EC"},{"id":4,"name":"Milepost","value":"23.3491"},{"id":17,"name":"Train ID","value":"231-04"},{"id":16,"name":"Locomotive ID","value":"4044"},{"id":130,"name":"Impact","value":""},{"id":150,"name":"Time of Event (Mountain Time)","value":"22:08:32"},{"id":151,"name":"Denver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"%USERPROFILE%\AppData\Local\Temp\OnboardLogs"\RTDC4044\*4044*201701050*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"%USERPROFILE%\AppData\Local\Temp\OnboardLogs"\RTDC4044\*4044*201701050* &gt;&gt; 42739-slicedisagreementcheck.txt</v>
      </c>
      <c r="AE26" s="183" t="str">
        <f>"start /low /b "&amp;dls3logs&amp;" --loco "&amp;U26&amp;" --day "&amp;TEXT(V26,"YYYY-MM-DD")</f>
        <v>start /low /b %USERPROFILE%\Documents\GitHub\eaglep3\Utilities\DownloadLogsFromS3.py --loco 4044 --day 2017-01-05</v>
      </c>
      <c r="AF26" s="1"/>
    </row>
    <row r="27" spans="1:32" x14ac:dyDescent="0.25">
      <c r="A27" s="33">
        <v>42740.005266203705</v>
      </c>
      <c r="B27" s="31" t="s">
        <v>268</v>
      </c>
      <c r="C27" s="31" t="s">
        <v>475</v>
      </c>
      <c r="D27" s="31" t="s">
        <v>49</v>
      </c>
      <c r="E27" s="31" t="s">
        <v>198</v>
      </c>
      <c r="F27" s="44">
        <v>0</v>
      </c>
      <c r="G27" s="44">
        <v>55</v>
      </c>
      <c r="H27" s="44">
        <v>233310</v>
      </c>
      <c r="I27" s="44">
        <v>233366</v>
      </c>
      <c r="J27" s="31" t="s">
        <v>199</v>
      </c>
      <c r="K27" s="44">
        <v>233491</v>
      </c>
      <c r="L27" s="150" t="s">
        <v>50</v>
      </c>
      <c r="M27" s="151">
        <f>CONVERT((I27-K27)/10000,"mi","ft")*IF(L27="Increasing Mileposts (1)",-1,1)</f>
        <v>66</v>
      </c>
      <c r="N27" s="152" t="str">
        <f>VLOOKUP(C27,'Trips&amp;Operators'!$C$1:$G$99999,5,FALSE)</f>
        <v>STORY SAMANTHA</v>
      </c>
      <c r="O27" s="179" t="s">
        <v>195</v>
      </c>
      <c r="P27" s="153"/>
      <c r="Q27" s="31"/>
      <c r="R27" s="96" t="str">
        <f>VLOOKUP(C27,'Train Runs'!$A$13:$AE$9964,31,0)</f>
        <v>aws s3 cp s3://rtdc.mdm.uploadarchive.raw/RTDC4044/ "%USERPROFILE%\AppData\Local\Temp\OnboardLogs"\RTDC4044\2017-01-04 --exclude "*" --recursive --include "*20170104*" &amp; "%USERPROFILE%\Documents\GitHub\mrs-test-scripts\Headless Mode &amp; Sideloading\WalkAndUnGZ.bat" "%USERPROFILE%\AppData\Local\Temp\OnboardLogs"\RTDC4044\2017-01-04 &amp; 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</v>
      </c>
      <c r="S27" s="99" t="str">
        <f>VLOOKUP(C27,'Train Runs'!$A$13:$AE$9964,22,0)</f>
        <v>https://search-rtdc-monitor-bjffxe2xuh6vdkpspy63sjmuny.us-east-1.es.amazonaws.com/_plugin/kibana/#/discover/Steve-Slow-Train-Analysis-(2080s-and-2083s)?_g=(refreshInterval:(display:Off,section:0,value:0),time:(from:'2017-01-04 22:24:58-700',mode:absolute,to:'2017-01-05 01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7" s="101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/stypes="*4044*201701050*" /stext=" 07:.+((SYSTEM_STATE.+slice.+state.+changed )|(ment ac)|(multiple cpu faults)|(system.+state.+changed )|(\[timeout)|(PRM\|1\|D)|(kpr)|(kdp)|(\|lc)|(penalty))" /e /r /s</v>
      </c>
      <c r="U27" s="9" t="str">
        <f>MID(B27,13,4)</f>
        <v>4044</v>
      </c>
      <c r="V27" s="33">
        <f>A27-utc_offset/24</f>
        <v>42740.296932870369</v>
      </c>
      <c r="W27" s="47" t="str">
        <f>IF(VALUE(LEFT(IF(LEN(C27)=6,"0"&amp;C27,C27),2))&lt;=2,"EC",IF(OR(VALUE(LEFT(IF(LEN(C27)=6,"0"&amp;C27,C27),2))=8,VALUE(LEFT(IF(LEN(C27)=6,"0"&amp;C27,C27),2))=18),"NW","Other"))</f>
        <v>EC</v>
      </c>
      <c r="X27" s="47" t="str">
        <f>IF(AND(E27="TRACK WARRANT AUTHORITY",G27&lt;10),"OMIT","KEEP")</f>
        <v>KEEP</v>
      </c>
      <c r="Y27" s="115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{"issue":{"subject":"","project_id":79,"tracker_id":40,"status_id":1,"priority_id":2,"assigned_to_id":23,"start_date":"2017-01-05","description":"","custom_fields":[{"id":1,"name":"Subdivision","value":"EC"},{"id":4,"name":"Milepost","value":"23.3491"},{"id":17,"name":"Train ID","value":"239-04"},{"id":16,"name":"Locomotive ID","value":"4044"},{"id":130,"name":"Impact","value":""},{"id":150,"name":"Time of Event (Mountain Time)","value":"00:07:35"},{"id":151,"name":"Denver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"%USERPROFILE%\AppData\Local\Temp\OnboardLogs"\RTDC4044\*4044*201701050*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"%USERPROFILE%\AppData\Local\Temp\OnboardLogs"\RTDC4044\*4044*201701050* &gt;&gt; 42739-slicedisagreementcheck.txt</v>
      </c>
      <c r="AE27" s="183" t="str">
        <f>"start /low /b "&amp;dls3logs&amp;" --loco "&amp;U27&amp;" --day "&amp;TEXT(V27,"YYYY-MM-DD")</f>
        <v>start /low /b %USERPROFILE%\Documents\GitHub\eaglep3\Utilities\DownloadLogsFromS3.py --loco 4044 --day 2017-01-05</v>
      </c>
      <c r="AF27" s="1"/>
    </row>
    <row r="28" spans="1:32" ht="15" customHeight="1" x14ac:dyDescent="0.25">
      <c r="A28" s="33">
        <v>42739.265104166669</v>
      </c>
      <c r="B28" s="31" t="s">
        <v>335</v>
      </c>
      <c r="C28" s="31" t="s">
        <v>448</v>
      </c>
      <c r="D28" s="31" t="s">
        <v>49</v>
      </c>
      <c r="E28" s="31" t="s">
        <v>196</v>
      </c>
      <c r="F28" s="44">
        <v>0</v>
      </c>
      <c r="G28" s="44">
        <v>106</v>
      </c>
      <c r="H28" s="44">
        <v>11034</v>
      </c>
      <c r="I28" s="44">
        <v>10850</v>
      </c>
      <c r="J28" s="31" t="s">
        <v>197</v>
      </c>
      <c r="K28" s="44">
        <v>11016</v>
      </c>
      <c r="L28" s="150" t="s">
        <v>51</v>
      </c>
      <c r="M28" s="151">
        <f>CONVERT((I28-K28)/10000,"mi","ft")*IF(L28="Increasing Mileposts (1)",-1,1)</f>
        <v>-87.647999999999996</v>
      </c>
      <c r="N28" s="152" t="str">
        <f>VLOOKUP(C28,'Trips&amp;Operators'!$C$1:$G$99999,5,FALSE)</f>
        <v>YORK EDGAR</v>
      </c>
      <c r="O28" s="179" t="s">
        <v>387</v>
      </c>
      <c r="P28" s="153" t="s">
        <v>878</v>
      </c>
      <c r="Q28" s="31"/>
      <c r="R28" s="96" t="str">
        <f>VLOOKUP(C28,'Train Runs'!$A$13:$AE$9964,31,0)</f>
        <v>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 &amp; 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</v>
      </c>
      <c r="S28" s="99" t="str">
        <f>VLOOKUP(C28,'Train Runs'!$A$13:$AE$9964,22,0)</f>
        <v>https://search-rtdc-monitor-bjffxe2xuh6vdkpspy63sjmuny.us-east-1.es.amazonaws.com/_plugin/kibana/#/discover/Steve-Slow-Train-Analysis-(2080s-and-2083s)?_g=(refreshInterval:(display:Off,section:0,value:0),time:(from:'2017-01-04 05:06:24-700',mode:absolute,to:'2017-01-04 07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8" s="101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/stypes="*4008*201701041*" /stext=" 13:.+((SYSTEM_STATE.+slice.+state.+changed )|(ment ac)|(multiple cpu faults)|(system.+state.+changed )|(\[timeout)|(PRM\|1\|D)|(kpr)|(kdp)|(\|lc)|(penalty))" /e /r /s</v>
      </c>
      <c r="U28" s="9" t="str">
        <f>MID(B28,13,4)</f>
        <v>4008</v>
      </c>
      <c r="V28" s="33">
        <f>A28-utc_offset/24</f>
        <v>42739.556770833333</v>
      </c>
      <c r="W28" s="47" t="str">
        <f>IF(VALUE(LEFT(IF(LEN(C28)=6,"0"&amp;C28,C28),2))&lt;=2,"EC",IF(OR(VALUE(LEFT(IF(LEN(C28)=6,"0"&amp;C28,C28),2))=8,VALUE(LEFT(IF(LEN(C28)=6,"0"&amp;C28,C28),2))=18),"NW","Other"))</f>
        <v>NW</v>
      </c>
      <c r="X28" s="47" t="str">
        <f>IF(AND(E28="TRACK WARRANT AUTHORITY",G28&lt;10),"OMIT","KEEP")</f>
        <v>KEEP</v>
      </c>
      <c r="Y28" s="115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{"issue":{"subject":"Poor GPS under I-25","project_id":79,"tracker_id":40,"status_id":1,"priority_id":2,"assigned_to_id":23,"start_date":"2017-01-04","description":"","custom_fields":[{"id":1,"name":"Subdivision","value":"NW"},{"id":4,"name":"Milepost","value":"1.1016"},{"id":17,"name":"Train ID","value":"802-04"},{"id":16,"name":"Locomotive ID","value":"4008"},{"id":130,"name":"Impact","value":""},{"id":150,"name":"Time of Event (Mountain Time)","value":"06:21:45"},{"id":151,"name":"Denver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"%USERPROFILE%\AppData\Local\Temp\OnboardLogs"\RTDC4008\*4008*201701041*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"%USERPROFILE%\AppData\Local\Temp\OnboardLogs"\RTDC4008\*4008*201701041* &gt;&gt; 42739-slicedisagreementcheck.txt</v>
      </c>
      <c r="AE28" s="183" t="str">
        <f>"start /low /b "&amp;dls3logs&amp;" --loco "&amp;U28&amp;" --day "&amp;TEXT(V28,"YYYY-MM-DD")</f>
        <v>start /low /b %USERPROFILE%\Documents\GitHub\eaglep3\Utilities\DownloadLogsFromS3.py --loco 4008 --day 2017-01-04</v>
      </c>
      <c r="AF28" s="1"/>
    </row>
    <row r="29" spans="1:32" ht="15" customHeight="1" x14ac:dyDescent="0.25">
      <c r="A29" s="33">
        <v>42739.623263888891</v>
      </c>
      <c r="B29" s="31" t="s">
        <v>208</v>
      </c>
      <c r="C29" s="31" t="s">
        <v>457</v>
      </c>
      <c r="D29" s="31" t="s">
        <v>49</v>
      </c>
      <c r="E29" s="31" t="s">
        <v>198</v>
      </c>
      <c r="F29" s="44">
        <v>0</v>
      </c>
      <c r="G29" s="44">
        <v>38</v>
      </c>
      <c r="H29" s="44">
        <v>701</v>
      </c>
      <c r="I29" s="44">
        <v>670</v>
      </c>
      <c r="J29" s="31" t="s">
        <v>199</v>
      </c>
      <c r="K29" s="44">
        <v>575</v>
      </c>
      <c r="L29" s="150" t="s">
        <v>51</v>
      </c>
      <c r="M29" s="151">
        <f>CONVERT((I29-K29)/10000,"mi","ft")*IF(L29="Increasing Mileposts (1)",-1,1)</f>
        <v>50.16</v>
      </c>
      <c r="N29" s="152" t="str">
        <f>VLOOKUP(C29,'Trips&amp;Operators'!$C$1:$G$99999,5,FALSE)</f>
        <v>BRUDER RICHARD</v>
      </c>
      <c r="O29" s="179" t="s">
        <v>195</v>
      </c>
      <c r="P29" s="153"/>
      <c r="Q29" s="31"/>
      <c r="R29" s="96" t="str">
        <f>VLOOKUP(C29,'Train Runs'!$A$13:$AE$9964,31,0)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S29" s="99" t="str">
        <f>VLOOKUP(C29,'Train Runs'!$A$13:$AE$9964,22,0)</f>
        <v>https://search-rtdc-monitor-bjffxe2xuh6vdkpspy63sjmuny.us-east-1.es.amazonaws.com/_plugin/kibana/#/discover/Steve-Slow-Train-Analysis-(2080s-and-2083s)?_g=(refreshInterval:(display:Off,section:0,value:0),time:(from:'2017-01-04 13:38:38-700',mode:absolute,to:'2017-01-04 15:57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9" s="101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/stypes="*4012*201701042*" /stext=" 21:.+((SYSTEM_STATE.+slice.+state.+changed )|(ment ac)|(multiple cpu faults)|(system.+state.+changed )|(\[timeout)|(PRM\|1\|D)|(kpr)|(kdp)|(\|lc)|(penalty))" /e /r /s</v>
      </c>
      <c r="U29" s="9" t="str">
        <f>MID(B29,13,4)</f>
        <v>4012</v>
      </c>
      <c r="V29" s="33">
        <f>A29-utc_offset/24</f>
        <v>42739.914930555555</v>
      </c>
      <c r="W29" s="47" t="str">
        <f>IF(VALUE(LEFT(IF(LEN(C29)=6,"0"&amp;C29,C29),2))&lt;=2,"EC",IF(OR(VALUE(LEFT(IF(LEN(C29)=6,"0"&amp;C29,C29),2))=8,VALUE(LEFT(IF(LEN(C29)=6,"0"&amp;C29,C29),2))=18),"NW","Other"))</f>
        <v>NW</v>
      </c>
      <c r="X29" s="47" t="str">
        <f>IF(AND(E29="TRACK WARRANT AUTHORITY",G29&lt;10),"OMIT","KEEP")</f>
        <v>KEEP</v>
      </c>
      <c r="Y29" s="115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{"issue":{"subject":"","project_id":79,"tracker_id":40,"status_id":1,"priority_id":2,"assigned_to_id":23,"start_date":"2017-01-04","description":"","custom_fields":[{"id":1,"name":"Subdivision","value":"NW"},{"id":4,"name":"Milepost","value":"0.0575"},{"id":17,"name":"Train ID","value":"824-04"},{"id":16,"name":"Locomotive ID","value":"4012"},{"id":130,"name":"Impact","value":""},{"id":150,"name":"Time of Event (Mountain Time)","value":"14:57:30"},{"id":151,"name":"Denver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"%USERPROFILE%\AppData\Local\Temp\OnboardLogs"\RTDC4012\*4012*201701042*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"%USERPROFILE%\AppData\Local\Temp\OnboardLogs"\RTDC4012\*4012*201701042* &gt;&gt; 42739-slicedisagreementcheck.txt</v>
      </c>
      <c r="AE29" s="183" t="str">
        <f>"start /low /b "&amp;dls3logs&amp;" --loco "&amp;U29&amp;" --day "&amp;TEXT(V29,"YYYY-MM-DD")</f>
        <v>start /low /b %USERPROFILE%\Documents\GitHub\eaglep3\Utilities\DownloadLogsFromS3.py --loco 4012 --day 2017-01-04</v>
      </c>
      <c r="AF29" s="1"/>
    </row>
    <row r="30" spans="1:32" x14ac:dyDescent="0.25">
      <c r="A30" s="33">
        <v>42739.664375</v>
      </c>
      <c r="B30" s="31" t="s">
        <v>208</v>
      </c>
      <c r="C30" s="31" t="s">
        <v>460</v>
      </c>
      <c r="D30" s="31" t="s">
        <v>49</v>
      </c>
      <c r="E30" s="31" t="s">
        <v>198</v>
      </c>
      <c r="F30" s="44">
        <v>0</v>
      </c>
      <c r="G30" s="44">
        <v>56</v>
      </c>
      <c r="H30" s="44">
        <v>752</v>
      </c>
      <c r="I30" s="44">
        <v>703</v>
      </c>
      <c r="J30" s="31" t="s">
        <v>199</v>
      </c>
      <c r="K30" s="44">
        <v>575</v>
      </c>
      <c r="L30" s="150" t="s">
        <v>51</v>
      </c>
      <c r="M30" s="151">
        <f>CONVERT((I30-K30)/10000,"mi","ft")*IF(L30="Increasing Mileposts (1)",-1,1)</f>
        <v>67.584000000000003</v>
      </c>
      <c r="N30" s="152" t="str">
        <f>VLOOKUP(C30,'Trips&amp;Operators'!$C$1:$G$99999,5,FALSE)</f>
        <v>MOSES BRADLEY</v>
      </c>
      <c r="O30" s="179" t="s">
        <v>195</v>
      </c>
      <c r="P30" s="153"/>
      <c r="Q30" s="31"/>
      <c r="R30" s="96" t="str">
        <f>VLOOKUP(C30,'Train Runs'!$A$13:$AE$9964,31,0)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S30" s="99" t="str">
        <f>VLOOKUP(C30,'Train Runs'!$A$13:$AE$9964,22,0)</f>
        <v>https://search-rtdc-monitor-bjffxe2xuh6vdkpspy63sjmuny.us-east-1.es.amazonaws.com/_plugin/kibana/#/discover/Steve-Slow-Train-Analysis-(2080s-and-2083s)?_g=(refreshInterval:(display:Off,section:0,value:0),time:(from:'2017-01-04 14:38:20-700',mode:absolute,to:'2017-01-04 16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0" s="101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/stypes="*4012*201701042*" /stext=" 22:.+((SYSTEM_STATE.+slice.+state.+changed )|(ment ac)|(multiple cpu faults)|(system.+state.+changed )|(\[timeout)|(PRM\|1\|D)|(kpr)|(kdp)|(\|lc)|(penalty))" /e /r /s</v>
      </c>
      <c r="U30" s="9" t="str">
        <f>MID(B30,13,4)</f>
        <v>4012</v>
      </c>
      <c r="V30" s="33">
        <f>A30-utc_offset/24</f>
        <v>42739.956041666665</v>
      </c>
      <c r="W30" s="47" t="str">
        <f>IF(VALUE(LEFT(IF(LEN(C30)=6,"0"&amp;C30,C30),2))&lt;=2,"EC",IF(OR(VALUE(LEFT(IF(LEN(C30)=6,"0"&amp;C30,C30),2))=8,VALUE(LEFT(IF(LEN(C30)=6,"0"&amp;C30,C30),2))=18),"NW","Other"))</f>
        <v>NW</v>
      </c>
      <c r="X30" s="47" t="str">
        <f>IF(AND(E30="TRACK WARRANT AUTHORITY",G30&lt;10),"OMIT","KEEP")</f>
        <v>KEEP</v>
      </c>
      <c r="Y30" s="115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{"issue":{"subject":"","project_id":79,"tracker_id":40,"status_id":1,"priority_id":2,"assigned_to_id":23,"start_date":"2017-01-04","description":"","custom_fields":[{"id":1,"name":"Subdivision","value":"NW"},{"id":4,"name":"Milepost","value":"0.0575"},{"id":17,"name":"Train ID","value":"826-04"},{"id":16,"name":"Locomotive ID","value":"4012"},{"id":130,"name":"Impact","value":""},{"id":150,"name":"Time of Event (Mountain Time)","value":"15:56:42"},{"id":151,"name":"Denver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"%USERPROFILE%\AppData\Local\Temp\OnboardLogs"\RTDC4012\*4012*201701042*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"%USERPROFILE%\AppData\Local\Temp\OnboardLogs"\RTDC4012\*4012*201701042* &gt;&gt; 42739-slicedisagreementcheck.txt</v>
      </c>
      <c r="AE30" s="183" t="str">
        <f>"start /low /b "&amp;dls3logs&amp;" --loco "&amp;U30&amp;" --day "&amp;TEXT(V30,"YYYY-MM-DD")</f>
        <v>start /low /b %USERPROFILE%\Documents\GitHub\eaglep3\Utilities\DownloadLogsFromS3.py --loco 4012 --day 2017-01-04</v>
      </c>
      <c r="AF30" s="1"/>
    </row>
    <row r="31" spans="1:32" x14ac:dyDescent="0.25">
      <c r="A31" s="33">
        <v>42739.770821759259</v>
      </c>
      <c r="B31" s="31" t="s">
        <v>335</v>
      </c>
      <c r="C31" s="31" t="s">
        <v>466</v>
      </c>
      <c r="D31" s="31" t="s">
        <v>49</v>
      </c>
      <c r="E31" s="31" t="s">
        <v>198</v>
      </c>
      <c r="F31" s="44">
        <v>0</v>
      </c>
      <c r="G31" s="44">
        <v>25</v>
      </c>
      <c r="H31" s="44">
        <v>619</v>
      </c>
      <c r="I31" s="44">
        <v>586</v>
      </c>
      <c r="J31" s="31" t="s">
        <v>199</v>
      </c>
      <c r="K31" s="44">
        <v>575</v>
      </c>
      <c r="L31" s="150" t="s">
        <v>51</v>
      </c>
      <c r="M31" s="151">
        <f>CONVERT((I31-K31)/10000,"mi","ft")*IF(L31="Increasing Mileposts (1)",-1,1)</f>
        <v>5.8079999999999998</v>
      </c>
      <c r="N31" s="152" t="str">
        <f>VLOOKUP(C31,'Trips&amp;Operators'!$C$1:$G$99999,5,FALSE)</f>
        <v>CHANDLER KELVIN</v>
      </c>
      <c r="O31" s="179" t="s">
        <v>195</v>
      </c>
      <c r="P31" s="153"/>
      <c r="Q31" s="31"/>
      <c r="R31" s="96" t="str">
        <f>VLOOKUP(C31,'Train Runs'!$A$13:$AE$9964,31,0)</f>
        <v>aws s3 cp s3://rtdc.mdm.uploadarchive.raw/RTDC4008/ "%USERPROFILE%\AppData\Local\Temp\OnboardLogs"\RTDC4008\2017-01-04 --exclude "*" --recursive --include "*20170104*" &amp; "%USERPROFILE%\Documents\GitHub\mrs-test-scripts\Headless Mode &amp; Sideloading\WalkAndUnGZ.bat" "%USERPROFILE%\AppData\Local\Temp\OnboardLogs"\RTDC4008\2017-01-04 &amp; 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</v>
      </c>
      <c r="S31" s="99" t="str">
        <f>VLOOKUP(C31,'Train Runs'!$A$13:$AE$9964,22,0)</f>
        <v>https://search-rtdc-monitor-bjffxe2xuh6vdkpspy63sjmuny.us-east-1.es.amazonaws.com/_plugin/kibana/#/discover/Steve-Slow-Train-Analysis-(2080s-and-2083s)?_g=(refreshInterval:(display:Off,section:0,value:0),time:(from:'2017-01-04 17:10:33-700',mode:absolute,to:'2017-01-04 19:29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1" s="101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/stypes="*4008*201701050*" /stext=" 01:.+((SYSTEM_STATE.+slice.+state.+changed )|(ment ac)|(multiple cpu faults)|(system.+state.+changed )|(\[timeout)|(PRM\|1\|D)|(kpr)|(kdp)|(\|lc)|(penalty))" /e /r /s</v>
      </c>
      <c r="U31" s="9" t="str">
        <f>MID(B31,13,4)</f>
        <v>4008</v>
      </c>
      <c r="V31" s="33">
        <f>A31-utc_offset/24</f>
        <v>42740.062488425923</v>
      </c>
      <c r="W31" s="47" t="str">
        <f>IF(VALUE(LEFT(IF(LEN(C31)=6,"0"&amp;C31,C31),2))&lt;=2,"EC",IF(OR(VALUE(LEFT(IF(LEN(C31)=6,"0"&amp;C31,C31),2))=8,VALUE(LEFT(IF(LEN(C31)=6,"0"&amp;C31,C31),2))=18),"NW","Other"))</f>
        <v>NW</v>
      </c>
      <c r="X31" s="47" t="str">
        <f>IF(AND(E31="TRACK WARRANT AUTHORITY",G31&lt;10),"OMIT","KEEP")</f>
        <v>KEEP</v>
      </c>
      <c r="Y31" s="115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{"issue":{"subject":"","project_id":79,"tracker_id":40,"status_id":1,"priority_id":2,"assigned_to_id":23,"start_date":"2017-01-04","description":"","custom_fields":[{"id":1,"name":"Subdivision","value":"NW"},{"id":4,"name":"Milepost","value":"0.0575"},{"id":17,"name":"Train ID","value":"836-04"},{"id":16,"name":"Locomotive ID","value":"4008"},{"id":130,"name":"Impact","value":""},{"id":150,"name":"Time of Event (Mountain Time)","value":"18:29:59"},{"id":151,"name":"Denver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"%USERPROFILE%\AppData\Local\Temp\OnboardLogs"\RTDC4008\*4008*201701050*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"%USERPROFILE%\AppData\Local\Temp\OnboardLogs"\RTDC4008\*4008*201701050* &gt;&gt; 42739-slicedisagreementcheck.txt</v>
      </c>
      <c r="AE31" s="183" t="str">
        <f>"start /low /b "&amp;dls3logs&amp;" --loco "&amp;U31&amp;" --day "&amp;TEXT(V31,"YYYY-MM-DD")</f>
        <v>start /low /b %USERPROFILE%\Documents\GitHub\eaglep3\Utilities\DownloadLogsFromS3.py --loco 4008 --day 2017-01-05</v>
      </c>
      <c r="AF31" s="1"/>
    </row>
    <row r="32" spans="1:32" x14ac:dyDescent="0.25">
      <c r="A32" s="33">
        <v>42739.915162037039</v>
      </c>
      <c r="B32" s="31" t="s">
        <v>208</v>
      </c>
      <c r="C32" s="31" t="s">
        <v>472</v>
      </c>
      <c r="D32" s="31" t="s">
        <v>49</v>
      </c>
      <c r="E32" s="31" t="s">
        <v>198</v>
      </c>
      <c r="F32" s="44">
        <v>0</v>
      </c>
      <c r="G32" s="44">
        <v>28</v>
      </c>
      <c r="H32" s="44">
        <v>631</v>
      </c>
      <c r="I32" s="44">
        <v>607</v>
      </c>
      <c r="J32" s="31" t="s">
        <v>199</v>
      </c>
      <c r="K32" s="44">
        <v>575</v>
      </c>
      <c r="L32" s="150" t="s">
        <v>51</v>
      </c>
      <c r="M32" s="151">
        <f>CONVERT((I32-K32)/10000,"mi","ft")*IF(L32="Increasing Mileposts (1)",-1,1)</f>
        <v>16.896000000000001</v>
      </c>
      <c r="N32" s="152" t="str">
        <f>VLOOKUP(C32,'Trips&amp;Operators'!$C$1:$G$99999,5,FALSE)</f>
        <v>CHANDLER KELVIN</v>
      </c>
      <c r="O32" s="179" t="s">
        <v>195</v>
      </c>
      <c r="P32" s="153"/>
      <c r="Q32" s="31"/>
      <c r="R32" s="96" t="str">
        <f>VLOOKUP(C32,'Train Runs'!$A$13:$AE$9964,31,0)</f>
        <v>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 &amp; 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</v>
      </c>
      <c r="S32" s="99" t="str">
        <f>VLOOKUP(C32,'Train Runs'!$A$13:$AE$9964,22,0)</f>
        <v>https://search-rtdc-monitor-bjffxe2xuh6vdkpspy63sjmuny.us-east-1.es.amazonaws.com/_plugin/kibana/#/discover/Steve-Slow-Train-Analysis-(2080s-and-2083s)?_g=(refreshInterval:(display:Off,section:0,value:0),time:(from:'2017-01-04 20:40:44-700',mode:absolute,to:'2017-01-04 22:57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2" s="101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/stypes="*4012*201701050*" /stext=" 04:.+((SYSTEM_STATE.+slice.+state.+changed )|(ment ac)|(multiple cpu faults)|(system.+state.+changed )|(\[timeout)|(PRM\|1\|D)|(kpr)|(kdp)|(\|lc)|(penalty))" /e /r /s</v>
      </c>
      <c r="U32" s="9" t="str">
        <f>MID(B32,13,4)</f>
        <v>4012</v>
      </c>
      <c r="V32" s="33">
        <f>A32-utc_offset/24</f>
        <v>42740.206828703704</v>
      </c>
      <c r="W32" s="47" t="str">
        <f>IF(VALUE(LEFT(IF(LEN(C32)=6,"0"&amp;C32,C32),2))&lt;=2,"EC",IF(OR(VALUE(LEFT(IF(LEN(C32)=6,"0"&amp;C32,C32),2))=8,VALUE(LEFT(IF(LEN(C32)=6,"0"&amp;C32,C32),2))=18),"NW","Other"))</f>
        <v>NW</v>
      </c>
      <c r="X32" s="47" t="str">
        <f>IF(AND(E32="TRACK WARRANT AUTHORITY",G32&lt;10),"OMIT","KEEP")</f>
        <v>KEEP</v>
      </c>
      <c r="Y32" s="115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{"issue":{"subject":"","project_id":79,"tracker_id":40,"status_id":1,"priority_id":2,"assigned_to_id":23,"start_date":"2017-01-04","description":"","custom_fields":[{"id":1,"name":"Subdivision","value":"NW"},{"id":4,"name":"Milepost","value":"0.0575"},{"id":17,"name":"Train ID","value":"844-04"},{"id":16,"name":"Locomotive ID","value":"4012"},{"id":130,"name":"Impact","value":""},{"id":150,"name":"Time of Event (Mountain Time)","value":"21:57:50"},{"id":151,"name":"Denver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"%USERPROFILE%\AppData\Local\Temp\OnboardLogs"\RTDC4012\*4012*201701050*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"%USERPROFILE%\AppData\Local\Temp\OnboardLogs"\RTDC4012\*4012*201701050* &gt;&gt; 42739-slicedisagreementcheck.txt</v>
      </c>
      <c r="AE32" s="183" t="str">
        <f>"start /low /b "&amp;dls3logs&amp;" --loco "&amp;U32&amp;" --day "&amp;TEXT(V32,"YYYY-MM-DD")</f>
        <v>start /low /b %USERPROFILE%\Documents\GitHub\eaglep3\Utilities\DownloadLogsFromS3.py --loco 4012 --day 2017-01-05</v>
      </c>
      <c r="AF32" s="1"/>
    </row>
    <row r="33" spans="1:32" x14ac:dyDescent="0.25">
      <c r="A33" s="33">
        <v>42739.796875</v>
      </c>
      <c r="B33" s="31" t="s">
        <v>337</v>
      </c>
      <c r="C33" s="31" t="s">
        <v>467</v>
      </c>
      <c r="D33" s="31" t="s">
        <v>49</v>
      </c>
      <c r="E33" s="31" t="s">
        <v>198</v>
      </c>
      <c r="F33" s="44">
        <v>0</v>
      </c>
      <c r="G33" s="44">
        <v>58</v>
      </c>
      <c r="H33" s="44">
        <v>58839</v>
      </c>
      <c r="I33" s="44">
        <v>58899</v>
      </c>
      <c r="J33" s="31" t="s">
        <v>199</v>
      </c>
      <c r="K33" s="44">
        <v>59048</v>
      </c>
      <c r="L33" s="150" t="s">
        <v>50</v>
      </c>
      <c r="M33" s="151">
        <f>CONVERT((I33-K33)/10000,"mi","ft")*IF(L33="Increasing Mileposts (1)",-1,1)</f>
        <v>78.671999999999997</v>
      </c>
      <c r="N33" s="152" t="str">
        <f>VLOOKUP(C33,'Trips&amp;Operators'!$C$1:$G$99999,5,FALSE)</f>
        <v>CHANDLER KELVIN</v>
      </c>
      <c r="O33" s="179" t="s">
        <v>195</v>
      </c>
      <c r="P33" s="153"/>
      <c r="Q33" s="31"/>
      <c r="R33" s="96" t="str">
        <f>VLOOKUP(C33,'Train Runs'!$A$13:$AE$9964,31,0)</f>
        <v>aws s3 cp s3://rtdc.mdm.uploadarchive.raw/RTDC4007/ "%USERPROFILE%\AppData\Local\Temp\OnboardLogs"\RTDC4007\2017-01-04 --exclude "*" --recursive --include "*20170104*" &amp; "%USERPROFILE%\Documents\GitHub\mrs-test-scripts\Headless Mode &amp; Sideloading\WalkAndUnGZ.bat" "%USERPROFILE%\AppData\Local\Temp\OnboardLogs"\RTDC4007\2017-01-04 &amp; 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</v>
      </c>
      <c r="S33" s="99" t="str">
        <f>VLOOKUP(C33,'Train Runs'!$A$13:$AE$9964,22,0)</f>
        <v>https://search-rtdc-monitor-bjffxe2xuh6vdkpspy63sjmuny.us-east-1.es.amazonaws.com/_plugin/kibana/#/discover/Steve-Slow-Train-Analysis-(2080s-and-2083s)?_g=(refreshInterval:(display:Off,section:0,value:0),time:(from:'2017-01-04 17:45:10-700',mode:absolute,to:'2017-01-04 20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3" s="101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/stypes="*4007*201701050*" /stext=" 02:.+((SYSTEM_STATE.+slice.+state.+changed )|(ment ac)|(multiple cpu faults)|(system.+state.+changed )|(\[timeout)|(PRM\|1\|D)|(kpr)|(kdp)|(\|lc)|(penalty))" /e /r /s</v>
      </c>
      <c r="U33" s="9" t="str">
        <f>MID(B33,13,4)</f>
        <v>4007</v>
      </c>
      <c r="V33" s="33">
        <f>A33-utc_offset/24</f>
        <v>42740.088541666664</v>
      </c>
      <c r="W33" s="47" t="str">
        <f>IF(VALUE(LEFT(IF(LEN(C33)=6,"0"&amp;C33,C33),2))&lt;=2,"EC",IF(OR(VALUE(LEFT(IF(LEN(C33)=6,"0"&amp;C33,C33),2))=8,VALUE(LEFT(IF(LEN(C33)=6,"0"&amp;C33,C33),2))=18),"NW","Other"))</f>
        <v>NW</v>
      </c>
      <c r="X33" s="47" t="str">
        <f>IF(AND(E33="TRACK WARRANT AUTHORITY",G33&lt;10),"OMIT","KEEP")</f>
        <v>KEEP</v>
      </c>
      <c r="Y33" s="115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{"issue":{"subject":"","project_id":79,"tracker_id":40,"status_id":1,"priority_id":2,"assigned_to_id":23,"start_date":"2017-01-04","description":"","custom_fields":[{"id":1,"name":"Subdivision","value":"NW"},{"id":4,"name":"Milepost","value":"5.9048"},{"id":17,"name":"Train ID","value":"839-04"},{"id":16,"name":"Locomotive ID","value":"4007"},{"id":130,"name":"Impact","value":""},{"id":150,"name":"Time of Event (Mountain Time)","value":"19:07:30"},{"id":151,"name":"Denver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"%USERPROFILE%\AppData\Local\Temp\OnboardLogs"\RTDC4007\*4007*201701050*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"%USERPROFILE%\AppData\Local\Temp\OnboardLogs"\RTDC4007\*4007*201701050* &gt;&gt; 42739-slicedisagreementcheck.txt</v>
      </c>
      <c r="AE33" s="183" t="str">
        <f>"start /low /b "&amp;dls3logs&amp;" --loco "&amp;U33&amp;" --day "&amp;TEXT(V33,"YYYY-MM-DD")</f>
        <v>start /low /b %USERPROFILE%\Documents\GitHub\eaglep3\Utilities\DownloadLogsFromS3.py --loco 4007 --day 2017-01-05</v>
      </c>
      <c r="AF33" s="1"/>
    </row>
    <row r="34" spans="1:32" x14ac:dyDescent="0.25">
      <c r="A34" s="33">
        <v>42740.030601851853</v>
      </c>
      <c r="B34" s="31" t="s">
        <v>352</v>
      </c>
      <c r="C34" s="31" t="s">
        <v>477</v>
      </c>
      <c r="D34" s="31" t="s">
        <v>49</v>
      </c>
      <c r="E34" s="31" t="s">
        <v>196</v>
      </c>
      <c r="F34" s="44">
        <v>0</v>
      </c>
      <c r="G34" s="44">
        <v>51</v>
      </c>
      <c r="H34" s="44">
        <v>11036</v>
      </c>
      <c r="I34" s="44">
        <v>10979</v>
      </c>
      <c r="J34" s="31" t="s">
        <v>197</v>
      </c>
      <c r="K34" s="44">
        <v>11016</v>
      </c>
      <c r="L34" s="150" t="s">
        <v>51</v>
      </c>
      <c r="M34" s="151">
        <f>CONVERT((I34-K34)/10000,"mi","ft")*IF(L34="Increasing Mileposts (1)",-1,1)</f>
        <v>-19.536000000000001</v>
      </c>
      <c r="N34" s="152" t="str">
        <f>VLOOKUP(C34,'Trips&amp;Operators'!$C$1:$G$99999,5,FALSE)</f>
        <v>NELSON ARIANE</v>
      </c>
      <c r="O34" s="179" t="s">
        <v>195</v>
      </c>
      <c r="P34" s="153"/>
      <c r="Q34" s="31"/>
      <c r="R34" s="96" t="str">
        <f>VLOOKUP(C34,'Train Runs'!$A$13:$AE$9964,31,0)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34" s="99" t="str">
        <f>VLOOKUP(C34,'Train Runs'!$A$13:$AE$9964,22,0)</f>
        <v>https://search-rtdc-monitor-bjffxe2xuh6vdkpspy63sjmuny.us-east-1.es.amazonaws.com/_plugin/kibana/#/discover/Steve-Slow-Train-Analysis-(2080s-and-2083s)?_g=(refreshInterval:(display:Off,section:0,value:0),time:(from:'2017-01-04 23:24:36-700',mode:absolute,to:'2017-01-05 01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4" s="101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/stypes="*4032*201701050*" /stext=" 07:.+((SYSTEM_STATE.+slice.+state.+changed )|(ment ac)|(multiple cpu faults)|(system.+state.+changed )|(\[timeout)|(PRM\|1\|D)|(kpr)|(kdp)|(\|lc)|(penalty))" /e /r /s</v>
      </c>
      <c r="U34" s="9" t="str">
        <f>MID(B34,13,4)</f>
        <v>4032</v>
      </c>
      <c r="V34" s="33">
        <f>A34-utc_offset/24</f>
        <v>42740.322268518517</v>
      </c>
      <c r="W34" s="47" t="str">
        <f>IF(VALUE(LEFT(IF(LEN(C34)=6,"0"&amp;C34,C34),2))&lt;=2,"EC",IF(OR(VALUE(LEFT(IF(LEN(C34)=6,"0"&amp;C34,C34),2))=8,VALUE(LEFT(IF(LEN(C34)=6,"0"&amp;C34,C34),2))=18),"NW","Other"))</f>
        <v>Other</v>
      </c>
      <c r="X34" s="47" t="str">
        <f>IF(AND(E34="TRACK WARRANT AUTHORITY",G34&lt;10),"OMIT","KEEP")</f>
        <v>KEEP</v>
      </c>
      <c r="Y34" s="115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{"issue":{"subject":"","project_id":79,"tracker_id":40,"status_id":1,"priority_id":2,"assigned_to_id":23,"start_date":"2017-01-05","description":"","custom_fields":[{"id":1,"name":"Subdivision","value":"Other"},{"id":4,"name":"Milepost","value":"1.1016"},{"id":17,"name":"Train ID","value":"84-04"},{"id":16,"name":"Locomotive ID","value":"4032"},{"id":130,"name":"Impact","value":""},{"id":150,"name":"Time of Event (Mountain Time)","value":"00:44:04"},{"id":151,"name":"Denver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"%USERPROFILE%\AppData\Local\Temp\OnboardLogs"\RTDC4032\*4032*201701050*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"%USERPROFILE%\AppData\Local\Temp\OnboardLogs"\RTDC4032\*4032*201701050* &gt;&gt; 42739-slicedisagreementcheck.txt</v>
      </c>
      <c r="AE34" s="183" t="str">
        <f>"start /low /b "&amp;dls3logs&amp;" --loco "&amp;U34&amp;" --day "&amp;TEXT(V34,"YYYY-MM-DD")</f>
        <v>start /low /b %USERPROFILE%\Documents\GitHub\eaglep3\Utilities\DownloadLogsFromS3.py --loco 4032 --day 2017-01-05</v>
      </c>
      <c r="AF34" s="1"/>
    </row>
    <row r="35" spans="1:32" x14ac:dyDescent="0.25">
      <c r="A35" s="33">
        <v>42739.140972222223</v>
      </c>
      <c r="B35" s="31" t="s">
        <v>312</v>
      </c>
      <c r="C35" s="31" t="s">
        <v>446</v>
      </c>
      <c r="D35" s="31" t="s">
        <v>98</v>
      </c>
      <c r="E35" s="31" t="s">
        <v>196</v>
      </c>
      <c r="F35" s="44">
        <v>0</v>
      </c>
      <c r="G35" s="44">
        <v>126</v>
      </c>
      <c r="H35" s="44">
        <v>18804</v>
      </c>
      <c r="I35" s="44">
        <v>18657</v>
      </c>
      <c r="J35" s="31" t="s">
        <v>197</v>
      </c>
      <c r="K35" s="44">
        <v>19000</v>
      </c>
      <c r="L35" s="150" t="s">
        <v>51</v>
      </c>
      <c r="M35" s="151">
        <f>CONVERT((I35-K35)/10000,"mi","ft")*IF(L35="Increasing Mileposts (1)",-1,1)</f>
        <v>-181.10400000000001</v>
      </c>
      <c r="N35" s="152" t="str">
        <f>VLOOKUP(C35,'Trips&amp;Operators'!$C$1:$G$99999,5,FALSE)</f>
        <v>MAELZER KURT</v>
      </c>
      <c r="O35" s="179" t="s">
        <v>195</v>
      </c>
      <c r="P35" s="153"/>
      <c r="Q35" s="31"/>
      <c r="R35" s="96" t="str">
        <f>VLOOKUP(C35,'Train Runs'!$A$13:$AE$9964,31,0)</f>
        <v>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 &amp; 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</v>
      </c>
      <c r="S35" s="99" t="str">
        <f>VLOOKUP(C35,'Train Runs'!$A$13:$AE$9964,22,0)</f>
        <v>https://search-rtdc-monitor-bjffxe2xuh6vdkpspy63sjmuny.us-east-1.es.amazonaws.com/_plugin/kibana/#/discover/Steve-Slow-Train-Analysis-(2080s-and-2083s)?_g=(refreshInterval:(display:Off,section:0,value:0),time:(from:'2017-01-04 02:15:34-700',mode:absolute,to:'2017-01-04 04:31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5" s="101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/stypes="*4041*201701041*" /stext=" 10:.+((SYSTEM_STATE.+slice.+state.+changed )|(ment ac)|(multiple cpu faults)|(system.+state.+changed )|(\[timeout)|(PRM\|1\|D)|(kpr)|(kdp)|(\|lc)|(penalty))" /e /r /s</v>
      </c>
      <c r="U35" s="9" t="str">
        <f>MID(B35,13,4)</f>
        <v>4041</v>
      </c>
      <c r="V35" s="33">
        <f>A35-utc_offset/24</f>
        <v>42739.432638888888</v>
      </c>
      <c r="W35" s="47" t="str">
        <f>IF(VALUE(LEFT(IF(LEN(C35)=6,"0"&amp;C35,C35),2))&lt;=2,"EC",IF(OR(VALUE(LEFT(IF(LEN(C35)=6,"0"&amp;C35,C35),2))=8,VALUE(LEFT(IF(LEN(C35)=6,"0"&amp;C35,C35),2))=18),"NW","Other"))</f>
        <v>Other</v>
      </c>
      <c r="X35" s="47" t="str">
        <f>IF(AND(E35="TRACK WARRANT AUTHORITY",G35&lt;10),"OMIT","KEEP")</f>
        <v>KEEP</v>
      </c>
      <c r="Y35" s="115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{"issue":{"subject":"","project_id":79,"tracker_id":40,"status_id":1,"priority_id":2,"assigned_to_id":23,"start_date":"2017-01-04","description":"","custom_fields":[{"id":1,"name":"Subdivision","value":"Other"},{"id":4,"name":"Milepost","value":"1.9"},{"id":17,"name":"Train ID","value":"304-04"},{"id":16,"name":"Locomotive ID","value":"4041"},{"id":130,"name":"Impact","value":""},{"id":150,"name":"Time of Event (Mountain Time)","value":"03:23:00"},{"id":151,"name":"Denver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"%USERPROFILE%\AppData\Local\Temp\OnboardLogs"\RTDC4041\*4041*201701041*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"%USERPROFILE%\AppData\Local\Temp\OnboardLogs"\RTDC4041\*4041*201701041* &gt;&gt; 42739-slicedisagreementcheck.txt</v>
      </c>
      <c r="AE35" s="183" t="str">
        <f>"start /low /b "&amp;dls3logs&amp;" --loco "&amp;U35&amp;" --day "&amp;TEXT(V35,"YYYY-MM-DD")</f>
        <v>start /low /b %USERPROFILE%\Documents\GitHub\eaglep3\Utilities\DownloadLogsFromS3.py --loco 4041 --day 2017-01-04</v>
      </c>
      <c r="AF35" s="1"/>
    </row>
    <row r="36" spans="1:32" x14ac:dyDescent="0.25">
      <c r="A36" s="33">
        <v>42739.735613425924</v>
      </c>
      <c r="B36" s="31" t="s">
        <v>212</v>
      </c>
      <c r="C36" s="31" t="s">
        <v>463</v>
      </c>
      <c r="D36" s="31" t="s">
        <v>98</v>
      </c>
      <c r="E36" s="31" t="s">
        <v>196</v>
      </c>
      <c r="F36" s="44">
        <v>0</v>
      </c>
      <c r="G36" s="44">
        <v>106</v>
      </c>
      <c r="H36" s="44">
        <v>25661</v>
      </c>
      <c r="I36" s="44">
        <v>25833</v>
      </c>
      <c r="J36" s="31" t="s">
        <v>197</v>
      </c>
      <c r="K36" s="44">
        <v>25657</v>
      </c>
      <c r="L36" s="150" t="s">
        <v>50</v>
      </c>
      <c r="M36" s="151">
        <f>CONVERT((I36-K36)/10000,"mi","ft")*IF(L36="Increasing Mileposts (1)",-1,1)</f>
        <v>-92.927999999999997</v>
      </c>
      <c r="N36" s="152" t="str">
        <f>VLOOKUP(C36,'Trips&amp;Operators'!$C$1:$G$99999,5,FALSE)</f>
        <v>HAITHCOX MICHAEL</v>
      </c>
      <c r="O36" s="179" t="s">
        <v>195</v>
      </c>
      <c r="P36" s="153"/>
      <c r="Q36" s="31"/>
      <c r="R36" s="96" t="str">
        <f>VLOOKUP(C36,'Train Runs'!$A$13:$AE$9964,31,0)</f>
        <v>aws s3 cp s3://rtdc.mdm.uploadarchive.raw/RTDC4022/ "%USERPROFILE%\AppData\Local\Temp\OnboardLogs"\RTDC4022\2017-01-04 --exclude "*" --recursive --include "*20170104*" &amp; "%USERPROFILE%\Documents\GitHub\mrs-test-scripts\Headless Mode &amp; Sideloading\WalkAndUnGZ.bat" "%USERPROFILE%\AppData\Local\Temp\OnboardLogs"\RTDC4022\2017-01-04 &amp; 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</v>
      </c>
      <c r="S36" s="99" t="str">
        <f>VLOOKUP(C36,'Train Runs'!$A$13:$AE$9964,22,0)</f>
        <v>https://search-rtdc-monitor-bjffxe2xuh6vdkpspy63sjmuny.us-east-1.es.amazonaws.com/_plugin/kibana/#/discover/Steve-Slow-Train-Analysis-(2080s-and-2083s)?_g=(refreshInterval:(display:Off,section:0,value:0),time:(from:'2017-01-04 16:14:07-700',mode:absolute,to:'2017-01-04 18:37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6" s="101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/stypes="*4022*201701050*" /stext=" 00:.+((SYSTEM_STATE.+slice.+state.+changed )|(ment ac)|(multiple cpu faults)|(system.+state.+changed )|(\[timeout)|(PRM\|1\|D)|(kpr)|(kdp)|(\|lc)|(penalty))" /e /r /s</v>
      </c>
      <c r="U36" s="9" t="str">
        <f>MID(B36,13,4)</f>
        <v>4022</v>
      </c>
      <c r="V36" s="33">
        <f>A36-utc_offset/24</f>
        <v>42740.027280092589</v>
      </c>
      <c r="W36" s="47" t="str">
        <f>IF(VALUE(LEFT(IF(LEN(C36)=6,"0"&amp;C36,C36),2))&lt;=2,"EC",IF(OR(VALUE(LEFT(IF(LEN(C36)=6,"0"&amp;C36,C36),2))=8,VALUE(LEFT(IF(LEN(C36)=6,"0"&amp;C36,C36),2))=18),"NW","Other"))</f>
        <v>Other</v>
      </c>
      <c r="X36" s="47" t="str">
        <f>IF(AND(E36="TRACK WARRANT AUTHORITY",G36&lt;10),"OMIT","KEEP")</f>
        <v>KEEP</v>
      </c>
      <c r="Y36" s="115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{"issue":{"subject":"","project_id":79,"tracker_id":40,"status_id":1,"priority_id":2,"assigned_to_id":23,"start_date":"2017-01-04","description":"","custom_fields":[{"id":1,"name":"Subdivision","value":"Other"},{"id":4,"name":"Milepost","value":"2.5657"},{"id":17,"name":"Train ID","value":"69-04"},{"id":16,"name":"Locomotive ID","value":"4022"},{"id":130,"name":"Impact","value":""},{"id":150,"name":"Time of Event (Mountain Time)","value":"17:39:17"},{"id":151,"name":"Denver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"%USERPROFILE%\AppData\Local\Temp\OnboardLogs"\RTDC4022\*4022*201701050*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"%USERPROFILE%\AppData\Local\Temp\OnboardLogs"\RTDC4022\*4022*201701050* &gt;&gt; 42739-slicedisagreementcheck.txt</v>
      </c>
      <c r="AE36" s="183" t="str">
        <f>"start /low /b "&amp;dls3logs&amp;" --loco "&amp;U36&amp;" --day "&amp;TEXT(V36,"YYYY-MM-DD")</f>
        <v>start /low /b %USERPROFILE%\Documents\GitHub\eaglep3\Utilities\DownloadLogsFromS3.py --loco 4022 --day 2017-01-05</v>
      </c>
      <c r="AF36" s="1"/>
    </row>
    <row r="37" spans="1:32" x14ac:dyDescent="0.25">
      <c r="A37" s="33">
        <v>42739.944745370369</v>
      </c>
      <c r="B37" s="31" t="s">
        <v>208</v>
      </c>
      <c r="C37" s="31" t="s">
        <v>474</v>
      </c>
      <c r="D37" s="31" t="s">
        <v>98</v>
      </c>
      <c r="E37" s="31" t="s">
        <v>196</v>
      </c>
      <c r="F37" s="44">
        <v>0</v>
      </c>
      <c r="G37" s="44">
        <v>158</v>
      </c>
      <c r="H37" s="44">
        <v>58139</v>
      </c>
      <c r="I37" s="44">
        <v>57867</v>
      </c>
      <c r="J37" s="31" t="s">
        <v>197</v>
      </c>
      <c r="K37" s="44">
        <v>58472</v>
      </c>
      <c r="L37" s="150" t="s">
        <v>51</v>
      </c>
      <c r="M37" s="151">
        <f>CONVERT((I37-K37)/10000,"mi","ft")*IF(L37="Increasing Mileposts (1)",-1,1)</f>
        <v>-319.44</v>
      </c>
      <c r="N37" s="152" t="str">
        <f>VLOOKUP(C37,'Trips&amp;Operators'!$C$1:$G$99999,5,FALSE)</f>
        <v>CHANDLER KELVIN</v>
      </c>
      <c r="O37" s="179" t="s">
        <v>195</v>
      </c>
      <c r="P37" s="153"/>
      <c r="Q37" s="31"/>
      <c r="R37" s="96" t="str">
        <f>VLOOKUP(C37,'Train Runs'!$A$13:$AE$9964,31,0)</f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S37" s="99" t="str">
        <f>VLOOKUP(C37,'Train Runs'!$A$13:$AE$9964,22,0)</f>
        <v>https://search-rtdc-monitor-bjffxe2xuh6vdkpspy63sjmuny.us-east-1.es.amazonaws.com/_plugin/kibana/#/discover/Steve-Slow-Train-Analysis-(2080s-and-2083s)?_g=(refreshInterval:(display:Off,section:0,value:0),time:(from:'2017-01-04 21:38:41-700',mode:absolute,to:'1969-12-31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7" s="101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/stypes="*4012*201701050*" /stext=" 05:.+((SYSTEM_STATE.+slice.+state.+changed )|(ment ac)|(multiple cpu faults)|(system.+state.+changed )|(\[timeout)|(PRM\|1\|D)|(kpr)|(kdp)|(\|lc)|(penalty))" /e /r /s</v>
      </c>
      <c r="U37" s="9" t="str">
        <f>MID(B37,13,4)</f>
        <v>4012</v>
      </c>
      <c r="V37" s="33">
        <f>A37-utc_offset/24</f>
        <v>42740.236412037033</v>
      </c>
      <c r="W37" s="47" t="str">
        <f>IF(VALUE(LEFT(IF(LEN(C37)=6,"0"&amp;C37,C37),2))&lt;=2,"EC",IF(OR(VALUE(LEFT(IF(LEN(C37)=6,"0"&amp;C37,C37),2))=8,VALUE(LEFT(IF(LEN(C37)=6,"0"&amp;C37,C37),2))=18),"NW","Other"))</f>
        <v>Other</v>
      </c>
      <c r="X37" s="47" t="str">
        <f>IF(AND(E37="TRACK WARRANT AUTHORITY",G37&lt;10),"OMIT","KEEP")</f>
        <v>KEEP</v>
      </c>
      <c r="Y37" s="115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{"issue":{"subject":"","project_id":79,"tracker_id":40,"status_id":1,"priority_id":2,"assigned_to_id":23,"start_date":"2017-01-04","description":"","custom_fields":[{"id":1,"name":"Subdivision","value":"Other"},{"id":4,"name":"Milepost","value":"5.8472"},{"id":17,"name":"Train ID","value":"908-04"},{"id":16,"name":"Locomotive ID","value":"4012"},{"id":130,"name":"Impact","value":""},{"id":150,"name":"Time of Event (Mountain Time)","value":"22:40:26"},{"id":151,"name":"Denver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"%USERPROFILE%\AppData\Local\Temp\OnboardLogs"\RTDC4012\*4012*201701050*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"%USERPROFILE%\AppData\Local\Temp\OnboardLogs"\RTDC4012\*4012*201701050* &gt;&gt; 42739-slicedisagreementcheck.txt</v>
      </c>
      <c r="AE37" s="183" t="str">
        <f>"start /low /b "&amp;dls3logs&amp;" --loco "&amp;U37&amp;" --day "&amp;TEXT(V37,"YYYY-MM-DD")</f>
        <v>start /low /b %USERPROFILE%\Documents\GitHub\eaglep3\Utilities\DownloadLogsFromS3.py --loco 4012 --day 2017-01-05</v>
      </c>
      <c r="AF37" s="1"/>
    </row>
    <row r="38" spans="1:32" x14ac:dyDescent="0.25">
      <c r="A38" s="33">
        <v>42739.945844907408</v>
      </c>
      <c r="B38" s="31" t="s">
        <v>208</v>
      </c>
      <c r="C38" s="31" t="s">
        <v>474</v>
      </c>
      <c r="D38" s="31" t="s">
        <v>98</v>
      </c>
      <c r="E38" s="31" t="s">
        <v>196</v>
      </c>
      <c r="F38" s="44">
        <v>0</v>
      </c>
      <c r="G38" s="44">
        <v>3</v>
      </c>
      <c r="H38" s="44">
        <v>57868</v>
      </c>
      <c r="I38" s="44">
        <v>57855</v>
      </c>
      <c r="J38" s="31" t="s">
        <v>197</v>
      </c>
      <c r="K38" s="44">
        <v>58472</v>
      </c>
      <c r="L38" s="150" t="s">
        <v>51</v>
      </c>
      <c r="M38" s="151">
        <f>CONVERT((I38-K38)/10000,"mi","ft")*IF(L38="Increasing Mileposts (1)",-1,1)</f>
        <v>-325.77600000000001</v>
      </c>
      <c r="N38" s="152" t="str">
        <f>VLOOKUP(C38,'Trips&amp;Operators'!$C$1:$G$99999,5,FALSE)</f>
        <v>CHANDLER KELVIN</v>
      </c>
      <c r="O38" s="179" t="s">
        <v>195</v>
      </c>
      <c r="P38" s="153"/>
      <c r="Q38" s="31"/>
      <c r="R38" s="96" t="str">
        <f>VLOOKUP(C38,'Train Runs'!$A$13:$AE$9964,31,0)</f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S38" s="99" t="str">
        <f>VLOOKUP(C38,'Train Runs'!$A$13:$AE$9964,22,0)</f>
        <v>https://search-rtdc-monitor-bjffxe2xuh6vdkpspy63sjmuny.us-east-1.es.amazonaws.com/_plugin/kibana/#/discover/Steve-Slow-Train-Analysis-(2080s-and-2083s)?_g=(refreshInterval:(display:Off,section:0,value:0),time:(from:'2017-01-04 21:38:41-700',mode:absolute,to:'1969-12-31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8" s="101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/stypes="*4012*201701050*" /stext=" 05:.+((SYSTEM_STATE.+slice.+state.+changed )|(ment ac)|(multiple cpu faults)|(system.+state.+changed )|(\[timeout)|(PRM\|1\|D)|(kpr)|(kdp)|(\|lc)|(penalty))" /e /r /s</v>
      </c>
      <c r="U38" s="9" t="str">
        <f>MID(B38,13,4)</f>
        <v>4012</v>
      </c>
      <c r="V38" s="33">
        <f>A38-utc_offset/24</f>
        <v>42740.237511574072</v>
      </c>
      <c r="W38" s="47" t="str">
        <f>IF(VALUE(LEFT(IF(LEN(C38)=6,"0"&amp;C38,C38),2))&lt;=2,"EC",IF(OR(VALUE(LEFT(IF(LEN(C38)=6,"0"&amp;C38,C38),2))=8,VALUE(LEFT(IF(LEN(C38)=6,"0"&amp;C38,C38),2))=18),"NW","Other"))</f>
        <v>Other</v>
      </c>
      <c r="X38" s="47" t="str">
        <f>IF(AND(E38="TRACK WARRANT AUTHORITY",G38&lt;10),"OMIT","KEEP")</f>
        <v>KEEP</v>
      </c>
      <c r="Y38" s="115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{"issue":{"subject":"","project_id":79,"tracker_id":40,"status_id":1,"priority_id":2,"assigned_to_id":23,"start_date":"2017-01-04","description":"","custom_fields":[{"id":1,"name":"Subdivision","value":"Other"},{"id":4,"name":"Milepost","value":"5.8472"},{"id":17,"name":"Train ID","value":"908-04"},{"id":16,"name":"Locomotive ID","value":"4012"},{"id":130,"name":"Impact","value":""},{"id":150,"name":"Time of Event (Mountain Time)","value":"22:42:01"},{"id":151,"name":"Denver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"%USERPROFILE%\AppData\Local\Temp\OnboardLogs"\RTDC4012\*4012*201701050*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"%USERPROFILE%\AppData\Local\Temp\OnboardLogs"\RTDC4012\*4012*201701050* &gt;&gt; 42739-slicedisagreementcheck.txt</v>
      </c>
      <c r="AE38" s="183" t="str">
        <f>"start /low /b "&amp;dls3logs&amp;" --loco "&amp;U38&amp;" --day "&amp;TEXT(V38,"YYYY-MM-DD")</f>
        <v>start /low /b %USERPROFILE%\Documents\GitHub\eaglep3\Utilities\DownloadLogsFromS3.py --loco 4012 --day 2017-01-05</v>
      </c>
      <c r="AF38" s="1"/>
    </row>
    <row r="39" spans="1:32" x14ac:dyDescent="0.25">
      <c r="A39" s="33">
        <v>42739.733726851853</v>
      </c>
      <c r="B39" s="31" t="s">
        <v>248</v>
      </c>
      <c r="C39" s="31" t="s">
        <v>462</v>
      </c>
      <c r="D39" s="31" t="s">
        <v>49</v>
      </c>
      <c r="E39" s="31" t="s">
        <v>198</v>
      </c>
      <c r="F39" s="44">
        <v>0</v>
      </c>
      <c r="G39" s="44">
        <v>12</v>
      </c>
      <c r="H39" s="44">
        <v>8</v>
      </c>
      <c r="I39" s="44">
        <v>1</v>
      </c>
      <c r="J39" s="31" t="s">
        <v>199</v>
      </c>
      <c r="K39" s="44">
        <v>1</v>
      </c>
      <c r="L39" s="150" t="s">
        <v>51</v>
      </c>
      <c r="M39" s="151">
        <f>CONVERT((I39-K39)/10000,"mi","ft")*IF(L39="Increasing Mileposts (1)",-1,1)</f>
        <v>0</v>
      </c>
      <c r="N39" s="152" t="str">
        <f>VLOOKUP(C39,'Trips&amp;Operators'!$C$1:$G$99999,5,FALSE)</f>
        <v>STORY SAMANTHA</v>
      </c>
      <c r="O39" s="179" t="s">
        <v>195</v>
      </c>
      <c r="P39" s="153"/>
      <c r="Q39" s="31"/>
      <c r="R39" s="96" t="str">
        <f>VLOOKUP(C39,'Train Runs'!$A$13:$AE$9964,31,0)</f>
        <v>aws s3 cp s3://rtdc.mdm.uploadarchive.raw/RTDC4045/ "%USERPROFILE%\AppData\Local\Temp\OnboardLogs"\RTDC4045\2017-01-04 --exclude "*" --recursive --include "*20170104*" &amp; "%USERPROFILE%\Documents\GitHub\mrs-test-scripts\Headless Mode &amp; Sideloading\WalkAndUnGZ.bat" "%USERPROFILE%\AppData\Local\Temp\OnboardLogs"\RTDC4045\2017-01-04 &amp; 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</v>
      </c>
      <c r="S39" s="99" t="str">
        <f>VLOOKUP(C39,'Train Runs'!$A$13:$AE$9964,22,0)</f>
        <v>https://search-rtdc-monitor-bjffxe2xuh6vdkpspy63sjmuny.us-east-1.es.amazonaws.com/_plugin/kibana/#/discover/Steve-Slow-Train-Analysis-(2080s-and-2083s)?_g=(refreshInterval:(display:Off,section:0,value:0),time:(from:'2017-01-04 16:24:41-700',mode:absolute,to:'2017-01-04 18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9" s="101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/stypes="*4045*201701050*" /stext=" 00:.+((SYSTEM_STATE.+slice.+state.+changed )|(ment ac)|(multiple cpu faults)|(system.+state.+changed )|(\[timeout)|(PRM\|1\|D)|(kpr)|(kdp)|(\|lc)|(penalty))" /e /r /s</v>
      </c>
      <c r="U39" s="9" t="str">
        <f>MID(B39,13,4)</f>
        <v>4045</v>
      </c>
      <c r="V39" s="33">
        <f>A39-utc_offset/24</f>
        <v>42740.025393518517</v>
      </c>
      <c r="W39" s="47" t="str">
        <f>IF(VALUE(LEFT(IF(LEN(C39)=6,"0"&amp;C39,C39),2))&lt;=2,"EC",IF(OR(VALUE(LEFT(IF(LEN(C39)=6,"0"&amp;C39,C39),2))=8,VALUE(LEFT(IF(LEN(C39)=6,"0"&amp;C39,C39),2))=18),"NW","Other"))</f>
        <v>Other</v>
      </c>
      <c r="X39" s="47" t="str">
        <f>IF(AND(E39="TRACK WARRANT AUTHORITY",G39&lt;10),"OMIT","KEEP")</f>
        <v>KEEP</v>
      </c>
      <c r="Y39" s="115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{"issue":{"subject":"","project_id":79,"tracker_id":40,"status_id":1,"priority_id":2,"assigned_to_id":23,"start_date":"2017-01-04","description":"","custom_fields":[{"id":1,"name":"Subdivision","value":"Other"},{"id":4,"name":"Milepost","value":"0.0001"},{"id":17,"name":"Train ID","value":"68-04"},{"id":16,"name":"Locomotive ID","value":"4045"},{"id":130,"name":"Impact","value":""},{"id":150,"name":"Time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"%USERPROFILE%\AppData\Local\Temp\OnboardLogs"\RTDC4045\*4045*201701050*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"%USERPROFILE%\AppData\Local\Temp\OnboardLogs"\RTDC4045\*4045*201701050* &gt;&gt; 42739-slicedisagreementcheck.txt</v>
      </c>
      <c r="AE39" s="183" t="str">
        <f>"start /low /b "&amp;dls3logs&amp;" --loco "&amp;U39&amp;" --day "&amp;TEXT(V39,"YYYY-MM-DD")</f>
        <v>start /low /b %USERPROFILE%\Documents\GitHub\eaglep3\Utilities\DownloadLogsFromS3.py --loco 4045 --day 2017-01-05</v>
      </c>
      <c r="AF39" s="1"/>
    </row>
    <row r="40" spans="1:32" x14ac:dyDescent="0.25">
      <c r="A40" s="33">
        <v>42740.036157407405</v>
      </c>
      <c r="B40" s="31" t="s">
        <v>352</v>
      </c>
      <c r="C40" s="31" t="s">
        <v>477</v>
      </c>
      <c r="D40" s="31" t="s">
        <v>49</v>
      </c>
      <c r="E40" s="31" t="s">
        <v>198</v>
      </c>
      <c r="F40" s="44">
        <v>0</v>
      </c>
      <c r="G40" s="44">
        <v>30</v>
      </c>
      <c r="H40" s="44">
        <v>981</v>
      </c>
      <c r="I40" s="44">
        <v>928</v>
      </c>
      <c r="J40" s="31" t="s">
        <v>199</v>
      </c>
      <c r="K40" s="44">
        <v>839</v>
      </c>
      <c r="L40" s="150" t="s">
        <v>51</v>
      </c>
      <c r="M40" s="151">
        <f>CONVERT((I40-K40)/10000,"mi","ft")*IF(L40="Increasing Mileposts (1)",-1,1)</f>
        <v>46.991999999999997</v>
      </c>
      <c r="N40" s="152" t="str">
        <f>VLOOKUP(C40,'Trips&amp;Operators'!$C$1:$G$99999,5,FALSE)</f>
        <v>NELSON ARIANE</v>
      </c>
      <c r="O40" s="179" t="s">
        <v>195</v>
      </c>
      <c r="P40" s="153"/>
      <c r="Q40" s="31"/>
      <c r="R40" s="96" t="str">
        <f>VLOOKUP(C40,'Train Runs'!$A$13:$AE$9964,31,0)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40" s="99" t="str">
        <f>VLOOKUP(C40,'Train Runs'!$A$13:$AE$9964,22,0)</f>
        <v>https://search-rtdc-monitor-bjffxe2xuh6vdkpspy63sjmuny.us-east-1.es.amazonaws.com/_plugin/kibana/#/discover/Steve-Slow-Train-Analysis-(2080s-and-2083s)?_g=(refreshInterval:(display:Off,section:0,value:0),time:(from:'2017-01-04 23:24:36-700',mode:absolute,to:'2017-01-05 01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0" s="101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/stypes="*4032*201701050*" /stext=" 07:.+((SYSTEM_STATE.+slice.+state.+changed )|(ment ac)|(multiple cpu faults)|(system.+state.+changed )|(\[timeout)|(PRM\|1\|D)|(kpr)|(kdp)|(\|lc)|(penalty))" /e /r /s</v>
      </c>
      <c r="U40" s="9" t="str">
        <f>MID(B40,13,4)</f>
        <v>4032</v>
      </c>
      <c r="V40" s="33">
        <f>A40-utc_offset/24</f>
        <v>42740.327824074069</v>
      </c>
      <c r="W40" s="47" t="str">
        <f>IF(VALUE(LEFT(IF(LEN(C40)=6,"0"&amp;C40,C40),2))&lt;=2,"EC",IF(OR(VALUE(LEFT(IF(LEN(C40)=6,"0"&amp;C40,C40),2))=8,VALUE(LEFT(IF(LEN(C40)=6,"0"&amp;C40,C40),2))=18),"NW","Other"))</f>
        <v>Other</v>
      </c>
      <c r="X40" s="47" t="str">
        <f>IF(AND(E40="TRACK WARRANT AUTHORITY",G40&lt;10),"OMIT","KEEP")</f>
        <v>KEEP</v>
      </c>
      <c r="Y40" s="115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{"issue":{"subject":"","project_id":79,"tracker_id":40,"status_id":1,"priority_id":2,"assigned_to_id":23,"start_date":"2017-01-05","description":"","custom_fields":[{"id":1,"name":"Subdivision","value":"Other"},{"id":4,"name":"Milepost","value":"0.0839"},{"id":17,"name":"Train ID","value":"84-04"},{"id":16,"name":"Locomotive ID","value":"4032"},{"id":130,"name":"Impact","value":""},{"id":150,"name":"Time of Event (Mountain Time)","value":"00:52:04"},{"id":151,"name":"Denver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"%USERPROFILE%\AppData\Local\Temp\OnboardLogs"\RTDC4032\*4032*201701050*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"%USERPROFILE%\AppData\Local\Temp\OnboardLogs"\RTDC4032\*4032*201701050* &gt;&gt; 42739-slicedisagreementcheck.txt</v>
      </c>
      <c r="AE40" s="183" t="str">
        <f>"start /low /b "&amp;dls3logs&amp;" --loco "&amp;U40&amp;" --day "&amp;TEXT(V40,"YYYY-MM-DD")</f>
        <v>start /low /b %USERPROFILE%\Documents\GitHub\eaglep3\Utilities\DownloadLogsFromS3.py --loco 4032 --day 2017-01-05</v>
      </c>
      <c r="AF40" s="1"/>
    </row>
    <row r="41" spans="1:32" x14ac:dyDescent="0.25">
      <c r="A41" s="33">
        <v>42740.036493055559</v>
      </c>
      <c r="B41" s="31" t="s">
        <v>352</v>
      </c>
      <c r="C41" s="31" t="s">
        <v>477</v>
      </c>
      <c r="D41" s="31" t="s">
        <v>49</v>
      </c>
      <c r="E41" s="31" t="s">
        <v>198</v>
      </c>
      <c r="F41" s="44">
        <v>0</v>
      </c>
      <c r="G41" s="44">
        <v>16</v>
      </c>
      <c r="H41" s="44">
        <v>918</v>
      </c>
      <c r="I41" s="44">
        <v>905</v>
      </c>
      <c r="J41" s="31" t="s">
        <v>199</v>
      </c>
      <c r="K41" s="44">
        <v>839</v>
      </c>
      <c r="L41" s="150" t="s">
        <v>51</v>
      </c>
      <c r="M41" s="151">
        <f>CONVERT((I41-K41)/10000,"mi","ft")*IF(L41="Increasing Mileposts (1)",-1,1)</f>
        <v>34.847999999999999</v>
      </c>
      <c r="N41" s="152" t="str">
        <f>VLOOKUP(C41,'Trips&amp;Operators'!$C$1:$G$99999,5,FALSE)</f>
        <v>NELSON ARIANE</v>
      </c>
      <c r="O41" s="179" t="s">
        <v>195</v>
      </c>
      <c r="P41" s="153"/>
      <c r="Q41" s="31"/>
      <c r="R41" s="96" t="str">
        <f>VLOOKUP(C41,'Train Runs'!$A$13:$AE$9964,31,0)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41" s="99" t="str">
        <f>VLOOKUP(C41,'Train Runs'!$A$13:$AE$9964,22,0)</f>
        <v>https://search-rtdc-monitor-bjffxe2xuh6vdkpspy63sjmuny.us-east-1.es.amazonaws.com/_plugin/kibana/#/discover/Steve-Slow-Train-Analysis-(2080s-and-2083s)?_g=(refreshInterval:(display:Off,section:0,value:0),time:(from:'2017-01-04 23:24:36-700',mode:absolute,to:'2017-01-05 01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1" s="101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/stypes="*4032*201701050*" /stext=" 07:.+((SYSTEM_STATE.+slice.+state.+changed )|(ment ac)|(multiple cpu faults)|(system.+state.+changed )|(\[timeout)|(PRM\|1\|D)|(kpr)|(kdp)|(\|lc)|(penalty))" /e /r /s</v>
      </c>
      <c r="U41" s="9" t="str">
        <f>MID(B41,13,4)</f>
        <v>4032</v>
      </c>
      <c r="V41" s="33">
        <f>A41-utc_offset/24</f>
        <v>42740.328159722223</v>
      </c>
      <c r="W41" s="47" t="str">
        <f>IF(VALUE(LEFT(IF(LEN(C41)=6,"0"&amp;C41,C41),2))&lt;=2,"EC",IF(OR(VALUE(LEFT(IF(LEN(C41)=6,"0"&amp;C41,C41),2))=8,VALUE(LEFT(IF(LEN(C41)=6,"0"&amp;C41,C41),2))=18),"NW","Other"))</f>
        <v>Other</v>
      </c>
      <c r="X41" s="47" t="str">
        <f>IF(AND(E41="TRACK WARRANT AUTHORITY",G41&lt;10),"OMIT","KEEP")</f>
        <v>KEEP</v>
      </c>
      <c r="Y41" s="115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{"issue":{"subject":"","project_id":79,"tracker_id":40,"status_id":1,"priority_id":2,"assigned_to_id":23,"start_date":"2017-01-05","description":"","custom_fields":[{"id":1,"name":"Subdivision","value":"Other"},{"id":4,"name":"Milepost","value":"0.0839"},{"id":17,"name":"Train ID","value":"84-04"},{"id":16,"name":"Locomotive ID","value":"4032"},{"id":130,"name":"Impact","value":""},{"id":150,"name":"Time of Event (Mountain Time)","value":"00:52:33"},{"id":151,"name":"Denver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0"/>
      <c r="AA41" s="50"/>
      <c r="AB41" s="50"/>
      <c r="AC41" s="134" t="str">
        <f>"grep -hSE -A400 ""Enforcement Action"" "&amp;search_path&amp;"\RTDC"&amp;U41&amp;"\*"&amp;U41&amp;"*"&amp;TEXT(A41-utc_offset/24,"YYYYMMDD")&amp;LEFT(TEXT(A41-utc_offset/24,"HH"),1)&amp;"* | grep -SE ""((Enforcement Ac)|(PRM))"" -"</f>
        <v>grep -hSE -A400 "Enforcement Action" "%USERPROFILE%\AppData\Local\Temp\OnboardLogs"\RTDC4032\*4032*201701050*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"%USERPROFILE%\AppData\Local\Temp\OnboardLogs"\RTDC4032\*4032*201701050* &gt;&gt; 42739-slicedisagreementcheck.txt</v>
      </c>
      <c r="AE41" s="183" t="str">
        <f>"start /low /b "&amp;dls3logs&amp;" --loco "&amp;U41&amp;" --day "&amp;TEXT(V41,"YYYY-MM-DD")</f>
        <v>start /low /b %USERPROFILE%\Documents\GitHub\eaglep3\Utilities\DownloadLogsFromS3.py --loco 4032 --day 2017-01-05</v>
      </c>
      <c r="AF41" s="1"/>
    </row>
    <row r="42" spans="1:32" x14ac:dyDescent="0.25">
      <c r="A42" s="33">
        <v>42740.014074074075</v>
      </c>
      <c r="B42" s="31" t="s">
        <v>338</v>
      </c>
      <c r="C42" s="31" t="s">
        <v>476</v>
      </c>
      <c r="D42" s="31" t="s">
        <v>49</v>
      </c>
      <c r="E42" s="31" t="s">
        <v>198</v>
      </c>
      <c r="F42" s="44">
        <v>0</v>
      </c>
      <c r="G42" s="44">
        <v>62</v>
      </c>
      <c r="H42" s="44">
        <v>58864</v>
      </c>
      <c r="I42" s="44">
        <v>58926</v>
      </c>
      <c r="J42" s="31" t="s">
        <v>199</v>
      </c>
      <c r="K42" s="44">
        <v>59048</v>
      </c>
      <c r="L42" s="150" t="s">
        <v>50</v>
      </c>
      <c r="M42" s="151">
        <f>CONVERT((I42-K42)/10000,"mi","ft")*IF(L42="Increasing Mileposts (1)",-1,1)</f>
        <v>64.415999999999997</v>
      </c>
      <c r="N42" s="152" t="str">
        <f>VLOOKUP(C42,'Trips&amp;Operators'!$C$1:$G$99999,5,FALSE)</f>
        <v>NELSON ARIANE</v>
      </c>
      <c r="O42" s="179" t="s">
        <v>195</v>
      </c>
      <c r="P42" s="153"/>
      <c r="Q42" s="31"/>
      <c r="R42" s="96" t="str">
        <f>VLOOKUP(C42,'Train Runs'!$A$13:$AE$9964,31,0)</f>
        <v>aws s3 cp s3://rtdc.mdm.uploadarchive.raw/RTDC4031/ "%USERPROFILE%\AppData\Local\Temp\OnboardLogs"\RTDC4031\2017-01-05 --exclude "*" --recursive --include "*20170105*" &amp; "%USERPROFILE%\Documents\GitHub\mrs-test-scripts\Headless Mode &amp; Sideloading\WalkAndUnGZ.bat" "%USERPROFILE%\AppData\Local\Temp\OnboardLogs"\RTDC4031\2017-01-05 &amp; aws s3 cp s3://rtdc.mdm.uploadarchive.raw/RTDC4031/ "%USERPROFILE%\AppData\Local\Temp\OnboardLogs"\RTDC4031\2017-01-06 --exclude "*" --recursive --include "*20170106*" &amp; "%USERPROFILE%\Documents\GitHub\mrs-test-scripts\Headless Mode &amp; Sideloading\WalkAndUnGZ.bat" "%USERPROFILE%\AppData\Local\Temp\OnboardLogs"\RTDC4031\2017-01-06</v>
      </c>
      <c r="S42" s="99" t="str">
        <f>VLOOKUP(C42,'Train Runs'!$A$13:$AE$9964,22,0)</f>
        <v>https://search-rtdc-monitor-bjffxe2xuh6vdkpspy63sjmuny.us-east-1.es.amazonaws.com/_plugin/kibana/#/discover/Steve-Slow-Train-Analysis-(2080s-and-2083s)?_g=(refreshInterval:(display:Off,section:0,value:0),time:(from:'2017-01-04 22:51:29-700',mode:absolute,to:'2017-01-05 01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42" s="101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/stypes="*4031*201701050*" /stext=" 07:.+((SYSTEM_STATE.+slice.+state.+changed )|(ment ac)|(multiple cpu faults)|(system.+state.+changed )|(\[timeout)|(PRM\|1\|D)|(kpr)|(kdp)|(\|lc)|(penalty))" /e /r /s</v>
      </c>
      <c r="U42" s="9" t="str">
        <f>MID(B42,13,4)</f>
        <v>4031</v>
      </c>
      <c r="V42" s="33">
        <f>A42-utc_offset/24</f>
        <v>42740.30574074074</v>
      </c>
      <c r="W42" s="47" t="str">
        <f>IF(VALUE(LEFT(IF(LEN(C42)=6,"0"&amp;C42,C42),2))&lt;=2,"EC",IF(OR(VALUE(LEFT(IF(LEN(C42)=6,"0"&amp;C42,C42),2))=8,VALUE(LEFT(IF(LEN(C42)=6,"0"&amp;C42,C42),2))=18),"NW","Other"))</f>
        <v>Other</v>
      </c>
      <c r="X42" s="47" t="str">
        <f>IF(AND(E42="TRACK WARRANT AUTHORITY",G42&lt;10),"OMIT","KEEP")</f>
        <v>KEEP</v>
      </c>
      <c r="Y42" s="115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{"issue":{"subject":"","project_id":79,"tracker_id":40,"status_id":1,"priority_id":2,"assigned_to_id":23,"start_date":"2017-01-05","description":"","custom_fields":[{"id":1,"name":"Subdivision","value":"Other"},{"id":4,"name":"Milepost","value":"5.9048"},{"id":17,"name":"Train ID","value":"83-04"},{"id":16,"name":"Locomotive ID","value":"4031"},{"id":130,"name":"Impact","value":""},{"id":150,"name":"Time of Event (Mountain Time)","value":"00:20:16"},{"id":151,"name":"Denver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0"/>
      <c r="AA42" s="50"/>
      <c r="AB42" s="50"/>
      <c r="AC42" s="134" t="str">
        <f>"grep -hSE -A400 ""Enforcement Action"" "&amp;search_path&amp;"\RTDC"&amp;U42&amp;"\*"&amp;U42&amp;"*"&amp;TEXT(A42-utc_offset/24,"YYYYMMDD")&amp;LEFT(TEXT(A42-utc_offset/24,"HH"),1)&amp;"* | grep -SE ""((Enforcement Ac)|(PRM))"" -"</f>
        <v>grep -hSE -A400 "Enforcement Action" "%USERPROFILE%\AppData\Local\Temp\OnboardLogs"\RTDC4031\*4031*201701050*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"%USERPROFILE%\AppData\Local\Temp\OnboardLogs"\RTDC4031\*4031*201701050* &gt;&gt; 42739-slicedisagreementcheck.txt</v>
      </c>
      <c r="AE42" s="183" t="str">
        <f>"start /low /b "&amp;dls3logs&amp;" --loco "&amp;U42&amp;" --day "&amp;TEXT(V42,"YYYY-MM-DD")</f>
        <v>start /low /b %USERPROFILE%\Documents\GitHub\eaglep3\Utilities\DownloadLogsFromS3.py --loco 4031 --day 2017-01-05</v>
      </c>
      <c r="AF42" s="1"/>
    </row>
    <row r="43" spans="1:32" x14ac:dyDescent="0.25">
      <c r="A43" s="33">
        <v>42740.014803240738</v>
      </c>
      <c r="B43" s="31" t="s">
        <v>338</v>
      </c>
      <c r="C43" s="31" t="s">
        <v>476</v>
      </c>
      <c r="D43" s="31" t="s">
        <v>49</v>
      </c>
      <c r="E43" s="31" t="s">
        <v>198</v>
      </c>
      <c r="F43" s="44">
        <v>0</v>
      </c>
      <c r="G43" s="44">
        <v>20</v>
      </c>
      <c r="H43" s="44">
        <v>58965</v>
      </c>
      <c r="I43" s="44">
        <v>58971</v>
      </c>
      <c r="J43" s="31" t="s">
        <v>199</v>
      </c>
      <c r="K43" s="44">
        <v>59048</v>
      </c>
      <c r="L43" s="150" t="s">
        <v>50</v>
      </c>
      <c r="M43" s="151">
        <f>CONVERT((I43-K43)/10000,"mi","ft")*IF(L43="Increasing Mileposts (1)",-1,1)</f>
        <v>40.655999999999999</v>
      </c>
      <c r="N43" s="152" t="str">
        <f>VLOOKUP(C43,'Trips&amp;Operators'!$C$1:$G$99999,5,FALSE)</f>
        <v>NELSON ARIANE</v>
      </c>
      <c r="O43" s="179" t="s">
        <v>195</v>
      </c>
      <c r="P43" s="153"/>
      <c r="Q43" s="31"/>
      <c r="R43" s="96" t="str">
        <f>VLOOKUP(C43,'Train Runs'!$A$13:$AE$9964,31,0)</f>
        <v>aws s3 cp s3://rtdc.mdm.uploadarchive.raw/RTDC4031/ "%USERPROFILE%\AppData\Local\Temp\OnboardLogs"\RTDC4031\2017-01-05 --exclude "*" --recursive --include "*20170105*" &amp; "%USERPROFILE%\Documents\GitHub\mrs-test-scripts\Headless Mode &amp; Sideloading\WalkAndUnGZ.bat" "%USERPROFILE%\AppData\Local\Temp\OnboardLogs"\RTDC4031\2017-01-05 &amp; aws s3 cp s3://rtdc.mdm.uploadarchive.raw/RTDC4031/ "%USERPROFILE%\AppData\Local\Temp\OnboardLogs"\RTDC4031\2017-01-06 --exclude "*" --recursive --include "*20170106*" &amp; "%USERPROFILE%\Documents\GitHub\mrs-test-scripts\Headless Mode &amp; Sideloading\WalkAndUnGZ.bat" "%USERPROFILE%\AppData\Local\Temp\OnboardLogs"\RTDC4031\2017-01-06</v>
      </c>
      <c r="S43" s="99" t="str">
        <f>VLOOKUP(C43,'Train Runs'!$A$13:$AE$9964,22,0)</f>
        <v>https://search-rtdc-monitor-bjffxe2xuh6vdkpspy63sjmuny.us-east-1.es.amazonaws.com/_plugin/kibana/#/discover/Steve-Slow-Train-Analysis-(2080s-and-2083s)?_g=(refreshInterval:(display:Off,section:0,value:0),time:(from:'2017-01-04 22:51:29-700',mode:absolute,to:'2017-01-05 01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43" s="101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/stypes="*4031*201701050*" /stext=" 07:.+((SYSTEM_STATE.+slice.+state.+changed )|(ment ac)|(multiple cpu faults)|(system.+state.+changed )|(\[timeout)|(PRM\|1\|D)|(kpr)|(kdp)|(\|lc)|(penalty))" /e /r /s</v>
      </c>
      <c r="U43" s="9" t="str">
        <f>MID(B43,13,4)</f>
        <v>4031</v>
      </c>
      <c r="V43" s="33">
        <f>A43-utc_offset/24</f>
        <v>42740.306469907402</v>
      </c>
      <c r="W43" s="47" t="str">
        <f>IF(VALUE(LEFT(IF(LEN(C43)=6,"0"&amp;C43,C43),2))&lt;=2,"EC",IF(OR(VALUE(LEFT(IF(LEN(C43)=6,"0"&amp;C43,C43),2))=8,VALUE(LEFT(IF(LEN(C43)=6,"0"&amp;C43,C43),2))=18),"NW","Other"))</f>
        <v>Other</v>
      </c>
      <c r="X43" s="47" t="str">
        <f>IF(AND(E43="TRACK WARRANT AUTHORITY",G43&lt;10),"OMIT","KEEP")</f>
        <v>KEEP</v>
      </c>
      <c r="Y43" s="115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{"issue":{"subject":"","project_id":79,"tracker_id":40,"status_id":1,"priority_id":2,"assigned_to_id":23,"start_date":"2017-01-05","description":"","custom_fields":[{"id":1,"name":"Subdivision","value":"Other"},{"id":4,"name":"Milepost","value":"5.9048"},{"id":17,"name":"Train ID","value":"83-04"},{"id":16,"name":"Locomotive ID","value":"4031"},{"id":130,"name":"Impact","value":""},{"id":150,"name":"Time of Event (Mountain Time)","value":"00:21:19"},{"id":151,"name":"Denver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0"/>
      <c r="AA43" s="50"/>
      <c r="AB43" s="50"/>
      <c r="AC43" s="134" t="str">
        <f>"grep -hSE -A400 ""Enforcement Action"" "&amp;search_path&amp;"\RTDC"&amp;U43&amp;"\*"&amp;U43&amp;"*"&amp;TEXT(A43-utc_offset/24,"YYYYMMDD")&amp;LEFT(TEXT(A43-utc_offset/24,"HH"),1)&amp;"* | grep -SE ""((Enforcement Ac)|(PRM))"" -"</f>
        <v>grep -hSE -A400 "Enforcement Action" "%USERPROFILE%\AppData\Local\Temp\OnboardLogs"\RTDC4031\*4031*201701050*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"%USERPROFILE%\AppData\Local\Temp\OnboardLogs"\RTDC4031\*4031*201701050* &gt;&gt; 42739-slicedisagreementcheck.txt</v>
      </c>
      <c r="AE43" s="183" t="str">
        <f>"start /low /b "&amp;dls3logs&amp;" --loco "&amp;U43&amp;" --day "&amp;TEXT(V43,"YYYY-MM-DD")</f>
        <v>start /low /b %USERPROFILE%\Documents\GitHub\eaglep3\Utilities\DownloadLogsFromS3.py --loco 4031 --day 2017-01-05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  <c r="AE73"/>
    </row>
  </sheetData>
  <autoFilter ref="A6:AC44">
    <sortState ref="A7:AC44">
      <sortCondition ref="V6:V44"/>
    </sortState>
  </autoFilter>
  <sortState ref="A7:AE43">
    <sortCondition ref="W7:W43"/>
    <sortCondition ref="E7:E43"/>
    <sortCondition ref="K7:K43"/>
    <sortCondition ref="C7:C43"/>
    <sortCondition ref="F7:F43"/>
  </sortState>
  <mergeCells count="1">
    <mergeCell ref="A5:O5"/>
  </mergeCells>
  <conditionalFormatting sqref="O6:P6 R6 O74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I3" sqref="I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2017-01-04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911</v>
      </c>
      <c r="B3" s="44" t="str">
        <f>A3&amp;"-"&amp;IF(DAY(Variables!$A$2)&lt;10,0,"")&amp;DAY(Variables!$A$2)</f>
        <v>911-04</v>
      </c>
      <c r="C3" s="154"/>
      <c r="D3" s="159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22911-04%22)),sort:!(Time,asc))</v>
      </c>
      <c r="J3" s="31" t="e">
        <f>VLOOKUP(B3,'Train Runs'!$A$13:$A$99961,1,FALSE)</f>
        <v>#N/A</v>
      </c>
      <c r="K3" s="31" t="e">
        <f>IF(VLOOKUP(A3,$K$25:$K$48,1,FALSE),"Cancelled")</f>
        <v>#N/A</v>
      </c>
    </row>
    <row r="4" spans="1:11" x14ac:dyDescent="0.25">
      <c r="A4" s="167"/>
      <c r="B4" s="44" t="str">
        <f>A4&amp;"-"&amp;IF(DAY(Variables!$A$2)&lt;10,0,"")&amp;DAY(Variables!$A$2)</f>
        <v>-04</v>
      </c>
      <c r="C4" s="154"/>
      <c r="D4" s="159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4" s="31" t="e">
        <f>VLOOKUP(B4,'Train Runs'!$A$13:$A$99961,1,FALSE)</f>
        <v>#N/A</v>
      </c>
      <c r="K4" s="31" t="e">
        <f>IF(VLOOKUP(A4,$K$25:$K$48,1,FALSE),"Cancelled")</f>
        <v>#N/A</v>
      </c>
    </row>
    <row r="5" spans="1:11" x14ac:dyDescent="0.25">
      <c r="A5" s="167"/>
      <c r="B5" s="44" t="str">
        <f>A5&amp;"-"&amp;IF(DAY(Variables!$A$2)&lt;10,0,"")&amp;DAY(Variables!$A$2)</f>
        <v>-04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ref="I5:I17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5" s="31" t="e">
        <f>VLOOKUP(B5,'Train Runs'!$A$13:$A$99961,1,FALSE)</f>
        <v>#N/A</v>
      </c>
      <c r="K5" s="31" t="e">
        <f t="shared" ref="K5:K17" si="2">IF(VLOOKUP(A5,$K$25:$K$48,1,FALSE),"Cancelled")</f>
        <v>#N/A</v>
      </c>
    </row>
    <row r="6" spans="1:11" x14ac:dyDescent="0.25">
      <c r="A6" s="167"/>
      <c r="B6" s="44" t="str">
        <f>A6&amp;"-"&amp;IF(DAY(Variables!$A$2)&lt;10,0,"")&amp;DAY(Variables!$A$2)</f>
        <v>-04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6" s="31" t="e">
        <f>VLOOKUP(B6,'Train Runs'!$A$13:$A$99961,1,FALSE)</f>
        <v>#N/A</v>
      </c>
      <c r="K6" s="31" t="e">
        <f t="shared" si="2"/>
        <v>#N/A</v>
      </c>
    </row>
    <row r="7" spans="1:11" x14ac:dyDescent="0.25">
      <c r="A7" s="167"/>
      <c r="B7" s="44" t="str">
        <f>A7&amp;"-"&amp;IF(DAY(Variables!$A$2)&lt;10,0,"")&amp;DAY(Variables!$A$2)</f>
        <v>-04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7" s="31" t="e">
        <f>VLOOKUP(B7,'Train Runs'!$A$13:$A$99961,1,FALSE)</f>
        <v>#N/A</v>
      </c>
      <c r="K7" s="31" t="e">
        <f t="shared" si="2"/>
        <v>#N/A</v>
      </c>
    </row>
    <row r="8" spans="1:11" x14ac:dyDescent="0.25">
      <c r="A8" s="167"/>
      <c r="B8" s="44" t="str">
        <f>A8&amp;"-"&amp;IF(DAY(Variables!$A$2)&lt;10,0,"")&amp;DAY(Variables!$A$2)</f>
        <v>-04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8" s="31" t="e">
        <f>VLOOKUP(B8,'Train Runs'!$A$13:$A$99961,1,FALSE)</f>
        <v>#N/A</v>
      </c>
      <c r="K8" s="31" t="e">
        <f t="shared" si="2"/>
        <v>#N/A</v>
      </c>
    </row>
    <row r="9" spans="1:11" x14ac:dyDescent="0.25">
      <c r="A9" s="167"/>
      <c r="B9" s="44" t="str">
        <f>A9&amp;"-"&amp;IF(DAY(Variables!$A$2)&lt;10,0,"")&amp;DAY(Variables!$A$2)</f>
        <v>-04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9" s="31" t="e">
        <f>VLOOKUP(B9,'Train Runs'!$A$13:$A$99961,1,FALSE)</f>
        <v>#N/A</v>
      </c>
      <c r="K9" s="31" t="e">
        <f t="shared" si="2"/>
        <v>#N/A</v>
      </c>
    </row>
    <row r="10" spans="1:11" x14ac:dyDescent="0.25">
      <c r="A10" s="167"/>
      <c r="B10" s="44" t="str">
        <f>A10&amp;"-"&amp;IF(DAY(Variables!$A$2)&lt;10,0,"")&amp;DAY(Variables!$A$2)</f>
        <v>-04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0" s="31" t="e">
        <f>VLOOKUP(B10,'Train Runs'!$A$13:$A$99961,1,FALSE)</f>
        <v>#N/A</v>
      </c>
      <c r="K10" s="31" t="e">
        <f t="shared" si="2"/>
        <v>#N/A</v>
      </c>
    </row>
    <row r="11" spans="1:11" x14ac:dyDescent="0.25">
      <c r="A11" s="167"/>
      <c r="B11" s="44" t="str">
        <f>A11&amp;"-"&amp;IF(DAY(Variables!$A$2)&lt;10,0,"")&amp;DAY(Variables!$A$2)</f>
        <v>-04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1" s="31" t="e">
        <f>VLOOKUP(B11,'Train Runs'!$A$13:$A$99961,1,FALSE)</f>
        <v>#N/A</v>
      </c>
      <c r="K11" s="31" t="e">
        <f t="shared" si="2"/>
        <v>#N/A</v>
      </c>
    </row>
    <row r="12" spans="1:11" x14ac:dyDescent="0.25">
      <c r="A12" s="167"/>
      <c r="B12" s="44" t="str">
        <f>A12&amp;"-"&amp;IF(DAY(Variables!$A$2)&lt;10,0,"")&amp;DAY(Variables!$A$2)</f>
        <v>-04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2" s="31" t="e">
        <f>VLOOKUP(B12,'Train Runs'!$A$13:$A$99961,1,FALSE)</f>
        <v>#N/A</v>
      </c>
      <c r="K12" s="31" t="e">
        <f t="shared" si="2"/>
        <v>#N/A</v>
      </c>
    </row>
    <row r="13" spans="1:11" x14ac:dyDescent="0.25">
      <c r="A13" s="167"/>
      <c r="B13" s="44" t="str">
        <f>A13&amp;"-"&amp;IF(DAY(Variables!$A$2)&lt;10,0,"")&amp;DAY(Variables!$A$2)</f>
        <v>-04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3" s="31" t="e">
        <f>VLOOKUP(B13,'Train Runs'!$A$13:$A$99961,1,FALSE)</f>
        <v>#N/A</v>
      </c>
      <c r="K13" s="31" t="e">
        <f t="shared" si="2"/>
        <v>#N/A</v>
      </c>
    </row>
    <row r="14" spans="1:11" x14ac:dyDescent="0.25">
      <c r="A14" s="167"/>
      <c r="B14" s="44" t="str">
        <f>A14&amp;"-"&amp;IF(DAY(Variables!$A$2)&lt;10,0,"")&amp;DAY(Variables!$A$2)</f>
        <v>-04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4" s="31" t="e">
        <f>VLOOKUP(B14,'Train Runs'!$A$13:$A$99961,1,FALSE)</f>
        <v>#N/A</v>
      </c>
      <c r="K14" s="31" t="e">
        <f t="shared" si="2"/>
        <v>#N/A</v>
      </c>
    </row>
    <row r="15" spans="1:11" x14ac:dyDescent="0.25">
      <c r="A15" s="167"/>
      <c r="B15" s="44" t="str">
        <f>A15&amp;"-"&amp;IF(DAY(Variables!$A$2)&lt;10,0,"")&amp;DAY(Variables!$A$2)</f>
        <v>-04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5" s="31" t="e">
        <f>VLOOKUP(B15,'Train Runs'!$A$13:$A$99961,1,FALSE)</f>
        <v>#N/A</v>
      </c>
      <c r="K15" s="31" t="e">
        <f t="shared" si="2"/>
        <v>#N/A</v>
      </c>
    </row>
    <row r="16" spans="1:11" x14ac:dyDescent="0.25">
      <c r="A16" s="167"/>
      <c r="B16" s="44" t="str">
        <f>A16&amp;"-"&amp;IF(DAY(Variables!$A$2)&lt;10,0,"")&amp;DAY(Variables!$A$2)</f>
        <v>-04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6" s="31" t="e">
        <f>VLOOKUP(B16,'Train Runs'!$A$13:$A$99961,1,FALSE)</f>
        <v>#N/A</v>
      </c>
      <c r="K16" s="31" t="e">
        <f t="shared" si="2"/>
        <v>#N/A</v>
      </c>
    </row>
    <row r="17" spans="1:11" x14ac:dyDescent="0.25">
      <c r="A17" s="167"/>
      <c r="B17" s="44" t="str">
        <f>A17&amp;"-"&amp;IF(DAY(Variables!$A$2)&lt;10,0,"")&amp;DAY(Variables!$A$2)</f>
        <v>-04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7" s="31" t="e">
        <f>VLOOKUP(B17,'Train Runs'!$A$13:$A$99961,1,FALSE)</f>
        <v>#N/A</v>
      </c>
      <c r="K17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244</v>
      </c>
      <c r="G1" s="8" t="s">
        <v>243</v>
      </c>
    </row>
    <row r="2" spans="1:7" x14ac:dyDescent="0.25">
      <c r="A2" s="8">
        <v>42739.047094907408</v>
      </c>
      <c r="B2" s="21" t="s">
        <v>338</v>
      </c>
      <c r="C2" s="21" t="s">
        <v>400</v>
      </c>
      <c r="D2" s="160">
        <v>2680000</v>
      </c>
      <c r="E2" s="21" t="s">
        <v>398</v>
      </c>
      <c r="F2" s="21" t="s">
        <v>399</v>
      </c>
      <c r="G2" s="8" t="str">
        <f>E2&amp;" "&amp;F2</f>
        <v>DUNCAN SHEILA</v>
      </c>
    </row>
    <row r="3" spans="1:7" x14ac:dyDescent="0.25">
      <c r="A3" s="8">
        <v>42739.050509259258</v>
      </c>
      <c r="B3" s="21" t="s">
        <v>353</v>
      </c>
      <c r="C3" s="21" t="s">
        <v>401</v>
      </c>
      <c r="D3" s="160">
        <v>2000000</v>
      </c>
      <c r="E3" s="21" t="s">
        <v>207</v>
      </c>
      <c r="F3" s="21" t="s">
        <v>242</v>
      </c>
      <c r="G3" s="8" t="str">
        <f t="shared" ref="G3:G66" si="0">E3&amp;" "&amp;F3</f>
        <v>STAMBAUGH JAMES</v>
      </c>
    </row>
    <row r="4" spans="1:7" x14ac:dyDescent="0.25">
      <c r="A4" s="8">
        <v>42739.069456018522</v>
      </c>
      <c r="B4" s="21" t="s">
        <v>226</v>
      </c>
      <c r="C4" s="21" t="s">
        <v>402</v>
      </c>
      <c r="D4" s="160">
        <v>1740000</v>
      </c>
      <c r="E4" s="21" t="s">
        <v>365</v>
      </c>
      <c r="F4" s="21" t="s">
        <v>366</v>
      </c>
      <c r="G4" s="8" t="str">
        <f t="shared" si="0"/>
        <v>STORY SAMANTHA</v>
      </c>
    </row>
    <row r="5" spans="1:7" x14ac:dyDescent="0.25">
      <c r="A5" s="8">
        <v>42739.087870370371</v>
      </c>
      <c r="B5" s="21" t="s">
        <v>306</v>
      </c>
      <c r="C5" s="21" t="s">
        <v>403</v>
      </c>
      <c r="D5" s="160">
        <v>2000000</v>
      </c>
      <c r="E5" s="21" t="s">
        <v>207</v>
      </c>
      <c r="F5" s="21" t="s">
        <v>242</v>
      </c>
      <c r="G5" s="8" t="str">
        <f t="shared" si="0"/>
        <v>STAMBAUGH JAMES</v>
      </c>
    </row>
    <row r="6" spans="1:7" x14ac:dyDescent="0.25">
      <c r="A6" s="8">
        <v>42739.12195601852</v>
      </c>
      <c r="B6" s="21" t="s">
        <v>257</v>
      </c>
      <c r="C6" s="21" t="s">
        <v>478</v>
      </c>
      <c r="D6" s="160">
        <v>2100000</v>
      </c>
      <c r="E6" s="21" t="s">
        <v>479</v>
      </c>
      <c r="F6" s="21" t="s">
        <v>480</v>
      </c>
      <c r="G6" s="8" t="str">
        <f t="shared" si="0"/>
        <v>ISHMAEL JOSEPH</v>
      </c>
    </row>
    <row r="7" spans="1:7" x14ac:dyDescent="0.25">
      <c r="A7" s="8">
        <v>42739.132905092592</v>
      </c>
      <c r="B7" s="21" t="s">
        <v>212</v>
      </c>
      <c r="C7" s="21" t="s">
        <v>481</v>
      </c>
      <c r="D7" s="160">
        <v>2100000</v>
      </c>
      <c r="E7" s="21" t="s">
        <v>479</v>
      </c>
      <c r="F7" s="21" t="s">
        <v>480</v>
      </c>
      <c r="G7" s="8" t="str">
        <f t="shared" si="0"/>
        <v>ISHMAEL JOSEPH</v>
      </c>
    </row>
    <row r="8" spans="1:7" x14ac:dyDescent="0.25">
      <c r="A8" s="8">
        <v>42739.136238425926</v>
      </c>
      <c r="B8" s="21" t="s">
        <v>312</v>
      </c>
      <c r="C8" s="21" t="s">
        <v>446</v>
      </c>
      <c r="D8" s="160">
        <v>2010000</v>
      </c>
      <c r="E8" s="21" t="s">
        <v>313</v>
      </c>
      <c r="F8" s="21" t="s">
        <v>314</v>
      </c>
      <c r="G8" s="8" t="str">
        <f t="shared" si="0"/>
        <v>MAELZER KURT</v>
      </c>
    </row>
    <row r="9" spans="1:7" ht="15.75" thickBot="1" x14ac:dyDescent="0.3">
      <c r="A9" s="25">
        <v>42739.151250000003</v>
      </c>
      <c r="B9" s="21" t="s">
        <v>268</v>
      </c>
      <c r="C9" s="21" t="s">
        <v>447</v>
      </c>
      <c r="D9" s="160">
        <v>2010000</v>
      </c>
      <c r="E9" s="21" t="s">
        <v>313</v>
      </c>
      <c r="F9" s="21" t="s">
        <v>314</v>
      </c>
      <c r="G9" s="8" t="str">
        <f t="shared" si="0"/>
        <v>MAELZER KURT</v>
      </c>
    </row>
    <row r="10" spans="1:7" x14ac:dyDescent="0.25">
      <c r="A10" s="8">
        <v>42739.160844907405</v>
      </c>
      <c r="B10" s="21" t="s">
        <v>468</v>
      </c>
      <c r="C10" s="21" t="s">
        <v>482</v>
      </c>
      <c r="D10" s="160">
        <v>2670000</v>
      </c>
      <c r="E10" s="21" t="s">
        <v>354</v>
      </c>
      <c r="F10" s="21" t="s">
        <v>355</v>
      </c>
      <c r="G10" s="8" t="str">
        <f t="shared" si="0"/>
        <v>COMELLA JUSTIN</v>
      </c>
    </row>
    <row r="11" spans="1:7" x14ac:dyDescent="0.25">
      <c r="A11" s="8">
        <v>42739.162118055552</v>
      </c>
      <c r="B11" s="21" t="s">
        <v>468</v>
      </c>
      <c r="C11" s="21" t="s">
        <v>482</v>
      </c>
      <c r="D11" s="160">
        <v>2670000</v>
      </c>
      <c r="E11" s="21" t="s">
        <v>354</v>
      </c>
      <c r="F11" s="21" t="s">
        <v>355</v>
      </c>
      <c r="G11" s="8" t="str">
        <f t="shared" si="0"/>
        <v>COMELLA JUSTIN</v>
      </c>
    </row>
    <row r="12" spans="1:7" x14ac:dyDescent="0.25">
      <c r="A12" s="8">
        <v>42739.165671296294</v>
      </c>
      <c r="B12" s="21" t="s">
        <v>257</v>
      </c>
      <c r="C12" s="21" t="s">
        <v>483</v>
      </c>
      <c r="D12" s="160">
        <v>2100000</v>
      </c>
      <c r="E12" s="21" t="s">
        <v>479</v>
      </c>
      <c r="F12" s="21" t="s">
        <v>480</v>
      </c>
      <c r="G12" s="8" t="str">
        <f t="shared" si="0"/>
        <v>ISHMAEL JOSEPH</v>
      </c>
    </row>
    <row r="13" spans="1:7" x14ac:dyDescent="0.25">
      <c r="A13" s="8">
        <v>42739.172847222224</v>
      </c>
      <c r="B13" s="21" t="s">
        <v>237</v>
      </c>
      <c r="C13" s="21" t="s">
        <v>484</v>
      </c>
      <c r="D13" s="160">
        <v>2670000</v>
      </c>
      <c r="E13" s="21" t="s">
        <v>354</v>
      </c>
      <c r="F13" s="21" t="s">
        <v>355</v>
      </c>
      <c r="G13" s="8" t="str">
        <f t="shared" si="0"/>
        <v>COMELLA JUSTIN</v>
      </c>
    </row>
    <row r="14" spans="1:7" x14ac:dyDescent="0.25">
      <c r="A14" s="8">
        <v>42739.177361111113</v>
      </c>
      <c r="B14" s="21" t="s">
        <v>320</v>
      </c>
      <c r="C14" s="21" t="s">
        <v>485</v>
      </c>
      <c r="D14" s="160">
        <v>940000</v>
      </c>
      <c r="E14" s="21" t="s">
        <v>486</v>
      </c>
      <c r="F14" s="21" t="s">
        <v>487</v>
      </c>
      <c r="G14" s="8" t="str">
        <f t="shared" si="0"/>
        <v>BONDS REYNALDO</v>
      </c>
    </row>
    <row r="15" spans="1:7" x14ac:dyDescent="0.25">
      <c r="A15" s="8">
        <v>42739.181238425925</v>
      </c>
      <c r="B15" s="21" t="s">
        <v>384</v>
      </c>
      <c r="C15" s="21" t="s">
        <v>488</v>
      </c>
      <c r="D15" s="160">
        <v>2110000</v>
      </c>
      <c r="E15" s="21" t="s">
        <v>270</v>
      </c>
      <c r="F15" s="21" t="s">
        <v>271</v>
      </c>
      <c r="G15" s="8" t="str">
        <f t="shared" si="0"/>
        <v>OUN ZACK</v>
      </c>
    </row>
    <row r="16" spans="1:7" x14ac:dyDescent="0.25">
      <c r="A16" s="8">
        <v>42739.186157407406</v>
      </c>
      <c r="B16" s="21" t="s">
        <v>321</v>
      </c>
      <c r="C16" s="21" t="s">
        <v>489</v>
      </c>
      <c r="D16" s="160">
        <v>940000</v>
      </c>
      <c r="E16" s="21" t="s">
        <v>486</v>
      </c>
      <c r="F16" s="21" t="s">
        <v>487</v>
      </c>
      <c r="G16" s="8" t="str">
        <f t="shared" si="0"/>
        <v>BONDS REYNALDO</v>
      </c>
    </row>
    <row r="17" spans="1:7" x14ac:dyDescent="0.25">
      <c r="A17" s="8">
        <v>42739.189525462964</v>
      </c>
      <c r="B17" s="21" t="s">
        <v>312</v>
      </c>
      <c r="C17" s="21" t="s">
        <v>490</v>
      </c>
      <c r="D17" s="160">
        <v>2010000</v>
      </c>
      <c r="E17" s="21" t="s">
        <v>313</v>
      </c>
      <c r="F17" s="21" t="s">
        <v>314</v>
      </c>
      <c r="G17" s="8" t="str">
        <f t="shared" si="0"/>
        <v>MAELZER KURT</v>
      </c>
    </row>
    <row r="18" spans="1:7" x14ac:dyDescent="0.25">
      <c r="A18" s="8">
        <v>42739.194189814814</v>
      </c>
      <c r="B18" s="21" t="s">
        <v>183</v>
      </c>
      <c r="C18" s="21" t="s">
        <v>491</v>
      </c>
      <c r="D18" s="160">
        <v>2110000</v>
      </c>
      <c r="E18" s="21" t="s">
        <v>270</v>
      </c>
      <c r="F18" s="21" t="s">
        <v>271</v>
      </c>
      <c r="G18" s="8" t="str">
        <f t="shared" si="0"/>
        <v>OUN ZACK</v>
      </c>
    </row>
    <row r="19" spans="1:7" x14ac:dyDescent="0.25">
      <c r="A19" s="8">
        <v>42739.204259259262</v>
      </c>
      <c r="B19" s="21" t="s">
        <v>337</v>
      </c>
      <c r="C19" s="21" t="s">
        <v>492</v>
      </c>
      <c r="D19" s="160">
        <v>1830000</v>
      </c>
      <c r="E19" s="21" t="s">
        <v>322</v>
      </c>
      <c r="F19" s="21" t="s">
        <v>323</v>
      </c>
      <c r="G19" s="8" t="str">
        <f t="shared" si="0"/>
        <v>YORK EDGAR</v>
      </c>
    </row>
    <row r="20" spans="1:7" x14ac:dyDescent="0.25">
      <c r="A20" s="8">
        <v>42739.206192129626</v>
      </c>
      <c r="B20" s="21" t="s">
        <v>183</v>
      </c>
      <c r="C20" s="21" t="s">
        <v>491</v>
      </c>
      <c r="D20" s="160">
        <v>2110000</v>
      </c>
      <c r="E20" s="21" t="s">
        <v>270</v>
      </c>
      <c r="F20" s="21" t="s">
        <v>271</v>
      </c>
      <c r="G20" s="8" t="str">
        <f t="shared" si="0"/>
        <v>OUN ZACK</v>
      </c>
    </row>
    <row r="21" spans="1:7" x14ac:dyDescent="0.25">
      <c r="A21" s="8">
        <v>42739.208194444444</v>
      </c>
      <c r="B21" s="21" t="s">
        <v>468</v>
      </c>
      <c r="C21" s="21" t="s">
        <v>493</v>
      </c>
      <c r="D21" s="160">
        <v>2670000</v>
      </c>
      <c r="E21" s="21" t="s">
        <v>354</v>
      </c>
      <c r="F21" s="21" t="s">
        <v>355</v>
      </c>
      <c r="G21" s="8" t="str">
        <f t="shared" si="0"/>
        <v>COMELLA JUSTIN</v>
      </c>
    </row>
    <row r="22" spans="1:7" x14ac:dyDescent="0.25">
      <c r="A22" s="27">
        <v>42739.209317129629</v>
      </c>
      <c r="B22" s="21" t="s">
        <v>212</v>
      </c>
      <c r="C22" s="21" t="s">
        <v>494</v>
      </c>
      <c r="D22" s="160">
        <v>900000</v>
      </c>
      <c r="E22" s="21" t="s">
        <v>357</v>
      </c>
      <c r="F22" s="21" t="s">
        <v>358</v>
      </c>
      <c r="G22" s="8" t="str">
        <f t="shared" si="0"/>
        <v>ROCHA YAOTL</v>
      </c>
    </row>
    <row r="23" spans="1:7" x14ac:dyDescent="0.25">
      <c r="A23" s="8">
        <v>42739.209374999999</v>
      </c>
      <c r="B23" s="21" t="s">
        <v>258</v>
      </c>
      <c r="C23" s="21" t="s">
        <v>495</v>
      </c>
      <c r="D23" s="160">
        <v>2100000</v>
      </c>
      <c r="E23" s="21" t="s">
        <v>479</v>
      </c>
      <c r="F23" s="21" t="s">
        <v>480</v>
      </c>
      <c r="G23" s="8" t="str">
        <f t="shared" si="0"/>
        <v>ISHMAEL JOSEPH</v>
      </c>
    </row>
    <row r="24" spans="1:7" x14ac:dyDescent="0.25">
      <c r="A24" s="8">
        <v>42739.213217592594</v>
      </c>
      <c r="B24" s="21" t="s">
        <v>335</v>
      </c>
      <c r="C24" s="21" t="s">
        <v>496</v>
      </c>
      <c r="D24" s="160">
        <v>1830000</v>
      </c>
      <c r="E24" s="21" t="s">
        <v>322</v>
      </c>
      <c r="F24" s="21" t="s">
        <v>323</v>
      </c>
      <c r="G24" s="8" t="str">
        <f t="shared" si="0"/>
        <v>YORK EDGAR</v>
      </c>
    </row>
    <row r="25" spans="1:7" x14ac:dyDescent="0.25">
      <c r="A25" s="8">
        <v>42739.213900462964</v>
      </c>
      <c r="B25" s="21" t="s">
        <v>258</v>
      </c>
      <c r="C25" s="21" t="s">
        <v>495</v>
      </c>
      <c r="D25" s="160">
        <v>2100000</v>
      </c>
      <c r="E25" s="21" t="s">
        <v>479</v>
      </c>
      <c r="F25" s="21" t="s">
        <v>480</v>
      </c>
      <c r="G25" s="8" t="str">
        <f t="shared" si="0"/>
        <v>ISHMAEL JOSEPH</v>
      </c>
    </row>
    <row r="26" spans="1:7" x14ac:dyDescent="0.25">
      <c r="A26" s="8">
        <v>42739.216504629629</v>
      </c>
      <c r="B26" s="21" t="s">
        <v>320</v>
      </c>
      <c r="C26" s="21" t="s">
        <v>497</v>
      </c>
      <c r="D26" s="160">
        <v>940000</v>
      </c>
      <c r="E26" s="21" t="s">
        <v>486</v>
      </c>
      <c r="F26" s="21" t="s">
        <v>487</v>
      </c>
      <c r="G26" s="8" t="str">
        <f t="shared" si="0"/>
        <v>BONDS REYNALDO</v>
      </c>
    </row>
    <row r="27" spans="1:7" x14ac:dyDescent="0.25">
      <c r="A27" s="8">
        <v>42739.217349537037</v>
      </c>
      <c r="B27" s="21" t="s">
        <v>320</v>
      </c>
      <c r="C27" s="21" t="s">
        <v>497</v>
      </c>
      <c r="D27" s="160">
        <v>940000</v>
      </c>
      <c r="E27" s="21" t="s">
        <v>486</v>
      </c>
      <c r="F27" s="21" t="s">
        <v>487</v>
      </c>
      <c r="G27" s="8" t="str">
        <f t="shared" si="0"/>
        <v>BONDS REYNALDO</v>
      </c>
    </row>
    <row r="28" spans="1:7" x14ac:dyDescent="0.25">
      <c r="A28" s="8">
        <v>42739.218275462961</v>
      </c>
      <c r="B28" s="21" t="s">
        <v>320</v>
      </c>
      <c r="C28" s="21" t="s">
        <v>497</v>
      </c>
      <c r="D28" s="160">
        <v>940000</v>
      </c>
      <c r="E28" s="21" t="s">
        <v>486</v>
      </c>
      <c r="F28" s="21" t="s">
        <v>487</v>
      </c>
      <c r="G28" s="8" t="str">
        <f t="shared" si="0"/>
        <v>BONDS REYNALDO</v>
      </c>
    </row>
    <row r="29" spans="1:7" x14ac:dyDescent="0.25">
      <c r="A29" s="8">
        <v>42739.227268518516</v>
      </c>
      <c r="B29" s="21" t="s">
        <v>268</v>
      </c>
      <c r="C29" s="21" t="s">
        <v>498</v>
      </c>
      <c r="D29" s="160">
        <v>1340000</v>
      </c>
      <c r="E29" s="21" t="s">
        <v>499</v>
      </c>
      <c r="F29" s="21" t="s">
        <v>500</v>
      </c>
      <c r="G29" s="8" t="str">
        <f t="shared" si="0"/>
        <v>BEAM ROSS</v>
      </c>
    </row>
    <row r="30" spans="1:7" x14ac:dyDescent="0.25">
      <c r="A30" s="8">
        <v>42739.229548611111</v>
      </c>
      <c r="B30" s="21" t="s">
        <v>337</v>
      </c>
      <c r="C30" s="21" t="s">
        <v>501</v>
      </c>
      <c r="D30" s="160">
        <v>1830000</v>
      </c>
      <c r="E30" s="21" t="s">
        <v>322</v>
      </c>
      <c r="F30" s="21" t="s">
        <v>323</v>
      </c>
      <c r="G30" s="8" t="str">
        <f t="shared" si="0"/>
        <v>YORK EDGAR</v>
      </c>
    </row>
    <row r="31" spans="1:7" x14ac:dyDescent="0.25">
      <c r="A31" s="8">
        <v>42739.231388888889</v>
      </c>
      <c r="B31" s="21" t="s">
        <v>228</v>
      </c>
      <c r="C31" s="21" t="s">
        <v>502</v>
      </c>
      <c r="D31" s="160">
        <v>2010000</v>
      </c>
      <c r="E31" s="21" t="s">
        <v>313</v>
      </c>
      <c r="F31" s="21" t="s">
        <v>314</v>
      </c>
      <c r="G31" s="8" t="str">
        <f t="shared" si="0"/>
        <v>MAELZER KURT</v>
      </c>
    </row>
    <row r="32" spans="1:7" x14ac:dyDescent="0.25">
      <c r="A32" s="8">
        <v>42739.232361111113</v>
      </c>
      <c r="B32" s="21" t="s">
        <v>228</v>
      </c>
      <c r="C32" s="21" t="s">
        <v>502</v>
      </c>
      <c r="D32" s="160">
        <v>2010000</v>
      </c>
      <c r="E32" s="21" t="s">
        <v>313</v>
      </c>
      <c r="F32" s="21" t="s">
        <v>314</v>
      </c>
      <c r="G32" s="8" t="str">
        <f t="shared" si="0"/>
        <v>MAELZER KURT</v>
      </c>
    </row>
    <row r="33" spans="1:7" x14ac:dyDescent="0.25">
      <c r="A33" s="8">
        <v>42739.232754629629</v>
      </c>
      <c r="B33" s="21" t="s">
        <v>384</v>
      </c>
      <c r="C33" s="21" t="s">
        <v>503</v>
      </c>
      <c r="D33" s="160">
        <v>2110000</v>
      </c>
      <c r="E33" s="21" t="s">
        <v>270</v>
      </c>
      <c r="F33" s="21" t="s">
        <v>271</v>
      </c>
      <c r="G33" s="8" t="str">
        <f t="shared" si="0"/>
        <v>OUN ZACK</v>
      </c>
    </row>
    <row r="34" spans="1:7" x14ac:dyDescent="0.25">
      <c r="A34" s="8">
        <v>42739.24591435185</v>
      </c>
      <c r="B34" s="21" t="s">
        <v>336</v>
      </c>
      <c r="C34" s="21" t="s">
        <v>504</v>
      </c>
      <c r="D34" s="160">
        <v>2730000</v>
      </c>
      <c r="E34" s="21" t="s">
        <v>505</v>
      </c>
      <c r="F34" s="21" t="s">
        <v>506</v>
      </c>
      <c r="G34" s="8" t="str">
        <f t="shared" si="0"/>
        <v>YANG JAN</v>
      </c>
    </row>
    <row r="35" spans="1:7" x14ac:dyDescent="0.25">
      <c r="A35" s="8">
        <v>42739.248738425929</v>
      </c>
      <c r="B35" s="21" t="s">
        <v>237</v>
      </c>
      <c r="C35" s="21" t="s">
        <v>507</v>
      </c>
      <c r="D35" s="160">
        <v>2670000</v>
      </c>
      <c r="E35" s="21" t="s">
        <v>354</v>
      </c>
      <c r="F35" s="21" t="s">
        <v>355</v>
      </c>
      <c r="G35" s="8" t="str">
        <f t="shared" si="0"/>
        <v>COMELLA JUSTIN</v>
      </c>
    </row>
    <row r="36" spans="1:7" x14ac:dyDescent="0.25">
      <c r="A36" s="8">
        <v>42739.249988425923</v>
      </c>
      <c r="B36" s="21" t="s">
        <v>208</v>
      </c>
      <c r="C36" s="21" t="s">
        <v>508</v>
      </c>
      <c r="D36" s="160">
        <v>890000</v>
      </c>
      <c r="E36" s="21" t="s">
        <v>388</v>
      </c>
      <c r="F36" s="21" t="s">
        <v>389</v>
      </c>
      <c r="G36" s="8" t="str">
        <f t="shared" si="0"/>
        <v>LOZA FIDEL</v>
      </c>
    </row>
    <row r="37" spans="1:7" x14ac:dyDescent="0.25">
      <c r="A37" s="8">
        <v>42739.251168981478</v>
      </c>
      <c r="B37" s="21" t="s">
        <v>257</v>
      </c>
      <c r="C37" s="21" t="s">
        <v>509</v>
      </c>
      <c r="D37" s="160">
        <v>2100000</v>
      </c>
      <c r="E37" s="21" t="s">
        <v>479</v>
      </c>
      <c r="F37" s="21" t="s">
        <v>480</v>
      </c>
      <c r="G37" s="8" t="str">
        <f t="shared" si="0"/>
        <v>ISHMAEL JOSEPH</v>
      </c>
    </row>
    <row r="38" spans="1:7" x14ac:dyDescent="0.25">
      <c r="A38" s="8">
        <v>42739.251712962963</v>
      </c>
      <c r="B38" s="21" t="s">
        <v>208</v>
      </c>
      <c r="C38" s="21" t="s">
        <v>508</v>
      </c>
      <c r="D38" s="160">
        <v>890000</v>
      </c>
      <c r="E38" s="21" t="s">
        <v>388</v>
      </c>
      <c r="F38" s="21" t="s">
        <v>389</v>
      </c>
      <c r="G38" s="8" t="str">
        <f t="shared" si="0"/>
        <v>LOZA FIDEL</v>
      </c>
    </row>
    <row r="39" spans="1:7" x14ac:dyDescent="0.25">
      <c r="A39" s="8">
        <v>42739.25335648148</v>
      </c>
      <c r="B39" s="21" t="s">
        <v>208</v>
      </c>
      <c r="C39" s="21" t="s">
        <v>508</v>
      </c>
      <c r="D39" s="160">
        <v>890000</v>
      </c>
      <c r="E39" s="21" t="s">
        <v>388</v>
      </c>
      <c r="F39" s="21" t="s">
        <v>389</v>
      </c>
      <c r="G39" s="8" t="str">
        <f t="shared" si="0"/>
        <v>LOZA FIDEL</v>
      </c>
    </row>
    <row r="40" spans="1:7" x14ac:dyDescent="0.25">
      <c r="A40" s="8">
        <v>42739.255127314813</v>
      </c>
      <c r="B40" s="26" t="s">
        <v>335</v>
      </c>
      <c r="C40" s="21" t="s">
        <v>448</v>
      </c>
      <c r="D40" s="160">
        <v>1830000</v>
      </c>
      <c r="E40" s="21" t="s">
        <v>322</v>
      </c>
      <c r="F40" s="21" t="s">
        <v>323</v>
      </c>
      <c r="G40" s="8" t="str">
        <f t="shared" si="0"/>
        <v>YORK EDGAR</v>
      </c>
    </row>
    <row r="41" spans="1:7" x14ac:dyDescent="0.25">
      <c r="A41" s="8">
        <v>42739.257071759261</v>
      </c>
      <c r="B41" s="21" t="s">
        <v>321</v>
      </c>
      <c r="C41" s="21" t="s">
        <v>449</v>
      </c>
      <c r="D41" s="160">
        <v>940000</v>
      </c>
      <c r="E41" s="21" t="s">
        <v>486</v>
      </c>
      <c r="F41" s="21" t="s">
        <v>487</v>
      </c>
      <c r="G41" s="8" t="str">
        <f t="shared" si="0"/>
        <v>BONDS REYNALDO</v>
      </c>
    </row>
    <row r="42" spans="1:7" x14ac:dyDescent="0.25">
      <c r="A42" s="8">
        <v>42739.263993055552</v>
      </c>
      <c r="B42" s="21" t="s">
        <v>202</v>
      </c>
      <c r="C42" s="21" t="s">
        <v>510</v>
      </c>
      <c r="D42" s="160">
        <v>890000</v>
      </c>
      <c r="E42" s="21" t="s">
        <v>388</v>
      </c>
      <c r="F42" s="21" t="s">
        <v>389</v>
      </c>
      <c r="G42" s="8" t="str">
        <f t="shared" si="0"/>
        <v>LOZA FIDEL</v>
      </c>
    </row>
    <row r="43" spans="1:7" x14ac:dyDescent="0.25">
      <c r="A43" s="8">
        <v>42739.266041666669</v>
      </c>
      <c r="B43" s="21" t="s">
        <v>269</v>
      </c>
      <c r="C43" s="21" t="s">
        <v>511</v>
      </c>
      <c r="D43" s="160">
        <v>1340000</v>
      </c>
      <c r="E43" s="21" t="s">
        <v>499</v>
      </c>
      <c r="F43" s="21" t="s">
        <v>500</v>
      </c>
      <c r="G43" s="8" t="str">
        <f t="shared" si="0"/>
        <v>BEAM ROSS</v>
      </c>
    </row>
    <row r="44" spans="1:7" x14ac:dyDescent="0.25">
      <c r="A44" s="8">
        <v>42739.267199074071</v>
      </c>
      <c r="B44" s="21" t="s">
        <v>183</v>
      </c>
      <c r="C44" s="21" t="s">
        <v>512</v>
      </c>
      <c r="D44" s="160">
        <v>2110000</v>
      </c>
      <c r="E44" s="21" t="s">
        <v>270</v>
      </c>
      <c r="F44" s="21" t="s">
        <v>271</v>
      </c>
      <c r="G44" s="8" t="str">
        <f t="shared" si="0"/>
        <v>OUN ZACK</v>
      </c>
    </row>
    <row r="45" spans="1:7" x14ac:dyDescent="0.25">
      <c r="A45" s="8">
        <v>42739.270636574074</v>
      </c>
      <c r="B45" s="21" t="s">
        <v>337</v>
      </c>
      <c r="C45" s="21" t="s">
        <v>513</v>
      </c>
      <c r="D45" s="160">
        <v>1830000</v>
      </c>
      <c r="E45" s="21" t="s">
        <v>322</v>
      </c>
      <c r="F45" s="21" t="s">
        <v>323</v>
      </c>
      <c r="G45" s="8" t="str">
        <f t="shared" si="0"/>
        <v>YORK EDGAR</v>
      </c>
    </row>
    <row r="46" spans="1:7" x14ac:dyDescent="0.25">
      <c r="A46" s="8">
        <v>42739.277222222219</v>
      </c>
      <c r="B46" s="21" t="s">
        <v>212</v>
      </c>
      <c r="C46" s="21" t="s">
        <v>514</v>
      </c>
      <c r="D46" s="160">
        <v>2730000</v>
      </c>
      <c r="E46" s="21" t="s">
        <v>505</v>
      </c>
      <c r="F46" s="21" t="s">
        <v>506</v>
      </c>
      <c r="G46" s="8" t="str">
        <f t="shared" si="0"/>
        <v>YANG JAN</v>
      </c>
    </row>
    <row r="47" spans="1:7" x14ac:dyDescent="0.25">
      <c r="A47" s="8">
        <v>42739.277627314812</v>
      </c>
      <c r="B47" s="21" t="s">
        <v>208</v>
      </c>
      <c r="C47" s="21" t="s">
        <v>515</v>
      </c>
      <c r="D47" s="160">
        <v>890000</v>
      </c>
      <c r="E47" s="21" t="s">
        <v>388</v>
      </c>
      <c r="F47" s="21" t="s">
        <v>389</v>
      </c>
      <c r="G47" s="8" t="str">
        <f t="shared" si="0"/>
        <v>LOZA FIDEL</v>
      </c>
    </row>
    <row r="48" spans="1:7" x14ac:dyDescent="0.25">
      <c r="A48" s="8">
        <v>42739.278078703705</v>
      </c>
      <c r="B48" s="21" t="s">
        <v>312</v>
      </c>
      <c r="C48" s="21" t="s">
        <v>516</v>
      </c>
      <c r="D48" s="160">
        <v>2010000</v>
      </c>
      <c r="E48" s="21" t="s">
        <v>313</v>
      </c>
      <c r="F48" s="21" t="s">
        <v>314</v>
      </c>
      <c r="G48" s="8" t="str">
        <f t="shared" si="0"/>
        <v>MAELZER KURT</v>
      </c>
    </row>
    <row r="49" spans="1:7" x14ac:dyDescent="0.25">
      <c r="A49" s="8">
        <v>42739.285162037035</v>
      </c>
      <c r="B49" s="21" t="s">
        <v>356</v>
      </c>
      <c r="C49" s="21" t="s">
        <v>517</v>
      </c>
      <c r="D49" s="160">
        <v>2670000</v>
      </c>
      <c r="E49" s="21" t="s">
        <v>354</v>
      </c>
      <c r="F49" s="21" t="s">
        <v>355</v>
      </c>
      <c r="G49" s="8" t="str">
        <f t="shared" si="0"/>
        <v>COMELLA JUSTIN</v>
      </c>
    </row>
    <row r="50" spans="1:7" x14ac:dyDescent="0.25">
      <c r="A50" s="8">
        <v>42739.289131944446</v>
      </c>
      <c r="B50" s="21" t="s">
        <v>258</v>
      </c>
      <c r="C50" s="21" t="s">
        <v>518</v>
      </c>
      <c r="D50" s="160">
        <v>2100000</v>
      </c>
      <c r="E50" s="21" t="s">
        <v>479</v>
      </c>
      <c r="F50" s="21" t="s">
        <v>480</v>
      </c>
      <c r="G50" s="8" t="str">
        <f t="shared" si="0"/>
        <v>ISHMAEL JOSEPH</v>
      </c>
    </row>
    <row r="51" spans="1:7" x14ac:dyDescent="0.25">
      <c r="A51" s="8">
        <v>42739.294756944444</v>
      </c>
      <c r="B51" s="21" t="s">
        <v>320</v>
      </c>
      <c r="C51" s="21" t="s">
        <v>519</v>
      </c>
      <c r="D51" s="160">
        <v>940000</v>
      </c>
      <c r="E51" s="21" t="s">
        <v>486</v>
      </c>
      <c r="F51" s="21" t="s">
        <v>487</v>
      </c>
      <c r="G51" s="8" t="str">
        <f t="shared" si="0"/>
        <v>BONDS REYNALDO</v>
      </c>
    </row>
    <row r="52" spans="1:7" x14ac:dyDescent="0.25">
      <c r="A52" s="8">
        <v>42739.296273148146</v>
      </c>
      <c r="B52" s="21" t="s">
        <v>335</v>
      </c>
      <c r="C52" s="21" t="s">
        <v>520</v>
      </c>
      <c r="D52" s="160">
        <v>1830000</v>
      </c>
      <c r="E52" s="21" t="s">
        <v>322</v>
      </c>
      <c r="F52" s="21" t="s">
        <v>323</v>
      </c>
      <c r="G52" s="8" t="str">
        <f t="shared" si="0"/>
        <v>YORK EDGAR</v>
      </c>
    </row>
    <row r="53" spans="1:7" x14ac:dyDescent="0.25">
      <c r="A53" s="8">
        <v>42739.298796296294</v>
      </c>
      <c r="B53" s="21" t="s">
        <v>268</v>
      </c>
      <c r="C53" s="21" t="s">
        <v>521</v>
      </c>
      <c r="D53" s="160">
        <v>1340000</v>
      </c>
      <c r="E53" s="21" t="s">
        <v>499</v>
      </c>
      <c r="F53" s="21" t="s">
        <v>500</v>
      </c>
      <c r="G53" s="8" t="str">
        <f t="shared" si="0"/>
        <v>BEAM ROSS</v>
      </c>
    </row>
    <row r="54" spans="1:7" x14ac:dyDescent="0.25">
      <c r="A54" s="8">
        <v>42739.300243055557</v>
      </c>
      <c r="B54" s="21" t="s">
        <v>202</v>
      </c>
      <c r="C54" s="21" t="s">
        <v>522</v>
      </c>
      <c r="D54" s="160">
        <v>890000</v>
      </c>
      <c r="E54" s="21" t="s">
        <v>388</v>
      </c>
      <c r="F54" s="21" t="s">
        <v>389</v>
      </c>
      <c r="G54" s="8" t="str">
        <f t="shared" si="0"/>
        <v>LOZA FIDEL</v>
      </c>
    </row>
    <row r="55" spans="1:7" x14ac:dyDescent="0.25">
      <c r="A55" s="8">
        <v>42739.305185185185</v>
      </c>
      <c r="B55" s="21" t="s">
        <v>384</v>
      </c>
      <c r="C55" s="21" t="s">
        <v>523</v>
      </c>
      <c r="D55" s="160">
        <v>2110000</v>
      </c>
      <c r="E55" s="21" t="s">
        <v>270</v>
      </c>
      <c r="F55" s="21" t="s">
        <v>271</v>
      </c>
      <c r="G55" s="8" t="str">
        <f t="shared" si="0"/>
        <v>OUN ZACK</v>
      </c>
    </row>
    <row r="56" spans="1:7" x14ac:dyDescent="0.25">
      <c r="A56" s="8">
        <v>42739.309398148151</v>
      </c>
      <c r="B56" s="21" t="s">
        <v>228</v>
      </c>
      <c r="C56" s="21" t="s">
        <v>524</v>
      </c>
      <c r="D56" s="160">
        <v>2010000</v>
      </c>
      <c r="E56" s="21" t="s">
        <v>313</v>
      </c>
      <c r="F56" s="21" t="s">
        <v>314</v>
      </c>
      <c r="G56" s="8" t="str">
        <f t="shared" si="0"/>
        <v>MAELZER KURT</v>
      </c>
    </row>
    <row r="57" spans="1:7" x14ac:dyDescent="0.25">
      <c r="A57" s="8">
        <v>42739.312175925923</v>
      </c>
      <c r="B57" s="21" t="s">
        <v>336</v>
      </c>
      <c r="C57" s="21" t="s">
        <v>525</v>
      </c>
      <c r="D57" s="160">
        <v>2730000</v>
      </c>
      <c r="E57" s="21" t="s">
        <v>505</v>
      </c>
      <c r="F57" s="21" t="s">
        <v>506</v>
      </c>
      <c r="G57" s="8" t="str">
        <f t="shared" si="0"/>
        <v>YANG JAN</v>
      </c>
    </row>
    <row r="58" spans="1:7" x14ac:dyDescent="0.25">
      <c r="A58" s="8">
        <v>42739.312893518516</v>
      </c>
      <c r="B58" s="21" t="s">
        <v>337</v>
      </c>
      <c r="C58" s="21" t="s">
        <v>526</v>
      </c>
      <c r="D58" s="160">
        <v>1830000</v>
      </c>
      <c r="E58" s="21" t="s">
        <v>322</v>
      </c>
      <c r="F58" s="21" t="s">
        <v>323</v>
      </c>
      <c r="G58" s="8" t="str">
        <f t="shared" si="0"/>
        <v>YORK EDGAR</v>
      </c>
    </row>
    <row r="59" spans="1:7" x14ac:dyDescent="0.25">
      <c r="A59" s="8">
        <v>42739.317812499998</v>
      </c>
      <c r="B59" s="21" t="s">
        <v>208</v>
      </c>
      <c r="C59" s="21" t="s">
        <v>527</v>
      </c>
      <c r="D59" s="160">
        <v>890000</v>
      </c>
      <c r="E59" s="21" t="s">
        <v>388</v>
      </c>
      <c r="F59" s="21" t="s">
        <v>389</v>
      </c>
      <c r="G59" s="8" t="str">
        <f t="shared" si="0"/>
        <v>LOZA FIDEL</v>
      </c>
    </row>
    <row r="60" spans="1:7" x14ac:dyDescent="0.25">
      <c r="A60" s="8">
        <v>42739.320104166669</v>
      </c>
      <c r="B60" s="21" t="s">
        <v>237</v>
      </c>
      <c r="C60" s="21" t="s">
        <v>450</v>
      </c>
      <c r="D60" s="160">
        <v>2670000</v>
      </c>
      <c r="E60" s="21" t="s">
        <v>354</v>
      </c>
      <c r="F60" s="21" t="s">
        <v>355</v>
      </c>
      <c r="G60" s="8" t="str">
        <f t="shared" si="0"/>
        <v>COMELLA JUSTIN</v>
      </c>
    </row>
    <row r="61" spans="1:7" x14ac:dyDescent="0.25">
      <c r="A61" s="8">
        <v>42739.321550925924</v>
      </c>
      <c r="B61" s="21" t="s">
        <v>257</v>
      </c>
      <c r="C61" s="21" t="s">
        <v>528</v>
      </c>
      <c r="D61" s="160">
        <v>2100000</v>
      </c>
      <c r="E61" s="21" t="s">
        <v>479</v>
      </c>
      <c r="F61" s="21" t="s">
        <v>480</v>
      </c>
      <c r="G61" s="8" t="str">
        <f t="shared" si="0"/>
        <v>ISHMAEL JOSEPH</v>
      </c>
    </row>
    <row r="62" spans="1:7" x14ac:dyDescent="0.25">
      <c r="A62" s="8">
        <v>42739.329895833333</v>
      </c>
      <c r="B62" s="21" t="s">
        <v>321</v>
      </c>
      <c r="C62" s="21" t="s">
        <v>529</v>
      </c>
      <c r="D62" s="160">
        <v>940000</v>
      </c>
      <c r="E62" s="21" t="s">
        <v>486</v>
      </c>
      <c r="F62" s="21" t="s">
        <v>487</v>
      </c>
      <c r="G62" s="8" t="str">
        <f t="shared" si="0"/>
        <v>BONDS REYNALDO</v>
      </c>
    </row>
    <row r="63" spans="1:7" x14ac:dyDescent="0.25">
      <c r="A63" s="8">
        <v>42739.336631944447</v>
      </c>
      <c r="B63" s="21" t="s">
        <v>269</v>
      </c>
      <c r="C63" s="21" t="s">
        <v>451</v>
      </c>
      <c r="D63" s="160">
        <v>1340000</v>
      </c>
      <c r="E63" s="21" t="s">
        <v>499</v>
      </c>
      <c r="F63" s="21" t="s">
        <v>500</v>
      </c>
      <c r="G63" s="8" t="str">
        <f t="shared" si="0"/>
        <v>BEAM ROSS</v>
      </c>
    </row>
    <row r="64" spans="1:7" x14ac:dyDescent="0.25">
      <c r="A64" s="27">
        <v>42739.337824074071</v>
      </c>
      <c r="B64" s="21" t="s">
        <v>335</v>
      </c>
      <c r="C64" s="21" t="s">
        <v>530</v>
      </c>
      <c r="D64" s="160">
        <v>1830000</v>
      </c>
      <c r="E64" s="21" t="s">
        <v>322</v>
      </c>
      <c r="F64" s="21" t="s">
        <v>323</v>
      </c>
      <c r="G64" s="8" t="str">
        <f t="shared" si="0"/>
        <v>YORK EDGAR</v>
      </c>
    </row>
    <row r="65" spans="1:7" x14ac:dyDescent="0.25">
      <c r="A65" s="8">
        <v>42739.33902777778</v>
      </c>
      <c r="B65" s="21" t="s">
        <v>183</v>
      </c>
      <c r="C65" s="21" t="s">
        <v>531</v>
      </c>
      <c r="D65" s="160">
        <v>2110000</v>
      </c>
      <c r="E65" s="21" t="s">
        <v>270</v>
      </c>
      <c r="F65" s="21" t="s">
        <v>271</v>
      </c>
      <c r="G65" s="8" t="str">
        <f t="shared" si="0"/>
        <v>OUN ZACK</v>
      </c>
    </row>
    <row r="66" spans="1:7" x14ac:dyDescent="0.25">
      <c r="A66" s="8">
        <v>42739.344131944446</v>
      </c>
      <c r="B66" s="21" t="s">
        <v>202</v>
      </c>
      <c r="C66" s="21" t="s">
        <v>532</v>
      </c>
      <c r="D66" s="160">
        <v>890000</v>
      </c>
      <c r="E66" s="21" t="s">
        <v>388</v>
      </c>
      <c r="F66" s="21" t="s">
        <v>389</v>
      </c>
      <c r="G66" s="8" t="str">
        <f t="shared" si="0"/>
        <v>LOZA FIDEL</v>
      </c>
    </row>
    <row r="67" spans="1:7" x14ac:dyDescent="0.25">
      <c r="A67" s="8">
        <v>42739.347291666665</v>
      </c>
      <c r="B67" s="21" t="s">
        <v>312</v>
      </c>
      <c r="C67" s="21" t="s">
        <v>533</v>
      </c>
      <c r="D67" s="160">
        <v>2010000</v>
      </c>
      <c r="E67" s="21" t="s">
        <v>313</v>
      </c>
      <c r="F67" s="21" t="s">
        <v>314</v>
      </c>
      <c r="G67" s="8" t="str">
        <f t="shared" ref="G67:G130" si="1">E67&amp;" "&amp;F67</f>
        <v>MAELZER KURT</v>
      </c>
    </row>
    <row r="68" spans="1:7" x14ac:dyDescent="0.25">
      <c r="A68" s="8">
        <v>42739.352280092593</v>
      </c>
      <c r="B68" s="21" t="s">
        <v>337</v>
      </c>
      <c r="C68" s="21" t="s">
        <v>534</v>
      </c>
      <c r="D68" s="160">
        <v>1830000</v>
      </c>
      <c r="E68" s="21" t="s">
        <v>322</v>
      </c>
      <c r="F68" s="21" t="s">
        <v>323</v>
      </c>
      <c r="G68" s="8" t="str">
        <f t="shared" si="1"/>
        <v>YORK EDGAR</v>
      </c>
    </row>
    <row r="69" spans="1:7" x14ac:dyDescent="0.25">
      <c r="A69" s="8">
        <v>42739.352743055555</v>
      </c>
      <c r="B69" s="21" t="s">
        <v>212</v>
      </c>
      <c r="C69" s="21" t="s">
        <v>535</v>
      </c>
      <c r="D69" s="160">
        <v>2730000</v>
      </c>
      <c r="E69" s="21" t="s">
        <v>505</v>
      </c>
      <c r="F69" s="21" t="s">
        <v>506</v>
      </c>
      <c r="G69" s="8" t="str">
        <f t="shared" si="1"/>
        <v>YANG JAN</v>
      </c>
    </row>
    <row r="70" spans="1:7" x14ac:dyDescent="0.25">
      <c r="A70" s="8">
        <v>42739.354942129627</v>
      </c>
      <c r="B70" s="21" t="s">
        <v>356</v>
      </c>
      <c r="C70" s="21" t="s">
        <v>536</v>
      </c>
      <c r="D70" s="160">
        <v>2670000</v>
      </c>
      <c r="E70" s="21" t="s">
        <v>354</v>
      </c>
      <c r="F70" s="21" t="s">
        <v>355</v>
      </c>
      <c r="G70" s="8" t="str">
        <f t="shared" si="1"/>
        <v>COMELLA JUSTIN</v>
      </c>
    </row>
    <row r="71" spans="1:7" x14ac:dyDescent="0.25">
      <c r="A71" s="8">
        <v>42739.36042824074</v>
      </c>
      <c r="B71" s="21" t="s">
        <v>208</v>
      </c>
      <c r="C71" s="21" t="s">
        <v>537</v>
      </c>
      <c r="D71" s="160">
        <v>890000</v>
      </c>
      <c r="E71" s="21" t="s">
        <v>388</v>
      </c>
      <c r="F71" s="21" t="s">
        <v>389</v>
      </c>
      <c r="G71" s="8" t="str">
        <f t="shared" si="1"/>
        <v>LOZA FIDEL</v>
      </c>
    </row>
    <row r="72" spans="1:7" x14ac:dyDescent="0.25">
      <c r="A72" s="8">
        <v>42739.361944444441</v>
      </c>
      <c r="B72" s="21" t="s">
        <v>258</v>
      </c>
      <c r="C72" s="21" t="s">
        <v>538</v>
      </c>
      <c r="D72" s="160">
        <v>2100000</v>
      </c>
      <c r="E72" s="21" t="s">
        <v>479</v>
      </c>
      <c r="F72" s="21" t="s">
        <v>480</v>
      </c>
      <c r="G72" s="8" t="str">
        <f t="shared" si="1"/>
        <v>ISHMAEL JOSEPH</v>
      </c>
    </row>
    <row r="73" spans="1:7" x14ac:dyDescent="0.25">
      <c r="A73" s="8">
        <v>42739.369571759256</v>
      </c>
      <c r="B73" s="21" t="s">
        <v>320</v>
      </c>
      <c r="C73" s="21" t="s">
        <v>539</v>
      </c>
      <c r="D73" s="160">
        <v>940000</v>
      </c>
      <c r="E73" s="21" t="s">
        <v>486</v>
      </c>
      <c r="F73" s="21" t="s">
        <v>487</v>
      </c>
      <c r="G73" s="8" t="str">
        <f t="shared" si="1"/>
        <v>BONDS REYNALDO</v>
      </c>
    </row>
    <row r="74" spans="1:7" x14ac:dyDescent="0.25">
      <c r="A74" s="8">
        <v>42739.371851851851</v>
      </c>
      <c r="B74" s="21" t="s">
        <v>268</v>
      </c>
      <c r="C74" s="21" t="s">
        <v>540</v>
      </c>
      <c r="D74" s="160">
        <v>1340000</v>
      </c>
      <c r="E74" s="21" t="s">
        <v>499</v>
      </c>
      <c r="F74" s="21" t="s">
        <v>500</v>
      </c>
      <c r="G74" s="8" t="str">
        <f t="shared" si="1"/>
        <v>BEAM ROSS</v>
      </c>
    </row>
    <row r="75" spans="1:7" x14ac:dyDescent="0.25">
      <c r="A75" s="8">
        <v>42739.379004629627</v>
      </c>
      <c r="B75" s="21" t="s">
        <v>384</v>
      </c>
      <c r="C75" s="21" t="s">
        <v>541</v>
      </c>
      <c r="D75" s="160">
        <v>2110000</v>
      </c>
      <c r="E75" s="21" t="s">
        <v>270</v>
      </c>
      <c r="F75" s="21" t="s">
        <v>271</v>
      </c>
      <c r="G75" s="8" t="str">
        <f t="shared" si="1"/>
        <v>OUN ZACK</v>
      </c>
    </row>
    <row r="76" spans="1:7" x14ac:dyDescent="0.25">
      <c r="A76" s="8">
        <v>42739.381863425922</v>
      </c>
      <c r="B76" s="21" t="s">
        <v>228</v>
      </c>
      <c r="C76" s="21" t="s">
        <v>453</v>
      </c>
      <c r="D76" s="160">
        <v>2010000</v>
      </c>
      <c r="E76" s="21" t="s">
        <v>313</v>
      </c>
      <c r="F76" s="21" t="s">
        <v>314</v>
      </c>
      <c r="G76" s="8" t="str">
        <f t="shared" si="1"/>
        <v>MAELZER KURT</v>
      </c>
    </row>
    <row r="77" spans="1:7" x14ac:dyDescent="0.25">
      <c r="A77" s="8">
        <v>42739.387060185189</v>
      </c>
      <c r="B77" s="21" t="s">
        <v>202</v>
      </c>
      <c r="C77" s="21" t="s">
        <v>542</v>
      </c>
      <c r="D77" s="160">
        <v>890000</v>
      </c>
      <c r="E77" s="21" t="s">
        <v>388</v>
      </c>
      <c r="F77" s="21" t="s">
        <v>389</v>
      </c>
      <c r="G77" s="8" t="str">
        <f t="shared" si="1"/>
        <v>LOZA FIDEL</v>
      </c>
    </row>
    <row r="78" spans="1:7" x14ac:dyDescent="0.25">
      <c r="A78" s="8">
        <v>42739.392430555556</v>
      </c>
      <c r="B78" s="21" t="s">
        <v>336</v>
      </c>
      <c r="C78" s="21" t="s">
        <v>543</v>
      </c>
      <c r="D78" s="160">
        <v>2730000</v>
      </c>
      <c r="E78" s="21" t="s">
        <v>505</v>
      </c>
      <c r="F78" s="21" t="s">
        <v>506</v>
      </c>
      <c r="G78" s="8" t="str">
        <f t="shared" si="1"/>
        <v>YANG JAN</v>
      </c>
    </row>
    <row r="79" spans="1:7" x14ac:dyDescent="0.25">
      <c r="A79" s="8">
        <v>42739.393888888888</v>
      </c>
      <c r="B79" s="21" t="s">
        <v>237</v>
      </c>
      <c r="C79" s="21" t="s">
        <v>452</v>
      </c>
      <c r="D79" s="160">
        <v>2670000</v>
      </c>
      <c r="E79" s="21" t="s">
        <v>354</v>
      </c>
      <c r="F79" s="21" t="s">
        <v>355</v>
      </c>
      <c r="G79" s="8" t="str">
        <f t="shared" si="1"/>
        <v>COMELLA JUSTIN</v>
      </c>
    </row>
    <row r="80" spans="1:7" x14ac:dyDescent="0.25">
      <c r="A80" s="8">
        <v>42739.396550925929</v>
      </c>
      <c r="B80" s="21" t="s">
        <v>257</v>
      </c>
      <c r="C80" s="21" t="s">
        <v>454</v>
      </c>
      <c r="D80" s="160">
        <v>2100000</v>
      </c>
      <c r="E80" s="21" t="s">
        <v>479</v>
      </c>
      <c r="F80" s="21" t="s">
        <v>480</v>
      </c>
      <c r="G80" s="8" t="str">
        <f t="shared" si="1"/>
        <v>ISHMAEL JOSEPH</v>
      </c>
    </row>
    <row r="81" spans="1:7" x14ac:dyDescent="0.25">
      <c r="A81" s="8">
        <v>42739.402337962965</v>
      </c>
      <c r="B81" s="21" t="s">
        <v>321</v>
      </c>
      <c r="C81" s="21" t="s">
        <v>544</v>
      </c>
      <c r="D81" s="160">
        <v>940000</v>
      </c>
      <c r="E81" s="21" t="s">
        <v>486</v>
      </c>
      <c r="F81" s="21" t="s">
        <v>487</v>
      </c>
      <c r="G81" s="8" t="str">
        <f t="shared" si="1"/>
        <v>BONDS REYNALDO</v>
      </c>
    </row>
    <row r="82" spans="1:7" x14ac:dyDescent="0.25">
      <c r="A82" s="8">
        <v>42739.40252314815</v>
      </c>
      <c r="B82" s="21" t="s">
        <v>208</v>
      </c>
      <c r="C82" s="21" t="s">
        <v>545</v>
      </c>
      <c r="D82" s="160">
        <v>890000</v>
      </c>
      <c r="E82" s="21" t="s">
        <v>388</v>
      </c>
      <c r="F82" s="21" t="s">
        <v>389</v>
      </c>
      <c r="G82" s="8" t="str">
        <f t="shared" si="1"/>
        <v>LOZA FIDEL</v>
      </c>
    </row>
    <row r="83" spans="1:7" x14ac:dyDescent="0.25">
      <c r="A83" s="8">
        <v>42739.403009259258</v>
      </c>
      <c r="B83" s="21" t="s">
        <v>321</v>
      </c>
      <c r="C83" s="21" t="s">
        <v>544</v>
      </c>
      <c r="D83" s="160">
        <v>940000</v>
      </c>
      <c r="E83" s="21" t="s">
        <v>486</v>
      </c>
      <c r="F83" s="21" t="s">
        <v>487</v>
      </c>
      <c r="G83" s="8" t="str">
        <f t="shared" si="1"/>
        <v>BONDS REYNALDO</v>
      </c>
    </row>
    <row r="84" spans="1:7" x14ac:dyDescent="0.25">
      <c r="A84" s="8">
        <v>42739.40797453704</v>
      </c>
      <c r="B84" s="21" t="s">
        <v>269</v>
      </c>
      <c r="C84" s="21" t="s">
        <v>546</v>
      </c>
      <c r="D84" s="160">
        <v>1340000</v>
      </c>
      <c r="E84" s="21" t="s">
        <v>499</v>
      </c>
      <c r="F84" s="21" t="s">
        <v>500</v>
      </c>
      <c r="G84" s="8" t="str">
        <f t="shared" si="1"/>
        <v>BEAM ROSS</v>
      </c>
    </row>
    <row r="85" spans="1:7" x14ac:dyDescent="0.25">
      <c r="A85" s="8">
        <v>42739.411932870367</v>
      </c>
      <c r="B85" s="21" t="s">
        <v>183</v>
      </c>
      <c r="C85" s="21" t="s">
        <v>547</v>
      </c>
      <c r="D85" s="160">
        <v>2110000</v>
      </c>
      <c r="E85" s="21" t="s">
        <v>270</v>
      </c>
      <c r="F85" s="21" t="s">
        <v>271</v>
      </c>
      <c r="G85" s="8" t="str">
        <f t="shared" si="1"/>
        <v>OUN ZACK</v>
      </c>
    </row>
    <row r="86" spans="1:7" x14ac:dyDescent="0.25">
      <c r="A86" s="8">
        <v>42739.419386574074</v>
      </c>
      <c r="B86" s="21" t="s">
        <v>312</v>
      </c>
      <c r="C86" s="21" t="s">
        <v>548</v>
      </c>
      <c r="D86" s="160">
        <v>2010000</v>
      </c>
      <c r="E86" s="21" t="s">
        <v>313</v>
      </c>
      <c r="F86" s="21" t="s">
        <v>314</v>
      </c>
      <c r="G86" s="8" t="str">
        <f t="shared" si="1"/>
        <v>MAELZER KURT</v>
      </c>
    </row>
    <row r="87" spans="1:7" x14ac:dyDescent="0.25">
      <c r="A87" s="8">
        <v>42739.421736111108</v>
      </c>
      <c r="B87" s="21" t="s">
        <v>212</v>
      </c>
      <c r="C87" s="21" t="s">
        <v>549</v>
      </c>
      <c r="D87" s="160">
        <v>2730000</v>
      </c>
      <c r="E87" s="21" t="s">
        <v>505</v>
      </c>
      <c r="F87" s="21" t="s">
        <v>506</v>
      </c>
      <c r="G87" s="8" t="str">
        <f t="shared" si="1"/>
        <v>YANG JAN</v>
      </c>
    </row>
    <row r="88" spans="1:7" x14ac:dyDescent="0.25">
      <c r="A88" s="8">
        <v>42739.426828703705</v>
      </c>
      <c r="B88" s="21" t="s">
        <v>356</v>
      </c>
      <c r="C88" s="21" t="s">
        <v>550</v>
      </c>
      <c r="D88" s="160">
        <v>2670000</v>
      </c>
      <c r="E88" s="21" t="s">
        <v>354</v>
      </c>
      <c r="F88" s="21" t="s">
        <v>355</v>
      </c>
      <c r="G88" s="8" t="str">
        <f t="shared" si="1"/>
        <v>COMELLA JUSTIN</v>
      </c>
    </row>
    <row r="89" spans="1:7" x14ac:dyDescent="0.25">
      <c r="A89" s="8">
        <v>42739.428576388891</v>
      </c>
      <c r="B89" s="21" t="s">
        <v>202</v>
      </c>
      <c r="C89" s="21" t="s">
        <v>551</v>
      </c>
      <c r="D89" s="160">
        <v>890000</v>
      </c>
      <c r="E89" s="21" t="s">
        <v>388</v>
      </c>
      <c r="F89" s="21" t="s">
        <v>389</v>
      </c>
      <c r="G89" s="8" t="str">
        <f t="shared" si="1"/>
        <v>LOZA FIDEL</v>
      </c>
    </row>
    <row r="90" spans="1:7" x14ac:dyDescent="0.25">
      <c r="A90" s="8">
        <v>42739.433344907404</v>
      </c>
      <c r="B90" s="21" t="s">
        <v>258</v>
      </c>
      <c r="C90" s="21" t="s">
        <v>552</v>
      </c>
      <c r="D90" s="160">
        <v>1830000</v>
      </c>
      <c r="E90" s="21" t="s">
        <v>322</v>
      </c>
      <c r="F90" s="21" t="s">
        <v>323</v>
      </c>
      <c r="G90" s="8" t="str">
        <f t="shared" si="1"/>
        <v>YORK EDGAR</v>
      </c>
    </row>
    <row r="91" spans="1:7" x14ac:dyDescent="0.25">
      <c r="A91" s="8">
        <v>42739.434074074074</v>
      </c>
      <c r="B91" s="21" t="s">
        <v>248</v>
      </c>
      <c r="C91" s="21" t="s">
        <v>553</v>
      </c>
      <c r="D91" s="160">
        <v>1780000</v>
      </c>
      <c r="E91" s="21" t="s">
        <v>554</v>
      </c>
      <c r="F91" s="21" t="s">
        <v>555</v>
      </c>
      <c r="G91" s="8" t="str">
        <f t="shared" si="1"/>
        <v>DE LA ROSA ALEX</v>
      </c>
    </row>
    <row r="92" spans="1:7" x14ac:dyDescent="0.25">
      <c r="A92" s="8">
        <v>42739.440428240741</v>
      </c>
      <c r="B92" s="21" t="s">
        <v>320</v>
      </c>
      <c r="C92" s="21" t="s">
        <v>556</v>
      </c>
      <c r="D92" s="160">
        <v>940000</v>
      </c>
      <c r="E92" s="21" t="s">
        <v>486</v>
      </c>
      <c r="F92" s="21" t="s">
        <v>487</v>
      </c>
      <c r="G92" s="8" t="str">
        <f t="shared" si="1"/>
        <v>BONDS REYNALDO</v>
      </c>
    </row>
    <row r="93" spans="1:7" x14ac:dyDescent="0.25">
      <c r="A93" s="8">
        <v>42739.443472222221</v>
      </c>
      <c r="B93" s="21" t="s">
        <v>268</v>
      </c>
      <c r="C93" s="21" t="s">
        <v>557</v>
      </c>
      <c r="D93" s="160">
        <v>1340000</v>
      </c>
      <c r="E93" s="21" t="s">
        <v>499</v>
      </c>
      <c r="F93" s="21" t="s">
        <v>500</v>
      </c>
      <c r="G93" s="8" t="str">
        <f t="shared" si="1"/>
        <v>BEAM ROSS</v>
      </c>
    </row>
    <row r="94" spans="1:7" x14ac:dyDescent="0.25">
      <c r="A94" s="8">
        <v>42739.444097222222</v>
      </c>
      <c r="B94" s="21" t="s">
        <v>208</v>
      </c>
      <c r="C94" s="21" t="s">
        <v>558</v>
      </c>
      <c r="D94" s="160">
        <v>890000</v>
      </c>
      <c r="E94" s="21" t="s">
        <v>388</v>
      </c>
      <c r="F94" s="21" t="s">
        <v>389</v>
      </c>
      <c r="G94" s="8" t="str">
        <f t="shared" si="1"/>
        <v>LOZA FIDEL</v>
      </c>
    </row>
    <row r="95" spans="1:7" x14ac:dyDescent="0.25">
      <c r="A95" s="8">
        <v>42739.451018518521</v>
      </c>
      <c r="B95" s="21" t="s">
        <v>384</v>
      </c>
      <c r="C95" s="21" t="s">
        <v>559</v>
      </c>
      <c r="D95" s="160">
        <v>2110000</v>
      </c>
      <c r="E95" s="21" t="s">
        <v>270</v>
      </c>
      <c r="F95" s="21" t="s">
        <v>271</v>
      </c>
      <c r="G95" s="8" t="str">
        <f t="shared" si="1"/>
        <v>OUN ZACK</v>
      </c>
    </row>
    <row r="96" spans="1:7" x14ac:dyDescent="0.25">
      <c r="A96" s="8">
        <v>42739.453356481485</v>
      </c>
      <c r="B96" s="21" t="s">
        <v>228</v>
      </c>
      <c r="C96" s="21" t="s">
        <v>560</v>
      </c>
      <c r="D96" s="160">
        <v>1760000</v>
      </c>
      <c r="E96" s="21" t="s">
        <v>390</v>
      </c>
      <c r="F96" s="21" t="s">
        <v>391</v>
      </c>
      <c r="G96" s="8" t="str">
        <f t="shared" si="1"/>
        <v>STRICKLAND EVAN</v>
      </c>
    </row>
    <row r="97" spans="1:7" x14ac:dyDescent="0.25">
      <c r="A97" s="8">
        <v>42739.457233796296</v>
      </c>
      <c r="B97" s="21" t="s">
        <v>226</v>
      </c>
      <c r="C97" s="21" t="s">
        <v>561</v>
      </c>
      <c r="D97" s="160">
        <v>1090000</v>
      </c>
      <c r="E97" s="21" t="s">
        <v>324</v>
      </c>
      <c r="F97" s="21" t="s">
        <v>251</v>
      </c>
      <c r="G97" s="8" t="str">
        <f t="shared" si="1"/>
        <v>SPECTOR MICHAEL</v>
      </c>
    </row>
    <row r="98" spans="1:7" x14ac:dyDescent="0.25">
      <c r="A98" s="8">
        <v>42739.459224537037</v>
      </c>
      <c r="B98" s="21" t="s">
        <v>336</v>
      </c>
      <c r="C98" s="21" t="s">
        <v>562</v>
      </c>
      <c r="D98" s="160">
        <v>2730000</v>
      </c>
      <c r="E98" s="21" t="s">
        <v>505</v>
      </c>
      <c r="F98" s="21" t="s">
        <v>506</v>
      </c>
      <c r="G98" s="8" t="str">
        <f t="shared" si="1"/>
        <v>YANG JAN</v>
      </c>
    </row>
    <row r="99" spans="1:7" x14ac:dyDescent="0.25">
      <c r="A99" s="8">
        <v>42739.463287037041</v>
      </c>
      <c r="B99" s="21" t="s">
        <v>257</v>
      </c>
      <c r="C99" s="21" t="s">
        <v>563</v>
      </c>
      <c r="D99" s="160">
        <v>1830000</v>
      </c>
      <c r="E99" s="21" t="s">
        <v>322</v>
      </c>
      <c r="F99" s="21" t="s">
        <v>323</v>
      </c>
      <c r="G99" s="8" t="str">
        <f t="shared" si="1"/>
        <v>YORK EDGAR</v>
      </c>
    </row>
    <row r="100" spans="1:7" x14ac:dyDescent="0.25">
      <c r="A100" s="8">
        <v>42739.466921296298</v>
      </c>
      <c r="B100" s="21" t="s">
        <v>237</v>
      </c>
      <c r="C100" s="21" t="s">
        <v>564</v>
      </c>
      <c r="D100" s="160">
        <v>920000</v>
      </c>
      <c r="E100" s="21" t="s">
        <v>252</v>
      </c>
      <c r="F100" s="21" t="s">
        <v>251</v>
      </c>
      <c r="G100" s="8" t="str">
        <f t="shared" si="1"/>
        <v>DAVIS MICHAEL</v>
      </c>
    </row>
    <row r="101" spans="1:7" x14ac:dyDescent="0.25">
      <c r="A101" s="8">
        <v>42739.471817129626</v>
      </c>
      <c r="B101" s="21" t="s">
        <v>202</v>
      </c>
      <c r="C101" s="21" t="s">
        <v>565</v>
      </c>
      <c r="D101" s="160">
        <v>890000</v>
      </c>
      <c r="E101" s="21" t="s">
        <v>388</v>
      </c>
      <c r="F101" s="21" t="s">
        <v>389</v>
      </c>
      <c r="G101" s="8" t="str">
        <f t="shared" si="1"/>
        <v>LOZA FIDEL</v>
      </c>
    </row>
    <row r="102" spans="1:7" x14ac:dyDescent="0.25">
      <c r="A102" s="8">
        <v>42739.476261574076</v>
      </c>
      <c r="B102" s="21" t="s">
        <v>321</v>
      </c>
      <c r="C102" s="21" t="s">
        <v>566</v>
      </c>
      <c r="D102" s="160">
        <v>1180000</v>
      </c>
      <c r="E102" s="21" t="s">
        <v>363</v>
      </c>
      <c r="F102" s="21" t="s">
        <v>364</v>
      </c>
      <c r="G102" s="8" t="str">
        <f t="shared" si="1"/>
        <v>LEVERE CRAIG</v>
      </c>
    </row>
    <row r="103" spans="1:7" x14ac:dyDescent="0.25">
      <c r="A103" s="8">
        <v>42739.477013888885</v>
      </c>
      <c r="B103" s="21" t="s">
        <v>269</v>
      </c>
      <c r="C103" s="21" t="s">
        <v>567</v>
      </c>
      <c r="D103" s="160">
        <v>1360000</v>
      </c>
      <c r="E103" s="21" t="s">
        <v>394</v>
      </c>
      <c r="F103" s="21" t="s">
        <v>395</v>
      </c>
      <c r="G103" s="8" t="str">
        <f t="shared" si="1"/>
        <v>SANTIZO D. EDY</v>
      </c>
    </row>
    <row r="104" spans="1:7" x14ac:dyDescent="0.25">
      <c r="A104" s="8">
        <v>42739.484675925924</v>
      </c>
      <c r="B104" s="21" t="s">
        <v>208</v>
      </c>
      <c r="C104" s="21" t="s">
        <v>568</v>
      </c>
      <c r="D104" s="160">
        <v>890000</v>
      </c>
      <c r="E104" s="21" t="s">
        <v>388</v>
      </c>
      <c r="F104" s="21" t="s">
        <v>389</v>
      </c>
      <c r="G104" s="8" t="str">
        <f t="shared" si="1"/>
        <v>LOZA FIDEL</v>
      </c>
    </row>
    <row r="105" spans="1:7" x14ac:dyDescent="0.25">
      <c r="A105" s="8">
        <v>42739.486550925925</v>
      </c>
      <c r="B105" s="21" t="s">
        <v>183</v>
      </c>
      <c r="C105" s="21" t="s">
        <v>569</v>
      </c>
      <c r="D105" s="160">
        <v>1540000</v>
      </c>
      <c r="E105" s="21" t="s">
        <v>570</v>
      </c>
      <c r="F105" s="21" t="s">
        <v>571</v>
      </c>
      <c r="G105" s="8" t="str">
        <f t="shared" si="1"/>
        <v>HELVIE ADAM</v>
      </c>
    </row>
    <row r="106" spans="1:7" x14ac:dyDescent="0.25">
      <c r="A106" s="8">
        <v>42739.487557870372</v>
      </c>
      <c r="B106" s="21" t="s">
        <v>312</v>
      </c>
      <c r="C106" s="21" t="s">
        <v>572</v>
      </c>
      <c r="D106" s="160">
        <v>1760000</v>
      </c>
      <c r="E106" s="21" t="s">
        <v>390</v>
      </c>
      <c r="F106" s="21" t="s">
        <v>391</v>
      </c>
      <c r="G106" s="8" t="str">
        <f t="shared" si="1"/>
        <v>STRICKLAND EVAN</v>
      </c>
    </row>
    <row r="107" spans="1:7" x14ac:dyDescent="0.25">
      <c r="A107" s="8">
        <v>42739.49559027778</v>
      </c>
      <c r="B107" s="21" t="s">
        <v>212</v>
      </c>
      <c r="C107" s="21" t="s">
        <v>573</v>
      </c>
      <c r="D107" s="160">
        <v>2250000</v>
      </c>
      <c r="E107" s="21" t="s">
        <v>361</v>
      </c>
      <c r="F107" s="21" t="s">
        <v>362</v>
      </c>
      <c r="G107" s="8" t="str">
        <f t="shared" si="1"/>
        <v>CRAYTON QUNTRELL</v>
      </c>
    </row>
    <row r="108" spans="1:7" x14ac:dyDescent="0.25">
      <c r="A108" s="8">
        <v>42739.504363425927</v>
      </c>
      <c r="B108" s="21" t="s">
        <v>212</v>
      </c>
      <c r="C108" s="21" t="s">
        <v>573</v>
      </c>
      <c r="D108" s="160">
        <v>2250000</v>
      </c>
      <c r="E108" s="21" t="s">
        <v>361</v>
      </c>
      <c r="F108" s="21" t="s">
        <v>362</v>
      </c>
      <c r="G108" s="8" t="str">
        <f t="shared" si="1"/>
        <v>CRAYTON QUNTRELL</v>
      </c>
    </row>
    <row r="109" spans="1:7" x14ac:dyDescent="0.25">
      <c r="A109" s="8">
        <v>42739.504976851851</v>
      </c>
      <c r="B109" s="21" t="s">
        <v>356</v>
      </c>
      <c r="C109" s="21" t="s">
        <v>455</v>
      </c>
      <c r="D109" s="160">
        <v>920000</v>
      </c>
      <c r="E109" s="21" t="s">
        <v>252</v>
      </c>
      <c r="F109" s="21" t="s">
        <v>251</v>
      </c>
      <c r="G109" s="8" t="str">
        <f t="shared" si="1"/>
        <v>DAVIS MICHAEL</v>
      </c>
    </row>
    <row r="110" spans="1:7" x14ac:dyDescent="0.25">
      <c r="A110" s="8">
        <v>42739.506180555552</v>
      </c>
      <c r="B110" s="21" t="s">
        <v>202</v>
      </c>
      <c r="C110" s="21" t="s">
        <v>574</v>
      </c>
      <c r="D110" s="160">
        <v>890000</v>
      </c>
      <c r="E110" s="21" t="s">
        <v>388</v>
      </c>
      <c r="F110" s="21" t="s">
        <v>389</v>
      </c>
      <c r="G110" s="8" t="str">
        <f t="shared" si="1"/>
        <v>LOZA FIDEL</v>
      </c>
    </row>
    <row r="111" spans="1:7" x14ac:dyDescent="0.25">
      <c r="A111" s="8">
        <v>42739.506979166668</v>
      </c>
      <c r="B111" s="21" t="s">
        <v>258</v>
      </c>
      <c r="C111" s="21" t="s">
        <v>575</v>
      </c>
      <c r="D111" s="160">
        <v>1300000</v>
      </c>
      <c r="E111" s="21" t="s">
        <v>113</v>
      </c>
      <c r="F111" s="21" t="s">
        <v>339</v>
      </c>
      <c r="G111" s="8" t="str">
        <f t="shared" si="1"/>
        <v>LEVIN SCOTT</v>
      </c>
    </row>
    <row r="112" spans="1:7" x14ac:dyDescent="0.25">
      <c r="A112" s="8">
        <v>42739.51059027778</v>
      </c>
      <c r="B112" s="21" t="s">
        <v>320</v>
      </c>
      <c r="C112" s="21" t="s">
        <v>576</v>
      </c>
      <c r="D112" s="160">
        <v>1180000</v>
      </c>
      <c r="E112" s="21" t="s">
        <v>363</v>
      </c>
      <c r="F112" s="21" t="s">
        <v>364</v>
      </c>
      <c r="G112" s="8" t="str">
        <f t="shared" si="1"/>
        <v>LEVERE CRAIG</v>
      </c>
    </row>
    <row r="113" spans="1:7" x14ac:dyDescent="0.25">
      <c r="A113" s="8">
        <v>42739.51767361111</v>
      </c>
      <c r="B113" s="21" t="s">
        <v>268</v>
      </c>
      <c r="C113" s="21" t="s">
        <v>577</v>
      </c>
      <c r="D113" s="160">
        <v>1190000</v>
      </c>
      <c r="E113" s="21" t="s">
        <v>396</v>
      </c>
      <c r="F113" s="21" t="s">
        <v>397</v>
      </c>
      <c r="G113" s="8" t="str">
        <f t="shared" si="1"/>
        <v>BRANNON JEFFREY</v>
      </c>
    </row>
    <row r="114" spans="1:7" x14ac:dyDescent="0.25">
      <c r="A114" s="8">
        <v>42739.524907407409</v>
      </c>
      <c r="B114" s="21" t="s">
        <v>384</v>
      </c>
      <c r="C114" s="21" t="s">
        <v>578</v>
      </c>
      <c r="D114" s="160">
        <v>1540000</v>
      </c>
      <c r="E114" s="21" t="s">
        <v>570</v>
      </c>
      <c r="F114" s="21" t="s">
        <v>571</v>
      </c>
      <c r="G114" s="8" t="str">
        <f t="shared" si="1"/>
        <v>HELVIE ADAM</v>
      </c>
    </row>
    <row r="115" spans="1:7" x14ac:dyDescent="0.25">
      <c r="A115" s="8">
        <v>42739.52685185185</v>
      </c>
      <c r="B115" s="21" t="s">
        <v>208</v>
      </c>
      <c r="C115" s="21" t="s">
        <v>579</v>
      </c>
      <c r="D115" s="160">
        <v>890000</v>
      </c>
      <c r="E115" s="21" t="s">
        <v>388</v>
      </c>
      <c r="F115" s="21" t="s">
        <v>389</v>
      </c>
      <c r="G115" s="8" t="str">
        <f t="shared" si="1"/>
        <v>LOZA FIDEL</v>
      </c>
    </row>
    <row r="116" spans="1:7" x14ac:dyDescent="0.25">
      <c r="A116" s="8">
        <v>42739.527233796296</v>
      </c>
      <c r="B116" s="21" t="s">
        <v>228</v>
      </c>
      <c r="C116" s="21" t="s">
        <v>456</v>
      </c>
      <c r="D116" s="160">
        <v>930000</v>
      </c>
      <c r="E116" s="21" t="s">
        <v>359</v>
      </c>
      <c r="F116" s="21" t="s">
        <v>360</v>
      </c>
      <c r="G116" s="8" t="str">
        <f t="shared" si="1"/>
        <v>CLARK KATHLEEN</v>
      </c>
    </row>
    <row r="117" spans="1:7" x14ac:dyDescent="0.25">
      <c r="A117" s="8">
        <v>42739.5309837963</v>
      </c>
      <c r="B117" s="21" t="s">
        <v>336</v>
      </c>
      <c r="C117" s="21" t="s">
        <v>580</v>
      </c>
      <c r="D117" s="160">
        <v>2250000</v>
      </c>
      <c r="E117" s="21" t="s">
        <v>361</v>
      </c>
      <c r="F117" s="21" t="s">
        <v>362</v>
      </c>
      <c r="G117" s="8" t="str">
        <f t="shared" si="1"/>
        <v>CRAYTON QUNTRELL</v>
      </c>
    </row>
    <row r="118" spans="1:7" x14ac:dyDescent="0.25">
      <c r="A118" s="8">
        <v>42739.532696759263</v>
      </c>
      <c r="B118" s="21" t="s">
        <v>336</v>
      </c>
      <c r="C118" s="21" t="s">
        <v>580</v>
      </c>
      <c r="D118" s="160">
        <v>2250000</v>
      </c>
      <c r="E118" s="21" t="s">
        <v>361</v>
      </c>
      <c r="F118" s="21" t="s">
        <v>362</v>
      </c>
      <c r="G118" s="8" t="str">
        <f t="shared" si="1"/>
        <v>CRAYTON QUNTRELL</v>
      </c>
    </row>
    <row r="119" spans="1:7" x14ac:dyDescent="0.25">
      <c r="A119" s="8">
        <v>42739.540694444448</v>
      </c>
      <c r="B119" s="21" t="s">
        <v>237</v>
      </c>
      <c r="C119" s="21" t="s">
        <v>581</v>
      </c>
      <c r="D119" s="160">
        <v>2040000</v>
      </c>
      <c r="E119" s="21" t="s">
        <v>392</v>
      </c>
      <c r="F119" s="21" t="s">
        <v>393</v>
      </c>
      <c r="G119" s="8" t="str">
        <f t="shared" si="1"/>
        <v>MOSES BRADLEY</v>
      </c>
    </row>
    <row r="120" spans="1:7" x14ac:dyDescent="0.25">
      <c r="A120" s="8">
        <v>42739.544664351852</v>
      </c>
      <c r="B120" s="21" t="s">
        <v>257</v>
      </c>
      <c r="C120" s="21" t="s">
        <v>582</v>
      </c>
      <c r="D120" s="160">
        <v>1300000</v>
      </c>
      <c r="E120" s="21" t="s">
        <v>113</v>
      </c>
      <c r="F120" s="21" t="s">
        <v>339</v>
      </c>
      <c r="G120" s="8" t="str">
        <f t="shared" si="1"/>
        <v>LEVIN SCOTT</v>
      </c>
    </row>
    <row r="121" spans="1:7" x14ac:dyDescent="0.25">
      <c r="A121" s="8">
        <v>42739.547476851854</v>
      </c>
      <c r="B121" s="21" t="s">
        <v>269</v>
      </c>
      <c r="C121" s="21" t="s">
        <v>583</v>
      </c>
      <c r="D121" s="160">
        <v>1190000</v>
      </c>
      <c r="E121" s="21" t="s">
        <v>396</v>
      </c>
      <c r="F121" s="21" t="s">
        <v>397</v>
      </c>
      <c r="G121" s="8" t="str">
        <f t="shared" si="1"/>
        <v>BRANNON JEFFREY</v>
      </c>
    </row>
    <row r="122" spans="1:7" x14ac:dyDescent="0.25">
      <c r="A122" s="8">
        <v>42739.548587962963</v>
      </c>
      <c r="B122" s="26" t="s">
        <v>321</v>
      </c>
      <c r="C122" s="21" t="s">
        <v>584</v>
      </c>
      <c r="D122" s="160">
        <v>1180000</v>
      </c>
      <c r="E122" s="21" t="s">
        <v>363</v>
      </c>
      <c r="F122" s="21" t="s">
        <v>364</v>
      </c>
      <c r="G122" s="8" t="str">
        <f t="shared" si="1"/>
        <v>LEVERE CRAIG</v>
      </c>
    </row>
    <row r="123" spans="1:7" x14ac:dyDescent="0.25">
      <c r="A123" s="8">
        <v>42739.551099537035</v>
      </c>
      <c r="B123" s="21" t="s">
        <v>202</v>
      </c>
      <c r="C123" s="21" t="s">
        <v>585</v>
      </c>
      <c r="D123" s="160">
        <v>1770000</v>
      </c>
      <c r="E123" s="21" t="s">
        <v>586</v>
      </c>
      <c r="F123" s="21" t="s">
        <v>587</v>
      </c>
      <c r="G123" s="8" t="str">
        <f t="shared" si="1"/>
        <v>BRUDER RICHARD</v>
      </c>
    </row>
    <row r="124" spans="1:7" x14ac:dyDescent="0.25">
      <c r="A124" s="8">
        <v>42739.559988425928</v>
      </c>
      <c r="B124" s="21" t="s">
        <v>183</v>
      </c>
      <c r="C124" s="21" t="s">
        <v>588</v>
      </c>
      <c r="D124" s="160">
        <v>1540000</v>
      </c>
      <c r="E124" s="21" t="s">
        <v>570</v>
      </c>
      <c r="F124" s="21" t="s">
        <v>571</v>
      </c>
      <c r="G124" s="8" t="str">
        <f t="shared" si="1"/>
        <v>HELVIE ADAM</v>
      </c>
    </row>
    <row r="125" spans="1:7" x14ac:dyDescent="0.25">
      <c r="A125" s="8">
        <v>42739.56759259259</v>
      </c>
      <c r="B125" s="21" t="s">
        <v>312</v>
      </c>
      <c r="C125" s="21" t="s">
        <v>589</v>
      </c>
      <c r="D125" s="160">
        <v>930000</v>
      </c>
      <c r="E125" s="21" t="s">
        <v>359</v>
      </c>
      <c r="F125" s="21" t="s">
        <v>360</v>
      </c>
      <c r="G125" s="8" t="str">
        <f t="shared" si="1"/>
        <v>CLARK KATHLEEN</v>
      </c>
    </row>
    <row r="126" spans="1:7" x14ac:dyDescent="0.25">
      <c r="A126" s="8">
        <v>42739.568831018521</v>
      </c>
      <c r="B126" s="21" t="s">
        <v>208</v>
      </c>
      <c r="C126" s="21" t="s">
        <v>590</v>
      </c>
      <c r="D126" s="160">
        <v>1770000</v>
      </c>
      <c r="E126" s="21" t="s">
        <v>586</v>
      </c>
      <c r="F126" s="21" t="s">
        <v>587</v>
      </c>
      <c r="G126" s="8" t="str">
        <f t="shared" si="1"/>
        <v>BRUDER RICHARD</v>
      </c>
    </row>
    <row r="127" spans="1:7" x14ac:dyDescent="0.25">
      <c r="A127" s="8">
        <v>42739.569444444445</v>
      </c>
      <c r="B127" s="21" t="s">
        <v>212</v>
      </c>
      <c r="C127" s="21" t="s">
        <v>591</v>
      </c>
      <c r="D127" s="160">
        <v>2250000</v>
      </c>
      <c r="E127" s="21" t="s">
        <v>361</v>
      </c>
      <c r="F127" s="21" t="s">
        <v>362</v>
      </c>
      <c r="G127" s="8" t="str">
        <f t="shared" si="1"/>
        <v>CRAYTON QUNTRELL</v>
      </c>
    </row>
    <row r="128" spans="1:7" x14ac:dyDescent="0.25">
      <c r="A128" s="8">
        <v>42739.576527777775</v>
      </c>
      <c r="B128" s="21" t="s">
        <v>356</v>
      </c>
      <c r="C128" s="21" t="s">
        <v>592</v>
      </c>
      <c r="D128" s="160">
        <v>2040000</v>
      </c>
      <c r="E128" s="21" t="s">
        <v>392</v>
      </c>
      <c r="F128" s="21" t="s">
        <v>393</v>
      </c>
      <c r="G128" s="8" t="str">
        <f t="shared" si="1"/>
        <v>MOSES BRADLEY</v>
      </c>
    </row>
    <row r="129" spans="1:7" x14ac:dyDescent="0.25">
      <c r="A129" s="8">
        <v>42739.581192129626</v>
      </c>
      <c r="B129" s="21" t="s">
        <v>258</v>
      </c>
      <c r="C129" s="21" t="s">
        <v>593</v>
      </c>
      <c r="D129" s="160">
        <v>1300000</v>
      </c>
      <c r="E129" s="21" t="s">
        <v>113</v>
      </c>
      <c r="F129" s="21" t="s">
        <v>339</v>
      </c>
      <c r="G129" s="8" t="str">
        <f t="shared" si="1"/>
        <v>LEVIN SCOTT</v>
      </c>
    </row>
    <row r="130" spans="1:7" x14ac:dyDescent="0.25">
      <c r="A130" s="8">
        <v>42739.584849537037</v>
      </c>
      <c r="B130" s="21" t="s">
        <v>320</v>
      </c>
      <c r="C130" s="21" t="s">
        <v>594</v>
      </c>
      <c r="D130" s="160">
        <v>1180000</v>
      </c>
      <c r="E130" s="21" t="s">
        <v>363</v>
      </c>
      <c r="F130" s="21" t="s">
        <v>364</v>
      </c>
      <c r="G130" s="8" t="str">
        <f t="shared" si="1"/>
        <v>LEVERE CRAIG</v>
      </c>
    </row>
    <row r="131" spans="1:7" x14ac:dyDescent="0.25">
      <c r="A131" s="8">
        <v>42739.590578703705</v>
      </c>
      <c r="B131" s="21" t="s">
        <v>268</v>
      </c>
      <c r="C131" s="21" t="s">
        <v>595</v>
      </c>
      <c r="D131" s="160">
        <v>1190000</v>
      </c>
      <c r="E131" s="21" t="s">
        <v>396</v>
      </c>
      <c r="F131" s="21" t="s">
        <v>397</v>
      </c>
      <c r="G131" s="8" t="str">
        <f t="shared" ref="G131:G194" si="2">E131&amp;" "&amp;F131</f>
        <v>BRANNON JEFFREY</v>
      </c>
    </row>
    <row r="132" spans="1:7" x14ac:dyDescent="0.25">
      <c r="A132" s="8">
        <v>42739.592893518522</v>
      </c>
      <c r="B132" s="21" t="s">
        <v>202</v>
      </c>
      <c r="C132" s="21" t="s">
        <v>596</v>
      </c>
      <c r="D132" s="160">
        <v>1770000</v>
      </c>
      <c r="E132" s="21" t="s">
        <v>586</v>
      </c>
      <c r="F132" s="21" t="s">
        <v>587</v>
      </c>
      <c r="G132" s="8" t="str">
        <f t="shared" si="2"/>
        <v>BRUDER RICHARD</v>
      </c>
    </row>
    <row r="133" spans="1:7" x14ac:dyDescent="0.25">
      <c r="A133" s="8">
        <v>42739.597372685188</v>
      </c>
      <c r="B133" s="21" t="s">
        <v>384</v>
      </c>
      <c r="C133" s="21" t="s">
        <v>597</v>
      </c>
      <c r="D133" s="160">
        <v>1540000</v>
      </c>
      <c r="E133" s="21" t="s">
        <v>570</v>
      </c>
      <c r="F133" s="21" t="s">
        <v>571</v>
      </c>
      <c r="G133" s="8" t="str">
        <f t="shared" si="2"/>
        <v>HELVIE ADAM</v>
      </c>
    </row>
    <row r="134" spans="1:7" x14ac:dyDescent="0.25">
      <c r="A134" s="8">
        <v>42739.601944444446</v>
      </c>
      <c r="B134" s="21" t="s">
        <v>228</v>
      </c>
      <c r="C134" s="21" t="s">
        <v>598</v>
      </c>
      <c r="D134" s="160">
        <v>930000</v>
      </c>
      <c r="E134" s="21" t="s">
        <v>359</v>
      </c>
      <c r="F134" s="21" t="s">
        <v>360</v>
      </c>
      <c r="G134" s="8" t="str">
        <f t="shared" si="2"/>
        <v>CLARK KATHLEEN</v>
      </c>
    </row>
    <row r="135" spans="1:7" x14ac:dyDescent="0.25">
      <c r="A135" s="8">
        <v>42739.606516203705</v>
      </c>
      <c r="B135" s="21" t="s">
        <v>336</v>
      </c>
      <c r="C135" s="21" t="s">
        <v>599</v>
      </c>
      <c r="D135" s="160">
        <v>2250000</v>
      </c>
      <c r="E135" s="21" t="s">
        <v>361</v>
      </c>
      <c r="F135" s="21" t="s">
        <v>362</v>
      </c>
      <c r="G135" s="8" t="str">
        <f t="shared" si="2"/>
        <v>CRAYTON QUNTRELL</v>
      </c>
    </row>
    <row r="136" spans="1:7" x14ac:dyDescent="0.25">
      <c r="A136" s="8">
        <v>42739.610775462963</v>
      </c>
      <c r="B136" s="21" t="s">
        <v>208</v>
      </c>
      <c r="C136" s="21" t="s">
        <v>457</v>
      </c>
      <c r="D136" s="160">
        <v>1770000</v>
      </c>
      <c r="E136" s="21" t="s">
        <v>586</v>
      </c>
      <c r="F136" s="21" t="s">
        <v>587</v>
      </c>
      <c r="G136" s="8" t="str">
        <f t="shared" si="2"/>
        <v>BRUDER RICHARD</v>
      </c>
    </row>
    <row r="137" spans="1:7" x14ac:dyDescent="0.25">
      <c r="A137" s="8">
        <v>42739.613680555558</v>
      </c>
      <c r="B137" s="21" t="s">
        <v>237</v>
      </c>
      <c r="C137" s="21" t="s">
        <v>458</v>
      </c>
      <c r="D137" s="160">
        <v>920000</v>
      </c>
      <c r="E137" s="21" t="s">
        <v>252</v>
      </c>
      <c r="F137" s="21" t="s">
        <v>251</v>
      </c>
      <c r="G137" s="8" t="str">
        <f t="shared" si="2"/>
        <v>DAVIS MICHAEL</v>
      </c>
    </row>
    <row r="138" spans="1:7" x14ac:dyDescent="0.25">
      <c r="A138" s="8">
        <v>42739.618263888886</v>
      </c>
      <c r="B138" s="21" t="s">
        <v>257</v>
      </c>
      <c r="C138" s="21" t="s">
        <v>600</v>
      </c>
      <c r="D138" s="160">
        <v>1300000</v>
      </c>
      <c r="E138" s="21" t="s">
        <v>113</v>
      </c>
      <c r="F138" s="21" t="s">
        <v>339</v>
      </c>
      <c r="G138" s="8" t="str">
        <f t="shared" si="2"/>
        <v>LEVIN SCOTT</v>
      </c>
    </row>
    <row r="139" spans="1:7" x14ac:dyDescent="0.25">
      <c r="A139" s="8">
        <v>42739.621539351851</v>
      </c>
      <c r="B139" s="21" t="s">
        <v>321</v>
      </c>
      <c r="C139" s="21" t="s">
        <v>601</v>
      </c>
      <c r="D139" s="160">
        <v>1180000</v>
      </c>
      <c r="E139" s="21" t="s">
        <v>363</v>
      </c>
      <c r="F139" s="21" t="s">
        <v>364</v>
      </c>
      <c r="G139" s="8" t="str">
        <f t="shared" si="2"/>
        <v>LEVERE CRAIG</v>
      </c>
    </row>
    <row r="140" spans="1:7" x14ac:dyDescent="0.25">
      <c r="A140" s="8">
        <v>42739.625567129631</v>
      </c>
      <c r="B140" s="21" t="s">
        <v>269</v>
      </c>
      <c r="C140" s="21" t="s">
        <v>602</v>
      </c>
      <c r="D140" s="160">
        <v>1190000</v>
      </c>
      <c r="E140" s="21" t="s">
        <v>396</v>
      </c>
      <c r="F140" s="21" t="s">
        <v>397</v>
      </c>
      <c r="G140" s="8" t="str">
        <f t="shared" si="2"/>
        <v>BRANNON JEFFREY</v>
      </c>
    </row>
    <row r="141" spans="1:7" x14ac:dyDescent="0.25">
      <c r="A141" s="8">
        <v>42739.631539351853</v>
      </c>
      <c r="B141" s="21" t="s">
        <v>202</v>
      </c>
      <c r="C141" s="21" t="s">
        <v>603</v>
      </c>
      <c r="D141" s="160">
        <v>2040000</v>
      </c>
      <c r="E141" s="21" t="s">
        <v>392</v>
      </c>
      <c r="F141" s="21" t="s">
        <v>393</v>
      </c>
      <c r="G141" s="8" t="str">
        <f t="shared" si="2"/>
        <v>MOSES BRADLEY</v>
      </c>
    </row>
    <row r="142" spans="1:7" x14ac:dyDescent="0.25">
      <c r="A142" s="8">
        <v>42739.632314814815</v>
      </c>
      <c r="B142" s="21" t="s">
        <v>183</v>
      </c>
      <c r="C142" s="21" t="s">
        <v>604</v>
      </c>
      <c r="D142" s="160">
        <v>1540000</v>
      </c>
      <c r="E142" s="21" t="s">
        <v>570</v>
      </c>
      <c r="F142" s="21" t="s">
        <v>571</v>
      </c>
      <c r="G142" s="8" t="str">
        <f t="shared" si="2"/>
        <v>HELVIE ADAM</v>
      </c>
    </row>
    <row r="143" spans="1:7" x14ac:dyDescent="0.25">
      <c r="A143" s="8">
        <v>42739.637858796297</v>
      </c>
      <c r="B143" s="21" t="s">
        <v>312</v>
      </c>
      <c r="C143" s="21" t="s">
        <v>605</v>
      </c>
      <c r="D143" s="160">
        <v>930000</v>
      </c>
      <c r="E143" s="21" t="s">
        <v>359</v>
      </c>
      <c r="F143" s="21" t="s">
        <v>360</v>
      </c>
      <c r="G143" s="8" t="str">
        <f t="shared" si="2"/>
        <v>CLARK KATHLEEN</v>
      </c>
    </row>
    <row r="144" spans="1:7" x14ac:dyDescent="0.25">
      <c r="A144" s="8">
        <v>42739.642962962964</v>
      </c>
      <c r="B144" s="21" t="s">
        <v>212</v>
      </c>
      <c r="C144" s="21" t="s">
        <v>606</v>
      </c>
      <c r="D144" s="160">
        <v>2250000</v>
      </c>
      <c r="E144" s="21" t="s">
        <v>361</v>
      </c>
      <c r="F144" s="21" t="s">
        <v>362</v>
      </c>
      <c r="G144" s="8" t="str">
        <f t="shared" si="2"/>
        <v>CRAYTON QUNTRELL</v>
      </c>
    </row>
    <row r="145" spans="1:7" x14ac:dyDescent="0.25">
      <c r="A145" s="8">
        <v>42739.645624999997</v>
      </c>
      <c r="B145" s="21" t="s">
        <v>335</v>
      </c>
      <c r="C145" s="21" t="s">
        <v>607</v>
      </c>
      <c r="D145" s="160">
        <v>1800000</v>
      </c>
      <c r="E145" s="21" t="s">
        <v>231</v>
      </c>
      <c r="F145" s="21" t="s">
        <v>245</v>
      </c>
      <c r="G145" s="8" t="str">
        <f t="shared" si="2"/>
        <v>CHANDLER KELVIN</v>
      </c>
    </row>
    <row r="146" spans="1:7" x14ac:dyDescent="0.25">
      <c r="A146" s="8">
        <v>42739.651828703703</v>
      </c>
      <c r="B146" s="21" t="s">
        <v>356</v>
      </c>
      <c r="C146" s="21" t="s">
        <v>608</v>
      </c>
      <c r="D146" s="160">
        <v>920000</v>
      </c>
      <c r="E146" s="21" t="s">
        <v>252</v>
      </c>
      <c r="F146" s="21" t="s">
        <v>251</v>
      </c>
      <c r="G146" s="8" t="str">
        <f t="shared" si="2"/>
        <v>DAVIS MICHAEL</v>
      </c>
    </row>
    <row r="147" spans="1:7" x14ac:dyDescent="0.25">
      <c r="A147" s="8">
        <v>42739.652106481481</v>
      </c>
      <c r="B147" s="21" t="s">
        <v>208</v>
      </c>
      <c r="C147" s="21" t="s">
        <v>460</v>
      </c>
      <c r="D147" s="160">
        <v>2040000</v>
      </c>
      <c r="E147" s="21" t="s">
        <v>392</v>
      </c>
      <c r="F147" s="21" t="s">
        <v>393</v>
      </c>
      <c r="G147" s="8" t="str">
        <f t="shared" si="2"/>
        <v>MOSES BRADLEY</v>
      </c>
    </row>
    <row r="148" spans="1:7" x14ac:dyDescent="0.25">
      <c r="A148" s="8">
        <v>42739.653344907405</v>
      </c>
      <c r="B148" s="21" t="s">
        <v>258</v>
      </c>
      <c r="C148" s="21" t="s">
        <v>459</v>
      </c>
      <c r="D148" s="160">
        <v>1300000</v>
      </c>
      <c r="E148" s="21" t="s">
        <v>113</v>
      </c>
      <c r="F148" s="21" t="s">
        <v>339</v>
      </c>
      <c r="G148" s="8" t="str">
        <f t="shared" si="2"/>
        <v>LEVIN SCOTT</v>
      </c>
    </row>
    <row r="149" spans="1:7" x14ac:dyDescent="0.25">
      <c r="A149" s="8">
        <v>42739.65792824074</v>
      </c>
      <c r="B149" s="21" t="s">
        <v>320</v>
      </c>
      <c r="C149" s="21" t="s">
        <v>609</v>
      </c>
      <c r="D149" s="160">
        <v>1180000</v>
      </c>
      <c r="E149" s="21" t="s">
        <v>363</v>
      </c>
      <c r="F149" s="21" t="s">
        <v>364</v>
      </c>
      <c r="G149" s="8" t="str">
        <f t="shared" si="2"/>
        <v>LEVERE CRAIG</v>
      </c>
    </row>
    <row r="150" spans="1:7" x14ac:dyDescent="0.25">
      <c r="A150" s="8">
        <v>42739.659513888888</v>
      </c>
      <c r="B150" s="21" t="s">
        <v>337</v>
      </c>
      <c r="C150" s="21" t="s">
        <v>610</v>
      </c>
      <c r="D150" s="160">
        <v>1800000</v>
      </c>
      <c r="E150" s="21" t="s">
        <v>231</v>
      </c>
      <c r="F150" s="21" t="s">
        <v>245</v>
      </c>
      <c r="G150" s="8" t="str">
        <f t="shared" si="2"/>
        <v>CHANDLER KELVIN</v>
      </c>
    </row>
    <row r="151" spans="1:7" x14ac:dyDescent="0.25">
      <c r="A151" s="8">
        <v>42739.663541666669</v>
      </c>
      <c r="B151" s="21" t="s">
        <v>268</v>
      </c>
      <c r="C151" s="21" t="s">
        <v>611</v>
      </c>
      <c r="D151" s="160">
        <v>1190000</v>
      </c>
      <c r="E151" s="21" t="s">
        <v>396</v>
      </c>
      <c r="F151" s="21" t="s">
        <v>397</v>
      </c>
      <c r="G151" s="8" t="str">
        <f t="shared" si="2"/>
        <v>BRANNON JEFFREY</v>
      </c>
    </row>
    <row r="152" spans="1:7" x14ac:dyDescent="0.25">
      <c r="A152" s="8">
        <v>42739.671817129631</v>
      </c>
      <c r="B152" s="21" t="s">
        <v>384</v>
      </c>
      <c r="C152" s="21" t="s">
        <v>612</v>
      </c>
      <c r="D152" s="160">
        <v>1540000</v>
      </c>
      <c r="E152" s="21" t="s">
        <v>570</v>
      </c>
      <c r="F152" s="21" t="s">
        <v>571</v>
      </c>
      <c r="G152" s="8" t="str">
        <f t="shared" si="2"/>
        <v>HELVIE ADAM</v>
      </c>
    </row>
    <row r="153" spans="1:7" x14ac:dyDescent="0.25">
      <c r="A153" s="8">
        <v>42739.673657407409</v>
      </c>
      <c r="B153" s="21" t="s">
        <v>335</v>
      </c>
      <c r="C153" s="21" t="s">
        <v>613</v>
      </c>
      <c r="D153" s="160">
        <v>1800000</v>
      </c>
      <c r="E153" s="21" t="s">
        <v>231</v>
      </c>
      <c r="F153" s="21" t="s">
        <v>245</v>
      </c>
      <c r="G153" s="8" t="str">
        <f t="shared" si="2"/>
        <v>CHANDLER KELVIN</v>
      </c>
    </row>
    <row r="154" spans="1:7" x14ac:dyDescent="0.25">
      <c r="A154" s="8">
        <v>42739.675636574073</v>
      </c>
      <c r="B154" s="21" t="s">
        <v>228</v>
      </c>
      <c r="C154" s="21" t="s">
        <v>614</v>
      </c>
      <c r="D154" s="160">
        <v>930000</v>
      </c>
      <c r="E154" s="21" t="s">
        <v>359</v>
      </c>
      <c r="F154" s="21" t="s">
        <v>360</v>
      </c>
      <c r="G154" s="8" t="str">
        <f t="shared" si="2"/>
        <v>CLARK KATHLEEN</v>
      </c>
    </row>
    <row r="155" spans="1:7" x14ac:dyDescent="0.25">
      <c r="A155" s="8">
        <v>42739.677511574075</v>
      </c>
      <c r="B155" s="21" t="s">
        <v>202</v>
      </c>
      <c r="C155" s="21" t="s">
        <v>615</v>
      </c>
      <c r="D155" s="160">
        <v>1770000</v>
      </c>
      <c r="E155" s="21" t="s">
        <v>586</v>
      </c>
      <c r="F155" s="21" t="s">
        <v>587</v>
      </c>
      <c r="G155" s="8" t="str">
        <f t="shared" si="2"/>
        <v>BRUDER RICHARD</v>
      </c>
    </row>
    <row r="156" spans="1:7" x14ac:dyDescent="0.25">
      <c r="A156" s="8">
        <v>42739.679456018515</v>
      </c>
      <c r="B156" s="21" t="s">
        <v>336</v>
      </c>
      <c r="C156" s="21" t="s">
        <v>616</v>
      </c>
      <c r="D156" s="160">
        <v>2250000</v>
      </c>
      <c r="E156" s="21" t="s">
        <v>361</v>
      </c>
      <c r="F156" s="21" t="s">
        <v>362</v>
      </c>
      <c r="G156" s="8" t="str">
        <f t="shared" si="2"/>
        <v>CRAYTON QUNTRELL</v>
      </c>
    </row>
    <row r="157" spans="1:7" x14ac:dyDescent="0.25">
      <c r="A157" s="8">
        <v>42739.686539351853</v>
      </c>
      <c r="B157" s="21" t="s">
        <v>237</v>
      </c>
      <c r="C157" s="21" t="s">
        <v>617</v>
      </c>
      <c r="D157" s="160">
        <v>920000</v>
      </c>
      <c r="E157" s="21" t="s">
        <v>252</v>
      </c>
      <c r="F157" s="21" t="s">
        <v>251</v>
      </c>
      <c r="G157" s="8" t="str">
        <f t="shared" si="2"/>
        <v>DAVIS MICHAEL</v>
      </c>
    </row>
    <row r="158" spans="1:7" x14ac:dyDescent="0.25">
      <c r="A158" s="8">
        <v>42739.690578703703</v>
      </c>
      <c r="B158" s="21" t="s">
        <v>257</v>
      </c>
      <c r="C158" s="21" t="s">
        <v>461</v>
      </c>
      <c r="D158" s="160">
        <v>1300000</v>
      </c>
      <c r="E158" s="21" t="s">
        <v>113</v>
      </c>
      <c r="F158" s="21" t="s">
        <v>339</v>
      </c>
      <c r="G158" s="8" t="str">
        <f t="shared" si="2"/>
        <v>LEVIN SCOTT</v>
      </c>
    </row>
    <row r="159" spans="1:7" x14ac:dyDescent="0.25">
      <c r="A159" s="8">
        <v>42739.694062499999</v>
      </c>
      <c r="B159" s="21" t="s">
        <v>269</v>
      </c>
      <c r="C159" s="21" t="s">
        <v>618</v>
      </c>
      <c r="D159" s="160">
        <v>1190000</v>
      </c>
      <c r="E159" s="21" t="s">
        <v>396</v>
      </c>
      <c r="F159" s="21" t="s">
        <v>397</v>
      </c>
      <c r="G159" s="8" t="str">
        <f t="shared" si="2"/>
        <v>BRANNON JEFFREY</v>
      </c>
    </row>
    <row r="160" spans="1:7" x14ac:dyDescent="0.25">
      <c r="A160" s="8">
        <v>42739.694386574076</v>
      </c>
      <c r="B160" s="21" t="s">
        <v>208</v>
      </c>
      <c r="C160" s="21" t="s">
        <v>619</v>
      </c>
      <c r="D160" s="160">
        <v>1770000</v>
      </c>
      <c r="E160" s="21" t="s">
        <v>586</v>
      </c>
      <c r="F160" s="21" t="s">
        <v>587</v>
      </c>
      <c r="G160" s="8" t="str">
        <f t="shared" si="2"/>
        <v>BRUDER RICHARD</v>
      </c>
    </row>
    <row r="161" spans="1:7" x14ac:dyDescent="0.25">
      <c r="A161" s="8">
        <v>42739.695868055554</v>
      </c>
      <c r="B161" s="21" t="s">
        <v>321</v>
      </c>
      <c r="C161" s="21" t="s">
        <v>620</v>
      </c>
      <c r="D161" s="160">
        <v>1180000</v>
      </c>
      <c r="E161" s="21" t="s">
        <v>363</v>
      </c>
      <c r="F161" s="21" t="s">
        <v>364</v>
      </c>
      <c r="G161" s="8" t="str">
        <f t="shared" si="2"/>
        <v>LEVERE CRAIG</v>
      </c>
    </row>
    <row r="162" spans="1:7" x14ac:dyDescent="0.25">
      <c r="A162" s="8">
        <v>42739.699178240742</v>
      </c>
      <c r="B162" s="21" t="s">
        <v>337</v>
      </c>
      <c r="C162" s="21" t="s">
        <v>621</v>
      </c>
      <c r="D162" s="160">
        <v>1800000</v>
      </c>
      <c r="E162" s="21" t="s">
        <v>231</v>
      </c>
      <c r="F162" s="21" t="s">
        <v>245</v>
      </c>
      <c r="G162" s="8" t="str">
        <f t="shared" si="2"/>
        <v>CHANDLER KELVIN</v>
      </c>
    </row>
    <row r="163" spans="1:7" x14ac:dyDescent="0.25">
      <c r="A163" s="8">
        <v>42739.705138888887</v>
      </c>
      <c r="B163" s="21" t="s">
        <v>183</v>
      </c>
      <c r="C163" s="21" t="s">
        <v>622</v>
      </c>
      <c r="D163" s="160">
        <v>1540000</v>
      </c>
      <c r="E163" s="21" t="s">
        <v>570</v>
      </c>
      <c r="F163" s="21" t="s">
        <v>571</v>
      </c>
      <c r="G163" s="8" t="str">
        <f t="shared" si="2"/>
        <v>HELVIE ADAM</v>
      </c>
    </row>
    <row r="164" spans="1:7" x14ac:dyDescent="0.25">
      <c r="A164" s="8">
        <v>42739.7108912037</v>
      </c>
      <c r="B164" s="21" t="s">
        <v>312</v>
      </c>
      <c r="C164" s="21" t="s">
        <v>623</v>
      </c>
      <c r="D164" s="160">
        <v>930000</v>
      </c>
      <c r="E164" s="21" t="s">
        <v>359</v>
      </c>
      <c r="F164" s="21" t="s">
        <v>360</v>
      </c>
      <c r="G164" s="8" t="str">
        <f t="shared" si="2"/>
        <v>CLARK KATHLEEN</v>
      </c>
    </row>
    <row r="165" spans="1:7" x14ac:dyDescent="0.25">
      <c r="A165" s="8">
        <v>42739.714143518519</v>
      </c>
      <c r="B165" s="21" t="s">
        <v>202</v>
      </c>
      <c r="C165" s="21" t="s">
        <v>624</v>
      </c>
      <c r="D165" s="160">
        <v>1770000</v>
      </c>
      <c r="E165" s="21" t="s">
        <v>586</v>
      </c>
      <c r="F165" s="21" t="s">
        <v>587</v>
      </c>
      <c r="G165" s="8" t="str">
        <f t="shared" si="2"/>
        <v>BRUDER RICHARD</v>
      </c>
    </row>
    <row r="166" spans="1:7" x14ac:dyDescent="0.25">
      <c r="A166" s="8">
        <v>42739.715104166666</v>
      </c>
      <c r="B166" s="21" t="s">
        <v>210</v>
      </c>
      <c r="C166" s="21" t="s">
        <v>625</v>
      </c>
      <c r="D166" s="160">
        <v>2220000</v>
      </c>
      <c r="E166" s="21" t="s">
        <v>291</v>
      </c>
      <c r="F166" s="21" t="s">
        <v>292</v>
      </c>
      <c r="G166" s="8" t="str">
        <f t="shared" si="2"/>
        <v>HILLS DUSTIN</v>
      </c>
    </row>
    <row r="167" spans="1:7" x14ac:dyDescent="0.25">
      <c r="A167" s="8">
        <v>42739.715462962966</v>
      </c>
      <c r="B167" s="21" t="s">
        <v>335</v>
      </c>
      <c r="C167" s="21" t="s">
        <v>626</v>
      </c>
      <c r="D167" s="160">
        <v>1800000</v>
      </c>
      <c r="E167" s="21" t="s">
        <v>231</v>
      </c>
      <c r="F167" s="21" t="s">
        <v>245</v>
      </c>
      <c r="G167" s="8" t="str">
        <f t="shared" si="2"/>
        <v>CHANDLER KELVIN</v>
      </c>
    </row>
    <row r="168" spans="1:7" x14ac:dyDescent="0.25">
      <c r="A168" s="8">
        <v>42739.718668981484</v>
      </c>
      <c r="B168" s="21" t="s">
        <v>212</v>
      </c>
      <c r="C168" s="21" t="s">
        <v>463</v>
      </c>
      <c r="D168" s="160">
        <v>2090000</v>
      </c>
      <c r="E168" s="21" t="s">
        <v>627</v>
      </c>
      <c r="F168" s="21" t="s">
        <v>251</v>
      </c>
      <c r="G168" s="8" t="str">
        <f t="shared" si="2"/>
        <v>HAITHCOX MICHAEL</v>
      </c>
    </row>
    <row r="169" spans="1:7" x14ac:dyDescent="0.25">
      <c r="A169" s="8">
        <v>42739.723634259259</v>
      </c>
      <c r="B169" s="21" t="s">
        <v>356</v>
      </c>
      <c r="C169" s="21" t="s">
        <v>464</v>
      </c>
      <c r="D169" s="160">
        <v>920000</v>
      </c>
      <c r="E169" s="21" t="s">
        <v>252</v>
      </c>
      <c r="F169" s="21" t="s">
        <v>251</v>
      </c>
      <c r="G169" s="8" t="str">
        <f t="shared" si="2"/>
        <v>DAVIS MICHAEL</v>
      </c>
    </row>
    <row r="170" spans="1:7" x14ac:dyDescent="0.25">
      <c r="A170" s="8">
        <v>42739.726087962961</v>
      </c>
      <c r="B170" s="21" t="s">
        <v>248</v>
      </c>
      <c r="C170" s="21" t="s">
        <v>462</v>
      </c>
      <c r="D170" s="160">
        <v>1740000</v>
      </c>
      <c r="E170" s="21" t="s">
        <v>365</v>
      </c>
      <c r="F170" s="21" t="s">
        <v>366</v>
      </c>
      <c r="G170" s="8" t="str">
        <f t="shared" si="2"/>
        <v>STORY SAMANTHA</v>
      </c>
    </row>
    <row r="171" spans="1:7" x14ac:dyDescent="0.25">
      <c r="A171" s="8">
        <v>42739.727349537039</v>
      </c>
      <c r="B171" s="21" t="s">
        <v>258</v>
      </c>
      <c r="C171" s="21" t="s">
        <v>628</v>
      </c>
      <c r="D171" s="160">
        <v>2250000</v>
      </c>
      <c r="E171" s="21" t="s">
        <v>361</v>
      </c>
      <c r="F171" s="21" t="s">
        <v>362</v>
      </c>
      <c r="G171" s="8" t="str">
        <f t="shared" si="2"/>
        <v>CRAYTON QUNTRELL</v>
      </c>
    </row>
    <row r="172" spans="1:7" x14ac:dyDescent="0.25">
      <c r="A172" s="8">
        <v>42739.728136574071</v>
      </c>
      <c r="B172" s="21" t="s">
        <v>223</v>
      </c>
      <c r="C172" s="21" t="s">
        <v>629</v>
      </c>
      <c r="D172" s="160">
        <v>1780000</v>
      </c>
      <c r="E172" s="21" t="s">
        <v>554</v>
      </c>
      <c r="F172" s="21" t="s">
        <v>555</v>
      </c>
      <c r="G172" s="8" t="str">
        <f t="shared" si="2"/>
        <v>DE LA ROSA ALEX</v>
      </c>
    </row>
    <row r="173" spans="1:7" x14ac:dyDescent="0.25">
      <c r="A173" s="8">
        <v>42739.730879629627</v>
      </c>
      <c r="B173" s="21" t="s">
        <v>320</v>
      </c>
      <c r="C173" s="21" t="s">
        <v>630</v>
      </c>
      <c r="D173" s="160">
        <v>1180000</v>
      </c>
      <c r="E173" s="21" t="s">
        <v>363</v>
      </c>
      <c r="F173" s="21" t="s">
        <v>364</v>
      </c>
      <c r="G173" s="8" t="str">
        <f t="shared" si="2"/>
        <v>LEVERE CRAIG</v>
      </c>
    </row>
    <row r="174" spans="1:7" x14ac:dyDescent="0.25">
      <c r="A174" s="8">
        <v>42739.735567129632</v>
      </c>
      <c r="B174" s="21" t="s">
        <v>208</v>
      </c>
      <c r="C174" s="21" t="s">
        <v>631</v>
      </c>
      <c r="D174" s="160">
        <v>1770000</v>
      </c>
      <c r="E174" s="21" t="s">
        <v>586</v>
      </c>
      <c r="F174" s="21" t="s">
        <v>587</v>
      </c>
      <c r="G174" s="8" t="str">
        <f t="shared" si="2"/>
        <v>BRUDER RICHARD</v>
      </c>
    </row>
    <row r="175" spans="1:7" x14ac:dyDescent="0.25">
      <c r="A175" s="8">
        <v>42739.738715277781</v>
      </c>
      <c r="B175" s="21" t="s">
        <v>268</v>
      </c>
      <c r="C175" s="21" t="s">
        <v>465</v>
      </c>
      <c r="D175" s="160">
        <v>1740000</v>
      </c>
      <c r="E175" s="21" t="s">
        <v>365</v>
      </c>
      <c r="F175" s="21" t="s">
        <v>366</v>
      </c>
      <c r="G175" s="8" t="str">
        <f t="shared" si="2"/>
        <v>STORY SAMANTHA</v>
      </c>
    </row>
    <row r="176" spans="1:7" x14ac:dyDescent="0.25">
      <c r="A176" s="8">
        <v>42739.741620370369</v>
      </c>
      <c r="B176" s="21" t="s">
        <v>337</v>
      </c>
      <c r="C176" s="21" t="s">
        <v>632</v>
      </c>
      <c r="D176" s="160">
        <v>1800000</v>
      </c>
      <c r="E176" s="21" t="s">
        <v>231</v>
      </c>
      <c r="F176" s="21" t="s">
        <v>245</v>
      </c>
      <c r="G176" s="8" t="str">
        <f t="shared" si="2"/>
        <v>CHANDLER KELVIN</v>
      </c>
    </row>
    <row r="177" spans="1:7" x14ac:dyDescent="0.25">
      <c r="A177" s="8">
        <v>42739.745532407411</v>
      </c>
      <c r="B177" s="21" t="s">
        <v>384</v>
      </c>
      <c r="C177" s="21" t="s">
        <v>633</v>
      </c>
      <c r="D177" s="160">
        <v>1540000</v>
      </c>
      <c r="E177" s="21" t="s">
        <v>570</v>
      </c>
      <c r="F177" s="21" t="s">
        <v>571</v>
      </c>
      <c r="G177" s="8" t="str">
        <f t="shared" si="2"/>
        <v>HELVIE ADAM</v>
      </c>
    </row>
    <row r="178" spans="1:7" x14ac:dyDescent="0.25">
      <c r="A178" s="8">
        <v>42739.748900462961</v>
      </c>
      <c r="B178" s="21" t="s">
        <v>228</v>
      </c>
      <c r="C178" s="21" t="s">
        <v>634</v>
      </c>
      <c r="D178" s="160">
        <v>1190000</v>
      </c>
      <c r="E178" s="21" t="s">
        <v>396</v>
      </c>
      <c r="F178" s="21" t="s">
        <v>397</v>
      </c>
      <c r="G178" s="8" t="str">
        <f t="shared" si="2"/>
        <v>BRANNON JEFFREY</v>
      </c>
    </row>
    <row r="179" spans="1:7" x14ac:dyDescent="0.25">
      <c r="A179" s="8">
        <v>42739.749895833331</v>
      </c>
      <c r="B179" s="21" t="s">
        <v>468</v>
      </c>
      <c r="C179" s="21" t="s">
        <v>635</v>
      </c>
      <c r="D179" s="160">
        <v>2220000</v>
      </c>
      <c r="E179" s="21" t="s">
        <v>291</v>
      </c>
      <c r="F179" s="21" t="s">
        <v>292</v>
      </c>
      <c r="G179" s="8" t="str">
        <f t="shared" si="2"/>
        <v>HILLS DUSTIN</v>
      </c>
    </row>
    <row r="180" spans="1:7" x14ac:dyDescent="0.25">
      <c r="A180" s="8">
        <v>42739.757199074076</v>
      </c>
      <c r="B180" s="21" t="s">
        <v>636</v>
      </c>
      <c r="C180" s="21" t="s">
        <v>637</v>
      </c>
      <c r="D180" s="160">
        <v>1810000</v>
      </c>
      <c r="E180" s="21" t="s">
        <v>263</v>
      </c>
      <c r="F180" s="21" t="s">
        <v>242</v>
      </c>
      <c r="G180" s="8" t="str">
        <f t="shared" si="2"/>
        <v>NEWELL JAMES</v>
      </c>
    </row>
    <row r="181" spans="1:7" x14ac:dyDescent="0.25">
      <c r="A181" s="8">
        <v>42739.757754629631</v>
      </c>
      <c r="B181" s="21" t="s">
        <v>335</v>
      </c>
      <c r="C181" s="21" t="s">
        <v>466</v>
      </c>
      <c r="D181" s="160">
        <v>1800000</v>
      </c>
      <c r="E181" s="21" t="s">
        <v>231</v>
      </c>
      <c r="F181" s="21" t="s">
        <v>245</v>
      </c>
      <c r="G181" s="8" t="str">
        <f t="shared" si="2"/>
        <v>CHANDLER KELVIN</v>
      </c>
    </row>
    <row r="182" spans="1:7" x14ac:dyDescent="0.25">
      <c r="A182" s="8">
        <v>42739.758530092593</v>
      </c>
      <c r="B182" s="21" t="s">
        <v>202</v>
      </c>
      <c r="C182" s="21" t="s">
        <v>638</v>
      </c>
      <c r="D182" s="160">
        <v>1770000</v>
      </c>
      <c r="E182" s="21" t="s">
        <v>586</v>
      </c>
      <c r="F182" s="21" t="s">
        <v>587</v>
      </c>
      <c r="G182" s="8" t="str">
        <f t="shared" si="2"/>
        <v>BRUDER RICHARD</v>
      </c>
    </row>
    <row r="183" spans="1:7" x14ac:dyDescent="0.25">
      <c r="A183" s="8">
        <v>42739.760081018518</v>
      </c>
      <c r="B183" s="21" t="s">
        <v>237</v>
      </c>
      <c r="C183" s="21" t="s">
        <v>639</v>
      </c>
      <c r="D183" s="160">
        <v>2270000</v>
      </c>
      <c r="E183" s="21" t="s">
        <v>293</v>
      </c>
      <c r="F183" s="21" t="s">
        <v>294</v>
      </c>
      <c r="G183" s="8" t="str">
        <f t="shared" si="2"/>
        <v>BROWN JACOB</v>
      </c>
    </row>
    <row r="184" spans="1:7" x14ac:dyDescent="0.25">
      <c r="A184" s="8">
        <v>42739.762546296297</v>
      </c>
      <c r="B184" s="21" t="s">
        <v>352</v>
      </c>
      <c r="C184" s="21" t="s">
        <v>640</v>
      </c>
      <c r="D184" s="160">
        <v>2540000</v>
      </c>
      <c r="E184" s="21" t="s">
        <v>641</v>
      </c>
      <c r="F184" s="21" t="s">
        <v>642</v>
      </c>
      <c r="G184" s="8" t="str">
        <f t="shared" si="2"/>
        <v>MCREYNOLDS KYLE</v>
      </c>
    </row>
    <row r="185" spans="1:7" x14ac:dyDescent="0.25">
      <c r="A185" s="8">
        <v>42739.763310185182</v>
      </c>
      <c r="B185" s="21" t="s">
        <v>257</v>
      </c>
      <c r="C185" s="21" t="s">
        <v>643</v>
      </c>
      <c r="D185" s="160">
        <v>2250000</v>
      </c>
      <c r="E185" s="21" t="s">
        <v>361</v>
      </c>
      <c r="F185" s="21" t="s">
        <v>362</v>
      </c>
      <c r="G185" s="8" t="str">
        <f t="shared" si="2"/>
        <v>CRAYTON QUNTRELL</v>
      </c>
    </row>
    <row r="186" spans="1:7" x14ac:dyDescent="0.25">
      <c r="A186" s="8">
        <v>42739.763541666667</v>
      </c>
      <c r="B186" s="21" t="s">
        <v>226</v>
      </c>
      <c r="C186" s="21" t="s">
        <v>644</v>
      </c>
      <c r="D186" s="160">
        <v>930000</v>
      </c>
      <c r="E186" s="21" t="s">
        <v>359</v>
      </c>
      <c r="F186" s="21" t="s">
        <v>360</v>
      </c>
      <c r="G186" s="8" t="str">
        <f t="shared" si="2"/>
        <v>CLARK KATHLEEN</v>
      </c>
    </row>
    <row r="187" spans="1:7" x14ac:dyDescent="0.25">
      <c r="A187" s="8">
        <v>42739.772048611114</v>
      </c>
      <c r="B187" s="21" t="s">
        <v>321</v>
      </c>
      <c r="C187" s="21" t="s">
        <v>645</v>
      </c>
      <c r="D187" s="160">
        <v>1810000</v>
      </c>
      <c r="E187" s="21" t="s">
        <v>263</v>
      </c>
      <c r="F187" s="21" t="s">
        <v>242</v>
      </c>
      <c r="G187" s="8" t="str">
        <f t="shared" si="2"/>
        <v>NEWELL JAMES</v>
      </c>
    </row>
    <row r="188" spans="1:7" x14ac:dyDescent="0.25">
      <c r="A188" s="8">
        <v>42739.775405092594</v>
      </c>
      <c r="B188" s="21" t="s">
        <v>646</v>
      </c>
      <c r="C188" s="21" t="s">
        <v>647</v>
      </c>
      <c r="D188" s="160">
        <v>1180000</v>
      </c>
      <c r="E188" s="21" t="s">
        <v>363</v>
      </c>
      <c r="F188" s="21" t="s">
        <v>364</v>
      </c>
      <c r="G188" s="8" t="str">
        <f t="shared" si="2"/>
        <v>LEVERE CRAIG</v>
      </c>
    </row>
    <row r="189" spans="1:7" x14ac:dyDescent="0.25">
      <c r="A189" s="8">
        <v>42739.775891203702</v>
      </c>
      <c r="B189" s="21" t="s">
        <v>269</v>
      </c>
      <c r="C189" s="21" t="s">
        <v>648</v>
      </c>
      <c r="D189" s="160">
        <v>1740000</v>
      </c>
      <c r="E189" s="21" t="s">
        <v>365</v>
      </c>
      <c r="F189" s="21" t="s">
        <v>366</v>
      </c>
      <c r="G189" s="8" t="str">
        <f t="shared" si="2"/>
        <v>STORY SAMANTHA</v>
      </c>
    </row>
    <row r="190" spans="1:7" x14ac:dyDescent="0.25">
      <c r="A190" s="8">
        <v>42739.77684027778</v>
      </c>
      <c r="B190" s="21" t="s">
        <v>646</v>
      </c>
      <c r="C190" s="21" t="s">
        <v>647</v>
      </c>
      <c r="D190" s="160">
        <v>1180000</v>
      </c>
      <c r="E190" s="21" t="s">
        <v>363</v>
      </c>
      <c r="F190" s="21" t="s">
        <v>364</v>
      </c>
      <c r="G190" s="8" t="str">
        <f t="shared" si="2"/>
        <v>LEVERE CRAIG</v>
      </c>
    </row>
    <row r="191" spans="1:7" x14ac:dyDescent="0.25">
      <c r="A191" s="8">
        <v>42739.77747685185</v>
      </c>
      <c r="B191" s="21" t="s">
        <v>208</v>
      </c>
      <c r="C191" s="21" t="s">
        <v>649</v>
      </c>
      <c r="D191" s="160">
        <v>1770000</v>
      </c>
      <c r="E191" s="21" t="s">
        <v>586</v>
      </c>
      <c r="F191" s="21" t="s">
        <v>587</v>
      </c>
      <c r="G191" s="8" t="str">
        <f t="shared" si="2"/>
        <v>BRUDER RICHARD</v>
      </c>
    </row>
    <row r="192" spans="1:7" x14ac:dyDescent="0.25">
      <c r="A192" s="8">
        <v>42739.779699074075</v>
      </c>
      <c r="B192" s="21" t="s">
        <v>183</v>
      </c>
      <c r="C192" s="21" t="s">
        <v>650</v>
      </c>
      <c r="D192" s="160">
        <v>1540000</v>
      </c>
      <c r="E192" s="21" t="s">
        <v>570</v>
      </c>
      <c r="F192" s="21" t="s">
        <v>571</v>
      </c>
      <c r="G192" s="8" t="str">
        <f t="shared" si="2"/>
        <v>HELVIE ADAM</v>
      </c>
    </row>
    <row r="193" spans="1:7" x14ac:dyDescent="0.25">
      <c r="A193" s="8">
        <v>42739.781574074077</v>
      </c>
      <c r="B193" s="21" t="s">
        <v>312</v>
      </c>
      <c r="C193" s="21" t="s">
        <v>651</v>
      </c>
      <c r="D193" s="160">
        <v>1190000</v>
      </c>
      <c r="E193" s="21" t="s">
        <v>396</v>
      </c>
      <c r="F193" s="21" t="s">
        <v>397</v>
      </c>
      <c r="G193" s="8" t="str">
        <f t="shared" si="2"/>
        <v>BRANNON JEFFREY</v>
      </c>
    </row>
    <row r="194" spans="1:7" x14ac:dyDescent="0.25">
      <c r="A194" s="8">
        <v>42739.781724537039</v>
      </c>
      <c r="B194" s="21" t="s">
        <v>337</v>
      </c>
      <c r="C194" s="21" t="s">
        <v>467</v>
      </c>
      <c r="D194" s="160">
        <v>1800000</v>
      </c>
      <c r="E194" s="21" t="s">
        <v>231</v>
      </c>
      <c r="F194" s="21" t="s">
        <v>245</v>
      </c>
      <c r="G194" s="8" t="str">
        <f t="shared" si="2"/>
        <v>CHANDLER KELVIN</v>
      </c>
    </row>
    <row r="195" spans="1:7" x14ac:dyDescent="0.25">
      <c r="A195" s="8">
        <v>42739.787731481483</v>
      </c>
      <c r="B195" s="21" t="s">
        <v>312</v>
      </c>
      <c r="C195" s="21" t="s">
        <v>651</v>
      </c>
      <c r="D195" s="160">
        <v>1190000</v>
      </c>
      <c r="E195" s="21" t="s">
        <v>396</v>
      </c>
      <c r="F195" s="21" t="s">
        <v>397</v>
      </c>
      <c r="G195" s="8" t="str">
        <f t="shared" ref="G195:G258" si="3">E195&amp;" "&amp;F195</f>
        <v>BRANNON JEFFREY</v>
      </c>
    </row>
    <row r="196" spans="1:7" x14ac:dyDescent="0.25">
      <c r="A196" s="8">
        <v>42739.788703703707</v>
      </c>
      <c r="B196" s="21" t="s">
        <v>210</v>
      </c>
      <c r="C196" s="21" t="s">
        <v>652</v>
      </c>
      <c r="D196" s="160">
        <v>2220000</v>
      </c>
      <c r="E196" s="21" t="s">
        <v>291</v>
      </c>
      <c r="F196" s="21" t="s">
        <v>292</v>
      </c>
      <c r="G196" s="8" t="str">
        <f t="shared" si="3"/>
        <v>HILLS DUSTIN</v>
      </c>
    </row>
    <row r="197" spans="1:7" x14ac:dyDescent="0.25">
      <c r="A197" s="8">
        <v>42739.791932870372</v>
      </c>
      <c r="B197" s="21" t="s">
        <v>356</v>
      </c>
      <c r="C197" s="21" t="s">
        <v>653</v>
      </c>
      <c r="D197" s="160">
        <v>2270000</v>
      </c>
      <c r="E197" s="21" t="s">
        <v>293</v>
      </c>
      <c r="F197" s="21" t="s">
        <v>294</v>
      </c>
      <c r="G197" s="8" t="str">
        <f t="shared" si="3"/>
        <v>BROWN JACOB</v>
      </c>
    </row>
    <row r="198" spans="1:7" x14ac:dyDescent="0.25">
      <c r="A198" s="8">
        <v>42739.799247685187</v>
      </c>
      <c r="B198" s="21" t="s">
        <v>202</v>
      </c>
      <c r="C198" s="21" t="s">
        <v>654</v>
      </c>
      <c r="D198" s="160">
        <v>1770000</v>
      </c>
      <c r="E198" s="21" t="s">
        <v>586</v>
      </c>
      <c r="F198" s="21" t="s">
        <v>587</v>
      </c>
      <c r="G198" s="8" t="str">
        <f t="shared" si="3"/>
        <v>BRUDER RICHARD</v>
      </c>
    </row>
    <row r="199" spans="1:7" x14ac:dyDescent="0.25">
      <c r="A199" s="8">
        <v>42739.799502314818</v>
      </c>
      <c r="B199" s="21" t="s">
        <v>335</v>
      </c>
      <c r="C199" s="21" t="s">
        <v>655</v>
      </c>
      <c r="D199" s="160">
        <v>1800000</v>
      </c>
      <c r="E199" s="21" t="s">
        <v>231</v>
      </c>
      <c r="F199" s="21" t="s">
        <v>245</v>
      </c>
      <c r="G199" s="8" t="str">
        <f t="shared" si="3"/>
        <v>CHANDLER KELVIN</v>
      </c>
    </row>
    <row r="200" spans="1:7" x14ac:dyDescent="0.25">
      <c r="A200" s="8">
        <v>42739.79960648148</v>
      </c>
      <c r="B200" s="21" t="s">
        <v>258</v>
      </c>
      <c r="C200" s="21" t="s">
        <v>656</v>
      </c>
      <c r="D200" s="160">
        <v>2250000</v>
      </c>
      <c r="E200" s="21" t="s">
        <v>361</v>
      </c>
      <c r="F200" s="21" t="s">
        <v>362</v>
      </c>
      <c r="G200" s="8" t="str">
        <f t="shared" si="3"/>
        <v>CRAYTON QUNTRELL</v>
      </c>
    </row>
    <row r="201" spans="1:7" x14ac:dyDescent="0.25">
      <c r="A201" s="8">
        <v>42739.805011574077</v>
      </c>
      <c r="B201" s="21" t="s">
        <v>320</v>
      </c>
      <c r="C201" s="21" t="s">
        <v>657</v>
      </c>
      <c r="D201" s="160">
        <v>1810000</v>
      </c>
      <c r="E201" s="21" t="s">
        <v>263</v>
      </c>
      <c r="F201" s="21" t="s">
        <v>242</v>
      </c>
      <c r="G201" s="8" t="str">
        <f t="shared" si="3"/>
        <v>NEWELL JAMES</v>
      </c>
    </row>
    <row r="202" spans="1:7" x14ac:dyDescent="0.25">
      <c r="A202" s="27">
        <v>42739.808715277781</v>
      </c>
      <c r="B202" s="21" t="s">
        <v>268</v>
      </c>
      <c r="C202" s="21" t="s">
        <v>658</v>
      </c>
      <c r="D202" s="160">
        <v>1740000</v>
      </c>
      <c r="E202" s="21" t="s">
        <v>365</v>
      </c>
      <c r="F202" s="21" t="s">
        <v>366</v>
      </c>
      <c r="G202" s="8" t="str">
        <f t="shared" si="3"/>
        <v>STORY SAMANTHA</v>
      </c>
    </row>
    <row r="203" spans="1:7" x14ac:dyDescent="0.25">
      <c r="A203" s="8">
        <v>42739.81858796296</v>
      </c>
      <c r="B203" s="21" t="s">
        <v>208</v>
      </c>
      <c r="C203" s="21" t="s">
        <v>659</v>
      </c>
      <c r="D203" s="160">
        <v>1770000</v>
      </c>
      <c r="E203" s="21" t="s">
        <v>586</v>
      </c>
      <c r="F203" s="21" t="s">
        <v>587</v>
      </c>
      <c r="G203" s="8" t="str">
        <f t="shared" si="3"/>
        <v>BRUDER RICHARD</v>
      </c>
    </row>
    <row r="204" spans="1:7" x14ac:dyDescent="0.25">
      <c r="A204" s="8">
        <v>42739.818854166668</v>
      </c>
      <c r="B204" s="21" t="s">
        <v>228</v>
      </c>
      <c r="C204" s="21" t="s">
        <v>660</v>
      </c>
      <c r="D204" s="160">
        <v>1190000</v>
      </c>
      <c r="E204" s="21" t="s">
        <v>396</v>
      </c>
      <c r="F204" s="21" t="s">
        <v>397</v>
      </c>
      <c r="G204" s="8" t="str">
        <f t="shared" si="3"/>
        <v>BRANNON JEFFREY</v>
      </c>
    </row>
    <row r="205" spans="1:7" x14ac:dyDescent="0.25">
      <c r="A205" s="8">
        <v>42739.820462962962</v>
      </c>
      <c r="B205" s="21" t="s">
        <v>468</v>
      </c>
      <c r="C205" s="21" t="s">
        <v>469</v>
      </c>
      <c r="D205" s="160">
        <v>2220000</v>
      </c>
      <c r="E205" s="21" t="s">
        <v>291</v>
      </c>
      <c r="F205" s="21" t="s">
        <v>292</v>
      </c>
      <c r="G205" s="8" t="str">
        <f t="shared" si="3"/>
        <v>HILLS DUSTIN</v>
      </c>
    </row>
    <row r="206" spans="1:7" x14ac:dyDescent="0.25">
      <c r="A206" s="8">
        <v>42739.831504629627</v>
      </c>
      <c r="B206" s="21" t="s">
        <v>237</v>
      </c>
      <c r="C206" s="21" t="s">
        <v>661</v>
      </c>
      <c r="D206" s="160">
        <v>2270000</v>
      </c>
      <c r="E206" s="21" t="s">
        <v>293</v>
      </c>
      <c r="F206" s="21" t="s">
        <v>294</v>
      </c>
      <c r="G206" s="8" t="str">
        <f t="shared" si="3"/>
        <v>BROWN JACOB</v>
      </c>
    </row>
    <row r="207" spans="1:7" x14ac:dyDescent="0.25">
      <c r="A207" s="8">
        <v>42739.840879629628</v>
      </c>
      <c r="B207" s="21" t="s">
        <v>202</v>
      </c>
      <c r="C207" s="21" t="s">
        <v>662</v>
      </c>
      <c r="D207" s="160">
        <v>1770000</v>
      </c>
      <c r="E207" s="21" t="s">
        <v>586</v>
      </c>
      <c r="F207" s="21" t="s">
        <v>587</v>
      </c>
      <c r="G207" s="8" t="str">
        <f t="shared" si="3"/>
        <v>BRUDER RICHARD</v>
      </c>
    </row>
    <row r="208" spans="1:7" x14ac:dyDescent="0.25">
      <c r="A208" s="8">
        <v>42739.846585648149</v>
      </c>
      <c r="B208" s="21" t="s">
        <v>269</v>
      </c>
      <c r="C208" s="21" t="s">
        <v>663</v>
      </c>
      <c r="D208" s="160">
        <v>1740000</v>
      </c>
      <c r="E208" s="21" t="s">
        <v>365</v>
      </c>
      <c r="F208" s="21" t="s">
        <v>366</v>
      </c>
      <c r="G208" s="8" t="str">
        <f t="shared" si="3"/>
        <v>STORY SAMANTHA</v>
      </c>
    </row>
    <row r="209" spans="1:7" x14ac:dyDescent="0.25">
      <c r="A209" s="8">
        <v>42739.848564814813</v>
      </c>
      <c r="B209" s="21" t="s">
        <v>321</v>
      </c>
      <c r="C209" s="21" t="s">
        <v>470</v>
      </c>
      <c r="D209" s="160">
        <v>1810000</v>
      </c>
      <c r="E209" s="21" t="s">
        <v>263</v>
      </c>
      <c r="F209" s="21" t="s">
        <v>242</v>
      </c>
      <c r="G209" s="8" t="str">
        <f t="shared" si="3"/>
        <v>NEWELL JAMES</v>
      </c>
    </row>
    <row r="210" spans="1:7" x14ac:dyDescent="0.25">
      <c r="A210" s="8">
        <v>42739.86078703704</v>
      </c>
      <c r="B210" s="21" t="s">
        <v>208</v>
      </c>
      <c r="C210" s="21" t="s">
        <v>664</v>
      </c>
      <c r="D210" s="160">
        <v>1770000</v>
      </c>
      <c r="E210" s="21" t="s">
        <v>586</v>
      </c>
      <c r="F210" s="21" t="s">
        <v>587</v>
      </c>
      <c r="G210" s="8" t="str">
        <f t="shared" si="3"/>
        <v>BRUDER RICHARD</v>
      </c>
    </row>
    <row r="211" spans="1:7" x14ac:dyDescent="0.25">
      <c r="A211" s="8">
        <v>42739.86519675926</v>
      </c>
      <c r="B211" s="21" t="s">
        <v>356</v>
      </c>
      <c r="C211" s="21" t="s">
        <v>471</v>
      </c>
      <c r="D211" s="160">
        <v>2270000</v>
      </c>
      <c r="E211" s="21" t="s">
        <v>293</v>
      </c>
      <c r="F211" s="21" t="s">
        <v>294</v>
      </c>
      <c r="G211" s="8" t="str">
        <f t="shared" si="3"/>
        <v>BROWN JACOB</v>
      </c>
    </row>
    <row r="212" spans="1:7" x14ac:dyDescent="0.25">
      <c r="A212" s="8">
        <v>42739.870092592595</v>
      </c>
      <c r="B212" s="21" t="s">
        <v>210</v>
      </c>
      <c r="C212" s="21" t="s">
        <v>665</v>
      </c>
      <c r="D212" s="160">
        <v>2220000</v>
      </c>
      <c r="E212" s="21" t="s">
        <v>291</v>
      </c>
      <c r="F212" s="21" t="s">
        <v>292</v>
      </c>
      <c r="G212" s="8" t="str">
        <f t="shared" si="3"/>
        <v>HILLS DUSTIN</v>
      </c>
    </row>
    <row r="213" spans="1:7" x14ac:dyDescent="0.25">
      <c r="A213" s="8">
        <v>42739.881886574076</v>
      </c>
      <c r="B213" s="21" t="s">
        <v>202</v>
      </c>
      <c r="C213" s="21" t="s">
        <v>666</v>
      </c>
      <c r="D213" s="160">
        <v>1800000</v>
      </c>
      <c r="E213" s="21" t="s">
        <v>231</v>
      </c>
      <c r="F213" s="21" t="s">
        <v>245</v>
      </c>
      <c r="G213" s="8" t="str">
        <f t="shared" si="3"/>
        <v>CHANDLER KELVIN</v>
      </c>
    </row>
    <row r="214" spans="1:7" x14ac:dyDescent="0.25">
      <c r="A214" s="8">
        <v>42739.886828703704</v>
      </c>
      <c r="B214" s="21" t="s">
        <v>268</v>
      </c>
      <c r="C214" s="21" t="s">
        <v>473</v>
      </c>
      <c r="D214" s="160">
        <v>1740000</v>
      </c>
      <c r="E214" s="21" t="s">
        <v>365</v>
      </c>
      <c r="F214" s="21" t="s">
        <v>366</v>
      </c>
      <c r="G214" s="8" t="str">
        <f t="shared" si="3"/>
        <v>STORY SAMANTHA</v>
      </c>
    </row>
    <row r="215" spans="1:7" x14ac:dyDescent="0.25">
      <c r="A215" s="8">
        <v>42739.889120370368</v>
      </c>
      <c r="B215" s="21" t="s">
        <v>320</v>
      </c>
      <c r="C215" s="21" t="s">
        <v>667</v>
      </c>
      <c r="D215" s="160">
        <v>1810000</v>
      </c>
      <c r="E215" s="21" t="s">
        <v>263</v>
      </c>
      <c r="F215" s="21" t="s">
        <v>242</v>
      </c>
      <c r="G215" s="8" t="str">
        <f t="shared" si="3"/>
        <v>NEWELL JAMES</v>
      </c>
    </row>
    <row r="216" spans="1:7" x14ac:dyDescent="0.25">
      <c r="A216" s="8">
        <v>42739.903541666667</v>
      </c>
      <c r="B216" s="21" t="s">
        <v>468</v>
      </c>
      <c r="C216" s="21" t="s">
        <v>668</v>
      </c>
      <c r="D216" s="160">
        <v>2220000</v>
      </c>
      <c r="E216" s="21" t="s">
        <v>291</v>
      </c>
      <c r="F216" s="21" t="s">
        <v>292</v>
      </c>
      <c r="G216" s="8" t="str">
        <f t="shared" si="3"/>
        <v>HILLS DUSTIN</v>
      </c>
    </row>
    <row r="217" spans="1:7" x14ac:dyDescent="0.25">
      <c r="A217" s="8">
        <v>42739.903738425928</v>
      </c>
      <c r="B217" s="21" t="s">
        <v>208</v>
      </c>
      <c r="C217" s="21" t="s">
        <v>472</v>
      </c>
      <c r="D217" s="160">
        <v>1800000</v>
      </c>
      <c r="E217" s="21" t="s">
        <v>231</v>
      </c>
      <c r="F217" s="21" t="s">
        <v>245</v>
      </c>
      <c r="G217" s="8" t="str">
        <f t="shared" si="3"/>
        <v>CHANDLER KELVIN</v>
      </c>
    </row>
    <row r="218" spans="1:7" x14ac:dyDescent="0.25">
      <c r="A218" s="8">
        <v>42739.908506944441</v>
      </c>
      <c r="B218" s="21" t="s">
        <v>237</v>
      </c>
      <c r="C218" s="21" t="s">
        <v>669</v>
      </c>
      <c r="D218" s="160">
        <v>2270000</v>
      </c>
      <c r="E218" s="21" t="s">
        <v>293</v>
      </c>
      <c r="F218" s="21" t="s">
        <v>294</v>
      </c>
      <c r="G218" s="8" t="str">
        <f t="shared" si="3"/>
        <v>BROWN JACOB</v>
      </c>
    </row>
    <row r="219" spans="1:7" x14ac:dyDescent="0.25">
      <c r="A219" s="8">
        <v>42739.927731481483</v>
      </c>
      <c r="B219" s="21" t="s">
        <v>269</v>
      </c>
      <c r="C219" s="21" t="s">
        <v>670</v>
      </c>
      <c r="D219" s="160">
        <v>1740000</v>
      </c>
      <c r="E219" s="21" t="s">
        <v>365</v>
      </c>
      <c r="F219" s="21" t="s">
        <v>366</v>
      </c>
      <c r="G219" s="8" t="str">
        <f t="shared" si="3"/>
        <v>STORY SAMANTHA</v>
      </c>
    </row>
    <row r="220" spans="1:7" x14ac:dyDescent="0.25">
      <c r="A220" s="8">
        <v>42739.929849537039</v>
      </c>
      <c r="B220" s="21" t="s">
        <v>202</v>
      </c>
      <c r="C220" s="21" t="s">
        <v>671</v>
      </c>
      <c r="D220" s="160">
        <v>1800000</v>
      </c>
      <c r="E220" s="21" t="s">
        <v>231</v>
      </c>
      <c r="F220" s="21" t="s">
        <v>245</v>
      </c>
      <c r="G220" s="8" t="str">
        <f t="shared" si="3"/>
        <v>CHANDLER KELVIN</v>
      </c>
    </row>
    <row r="221" spans="1:7" x14ac:dyDescent="0.25">
      <c r="A221" s="8">
        <v>42739.930601851855</v>
      </c>
      <c r="B221" s="21" t="s">
        <v>321</v>
      </c>
      <c r="C221" s="21" t="s">
        <v>667</v>
      </c>
      <c r="D221" s="160">
        <v>1810000</v>
      </c>
      <c r="E221" s="21" t="s">
        <v>263</v>
      </c>
      <c r="F221" s="21" t="s">
        <v>242</v>
      </c>
      <c r="G221" s="8" t="str">
        <f t="shared" si="3"/>
        <v>NEWELL JAMES</v>
      </c>
    </row>
    <row r="222" spans="1:7" x14ac:dyDescent="0.25">
      <c r="A222" s="8">
        <v>42739.934363425928</v>
      </c>
      <c r="B222" s="21" t="s">
        <v>321</v>
      </c>
      <c r="C222" s="21" t="s">
        <v>672</v>
      </c>
      <c r="D222" s="160">
        <v>2680000</v>
      </c>
      <c r="E222" s="21" t="s">
        <v>398</v>
      </c>
      <c r="F222" s="21" t="s">
        <v>399</v>
      </c>
      <c r="G222" s="8" t="str">
        <f t="shared" si="3"/>
        <v>DUNCAN SHEILA</v>
      </c>
    </row>
    <row r="223" spans="1:7" x14ac:dyDescent="0.25">
      <c r="A223" s="8">
        <v>42739.94394675926</v>
      </c>
      <c r="B223" s="21" t="s">
        <v>208</v>
      </c>
      <c r="C223" s="21" t="s">
        <v>474</v>
      </c>
      <c r="D223" s="160">
        <v>1800000</v>
      </c>
      <c r="E223" s="21" t="s">
        <v>231</v>
      </c>
      <c r="F223" s="21" t="s">
        <v>245</v>
      </c>
      <c r="G223" s="8" t="str">
        <f t="shared" si="3"/>
        <v>CHANDLER KELVIN</v>
      </c>
    </row>
    <row r="224" spans="1:7" x14ac:dyDescent="0.25">
      <c r="A224" s="8">
        <v>42739.946817129632</v>
      </c>
      <c r="B224" t="s">
        <v>210</v>
      </c>
      <c r="C224" t="s">
        <v>673</v>
      </c>
      <c r="D224" s="160">
        <v>2220000</v>
      </c>
      <c r="E224" t="s">
        <v>291</v>
      </c>
      <c r="F224" s="21" t="s">
        <v>292</v>
      </c>
      <c r="G224" s="8" t="str">
        <f t="shared" si="3"/>
        <v>HILLS DUSTIN</v>
      </c>
    </row>
    <row r="225" spans="1:7" x14ac:dyDescent="0.25">
      <c r="A225" s="8">
        <v>42739.952951388892</v>
      </c>
      <c r="B225" t="s">
        <v>202</v>
      </c>
      <c r="C225" t="s">
        <v>474</v>
      </c>
      <c r="D225" s="160">
        <v>1800000</v>
      </c>
      <c r="E225" t="s">
        <v>231</v>
      </c>
      <c r="F225" s="21" t="s">
        <v>245</v>
      </c>
      <c r="G225" s="8" t="str">
        <f t="shared" si="3"/>
        <v>CHANDLER KELVIN</v>
      </c>
    </row>
    <row r="226" spans="1:7" x14ac:dyDescent="0.25">
      <c r="A226" s="8">
        <v>42739.953657407408</v>
      </c>
      <c r="B226" t="s">
        <v>356</v>
      </c>
      <c r="C226" t="s">
        <v>674</v>
      </c>
      <c r="D226" s="160">
        <v>2270000</v>
      </c>
      <c r="E226" t="s">
        <v>293</v>
      </c>
      <c r="F226" s="21" t="s">
        <v>294</v>
      </c>
      <c r="G226" s="8" t="str">
        <f t="shared" si="3"/>
        <v>BROWN JACOB</v>
      </c>
    </row>
    <row r="227" spans="1:7" x14ac:dyDescent="0.25">
      <c r="A227" s="8">
        <v>42739.975104166668</v>
      </c>
      <c r="B227" t="s">
        <v>320</v>
      </c>
      <c r="C227" t="s">
        <v>675</v>
      </c>
      <c r="D227" s="160">
        <v>2680000</v>
      </c>
      <c r="E227" t="s">
        <v>398</v>
      </c>
      <c r="F227" s="21" t="s">
        <v>399</v>
      </c>
      <c r="G227" s="8" t="str">
        <f t="shared" si="3"/>
        <v>DUNCAN SHEILA</v>
      </c>
    </row>
    <row r="228" spans="1:7" x14ac:dyDescent="0.25">
      <c r="A228" s="8">
        <v>42739.976041666669</v>
      </c>
      <c r="B228" t="s">
        <v>268</v>
      </c>
      <c r="C228" t="s">
        <v>475</v>
      </c>
      <c r="D228" s="160">
        <v>1740000</v>
      </c>
      <c r="E228" t="s">
        <v>365</v>
      </c>
      <c r="F228" s="21" t="s">
        <v>366</v>
      </c>
      <c r="G228" s="8" t="str">
        <f t="shared" si="3"/>
        <v>STORY SAMANTHA</v>
      </c>
    </row>
    <row r="229" spans="1:7" x14ac:dyDescent="0.25">
      <c r="A229" s="8">
        <v>42739.985347222224</v>
      </c>
      <c r="B229" t="s">
        <v>468</v>
      </c>
      <c r="C229" t="s">
        <v>676</v>
      </c>
      <c r="D229" s="160">
        <v>2220000</v>
      </c>
      <c r="E229" t="s">
        <v>291</v>
      </c>
      <c r="F229" s="21" t="s">
        <v>292</v>
      </c>
      <c r="G229" s="8" t="str">
        <f t="shared" si="3"/>
        <v>HILLS DUSTIN</v>
      </c>
    </row>
    <row r="230" spans="1:7" x14ac:dyDescent="0.25">
      <c r="A230" s="8">
        <v>42739.994803240741</v>
      </c>
      <c r="B230" t="s">
        <v>338</v>
      </c>
      <c r="C230" t="s">
        <v>476</v>
      </c>
      <c r="D230" s="160">
        <v>2450000</v>
      </c>
      <c r="E230" t="s">
        <v>677</v>
      </c>
      <c r="F230" s="21" t="s">
        <v>678</v>
      </c>
      <c r="G230" s="8" t="str">
        <f t="shared" si="3"/>
        <v>NELSON ARIANE</v>
      </c>
    </row>
    <row r="231" spans="1:7" x14ac:dyDescent="0.25">
      <c r="A231" s="8">
        <v>42739.995775462965</v>
      </c>
      <c r="B231" t="s">
        <v>237</v>
      </c>
      <c r="C231" t="s">
        <v>679</v>
      </c>
      <c r="D231" s="160">
        <v>2270000</v>
      </c>
      <c r="E231" t="s">
        <v>293</v>
      </c>
      <c r="F231" s="21" t="s">
        <v>294</v>
      </c>
      <c r="G231" s="8" t="str">
        <f t="shared" si="3"/>
        <v>BROWN JACOB</v>
      </c>
    </row>
    <row r="232" spans="1:7" x14ac:dyDescent="0.25">
      <c r="A232" s="8">
        <v>42740.011724537035</v>
      </c>
      <c r="B232" t="s">
        <v>269</v>
      </c>
      <c r="C232" t="s">
        <v>680</v>
      </c>
      <c r="D232" s="160">
        <v>1740000</v>
      </c>
      <c r="E232" t="s">
        <v>365</v>
      </c>
      <c r="F232" s="21" t="s">
        <v>366</v>
      </c>
      <c r="G232" s="8" t="str">
        <f t="shared" si="3"/>
        <v>STORY SAMANTHA</v>
      </c>
    </row>
    <row r="233" spans="1:7" x14ac:dyDescent="0.25">
      <c r="A233" s="8">
        <v>42740.017361111109</v>
      </c>
      <c r="B233" t="s">
        <v>321</v>
      </c>
      <c r="C233" t="s">
        <v>681</v>
      </c>
      <c r="D233" s="160">
        <v>2680000</v>
      </c>
      <c r="E233" t="s">
        <v>398</v>
      </c>
      <c r="F233" s="21" t="s">
        <v>399</v>
      </c>
      <c r="G233" s="8" t="str">
        <f t="shared" si="3"/>
        <v>DUNCAN SHEILA</v>
      </c>
    </row>
    <row r="234" spans="1:7" x14ac:dyDescent="0.25">
      <c r="A234" s="8">
        <v>42740.017847222225</v>
      </c>
      <c r="B234" t="s">
        <v>352</v>
      </c>
      <c r="C234" t="s">
        <v>477</v>
      </c>
      <c r="D234" s="160">
        <v>2450000</v>
      </c>
      <c r="E234" t="s">
        <v>677</v>
      </c>
      <c r="F234" s="21" t="s">
        <v>678</v>
      </c>
      <c r="G234" s="8" t="str">
        <f t="shared" si="3"/>
        <v>NELSON ARIANE</v>
      </c>
    </row>
    <row r="235" spans="1:7" x14ac:dyDescent="0.25">
      <c r="A235" s="8">
        <v>42740.02752314815</v>
      </c>
      <c r="B235" t="s">
        <v>210</v>
      </c>
      <c r="C235" t="s">
        <v>682</v>
      </c>
      <c r="D235" s="160">
        <v>2220000</v>
      </c>
      <c r="E235" t="s">
        <v>291</v>
      </c>
      <c r="F235" s="21" t="s">
        <v>292</v>
      </c>
      <c r="G235" s="8" t="str">
        <f t="shared" si="3"/>
        <v>HILLS DUSTIN</v>
      </c>
    </row>
    <row r="236" spans="1:7" x14ac:dyDescent="0.25">
      <c r="A236" s="8">
        <v>42740.032280092593</v>
      </c>
      <c r="B236" t="s">
        <v>356</v>
      </c>
      <c r="C236" t="s">
        <v>683</v>
      </c>
      <c r="D236" s="160">
        <v>2270000</v>
      </c>
      <c r="E236" t="s">
        <v>293</v>
      </c>
      <c r="F236" s="21" t="s">
        <v>294</v>
      </c>
      <c r="G236" s="8" t="str">
        <f t="shared" si="3"/>
        <v>BROWN JACOB</v>
      </c>
    </row>
    <row r="237" spans="1:7" x14ac:dyDescent="0.25">
      <c r="A237" s="8">
        <v>42740.041539351849</v>
      </c>
      <c r="B237" t="s">
        <v>338</v>
      </c>
      <c r="C237" t="s">
        <v>684</v>
      </c>
      <c r="D237" s="160">
        <v>2450000</v>
      </c>
      <c r="E237" t="s">
        <v>677</v>
      </c>
      <c r="F237" s="21" t="s">
        <v>678</v>
      </c>
      <c r="G237" s="8" t="str">
        <f t="shared" si="3"/>
        <v>NELSON ARIANE</v>
      </c>
    </row>
    <row r="238" spans="1:7" x14ac:dyDescent="0.25">
      <c r="A238" s="8">
        <v>42740.049490740741</v>
      </c>
      <c r="B238" t="s">
        <v>268</v>
      </c>
      <c r="C238" t="s">
        <v>680</v>
      </c>
      <c r="D238" s="160">
        <v>1740000</v>
      </c>
      <c r="E238" t="s">
        <v>365</v>
      </c>
      <c r="F238" s="21" t="s">
        <v>366</v>
      </c>
      <c r="G238" s="8" t="str">
        <f t="shared" si="3"/>
        <v>STORY SAMANTHA</v>
      </c>
    </row>
    <row r="239" spans="1:7" x14ac:dyDescent="0.25">
      <c r="A239" s="8">
        <v>42740.050081018519</v>
      </c>
      <c r="B239" t="s">
        <v>268</v>
      </c>
      <c r="C239" t="s">
        <v>685</v>
      </c>
      <c r="D239" s="160">
        <v>1740000</v>
      </c>
      <c r="E239" t="s">
        <v>365</v>
      </c>
      <c r="F239" s="21" t="s">
        <v>366</v>
      </c>
      <c r="G239" s="8" t="str">
        <f t="shared" si="3"/>
        <v>STORY SAMANTHA</v>
      </c>
    </row>
    <row r="240" spans="1:7" x14ac:dyDescent="0.25">
      <c r="A240" s="8">
        <v>42740.05096064815</v>
      </c>
      <c r="B240" t="s">
        <v>268</v>
      </c>
      <c r="C240" t="s">
        <v>685</v>
      </c>
      <c r="D240" s="160">
        <v>1740000</v>
      </c>
      <c r="E240" t="s">
        <v>365</v>
      </c>
      <c r="F240" s="21" t="s">
        <v>366</v>
      </c>
      <c r="G240" s="8" t="str">
        <f t="shared" si="3"/>
        <v>STORY SAMANTHA</v>
      </c>
    </row>
    <row r="241" spans="1:7" x14ac:dyDescent="0.25">
      <c r="A241" s="8">
        <v>42740.052384259259</v>
      </c>
      <c r="B241" t="s">
        <v>320</v>
      </c>
      <c r="C241" t="s">
        <v>686</v>
      </c>
      <c r="D241" s="160">
        <v>2680000</v>
      </c>
      <c r="E241" t="s">
        <v>398</v>
      </c>
      <c r="F241" s="21" t="s">
        <v>399</v>
      </c>
      <c r="G241" s="8" t="str">
        <f t="shared" si="3"/>
        <v>DUNCAN SHEILA</v>
      </c>
    </row>
    <row r="242" spans="1:7" x14ac:dyDescent="0.25">
      <c r="A242" s="8">
        <v>42740.070474537039</v>
      </c>
      <c r="B242" t="s">
        <v>237</v>
      </c>
      <c r="C242" t="s">
        <v>687</v>
      </c>
      <c r="D242" s="160">
        <v>2270000</v>
      </c>
      <c r="E242" t="s">
        <v>293</v>
      </c>
      <c r="F242" s="21" t="s">
        <v>294</v>
      </c>
      <c r="G242" s="8" t="str">
        <f t="shared" si="3"/>
        <v>BROWN JACOB</v>
      </c>
    </row>
    <row r="243" spans="1:7" x14ac:dyDescent="0.25">
      <c r="A243" s="8">
        <v>42740.074502314812</v>
      </c>
      <c r="B243" t="s">
        <v>237</v>
      </c>
      <c r="C243" t="s">
        <v>687</v>
      </c>
      <c r="D243" s="160">
        <v>2270000</v>
      </c>
      <c r="E243" t="s">
        <v>293</v>
      </c>
      <c r="F243" s="21" t="s">
        <v>294</v>
      </c>
      <c r="G243" s="8" t="str">
        <f t="shared" si="3"/>
        <v>BROWN JACOB</v>
      </c>
    </row>
    <row r="244" spans="1:7" x14ac:dyDescent="0.25">
      <c r="A244" s="8">
        <v>42740.089398148149</v>
      </c>
      <c r="B244" t="s">
        <v>321</v>
      </c>
      <c r="C244" t="s">
        <v>688</v>
      </c>
      <c r="D244" s="160">
        <v>2680000</v>
      </c>
      <c r="E244" t="s">
        <v>398</v>
      </c>
      <c r="F244" s="21" t="s">
        <v>399</v>
      </c>
      <c r="G244" s="8" t="str">
        <f t="shared" si="3"/>
        <v>DUNCAN SHEILA</v>
      </c>
    </row>
    <row r="245" spans="1:7" x14ac:dyDescent="0.25">
      <c r="A245" s="8">
        <v>42728.111944444441</v>
      </c>
      <c r="B245" t="s">
        <v>298</v>
      </c>
      <c r="C245" t="s">
        <v>299</v>
      </c>
      <c r="D245" s="160">
        <v>2270000</v>
      </c>
      <c r="E245" t="s">
        <v>293</v>
      </c>
      <c r="F245" s="21" t="s">
        <v>294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269</v>
      </c>
      <c r="C246" t="s">
        <v>272</v>
      </c>
      <c r="D246" s="160">
        <v>2000000</v>
      </c>
      <c r="E246" t="s">
        <v>207</v>
      </c>
      <c r="F246" s="21" t="s">
        <v>242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258</v>
      </c>
      <c r="C247" t="s">
        <v>273</v>
      </c>
      <c r="D247" s="160">
        <v>1810000</v>
      </c>
      <c r="E247" t="s">
        <v>263</v>
      </c>
      <c r="F247" s="21" t="s">
        <v>242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223</v>
      </c>
      <c r="C248" t="s">
        <v>274</v>
      </c>
      <c r="D248" s="160">
        <v>2230000</v>
      </c>
      <c r="E248" t="s">
        <v>262</v>
      </c>
      <c r="F248" s="21" t="s">
        <v>251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205</v>
      </c>
      <c r="C249" t="s">
        <v>275</v>
      </c>
      <c r="D249" s="160">
        <v>1800000</v>
      </c>
      <c r="E249" t="s">
        <v>231</v>
      </c>
      <c r="F249" s="21" t="s">
        <v>245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257</v>
      </c>
      <c r="C250" t="s">
        <v>276</v>
      </c>
      <c r="D250" s="160">
        <v>1810000</v>
      </c>
      <c r="E250" t="s">
        <v>263</v>
      </c>
      <c r="F250" s="21" t="s">
        <v>242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268</v>
      </c>
      <c r="C251" t="s">
        <v>277</v>
      </c>
      <c r="D251" s="160">
        <v>2000000</v>
      </c>
      <c r="E251" t="s">
        <v>207</v>
      </c>
      <c r="F251" s="21" t="s">
        <v>242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204</v>
      </c>
      <c r="C252" t="s">
        <v>278</v>
      </c>
      <c r="D252" s="160">
        <v>1800000</v>
      </c>
      <c r="E252" t="s">
        <v>231</v>
      </c>
      <c r="F252" s="21" t="s">
        <v>245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256</v>
      </c>
      <c r="C253" t="s">
        <v>279</v>
      </c>
      <c r="D253" s="160">
        <v>2230000</v>
      </c>
      <c r="E253" t="s">
        <v>262</v>
      </c>
      <c r="F253" s="21" t="s">
        <v>251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258</v>
      </c>
      <c r="C254" t="s">
        <v>280</v>
      </c>
      <c r="D254" s="160">
        <v>1810000</v>
      </c>
      <c r="E254" t="s">
        <v>263</v>
      </c>
      <c r="F254" s="21" t="s">
        <v>242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269</v>
      </c>
      <c r="C255" t="s">
        <v>281</v>
      </c>
      <c r="D255" s="160">
        <v>2000000</v>
      </c>
      <c r="E255" t="s">
        <v>207</v>
      </c>
      <c r="F255" s="21" t="s">
        <v>242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223</v>
      </c>
      <c r="C256" t="s">
        <v>282</v>
      </c>
      <c r="D256" s="160">
        <v>2230000</v>
      </c>
      <c r="E256" t="s">
        <v>262</v>
      </c>
      <c r="F256" s="21" t="s">
        <v>251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268</v>
      </c>
      <c r="C257" t="s">
        <v>283</v>
      </c>
      <c r="D257" s="160">
        <v>2000000</v>
      </c>
      <c r="E257" t="s">
        <v>207</v>
      </c>
      <c r="F257" s="21" t="s">
        <v>242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208</v>
      </c>
      <c r="C258" t="s">
        <v>284</v>
      </c>
      <c r="D258" s="160">
        <v>2110000</v>
      </c>
      <c r="E258" t="s">
        <v>270</v>
      </c>
      <c r="F258" s="21" t="s">
        <v>271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208</v>
      </c>
      <c r="C259" t="s">
        <v>284</v>
      </c>
      <c r="D259" s="160">
        <v>2110000</v>
      </c>
      <c r="E259" t="s">
        <v>270</v>
      </c>
      <c r="F259" s="21" t="s">
        <v>271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228</v>
      </c>
      <c r="C260" t="s">
        <v>234</v>
      </c>
      <c r="D260" s="160">
        <v>2000000</v>
      </c>
      <c r="E260" t="s">
        <v>207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233</v>
      </c>
      <c r="D261" s="160">
        <v>2530000</v>
      </c>
      <c r="E261" t="s">
        <v>232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204</v>
      </c>
      <c r="C262" t="s">
        <v>235</v>
      </c>
      <c r="D262" s="160">
        <v>2600000</v>
      </c>
      <c r="E262" t="s">
        <v>229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202</v>
      </c>
      <c r="C263" t="s">
        <v>216</v>
      </c>
      <c r="D263" s="160">
        <v>2000000</v>
      </c>
      <c r="E263" t="s">
        <v>207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212</v>
      </c>
      <c r="C264" t="s">
        <v>217</v>
      </c>
      <c r="D264" s="160">
        <v>2550000</v>
      </c>
      <c r="E264" t="s">
        <v>211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215</v>
      </c>
      <c r="C265" t="s">
        <v>218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210</v>
      </c>
      <c r="C266" t="s">
        <v>219</v>
      </c>
      <c r="D266" s="160">
        <v>2420000</v>
      </c>
      <c r="E266" t="s">
        <v>213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208</v>
      </c>
      <c r="C267" t="s">
        <v>220</v>
      </c>
      <c r="D267" s="160">
        <v>2000000</v>
      </c>
      <c r="E267" t="s">
        <v>207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214</v>
      </c>
      <c r="C268" t="s">
        <v>221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404</v>
      </c>
      <c r="I1" s="175" t="s">
        <v>171</v>
      </c>
      <c r="J1" s="175" t="s">
        <v>172</v>
      </c>
      <c r="K1" s="175" t="s">
        <v>405</v>
      </c>
      <c r="L1" s="175" t="s">
        <v>166</v>
      </c>
      <c r="M1" s="175" t="s">
        <v>164</v>
      </c>
      <c r="N1" s="175" t="s">
        <v>159</v>
      </c>
      <c r="O1" s="175" t="s">
        <v>169</v>
      </c>
      <c r="P1" s="175" t="s">
        <v>163</v>
      </c>
      <c r="Q1" s="175" t="s">
        <v>170</v>
      </c>
      <c r="R1" s="175" t="s">
        <v>167</v>
      </c>
    </row>
    <row r="2" spans="1:18" x14ac:dyDescent="0.25">
      <c r="A2" s="165">
        <v>16.07</v>
      </c>
      <c r="B2" s="165">
        <v>0.39</v>
      </c>
      <c r="C2" s="165">
        <v>12.72</v>
      </c>
      <c r="D2" s="8">
        <v>42739</v>
      </c>
      <c r="E2" s="165">
        <v>0.86</v>
      </c>
      <c r="F2" s="165" t="s">
        <v>236</v>
      </c>
      <c r="G2" s="165">
        <v>322.98</v>
      </c>
      <c r="H2" s="165"/>
      <c r="I2" s="165">
        <v>0</v>
      </c>
      <c r="J2" s="165">
        <v>0</v>
      </c>
      <c r="K2" s="165"/>
      <c r="L2" s="165">
        <v>1024.1500000000001</v>
      </c>
      <c r="M2" s="165" t="s">
        <v>239</v>
      </c>
      <c r="N2" s="165">
        <v>16.07</v>
      </c>
      <c r="O2" s="165">
        <v>1483513200</v>
      </c>
      <c r="P2" s="165">
        <v>8.1199999999999992</v>
      </c>
      <c r="Q2" s="165">
        <v>351</v>
      </c>
      <c r="R2" s="165">
        <v>2.09</v>
      </c>
    </row>
    <row r="3" spans="1:18" x14ac:dyDescent="0.25">
      <c r="A3" s="165">
        <v>15.56</v>
      </c>
      <c r="B3" s="165">
        <v>0.4</v>
      </c>
      <c r="C3" s="165">
        <v>11.99</v>
      </c>
      <c r="D3" s="8">
        <v>42739.041666666664</v>
      </c>
      <c r="E3" s="165">
        <v>0.85</v>
      </c>
      <c r="F3" s="165" t="s">
        <v>236</v>
      </c>
      <c r="G3" s="165">
        <v>324.08999999999997</v>
      </c>
      <c r="H3" s="165"/>
      <c r="I3" s="165">
        <v>0</v>
      </c>
      <c r="J3" s="165">
        <v>0</v>
      </c>
      <c r="K3" s="165"/>
      <c r="L3" s="165">
        <v>1023.02</v>
      </c>
      <c r="M3" s="165" t="s">
        <v>239</v>
      </c>
      <c r="N3" s="165">
        <v>15.56</v>
      </c>
      <c r="O3" s="165">
        <v>1483516800</v>
      </c>
      <c r="P3" s="165">
        <v>3.13</v>
      </c>
      <c r="Q3" s="165">
        <v>7</v>
      </c>
      <c r="R3" s="165">
        <v>2.0499999999999998</v>
      </c>
    </row>
    <row r="4" spans="1:18" x14ac:dyDescent="0.25">
      <c r="A4" s="165">
        <v>14.58</v>
      </c>
      <c r="B4" s="165">
        <v>0.4</v>
      </c>
      <c r="C4" s="165">
        <v>11.05</v>
      </c>
      <c r="D4" s="8">
        <v>42739.083333333336</v>
      </c>
      <c r="E4" s="165">
        <v>0.86</v>
      </c>
      <c r="F4" s="165" t="s">
        <v>236</v>
      </c>
      <c r="G4" s="165">
        <v>325.2</v>
      </c>
      <c r="H4" s="165"/>
      <c r="I4" s="165">
        <v>0</v>
      </c>
      <c r="J4" s="165">
        <v>0</v>
      </c>
      <c r="K4" s="165"/>
      <c r="L4" s="165">
        <v>1022.08</v>
      </c>
      <c r="M4" s="165" t="s">
        <v>239</v>
      </c>
      <c r="N4" s="165">
        <v>14.58</v>
      </c>
      <c r="O4" s="165">
        <v>1483520400</v>
      </c>
      <c r="P4" s="165">
        <v>2.82</v>
      </c>
      <c r="Q4" s="165">
        <v>28</v>
      </c>
      <c r="R4" s="165">
        <v>1.3</v>
      </c>
    </row>
    <row r="5" spans="1:18" x14ac:dyDescent="0.25">
      <c r="A5" s="165">
        <v>14.62</v>
      </c>
      <c r="B5" s="165">
        <v>0.45</v>
      </c>
      <c r="C5" s="165">
        <v>11.31</v>
      </c>
      <c r="D5" s="8">
        <v>42739.125</v>
      </c>
      <c r="E5" s="165">
        <v>0.86</v>
      </c>
      <c r="F5" s="165" t="s">
        <v>236</v>
      </c>
      <c r="G5" s="165">
        <v>326.14</v>
      </c>
      <c r="H5" s="165"/>
      <c r="I5" s="165">
        <v>0</v>
      </c>
      <c r="J5" s="165">
        <v>0</v>
      </c>
      <c r="K5" s="165"/>
      <c r="L5" s="165">
        <v>1021.78</v>
      </c>
      <c r="M5" s="165" t="s">
        <v>239</v>
      </c>
      <c r="N5" s="165">
        <v>14.62</v>
      </c>
      <c r="O5" s="165">
        <v>1483524000</v>
      </c>
      <c r="P5" s="165">
        <v>2.76</v>
      </c>
      <c r="Q5" s="165">
        <v>7</v>
      </c>
      <c r="R5" s="165">
        <v>1.38</v>
      </c>
    </row>
    <row r="6" spans="1:18" x14ac:dyDescent="0.25">
      <c r="A6" s="165">
        <v>14.4</v>
      </c>
      <c r="B6" s="165">
        <v>0.52</v>
      </c>
      <c r="C6" s="165">
        <v>11.25</v>
      </c>
      <c r="D6" s="8">
        <v>42739.166666666664</v>
      </c>
      <c r="E6" s="165">
        <v>0.87</v>
      </c>
      <c r="F6" s="165" t="s">
        <v>236</v>
      </c>
      <c r="G6" s="165">
        <v>326.98</v>
      </c>
      <c r="H6" s="165"/>
      <c r="I6" s="165">
        <v>0</v>
      </c>
      <c r="J6" s="165">
        <v>0</v>
      </c>
      <c r="K6" s="165"/>
      <c r="L6" s="165">
        <v>1021.66</v>
      </c>
      <c r="M6" s="165" t="s">
        <v>239</v>
      </c>
      <c r="N6" s="165">
        <v>14.4</v>
      </c>
      <c r="O6" s="165">
        <v>1483527600</v>
      </c>
      <c r="P6" s="165">
        <v>2.87</v>
      </c>
      <c r="Q6" s="165">
        <v>26</v>
      </c>
      <c r="R6" s="165">
        <v>1.08</v>
      </c>
    </row>
    <row r="7" spans="1:18" x14ac:dyDescent="0.25">
      <c r="A7" s="165">
        <v>13.27</v>
      </c>
      <c r="B7" s="165">
        <v>0.56000000000000005</v>
      </c>
      <c r="C7" s="165">
        <v>10.08</v>
      </c>
      <c r="D7" s="8">
        <v>42739.208333333336</v>
      </c>
      <c r="E7" s="165">
        <v>0.87</v>
      </c>
      <c r="F7" s="165" t="s">
        <v>406</v>
      </c>
      <c r="G7" s="165">
        <v>327.55</v>
      </c>
      <c r="H7" s="165">
        <v>1.7000000000000001E-2</v>
      </c>
      <c r="I7" s="165">
        <v>8.9999999999999998E-4</v>
      </c>
      <c r="J7" s="165">
        <v>0.01</v>
      </c>
      <c r="K7" s="165" t="s">
        <v>406</v>
      </c>
      <c r="L7" s="165">
        <v>1021.29</v>
      </c>
      <c r="M7" s="165" t="s">
        <v>407</v>
      </c>
      <c r="N7" s="165">
        <v>13.27</v>
      </c>
      <c r="O7" s="165">
        <v>1483531200</v>
      </c>
      <c r="P7" s="165">
        <v>3.11</v>
      </c>
      <c r="Q7" s="165">
        <v>36</v>
      </c>
      <c r="R7" s="165">
        <v>2.92</v>
      </c>
    </row>
    <row r="8" spans="1:18" x14ac:dyDescent="0.25">
      <c r="A8" s="165">
        <v>12.99</v>
      </c>
      <c r="B8" s="165">
        <v>0.55000000000000004</v>
      </c>
      <c r="C8" s="165">
        <v>9.89</v>
      </c>
      <c r="D8" s="8">
        <v>42739.25</v>
      </c>
      <c r="E8" s="165">
        <v>0.87</v>
      </c>
      <c r="F8" s="165" t="s">
        <v>236</v>
      </c>
      <c r="G8" s="165">
        <v>327.63</v>
      </c>
      <c r="H8" s="165"/>
      <c r="I8" s="165">
        <v>0</v>
      </c>
      <c r="J8" s="165">
        <v>0</v>
      </c>
      <c r="K8" s="165"/>
      <c r="L8" s="165">
        <v>1020.3</v>
      </c>
      <c r="M8" s="165" t="s">
        <v>239</v>
      </c>
      <c r="N8" s="165">
        <v>12.99</v>
      </c>
      <c r="O8" s="165">
        <v>1483534800</v>
      </c>
      <c r="P8" s="165">
        <v>4.07</v>
      </c>
      <c r="Q8" s="165">
        <v>62</v>
      </c>
      <c r="R8" s="165">
        <v>2.61</v>
      </c>
    </row>
    <row r="9" spans="1:18" x14ac:dyDescent="0.25">
      <c r="A9" s="165">
        <v>12.14</v>
      </c>
      <c r="B9" s="165">
        <v>0.53</v>
      </c>
      <c r="C9" s="165">
        <v>8.99</v>
      </c>
      <c r="D9" s="8">
        <v>42739.291666666664</v>
      </c>
      <c r="E9" s="165">
        <v>0.87</v>
      </c>
      <c r="F9" s="165" t="s">
        <v>236</v>
      </c>
      <c r="G9" s="165">
        <v>327.44</v>
      </c>
      <c r="H9" s="165"/>
      <c r="I9" s="165">
        <v>0</v>
      </c>
      <c r="J9" s="165">
        <v>0</v>
      </c>
      <c r="K9" s="165"/>
      <c r="L9" s="165">
        <v>1019.06</v>
      </c>
      <c r="M9" s="165" t="s">
        <v>239</v>
      </c>
      <c r="N9" s="165">
        <v>12.14</v>
      </c>
      <c r="O9" s="165">
        <v>1483538400</v>
      </c>
      <c r="P9" s="165">
        <v>2.46</v>
      </c>
      <c r="Q9" s="165">
        <v>67</v>
      </c>
      <c r="R9" s="165">
        <v>2.57</v>
      </c>
    </row>
    <row r="10" spans="1:18" x14ac:dyDescent="0.25">
      <c r="A10" s="165">
        <v>12.61</v>
      </c>
      <c r="B10" s="165">
        <v>0.53</v>
      </c>
      <c r="C10" s="165">
        <v>9.2899999999999991</v>
      </c>
      <c r="D10" s="8">
        <v>42739.333333333336</v>
      </c>
      <c r="E10" s="165">
        <v>0.86</v>
      </c>
      <c r="F10" s="165" t="s">
        <v>315</v>
      </c>
      <c r="G10" s="165">
        <v>327.48</v>
      </c>
      <c r="H10" s="165"/>
      <c r="I10" s="165">
        <v>0</v>
      </c>
      <c r="J10" s="165">
        <v>0</v>
      </c>
      <c r="K10" s="165"/>
      <c r="L10" s="165">
        <v>1017.88</v>
      </c>
      <c r="M10" s="165" t="s">
        <v>239</v>
      </c>
      <c r="N10" s="165">
        <v>12.61</v>
      </c>
      <c r="O10" s="165">
        <v>1483542000</v>
      </c>
      <c r="P10" s="165">
        <v>2.2200000000000002</v>
      </c>
      <c r="Q10" s="165">
        <v>66</v>
      </c>
      <c r="R10" s="165">
        <v>2.58</v>
      </c>
    </row>
    <row r="11" spans="1:18" x14ac:dyDescent="0.25">
      <c r="A11" s="165">
        <v>7.75</v>
      </c>
      <c r="B11" s="165">
        <v>0.59</v>
      </c>
      <c r="C11" s="165">
        <v>10.01</v>
      </c>
      <c r="D11" s="8">
        <v>42739.375</v>
      </c>
      <c r="E11" s="165">
        <v>0.86</v>
      </c>
      <c r="F11" s="165" t="s">
        <v>406</v>
      </c>
      <c r="G11" s="165">
        <v>328.24</v>
      </c>
      <c r="H11" s="165">
        <v>3.1E-2</v>
      </c>
      <c r="I11" s="165">
        <v>1.6000000000000001E-3</v>
      </c>
      <c r="J11" s="165">
        <v>0.03</v>
      </c>
      <c r="K11" s="165" t="s">
        <v>406</v>
      </c>
      <c r="L11" s="165">
        <v>1017.07</v>
      </c>
      <c r="M11" s="165" t="s">
        <v>408</v>
      </c>
      <c r="N11" s="165">
        <v>13.36</v>
      </c>
      <c r="O11" s="165">
        <v>1483545600</v>
      </c>
      <c r="P11" s="165">
        <v>2.4700000000000002</v>
      </c>
      <c r="Q11" s="165">
        <v>60</v>
      </c>
      <c r="R11" s="165">
        <v>3.26</v>
      </c>
    </row>
    <row r="12" spans="1:18" x14ac:dyDescent="0.25">
      <c r="A12" s="165">
        <v>9.61</v>
      </c>
      <c r="B12" s="165">
        <v>0.7</v>
      </c>
      <c r="C12" s="165">
        <v>10.87</v>
      </c>
      <c r="D12" s="8">
        <v>42739.416666666664</v>
      </c>
      <c r="E12" s="165">
        <v>0.83</v>
      </c>
      <c r="F12" s="165" t="s">
        <v>406</v>
      </c>
      <c r="G12" s="165">
        <v>329.23</v>
      </c>
      <c r="H12" s="165">
        <v>3.4000000000000002E-2</v>
      </c>
      <c r="I12" s="165">
        <v>1.8E-3</v>
      </c>
      <c r="J12" s="165">
        <v>0.04</v>
      </c>
      <c r="K12" s="165" t="s">
        <v>406</v>
      </c>
      <c r="L12" s="165">
        <v>1016.22</v>
      </c>
      <c r="M12" s="165" t="s">
        <v>408</v>
      </c>
      <c r="N12" s="165">
        <v>15.01</v>
      </c>
      <c r="O12" s="165">
        <v>1483549200</v>
      </c>
      <c r="P12" s="165">
        <v>2.91</v>
      </c>
      <c r="Q12" s="165">
        <v>17</v>
      </c>
      <c r="R12" s="165">
        <v>3.27</v>
      </c>
    </row>
    <row r="13" spans="1:18" x14ac:dyDescent="0.25">
      <c r="A13" s="165">
        <v>9.64</v>
      </c>
      <c r="B13" s="165">
        <v>0.77</v>
      </c>
      <c r="C13" s="165">
        <v>11.69</v>
      </c>
      <c r="D13" s="8">
        <v>42739.458333333336</v>
      </c>
      <c r="E13" s="165">
        <v>0.82</v>
      </c>
      <c r="F13" s="165" t="s">
        <v>406</v>
      </c>
      <c r="G13" s="165">
        <v>329.48</v>
      </c>
      <c r="H13" s="165">
        <v>5.1999999999999998E-2</v>
      </c>
      <c r="I13" s="165">
        <v>2.8E-3</v>
      </c>
      <c r="J13" s="165">
        <v>0.08</v>
      </c>
      <c r="K13" s="165" t="s">
        <v>406</v>
      </c>
      <c r="L13" s="165">
        <v>1015.33</v>
      </c>
      <c r="M13" s="165" t="s">
        <v>408</v>
      </c>
      <c r="N13" s="165">
        <v>16.34</v>
      </c>
      <c r="O13" s="165">
        <v>1483552800</v>
      </c>
      <c r="P13" s="165">
        <v>3.04</v>
      </c>
      <c r="Q13" s="165">
        <v>8</v>
      </c>
      <c r="R13" s="165">
        <v>4.25</v>
      </c>
    </row>
    <row r="14" spans="1:18" x14ac:dyDescent="0.25">
      <c r="A14" s="165">
        <v>10.26</v>
      </c>
      <c r="B14" s="165">
        <v>0.75</v>
      </c>
      <c r="C14" s="165">
        <v>11.94</v>
      </c>
      <c r="D14" s="8">
        <v>42739.5</v>
      </c>
      <c r="E14" s="165">
        <v>0.81</v>
      </c>
      <c r="F14" s="165" t="s">
        <v>406</v>
      </c>
      <c r="G14" s="165">
        <v>328.49</v>
      </c>
      <c r="H14" s="165">
        <v>0.105</v>
      </c>
      <c r="I14" s="165">
        <v>5.7999999999999996E-3</v>
      </c>
      <c r="J14" s="165">
        <v>0.23</v>
      </c>
      <c r="K14" s="165" t="s">
        <v>406</v>
      </c>
      <c r="L14" s="165">
        <v>1014.04</v>
      </c>
      <c r="M14" s="165" t="s">
        <v>408</v>
      </c>
      <c r="N14" s="165">
        <v>16.79</v>
      </c>
      <c r="O14" s="165">
        <v>1483556400</v>
      </c>
      <c r="P14" s="165">
        <v>3.19</v>
      </c>
      <c r="Q14" s="165">
        <v>7</v>
      </c>
      <c r="R14" s="165">
        <v>4.18</v>
      </c>
    </row>
    <row r="15" spans="1:18" x14ac:dyDescent="0.25">
      <c r="A15" s="165">
        <v>11.38</v>
      </c>
      <c r="B15" s="165">
        <v>0.72</v>
      </c>
      <c r="C15" s="165">
        <v>12.2</v>
      </c>
      <c r="D15" s="8">
        <v>42739.541666666664</v>
      </c>
      <c r="E15" s="165">
        <v>0.81</v>
      </c>
      <c r="F15" s="165" t="s">
        <v>406</v>
      </c>
      <c r="G15" s="165">
        <v>326.76</v>
      </c>
      <c r="H15" s="165">
        <v>9.9000000000000005E-2</v>
      </c>
      <c r="I15" s="165">
        <v>5.5999999999999999E-3</v>
      </c>
      <c r="J15" s="165">
        <v>0.22</v>
      </c>
      <c r="K15" s="165" t="s">
        <v>406</v>
      </c>
      <c r="L15" s="165">
        <v>1012.22</v>
      </c>
      <c r="M15" s="165" t="s">
        <v>408</v>
      </c>
      <c r="N15" s="165">
        <v>17.149999999999999</v>
      </c>
      <c r="O15" s="165">
        <v>1483560000</v>
      </c>
      <c r="P15" s="165">
        <v>3.01</v>
      </c>
      <c r="Q15" s="165">
        <v>15</v>
      </c>
      <c r="R15" s="165">
        <v>3.68</v>
      </c>
    </row>
    <row r="16" spans="1:18" x14ac:dyDescent="0.25">
      <c r="A16" s="165">
        <v>9.99</v>
      </c>
      <c r="B16" s="165">
        <v>0.75</v>
      </c>
      <c r="C16" s="165">
        <v>11.07</v>
      </c>
      <c r="D16" s="8">
        <v>42739.583333333336</v>
      </c>
      <c r="E16" s="165">
        <v>0.78</v>
      </c>
      <c r="F16" s="165" t="s">
        <v>406</v>
      </c>
      <c r="G16" s="165">
        <v>324.88</v>
      </c>
      <c r="H16" s="165">
        <v>8.1000000000000003E-2</v>
      </c>
      <c r="I16" s="165">
        <v>4.4999999999999997E-3</v>
      </c>
      <c r="J16" s="165">
        <v>0.16</v>
      </c>
      <c r="K16" s="165" t="s">
        <v>406</v>
      </c>
      <c r="L16" s="165">
        <v>1011.87</v>
      </c>
      <c r="M16" s="165" t="s">
        <v>408</v>
      </c>
      <c r="N16" s="165">
        <v>16.78</v>
      </c>
      <c r="O16" s="165">
        <v>1483563600</v>
      </c>
      <c r="P16" s="165">
        <v>3.17</v>
      </c>
      <c r="Q16" s="165">
        <v>20</v>
      </c>
      <c r="R16" s="165">
        <v>4.37</v>
      </c>
    </row>
    <row r="17" spans="1:18" x14ac:dyDescent="0.25">
      <c r="A17" s="165">
        <v>5.9</v>
      </c>
      <c r="B17" s="165">
        <v>0.82</v>
      </c>
      <c r="C17" s="165">
        <v>9.2799999999999994</v>
      </c>
      <c r="D17" s="8">
        <v>42739.625</v>
      </c>
      <c r="E17" s="165">
        <v>0.79</v>
      </c>
      <c r="F17" s="165" t="s">
        <v>406</v>
      </c>
      <c r="G17" s="165">
        <v>322.64</v>
      </c>
      <c r="H17" s="165">
        <v>0.20799999999999999</v>
      </c>
      <c r="I17" s="165">
        <v>1.09E-2</v>
      </c>
      <c r="J17" s="165">
        <v>0.45</v>
      </c>
      <c r="K17" s="165" t="s">
        <v>406</v>
      </c>
      <c r="L17" s="165">
        <v>1014.08</v>
      </c>
      <c r="M17" s="165" t="s">
        <v>689</v>
      </c>
      <c r="N17" s="165">
        <v>14.73</v>
      </c>
      <c r="O17" s="165">
        <v>1483567200</v>
      </c>
      <c r="P17" s="165">
        <v>5.52</v>
      </c>
      <c r="Q17" s="165">
        <v>23</v>
      </c>
      <c r="R17" s="165">
        <v>5.77</v>
      </c>
    </row>
    <row r="18" spans="1:18" x14ac:dyDescent="0.25">
      <c r="A18" s="165">
        <v>1.74</v>
      </c>
      <c r="B18" s="165">
        <v>0.92</v>
      </c>
      <c r="C18" s="165">
        <v>6.62</v>
      </c>
      <c r="D18" s="8">
        <v>42739.666666666664</v>
      </c>
      <c r="E18" s="165">
        <v>0.8</v>
      </c>
      <c r="F18" s="165" t="s">
        <v>406</v>
      </c>
      <c r="G18" s="165">
        <v>320.25</v>
      </c>
      <c r="H18" s="165">
        <v>0.19500000000000001</v>
      </c>
      <c r="I18" s="165">
        <v>1.0200000000000001E-2</v>
      </c>
      <c r="J18" s="165">
        <v>0.44</v>
      </c>
      <c r="K18" s="165" t="s">
        <v>406</v>
      </c>
      <c r="L18" s="165">
        <v>1016.4</v>
      </c>
      <c r="M18" s="165" t="s">
        <v>689</v>
      </c>
      <c r="N18" s="165">
        <v>11.55</v>
      </c>
      <c r="O18" s="165">
        <v>1483570800</v>
      </c>
      <c r="P18" s="165">
        <v>2.36</v>
      </c>
      <c r="Q18" s="165">
        <v>11</v>
      </c>
      <c r="R18" s="165">
        <v>6.13</v>
      </c>
    </row>
    <row r="19" spans="1:18" x14ac:dyDescent="0.25">
      <c r="A19" s="165">
        <v>-0.15</v>
      </c>
      <c r="B19" s="165">
        <v>0.99</v>
      </c>
      <c r="C19" s="165">
        <v>6.16</v>
      </c>
      <c r="D19" s="8">
        <v>42739.708333333336</v>
      </c>
      <c r="E19" s="165">
        <v>0.82</v>
      </c>
      <c r="F19" s="165" t="s">
        <v>406</v>
      </c>
      <c r="G19" s="165">
        <v>318.94</v>
      </c>
      <c r="H19" s="165">
        <v>0.27800000000000002</v>
      </c>
      <c r="I19" s="165">
        <v>1.46E-2</v>
      </c>
      <c r="J19" s="165">
        <v>0.48</v>
      </c>
      <c r="K19" s="165" t="s">
        <v>406</v>
      </c>
      <c r="L19" s="165">
        <v>1018.07</v>
      </c>
      <c r="M19" s="165" t="s">
        <v>689</v>
      </c>
      <c r="N19" s="165">
        <v>10.47</v>
      </c>
      <c r="O19" s="165">
        <v>1483574400</v>
      </c>
      <c r="P19" s="165">
        <v>4.2699999999999996</v>
      </c>
      <c r="Q19" s="165">
        <v>11</v>
      </c>
      <c r="R19" s="165">
        <v>6.7</v>
      </c>
    </row>
    <row r="20" spans="1:18" x14ac:dyDescent="0.25">
      <c r="A20" s="165">
        <v>-1.5</v>
      </c>
      <c r="B20" s="165">
        <v>0.92</v>
      </c>
      <c r="C20" s="165">
        <v>4.59</v>
      </c>
      <c r="D20" s="8">
        <v>42739.75</v>
      </c>
      <c r="E20" s="165">
        <v>0.83</v>
      </c>
      <c r="F20" s="165" t="s">
        <v>406</v>
      </c>
      <c r="G20" s="165">
        <v>319.57</v>
      </c>
      <c r="H20" s="165">
        <v>0.373</v>
      </c>
      <c r="I20" s="165">
        <v>1.9599999999999999E-2</v>
      </c>
      <c r="J20" s="165">
        <v>0.51</v>
      </c>
      <c r="K20" s="165" t="s">
        <v>406</v>
      </c>
      <c r="L20" s="165">
        <v>1020.5</v>
      </c>
      <c r="M20" s="165" t="s">
        <v>689</v>
      </c>
      <c r="N20" s="165">
        <v>8.56</v>
      </c>
      <c r="O20" s="165">
        <v>1483578000</v>
      </c>
      <c r="P20" s="165">
        <v>1.56</v>
      </c>
      <c r="Q20" s="165">
        <v>10</v>
      </c>
      <c r="R20" s="165">
        <v>5.84</v>
      </c>
    </row>
    <row r="21" spans="1:18" x14ac:dyDescent="0.25">
      <c r="A21" s="165">
        <v>-2.31</v>
      </c>
      <c r="B21" s="165">
        <v>0.79</v>
      </c>
      <c r="C21" s="165">
        <v>3.37</v>
      </c>
      <c r="D21" s="8">
        <v>42739.791666666664</v>
      </c>
      <c r="E21" s="165">
        <v>0.84</v>
      </c>
      <c r="F21" s="165" t="s">
        <v>406</v>
      </c>
      <c r="G21" s="165">
        <v>321.29000000000002</v>
      </c>
      <c r="H21" s="165">
        <v>0.34499999999999997</v>
      </c>
      <c r="I21" s="165">
        <v>1.8200000000000001E-2</v>
      </c>
      <c r="J21" s="165">
        <v>0.51</v>
      </c>
      <c r="K21" s="165" t="s">
        <v>406</v>
      </c>
      <c r="L21" s="165">
        <v>1021.97</v>
      </c>
      <c r="M21" s="165" t="s">
        <v>689</v>
      </c>
      <c r="N21" s="165">
        <v>7.22</v>
      </c>
      <c r="O21" s="165">
        <v>1483581600</v>
      </c>
      <c r="P21" s="165">
        <v>2.0099999999999998</v>
      </c>
      <c r="Q21" s="165">
        <v>4</v>
      </c>
      <c r="R21" s="165">
        <v>5.21</v>
      </c>
    </row>
    <row r="22" spans="1:18" x14ac:dyDescent="0.25">
      <c r="A22" s="165">
        <v>-1</v>
      </c>
      <c r="B22" s="165">
        <v>0.72</v>
      </c>
      <c r="C22" s="165">
        <v>2.62</v>
      </c>
      <c r="D22" s="8">
        <v>42739.833333333336</v>
      </c>
      <c r="E22" s="165">
        <v>0.84</v>
      </c>
      <c r="F22" s="165" t="s">
        <v>406</v>
      </c>
      <c r="G22" s="165">
        <v>322.7</v>
      </c>
      <c r="H22" s="165">
        <v>0.27400000000000002</v>
      </c>
      <c r="I22" s="165">
        <v>1.44E-2</v>
      </c>
      <c r="J22" s="165">
        <v>0.48</v>
      </c>
      <c r="K22" s="165" t="s">
        <v>406</v>
      </c>
      <c r="L22" s="165">
        <v>1023.02</v>
      </c>
      <c r="M22" s="165" t="s">
        <v>689</v>
      </c>
      <c r="N22" s="165">
        <v>6.42</v>
      </c>
      <c r="O22" s="165">
        <v>1483585200</v>
      </c>
      <c r="P22" s="165">
        <v>1.95</v>
      </c>
      <c r="Q22" s="165">
        <v>12</v>
      </c>
      <c r="R22" s="165">
        <v>3.72</v>
      </c>
    </row>
    <row r="23" spans="1:18" x14ac:dyDescent="0.25">
      <c r="A23" s="165">
        <v>-0.09</v>
      </c>
      <c r="B23" s="165">
        <v>0.86</v>
      </c>
      <c r="C23" s="165">
        <v>2.67</v>
      </c>
      <c r="D23" s="8">
        <v>42739.875</v>
      </c>
      <c r="E23" s="165">
        <v>0.84</v>
      </c>
      <c r="F23" s="165" t="s">
        <v>406</v>
      </c>
      <c r="G23" s="165">
        <v>323.37</v>
      </c>
      <c r="H23" s="165">
        <v>0.245</v>
      </c>
      <c r="I23" s="165">
        <v>1.29E-2</v>
      </c>
      <c r="J23" s="165">
        <v>0.47</v>
      </c>
      <c r="K23" s="165" t="s">
        <v>406</v>
      </c>
      <c r="L23" s="165">
        <v>1023.98</v>
      </c>
      <c r="M23" s="165" t="s">
        <v>689</v>
      </c>
      <c r="N23" s="165">
        <v>6.54</v>
      </c>
      <c r="O23" s="165">
        <v>1483588800</v>
      </c>
      <c r="P23" s="165">
        <v>1.28</v>
      </c>
      <c r="Q23" s="165">
        <v>12</v>
      </c>
      <c r="R23" s="165">
        <v>3.3</v>
      </c>
    </row>
    <row r="24" spans="1:18" x14ac:dyDescent="0.25">
      <c r="A24" s="165">
        <v>-0.01</v>
      </c>
      <c r="B24" s="165">
        <v>0.95</v>
      </c>
      <c r="C24" s="165">
        <v>2.58</v>
      </c>
      <c r="D24" s="8">
        <v>42739.916666666664</v>
      </c>
      <c r="E24" s="165">
        <v>0.83</v>
      </c>
      <c r="F24" s="165" t="s">
        <v>406</v>
      </c>
      <c r="G24" s="165">
        <v>323.74</v>
      </c>
      <c r="H24" s="165">
        <v>0.316</v>
      </c>
      <c r="I24" s="165">
        <v>1.66E-2</v>
      </c>
      <c r="J24" s="165">
        <v>0.5</v>
      </c>
      <c r="K24" s="165" t="s">
        <v>406</v>
      </c>
      <c r="L24" s="165">
        <v>1024.71</v>
      </c>
      <c r="M24" s="165" t="s">
        <v>689</v>
      </c>
      <c r="N24" s="165">
        <v>6.63</v>
      </c>
      <c r="O24" s="165">
        <v>1483592400</v>
      </c>
      <c r="P24" s="165">
        <v>1.1299999999999999</v>
      </c>
      <c r="Q24" s="165">
        <v>15</v>
      </c>
      <c r="R24" s="165">
        <v>3.31</v>
      </c>
    </row>
    <row r="25" spans="1:18" x14ac:dyDescent="0.25">
      <c r="A25" s="165">
        <v>-0.78</v>
      </c>
      <c r="B25" s="165">
        <v>0.99</v>
      </c>
      <c r="C25" s="165">
        <v>1.75</v>
      </c>
      <c r="D25" s="8">
        <v>42739.958333333336</v>
      </c>
      <c r="E25" s="165">
        <v>0.83</v>
      </c>
      <c r="F25" s="165" t="s">
        <v>406</v>
      </c>
      <c r="G25" s="165">
        <v>323.76</v>
      </c>
      <c r="H25" s="165">
        <v>0.39200000000000002</v>
      </c>
      <c r="I25" s="165">
        <v>2.06E-2</v>
      </c>
      <c r="J25" s="165">
        <v>0.52</v>
      </c>
      <c r="K25" s="165" t="s">
        <v>406</v>
      </c>
      <c r="L25" s="165">
        <v>1025.1600000000001</v>
      </c>
      <c r="M25" s="165" t="s">
        <v>689</v>
      </c>
      <c r="N25" s="165">
        <v>5.79</v>
      </c>
      <c r="O25" s="165">
        <v>1483596000</v>
      </c>
      <c r="P25" s="165">
        <v>0.6</v>
      </c>
      <c r="Q25" s="165">
        <v>17</v>
      </c>
      <c r="R25" s="165">
        <v>3.22</v>
      </c>
    </row>
    <row r="26" spans="1:18" x14ac:dyDescent="0.25">
      <c r="A26" s="165">
        <v>-1.06</v>
      </c>
      <c r="B26" s="165">
        <v>1</v>
      </c>
      <c r="C26" s="165">
        <v>0.91</v>
      </c>
      <c r="D26" s="8">
        <v>42740</v>
      </c>
      <c r="E26" s="165">
        <v>0.82</v>
      </c>
      <c r="F26" s="165" t="s">
        <v>406</v>
      </c>
      <c r="G26" s="165">
        <v>323.07</v>
      </c>
      <c r="H26" s="165">
        <v>0.59799999999999998</v>
      </c>
      <c r="I26" s="165">
        <v>3.15E-2</v>
      </c>
      <c r="J26" s="165">
        <v>0.56999999999999995</v>
      </c>
      <c r="K26" s="165" t="s">
        <v>406</v>
      </c>
      <c r="L26" s="165">
        <v>1024.3399999999999</v>
      </c>
      <c r="M26" s="165" t="s">
        <v>690</v>
      </c>
      <c r="N26" s="165">
        <v>5.16</v>
      </c>
      <c r="O26" s="165">
        <v>1483599600</v>
      </c>
      <c r="P26" s="165">
        <v>1.1599999999999999</v>
      </c>
      <c r="Q26" s="165">
        <v>17</v>
      </c>
      <c r="R26" s="165">
        <v>3.01</v>
      </c>
    </row>
    <row r="27" spans="1:18" x14ac:dyDescent="0.25">
      <c r="A27" s="165">
        <v>-1.69</v>
      </c>
      <c r="B27" s="165">
        <v>1</v>
      </c>
      <c r="C27" s="165">
        <v>0.73</v>
      </c>
      <c r="D27" s="8">
        <v>42740.041666666664</v>
      </c>
      <c r="E27" s="165">
        <v>0.82</v>
      </c>
      <c r="F27" s="165" t="s">
        <v>406</v>
      </c>
      <c r="G27" s="165">
        <v>322.38</v>
      </c>
      <c r="H27" s="165">
        <v>0.72199999999999998</v>
      </c>
      <c r="I27" s="165">
        <v>3.7999999999999999E-2</v>
      </c>
      <c r="J27" s="165">
        <v>0.59</v>
      </c>
      <c r="K27" s="165" t="s">
        <v>406</v>
      </c>
      <c r="L27" s="165">
        <v>1023.87</v>
      </c>
      <c r="M27" s="165" t="s">
        <v>690</v>
      </c>
      <c r="N27" s="165">
        <v>4.88</v>
      </c>
      <c r="O27" s="165">
        <v>1483603200</v>
      </c>
      <c r="P27" s="165">
        <v>0.44</v>
      </c>
      <c r="Q27" s="165">
        <v>9</v>
      </c>
      <c r="R27" s="165">
        <v>3.15</v>
      </c>
    </row>
    <row r="28" spans="1:18" x14ac:dyDescent="0.25">
      <c r="A28" s="165">
        <v>-1.8</v>
      </c>
      <c r="B28" s="165">
        <v>1</v>
      </c>
      <c r="C28" s="165">
        <v>0.79</v>
      </c>
      <c r="D28" s="8">
        <v>42740.083333333336</v>
      </c>
      <c r="E28" s="165">
        <v>0.84</v>
      </c>
      <c r="F28" s="165" t="s">
        <v>406</v>
      </c>
      <c r="G28" s="165">
        <v>321.68</v>
      </c>
      <c r="H28" s="165">
        <v>0.93300000000000005</v>
      </c>
      <c r="I28" s="165">
        <v>4.9099999999999998E-2</v>
      </c>
      <c r="J28" s="165">
        <v>0.61</v>
      </c>
      <c r="K28" s="165" t="s">
        <v>406</v>
      </c>
      <c r="L28" s="165">
        <v>1023.59</v>
      </c>
      <c r="M28" s="165" t="s">
        <v>690</v>
      </c>
      <c r="N28" s="165">
        <v>4.54</v>
      </c>
      <c r="O28" s="165">
        <v>1483606800</v>
      </c>
      <c r="P28" s="165">
        <v>0.43</v>
      </c>
      <c r="Q28" s="165">
        <v>9</v>
      </c>
      <c r="R28" s="165">
        <v>3.02</v>
      </c>
    </row>
    <row r="29" spans="1:18" x14ac:dyDescent="0.25">
      <c r="A29" s="165">
        <v>-3.72</v>
      </c>
      <c r="B29" s="165">
        <v>1</v>
      </c>
      <c r="C29" s="165">
        <v>-0.54</v>
      </c>
      <c r="D29" s="8">
        <v>42740.125</v>
      </c>
      <c r="E29" s="165">
        <v>0.84</v>
      </c>
      <c r="F29" s="165" t="s">
        <v>406</v>
      </c>
      <c r="G29" s="165">
        <v>321.58999999999997</v>
      </c>
      <c r="H29" s="165">
        <v>0.72699999999999998</v>
      </c>
      <c r="I29" s="165">
        <v>3.8199999999999998E-2</v>
      </c>
      <c r="J29" s="165">
        <v>0.59</v>
      </c>
      <c r="K29" s="165" t="s">
        <v>406</v>
      </c>
      <c r="L29" s="165">
        <v>1023.93</v>
      </c>
      <c r="M29" s="165" t="s">
        <v>690</v>
      </c>
      <c r="N29" s="165">
        <v>3.29</v>
      </c>
      <c r="O29" s="165">
        <v>1483610400</v>
      </c>
      <c r="P29" s="165">
        <v>0.46</v>
      </c>
      <c r="Q29" s="165">
        <v>21</v>
      </c>
      <c r="R29" s="165">
        <v>3.27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200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8"/>
  <sheetViews>
    <sheetView workbookViewId="0">
      <selection activeCell="Q7" sqref="Q7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42739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201</v>
      </c>
      <c r="J17" s="186"/>
      <c r="K17" s="187"/>
      <c r="L17" s="187"/>
    </row>
    <row r="18" spans="3:13" x14ac:dyDescent="0.25">
      <c r="C18" t="s">
        <v>443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845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846</v>
      </c>
      <c r="J20" s="165" t="s">
        <v>87</v>
      </c>
      <c r="M20" s="165" t="s">
        <v>334</v>
      </c>
    </row>
    <row r="21" spans="3:13" x14ac:dyDescent="0.25">
      <c r="C21" t="s">
        <v>847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848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849</v>
      </c>
      <c r="J23" s="188" t="s">
        <v>95</v>
      </c>
      <c r="M23" s="165">
        <v>-7</v>
      </c>
    </row>
    <row r="24" spans="3:13" x14ac:dyDescent="0.25">
      <c r="C24" t="s">
        <v>850</v>
      </c>
      <c r="J24" s="165" t="s">
        <v>108</v>
      </c>
      <c r="M24" s="165" t="s">
        <v>110</v>
      </c>
    </row>
    <row r="25" spans="3:13" x14ac:dyDescent="0.25">
      <c r="C25" t="s">
        <v>851</v>
      </c>
      <c r="J25" s="165" t="s">
        <v>151</v>
      </c>
      <c r="M25" s="165" t="b">
        <v>1</v>
      </c>
    </row>
    <row r="26" spans="3:13" x14ac:dyDescent="0.25">
      <c r="C26" t="s">
        <v>441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C:\Users\stu\Documents\GitHub\eaglep3-reporting\EC\2017-01-04-refined-times.txt</v>
      </c>
    </row>
    <row r="27" spans="3:13" x14ac:dyDescent="0.25">
      <c r="C27" t="s">
        <v>852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C:\Users\stu\Documents\GitHub\eaglep3-reporting\EC\2017-01-04-Enforcements.txt</v>
      </c>
    </row>
    <row r="28" spans="3:13" x14ac:dyDescent="0.25">
      <c r="C28" t="s">
        <v>442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C:\Users\stu\Documents\GitHub\eaglep3-reporting\EC\2017-01-04-Runs-refined.txt</v>
      </c>
    </row>
    <row r="29" spans="3:13" x14ac:dyDescent="0.25">
      <c r="C29" t="s">
        <v>853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C:\Users\stu\Documents\GitHub\eaglep3-reporting\EC\2017-01-04-Trips.txt</v>
      </c>
    </row>
    <row r="30" spans="3:13" x14ac:dyDescent="0.25">
      <c r="C30" t="s">
        <v>854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C:\Users\stu\Documents\GitHub\eaglep3-reporting\EC\2017-01-04-Weather.txt</v>
      </c>
    </row>
    <row r="31" spans="3:13" x14ac:dyDescent="0.25">
      <c r="C31" t="s">
        <v>855</v>
      </c>
      <c r="J31" s="165" t="s">
        <v>332</v>
      </c>
      <c r="M31" s="165" t="s">
        <v>333</v>
      </c>
    </row>
    <row r="32" spans="3:13" x14ac:dyDescent="0.25">
      <c r="C32" t="s">
        <v>856</v>
      </c>
    </row>
    <row r="33" spans="3:3" x14ac:dyDescent="0.25">
      <c r="C33" t="s">
        <v>857</v>
      </c>
    </row>
    <row r="34" spans="3:3" x14ac:dyDescent="0.25">
      <c r="C34" t="s">
        <v>858</v>
      </c>
    </row>
    <row r="35" spans="3:3" x14ac:dyDescent="0.25">
      <c r="C35" t="s">
        <v>859</v>
      </c>
    </row>
    <row r="36" spans="3:3" x14ac:dyDescent="0.25">
      <c r="C36" t="s">
        <v>860</v>
      </c>
    </row>
    <row r="37" spans="3:3" x14ac:dyDescent="0.25">
      <c r="C37" t="s">
        <v>861</v>
      </c>
    </row>
    <row r="38" spans="3:3" x14ac:dyDescent="0.25">
      <c r="C38" t="s">
        <v>862</v>
      </c>
    </row>
    <row r="39" spans="3:3" x14ac:dyDescent="0.25">
      <c r="C39" t="s">
        <v>863</v>
      </c>
    </row>
    <row r="40" spans="3:3" x14ac:dyDescent="0.25">
      <c r="C40" t="s">
        <v>864</v>
      </c>
    </row>
    <row r="41" spans="3:3" x14ac:dyDescent="0.25">
      <c r="C41" t="s">
        <v>865</v>
      </c>
    </row>
    <row r="42" spans="3:3" x14ac:dyDescent="0.25">
      <c r="C42" t="s">
        <v>866</v>
      </c>
    </row>
    <row r="43" spans="3:3" x14ac:dyDescent="0.25">
      <c r="C43" t="s">
        <v>867</v>
      </c>
    </row>
    <row r="44" spans="3:3" x14ac:dyDescent="0.25">
      <c r="C44" t="s">
        <v>868</v>
      </c>
    </row>
    <row r="45" spans="3:3" x14ac:dyDescent="0.25">
      <c r="C45" t="s">
        <v>869</v>
      </c>
    </row>
    <row r="46" spans="3:3" x14ac:dyDescent="0.25">
      <c r="C46" t="s">
        <v>870</v>
      </c>
    </row>
    <row r="47" spans="3:3" x14ac:dyDescent="0.25">
      <c r="C47" t="s">
        <v>871</v>
      </c>
    </row>
    <row r="48" spans="3:3" x14ac:dyDescent="0.25">
      <c r="C48" t="s">
        <v>872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879</v>
      </c>
      <c r="B1" t="str">
        <f t="shared" ref="B1:B52" si="0">MID(A1,6,23)</f>
        <v>2017/01/04 11:22:48.039</v>
      </c>
      <c r="C1" t="e">
        <f>ABS(B1-#REF!)</f>
        <v>#REF!</v>
      </c>
    </row>
    <row r="2" spans="1:3" x14ac:dyDescent="0.25">
      <c r="A2" t="s">
        <v>880</v>
      </c>
      <c r="B2" s="21" t="str">
        <f t="shared" si="0"/>
        <v>2017/01/04 11:22:48.148</v>
      </c>
      <c r="C2">
        <f>ABS(B2-B1)</f>
        <v>1.2615782907232642E-6</v>
      </c>
    </row>
    <row r="3" spans="1:3" x14ac:dyDescent="0.25">
      <c r="A3" t="s">
        <v>881</v>
      </c>
      <c r="B3" s="21" t="str">
        <f t="shared" si="0"/>
        <v>2017/01/04 11:22:48.458</v>
      </c>
      <c r="C3" s="21">
        <f t="shared" ref="C3:C52" si="1">ABS(B3-B2)</f>
        <v>3.5879638744518161E-6</v>
      </c>
    </row>
    <row r="4" spans="1:3" x14ac:dyDescent="0.25">
      <c r="A4" t="s">
        <v>882</v>
      </c>
      <c r="B4" s="21" t="str">
        <f t="shared" si="0"/>
        <v>2017/01/04 13:21:35.904</v>
      </c>
      <c r="C4" s="21">
        <f t="shared" si="1"/>
        <v>8.2493587957287673E-2</v>
      </c>
    </row>
    <row r="5" spans="1:3" x14ac:dyDescent="0.25">
      <c r="A5" t="s">
        <v>883</v>
      </c>
      <c r="B5" s="21" t="str">
        <f t="shared" si="0"/>
        <v>2017/01/04 13:21:36.196</v>
      </c>
      <c r="C5" s="21">
        <f t="shared" si="1"/>
        <v>3.379631380084902E-6</v>
      </c>
    </row>
    <row r="6" spans="1:3" x14ac:dyDescent="0.25">
      <c r="A6" t="s">
        <v>884</v>
      </c>
      <c r="B6" s="21" t="str">
        <f t="shared" si="0"/>
        <v>2017/01/04 13:54:51.855</v>
      </c>
      <c r="C6" s="21">
        <f t="shared" si="1"/>
        <v>2.3097905097529292E-2</v>
      </c>
    </row>
    <row r="7" spans="1:3" x14ac:dyDescent="0.25">
      <c r="A7" t="s">
        <v>885</v>
      </c>
      <c r="B7" s="21" t="str">
        <f t="shared" si="0"/>
        <v>2017/01/04 13:55:23.363</v>
      </c>
      <c r="C7" s="21">
        <f t="shared" si="1"/>
        <v>3.6467592144617811E-4</v>
      </c>
    </row>
    <row r="8" spans="1:3" x14ac:dyDescent="0.25">
      <c r="A8" t="s">
        <v>886</v>
      </c>
      <c r="B8" s="21" t="str">
        <f t="shared" si="0"/>
        <v>2017/01/04 13:55:23.666</v>
      </c>
      <c r="C8" s="21">
        <f t="shared" si="1"/>
        <v>3.5069460864178836E-6</v>
      </c>
    </row>
    <row r="9" spans="1:3" x14ac:dyDescent="0.25">
      <c r="A9" t="s">
        <v>887</v>
      </c>
      <c r="B9" s="21" t="str">
        <f t="shared" si="0"/>
        <v>2017/01/04 15:01:00.320</v>
      </c>
      <c r="C9" s="21">
        <f t="shared" si="1"/>
        <v>4.5563125000626314E-2</v>
      </c>
    </row>
    <row r="10" spans="1:3" x14ac:dyDescent="0.25">
      <c r="A10" t="s">
        <v>888</v>
      </c>
      <c r="B10" s="21" t="str">
        <f t="shared" si="0"/>
        <v>2017/01/04 15:01:00.448</v>
      </c>
      <c r="C10" s="21">
        <f t="shared" si="1"/>
        <v>1.4814795576967299E-6</v>
      </c>
    </row>
    <row r="11" spans="1:3" x14ac:dyDescent="0.25">
      <c r="A11" t="s">
        <v>889</v>
      </c>
      <c r="B11" s="21" t="str">
        <f t="shared" si="0"/>
        <v>2017/01/04 15:11:36.436</v>
      </c>
      <c r="C11" s="21">
        <f t="shared" si="1"/>
        <v>7.360972223978024E-3</v>
      </c>
    </row>
    <row r="12" spans="1:3" x14ac:dyDescent="0.25">
      <c r="A12" t="s">
        <v>890</v>
      </c>
      <c r="B12" s="21" t="str">
        <f t="shared" si="0"/>
        <v>2017/01/04 15:11:37.189</v>
      </c>
      <c r="C12" s="21">
        <f t="shared" si="1"/>
        <v>8.715280273463577E-6</v>
      </c>
    </row>
    <row r="13" spans="1:3" x14ac:dyDescent="0.25">
      <c r="A13" t="s">
        <v>891</v>
      </c>
      <c r="B13" s="21" t="str">
        <f t="shared" si="0"/>
        <v>2017/01/04 15:11:37.400</v>
      </c>
      <c r="C13" s="21">
        <f t="shared" si="1"/>
        <v>2.4421242414973676E-6</v>
      </c>
    </row>
    <row r="14" spans="1:3" x14ac:dyDescent="0.25">
      <c r="A14" t="s">
        <v>892</v>
      </c>
      <c r="B14" s="21" t="str">
        <f t="shared" si="0"/>
        <v>2017/01/04 16:32:12.310</v>
      </c>
      <c r="C14" s="21">
        <f t="shared" si="1"/>
        <v>5.5959606484975666E-2</v>
      </c>
    </row>
    <row r="15" spans="1:3" x14ac:dyDescent="0.25">
      <c r="A15" t="s">
        <v>893</v>
      </c>
      <c r="B15" s="21" t="str">
        <f t="shared" si="0"/>
        <v>2017/01/04 16:32:12.429</v>
      </c>
      <c r="C15" s="21">
        <f t="shared" si="1"/>
        <v>1.3773096725344658E-6</v>
      </c>
    </row>
    <row r="16" spans="1:3" x14ac:dyDescent="0.25">
      <c r="A16" t="s">
        <v>894</v>
      </c>
      <c r="B16" s="21" t="str">
        <f t="shared" si="0"/>
        <v>2017/01/04 16:52:52.392</v>
      </c>
      <c r="C16" s="21">
        <f t="shared" si="1"/>
        <v>1.4351423611515202E-2</v>
      </c>
    </row>
    <row r="17" spans="1:3" x14ac:dyDescent="0.25">
      <c r="A17" t="s">
        <v>895</v>
      </c>
      <c r="B17" s="21" t="str">
        <f t="shared" si="0"/>
        <v>2017/01/04 16:52:52.439</v>
      </c>
      <c r="C17" s="21">
        <f t="shared" si="1"/>
        <v>5.4398697102442384E-7</v>
      </c>
    </row>
    <row r="18" spans="1:3" x14ac:dyDescent="0.25">
      <c r="A18" t="s">
        <v>896</v>
      </c>
      <c r="B18" s="21" t="str">
        <f t="shared" si="0"/>
        <v>2017/01/04 16:56:32.071</v>
      </c>
      <c r="C18" s="21">
        <f t="shared" si="1"/>
        <v>2.5420370366191491E-3</v>
      </c>
    </row>
    <row r="19" spans="1:3" x14ac:dyDescent="0.25">
      <c r="A19" t="s">
        <v>897</v>
      </c>
      <c r="B19" s="21" t="str">
        <f t="shared" si="0"/>
        <v>2017/01/04 16:56:32.397</v>
      </c>
      <c r="C19" s="21">
        <f t="shared" si="1"/>
        <v>3.7731442716903985E-6</v>
      </c>
    </row>
    <row r="20" spans="1:3" x14ac:dyDescent="0.25">
      <c r="A20" t="s">
        <v>898</v>
      </c>
      <c r="B20" s="21" t="str">
        <f t="shared" si="0"/>
        <v>2017/01/04 16:56:32.438</v>
      </c>
      <c r="C20" s="21">
        <f t="shared" si="1"/>
        <v>4.7453795559704304E-7</v>
      </c>
    </row>
    <row r="21" spans="1:3" x14ac:dyDescent="0.25">
      <c r="A21" t="s">
        <v>899</v>
      </c>
      <c r="B21" s="21" t="str">
        <f t="shared" si="0"/>
        <v>2017/01/04 17:04:24.126</v>
      </c>
      <c r="C21" s="21">
        <f t="shared" si="1"/>
        <v>5.459351850731764E-3</v>
      </c>
    </row>
    <row r="22" spans="1:3" x14ac:dyDescent="0.25">
      <c r="A22" t="s">
        <v>900</v>
      </c>
      <c r="B22" s="21" t="str">
        <f t="shared" si="0"/>
        <v>2017/01/04 17:04:24.135</v>
      </c>
      <c r="C22" s="21">
        <f t="shared" si="1"/>
        <v>1.0416988516226411E-7</v>
      </c>
    </row>
    <row r="23" spans="1:3" x14ac:dyDescent="0.25">
      <c r="A23" t="s">
        <v>901</v>
      </c>
      <c r="B23" s="21" t="str">
        <f t="shared" si="0"/>
        <v>2017/01/04 17:04:24.475</v>
      </c>
      <c r="C23" s="21">
        <f t="shared" si="1"/>
        <v>3.9351871237158775E-6</v>
      </c>
    </row>
    <row r="24" spans="1:3" x14ac:dyDescent="0.25">
      <c r="A24" t="s">
        <v>902</v>
      </c>
      <c r="B24" s="21" t="str">
        <f t="shared" si="0"/>
        <v>2017/01/04 19:38:49.680</v>
      </c>
      <c r="C24" s="21">
        <f t="shared" si="1"/>
        <v>0.10723616898030741</v>
      </c>
    </row>
    <row r="25" spans="1:3" x14ac:dyDescent="0.25">
      <c r="A25" t="s">
        <v>903</v>
      </c>
      <c r="B25" s="21" t="str">
        <f t="shared" si="0"/>
        <v>2017/01/04 19:38:50.008</v>
      </c>
      <c r="C25" s="21">
        <f t="shared" si="1"/>
        <v>3.7962963688187301E-6</v>
      </c>
    </row>
    <row r="26" spans="1:3" x14ac:dyDescent="0.25">
      <c r="A26" t="s">
        <v>904</v>
      </c>
      <c r="B26" s="21" t="str">
        <f t="shared" si="0"/>
        <v>2017/01/04 20:25:00.072</v>
      </c>
      <c r="C26" s="21">
        <f t="shared" si="1"/>
        <v>3.2060925921541639E-2</v>
      </c>
    </row>
    <row r="27" spans="1:3" x14ac:dyDescent="0.25">
      <c r="A27" t="s">
        <v>905</v>
      </c>
      <c r="B27" s="21" t="str">
        <f t="shared" si="0"/>
        <v>2017/01/04 20:25:00.393</v>
      </c>
      <c r="C27" s="21">
        <f t="shared" si="1"/>
        <v>3.7152785807847977E-6</v>
      </c>
    </row>
    <row r="28" spans="1:3" x14ac:dyDescent="0.25">
      <c r="A28" t="s">
        <v>906</v>
      </c>
      <c r="B28" s="21" t="str">
        <f t="shared" si="0"/>
        <v>2017/01/04 20:25:00.433</v>
      </c>
      <c r="C28" s="21">
        <f t="shared" si="1"/>
        <v>4.6296190703287721E-7</v>
      </c>
    </row>
    <row r="29" spans="1:3" x14ac:dyDescent="0.25">
      <c r="A29" t="s">
        <v>907</v>
      </c>
      <c r="B29" s="21" t="str">
        <f t="shared" si="0"/>
        <v>2017/01/04 20:26:03.072</v>
      </c>
      <c r="C29" s="21">
        <f t="shared" si="1"/>
        <v>7.2498842928325757E-4</v>
      </c>
    </row>
    <row r="30" spans="1:3" x14ac:dyDescent="0.25">
      <c r="A30" t="s">
        <v>908</v>
      </c>
      <c r="B30" s="21" t="str">
        <f t="shared" si="0"/>
        <v>2017/01/04 20:26:03.391</v>
      </c>
      <c r="C30" s="21">
        <f t="shared" si="1"/>
        <v>3.692126483656466E-6</v>
      </c>
    </row>
    <row r="31" spans="1:3" x14ac:dyDescent="0.25">
      <c r="A31" t="s">
        <v>909</v>
      </c>
      <c r="B31" s="21" t="str">
        <f t="shared" si="0"/>
        <v>2017/01/04 20:26:03.431</v>
      </c>
      <c r="C31" s="21">
        <f t="shared" si="1"/>
        <v>4.6296918299049139E-7</v>
      </c>
    </row>
    <row r="32" spans="1:3" x14ac:dyDescent="0.25">
      <c r="A32" t="s">
        <v>910</v>
      </c>
      <c r="B32" s="21" t="str">
        <f t="shared" si="0"/>
        <v>2017/01/04 21:57:24.049</v>
      </c>
      <c r="C32" s="21">
        <f t="shared" si="1"/>
        <v>6.3433078699745238E-2</v>
      </c>
    </row>
    <row r="33" spans="1:3" x14ac:dyDescent="0.25">
      <c r="A33" t="s">
        <v>911</v>
      </c>
      <c r="B33" s="21" t="str">
        <f t="shared" si="0"/>
        <v>2017/01/04 21:57:24.661</v>
      </c>
      <c r="C33" s="21">
        <f t="shared" si="1"/>
        <v>7.0833339123055339E-6</v>
      </c>
    </row>
    <row r="34" spans="1:3" x14ac:dyDescent="0.25">
      <c r="A34" t="s">
        <v>912</v>
      </c>
      <c r="B34" s="21" t="str">
        <f t="shared" si="0"/>
        <v>2017/01/04 21:57:24.777</v>
      </c>
      <c r="C34" s="21">
        <f t="shared" si="1"/>
        <v>1.3425888027995825E-6</v>
      </c>
    </row>
    <row r="35" spans="1:3" x14ac:dyDescent="0.25">
      <c r="A35" t="s">
        <v>913</v>
      </c>
      <c r="B35" s="21" t="str">
        <f t="shared" si="0"/>
        <v>2017/01/04 22:11:06.389</v>
      </c>
      <c r="C35" s="21">
        <f t="shared" si="1"/>
        <v>9.5093981508398429E-3</v>
      </c>
    </row>
    <row r="36" spans="1:3" x14ac:dyDescent="0.25">
      <c r="A36" t="s">
        <v>914</v>
      </c>
      <c r="B36" s="21" t="str">
        <f t="shared" si="0"/>
        <v>2017/01/04 22:11:06.431</v>
      </c>
      <c r="C36" s="21">
        <f t="shared" si="1"/>
        <v>4.8611400416120887E-7</v>
      </c>
    </row>
    <row r="37" spans="1:3" x14ac:dyDescent="0.25">
      <c r="A37" t="s">
        <v>915</v>
      </c>
      <c r="B37" s="21" t="str">
        <f t="shared" si="0"/>
        <v>2017/01/04 22:23:50.303</v>
      </c>
      <c r="C37" s="21">
        <f t="shared" si="1"/>
        <v>8.8411111064488068E-3</v>
      </c>
    </row>
    <row r="38" spans="1:3" x14ac:dyDescent="0.25">
      <c r="A38" t="s">
        <v>916</v>
      </c>
      <c r="B38" s="21" t="str">
        <f t="shared" si="0"/>
        <v>2017/01/04 22:23:50.430</v>
      </c>
      <c r="C38" s="21">
        <f t="shared" si="1"/>
        <v>1.4699107850901783E-6</v>
      </c>
    </row>
    <row r="39" spans="1:3" x14ac:dyDescent="0.25">
      <c r="A39" t="s">
        <v>917</v>
      </c>
      <c r="B39" s="21" t="str">
        <f t="shared" si="0"/>
        <v>2017/01/04 22:51:59.731</v>
      </c>
      <c r="C39" s="21">
        <f t="shared" si="1"/>
        <v>1.9552094905520789E-2</v>
      </c>
    </row>
    <row r="40" spans="1:3" x14ac:dyDescent="0.25">
      <c r="A40" t="s">
        <v>918</v>
      </c>
      <c r="B40" s="21" t="str">
        <f t="shared" si="0"/>
        <v>2017/01/04 22:52:00.185</v>
      </c>
      <c r="C40" s="21">
        <f t="shared" si="1"/>
        <v>5.2546311053447425E-6</v>
      </c>
    </row>
    <row r="41" spans="1:3" x14ac:dyDescent="0.25">
      <c r="A41" t="s">
        <v>919</v>
      </c>
      <c r="B41" s="21" t="str">
        <f t="shared" si="0"/>
        <v>2017/01/04 22:56:35.690</v>
      </c>
      <c r="C41" s="21">
        <f t="shared" si="1"/>
        <v>3.1887152799754404E-3</v>
      </c>
    </row>
    <row r="42" spans="1:3" x14ac:dyDescent="0.25">
      <c r="A42" t="s">
        <v>920</v>
      </c>
      <c r="B42" s="21" t="str">
        <f t="shared" si="0"/>
        <v>2017/01/04 22:56:35.773</v>
      </c>
      <c r="C42" s="21">
        <f t="shared" si="1"/>
        <v>9.6064468380063772E-7</v>
      </c>
    </row>
    <row r="43" spans="1:3" x14ac:dyDescent="0.25">
      <c r="A43" t="s">
        <v>921</v>
      </c>
      <c r="B43" s="21" t="str">
        <f t="shared" si="0"/>
        <v>2017/01/04 22:56:36.044</v>
      </c>
      <c r="C43" s="21">
        <f t="shared" si="1"/>
        <v>3.1365780159831047E-6</v>
      </c>
    </row>
    <row r="44" spans="1:3" x14ac:dyDescent="0.25">
      <c r="A44" t="s">
        <v>922</v>
      </c>
      <c r="B44" s="21" t="str">
        <f t="shared" si="0"/>
        <v>2017/01/05 00:10:58.118</v>
      </c>
      <c r="C44" s="21">
        <f t="shared" si="1"/>
        <v>5.1644374994793907E-2</v>
      </c>
    </row>
    <row r="45" spans="1:3" x14ac:dyDescent="0.25">
      <c r="A45" t="s">
        <v>923</v>
      </c>
      <c r="B45" s="21" t="str">
        <f t="shared" si="0"/>
        <v>2017/01/05 00:10:58.136</v>
      </c>
      <c r="C45" s="21">
        <f t="shared" si="1"/>
        <v>2.0833249436691403E-7</v>
      </c>
    </row>
    <row r="46" spans="1:3" x14ac:dyDescent="0.25">
      <c r="A46" t="s">
        <v>924</v>
      </c>
      <c r="B46" s="21" t="str">
        <f t="shared" si="0"/>
        <v>2017/01/05 00:10:58.464</v>
      </c>
      <c r="C46" s="21">
        <f t="shared" si="1"/>
        <v>3.7962963688187301E-6</v>
      </c>
    </row>
    <row r="47" spans="1:3" x14ac:dyDescent="0.25">
      <c r="A47" t="s">
        <v>925</v>
      </c>
      <c r="B47" s="21" t="str">
        <f t="shared" si="0"/>
        <v>2017/01/05 00:27:22.510</v>
      </c>
      <c r="C47" s="21">
        <f t="shared" si="1"/>
        <v>1.1389421299099922E-2</v>
      </c>
    </row>
    <row r="48" spans="1:3" x14ac:dyDescent="0.25">
      <c r="A48" t="s">
        <v>926</v>
      </c>
      <c r="B48" s="21" t="str">
        <f t="shared" si="0"/>
        <v>2017/01/05 01:10:08.630</v>
      </c>
      <c r="C48" s="21">
        <f t="shared" si="1"/>
        <v>2.9700462961045559E-2</v>
      </c>
    </row>
    <row r="49" spans="1:3" x14ac:dyDescent="0.25">
      <c r="A49" t="s">
        <v>927</v>
      </c>
      <c r="B49" s="21" t="str">
        <f t="shared" si="0"/>
        <v>2017/01/05 01:10:08.983</v>
      </c>
      <c r="C49" s="21">
        <f t="shared" si="1"/>
        <v>4.0856466512195766E-6</v>
      </c>
    </row>
    <row r="50" spans="1:3" x14ac:dyDescent="0.25">
      <c r="A50" t="s">
        <v>928</v>
      </c>
      <c r="B50" s="21" t="str">
        <f t="shared" si="0"/>
        <v>2017/01/05 01:23:25.037</v>
      </c>
      <c r="C50" s="21">
        <f t="shared" si="1"/>
        <v>9.2135879676789045E-3</v>
      </c>
    </row>
    <row r="51" spans="1:3" x14ac:dyDescent="0.25">
      <c r="A51" t="s">
        <v>929</v>
      </c>
      <c r="B51" s="21" t="str">
        <f t="shared" si="0"/>
        <v>2017/01/05 01:23:25.159</v>
      </c>
      <c r="C51" s="21">
        <f t="shared" si="1"/>
        <v>1.4120378182269633E-6</v>
      </c>
    </row>
    <row r="52" spans="1:3" x14ac:dyDescent="0.25">
      <c r="A52" t="s">
        <v>930</v>
      </c>
      <c r="B52" s="21" t="str">
        <f t="shared" si="0"/>
        <v>2017/01/05 01:23:26.461</v>
      </c>
      <c r="C52" s="21">
        <f t="shared" si="1"/>
        <v>1.5069439541548491E-5</v>
      </c>
    </row>
    <row r="53" spans="1:3" x14ac:dyDescent="0.25">
      <c r="A53" t="s">
        <v>931</v>
      </c>
      <c r="B53" s="21" t="str">
        <f t="shared" ref="B53:B55" si="2">MID(A53,6,23)</f>
        <v>2017/01/05 01:29:52.161</v>
      </c>
      <c r="C53" s="21">
        <f t="shared" ref="C53:C55" si="3">ABS(B53-B52)</f>
        <v>4.4641203712671995E-3</v>
      </c>
    </row>
    <row r="54" spans="1:3" x14ac:dyDescent="0.25">
      <c r="A54" t="s">
        <v>932</v>
      </c>
      <c r="B54" s="21" t="str">
        <f t="shared" si="2"/>
        <v>2017/01/05 01:29:52.508</v>
      </c>
      <c r="C54" s="21">
        <f t="shared" si="3"/>
        <v>4.01620491174981E-6</v>
      </c>
    </row>
    <row r="55" spans="1:3" x14ac:dyDescent="0.25">
      <c r="A55" t="s">
        <v>933</v>
      </c>
      <c r="B55" s="21" t="str">
        <f t="shared" si="2"/>
        <v>2017/01/05 01:29:52.898</v>
      </c>
      <c r="C55" s="21">
        <f t="shared" si="3"/>
        <v>4.5138876885175705E-6</v>
      </c>
    </row>
    <row r="56" spans="1:3" x14ac:dyDescent="0.25">
      <c r="A56" t="s">
        <v>934</v>
      </c>
      <c r="B56" s="21" t="str">
        <f t="shared" ref="B56:B85" si="4">MID(A56,6,23)</f>
        <v>2017/01/05 02:07:23.156</v>
      </c>
      <c r="C56" s="21">
        <f t="shared" ref="C56:C85" si="5">ABS(B56-B55)</f>
        <v>2.6044652782729827E-2</v>
      </c>
    </row>
    <row r="57" spans="1:3" x14ac:dyDescent="0.25">
      <c r="A57" t="s">
        <v>935</v>
      </c>
      <c r="B57" s="21" t="str">
        <f t="shared" si="4"/>
        <v>2017/01/05 02:07:23.444</v>
      </c>
      <c r="C57" s="21">
        <f t="shared" si="5"/>
        <v>3.3333271858282387E-6</v>
      </c>
    </row>
    <row r="58" spans="1:3" x14ac:dyDescent="0.25">
      <c r="A58" t="s">
        <v>936</v>
      </c>
      <c r="B58" s="21" t="str">
        <f t="shared" si="4"/>
        <v>2017/01/05 02:07:24.043</v>
      </c>
      <c r="C58" s="21">
        <f t="shared" si="5"/>
        <v>6.9328743848018348E-6</v>
      </c>
    </row>
    <row r="59" spans="1:3" x14ac:dyDescent="0.25">
      <c r="A59" t="s">
        <v>937</v>
      </c>
      <c r="B59" s="21" t="str">
        <f t="shared" si="4"/>
        <v>2017/01/05 02:58:22.082</v>
      </c>
      <c r="C59" s="21">
        <f t="shared" si="5"/>
        <v>3.5393969905271661E-2</v>
      </c>
    </row>
    <row r="60" spans="1:3" x14ac:dyDescent="0.25">
      <c r="A60" t="s">
        <v>938</v>
      </c>
      <c r="B60" s="21" t="str">
        <f t="shared" si="4"/>
        <v>2017/01/05 02:58:22.394</v>
      </c>
      <c r="C60" s="21">
        <f t="shared" si="5"/>
        <v>3.6111159715801477E-6</v>
      </c>
    </row>
    <row r="61" spans="1:3" x14ac:dyDescent="0.25">
      <c r="A61" t="s">
        <v>939</v>
      </c>
      <c r="B61" s="21" t="str">
        <f t="shared" si="4"/>
        <v>2017/01/05 02:58:22.561</v>
      </c>
      <c r="C61" s="21">
        <f t="shared" si="5"/>
        <v>1.9328654161654413E-6</v>
      </c>
    </row>
    <row r="62" spans="1:3" x14ac:dyDescent="0.25">
      <c r="A62" t="s">
        <v>940</v>
      </c>
      <c r="B62" s="21" t="str">
        <f t="shared" si="4"/>
        <v>2017/01/05 03:36:48.075</v>
      </c>
      <c r="C62" s="21">
        <f t="shared" si="5"/>
        <v>2.6684189819206949E-2</v>
      </c>
    </row>
    <row r="63" spans="1:3" x14ac:dyDescent="0.25">
      <c r="A63" t="s">
        <v>941</v>
      </c>
      <c r="B63" s="21" t="str">
        <f t="shared" si="4"/>
        <v>2017/01/05 03:36:48.251</v>
      </c>
      <c r="C63" s="21">
        <f t="shared" si="5"/>
        <v>2.0370353013277054E-6</v>
      </c>
    </row>
    <row r="64" spans="1:3" x14ac:dyDescent="0.25">
      <c r="A64" t="s">
        <v>942</v>
      </c>
      <c r="B64" s="21" t="str">
        <f t="shared" si="4"/>
        <v>2017/01/05 03:36:48.388</v>
      </c>
      <c r="C64" s="21">
        <f t="shared" si="5"/>
        <v>1.585649442858994E-6</v>
      </c>
    </row>
    <row r="65" spans="1:3" x14ac:dyDescent="0.25">
      <c r="A65" t="s">
        <v>943</v>
      </c>
      <c r="B65" s="21" t="str">
        <f t="shared" si="4"/>
        <v>2017/01/05 03:42:25.500</v>
      </c>
      <c r="C65" s="21">
        <f t="shared" si="5"/>
        <v>3.9017592571326531E-3</v>
      </c>
    </row>
    <row r="66" spans="1:3" x14ac:dyDescent="0.25">
      <c r="A66" t="s">
        <v>944</v>
      </c>
      <c r="B66" s="21" t="str">
        <f t="shared" si="4"/>
        <v>2017/01/05 03:42:26.621</v>
      </c>
      <c r="C66" s="21">
        <f t="shared" si="5"/>
        <v>1.2974538549315184E-5</v>
      </c>
    </row>
    <row r="67" spans="1:3" x14ac:dyDescent="0.25">
      <c r="A67" t="s">
        <v>945</v>
      </c>
      <c r="B67" s="21" t="str">
        <f t="shared" si="4"/>
        <v>2017/01/05 03:42:27.376</v>
      </c>
      <c r="C67" s="21">
        <f t="shared" si="5"/>
        <v>8.7384250946342945E-6</v>
      </c>
    </row>
    <row r="68" spans="1:3" x14ac:dyDescent="0.25">
      <c r="A68" t="s">
        <v>946</v>
      </c>
      <c r="B68" s="21" t="str">
        <f t="shared" si="4"/>
        <v>2017/01/05 04:30:45.649</v>
      </c>
      <c r="C68" s="21">
        <f t="shared" si="5"/>
        <v>3.3544826386787463E-2</v>
      </c>
    </row>
    <row r="69" spans="1:3" x14ac:dyDescent="0.25">
      <c r="A69" t="s">
        <v>947</v>
      </c>
      <c r="B69" s="21" t="str">
        <f t="shared" si="4"/>
        <v>2017/01/05 04:57:43.054</v>
      </c>
      <c r="C69" s="21">
        <f t="shared" si="5"/>
        <v>1.8719965279160533E-2</v>
      </c>
    </row>
    <row r="70" spans="1:3" x14ac:dyDescent="0.25">
      <c r="A70" t="s">
        <v>948</v>
      </c>
      <c r="B70" s="21" t="str">
        <f t="shared" si="4"/>
        <v>2017/01/05 04:57:43.660</v>
      </c>
      <c r="C70" s="21">
        <f t="shared" si="5"/>
        <v>7.0138921728357673E-6</v>
      </c>
    </row>
    <row r="71" spans="1:3" x14ac:dyDescent="0.25">
      <c r="A71" t="s">
        <v>949</v>
      </c>
      <c r="B71" s="21" t="str">
        <f t="shared" si="4"/>
        <v>2017/01/05 04:57:43.767</v>
      </c>
      <c r="C71" s="21">
        <f t="shared" si="5"/>
        <v>1.2384189176373184E-6</v>
      </c>
    </row>
    <row r="72" spans="1:3" x14ac:dyDescent="0.25">
      <c r="A72" t="s">
        <v>950</v>
      </c>
      <c r="B72" s="21" t="str">
        <f t="shared" si="4"/>
        <v>2017/01/05 05:08:26.033</v>
      </c>
      <c r="C72" s="21">
        <f t="shared" si="5"/>
        <v>7.4336342659080401E-3</v>
      </c>
    </row>
    <row r="73" spans="1:3" x14ac:dyDescent="0.25">
      <c r="A73" t="s">
        <v>951</v>
      </c>
      <c r="B73" s="21" t="str">
        <f t="shared" si="4"/>
        <v>2017/01/05 05:08:26.147</v>
      </c>
      <c r="C73" s="21">
        <f t="shared" si="5"/>
        <v>1.319443981628865E-6</v>
      </c>
    </row>
    <row r="74" spans="1:3" x14ac:dyDescent="0.25">
      <c r="A74" t="s">
        <v>952</v>
      </c>
      <c r="B74" s="21" t="str">
        <f t="shared" si="4"/>
        <v>2017/01/05 05:08:26.463</v>
      </c>
      <c r="C74" s="21">
        <f t="shared" si="5"/>
        <v>3.6574056139215827E-6</v>
      </c>
    </row>
    <row r="75" spans="1:3" x14ac:dyDescent="0.25">
      <c r="A75" t="s">
        <v>953</v>
      </c>
      <c r="B75" s="21" t="str">
        <f t="shared" si="4"/>
        <v>2017/01/05 05:40:14.701</v>
      </c>
      <c r="C75" s="21">
        <f t="shared" si="5"/>
        <v>2.2086087963543832E-2</v>
      </c>
    </row>
    <row r="76" spans="1:3" x14ac:dyDescent="0.25">
      <c r="A76" t="s">
        <v>954</v>
      </c>
      <c r="B76" s="21" t="str">
        <f t="shared" si="4"/>
        <v>2017/01/05 05:40:14.753</v>
      </c>
      <c r="C76" s="21">
        <f t="shared" si="5"/>
        <v>6.0185266193002462E-7</v>
      </c>
    </row>
    <row r="77" spans="1:3" x14ac:dyDescent="0.25">
      <c r="A77" t="s">
        <v>955</v>
      </c>
      <c r="B77" s="21" t="str">
        <f t="shared" si="4"/>
        <v>2017/01/05 05:40:14.776</v>
      </c>
      <c r="C77" s="21">
        <f t="shared" si="5"/>
        <v>2.6619818527251482E-7</v>
      </c>
    </row>
    <row r="78" spans="1:3" x14ac:dyDescent="0.25">
      <c r="A78" t="s">
        <v>956</v>
      </c>
      <c r="B78" s="21" t="str">
        <f t="shared" si="4"/>
        <v>2017/01/05 05:40:14.802</v>
      </c>
      <c r="C78" s="21">
        <f t="shared" si="5"/>
        <v>3.0092633096501231E-7</v>
      </c>
    </row>
    <row r="79" spans="1:3" x14ac:dyDescent="0.25">
      <c r="A79" t="s">
        <v>957</v>
      </c>
      <c r="B79" s="21" t="str">
        <f t="shared" si="4"/>
        <v>2017/01/05 05:40:15.062</v>
      </c>
      <c r="C79" s="21">
        <f t="shared" si="5"/>
        <v>3.0092633096501231E-6</v>
      </c>
    </row>
    <row r="80" spans="1:3" x14ac:dyDescent="0.25">
      <c r="A80" t="s">
        <v>958</v>
      </c>
      <c r="B80" s="21" t="str">
        <f t="shared" si="4"/>
        <v>2017/01/05 05:40:15.092</v>
      </c>
      <c r="C80" s="21">
        <f t="shared" si="5"/>
        <v>3.4722324926406145E-7</v>
      </c>
    </row>
    <row r="81" spans="1:3" x14ac:dyDescent="0.25">
      <c r="A81" t="s">
        <v>959</v>
      </c>
      <c r="B81" s="21" t="str">
        <f t="shared" si="4"/>
        <v>2017/01/05 05:41:55.686</v>
      </c>
      <c r="C81" s="21">
        <f t="shared" si="5"/>
        <v>1.164282402896788E-3</v>
      </c>
    </row>
    <row r="82" spans="1:3" x14ac:dyDescent="0.25">
      <c r="A82" t="s">
        <v>960</v>
      </c>
      <c r="B82" s="21" t="str">
        <f t="shared" si="4"/>
        <v>2017/01/05 05:41:56.053</v>
      </c>
      <c r="C82" s="21">
        <f t="shared" si="5"/>
        <v>4.2476895032450557E-6</v>
      </c>
    </row>
    <row r="83" spans="1:3" x14ac:dyDescent="0.25">
      <c r="A83" t="s">
        <v>961</v>
      </c>
      <c r="B83" s="21" t="str">
        <f t="shared" si="4"/>
        <v>2017/01/05 05:41:56.775</v>
      </c>
      <c r="C83" s="21">
        <f t="shared" si="5"/>
        <v>8.3564809756353498E-6</v>
      </c>
    </row>
    <row r="84" spans="1:3" x14ac:dyDescent="0.25">
      <c r="A84" t="s">
        <v>962</v>
      </c>
      <c r="B84" s="21" t="str">
        <f t="shared" si="4"/>
        <v>2017/01/05 07:07:27.035</v>
      </c>
      <c r="C84" s="21">
        <f t="shared" si="5"/>
        <v>5.9378009260399267E-2</v>
      </c>
    </row>
    <row r="85" spans="1:3" x14ac:dyDescent="0.25">
      <c r="A85" t="s">
        <v>963</v>
      </c>
      <c r="B85" s="21" t="str">
        <f t="shared" si="4"/>
        <v>2017/01/05 07:07:27.145</v>
      </c>
      <c r="C85" s="21">
        <f t="shared" si="5"/>
        <v>1.2731470633298159E-6</v>
      </c>
    </row>
    <row r="86" spans="1:3" x14ac:dyDescent="0.25">
      <c r="B86" s="21"/>
      <c r="C86" s="21"/>
    </row>
    <row r="87" spans="1:3" x14ac:dyDescent="0.25">
      <c r="B87" s="21"/>
      <c r="C87" s="21"/>
    </row>
    <row r="88" spans="1:3" x14ac:dyDescent="0.25">
      <c r="B88" s="21"/>
      <c r="C88" s="21"/>
    </row>
    <row r="89" spans="1:3" x14ac:dyDescent="0.25">
      <c r="B89" s="21"/>
      <c r="C89" s="21"/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2017-01-05T16:42:15Z</dcterms:modified>
</cp:coreProperties>
</file>