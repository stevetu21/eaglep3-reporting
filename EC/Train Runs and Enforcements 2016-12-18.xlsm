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  <externalReference r:id="rId11"/>
  </externalReferences>
  <definedNames>
    <definedName name="_xlnm._FilterDatabase" localSheetId="1" hidden="1">Enforcements!$A$6:$AC$43</definedName>
    <definedName name="_xlnm._FilterDatabase" localSheetId="2" hidden="1">'Missing Trips'!$A$2:$K$146</definedName>
    <definedName name="_xlnm._FilterDatabase" localSheetId="0" hidden="1">'Train Runs'!$A$12:$AG$224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F4" i="6" s="1"/>
  <c r="G4" i="6"/>
  <c r="H4" i="6"/>
  <c r="I4" i="6"/>
  <c r="K4" i="6"/>
  <c r="B5" i="6"/>
  <c r="F5" i="6" s="1"/>
  <c r="I5" i="6"/>
  <c r="B6" i="6"/>
  <c r="G6" i="6" s="1"/>
  <c r="F6" i="6"/>
  <c r="I6" i="6"/>
  <c r="J6" i="6"/>
  <c r="B7" i="6"/>
  <c r="F7" i="6"/>
  <c r="G7" i="6"/>
  <c r="H7" i="6"/>
  <c r="I7" i="6"/>
  <c r="J7" i="6"/>
  <c r="K7" i="6"/>
  <c r="B8" i="6"/>
  <c r="F8" i="6" s="1"/>
  <c r="G8" i="6"/>
  <c r="H8" i="6"/>
  <c r="I8" i="6"/>
  <c r="K8" i="6"/>
  <c r="B9" i="6"/>
  <c r="F9" i="6" s="1"/>
  <c r="I9" i="6"/>
  <c r="B10" i="6"/>
  <c r="G10" i="6" s="1"/>
  <c r="F10" i="6"/>
  <c r="I10" i="6"/>
  <c r="J10" i="6"/>
  <c r="B11" i="6"/>
  <c r="F11" i="6"/>
  <c r="G11" i="6"/>
  <c r="H11" i="6"/>
  <c r="I11" i="6"/>
  <c r="J11" i="6"/>
  <c r="K11" i="6"/>
  <c r="B12" i="6"/>
  <c r="F12" i="6" s="1"/>
  <c r="G12" i="6"/>
  <c r="H12" i="6"/>
  <c r="I12" i="6"/>
  <c r="K12" i="6"/>
  <c r="B13" i="6"/>
  <c r="F13" i="6" s="1"/>
  <c r="I13" i="6"/>
  <c r="B14" i="6"/>
  <c r="G14" i="6" s="1"/>
  <c r="F14" i="6"/>
  <c r="I14" i="6"/>
  <c r="J14" i="6"/>
  <c r="B15" i="6"/>
  <c r="F15" i="6"/>
  <c r="G15" i="6"/>
  <c r="H15" i="6"/>
  <c r="I15" i="6"/>
  <c r="J15" i="6"/>
  <c r="K15" i="6"/>
  <c r="B16" i="6"/>
  <c r="F16" i="6" s="1"/>
  <c r="G16" i="6"/>
  <c r="H16" i="6"/>
  <c r="I16" i="6"/>
  <c r="K16" i="6"/>
  <c r="B17" i="6"/>
  <c r="F17" i="6" s="1"/>
  <c r="I17" i="6"/>
  <c r="B18" i="6"/>
  <c r="G18" i="6" s="1"/>
  <c r="F18" i="6"/>
  <c r="I18" i="6"/>
  <c r="J18" i="6"/>
  <c r="B19" i="6"/>
  <c r="F19" i="6"/>
  <c r="G19" i="6"/>
  <c r="H19" i="6"/>
  <c r="I19" i="6"/>
  <c r="J19" i="6"/>
  <c r="K19" i="6"/>
  <c r="H9" i="6" l="1"/>
  <c r="H5" i="6"/>
  <c r="H18" i="6"/>
  <c r="K17" i="6"/>
  <c r="G17" i="6"/>
  <c r="J16" i="6"/>
  <c r="H14" i="6"/>
  <c r="K13" i="6"/>
  <c r="G13" i="6"/>
  <c r="J12" i="6"/>
  <c r="H10" i="6"/>
  <c r="K9" i="6"/>
  <c r="G9" i="6"/>
  <c r="J8" i="6"/>
  <c r="H6" i="6"/>
  <c r="K5" i="6"/>
  <c r="G5" i="6"/>
  <c r="J4" i="6"/>
  <c r="H17" i="6"/>
  <c r="H13" i="6"/>
  <c r="K18" i="6"/>
  <c r="J17" i="6"/>
  <c r="K14" i="6"/>
  <c r="J13" i="6"/>
  <c r="K10" i="6"/>
  <c r="J9" i="6"/>
  <c r="K6" i="6"/>
  <c r="J5" i="6"/>
  <c r="K14" i="1"/>
  <c r="L14" i="1"/>
  <c r="M14" i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P17" i="1" s="1"/>
  <c r="V17" i="1"/>
  <c r="Y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P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P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P25" i="1" s="1"/>
  <c r="V25" i="1"/>
  <c r="Y25" i="1"/>
  <c r="Z25" i="1"/>
  <c r="AB25" i="1"/>
  <c r="AC25" i="1"/>
  <c r="AD25" i="1"/>
  <c r="T25" i="1" s="1"/>
  <c r="AE25" i="1"/>
  <c r="R12" i="3" s="1"/>
  <c r="AF25" i="1"/>
  <c r="AH25" i="1"/>
  <c r="K26" i="1"/>
  <c r="L26" i="1"/>
  <c r="M26" i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P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P28" i="1" s="1"/>
  <c r="V28" i="1"/>
  <c r="Y28" i="1"/>
  <c r="Z28" i="1"/>
  <c r="AB28" i="1"/>
  <c r="AC28" i="1"/>
  <c r="AD28" i="1"/>
  <c r="AE28" i="1"/>
  <c r="R22" i="3" s="1"/>
  <c r="AF28" i="1"/>
  <c r="AH28" i="1"/>
  <c r="K29" i="1"/>
  <c r="L29" i="1"/>
  <c r="M29" i="1"/>
  <c r="P29" i="1" s="1"/>
  <c r="V29" i="1"/>
  <c r="Y29" i="1"/>
  <c r="Z29" i="1"/>
  <c r="AB29" i="1"/>
  <c r="AC29" i="1"/>
  <c r="AD29" i="1"/>
  <c r="AE29" i="1"/>
  <c r="R24" i="3" s="1"/>
  <c r="AF29" i="1"/>
  <c r="AH29" i="1"/>
  <c r="K30" i="1"/>
  <c r="L30" i="1"/>
  <c r="M30" i="1"/>
  <c r="P30" i="1" s="1"/>
  <c r="V30" i="1"/>
  <c r="S19" i="3" s="1"/>
  <c r="Y30" i="1"/>
  <c r="Z30" i="1"/>
  <c r="AB30" i="1"/>
  <c r="AC30" i="1"/>
  <c r="AD30" i="1"/>
  <c r="AG30" i="1" s="1"/>
  <c r="AE30" i="1"/>
  <c r="R18" i="3" s="1"/>
  <c r="AF30" i="1"/>
  <c r="AH30" i="1"/>
  <c r="K31" i="1"/>
  <c r="L31" i="1"/>
  <c r="M31" i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P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P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23" i="3" s="1"/>
  <c r="Y38" i="1"/>
  <c r="Z38" i="1"/>
  <c r="AB38" i="1"/>
  <c r="AC38" i="1"/>
  <c r="AD38" i="1"/>
  <c r="X38" i="1" s="1"/>
  <c r="AE38" i="1"/>
  <c r="R23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R29" i="3" s="1"/>
  <c r="AF39" i="1"/>
  <c r="AH39" i="1"/>
  <c r="K40" i="1"/>
  <c r="L40" i="1"/>
  <c r="M40" i="1"/>
  <c r="P40" i="1" s="1"/>
  <c r="V40" i="1"/>
  <c r="Y40" i="1"/>
  <c r="Z40" i="1"/>
  <c r="AB40" i="1"/>
  <c r="AC40" i="1"/>
  <c r="AD40" i="1"/>
  <c r="X40" i="1" s="1"/>
  <c r="AE40" i="1"/>
  <c r="R25" i="3" s="1"/>
  <c r="AF40" i="1"/>
  <c r="AH40" i="1"/>
  <c r="K41" i="1"/>
  <c r="L41" i="1"/>
  <c r="M41" i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/>
  <c r="V51" i="1"/>
  <c r="Y51" i="1"/>
  <c r="AA51" i="1" s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S10" i="3" s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R7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AA62" i="1" s="1"/>
  <c r="Z62" i="1"/>
  <c r="AB62" i="1"/>
  <c r="AC62" i="1"/>
  <c r="AD62" i="1"/>
  <c r="AG62" i="1" s="1"/>
  <c r="AE62" i="1"/>
  <c r="AF62" i="1"/>
  <c r="AH62" i="1"/>
  <c r="AI62" i="1"/>
  <c r="K63" i="1"/>
  <c r="L63" i="1"/>
  <c r="M63" i="1"/>
  <c r="N63" i="1" s="1"/>
  <c r="V63" i="1"/>
  <c r="S14" i="3" s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G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I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I73" i="1" s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R20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R15" i="3" s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8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87" i="1"/>
  <c r="K158" i="1"/>
  <c r="L158" i="1"/>
  <c r="M158" i="1"/>
  <c r="P158" i="1" s="1"/>
  <c r="V158" i="1"/>
  <c r="Y158" i="1"/>
  <c r="AB158" i="1"/>
  <c r="AC158" i="1"/>
  <c r="AD158" i="1"/>
  <c r="T158" i="1" s="1"/>
  <c r="AE158" i="1"/>
  <c r="AF158" i="1"/>
  <c r="AH8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8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1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4" i="1"/>
  <c r="K165" i="1"/>
  <c r="L165" i="1"/>
  <c r="M165" i="1"/>
  <c r="N165" i="1" s="1"/>
  <c r="V165" i="1"/>
  <c r="Y165" i="1"/>
  <c r="Z165" i="1"/>
  <c r="AI165" i="1" s="1"/>
  <c r="AB165" i="1"/>
  <c r="AC165" i="1"/>
  <c r="AD165" i="1"/>
  <c r="AG165" i="1" s="1"/>
  <c r="AE165" i="1"/>
  <c r="AF165" i="1"/>
  <c r="AH9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96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9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8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1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2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05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106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07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08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09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3" i="1"/>
  <c r="K183" i="1"/>
  <c r="L183" i="1"/>
  <c r="M183" i="1"/>
  <c r="N183" i="1"/>
  <c r="V183" i="1"/>
  <c r="Y183" i="1"/>
  <c r="Z183" i="1"/>
  <c r="AB183" i="1"/>
  <c r="AC183" i="1"/>
  <c r="AD183" i="1"/>
  <c r="AG183" i="1" s="1"/>
  <c r="AE183" i="1"/>
  <c r="AF183" i="1"/>
  <c r="AH11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5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116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117" i="1"/>
  <c r="K186" i="1"/>
  <c r="L186" i="1"/>
  <c r="M186" i="1"/>
  <c r="N186" i="1" s="1"/>
  <c r="V186" i="1"/>
  <c r="S34" i="3" s="1"/>
  <c r="Y186" i="1"/>
  <c r="Z186" i="1"/>
  <c r="AB186" i="1"/>
  <c r="AC186" i="1"/>
  <c r="AD186" i="1"/>
  <c r="AG186" i="1" s="1"/>
  <c r="AE186" i="1"/>
  <c r="R34" i="3" s="1"/>
  <c r="AF186" i="1"/>
  <c r="AH118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1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1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122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123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124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125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26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27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12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30" i="1"/>
  <c r="K96" i="1"/>
  <c r="L96" i="1"/>
  <c r="M96" i="1"/>
  <c r="N96" i="1" s="1"/>
  <c r="V96" i="1"/>
  <c r="S9" i="3" s="1"/>
  <c r="Y96" i="1"/>
  <c r="Z96" i="1"/>
  <c r="AB96" i="1"/>
  <c r="AC96" i="1"/>
  <c r="AD96" i="1"/>
  <c r="AE96" i="1"/>
  <c r="AF96" i="1"/>
  <c r="AH131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132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3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4" i="1"/>
  <c r="K100" i="1"/>
  <c r="L100" i="1"/>
  <c r="M100" i="1"/>
  <c r="N100" i="1" s="1"/>
  <c r="V100" i="1"/>
  <c r="S26" i="3" s="1"/>
  <c r="Y100" i="1"/>
  <c r="Z100" i="1"/>
  <c r="AB100" i="1"/>
  <c r="AC100" i="1"/>
  <c r="AD100" i="1"/>
  <c r="AG100" i="1" s="1"/>
  <c r="AE100" i="1"/>
  <c r="R26" i="3" s="1"/>
  <c r="AF100" i="1"/>
  <c r="AH135" i="1"/>
  <c r="K101" i="1"/>
  <c r="L101" i="1"/>
  <c r="M101" i="1"/>
  <c r="N101" i="1" s="1"/>
  <c r="V101" i="1"/>
  <c r="S8" i="3" s="1"/>
  <c r="Y101" i="1"/>
  <c r="Z101" i="1"/>
  <c r="AB101" i="1"/>
  <c r="AC101" i="1"/>
  <c r="AD101" i="1"/>
  <c r="T101" i="1" s="1"/>
  <c r="AE101" i="1"/>
  <c r="R8" i="3" s="1"/>
  <c r="AF101" i="1"/>
  <c r="AH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8" i="1"/>
  <c r="K104" i="1"/>
  <c r="L104" i="1"/>
  <c r="M104" i="1"/>
  <c r="P104" i="1" s="1"/>
  <c r="V104" i="1"/>
  <c r="S30" i="3" s="1"/>
  <c r="Y104" i="1"/>
  <c r="Z104" i="1"/>
  <c r="AB104" i="1"/>
  <c r="AC104" i="1"/>
  <c r="AD104" i="1"/>
  <c r="X104" i="1" s="1"/>
  <c r="AE104" i="1"/>
  <c r="AF104" i="1"/>
  <c r="AH139" i="1"/>
  <c r="AH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K106" i="1"/>
  <c r="L106" i="1"/>
  <c r="M106" i="1"/>
  <c r="P106" i="1" s="1"/>
  <c r="V106" i="1"/>
  <c r="S21" i="3" s="1"/>
  <c r="Y106" i="1"/>
  <c r="Z106" i="1"/>
  <c r="AB106" i="1"/>
  <c r="AC106" i="1"/>
  <c r="AD106" i="1"/>
  <c r="AE106" i="1"/>
  <c r="R21" i="3" s="1"/>
  <c r="AF106" i="1"/>
  <c r="AH142" i="1"/>
  <c r="K107" i="1"/>
  <c r="L107" i="1"/>
  <c r="M107" i="1"/>
  <c r="V107" i="1"/>
  <c r="Y107" i="1"/>
  <c r="Z107" i="1"/>
  <c r="AB107" i="1"/>
  <c r="AC107" i="1"/>
  <c r="AD107" i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K109" i="1"/>
  <c r="L109" i="1"/>
  <c r="M109" i="1"/>
  <c r="P109" i="1" s="1"/>
  <c r="V109" i="1"/>
  <c r="Y109" i="1"/>
  <c r="Z109" i="1"/>
  <c r="AB109" i="1"/>
  <c r="AC109" i="1"/>
  <c r="AD109" i="1"/>
  <c r="AG109" i="1" s="1"/>
  <c r="AE109" i="1"/>
  <c r="R31" i="3" s="1"/>
  <c r="AF109" i="1"/>
  <c r="AH145" i="1"/>
  <c r="K110" i="1"/>
  <c r="L110" i="1"/>
  <c r="M110" i="1"/>
  <c r="V110" i="1"/>
  <c r="Y110" i="1"/>
  <c r="Z110" i="1"/>
  <c r="AB110" i="1"/>
  <c r="AC110" i="1"/>
  <c r="AD110" i="1"/>
  <c r="AG110" i="1" s="1"/>
  <c r="AE110" i="1"/>
  <c r="AF110" i="1"/>
  <c r="AH146" i="1"/>
  <c r="K111" i="1"/>
  <c r="L111" i="1"/>
  <c r="M111" i="1"/>
  <c r="V111" i="1"/>
  <c r="Y111" i="1"/>
  <c r="Z111" i="1"/>
  <c r="AB111" i="1"/>
  <c r="AC111" i="1"/>
  <c r="AD111" i="1"/>
  <c r="AE111" i="1"/>
  <c r="AF111" i="1"/>
  <c r="AH147" i="1"/>
  <c r="K112" i="1"/>
  <c r="L112" i="1"/>
  <c r="M112" i="1"/>
  <c r="V112" i="1"/>
  <c r="S13" i="3" s="1"/>
  <c r="Y112" i="1"/>
  <c r="Z112" i="1"/>
  <c r="AB112" i="1"/>
  <c r="AC112" i="1"/>
  <c r="AD112" i="1"/>
  <c r="X112" i="1" s="1"/>
  <c r="AE112" i="1"/>
  <c r="R13" i="3" s="1"/>
  <c r="AF112" i="1"/>
  <c r="AH148" i="1"/>
  <c r="K113" i="1"/>
  <c r="L113" i="1"/>
  <c r="M113" i="1"/>
  <c r="V113" i="1"/>
  <c r="Y113" i="1"/>
  <c r="Z113" i="1"/>
  <c r="AB113" i="1"/>
  <c r="AC113" i="1"/>
  <c r="AD113" i="1"/>
  <c r="X113" i="1" s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K115" i="1"/>
  <c r="L115" i="1"/>
  <c r="M115" i="1"/>
  <c r="V115" i="1"/>
  <c r="Y115" i="1"/>
  <c r="Z115" i="1"/>
  <c r="AB115" i="1"/>
  <c r="AC115" i="1"/>
  <c r="AD115" i="1"/>
  <c r="T115" i="1" s="1"/>
  <c r="AE115" i="1"/>
  <c r="AF115" i="1"/>
  <c r="AH151" i="1"/>
  <c r="K116" i="1"/>
  <c r="L116" i="1"/>
  <c r="M116" i="1"/>
  <c r="V116" i="1"/>
  <c r="Y116" i="1"/>
  <c r="Z116" i="1"/>
  <c r="AB116" i="1"/>
  <c r="AC116" i="1"/>
  <c r="AD116" i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K118" i="1"/>
  <c r="L118" i="1"/>
  <c r="M118" i="1"/>
  <c r="V118" i="1"/>
  <c r="Y118" i="1"/>
  <c r="Z118" i="1"/>
  <c r="AB118" i="1"/>
  <c r="AC118" i="1"/>
  <c r="AD118" i="1"/>
  <c r="AG118" i="1" s="1"/>
  <c r="AE118" i="1"/>
  <c r="AF118" i="1"/>
  <c r="AH154" i="1"/>
  <c r="K119" i="1"/>
  <c r="L119" i="1"/>
  <c r="M119" i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S16" i="3" s="1"/>
  <c r="Y120" i="1"/>
  <c r="Z120" i="1"/>
  <c r="AB120" i="1"/>
  <c r="AC120" i="1"/>
  <c r="AD120" i="1"/>
  <c r="AE120" i="1"/>
  <c r="R16" i="3" s="1"/>
  <c r="AF120" i="1"/>
  <c r="AH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K124" i="1"/>
  <c r="L124" i="1"/>
  <c r="M124" i="1"/>
  <c r="P124" i="1" s="1"/>
  <c r="V124" i="1"/>
  <c r="S27" i="3" s="1"/>
  <c r="Y124" i="1"/>
  <c r="Z124" i="1"/>
  <c r="AB124" i="1"/>
  <c r="AC124" i="1"/>
  <c r="AD124" i="1"/>
  <c r="AE124" i="1"/>
  <c r="R27" i="3" s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K127" i="1"/>
  <c r="L127" i="1"/>
  <c r="M127" i="1"/>
  <c r="P127" i="1" s="1"/>
  <c r="V127" i="1"/>
  <c r="Y127" i="1"/>
  <c r="Z127" i="1"/>
  <c r="AB127" i="1"/>
  <c r="AC127" i="1"/>
  <c r="AD127" i="1"/>
  <c r="AE127" i="1"/>
  <c r="AF127" i="1"/>
  <c r="AH162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7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8" i="1"/>
  <c r="K134" i="1"/>
  <c r="L134" i="1"/>
  <c r="M134" i="1"/>
  <c r="V134" i="1"/>
  <c r="S11" i="3" s="1"/>
  <c r="Y134" i="1"/>
  <c r="Z134" i="1"/>
  <c r="AB134" i="1"/>
  <c r="AC134" i="1"/>
  <c r="AD134" i="1"/>
  <c r="AG134" i="1" s="1"/>
  <c r="AE134" i="1"/>
  <c r="R11" i="3" s="1"/>
  <c r="AF134" i="1"/>
  <c r="AH169" i="1"/>
  <c r="K135" i="1"/>
  <c r="L135" i="1"/>
  <c r="M135" i="1"/>
  <c r="V135" i="1"/>
  <c r="Y135" i="1"/>
  <c r="Z135" i="1"/>
  <c r="AB135" i="1"/>
  <c r="AC135" i="1"/>
  <c r="AD135" i="1"/>
  <c r="AE135" i="1"/>
  <c r="AF135" i="1"/>
  <c r="AH170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4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5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K145" i="1"/>
  <c r="L145" i="1"/>
  <c r="M145" i="1"/>
  <c r="N145" i="1" s="1"/>
  <c r="V145" i="1"/>
  <c r="S17" i="3" s="1"/>
  <c r="Y145" i="1"/>
  <c r="Z145" i="1"/>
  <c r="AB145" i="1"/>
  <c r="AC145" i="1"/>
  <c r="AD145" i="1"/>
  <c r="T145" i="1" s="1"/>
  <c r="AE145" i="1"/>
  <c r="R17" i="3" s="1"/>
  <c r="AF145" i="1"/>
  <c r="AH180" i="1"/>
  <c r="K146" i="1"/>
  <c r="L146" i="1"/>
  <c r="M146" i="1"/>
  <c r="N146" i="1" s="1"/>
  <c r="V146" i="1"/>
  <c r="S33" i="3" s="1"/>
  <c r="Y146" i="1"/>
  <c r="Z146" i="1"/>
  <c r="AB146" i="1"/>
  <c r="AC146" i="1"/>
  <c r="AD146" i="1"/>
  <c r="AG146" i="1" s="1"/>
  <c r="AE146" i="1"/>
  <c r="R33" i="3" s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AH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2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3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4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195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3" i="1"/>
  <c r="K204" i="1"/>
  <c r="L204" i="1"/>
  <c r="M204" i="1"/>
  <c r="N204" i="1" s="1"/>
  <c r="V204" i="1"/>
  <c r="S37" i="3" s="1"/>
  <c r="Y204" i="1"/>
  <c r="Z204" i="1"/>
  <c r="AB204" i="1"/>
  <c r="AC204" i="1"/>
  <c r="AD204" i="1"/>
  <c r="T204" i="1" s="1"/>
  <c r="AE204" i="1"/>
  <c r="R37" i="3" s="1"/>
  <c r="AF204" i="1"/>
  <c r="AH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5" i="1"/>
  <c r="K206" i="1"/>
  <c r="L206" i="1"/>
  <c r="M206" i="1"/>
  <c r="N206" i="1" s="1"/>
  <c r="V206" i="1"/>
  <c r="S35" i="3" s="1"/>
  <c r="Y206" i="1"/>
  <c r="Z206" i="1"/>
  <c r="AB206" i="1"/>
  <c r="AC206" i="1"/>
  <c r="AD206" i="1"/>
  <c r="AE206" i="1"/>
  <c r="R35" i="3" s="1"/>
  <c r="AF206" i="1"/>
  <c r="AH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K210" i="1"/>
  <c r="L210" i="1"/>
  <c r="M210" i="1"/>
  <c r="N210" i="1"/>
  <c r="V210" i="1"/>
  <c r="Y210" i="1"/>
  <c r="Z210" i="1"/>
  <c r="AB210" i="1"/>
  <c r="AC210" i="1"/>
  <c r="AD210" i="1"/>
  <c r="AG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M12" i="3"/>
  <c r="S12" i="3"/>
  <c r="U12" i="3"/>
  <c r="T12" i="3" s="1"/>
  <c r="V12" i="3"/>
  <c r="W12" i="3"/>
  <c r="X12" i="3"/>
  <c r="AC12" i="3"/>
  <c r="M18" i="3"/>
  <c r="S18" i="3"/>
  <c r="U18" i="3"/>
  <c r="T18" i="3" s="1"/>
  <c r="V18" i="3"/>
  <c r="W18" i="3"/>
  <c r="X18" i="3"/>
  <c r="AC18" i="3"/>
  <c r="M19" i="3"/>
  <c r="U19" i="3"/>
  <c r="AD19" i="3" s="1"/>
  <c r="V19" i="3"/>
  <c r="W19" i="3"/>
  <c r="X19" i="3"/>
  <c r="M22" i="3"/>
  <c r="S22" i="3"/>
  <c r="U22" i="3"/>
  <c r="T22" i="3" s="1"/>
  <c r="V22" i="3"/>
  <c r="W22" i="3"/>
  <c r="X22" i="3"/>
  <c r="M24" i="3"/>
  <c r="S24" i="3"/>
  <c r="U24" i="3"/>
  <c r="T24" i="3" s="1"/>
  <c r="V24" i="3"/>
  <c r="W24" i="3"/>
  <c r="X24" i="3"/>
  <c r="AC24" i="3"/>
  <c r="M23" i="3"/>
  <c r="U23" i="3"/>
  <c r="T23" i="3" s="1"/>
  <c r="V23" i="3"/>
  <c r="W23" i="3"/>
  <c r="X23" i="3"/>
  <c r="AC23" i="3"/>
  <c r="M25" i="3"/>
  <c r="S25" i="3"/>
  <c r="U25" i="3"/>
  <c r="V25" i="3"/>
  <c r="W25" i="3"/>
  <c r="X25" i="3"/>
  <c r="AC25" i="3"/>
  <c r="M29" i="3"/>
  <c r="S29" i="3"/>
  <c r="U29" i="3"/>
  <c r="T29" i="3" s="1"/>
  <c r="V29" i="3"/>
  <c r="W29" i="3"/>
  <c r="X29" i="3"/>
  <c r="AC29" i="3"/>
  <c r="M10" i="3"/>
  <c r="R10" i="3"/>
  <c r="U10" i="3"/>
  <c r="T10" i="3" s="1"/>
  <c r="V10" i="3"/>
  <c r="W10" i="3"/>
  <c r="X10" i="3"/>
  <c r="AC10" i="3"/>
  <c r="M7" i="3"/>
  <c r="S7" i="3"/>
  <c r="U7" i="3"/>
  <c r="V7" i="3"/>
  <c r="W7" i="3"/>
  <c r="X7" i="3"/>
  <c r="AC7" i="3"/>
  <c r="M14" i="3"/>
  <c r="R14" i="3"/>
  <c r="U14" i="3"/>
  <c r="T14" i="3" s="1"/>
  <c r="V14" i="3"/>
  <c r="W14" i="3"/>
  <c r="X14" i="3"/>
  <c r="AC14" i="3"/>
  <c r="M20" i="3"/>
  <c r="S20" i="3"/>
  <c r="U20" i="3"/>
  <c r="T20" i="3" s="1"/>
  <c r="V20" i="3"/>
  <c r="W20" i="3"/>
  <c r="X20" i="3"/>
  <c r="M15" i="3"/>
  <c r="S15" i="3"/>
  <c r="U15" i="3"/>
  <c r="T15" i="3" s="1"/>
  <c r="V15" i="3"/>
  <c r="W15" i="3"/>
  <c r="X15" i="3"/>
  <c r="AC15" i="3"/>
  <c r="M28" i="3"/>
  <c r="S28" i="3"/>
  <c r="U28" i="3"/>
  <c r="AC28" i="3" s="1"/>
  <c r="V28" i="3"/>
  <c r="W28" i="3"/>
  <c r="X28" i="3"/>
  <c r="M9" i="3"/>
  <c r="R9" i="3"/>
  <c r="U9" i="3"/>
  <c r="T9" i="3" s="1"/>
  <c r="V9" i="3"/>
  <c r="W9" i="3"/>
  <c r="X9" i="3"/>
  <c r="AC9" i="3"/>
  <c r="M8" i="3"/>
  <c r="U8" i="3"/>
  <c r="T8" i="3" s="1"/>
  <c r="V8" i="3"/>
  <c r="W8" i="3"/>
  <c r="X8" i="3"/>
  <c r="M26" i="3"/>
  <c r="U26" i="3"/>
  <c r="T26" i="3" s="1"/>
  <c r="V26" i="3"/>
  <c r="W26" i="3"/>
  <c r="X26" i="3"/>
  <c r="AC26" i="3"/>
  <c r="M13" i="3"/>
  <c r="U13" i="3"/>
  <c r="V13" i="3"/>
  <c r="W13" i="3"/>
  <c r="X13" i="3"/>
  <c r="AC13" i="3"/>
  <c r="M37" i="3"/>
  <c r="U37" i="3"/>
  <c r="T37" i="3" s="1"/>
  <c r="V37" i="3"/>
  <c r="W37" i="3"/>
  <c r="X37" i="3"/>
  <c r="M21" i="3"/>
  <c r="U21" i="3"/>
  <c r="T21" i="3" s="1"/>
  <c r="V21" i="3"/>
  <c r="W21" i="3"/>
  <c r="X21" i="3"/>
  <c r="M32" i="3"/>
  <c r="U32" i="3"/>
  <c r="T32" i="3" s="1"/>
  <c r="V32" i="3"/>
  <c r="W32" i="3"/>
  <c r="X32" i="3"/>
  <c r="AC32" i="3"/>
  <c r="M30" i="3"/>
  <c r="R30" i="3"/>
  <c r="U30" i="3"/>
  <c r="V30" i="3"/>
  <c r="W30" i="3"/>
  <c r="X30" i="3"/>
  <c r="M16" i="3"/>
  <c r="U16" i="3"/>
  <c r="T16" i="3" s="1"/>
  <c r="V16" i="3"/>
  <c r="W16" i="3"/>
  <c r="X16" i="3"/>
  <c r="AC16" i="3"/>
  <c r="M31" i="3"/>
  <c r="S31" i="3"/>
  <c r="U31" i="3"/>
  <c r="T31" i="3" s="1"/>
  <c r="V31" i="3"/>
  <c r="W31" i="3"/>
  <c r="X31" i="3"/>
  <c r="AC31" i="3"/>
  <c r="M35" i="3"/>
  <c r="U35" i="3"/>
  <c r="T35" i="3" s="1"/>
  <c r="V35" i="3"/>
  <c r="W35" i="3"/>
  <c r="X35" i="3"/>
  <c r="AC35" i="3"/>
  <c r="M27" i="3"/>
  <c r="U27" i="3"/>
  <c r="V27" i="3"/>
  <c r="W27" i="3"/>
  <c r="X27" i="3"/>
  <c r="AC27" i="3"/>
  <c r="M34" i="3"/>
  <c r="U34" i="3"/>
  <c r="T34" i="3" s="1"/>
  <c r="V34" i="3"/>
  <c r="W34" i="3"/>
  <c r="X34" i="3"/>
  <c r="AD34" i="3"/>
  <c r="M11" i="3"/>
  <c r="U11" i="3"/>
  <c r="T11" i="3" s="1"/>
  <c r="V11" i="3"/>
  <c r="W11" i="3"/>
  <c r="X11" i="3"/>
  <c r="AC11" i="3"/>
  <c r="M17" i="3"/>
  <c r="U17" i="3"/>
  <c r="T17" i="3" s="1"/>
  <c r="V17" i="3"/>
  <c r="W17" i="3"/>
  <c r="X17" i="3"/>
  <c r="M33" i="3"/>
  <c r="U33" i="3"/>
  <c r="V33" i="3"/>
  <c r="W33" i="3"/>
  <c r="X33" i="3"/>
  <c r="M28" i="5"/>
  <c r="X155" i="1" l="1"/>
  <c r="AA74" i="1"/>
  <c r="AG19" i="1"/>
  <c r="AG157" i="1"/>
  <c r="AI157" i="1" s="1"/>
  <c r="X157" i="1"/>
  <c r="AG156" i="1"/>
  <c r="X156" i="1"/>
  <c r="AG154" i="1"/>
  <c r="X154" i="1"/>
  <c r="T153" i="1"/>
  <c r="X153" i="1"/>
  <c r="AA105" i="1"/>
  <c r="AA159" i="1"/>
  <c r="AA67" i="1"/>
  <c r="AC19" i="3"/>
  <c r="AC8" i="3"/>
  <c r="P134" i="1"/>
  <c r="AA99" i="1"/>
  <c r="AA186" i="1"/>
  <c r="W186" i="1" s="1"/>
  <c r="AI70" i="1"/>
  <c r="AA202" i="1"/>
  <c r="AA197" i="1"/>
  <c r="AA194" i="1"/>
  <c r="AI146" i="1"/>
  <c r="AA130" i="1"/>
  <c r="W130" i="1" s="1"/>
  <c r="T108" i="1"/>
  <c r="X108" i="1"/>
  <c r="AG107" i="1"/>
  <c r="X107" i="1"/>
  <c r="AG106" i="1"/>
  <c r="X106" i="1"/>
  <c r="AG105" i="1"/>
  <c r="W105" i="1" s="1"/>
  <c r="X105" i="1"/>
  <c r="AA165" i="1"/>
  <c r="W165" i="1" s="1"/>
  <c r="AA39" i="1"/>
  <c r="AA38" i="1"/>
  <c r="AA32" i="1"/>
  <c r="AA28" i="1"/>
  <c r="AA27" i="1"/>
  <c r="AA21" i="1"/>
  <c r="AC21" i="3"/>
  <c r="P118" i="1"/>
  <c r="AA134" i="1"/>
  <c r="W134" i="1" s="1"/>
  <c r="AI118" i="1"/>
  <c r="AA115" i="1"/>
  <c r="P115" i="1"/>
  <c r="P112" i="1"/>
  <c r="W67" i="1"/>
  <c r="R32" i="3"/>
  <c r="AI110" i="1"/>
  <c r="AA109" i="1"/>
  <c r="W109" i="1" s="1"/>
  <c r="AA106" i="1"/>
  <c r="W106" i="1" s="1"/>
  <c r="AG49" i="1"/>
  <c r="X49" i="1"/>
  <c r="AI134" i="1"/>
  <c r="AA131" i="1"/>
  <c r="AA70" i="1"/>
  <c r="AA65" i="1"/>
  <c r="T51" i="1"/>
  <c r="X51" i="1"/>
  <c r="AG159" i="1"/>
  <c r="U159" i="1" s="1"/>
  <c r="S159" i="1" s="1"/>
  <c r="X159" i="1"/>
  <c r="AG50" i="1"/>
  <c r="X50" i="1"/>
  <c r="AG48" i="1"/>
  <c r="AI48" i="1" s="1"/>
  <c r="X48" i="1"/>
  <c r="AD37" i="3"/>
  <c r="R28" i="3"/>
  <c r="AD18" i="3"/>
  <c r="AA219" i="1"/>
  <c r="AA215" i="1"/>
  <c r="AA214" i="1"/>
  <c r="W214" i="1" s="1"/>
  <c r="AA212" i="1"/>
  <c r="AA151" i="1"/>
  <c r="AA143" i="1"/>
  <c r="AG88" i="1"/>
  <c r="U88" i="1" s="1"/>
  <c r="S88" i="1" s="1"/>
  <c r="X88" i="1"/>
  <c r="AA164" i="1"/>
  <c r="AA60" i="1"/>
  <c r="AA59" i="1"/>
  <c r="AA58" i="1"/>
  <c r="W58" i="1" s="1"/>
  <c r="T34" i="1"/>
  <c r="AC17" i="3"/>
  <c r="AG152" i="1"/>
  <c r="U152" i="1" s="1"/>
  <c r="S152" i="1" s="1"/>
  <c r="X152" i="1"/>
  <c r="AI141" i="1"/>
  <c r="AA138" i="1"/>
  <c r="W138" i="1" s="1"/>
  <c r="AG117" i="1"/>
  <c r="U117" i="1" s="1"/>
  <c r="S117" i="1" s="1"/>
  <c r="AA171" i="1"/>
  <c r="AA54" i="1"/>
  <c r="AG40" i="1"/>
  <c r="T37" i="1"/>
  <c r="X37" i="1"/>
  <c r="T36" i="1"/>
  <c r="X36" i="1"/>
  <c r="AG15" i="1"/>
  <c r="AI15" i="1" s="1"/>
  <c r="AC37" i="3"/>
  <c r="AD22" i="3"/>
  <c r="Y34" i="3"/>
  <c r="AA209" i="1"/>
  <c r="W209" i="1" s="1"/>
  <c r="AA208" i="1"/>
  <c r="AI130" i="1"/>
  <c r="AA120" i="1"/>
  <c r="X186" i="1"/>
  <c r="AA168" i="1"/>
  <c r="AA64" i="1"/>
  <c r="W64" i="1" s="1"/>
  <c r="AA63" i="1"/>
  <c r="AA46" i="1"/>
  <c r="T40" i="1"/>
  <c r="AA18" i="1"/>
  <c r="X16" i="1"/>
  <c r="AA152" i="1"/>
  <c r="W152" i="1" s="1"/>
  <c r="AA148" i="1"/>
  <c r="AA147" i="1"/>
  <c r="W147" i="1" s="1"/>
  <c r="AA132" i="1"/>
  <c r="AA110" i="1"/>
  <c r="W110" i="1" s="1"/>
  <c r="AA108" i="1"/>
  <c r="AA200" i="1"/>
  <c r="AA182" i="1"/>
  <c r="AA180" i="1"/>
  <c r="AA156" i="1"/>
  <c r="W156" i="1" s="1"/>
  <c r="AA85" i="1"/>
  <c r="AA78" i="1"/>
  <c r="W78" i="1" s="1"/>
  <c r="AG42" i="1"/>
  <c r="AI42" i="1" s="1"/>
  <c r="X42" i="1"/>
  <c r="AG41" i="1"/>
  <c r="X41" i="1"/>
  <c r="AC22" i="3"/>
  <c r="AD32" i="3"/>
  <c r="Y26" i="3"/>
  <c r="AA218" i="1"/>
  <c r="AI217" i="1"/>
  <c r="AA203" i="1"/>
  <c r="AA191" i="1"/>
  <c r="W191" i="1" s="1"/>
  <c r="AA190" i="1"/>
  <c r="W190" i="1" s="1"/>
  <c r="X138" i="1"/>
  <c r="X137" i="1"/>
  <c r="X134" i="1"/>
  <c r="AA122" i="1"/>
  <c r="W122" i="1" s="1"/>
  <c r="AI114" i="1"/>
  <c r="AA113" i="1"/>
  <c r="X109" i="1"/>
  <c r="AA100" i="1"/>
  <c r="W100" i="1" s="1"/>
  <c r="AA163" i="1"/>
  <c r="AA160" i="1"/>
  <c r="W160" i="1" s="1"/>
  <c r="AI78" i="1"/>
  <c r="X77" i="1"/>
  <c r="AA43" i="1"/>
  <c r="AG35" i="1"/>
  <c r="AI35" i="1" s="1"/>
  <c r="AA31" i="1"/>
  <c r="AA25" i="1"/>
  <c r="AG21" i="1"/>
  <c r="AI21" i="1" s="1"/>
  <c r="W99" i="1"/>
  <c r="W62" i="1"/>
  <c r="AD26" i="3"/>
  <c r="X207" i="1"/>
  <c r="AA195" i="1"/>
  <c r="W195" i="1" s="1"/>
  <c r="AA154" i="1"/>
  <c r="AA145" i="1"/>
  <c r="AA142" i="1"/>
  <c r="W142" i="1" s="1"/>
  <c r="AA135" i="1"/>
  <c r="AG129" i="1"/>
  <c r="U129" i="1" s="1"/>
  <c r="S129" i="1" s="1"/>
  <c r="AA126" i="1"/>
  <c r="W126" i="1" s="1"/>
  <c r="AA118" i="1"/>
  <c r="AA104" i="1"/>
  <c r="AI94" i="1"/>
  <c r="AA92" i="1"/>
  <c r="W92" i="1" s="1"/>
  <c r="AA90" i="1"/>
  <c r="AA88" i="1"/>
  <c r="AA80" i="1"/>
  <c r="AI79" i="1"/>
  <c r="T77" i="1"/>
  <c r="AI66" i="1"/>
  <c r="AA55" i="1"/>
  <c r="AA50" i="1"/>
  <c r="AG43" i="1"/>
  <c r="X43" i="1"/>
  <c r="AA42" i="1"/>
  <c r="AA34" i="1"/>
  <c r="W34" i="1" s="1"/>
  <c r="AG25" i="1"/>
  <c r="AI25" i="1" s="1"/>
  <c r="Y16" i="3"/>
  <c r="AC20" i="3"/>
  <c r="T121" i="1"/>
  <c r="U121" i="1" s="1"/>
  <c r="S121" i="1" s="1"/>
  <c r="W70" i="1"/>
  <c r="W54" i="1"/>
  <c r="R19" i="3"/>
  <c r="Y37" i="3"/>
  <c r="Y9" i="3"/>
  <c r="Y15" i="3"/>
  <c r="Y14" i="3"/>
  <c r="Y10" i="3"/>
  <c r="Y23" i="3"/>
  <c r="Y22" i="3"/>
  <c r="Y18" i="3"/>
  <c r="Y12" i="3"/>
  <c r="AC33" i="3"/>
  <c r="AD14" i="3"/>
  <c r="AD29" i="3"/>
  <c r="AG17" i="1"/>
  <c r="AI17" i="1" s="1"/>
  <c r="AA220" i="1"/>
  <c r="AA213" i="1"/>
  <c r="W213" i="1" s="1"/>
  <c r="AI213" i="1"/>
  <c r="AG219" i="1"/>
  <c r="U219" i="1" s="1"/>
  <c r="S219" i="1" s="1"/>
  <c r="X219" i="1"/>
  <c r="AA216" i="1"/>
  <c r="X211" i="1"/>
  <c r="AA206" i="1"/>
  <c r="AA205" i="1"/>
  <c r="W205" i="1" s="1"/>
  <c r="AG203" i="1"/>
  <c r="AI203" i="1" s="1"/>
  <c r="X203" i="1"/>
  <c r="AA149" i="1"/>
  <c r="AA146" i="1"/>
  <c r="W146" i="1" s="1"/>
  <c r="T141" i="1"/>
  <c r="U141" i="1" s="1"/>
  <c r="S141" i="1" s="1"/>
  <c r="AG137" i="1"/>
  <c r="U137" i="1" s="1"/>
  <c r="S137" i="1" s="1"/>
  <c r="AA136" i="1"/>
  <c r="W136" i="1" s="1"/>
  <c r="T133" i="1"/>
  <c r="U133" i="1" s="1"/>
  <c r="S133" i="1" s="1"/>
  <c r="AA128" i="1"/>
  <c r="W128" i="1" s="1"/>
  <c r="AA127" i="1"/>
  <c r="AA123" i="1"/>
  <c r="AA119" i="1"/>
  <c r="AA114" i="1"/>
  <c r="W114" i="1" s="1"/>
  <c r="AA112" i="1"/>
  <c r="AA111" i="1"/>
  <c r="AG98" i="1"/>
  <c r="U98" i="1" s="1"/>
  <c r="X98" i="1"/>
  <c r="T182" i="1"/>
  <c r="AA179" i="1"/>
  <c r="T178" i="1"/>
  <c r="U178" i="1" s="1"/>
  <c r="W171" i="1"/>
  <c r="AA170" i="1"/>
  <c r="W170" i="1" s="1"/>
  <c r="T166" i="1"/>
  <c r="T81" i="1"/>
  <c r="AA79" i="1"/>
  <c r="W79" i="1" s="1"/>
  <c r="AG77" i="1"/>
  <c r="AA76" i="1"/>
  <c r="AA75" i="1"/>
  <c r="AA73" i="1"/>
  <c r="W73" i="1" s="1"/>
  <c r="AA72" i="1"/>
  <c r="AA66" i="1"/>
  <c r="W66" i="1" s="1"/>
  <c r="AA61" i="1"/>
  <c r="W61" i="1" s="1"/>
  <c r="AA37" i="1"/>
  <c r="AA36" i="1"/>
  <c r="AA30" i="1"/>
  <c r="W30" i="1" s="1"/>
  <c r="AA23" i="1"/>
  <c r="AA20" i="1"/>
  <c r="AA144" i="1"/>
  <c r="AA185" i="1"/>
  <c r="AA184" i="1"/>
  <c r="AA26" i="1"/>
  <c r="W26" i="1" s="1"/>
  <c r="AA204" i="1"/>
  <c r="AA199" i="1"/>
  <c r="W199" i="1" s="1"/>
  <c r="AA196" i="1"/>
  <c r="AI126" i="1"/>
  <c r="AA124" i="1"/>
  <c r="X102" i="1"/>
  <c r="AA101" i="1"/>
  <c r="X99" i="1"/>
  <c r="AI201" i="1"/>
  <c r="AG166" i="1"/>
  <c r="U166" i="1" s="1"/>
  <c r="S166" i="1" s="1"/>
  <c r="AA157" i="1"/>
  <c r="AG81" i="1"/>
  <c r="AA69" i="1"/>
  <c r="AG57" i="1"/>
  <c r="AI57" i="1" s="1"/>
  <c r="AA53" i="1"/>
  <c r="AA49" i="1"/>
  <c r="W49" i="1" s="1"/>
  <c r="AA48" i="1"/>
  <c r="AA41" i="1"/>
  <c r="W41" i="1" s="1"/>
  <c r="T41" i="1"/>
  <c r="AG33" i="1"/>
  <c r="U33" i="1" s="1"/>
  <c r="S33" i="1" s="1"/>
  <c r="X32" i="1"/>
  <c r="AG31" i="1"/>
  <c r="AI31" i="1" s="1"/>
  <c r="AA29" i="1"/>
  <c r="U25" i="1"/>
  <c r="AA16" i="1"/>
  <c r="AA217" i="1"/>
  <c r="W217" i="1" s="1"/>
  <c r="AI209" i="1"/>
  <c r="AA198" i="1"/>
  <c r="AI192" i="1"/>
  <c r="AA153" i="1"/>
  <c r="AA150" i="1"/>
  <c r="W150" i="1" s="1"/>
  <c r="AA139" i="1"/>
  <c r="X118" i="1"/>
  <c r="AA189" i="1"/>
  <c r="AA187" i="1"/>
  <c r="W187" i="1" s="1"/>
  <c r="AA183" i="1"/>
  <c r="W183" i="1" s="1"/>
  <c r="AA176" i="1"/>
  <c r="AA87" i="1"/>
  <c r="T175" i="1"/>
  <c r="U175" i="1" s="1"/>
  <c r="S175" i="1" s="1"/>
  <c r="AA167" i="1"/>
  <c r="AG85" i="1"/>
  <c r="W85" i="1" s="1"/>
  <c r="AA83" i="1"/>
  <c r="X78" i="1"/>
  <c r="AA77" i="1"/>
  <c r="AA44" i="1"/>
  <c r="X34" i="1"/>
  <c r="X18" i="1"/>
  <c r="W200" i="1"/>
  <c r="T200" i="1"/>
  <c r="W182" i="1"/>
  <c r="AG179" i="1"/>
  <c r="X179" i="1"/>
  <c r="S32" i="3"/>
  <c r="X217" i="1"/>
  <c r="AG216" i="1"/>
  <c r="U216" i="1" s="1"/>
  <c r="X216" i="1"/>
  <c r="T212" i="1"/>
  <c r="AG204" i="1"/>
  <c r="W204" i="1" s="1"/>
  <c r="X204" i="1"/>
  <c r="AG153" i="1"/>
  <c r="AI153" i="1" s="1"/>
  <c r="AA210" i="1"/>
  <c r="W210" i="1" s="1"/>
  <c r="X195" i="1"/>
  <c r="AG194" i="1"/>
  <c r="X190" i="1"/>
  <c r="AA121" i="1"/>
  <c r="W121" i="1" s="1"/>
  <c r="T118" i="1"/>
  <c r="U118" i="1" s="1"/>
  <c r="T109" i="1"/>
  <c r="T105" i="1"/>
  <c r="AA102" i="1"/>
  <c r="AG101" i="1"/>
  <c r="AI101" i="1" s="1"/>
  <c r="X101" i="1"/>
  <c r="T99" i="1"/>
  <c r="X200" i="1"/>
  <c r="X189" i="1"/>
  <c r="AG189" i="1"/>
  <c r="X183" i="1"/>
  <c r="AG87" i="1"/>
  <c r="AI87" i="1" s="1"/>
  <c r="X87" i="1"/>
  <c r="X163" i="1"/>
  <c r="AG163" i="1"/>
  <c r="T44" i="1"/>
  <c r="X44" i="1"/>
  <c r="AG44" i="1"/>
  <c r="T126" i="1"/>
  <c r="U126" i="1" s="1"/>
  <c r="S126" i="1" s="1"/>
  <c r="T92" i="1"/>
  <c r="U92" i="1" s="1"/>
  <c r="S92" i="1" s="1"/>
  <c r="AG220" i="1"/>
  <c r="U220" i="1" s="1"/>
  <c r="S220" i="1" s="1"/>
  <c r="X220" i="1"/>
  <c r="AG208" i="1"/>
  <c r="W208" i="1" s="1"/>
  <c r="T194" i="1"/>
  <c r="AG145" i="1"/>
  <c r="W145" i="1" s="1"/>
  <c r="X213" i="1"/>
  <c r="AG212" i="1"/>
  <c r="AI205" i="1"/>
  <c r="AA192" i="1"/>
  <c r="W192" i="1" s="1"/>
  <c r="X146" i="1"/>
  <c r="AA141" i="1"/>
  <c r="W141" i="1" s="1"/>
  <c r="T138" i="1"/>
  <c r="U138" i="1" s="1"/>
  <c r="S138" i="1" s="1"/>
  <c r="T134" i="1"/>
  <c r="U134" i="1" s="1"/>
  <c r="X126" i="1"/>
  <c r="AG125" i="1"/>
  <c r="AI125" i="1" s="1"/>
  <c r="T217" i="1"/>
  <c r="AA211" i="1"/>
  <c r="T199" i="1"/>
  <c r="T198" i="1"/>
  <c r="AA193" i="1"/>
  <c r="T190" i="1"/>
  <c r="U190" i="1" s="1"/>
  <c r="S190" i="1" s="1"/>
  <c r="T150" i="1"/>
  <c r="T149" i="1"/>
  <c r="X142" i="1"/>
  <c r="AA137" i="1"/>
  <c r="W137" i="1" s="1"/>
  <c r="AA133" i="1"/>
  <c r="W133" i="1" s="1"/>
  <c r="X130" i="1"/>
  <c r="AA129" i="1"/>
  <c r="X122" i="1"/>
  <c r="AA117" i="1"/>
  <c r="AA116" i="1"/>
  <c r="T114" i="1"/>
  <c r="U114" i="1" s="1"/>
  <c r="S114" i="1" s="1"/>
  <c r="X110" i="1"/>
  <c r="AA107" i="1"/>
  <c r="AA103" i="1"/>
  <c r="AG102" i="1"/>
  <c r="AA98" i="1"/>
  <c r="W98" i="1" s="1"/>
  <c r="AA201" i="1"/>
  <c r="W201" i="1" s="1"/>
  <c r="AA95" i="1"/>
  <c r="AA94" i="1"/>
  <c r="W94" i="1" s="1"/>
  <c r="AA93" i="1"/>
  <c r="W93" i="1" s="1"/>
  <c r="T93" i="1"/>
  <c r="AA188" i="1"/>
  <c r="AA181" i="1"/>
  <c r="T179" i="1"/>
  <c r="U179" i="1" s="1"/>
  <c r="S179" i="1" s="1"/>
  <c r="AA178" i="1"/>
  <c r="W178" i="1" s="1"/>
  <c r="AA173" i="1"/>
  <c r="AG164" i="1"/>
  <c r="X164" i="1"/>
  <c r="X160" i="1"/>
  <c r="AA158" i="1"/>
  <c r="T73" i="1"/>
  <c r="U73" i="1" s="1"/>
  <c r="S73" i="1" s="1"/>
  <c r="T61" i="1"/>
  <c r="U61" i="1" s="1"/>
  <c r="S61" i="1" s="1"/>
  <c r="X58" i="1"/>
  <c r="AG53" i="1"/>
  <c r="AI53" i="1" s="1"/>
  <c r="X54" i="1"/>
  <c r="T53" i="1"/>
  <c r="AI41" i="1"/>
  <c r="AG29" i="1"/>
  <c r="W29" i="1" s="1"/>
  <c r="T29" i="1"/>
  <c r="T27" i="1"/>
  <c r="AG27" i="1"/>
  <c r="AI27" i="1" s="1"/>
  <c r="T113" i="1"/>
  <c r="X199" i="1"/>
  <c r="AG198" i="1"/>
  <c r="AI200" i="1" s="1"/>
  <c r="X150" i="1"/>
  <c r="AG149" i="1"/>
  <c r="T142" i="1"/>
  <c r="U142" i="1" s="1"/>
  <c r="S142" i="1" s="1"/>
  <c r="T130" i="1"/>
  <c r="U130" i="1" s="1"/>
  <c r="S130" i="1" s="1"/>
  <c r="AA125" i="1"/>
  <c r="W125" i="1" s="1"/>
  <c r="T122" i="1"/>
  <c r="X114" i="1"/>
  <c r="AG113" i="1"/>
  <c r="AI142" i="1"/>
  <c r="AA97" i="1"/>
  <c r="AA96" i="1"/>
  <c r="X201" i="1"/>
  <c r="AG95" i="1"/>
  <c r="AI95" i="1" s="1"/>
  <c r="X95" i="1"/>
  <c r="AG188" i="1"/>
  <c r="U188" i="1" s="1"/>
  <c r="S188" i="1" s="1"/>
  <c r="X188" i="1"/>
  <c r="X182" i="1"/>
  <c r="AG181" i="1"/>
  <c r="AI181" i="1" s="1"/>
  <c r="X181" i="1"/>
  <c r="T87" i="1"/>
  <c r="AA175" i="1"/>
  <c r="W175" i="1" s="1"/>
  <c r="T170" i="1"/>
  <c r="U170" i="1" s="1"/>
  <c r="S170" i="1" s="1"/>
  <c r="AA166" i="1"/>
  <c r="AG86" i="1"/>
  <c r="AI86" i="1" s="1"/>
  <c r="X86" i="1"/>
  <c r="AA82" i="1"/>
  <c r="T80" i="1"/>
  <c r="X80" i="1"/>
  <c r="AG80" i="1"/>
  <c r="AI80" i="1" s="1"/>
  <c r="AG74" i="1"/>
  <c r="AI74" i="1" s="1"/>
  <c r="X74" i="1"/>
  <c r="X73" i="1"/>
  <c r="T69" i="1"/>
  <c r="AG69" i="1"/>
  <c r="T65" i="1"/>
  <c r="X65" i="1"/>
  <c r="AG65" i="1"/>
  <c r="W65" i="1" s="1"/>
  <c r="T58" i="1"/>
  <c r="U58" i="1" s="1"/>
  <c r="S58" i="1" s="1"/>
  <c r="AG37" i="1"/>
  <c r="AI37" i="1" s="1"/>
  <c r="AA89" i="1"/>
  <c r="T186" i="1"/>
  <c r="U186" i="1" s="1"/>
  <c r="S186" i="1" s="1"/>
  <c r="AA174" i="1"/>
  <c r="AA172" i="1"/>
  <c r="AA86" i="1"/>
  <c r="W86" i="1" s="1"/>
  <c r="AA162" i="1"/>
  <c r="AA161" i="1"/>
  <c r="AA81" i="1"/>
  <c r="T78" i="1"/>
  <c r="U78" i="1" s="1"/>
  <c r="S78" i="1" s="1"/>
  <c r="AA71" i="1"/>
  <c r="W71" i="1" s="1"/>
  <c r="X66" i="1"/>
  <c r="X62" i="1"/>
  <c r="AA57" i="1"/>
  <c r="AA56" i="1"/>
  <c r="T54" i="1"/>
  <c r="U54" i="1" s="1"/>
  <c r="S54" i="1" s="1"/>
  <c r="AA45" i="1"/>
  <c r="AA40" i="1"/>
  <c r="T30" i="1"/>
  <c r="U30" i="1" s="1"/>
  <c r="T26" i="1"/>
  <c r="S25" i="1"/>
  <c r="X24" i="1"/>
  <c r="AG23" i="1"/>
  <c r="U23" i="1" s="1"/>
  <c r="AA15" i="1"/>
  <c r="AA14" i="1"/>
  <c r="W14" i="1" s="1"/>
  <c r="T66" i="1"/>
  <c r="U66" i="1" s="1"/>
  <c r="S66" i="1" s="1"/>
  <c r="T62" i="1"/>
  <c r="U62" i="1" s="1"/>
  <c r="S62" i="1" s="1"/>
  <c r="AA52" i="1"/>
  <c r="T50" i="1"/>
  <c r="U50" i="1" s="1"/>
  <c r="S50" i="1" s="1"/>
  <c r="AA35" i="1"/>
  <c r="AA33" i="1"/>
  <c r="AA24" i="1"/>
  <c r="AA22" i="1"/>
  <c r="AA19" i="1"/>
  <c r="W19" i="1" s="1"/>
  <c r="AA17" i="1"/>
  <c r="AI182" i="1"/>
  <c r="AI214" i="1"/>
  <c r="AI163" i="1"/>
  <c r="T196" i="1"/>
  <c r="X196" i="1"/>
  <c r="AI136" i="1"/>
  <c r="AI64" i="1"/>
  <c r="AG155" i="1"/>
  <c r="T151" i="1"/>
  <c r="X151" i="1"/>
  <c r="S216" i="1"/>
  <c r="AG151" i="1"/>
  <c r="W151" i="1" s="1"/>
  <c r="T148" i="1"/>
  <c r="X145" i="1"/>
  <c r="T135" i="1"/>
  <c r="X135" i="1"/>
  <c r="AG135" i="1"/>
  <c r="AI135" i="1" s="1"/>
  <c r="T132" i="1"/>
  <c r="X132" i="1"/>
  <c r="X129" i="1"/>
  <c r="AG120" i="1"/>
  <c r="AI120" i="1" s="1"/>
  <c r="X121" i="1"/>
  <c r="T120" i="1"/>
  <c r="X120" i="1"/>
  <c r="AG103" i="1"/>
  <c r="AI103" i="1" s="1"/>
  <c r="T103" i="1"/>
  <c r="X103" i="1"/>
  <c r="S98" i="1"/>
  <c r="AI133" i="1"/>
  <c r="AG89" i="1"/>
  <c r="AI89" i="1" s="1"/>
  <c r="T89" i="1"/>
  <c r="X89" i="1"/>
  <c r="U182" i="1"/>
  <c r="S182" i="1" s="1"/>
  <c r="AI71" i="1"/>
  <c r="T214" i="1"/>
  <c r="U214" i="1" s="1"/>
  <c r="S214" i="1" s="1"/>
  <c r="X214" i="1"/>
  <c r="T207" i="1"/>
  <c r="T155" i="1"/>
  <c r="T147" i="1"/>
  <c r="U147" i="1" s="1"/>
  <c r="S147" i="1" s="1"/>
  <c r="X147" i="1"/>
  <c r="W144" i="1"/>
  <c r="T143" i="1"/>
  <c r="X143" i="1"/>
  <c r="AG143" i="1"/>
  <c r="T140" i="1"/>
  <c r="X140" i="1"/>
  <c r="T127" i="1"/>
  <c r="X127" i="1"/>
  <c r="AG127" i="1"/>
  <c r="T96" i="1"/>
  <c r="X96" i="1"/>
  <c r="AG96" i="1"/>
  <c r="AI96" i="1" s="1"/>
  <c r="X91" i="1"/>
  <c r="AG91" i="1"/>
  <c r="X92" i="1"/>
  <c r="T218" i="1"/>
  <c r="X218" i="1"/>
  <c r="T211" i="1"/>
  <c r="T205" i="1"/>
  <c r="U205" i="1" s="1"/>
  <c r="S205" i="1" s="1"/>
  <c r="T202" i="1"/>
  <c r="X202" i="1"/>
  <c r="AG196" i="1"/>
  <c r="AI196" i="1" s="1"/>
  <c r="T193" i="1"/>
  <c r="X141" i="1"/>
  <c r="AG140" i="1"/>
  <c r="W219" i="1"/>
  <c r="AG218" i="1"/>
  <c r="T215" i="1"/>
  <c r="AG211" i="1"/>
  <c r="AI210" i="1"/>
  <c r="T209" i="1"/>
  <c r="U209" i="1" s="1"/>
  <c r="S209" i="1" s="1"/>
  <c r="T206" i="1"/>
  <c r="X206" i="1"/>
  <c r="X205" i="1"/>
  <c r="U203" i="1"/>
  <c r="S203" i="1" s="1"/>
  <c r="AG202" i="1"/>
  <c r="W202" i="1" s="1"/>
  <c r="T197" i="1"/>
  <c r="AG193" i="1"/>
  <c r="AI193" i="1" s="1"/>
  <c r="AI194" i="1"/>
  <c r="T191" i="1"/>
  <c r="U191" i="1" s="1"/>
  <c r="S191" i="1" s="1"/>
  <c r="U217" i="1"/>
  <c r="S217" i="1" s="1"/>
  <c r="AG215" i="1"/>
  <c r="T213" i="1"/>
  <c r="U213" i="1" s="1"/>
  <c r="S213" i="1" s="1"/>
  <c r="T210" i="1"/>
  <c r="U210" i="1" s="1"/>
  <c r="S210" i="1" s="1"/>
  <c r="X210" i="1"/>
  <c r="X209" i="1"/>
  <c r="X208" i="1"/>
  <c r="AA207" i="1"/>
  <c r="AG206" i="1"/>
  <c r="U199" i="1"/>
  <c r="S199" i="1" s="1"/>
  <c r="AG197" i="1"/>
  <c r="AI197" i="1" s="1"/>
  <c r="T195" i="1"/>
  <c r="U195" i="1" s="1"/>
  <c r="S195" i="1" s="1"/>
  <c r="T192" i="1"/>
  <c r="U192" i="1" s="1"/>
  <c r="S192" i="1" s="1"/>
  <c r="X192" i="1"/>
  <c r="X191" i="1"/>
  <c r="AA155" i="1"/>
  <c r="U150" i="1"/>
  <c r="S150" i="1" s="1"/>
  <c r="AG148" i="1"/>
  <c r="T146" i="1"/>
  <c r="U146" i="1" s="1"/>
  <c r="S146" i="1" s="1"/>
  <c r="AA140" i="1"/>
  <c r="T139" i="1"/>
  <c r="X139" i="1"/>
  <c r="AG139" i="1"/>
  <c r="T136" i="1"/>
  <c r="U136" i="1" s="1"/>
  <c r="S136" i="1" s="1"/>
  <c r="X136" i="1"/>
  <c r="X133" i="1"/>
  <c r="AG132" i="1"/>
  <c r="U122" i="1"/>
  <c r="S122" i="1" s="1"/>
  <c r="W118" i="1"/>
  <c r="AG116" i="1"/>
  <c r="X117" i="1"/>
  <c r="T116" i="1"/>
  <c r="X116" i="1"/>
  <c r="U109" i="1"/>
  <c r="S109" i="1" s="1"/>
  <c r="AG174" i="1"/>
  <c r="X175" i="1"/>
  <c r="T174" i="1"/>
  <c r="X174" i="1"/>
  <c r="X84" i="1"/>
  <c r="AG84" i="1"/>
  <c r="X85" i="1"/>
  <c r="T84" i="1"/>
  <c r="AI187" i="1"/>
  <c r="AI172" i="1"/>
  <c r="AI171" i="1"/>
  <c r="AI160" i="1"/>
  <c r="AI154" i="1"/>
  <c r="AG207" i="1"/>
  <c r="T154" i="1"/>
  <c r="T144" i="1"/>
  <c r="U144" i="1" s="1"/>
  <c r="S144" i="1" s="1"/>
  <c r="X144" i="1"/>
  <c r="T131" i="1"/>
  <c r="X131" i="1"/>
  <c r="AG131" i="1"/>
  <c r="T128" i="1"/>
  <c r="U128" i="1" s="1"/>
  <c r="S128" i="1" s="1"/>
  <c r="X128" i="1"/>
  <c r="U125" i="1"/>
  <c r="S125" i="1" s="1"/>
  <c r="AG124" i="1"/>
  <c r="X125" i="1"/>
  <c r="T124" i="1"/>
  <c r="X124" i="1"/>
  <c r="AI156" i="1"/>
  <c r="AI150" i="1"/>
  <c r="T111" i="1"/>
  <c r="X111" i="1"/>
  <c r="AG111" i="1"/>
  <c r="AI143" i="1"/>
  <c r="U200" i="1"/>
  <c r="S200" i="1" s="1"/>
  <c r="AI127" i="1"/>
  <c r="T184" i="1"/>
  <c r="X184" i="1"/>
  <c r="AG184" i="1"/>
  <c r="AI184" i="1" s="1"/>
  <c r="T75" i="1"/>
  <c r="X75" i="1"/>
  <c r="AG75" i="1"/>
  <c r="AG119" i="1"/>
  <c r="AI119" i="1" s="1"/>
  <c r="AG115" i="1"/>
  <c r="T112" i="1"/>
  <c r="AG108" i="1"/>
  <c r="W108" i="1" s="1"/>
  <c r="T106" i="1"/>
  <c r="U106" i="1" s="1"/>
  <c r="S106" i="1" s="1"/>
  <c r="T104" i="1"/>
  <c r="T97" i="1"/>
  <c r="AI128" i="1"/>
  <c r="T90" i="1"/>
  <c r="X90" i="1"/>
  <c r="T185" i="1"/>
  <c r="T180" i="1"/>
  <c r="X180" i="1"/>
  <c r="AG180" i="1"/>
  <c r="AI180" i="1" s="1"/>
  <c r="T177" i="1"/>
  <c r="X177" i="1"/>
  <c r="AG82" i="1"/>
  <c r="T82" i="1"/>
  <c r="X82" i="1"/>
  <c r="AI77" i="1"/>
  <c r="AG123" i="1"/>
  <c r="X123" i="1"/>
  <c r="X119" i="1"/>
  <c r="X115" i="1"/>
  <c r="AG112" i="1"/>
  <c r="AI112" i="1" s="1"/>
  <c r="T110" i="1"/>
  <c r="U110" i="1" s="1"/>
  <c r="T107" i="1"/>
  <c r="AG104" i="1"/>
  <c r="AI137" i="1"/>
  <c r="U99" i="1"/>
  <c r="S99" i="1" s="1"/>
  <c r="AG97" i="1"/>
  <c r="AI97" i="1" s="1"/>
  <c r="T201" i="1"/>
  <c r="U201" i="1" s="1"/>
  <c r="S201" i="1" s="1"/>
  <c r="T94" i="1"/>
  <c r="U94" i="1" s="1"/>
  <c r="S94" i="1" s="1"/>
  <c r="X94" i="1"/>
  <c r="X93" i="1"/>
  <c r="AA91" i="1"/>
  <c r="W91" i="1" s="1"/>
  <c r="AG90" i="1"/>
  <c r="AI90" i="1" s="1"/>
  <c r="AI121" i="1"/>
  <c r="AG185" i="1"/>
  <c r="AI185" i="1" s="1"/>
  <c r="T183" i="1"/>
  <c r="U183" i="1" s="1"/>
  <c r="S183" i="1" s="1"/>
  <c r="S178" i="1"/>
  <c r="AI109" i="1"/>
  <c r="X178" i="1"/>
  <c r="AG177" i="1"/>
  <c r="AI177" i="1" s="1"/>
  <c r="AG167" i="1"/>
  <c r="W167" i="1" s="1"/>
  <c r="T167" i="1"/>
  <c r="X167" i="1"/>
  <c r="AI93" i="1"/>
  <c r="X68" i="1"/>
  <c r="AG68" i="1"/>
  <c r="X69" i="1"/>
  <c r="AI58" i="1"/>
  <c r="AG52" i="1"/>
  <c r="X53" i="1"/>
  <c r="T52" i="1"/>
  <c r="X52" i="1"/>
  <c r="T100" i="1"/>
  <c r="U100" i="1" s="1"/>
  <c r="S100" i="1" s="1"/>
  <c r="X100" i="1"/>
  <c r="U93" i="1"/>
  <c r="S93" i="1" s="1"/>
  <c r="T187" i="1"/>
  <c r="U187" i="1" s="1"/>
  <c r="S187" i="1" s="1"/>
  <c r="X187" i="1"/>
  <c r="AA177" i="1"/>
  <c r="T176" i="1"/>
  <c r="X176" i="1"/>
  <c r="AG176" i="1"/>
  <c r="AI106" i="1"/>
  <c r="W172" i="1"/>
  <c r="X169" i="1"/>
  <c r="AG169" i="1"/>
  <c r="AI169" i="1" s="1"/>
  <c r="X170" i="1"/>
  <c r="U86" i="1"/>
  <c r="S86" i="1" s="1"/>
  <c r="U163" i="1"/>
  <c r="S163" i="1" s="1"/>
  <c r="T161" i="1"/>
  <c r="X161" i="1"/>
  <c r="AG161" i="1"/>
  <c r="AI161" i="1" s="1"/>
  <c r="AI49" i="1"/>
  <c r="AG173" i="1"/>
  <c r="AI173" i="1" s="1"/>
  <c r="X173" i="1"/>
  <c r="T171" i="1"/>
  <c r="U171" i="1" s="1"/>
  <c r="S171" i="1" s="1"/>
  <c r="T168" i="1"/>
  <c r="X168" i="1"/>
  <c r="T162" i="1"/>
  <c r="AG158" i="1"/>
  <c r="X158" i="1"/>
  <c r="T156" i="1"/>
  <c r="U156" i="1" s="1"/>
  <c r="S156" i="1" s="1"/>
  <c r="T83" i="1"/>
  <c r="X83" i="1"/>
  <c r="T76" i="1"/>
  <c r="AG72" i="1"/>
  <c r="X72" i="1"/>
  <c r="T70" i="1"/>
  <c r="U70" i="1" s="1"/>
  <c r="S70" i="1" s="1"/>
  <c r="T67" i="1"/>
  <c r="U67" i="1" s="1"/>
  <c r="S67" i="1" s="1"/>
  <c r="X67" i="1"/>
  <c r="T63" i="1"/>
  <c r="X63" i="1"/>
  <c r="AG63" i="1"/>
  <c r="AG60" i="1"/>
  <c r="X61" i="1"/>
  <c r="T60" i="1"/>
  <c r="X60" i="1"/>
  <c r="AI50" i="1"/>
  <c r="T172" i="1"/>
  <c r="U172" i="1" s="1"/>
  <c r="S172" i="1" s="1"/>
  <c r="X172" i="1"/>
  <c r="X171" i="1"/>
  <c r="AA169" i="1"/>
  <c r="AG168" i="1"/>
  <c r="AI168" i="1" s="1"/>
  <c r="AG162" i="1"/>
  <c r="W162" i="1" s="1"/>
  <c r="T160" i="1"/>
  <c r="U160" i="1" s="1"/>
  <c r="S160" i="1" s="1"/>
  <c r="T157" i="1"/>
  <c r="AA84" i="1"/>
  <c r="W84" i="1" s="1"/>
  <c r="AG83" i="1"/>
  <c r="AG76" i="1"/>
  <c r="T74" i="1"/>
  <c r="T71" i="1"/>
  <c r="U71" i="1" s="1"/>
  <c r="S71" i="1" s="1"/>
  <c r="X71" i="1"/>
  <c r="X70" i="1"/>
  <c r="AA68" i="1"/>
  <c r="T64" i="1"/>
  <c r="U64" i="1" s="1"/>
  <c r="S64" i="1" s="1"/>
  <c r="X64" i="1"/>
  <c r="AG56" i="1"/>
  <c r="X57" i="1"/>
  <c r="T56" i="1"/>
  <c r="X56" i="1"/>
  <c r="X47" i="1"/>
  <c r="AG47" i="1"/>
  <c r="AI43" i="1"/>
  <c r="U43" i="1"/>
  <c r="S43" i="1" s="1"/>
  <c r="T38" i="1"/>
  <c r="AG38" i="1"/>
  <c r="U35" i="1"/>
  <c r="S35" i="1" s="1"/>
  <c r="AI29" i="1"/>
  <c r="AG28" i="1"/>
  <c r="W28" i="1" s="1"/>
  <c r="X29" i="1"/>
  <c r="X28" i="1"/>
  <c r="T28" i="1"/>
  <c r="T165" i="1"/>
  <c r="U165" i="1" s="1"/>
  <c r="S165" i="1" s="1"/>
  <c r="X165" i="1"/>
  <c r="T79" i="1"/>
  <c r="U79" i="1" s="1"/>
  <c r="S79" i="1" s="1"/>
  <c r="X79" i="1"/>
  <c r="AI61" i="1"/>
  <c r="AI54" i="1"/>
  <c r="AG45" i="1"/>
  <c r="T45" i="1"/>
  <c r="X45" i="1"/>
  <c r="AG22" i="1"/>
  <c r="X22" i="1"/>
  <c r="T22" i="1"/>
  <c r="U19" i="1"/>
  <c r="S19" i="1" s="1"/>
  <c r="AI19" i="1"/>
  <c r="AG59" i="1"/>
  <c r="AG55" i="1"/>
  <c r="AG51" i="1"/>
  <c r="W51" i="1" s="1"/>
  <c r="T48" i="1"/>
  <c r="U48" i="1" s="1"/>
  <c r="S48" i="1" s="1"/>
  <c r="T46" i="1"/>
  <c r="X46" i="1"/>
  <c r="T39" i="1"/>
  <c r="AG36" i="1"/>
  <c r="W36" i="1" s="1"/>
  <c r="AI30" i="1"/>
  <c r="X26" i="1"/>
  <c r="AG20" i="1"/>
  <c r="X21" i="1"/>
  <c r="W18" i="1"/>
  <c r="T18" i="1"/>
  <c r="U18" i="1" s="1"/>
  <c r="S18" i="1" s="1"/>
  <c r="AI14" i="1"/>
  <c r="X59" i="1"/>
  <c r="X55" i="1"/>
  <c r="T49" i="1"/>
  <c r="U49" i="1" s="1"/>
  <c r="S49" i="1" s="1"/>
  <c r="AA47" i="1"/>
  <c r="AG46" i="1"/>
  <c r="AI44" i="1"/>
  <c r="U41" i="1"/>
  <c r="S41" i="1" s="1"/>
  <c r="AG39" i="1"/>
  <c r="W39" i="1" s="1"/>
  <c r="AI34" i="1"/>
  <c r="U34" i="1"/>
  <c r="S34" i="1" s="1"/>
  <c r="X30" i="1"/>
  <c r="AG24" i="1"/>
  <c r="X25" i="1"/>
  <c r="AI23" i="1"/>
  <c r="X20" i="1"/>
  <c r="AI18" i="1"/>
  <c r="T42" i="1"/>
  <c r="AG32" i="1"/>
  <c r="X33" i="1"/>
  <c r="AI26" i="1"/>
  <c r="U26" i="1"/>
  <c r="T20" i="1"/>
  <c r="AG16" i="1"/>
  <c r="X17" i="1"/>
  <c r="T14" i="1"/>
  <c r="U14" i="1" s="1"/>
  <c r="X35" i="1"/>
  <c r="X31" i="1"/>
  <c r="X27" i="1"/>
  <c r="X23" i="1"/>
  <c r="X19" i="1"/>
  <c r="X15" i="1"/>
  <c r="AD33" i="3"/>
  <c r="AC30" i="3"/>
  <c r="AD30" i="3"/>
  <c r="AD28" i="3"/>
  <c r="AD25" i="3"/>
  <c r="AD23" i="3"/>
  <c r="AD21" i="3"/>
  <c r="AD17" i="3"/>
  <c r="AD15" i="3"/>
  <c r="AD13" i="3"/>
  <c r="AD11" i="3"/>
  <c r="AD9" i="3"/>
  <c r="AC34" i="3"/>
  <c r="Y31" i="3"/>
  <c r="Y30" i="3"/>
  <c r="Y29" i="3"/>
  <c r="Y24" i="3"/>
  <c r="Y33" i="3"/>
  <c r="Y11" i="3"/>
  <c r="Y27" i="3"/>
  <c r="Y21" i="3"/>
  <c r="Y8" i="3"/>
  <c r="Y20" i="3"/>
  <c r="AD10" i="3"/>
  <c r="T33" i="3"/>
  <c r="Y17" i="3"/>
  <c r="AD35" i="3"/>
  <c r="T27" i="3"/>
  <c r="Y35" i="3"/>
  <c r="AD31" i="3"/>
  <c r="T30" i="3"/>
  <c r="Y32" i="3"/>
  <c r="AD27" i="3"/>
  <c r="T13" i="3"/>
  <c r="AD24" i="3"/>
  <c r="T28" i="3"/>
  <c r="AD20" i="3"/>
  <c r="T7" i="3"/>
  <c r="AD16" i="3"/>
  <c r="T25" i="3"/>
  <c r="AD12" i="3"/>
  <c r="T19" i="3"/>
  <c r="AD8" i="3"/>
  <c r="Y13" i="3"/>
  <c r="Y28" i="3"/>
  <c r="Y7" i="3"/>
  <c r="Y25" i="3"/>
  <c r="Y19" i="3"/>
  <c r="M36" i="3"/>
  <c r="R36" i="3"/>
  <c r="S36" i="3"/>
  <c r="U36" i="3"/>
  <c r="V36" i="3"/>
  <c r="W36" i="3"/>
  <c r="X36" i="3"/>
  <c r="AC36" i="3"/>
  <c r="AI117" i="1" l="1"/>
  <c r="U198" i="1"/>
  <c r="S198" i="1" s="1"/>
  <c r="W166" i="1"/>
  <c r="W42" i="1"/>
  <c r="W154" i="1"/>
  <c r="U40" i="1"/>
  <c r="S40" i="1" s="1"/>
  <c r="U42" i="1"/>
  <c r="S42" i="1" s="1"/>
  <c r="U157" i="1"/>
  <c r="S157" i="1" s="1"/>
  <c r="U154" i="1"/>
  <c r="S154" i="1" s="1"/>
  <c r="W15" i="1"/>
  <c r="W47" i="1"/>
  <c r="AI105" i="1"/>
  <c r="W157" i="1"/>
  <c r="U57" i="1"/>
  <c r="S57" i="1" s="1"/>
  <c r="W60" i="1"/>
  <c r="W132" i="1"/>
  <c r="U149" i="1"/>
  <c r="S149" i="1" s="1"/>
  <c r="U105" i="1"/>
  <c r="S105" i="1" s="1"/>
  <c r="W22" i="1"/>
  <c r="W63" i="1"/>
  <c r="U107" i="1"/>
  <c r="W107" i="1"/>
  <c r="U81" i="1"/>
  <c r="S81" i="1" s="1"/>
  <c r="W216" i="1"/>
  <c r="AI40" i="1"/>
  <c r="W38" i="1"/>
  <c r="AI219" i="1"/>
  <c r="AI204" i="1"/>
  <c r="U204" i="1"/>
  <c r="S204" i="1" s="1"/>
  <c r="W40" i="1"/>
  <c r="W57" i="1"/>
  <c r="U37" i="1"/>
  <c r="S37" i="1" s="1"/>
  <c r="W116" i="1"/>
  <c r="W159" i="1"/>
  <c r="U15" i="1"/>
  <c r="S15" i="1" s="1"/>
  <c r="W59" i="1"/>
  <c r="W176" i="1"/>
  <c r="W155" i="1"/>
  <c r="W203" i="1"/>
  <c r="U153" i="1"/>
  <c r="S153" i="1" s="1"/>
  <c r="W17" i="1"/>
  <c r="W33" i="1"/>
  <c r="U17" i="1"/>
  <c r="S17" i="1" s="1"/>
  <c r="U21" i="1"/>
  <c r="S21" i="1" s="1"/>
  <c r="W149" i="1"/>
  <c r="W164" i="1"/>
  <c r="W129" i="1"/>
  <c r="W189" i="1"/>
  <c r="W88" i="1"/>
  <c r="AI33" i="1"/>
  <c r="W46" i="1"/>
  <c r="AI188" i="1"/>
  <c r="W117" i="1"/>
  <c r="W163" i="1"/>
  <c r="W179" i="1"/>
  <c r="W48" i="1"/>
  <c r="U77" i="1"/>
  <c r="S77" i="1" s="1"/>
  <c r="W50" i="1"/>
  <c r="W97" i="1"/>
  <c r="W83" i="1"/>
  <c r="W188" i="1"/>
  <c r="W44" i="1"/>
  <c r="W153" i="1"/>
  <c r="W43" i="1"/>
  <c r="W177" i="1"/>
  <c r="W52" i="1"/>
  <c r="U87" i="1"/>
  <c r="S87" i="1" s="1"/>
  <c r="W112" i="1"/>
  <c r="W20" i="1"/>
  <c r="W37" i="1"/>
  <c r="W53" i="1"/>
  <c r="W55" i="1"/>
  <c r="W80" i="1"/>
  <c r="U29" i="1"/>
  <c r="S29" i="1" s="1"/>
  <c r="W68" i="1"/>
  <c r="U74" i="1"/>
  <c r="S74" i="1" s="1"/>
  <c r="AI81" i="1"/>
  <c r="U164" i="1"/>
  <c r="S164" i="1" s="1"/>
  <c r="W158" i="1"/>
  <c r="U65" i="1"/>
  <c r="S65" i="1" s="1"/>
  <c r="U80" i="1"/>
  <c r="S80" i="1" s="1"/>
  <c r="W174" i="1"/>
  <c r="AI149" i="1"/>
  <c r="AI220" i="1"/>
  <c r="AI164" i="1"/>
  <c r="AI216" i="1"/>
  <c r="W35" i="1"/>
  <c r="W45" i="1"/>
  <c r="W89" i="1"/>
  <c r="AI129" i="1"/>
  <c r="W103" i="1"/>
  <c r="U44" i="1"/>
  <c r="S44" i="1" s="1"/>
  <c r="W102" i="1"/>
  <c r="W77" i="1"/>
  <c r="W75" i="1"/>
  <c r="W104" i="1"/>
  <c r="W21" i="1"/>
  <c r="W56" i="1"/>
  <c r="W95" i="1"/>
  <c r="W101" i="1"/>
  <c r="W24" i="1"/>
  <c r="AI65" i="1"/>
  <c r="U181" i="1"/>
  <c r="S181" i="1" s="1"/>
  <c r="AI179" i="1"/>
  <c r="U31" i="1"/>
  <c r="S30" i="1" s="1"/>
  <c r="W81" i="1"/>
  <c r="W96" i="1"/>
  <c r="W69" i="1"/>
  <c r="W76" i="1"/>
  <c r="W90" i="1"/>
  <c r="W25" i="1"/>
  <c r="U101" i="1"/>
  <c r="S101" i="1" s="1"/>
  <c r="W82" i="1"/>
  <c r="W87" i="1"/>
  <c r="W72" i="1"/>
  <c r="W74" i="1"/>
  <c r="U85" i="1"/>
  <c r="S85" i="1" s="1"/>
  <c r="AI85" i="1"/>
  <c r="W31" i="1"/>
  <c r="W185" i="1"/>
  <c r="AI176" i="1"/>
  <c r="U95" i="1"/>
  <c r="S95" i="1" s="1"/>
  <c r="W184" i="1"/>
  <c r="W23" i="1"/>
  <c r="U27" i="1"/>
  <c r="S27" i="1" s="1"/>
  <c r="U212" i="1"/>
  <c r="S212" i="1" s="1"/>
  <c r="AI212" i="1"/>
  <c r="U208" i="1"/>
  <c r="S208" i="1" s="1"/>
  <c r="AI208" i="1"/>
  <c r="W198" i="1"/>
  <c r="U189" i="1"/>
  <c r="S189" i="1" s="1"/>
  <c r="AI189" i="1"/>
  <c r="U194" i="1"/>
  <c r="S194" i="1" s="1"/>
  <c r="W212" i="1"/>
  <c r="U69" i="1"/>
  <c r="S69" i="1" s="1"/>
  <c r="AI69" i="1"/>
  <c r="U113" i="1"/>
  <c r="AI113" i="1"/>
  <c r="U53" i="1"/>
  <c r="S53" i="1" s="1"/>
  <c r="W181" i="1"/>
  <c r="W220" i="1"/>
  <c r="W169" i="1"/>
  <c r="W161" i="1"/>
  <c r="W140" i="1"/>
  <c r="W113" i="1"/>
  <c r="U102" i="1"/>
  <c r="S102" i="1" s="1"/>
  <c r="AI102" i="1"/>
  <c r="AI145" i="1"/>
  <c r="U145" i="1"/>
  <c r="S145" i="1" s="1"/>
  <c r="W27" i="1"/>
  <c r="W194" i="1"/>
  <c r="U16" i="1"/>
  <c r="S16" i="1" s="1"/>
  <c r="AI16" i="1"/>
  <c r="U59" i="1"/>
  <c r="S59" i="1" s="1"/>
  <c r="AI59" i="1"/>
  <c r="AI116" i="1"/>
  <c r="U185" i="1"/>
  <c r="S185" i="1" s="1"/>
  <c r="AI123" i="1"/>
  <c r="U90" i="1"/>
  <c r="S90" i="1" s="1"/>
  <c r="AI148" i="1"/>
  <c r="U112" i="1"/>
  <c r="S112" i="1" s="1"/>
  <c r="U123" i="1"/>
  <c r="S123" i="1" s="1"/>
  <c r="W123" i="1"/>
  <c r="AI158" i="1"/>
  <c r="U51" i="1"/>
  <c r="S51" i="1" s="1"/>
  <c r="AI51" i="1"/>
  <c r="U45" i="1"/>
  <c r="S45" i="1" s="1"/>
  <c r="AI45" i="1"/>
  <c r="U28" i="1"/>
  <c r="S28" i="1" s="1"/>
  <c r="AI28" i="1"/>
  <c r="U60" i="1"/>
  <c r="S60" i="1" s="1"/>
  <c r="AI60" i="1"/>
  <c r="AI108" i="1"/>
  <c r="U177" i="1"/>
  <c r="S177" i="1" s="1"/>
  <c r="AI132" i="1"/>
  <c r="U97" i="1"/>
  <c r="S97" i="1" s="1"/>
  <c r="AI139" i="1"/>
  <c r="U104" i="1"/>
  <c r="S104" i="1" s="1"/>
  <c r="U82" i="1"/>
  <c r="S82" i="1" s="1"/>
  <c r="AI82" i="1"/>
  <c r="AI84" i="1"/>
  <c r="U84" i="1"/>
  <c r="S84" i="1" s="1"/>
  <c r="AI167" i="1"/>
  <c r="U132" i="1"/>
  <c r="S132" i="1" s="1"/>
  <c r="U139" i="1"/>
  <c r="S139" i="1" s="1"/>
  <c r="W139" i="1"/>
  <c r="AI174" i="1"/>
  <c r="AI206" i="1"/>
  <c r="U206" i="1"/>
  <c r="S206" i="1" s="1"/>
  <c r="W206" i="1"/>
  <c r="AI215" i="1"/>
  <c r="U215" i="1"/>
  <c r="S215" i="1" s="1"/>
  <c r="AI124" i="1"/>
  <c r="U91" i="1"/>
  <c r="S91" i="1" s="1"/>
  <c r="U143" i="1"/>
  <c r="S143" i="1" s="1"/>
  <c r="AI178" i="1"/>
  <c r="U135" i="1"/>
  <c r="S134" i="1" s="1"/>
  <c r="W135" i="1"/>
  <c r="AI170" i="1"/>
  <c r="W215" i="1"/>
  <c r="AI140" i="1"/>
  <c r="AI39" i="1"/>
  <c r="U39" i="1"/>
  <c r="S39" i="1" s="1"/>
  <c r="AI46" i="1"/>
  <c r="U46" i="1"/>
  <c r="S46" i="1" s="1"/>
  <c r="AI38" i="1"/>
  <c r="U38" i="1"/>
  <c r="S38" i="1" s="1"/>
  <c r="AI72" i="1"/>
  <c r="U72" i="1"/>
  <c r="S72" i="1" s="1"/>
  <c r="AI104" i="1"/>
  <c r="U173" i="1"/>
  <c r="S173" i="1" s="1"/>
  <c r="U180" i="1"/>
  <c r="S180" i="1" s="1"/>
  <c r="AI111" i="1"/>
  <c r="W180" i="1"/>
  <c r="AI144" i="1"/>
  <c r="U108" i="1"/>
  <c r="S108" i="1" s="1"/>
  <c r="U119" i="1"/>
  <c r="S118" i="1" s="1"/>
  <c r="W119" i="1"/>
  <c r="AI207" i="1"/>
  <c r="U207" i="1"/>
  <c r="S207" i="1" s="1"/>
  <c r="AI190" i="1"/>
  <c r="AI195" i="1"/>
  <c r="U193" i="1"/>
  <c r="S193" i="1" s="1"/>
  <c r="AI211" i="1"/>
  <c r="U211" i="1"/>
  <c r="S211" i="1" s="1"/>
  <c r="AI198" i="1"/>
  <c r="U196" i="1"/>
  <c r="S196" i="1" s="1"/>
  <c r="AI131" i="1"/>
  <c r="U96" i="1"/>
  <c r="S96" i="1" s="1"/>
  <c r="U127" i="1"/>
  <c r="S127" i="1" s="1"/>
  <c r="AI162" i="1"/>
  <c r="U89" i="1"/>
  <c r="S89" i="1" s="1"/>
  <c r="AI122" i="1"/>
  <c r="U103" i="1"/>
  <c r="S103" i="1" s="1"/>
  <c r="AI138" i="1"/>
  <c r="U120" i="1"/>
  <c r="S120" i="1" s="1"/>
  <c r="AI155" i="1"/>
  <c r="U32" i="1"/>
  <c r="AI32" i="1"/>
  <c r="U20" i="1"/>
  <c r="S20" i="1" s="1"/>
  <c r="AI20" i="1"/>
  <c r="AI36" i="1"/>
  <c r="U36" i="1"/>
  <c r="S36" i="1" s="1"/>
  <c r="U55" i="1"/>
  <c r="S55" i="1" s="1"/>
  <c r="AI55" i="1"/>
  <c r="AI47" i="1"/>
  <c r="U47" i="1"/>
  <c r="S47" i="1" s="1"/>
  <c r="AI92" i="1"/>
  <c r="U162" i="1"/>
  <c r="S162" i="1" s="1"/>
  <c r="AI99" i="1"/>
  <c r="U168" i="1"/>
  <c r="S168" i="1" s="1"/>
  <c r="W168" i="1"/>
  <c r="U63" i="1"/>
  <c r="S63" i="1" s="1"/>
  <c r="AI63" i="1"/>
  <c r="U115" i="1"/>
  <c r="S115" i="1" s="1"/>
  <c r="AI151" i="1"/>
  <c r="AI147" i="1"/>
  <c r="U111" i="1"/>
  <c r="U124" i="1"/>
  <c r="S124" i="1" s="1"/>
  <c r="AI159" i="1"/>
  <c r="U116" i="1"/>
  <c r="AI152" i="1"/>
  <c r="AI199" i="1"/>
  <c r="U197" i="1"/>
  <c r="S197" i="1" s="1"/>
  <c r="W207" i="1"/>
  <c r="U202" i="1"/>
  <c r="S202" i="1" s="1"/>
  <c r="AI202" i="1"/>
  <c r="AI218" i="1"/>
  <c r="U218" i="1"/>
  <c r="S218" i="1" s="1"/>
  <c r="W111" i="1"/>
  <c r="W193" i="1"/>
  <c r="U56" i="1"/>
  <c r="S56" i="1" s="1"/>
  <c r="AI56" i="1"/>
  <c r="W16" i="1"/>
  <c r="AI88" i="1"/>
  <c r="U158" i="1"/>
  <c r="S158" i="1" s="1"/>
  <c r="W173" i="1"/>
  <c r="U176" i="1"/>
  <c r="S176" i="1" s="1"/>
  <c r="AI107" i="1"/>
  <c r="AI68" i="1"/>
  <c r="U68" i="1"/>
  <c r="S68" i="1" s="1"/>
  <c r="U174" i="1"/>
  <c r="S174" i="1" s="1"/>
  <c r="W196" i="1"/>
  <c r="U24" i="1"/>
  <c r="AI24" i="1"/>
  <c r="AI22" i="1"/>
  <c r="U22" i="1"/>
  <c r="S22" i="1" s="1"/>
  <c r="AI76" i="1"/>
  <c r="U76" i="1"/>
  <c r="S76" i="1" s="1"/>
  <c r="AI83" i="1"/>
  <c r="U83" i="1"/>
  <c r="S83" i="1" s="1"/>
  <c r="AI91" i="1"/>
  <c r="U161" i="1"/>
  <c r="S161" i="1" s="1"/>
  <c r="AI100" i="1"/>
  <c r="U169" i="1"/>
  <c r="S169" i="1" s="1"/>
  <c r="U52" i="1"/>
  <c r="S52" i="1" s="1"/>
  <c r="AI52" i="1"/>
  <c r="U167" i="1"/>
  <c r="S167" i="1" s="1"/>
  <c r="AI98" i="1"/>
  <c r="W32" i="1"/>
  <c r="AI75" i="1"/>
  <c r="U75" i="1"/>
  <c r="S75" i="1" s="1"/>
  <c r="AI115" i="1"/>
  <c r="U184" i="1"/>
  <c r="S184" i="1" s="1"/>
  <c r="W120" i="1"/>
  <c r="U131" i="1"/>
  <c r="S131" i="1" s="1"/>
  <c r="AI166" i="1"/>
  <c r="W124" i="1"/>
  <c r="AI183" i="1"/>
  <c r="U148" i="1"/>
  <c r="S148" i="1" s="1"/>
  <c r="AI175" i="1"/>
  <c r="U140" i="1"/>
  <c r="S140" i="1" s="1"/>
  <c r="W197" i="1"/>
  <c r="W211" i="1"/>
  <c r="AI186" i="1"/>
  <c r="U151" i="1"/>
  <c r="S151" i="1" s="1"/>
  <c r="W148" i="1"/>
  <c r="AI191" i="1"/>
  <c r="U155" i="1"/>
  <c r="S155" i="1" s="1"/>
  <c r="W127" i="1"/>
  <c r="W131" i="1"/>
  <c r="W218" i="1"/>
  <c r="W143" i="1"/>
  <c r="W115" i="1"/>
  <c r="T36" i="3"/>
  <c r="AD36" i="3"/>
  <c r="Y36" i="3"/>
  <c r="AD7" i="3" l="1"/>
  <c r="B86" i="9" l="1"/>
  <c r="B87" i="9"/>
  <c r="B88" i="9"/>
  <c r="B89" i="9"/>
  <c r="C90" i="9" s="1"/>
  <c r="B90" i="9"/>
  <c r="B91" i="9"/>
  <c r="C91" i="9" s="1"/>
  <c r="B92" i="9"/>
  <c r="B93" i="9"/>
  <c r="B94" i="9"/>
  <c r="B95" i="9"/>
  <c r="B96" i="9"/>
  <c r="B97" i="9"/>
  <c r="C97" i="9"/>
  <c r="B98" i="9"/>
  <c r="B99" i="9"/>
  <c r="B100" i="9"/>
  <c r="B101" i="9"/>
  <c r="B102" i="9"/>
  <c r="B103" i="9"/>
  <c r="B104" i="9"/>
  <c r="B105" i="9"/>
  <c r="C106" i="9" s="1"/>
  <c r="B106" i="9"/>
  <c r="B107" i="9"/>
  <c r="C107" i="9" s="1"/>
  <c r="B108" i="9"/>
  <c r="B109" i="9"/>
  <c r="B110" i="9"/>
  <c r="B111" i="9"/>
  <c r="C99" i="9" l="1"/>
  <c r="C96" i="9"/>
  <c r="C101" i="9"/>
  <c r="C104" i="9"/>
  <c r="C98" i="9"/>
  <c r="C88" i="9"/>
  <c r="C109" i="9"/>
  <c r="C105" i="9"/>
  <c r="C93" i="9"/>
  <c r="C89" i="9"/>
  <c r="C108" i="9"/>
  <c r="C100" i="9"/>
  <c r="C92" i="9"/>
  <c r="C111" i="9"/>
  <c r="C110" i="9"/>
  <c r="C103" i="9"/>
  <c r="C102" i="9"/>
  <c r="C95" i="9"/>
  <c r="C94" i="9"/>
  <c r="C87" i="9"/>
  <c r="B3" i="6" l="1"/>
  <c r="G3" i="6" l="1"/>
  <c r="K3" i="6"/>
  <c r="J3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58" i="9" l="1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7" i="3" l="1"/>
  <c r="N18" i="3"/>
  <c r="N19" i="3"/>
  <c r="N33" i="3"/>
  <c r="N34" i="3"/>
  <c r="N16" i="3"/>
  <c r="N8" i="3"/>
  <c r="N9" i="3"/>
  <c r="N14" i="3"/>
  <c r="N22" i="3"/>
  <c r="N12" i="3"/>
  <c r="N21" i="3"/>
  <c r="N17" i="3"/>
  <c r="N35" i="3"/>
  <c r="N30" i="3"/>
  <c r="N26" i="3"/>
  <c r="N15" i="3"/>
  <c r="N28" i="3"/>
  <c r="N20" i="3"/>
  <c r="N10" i="3"/>
  <c r="N23" i="3"/>
  <c r="N24" i="3"/>
  <c r="N11" i="3"/>
  <c r="N27" i="3"/>
  <c r="N31" i="3"/>
  <c r="N13" i="3"/>
  <c r="N32" i="3"/>
  <c r="N36" i="3"/>
  <c r="N7" i="3"/>
  <c r="N25" i="3"/>
  <c r="N29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P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<sst xmlns="http://schemas.openxmlformats.org/spreadsheetml/2006/main" count="2575" uniqueCount="967">
  <si>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</si>
  <si>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</si>
  <si>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</si>
  <si>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</si>
  <si>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</si>
  <si>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</si>
  <si>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</si>
  <si>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</si>
  <si>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</si>
  <si>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</si>
  <si>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</si>
  <si>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</si>
  <si>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</si>
  <si>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</si>
  <si>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</si>
  <si>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</si>
  <si>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</si>
  <si>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</si>
  <si>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</si>
  <si>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</si>
  <si>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</si>
  <si>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</si>
  <si>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</si>
  <si>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</si>
  <si>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</si>
  <si>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</si>
  <si>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</si>
  <si>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</si>
  <si>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</si>
  <si>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</si>
  <si>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</si>
  <si>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</si>
  <si>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</si>
  <si>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</si>
  <si>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</si>
  <si>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</si>
  <si>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</si>
  <si>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</si>
  <si>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</si>
  <si>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</si>
  <si>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</si>
  <si>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</si>
  <si>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</si>
  <si>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</si>
  <si>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</si>
  <si>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</si>
  <si>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</si>
  <si>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</si>
  <si>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</si>
  <si>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</si>
  <si>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</si>
  <si>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</si>
  <si>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</si>
  <si>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</si>
  <si>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</si>
  <si>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</si>
  <si>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</si>
  <si>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</si>
  <si>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</si>
  <si>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</si>
  <si>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</si>
  <si>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</si>
  <si>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</si>
  <si>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</si>
  <si>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</si>
  <si>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</si>
  <si>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</si>
  <si>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</si>
  <si>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</si>
  <si>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</si>
  <si>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</si>
  <si>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</si>
  <si>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</si>
  <si>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</si>
  <si>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</si>
  <si>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</si>
  <si>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</si>
  <si>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</si>
  <si>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</si>
  <si>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</si>
  <si>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</si>
  <si>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</si>
  <si>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</si>
  <si>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</si>
  <si>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</si>
  <si>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</si>
  <si>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</si>
  <si>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</si>
  <si>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</si>
  <si>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</si>
  <si>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</si>
  <si>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</si>
  <si>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</si>
  <si>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</si>
  <si>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</si>
  <si>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</si>
  <si>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</si>
  <si>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</si>
  <si>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</si>
  <si>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</si>
  <si>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</si>
  <si>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</si>
  <si>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</si>
  <si>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</si>
  <si>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</si>
  <si>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</si>
  <si>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</si>
  <si>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</si>
  <si>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</si>
  <si>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</si>
  <si>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</si>
  <si>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</si>
  <si>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</si>
  <si>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</si>
  <si>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</si>
  <si>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</si>
  <si>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</si>
  <si>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</si>
  <si>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</si>
  <si>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</si>
  <si>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</si>
  <si>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</si>
  <si>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</si>
  <si>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</si>
  <si>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</si>
  <si>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</si>
  <si>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</si>
  <si>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</si>
  <si>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</si>
  <si>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</si>
  <si>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</si>
  <si>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</si>
  <si>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</si>
  <si>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</si>
  <si>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</si>
  <si>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</si>
  <si>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</si>
  <si>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</si>
  <si>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</si>
  <si>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</si>
  <si>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</si>
  <si>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</si>
  <si>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</si>
  <si>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</si>
  <si>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</si>
  <si>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</si>
  <si>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</si>
  <si>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</si>
  <si>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</si>
  <si>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</si>
  <si>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</si>
  <si>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</si>
  <si>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</si>
  <si>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</si>
  <si>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</si>
  <si>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</si>
  <si>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</si>
  <si>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</si>
  <si>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</si>
  <si>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</si>
  <si>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</si>
  <si>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</si>
  <si>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</si>
  <si>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</si>
  <si>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</si>
  <si>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</si>
  <si>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</si>
  <si>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</si>
  <si>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</si>
  <si>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</si>
  <si>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</si>
  <si>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</si>
  <si>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</si>
  <si>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</si>
  <si>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</si>
  <si>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</si>
  <si>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</si>
  <si>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</si>
  <si>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</si>
  <si>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</si>
  <si>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</si>
  <si>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</si>
  <si>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</si>
  <si>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</si>
  <si>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</si>
  <si>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</si>
  <si>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</si>
  <si>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</si>
  <si>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</si>
  <si>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</si>
  <si>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</si>
  <si>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</si>
  <si>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</si>
  <si>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</si>
  <si>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</si>
  <si>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</si>
  <si>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</si>
  <si>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</si>
  <si>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</si>
  <si>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</si>
  <si>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</si>
  <si>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</si>
  <si>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</si>
  <si>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</si>
  <si>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</si>
  <si>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</si>
  <si>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</si>
  <si>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</si>
  <si>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</si>
  <si>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</si>
  <si>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</si>
  <si>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</si>
  <si>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</si>
  <si>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</si>
  <si>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</si>
  <si>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</si>
  <si>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</si>
  <si>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</si>
  <si>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</si>
  <si>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</si>
  <si>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</si>
  <si>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</si>
  <si>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</si>
  <si>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</si>
  <si>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</si>
  <si>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204:141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</si>
  <si>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</si>
  <si>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</si>
  <si>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</si>
  <si>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</si>
  <si>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</si>
  <si>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</si>
  <si>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</si>
  <si>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</si>
  <si>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</si>
  <si>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</si>
  <si>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</si>
  <si>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</si>
  <si>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</si>
  <si>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</si>
  <si>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</si>
  <si>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</si>
  <si>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</si>
  <si>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</si>
  <si>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</si>
  <si>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</si>
  <si>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</si>
  <si>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</si>
  <si>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</si>
  <si>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</si>
  <si>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</si>
  <si>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204:446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</si>
  <si>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</si>
  <si>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</si>
  <si>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</si>
  <si>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</si>
  <si>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</si>
  <si>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</si>
  <si>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</si>
  <si>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</si>
  <si>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</si>
  <si>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</si>
  <si>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</si>
  <si>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</si>
  <si>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</si>
  <si>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</si>
  <si>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</si>
  <si>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</si>
  <si>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300:58623</t>
  </si>
  <si>
    <t>204:232989</t>
  </si>
  <si>
    <t>204:232996</t>
  </si>
  <si>
    <t>204:467</t>
  </si>
  <si>
    <t>204:232977</t>
  </si>
  <si>
    <t>204:161</t>
  </si>
  <si>
    <t>204:160</t>
  </si>
  <si>
    <t>204:232987</t>
  </si>
  <si>
    <t>clear-night</t>
  </si>
  <si>
    <t>Clear</t>
  </si>
  <si>
    <t>204:158</t>
  </si>
  <si>
    <t>204:462</t>
  </si>
  <si>
    <t>204:232993</t>
  </si>
  <si>
    <t>204:233314</t>
  </si>
  <si>
    <t>rtdc.l.rtdc.4013:itc</t>
  </si>
  <si>
    <t>204:475</t>
  </si>
  <si>
    <t>204:232953</t>
  </si>
  <si>
    <t>204:486</t>
  </si>
  <si>
    <t>204:484</t>
  </si>
  <si>
    <t>204:233323</t>
  </si>
  <si>
    <t>204:232985</t>
  </si>
  <si>
    <t>300:58931</t>
  </si>
  <si>
    <t>300:58935</t>
  </si>
  <si>
    <t>300:58613</t>
  </si>
  <si>
    <t>300:58944</t>
  </si>
  <si>
    <t>300:58937</t>
  </si>
  <si>
    <t>rtdc.l.rtdc.4004:itc</t>
  </si>
  <si>
    <t>rtdc.l.rtdc.4021:itc</t>
  </si>
  <si>
    <t>SCOTT</t>
  </si>
  <si>
    <t>rtdc.l.rtdc.4003:itc</t>
  </si>
  <si>
    <t>204:138</t>
  </si>
  <si>
    <t>204:444</t>
  </si>
  <si>
    <t>204:477</t>
  </si>
  <si>
    <t>204:132</t>
  </si>
  <si>
    <t>204:429</t>
  </si>
  <si>
    <t>204:232974</t>
  </si>
  <si>
    <t>300:23304</t>
  </si>
  <si>
    <t>rtdc.l.rtdc.4018:itc</t>
  </si>
  <si>
    <t>rtdc.l.rtdc.4017:itc</t>
  </si>
  <si>
    <t>GEBRETEKLE</t>
  </si>
  <si>
    <t>DAGNEW</t>
  </si>
  <si>
    <t>MAELZER</t>
  </si>
  <si>
    <t>KURT</t>
  </si>
  <si>
    <t>ADANE</t>
  </si>
  <si>
    <t>ELSHADAY</t>
  </si>
  <si>
    <t>DIANE</t>
  </si>
  <si>
    <t>SAFIEF</t>
  </si>
  <si>
    <t>AEIMEN</t>
  </si>
  <si>
    <t>204:233289</t>
  </si>
  <si>
    <t>204:457</t>
  </si>
  <si>
    <t>204:233332</t>
  </si>
  <si>
    <t>204:233008</t>
  </si>
  <si>
    <t>204:233307</t>
  </si>
  <si>
    <t>204:233000</t>
  </si>
  <si>
    <t>204:232986</t>
  </si>
  <si>
    <t>204:440</t>
  </si>
  <si>
    <t>204:232971</t>
  </si>
  <si>
    <t>204:233291</t>
  </si>
  <si>
    <t>204:233306</t>
  </si>
  <si>
    <t>204:233299</t>
  </si>
  <si>
    <t>204:125</t>
  </si>
  <si>
    <t>204:134</t>
  </si>
  <si>
    <t>204:233298</t>
  </si>
  <si>
    <t>300:58624</t>
  </si>
  <si>
    <t>204:965</t>
  </si>
  <si>
    <t>300:58933</t>
  </si>
  <si>
    <t>204:969</t>
  </si>
  <si>
    <t>204:976</t>
  </si>
  <si>
    <t>300:58939</t>
  </si>
  <si>
    <t>300:58628</t>
  </si>
  <si>
    <t>300:58615</t>
  </si>
  <si>
    <t>SYS :2016/12/14 10:32:11.283:ENFORCEMENT:Predictive Enforcement Action:  Target Number: 00001002  Target Speed:   0.0  Current Speed:   2.5</t>
  </si>
  <si>
    <t>SYS :2016/12/14 12:39:29.984:ENFORCEMENT:Reactive Enforcement Action:  Target Number: 0000A024  Target Speed:  15.0  Current Speed:  21.7</t>
  </si>
  <si>
    <t>SYS :2016/12/14 12:39:30.145:ENFORCEMENT:Reactive Enforcement Action:  Target Number: 0000A024  Target Speed:  15.0  Current Speed:  21.7</t>
  </si>
  <si>
    <t>SYS :2016/12/14 12:39:30.815:ENFORCEMENT:Reactive Enforcement Action:  Target Number: 0000A003  Target Speed:  15.0  Current Speed:  21.7</t>
  </si>
  <si>
    <t>SYS :2016/12/14 12:51:01.148:ENFORCEMENT:Predictive Enforcement Action:  Target Number: 0000A025  Target Speed:  10.0  Current Speed:  64.0</t>
  </si>
  <si>
    <t>SYS :2016/12/14 12:51:01.990:ENFORCEMENT:Predictive Enforcement Action:  Target Number: 0000A025  Target Speed:  10.0  Current Speed:  63.5</t>
  </si>
  <si>
    <t>SYS :2016/12/14 12:51:02.826:ENFORCEMENT:Predictive Enforcement Action:  Target Number: 0000A004  Target Speed:  10.0  Current Speed:  63.0</t>
  </si>
  <si>
    <t>SYS :2016/12/14 12:52:28.631:ENFORCEMENT:Reactive Enforcement Action:  Target Number: 0000A026  Target Speed:  15.0  Current Speed:  20.1</t>
  </si>
  <si>
    <t>SYS :2016/12/14 12:52:29.264:ENFORCEMENT:Reactive Enforcement Action:  Target Number: 0000A026  Target Speed:  15.0  Current Speed:  20.1</t>
  </si>
  <si>
    <t>SYS :2016/12/14 12:52:29.472:ENFORCEMENT:Reactive Enforcement Action:  Target Number: 0000A026  Target Speed:  15.0  Current Speed:  20.1</t>
  </si>
  <si>
    <t>SYS :2016/12/14 13:01:15.737:ENFORCEMENT:Reactive Enforcement Action:  Target Number: 0000A066  Target Speed:  15.0  Current Speed:  20.0</t>
  </si>
  <si>
    <t>SYS :2016/12/14 14:41:17.411:ENFORCEMENT:Reactive Enforcement Action:  Target Number: 0001701A  Target Speed:   0.0  Current Speed:  35.4</t>
  </si>
  <si>
    <t>SYS :2016/12/14 14:41:17.754:ENFORCEMENT:Reactive Enforcement Action:  Target Number: 0001701A  Target Speed:   0.0  Current Speed:  35.7</t>
  </si>
  <si>
    <t>SYS :2016/12/14 14:41:18.047:ENFORCEMENT:Reactive Enforcement Action:  Target Number: 0001701A  Target Speed:   0.0  Current Speed:  35.4</t>
  </si>
  <si>
    <t>SYS :2016/12/14 14:51:33.969:ENFORCEMENT:Predictive Enforcement Action:  Target Number: 0000102B  Target Speed:   0.0  Current Speed:   5.2</t>
  </si>
  <si>
    <t>SYS :2016/12/14 14:51:34.128:ENFORCEMENT:Predictive Enforcement Action:  Target Number: 0000102B  Target Speed:   0.0  Current Speed:   5.1</t>
  </si>
  <si>
    <t>SYS :2016/12/14 14:57:19.018:ENFORCEMENT:Predictive Enforcement Action:  Target Number: 00010067  Target Speed:  30.0  Current Speed:  35.1</t>
  </si>
  <si>
    <t>SYS :2016/12/14 14:57:19.968:ENFORCEMENT:Predictive Enforcement Action:  Target Number: 00010009  Target Speed:  30.0  Current Speed:  35.1</t>
  </si>
  <si>
    <t>SYS :2016/12/14 14:57:20.091:ENFORCEMENT:Predictive Enforcement Action:  Target Number: 00010068  Target Speed:  30.0  Current Speed:  35.1</t>
  </si>
  <si>
    <t>SYS :2016/12/14 15:02:26.052:ENFORCEMENT:Reactive Enforcement Action:  Target Number: 0000A008  Target Speed:  15.0  Current Speed:  20.7</t>
  </si>
  <si>
    <t>SYS :2016/12/14 15:02:26.397:ENFORCEMENT:Reactive Enforcement Action:  Target Number: 0000A008  Target Speed:  15.0  Current Speed:  20.7</t>
  </si>
  <si>
    <t>SYS :2016/12/14 15:02:26.763:ENFORCEMENT:Reactive Enforcement Action:  Target Number: 0000A008  Target Speed:  15.0  Current Speed:  20.7</t>
  </si>
  <si>
    <t>SYS :2016/12/14 15:33:49.866:ENFORCEMENT:Predictive Enforcement Action:  Target Number: 0000A02D  Target Speed:  10.0  Current Speed:  37.5</t>
  </si>
  <si>
    <t>SYS :2016/12/14 15:38:00.008:ENFORCEMENT:Predictive Enforcement Action:  Target Number: 00017004  Target Speed:   9.0  Current Speed:  14.6</t>
  </si>
  <si>
    <t>SYS :2016/12/14 15:38:00.075:ENFORCEMENT:Predictive Enforcement Action:  Target Number: 00017004  Target Speed:   9.0  Current Speed:  14.6</t>
  </si>
  <si>
    <t>SYS :2016/12/14 15:38:00.143:ENFORCEMENT:Predictive Enforcement Action:  Target Number: 00017002  Target Speed:   9.0  Current Speed:  14.6</t>
  </si>
  <si>
    <t>SYS :2016/12/14 16:31:06.806:ENFORCEMENT:Predictive Enforcement Action:  Target Number: 000060BA  Target Speed:   0.0  Current Speed:  72.7</t>
  </si>
  <si>
    <t>SYS :2016/12/14 16:31:07.049:ENFORCEMENT:Predictive Enforcement Action:  Target Number: 000060B5  Target Speed:   0.0  Current Speed:  72.3</t>
  </si>
  <si>
    <t>SYS :2016/12/14 16:31:07.416:ENFORCEMENT:Predictive Enforcement Action:  Target Number: 000060B1  Target Speed:   0.0  Current Speed:  72.3</t>
  </si>
  <si>
    <t>SYS :2016/12/14 16:31:44.840:ENFORCEMENT:Predictive Enforcement Action:  Target Number: 00010154  Target Speed:  15.0  Current Speed:  26.1</t>
  </si>
  <si>
    <t>SYS :2016/12/14 16:37:12.664:ENFORCEMENT:Predictive Enforcement Action:  Target Number: 0000103F  Target Speed:   0.0  Current Speed:   5.0</t>
  </si>
  <si>
    <t>SYS :2016/12/14 16:54:03.388:ENFORCEMENT:Predictive Enforcement Action:  Target Number: 00001007  Target Speed:   0.0  Current Speed:  13.5</t>
  </si>
  <si>
    <t>SYS :2016/12/14 17:27:14.441:ENFORCEMENT:Predictive Enforcement Action:  Target Number: 0000E001  Target Speed:   0.0  Current Speed:   5.6</t>
  </si>
  <si>
    <t>SYS :2016/12/14 17:27:15.071:ENFORCEMENT:Predictive Enforcement Action:  Target Number: 0000E003  Target Speed:   0.0  Current Speed:   5.6</t>
  </si>
  <si>
    <t>SYS :2016/12/14 17:27:15.462:ENFORCEMENT:Predictive Enforcement Action:  Target Number: 0000E002  Target Speed:   0.0  Current Speed:   5.6</t>
  </si>
  <si>
    <t>SYS :2016/12/14 17:34:00.303:ENFORCEMENT:Predictive Enforcement Action:  Target Number: 0000A00E  Target Speed:  10.0  Current Speed:  27.8</t>
  </si>
  <si>
    <t>SYS :2016/12/14 17:34:00.386:ENFORCEMENT:Predictive Enforcement Action:  Target Number: 0000A00E  Target Speed:  10.0  Current Speed:  28.4</t>
  </si>
  <si>
    <t>SYS :2016/12/14 17:34:00.993:ENFORCEMENT:Predictive Enforcement Action:  Target Number: 0000A00E  Target Speed:  10.0  Current Speed:  26.8</t>
  </si>
  <si>
    <t>SYS :2016/12/14 17:36:14.708:ENFORCEMENT:Predictive Enforcement Action:  Target Number: 00001062  Target Speed:   0.0  Current Speed:   9.7</t>
  </si>
  <si>
    <t>SYS :2016/12/14 17:36:14.845:ENFORCEMENT:Predictive Enforcement Action:  Target Number: 00001025  Target Speed:   0.0  Current Speed:   9.7</t>
  </si>
  <si>
    <t>SYS :2016/12/14 17:52:35.665:ENFORCEMENT:Predictive Enforcement Action:  Target Number: 00017247  Target Speed:   0.0  Current Speed:  21.9</t>
  </si>
  <si>
    <t>SYS :2016/12/14 17:52:36.716:ENFORCEMENT:Predictive Enforcement Action:  Target Number: 00017247  Target Speed:   0.0  Current Speed:  20.6</t>
  </si>
  <si>
    <t>SYS :2016/12/14 18:01:02.988:ENFORCEMENT:Predictive Enforcement Action:  Target Number: 000101FF  Target Speed:  40.0  Current Speed:  46.3</t>
  </si>
  <si>
    <t>SYS :2016/12/14 18:01:03.161:ENFORCEMENT:Predictive Enforcement Action:  Target Number: 000101FE  Target Speed:  40.0  Current Speed:  46.6</t>
  </si>
  <si>
    <t>SYS :2016/12/14 18:01:03.821:ENFORCEMENT:Predictive Enforcement Action:  Target Number: 00010088  Target Speed:  40.0  Current Speed:  46.6</t>
  </si>
  <si>
    <t>SYS :2016/12/14 18:08:47.821:ENFORCEMENT:Predictive Enforcement Action:  Target Number: 0000A00D  Target Speed:  10.0  Current Speed:  24.5</t>
  </si>
  <si>
    <t>SYS :2016/12/14 18:08:47.981:ENFORCEMENT:Predictive Enforcement Action:  Target Number: 0000A02E  Target Speed:  10.0  Current Speed:  24.5</t>
  </si>
  <si>
    <t>SYS :2016/12/14 18:08:48.151:ENFORCEMENT:Predictive Enforcement Action:  Target Number: 0000A02E  Target Speed:  10.0  Current Speed:  24.5</t>
  </si>
  <si>
    <t>SYS :2016/12/14 18:49:32.997:ENFORCEMENT:Predictive Enforcement Action:  Target Number: 00001047  Target Speed:   0.0  Current Speed:   4.6</t>
  </si>
  <si>
    <t>SYS :2016/12/14 18:51:08.610:ENFORCEMENT:Predictive Enforcement Action:  Target Number: 00001073  Target Speed:   0.0  Current Speed:  14.5</t>
  </si>
  <si>
    <t>SYS :2016/12/14 18:53:47.083:ENFORCEMENT:Predictive Enforcement Action:  Target Number: 000063DA  Target Speed:   0.0  Current Speed:  44.4</t>
  </si>
  <si>
    <t>SYS :2016/12/14 18:53:47.432:ENFORCEMENT:Predictive Enforcement Action:  Target Number: 0000606E  Target Speed:   0.0  Current Speed:  43.5</t>
  </si>
  <si>
    <t>SYS :2016/12/14 18:53:47.463:ENFORCEMENT:Predictive Enforcement Action:  Target Number: 00006320  Target Speed:   0.0  Current Speed:  44.4</t>
  </si>
  <si>
    <t>SYS :2016/12/14 18:56:13.431:ENFORCEMENT:Predictive Enforcement Action:  Target Number: 0000606E  Target Speed:   0.0  Current Speed:   4.3</t>
  </si>
  <si>
    <t>SYS :2016/12/14 19:04:10.481:ENFORCEMENT:Predictive Enforcement Action:  Target Number: 0000A028  Target Speed:  10.0  Current Speed:  45.6</t>
  </si>
  <si>
    <t>SYS :2016/12/14 19:20:19.060:ENFORCEMENT:Predictive Enforcement Action:  Target Number: 00001027  Target Speed:   0.0  Current Speed:   7.3</t>
  </si>
  <si>
    <t>SYS :2016/12/14 19:20:19.434:ENFORCEMENT:Predictive Enforcement Action:  Target Number: 00001007  Target Speed:   0.0  Current Speed:   7.1</t>
  </si>
  <si>
    <t>SYS :2016/12/14 19:20:21.373:ENFORCEMENT:Predictive Enforcement Action:  Target Number: 00001002  Target Speed:   0.0  Current Speed:   6.5</t>
  </si>
  <si>
    <t>SYS :2016/12/14 19:26:14.284:ENFORCEMENT:Predictive Enforcement Action:  Target Number: 00001020  Target Speed:   0.0  Current Speed:   9.4</t>
  </si>
  <si>
    <t>SYS :2016/12/14 19:26:14.954:ENFORCEMENT:Predictive Enforcement Action:  Target Number: 00001003  Target Speed:   0.0  Current Speed:   9.4</t>
  </si>
  <si>
    <t>SYS :2016/12/14 19:26:15.397:ENFORCEMENT:Predictive Enforcement Action:  Target Number: 00001020  Target Speed:   0.0  Current Speed:   9.4</t>
  </si>
  <si>
    <t>SYS :2016/12/14 19:27:45.954:ENFORCEMENT:Predictive Enforcement Action:  Target Number: 00001003  Target Speed:   0.0  Current Speed:   3.2</t>
  </si>
  <si>
    <t>SYS :2016/12/14 19:27:46.275:ENFORCEMENT:Predictive Enforcement Action:  Target Number: 00001020  Target Speed:   0.0  Current Speed:   3.2</t>
  </si>
  <si>
    <t>SYS :2016/12/14 19:27:46.397:ENFORCEMENT:Predictive Enforcement Action:  Target Number: 00001020  Target Speed:   0.0  Current Speed:   3.2</t>
  </si>
  <si>
    <t>SYS :2016/12/14 20:03:30.075:ENFORCEMENT:Predictive Enforcement Action:  Target Number: 0000A002  Target Speed:  10.0  Current Speed:  37.9</t>
  </si>
  <si>
    <t>SYS :2016/12/14 20:03:34.474:ENFORCEMENT:Predictive Enforcement Action:  Target Number: 0000A02F  Target Speed:  10.0  Current Speed:  32.7</t>
  </si>
  <si>
    <t>SYS :2016/12/14 20:03:34.634:ENFORCEMENT:Predictive Enforcement Action:  Target Number: 0000A02F  Target Speed:  10.0  Current Speed:  31.9</t>
  </si>
  <si>
    <t>SYS :2016/12/14 21:05:09.276:ENFORCEMENT:Predictive Enforcement Action:  Target Number: 00001022  Target Speed:   0.0  Current Speed:   8.6</t>
  </si>
  <si>
    <t>SYS :2016/12/14 21:48:54.478:ENFORCEMENT:Predictive Enforcement Action:  Target Number: 0000A030  Target Speed:  10.0  Current Speed:  25.2</t>
  </si>
  <si>
    <t>SYS :2016/12/14 21:48:54.641:ENFORCEMENT:Predictive Enforcement Action:  Target Number: 0000A030  Target Speed:  10.0  Current Speed:  24.7</t>
  </si>
  <si>
    <t>SYS :2016/12/14 21:48:55.069:ENFORCEMENT:Predictive Enforcement Action:  Target Number: 0000A003  Target Speed:  10.0  Current Speed:  24.7</t>
  </si>
  <si>
    <t>SYS :2016/12/14 22:48:51.273:ENFORCEMENT:Predictive Enforcement Action:  Target Number: 000102B7  Target Speed:  15.0  Current Speed:  34.0</t>
  </si>
  <si>
    <t>SYS :2016/12/14 22:48:51.958:ENFORCEMENT:Predictive Enforcement Action:  Target Number: 0001007D  Target Speed:  15.0  Current Speed:  34.0</t>
  </si>
  <si>
    <t>SYS :2016/12/14 22:48:52.396:ENFORCEMENT:Predictive Enforcement Action:  Target Number: 00010298  Target Speed:  15.0  Current Speed:  34.0</t>
  </si>
  <si>
    <t>SYS :2016/12/14 23:41:59.135:ENFORCEMENT:Reactive Enforcement Action:  Target Number: 000062CA  Target Speed:   0.0  Current Speed:   5.1</t>
  </si>
  <si>
    <t>SYS :2016/12/14 23:41:59.475:ENFORCEMENT:Reactive Enforcement Action:  Target Number: 00006303  Target Speed:   0.0  Current Speed:   6.0</t>
  </si>
  <si>
    <t>SYS :2016/12/14 23:42:01.118:ENFORCEMENT:Reactive Enforcement Action:  Target Number: 000062B8  Target Speed:   0.0  Current Speed:   6.8</t>
  </si>
  <si>
    <t>SYS :2016/12/14 23:42:41.456:ENFORCEMENT:Reactive Enforcement Action:  Target Number: 00006303  Target Speed:   0.0  Current Speed:   0.4</t>
  </si>
  <si>
    <t>SYS :2016/12/14 23:42:42.111:ENFORCEMENT:Reactive Enforcement Action:  Target Number: 000062B8  Target Speed:   0.0  Current Speed:   0.4</t>
  </si>
  <si>
    <t>SYS :2016/12/14 23:42:42.124:ENFORCEMENT:Reactive Enforcement Action:  Target Number: 000062CA  Target Speed:   0.0  Current Speed:   0.4</t>
  </si>
  <si>
    <t>SYS :2016/12/14 23:51:34.620:ENFORCEMENT:Predictive Enforcement Action:  Target Number: 0000102A  Target Speed:   0.0  Current Speed:  12.7</t>
  </si>
  <si>
    <t>SYS :2016/12/14 23:52:14.619:ENFORCEMENT:Predictive Enforcement Action:  Target Number: 0000102A  Target Speed:   0.0  Current Speed:   8.7</t>
  </si>
  <si>
    <t>SYS :2016/12/15 00:19:51.666:ENFORCEMENT:Predictive Enforcement Action:  Target Number: 00010255  Target Speed:  15.0  Current Speed:  28.1</t>
  </si>
  <si>
    <t>SYS :2016/12/15 00:19:51.712:ENFORCEMENT:Predictive Enforcement Action:  Target Number: 000101BE  Target Speed:  15.0  Current Speed:  28.1</t>
  </si>
  <si>
    <t>SYS :2016/12/15 00:19:52.465:ENFORCEMENT:Predictive Enforcement Action:  Target Number: 00010250  Target Speed:  15.0  Current Speed:  27.6</t>
  </si>
  <si>
    <t>SYS :2016/12/15 01:03:25.592:ENFORCEMENT:Predictive Enforcement Action:  Target Number: 0000A013  Target Speed:  10.0  Current Speed:  33.7</t>
  </si>
  <si>
    <t>SYS :2016/12/15 01:03:25.882:ENFORCEMENT:Predictive Enforcement Action:  Target Number: 0000A013  Target Speed:  10.0  Current Speed:  33.7</t>
  </si>
  <si>
    <t>SYS :2016/12/15 01:03:26.126:ENFORCEMENT:Predictive Enforcement Action:  Target Number: 0000A013  Target Speed:  10.0  Current Speed:  33.7</t>
  </si>
  <si>
    <t>SYS :2016/12/15 02:06:46.998:ENFORCEMENT:Predictive Enforcement Action:  Target Number: 00001017  Target Speed:   0.0  Current Speed:   3.8</t>
  </si>
  <si>
    <t>SYS :2016/12/15 02:33:01.023:ENFORCEMENT:Predictive Enforcement Action:  Target Number: 0000A005  Target Speed:  10.0  Current Speed:  44.6</t>
  </si>
  <si>
    <t>SYS :2016/12/15 02:48:08.893:ENFORCEMENT:Predictive Enforcement Action:  Target Number: 0000A014  Target Speed:  10.0  Current Speed:  58.6</t>
  </si>
  <si>
    <t>SYS :2016/12/15 02:48:09.133:ENFORCEMENT:Predictive Enforcement Action:  Target Number: 0000A014  Target Speed:  10.0  Current Speed:  58.6</t>
  </si>
  <si>
    <t>SYS :2016/12/15 02:48:09.600:ENFORCEMENT:Predictive Enforcement Action:  Target Number: 0000A014  Target Speed:  10.0  Current Speed:  58.6</t>
  </si>
  <si>
    <t>SYS :2016/12/15 03:33:30.993:ENFORCEMENT:Predictive Enforcement Action:  Target Number: 00001052  Target Speed:   0.0  Current Speed:   5.2</t>
  </si>
  <si>
    <t>SYS :2016/12/15 03:33:31.394:ENFORCEMENT:Predictive Enforcement Action:  Target Number: 0000104F  Target Speed:   0.0  Current Speed:   5.2</t>
  </si>
  <si>
    <t>SYS :2016/12/15 03:55:06.113:ENFORCEMENT:Predictive Enforcement Action:  Target Number: 00001055  Target Speed:   0.0  Current Speed:   5.2</t>
  </si>
  <si>
    <t>SYS :2016/12/15 03:55:06.458:ENFORCEMENT:Predictive Enforcement Action:  Target Number: 00001053  Target Speed:   0.0  Current Speed:   5.2</t>
  </si>
  <si>
    <t>SYS :2016/12/15 04:10:06.205:ENFORCEMENT:Predictive Enforcement Action:  Target Number: 0000100F  Target Speed:   0.0  Current Speed:   5.7</t>
  </si>
  <si>
    <t>SYS :2016/12/15 04:10:06.428:ENFORCEMENT:Predictive Enforcement Action:  Target Number: 00001014  Target Speed:   0.0  Current Speed:   5.7</t>
  </si>
  <si>
    <t>SYS :2016/12/15 04:36:28.698:ENFORCEMENT:Predictive Enforcement Action:  Target Number: 00001082  Target Speed:   0.0  Current Speed:   3.7</t>
  </si>
  <si>
    <t>SYS :2016/12/15 04:36:28.792:ENFORCEMENT:Predictive Enforcement Action:  Target Number: 00001076  Target Speed:   0.0  Current Speed:   3.7</t>
  </si>
  <si>
    <t>SYS :2016/12/15 04:36:28.835:ENFORCEMENT:Predictive Enforcement Action:  Target Number: 00001045  Target Speed:   0.0  Current Speed:   3.7</t>
  </si>
  <si>
    <t>SYS :2016/12/15 05:30:06.715:ENFORCEMENT:Predictive Enforcement Action:  Target Number: 0001077B  Target Speed:  30.0  Current Speed:  39.4</t>
  </si>
  <si>
    <t>SYS :2016/12/15 05:30:06.807:ENFORCEMENT:Predictive Enforcement Action:  Target Number: 000106B6  Target Speed:  30.0  Current Speed:  39.4</t>
  </si>
  <si>
    <t>SYS :2016/12/15 05:30:06.852:ENFORCEMENT:Predictive Enforcement Action:  Target Number: 00010316  Target Speed:  30.0  Current Speed:  39.4</t>
  </si>
  <si>
    <t>SYS :2016/12/15 06:29:05.594:ENFORCEMENT:Reactive Enforcement Action:  Target Number: 000101A7  Target Speed:  35.0  Current Speed:  40.0</t>
  </si>
  <si>
    <t>SYS :2016/12/15 06:29:05.877:ENFORCEMENT:Reactive Enforcement Action:  Target Number: 000101A4  Target Speed:  35.0  Current Speed:  40.0</t>
  </si>
  <si>
    <t>SYS :2016/12/15 06:29:06.133:ENFORCEMENT:Reactive Enforcement Action:  Target Number: 000101A7  Target Speed:  35.0  Current Speed:  40.0</t>
  </si>
  <si>
    <t>SYS :2016/12/15 08:03:31.211:ENFORCEMENT:Predictive Enforcement Action:  Target Number: 00001013  Target Speed:   0.0  Current Speed:   6.0</t>
  </si>
  <si>
    <t>SYS :2016/12/15 08:03:31.442:ENFORCEMENT:Predictive Enforcement Action:  Target Number: 00001018  Target Speed:   0.0  Current Speed:   6.0</t>
  </si>
  <si>
    <t>SYS :2016/12/15 08:03:32.067:ENFORCEMENT:Predictive Enforcement Action:  Target Number: 00001038  Target Speed:   0.0  Current Speed:   6.0</t>
  </si>
  <si>
    <t>rtdc.l.rtdc.4010:itc</t>
  </si>
  <si>
    <t>WENDY</t>
  </si>
  <si>
    <t>ROBINSON</t>
  </si>
  <si>
    <t>KADDIBA</t>
  </si>
  <si>
    <t>SMITH</t>
  </si>
  <si>
    <t>rtdc.l.rtdc.4026:itc</t>
  </si>
  <si>
    <t>SWANSON</t>
  </si>
  <si>
    <t>BRYCE</t>
  </si>
  <si>
    <t>rtdc.l.rtdc.4025:itc</t>
  </si>
  <si>
    <t>SHOOK</t>
  </si>
  <si>
    <t>NEWELL</t>
  </si>
  <si>
    <t>GREGORY</t>
  </si>
  <si>
    <t>KAMDEN</t>
  </si>
  <si>
    <t>MACDONALD</t>
  </si>
  <si>
    <t>THOMAS</t>
  </si>
  <si>
    <t>204:739</t>
  </si>
  <si>
    <t>204:121</t>
  </si>
  <si>
    <t>204:233268</t>
  </si>
  <si>
    <t>204:232988</t>
  </si>
  <si>
    <t>204:233310</t>
  </si>
  <si>
    <t>204:449</t>
  </si>
  <si>
    <t>204:469</t>
  </si>
  <si>
    <t>204:442</t>
  </si>
  <si>
    <t>204:233295</t>
  </si>
  <si>
    <t>204:233308</t>
  </si>
  <si>
    <t>204:232973</t>
  </si>
  <si>
    <t>204:127</t>
  </si>
  <si>
    <t>204:233013</t>
  </si>
  <si>
    <t>204:233334</t>
  </si>
  <si>
    <t>204:232972</t>
  </si>
  <si>
    <t>204:232978</t>
  </si>
  <si>
    <t>204:129</t>
  </si>
  <si>
    <t>300:23312</t>
  </si>
  <si>
    <t>300:23306</t>
  </si>
  <si>
    <t>204:1496</t>
  </si>
  <si>
    <t>204:759</t>
  </si>
  <si>
    <t>300:58929</t>
  </si>
  <si>
    <t>204:734</t>
  </si>
  <si>
    <t>300:58924</t>
  </si>
  <si>
    <t>204:719</t>
  </si>
  <si>
    <t>300:58619</t>
  </si>
  <si>
    <t>300:58941</t>
  </si>
  <si>
    <t>204:743</t>
  </si>
  <si>
    <t>204:1016</t>
  </si>
  <si>
    <t>204:741</t>
  </si>
  <si>
    <t>204:1020</t>
  </si>
  <si>
    <t>204:972</t>
  </si>
  <si>
    <t>300:58636</t>
  </si>
  <si>
    <t>204:668</t>
  </si>
  <si>
    <t>204:678</t>
  </si>
  <si>
    <t>300:58926</t>
  </si>
  <si>
    <t>300:58946</t>
  </si>
  <si>
    <t>300:58617</t>
  </si>
  <si>
    <t>300:58920</t>
  </si>
  <si>
    <t>204:738</t>
  </si>
  <si>
    <t>204:155</t>
  </si>
  <si>
    <t>rtdc.l.rtdc.4028:itc</t>
  </si>
  <si>
    <t>310-18</t>
  </si>
  <si>
    <t>rtdc.l.rtdc.4027:itc</t>
  </si>
  <si>
    <t>109-18</t>
  </si>
  <si>
    <t>rtdc.l.rtdc.4044:itc</t>
  </si>
  <si>
    <t>117-18</t>
  </si>
  <si>
    <t>rtdc.l.rtdc.4029:itc</t>
  </si>
  <si>
    <t>113-18</t>
  </si>
  <si>
    <t>115-18</t>
  </si>
  <si>
    <t>rtdc.l.rtdc.4031:itc</t>
  </si>
  <si>
    <t>131-18</t>
  </si>
  <si>
    <t>134-18</t>
  </si>
  <si>
    <t>132-18</t>
  </si>
  <si>
    <t>148-18</t>
  </si>
  <si>
    <t>154-18</t>
  </si>
  <si>
    <t>158-18</t>
  </si>
  <si>
    <t>171-18</t>
  </si>
  <si>
    <t>176-18</t>
  </si>
  <si>
    <t>191-18</t>
  </si>
  <si>
    <t>197-18</t>
  </si>
  <si>
    <t>196-18</t>
  </si>
  <si>
    <t>205-18</t>
  </si>
  <si>
    <t>51-18</t>
  </si>
  <si>
    <t>rtdc.l.rtdc.4043:itc</t>
  </si>
  <si>
    <t>202-18</t>
  </si>
  <si>
    <t>200-18</t>
  </si>
  <si>
    <t>210-18</t>
  </si>
  <si>
    <t>rtdc.l.rtdc.4030:itc</t>
  </si>
  <si>
    <t>204-18</t>
  </si>
  <si>
    <t>53-18</t>
  </si>
  <si>
    <t>214-18</t>
  </si>
  <si>
    <t>1830-18</t>
  </si>
  <si>
    <t>224-18</t>
  </si>
  <si>
    <t>234-18</t>
  </si>
  <si>
    <t>235-18</t>
  </si>
  <si>
    <t>240-17</t>
  </si>
  <si>
    <t>242-17</t>
  </si>
  <si>
    <t>245-17</t>
  </si>
  <si>
    <t>241-17</t>
  </si>
  <si>
    <t>309-17</t>
  </si>
  <si>
    <t>244-17</t>
  </si>
  <si>
    <t>311-17</t>
  </si>
  <si>
    <t>313-17</t>
  </si>
  <si>
    <t>302-18</t>
  </si>
  <si>
    <t>OUN</t>
  </si>
  <si>
    <t>ZACK</t>
  </si>
  <si>
    <t>50-18</t>
  </si>
  <si>
    <t>101-18</t>
  </si>
  <si>
    <t>304-18</t>
  </si>
  <si>
    <t>103-18</t>
  </si>
  <si>
    <t>306-18</t>
  </si>
  <si>
    <t>ISHMAEL</t>
  </si>
  <si>
    <t>JOSEPH</t>
  </si>
  <si>
    <t>102-18</t>
  </si>
  <si>
    <t>105-18</t>
  </si>
  <si>
    <t>107-18</t>
  </si>
  <si>
    <t>HAITHCOX</t>
  </si>
  <si>
    <t>104-18</t>
  </si>
  <si>
    <t>111-18</t>
  </si>
  <si>
    <t>106-18</t>
  </si>
  <si>
    <t>108-18</t>
  </si>
  <si>
    <t>1901-18</t>
  </si>
  <si>
    <t>YORK</t>
  </si>
  <si>
    <t>EDGAR</t>
  </si>
  <si>
    <t>1800-18</t>
  </si>
  <si>
    <t>1801-18</t>
  </si>
  <si>
    <t>1802-18</t>
  </si>
  <si>
    <t>120-18</t>
  </si>
  <si>
    <t>1803-18</t>
  </si>
  <si>
    <t>127-18</t>
  </si>
  <si>
    <t>124-18</t>
  </si>
  <si>
    <t>1804-18</t>
  </si>
  <si>
    <t>137-18</t>
  </si>
  <si>
    <t>128-18</t>
  </si>
  <si>
    <t>139-18</t>
  </si>
  <si>
    <t>1805-18</t>
  </si>
  <si>
    <t>141-18</t>
  </si>
  <si>
    <t>1806-18</t>
  </si>
  <si>
    <t>143-18</t>
  </si>
  <si>
    <t>1807-18</t>
  </si>
  <si>
    <t>145-18</t>
  </si>
  <si>
    <t>136-18</t>
  </si>
  <si>
    <t>147-18</t>
  </si>
  <si>
    <t>138-18</t>
  </si>
  <si>
    <t>140-18</t>
  </si>
  <si>
    <t>1808-18</t>
  </si>
  <si>
    <t>149-18</t>
  </si>
  <si>
    <t>151-18</t>
  </si>
  <si>
    <t>142-18</t>
  </si>
  <si>
    <t>144-18</t>
  </si>
  <si>
    <t>1809-18</t>
  </si>
  <si>
    <t>153-18</t>
  </si>
  <si>
    <t>146-18</t>
  </si>
  <si>
    <t>155-18</t>
  </si>
  <si>
    <t>157-18</t>
  </si>
  <si>
    <t>54-18</t>
  </si>
  <si>
    <t>1810-18</t>
  </si>
  <si>
    <t>150-18</t>
  </si>
  <si>
    <t>159-18</t>
  </si>
  <si>
    <t>STEWART</t>
  </si>
  <si>
    <t>152-18</t>
  </si>
  <si>
    <t>1811-18</t>
  </si>
  <si>
    <t>161-18</t>
  </si>
  <si>
    <t>156-18</t>
  </si>
  <si>
    <t>163-18</t>
  </si>
  <si>
    <t>1812-18</t>
  </si>
  <si>
    <t>165-18</t>
  </si>
  <si>
    <t>BRUDER</t>
  </si>
  <si>
    <t>RICHARD</t>
  </si>
  <si>
    <t>167-18</t>
  </si>
  <si>
    <t>BARTLETT</t>
  </si>
  <si>
    <t>KIANDRA</t>
  </si>
  <si>
    <t>160-18</t>
  </si>
  <si>
    <t>1813-18</t>
  </si>
  <si>
    <t>162-18</t>
  </si>
  <si>
    <t>169-18</t>
  </si>
  <si>
    <t>KILLION</t>
  </si>
  <si>
    <t>164-18</t>
  </si>
  <si>
    <t>173-18</t>
  </si>
  <si>
    <t>166-18</t>
  </si>
  <si>
    <t>1814-18</t>
  </si>
  <si>
    <t>168-18</t>
  </si>
  <si>
    <t>175-18</t>
  </si>
  <si>
    <t>1815-18</t>
  </si>
  <si>
    <t>170-18</t>
  </si>
  <si>
    <t>177-18</t>
  </si>
  <si>
    <t>172-18</t>
  </si>
  <si>
    <t>179-18</t>
  </si>
  <si>
    <t>181-18</t>
  </si>
  <si>
    <t>174-18</t>
  </si>
  <si>
    <t>1816-18</t>
  </si>
  <si>
    <t>183-18</t>
  </si>
  <si>
    <t>185-18</t>
  </si>
  <si>
    <t>1817-18</t>
  </si>
  <si>
    <t>178-18</t>
  </si>
  <si>
    <t>180-18</t>
  </si>
  <si>
    <t>187-18</t>
  </si>
  <si>
    <t>182-18</t>
  </si>
  <si>
    <t>1818-18</t>
  </si>
  <si>
    <t>189-18</t>
  </si>
  <si>
    <t>184-18</t>
  </si>
  <si>
    <t>1819-18</t>
  </si>
  <si>
    <t>193-18</t>
  </si>
  <si>
    <t>186-18</t>
  </si>
  <si>
    <t>195-18</t>
  </si>
  <si>
    <t>188-18</t>
  </si>
  <si>
    <t>190-18</t>
  </si>
  <si>
    <t>1820-18</t>
  </si>
  <si>
    <t>199-18</t>
  </si>
  <si>
    <t>192-18</t>
  </si>
  <si>
    <t>1821-18</t>
  </si>
  <si>
    <t>201-18</t>
  </si>
  <si>
    <t>203-18</t>
  </si>
  <si>
    <t>198-18</t>
  </si>
  <si>
    <t>1822-18</t>
  </si>
  <si>
    <t>207-18</t>
  </si>
  <si>
    <t>1823-18</t>
  </si>
  <si>
    <t>209-18</t>
  </si>
  <si>
    <t>211-18</t>
  </si>
  <si>
    <t>MCREYNOLDS</t>
  </si>
  <si>
    <t>KYLE</t>
  </si>
  <si>
    <t>213-18</t>
  </si>
  <si>
    <t>1824-18</t>
  </si>
  <si>
    <t>52-18</t>
  </si>
  <si>
    <t>215-18</t>
  </si>
  <si>
    <t>206-18</t>
  </si>
  <si>
    <t>208-18</t>
  </si>
  <si>
    <t>1825-18</t>
  </si>
  <si>
    <t>217-18</t>
  </si>
  <si>
    <t>55-18</t>
  </si>
  <si>
    <t>212-18</t>
  </si>
  <si>
    <t>219-18</t>
  </si>
  <si>
    <t>1826-18</t>
  </si>
  <si>
    <t>61-18</t>
  </si>
  <si>
    <t>NELSON</t>
  </si>
  <si>
    <t>ARIANE</t>
  </si>
  <si>
    <t>216-18</t>
  </si>
  <si>
    <t>221-18</t>
  </si>
  <si>
    <t>1827-18</t>
  </si>
  <si>
    <t>218-18</t>
  </si>
  <si>
    <t>63-18</t>
  </si>
  <si>
    <t>220-18</t>
  </si>
  <si>
    <t>62-18</t>
  </si>
  <si>
    <t>223-18</t>
  </si>
  <si>
    <t>1828-18</t>
  </si>
  <si>
    <t>222-18</t>
  </si>
  <si>
    <t>65-18</t>
  </si>
  <si>
    <t>225-18</t>
  </si>
  <si>
    <t>64-18</t>
  </si>
  <si>
    <t>227-18</t>
  </si>
  <si>
    <t>1829-18</t>
  </si>
  <si>
    <t>71-18</t>
  </si>
  <si>
    <t>66-18</t>
  </si>
  <si>
    <t>229-18</t>
  </si>
  <si>
    <t>226-18</t>
  </si>
  <si>
    <t>1831-18</t>
  </si>
  <si>
    <t>228-18</t>
  </si>
  <si>
    <t>67-18</t>
  </si>
  <si>
    <t>231-18</t>
  </si>
  <si>
    <t>69-18</t>
  </si>
  <si>
    <t>1832-18</t>
  </si>
  <si>
    <t>233-18</t>
  </si>
  <si>
    <t>230-18</t>
  </si>
  <si>
    <t>1833-18</t>
  </si>
  <si>
    <t>232-18</t>
  </si>
  <si>
    <t>1902-18</t>
  </si>
  <si>
    <t>237-18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</si>
  <si>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</si>
  <si>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</si>
  <si>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</si>
  <si>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</si>
  <si>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</si>
  <si>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</si>
  <si>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</si>
  <si>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</si>
  <si>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</si>
  <si>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</si>
  <si>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</si>
  <si>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</si>
  <si>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</si>
  <si>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fog</t>
  </si>
  <si>
    <t>Foggy</t>
  </si>
  <si>
    <t>clear-day</t>
  </si>
  <si>
    <t>204:19204</t>
  </si>
  <si>
    <t>204:214030</t>
  </si>
  <si>
    <t>204:754</t>
  </si>
  <si>
    <t>204:1195</t>
  </si>
  <si>
    <t>204:232660</t>
  </si>
  <si>
    <t>204:232704</t>
  </si>
  <si>
    <t>204:673</t>
  </si>
  <si>
    <t>204:153922</t>
  </si>
  <si>
    <t>204:232644</t>
  </si>
  <si>
    <t>204:222584</t>
  </si>
  <si>
    <t>204:1216</t>
  </si>
  <si>
    <t>204:153969</t>
  </si>
  <si>
    <t>204:232976</t>
  </si>
  <si>
    <t>204:232981</t>
  </si>
  <si>
    <t>204:221848</t>
  </si>
  <si>
    <t>204:970</t>
  </si>
  <si>
    <t>204:212820</t>
  </si>
  <si>
    <t>204:744</t>
  </si>
  <si>
    <t>204:215553</t>
  </si>
  <si>
    <t>204:213820</t>
  </si>
  <si>
    <t>204:721</t>
  </si>
  <si>
    <t>204:212809</t>
  </si>
  <si>
    <t>204:154418</t>
  </si>
  <si>
    <t>204:215552</t>
  </si>
  <si>
    <t>204:21129</t>
  </si>
  <si>
    <t>204:154429</t>
  </si>
  <si>
    <t>204:398</t>
  </si>
  <si>
    <t>204:21141</t>
  </si>
  <si>
    <t>204:127796</t>
  </si>
  <si>
    <t>204:232815</t>
  </si>
  <si>
    <t>204:222121</t>
  </si>
  <si>
    <t>204:232690</t>
  </si>
  <si>
    <t>204:222546</t>
  </si>
  <si>
    <t>204:158348</t>
  </si>
  <si>
    <t>204:157888</t>
  </si>
  <si>
    <t>204:158118</t>
  </si>
  <si>
    <t>204:157658</t>
  </si>
  <si>
    <t>204:867</t>
  </si>
  <si>
    <t>204:121880</t>
  </si>
  <si>
    <t>204:158380</t>
  </si>
  <si>
    <t>204:154326</t>
  </si>
  <si>
    <t>204:157933</t>
  </si>
  <si>
    <t>204:158611</t>
  </si>
  <si>
    <t>204:157609</t>
  </si>
  <si>
    <t>204:1199</t>
  </si>
  <si>
    <t>204:424</t>
  </si>
  <si>
    <t>204:158154</t>
  </si>
  <si>
    <t>204:157956</t>
  </si>
  <si>
    <t>204:114</t>
  </si>
  <si>
    <t>204:770</t>
  </si>
  <si>
    <t>204:157832</t>
  </si>
  <si>
    <t>204:153990</t>
  </si>
  <si>
    <t>204:1177</t>
  </si>
  <si>
    <t>204:158182</t>
  </si>
  <si>
    <t>204:752</t>
  </si>
  <si>
    <t>204:157886</t>
  </si>
  <si>
    <t>204:157666</t>
  </si>
  <si>
    <t>204:757</t>
  </si>
  <si>
    <t>204:157890</t>
  </si>
  <si>
    <t>204:158046</t>
  </si>
  <si>
    <t>204:724</t>
  </si>
  <si>
    <t>204:158267</t>
  </si>
  <si>
    <t>204:157605</t>
  </si>
  <si>
    <t>204:157838</t>
  </si>
  <si>
    <t>204:157740</t>
  </si>
  <si>
    <t>204:157966</t>
  </si>
  <si>
    <t>204:157844</t>
  </si>
  <si>
    <t>204:158069</t>
  </si>
  <si>
    <t>204:158064</t>
  </si>
  <si>
    <t>204:1530</t>
  </si>
  <si>
    <t>204:158293</t>
  </si>
  <si>
    <t>204:157797</t>
  </si>
  <si>
    <t>204:437</t>
  </si>
  <si>
    <t>204:158023</t>
  </si>
  <si>
    <t>204:158158</t>
  </si>
  <si>
    <t>204:158385</t>
  </si>
  <si>
    <t>204:158001</t>
  </si>
  <si>
    <t>204:158229</t>
  </si>
  <si>
    <t>204:157559</t>
  </si>
  <si>
    <t>204:156</t>
  </si>
  <si>
    <t>204:157781</t>
  </si>
  <si>
    <t>204:157777</t>
  </si>
  <si>
    <t>204:158002</t>
  </si>
  <si>
    <t>204:158129</t>
  </si>
  <si>
    <t>204:158355</t>
  </si>
  <si>
    <t>204:157923</t>
  </si>
  <si>
    <t>204:180</t>
  </si>
  <si>
    <t>204:158156</t>
  </si>
  <si>
    <t>204:157747</t>
  </si>
  <si>
    <t>204:157971</t>
  </si>
  <si>
    <t>204:157901</t>
  </si>
  <si>
    <t>204:433</t>
  </si>
  <si>
    <t>204:158362</t>
  </si>
  <si>
    <t>204:413</t>
  </si>
  <si>
    <t>204:158587</t>
  </si>
  <si>
    <t>204:157547</t>
  </si>
  <si>
    <t>204:157785</t>
  </si>
  <si>
    <t>204:157912</t>
  </si>
  <si>
    <t>204:745</t>
  </si>
  <si>
    <t>204:1004</t>
  </si>
  <si>
    <t>204:1018</t>
  </si>
  <si>
    <t>204:482</t>
  </si>
  <si>
    <t>204:158144</t>
  </si>
  <si>
    <t>300:58611</t>
  </si>
  <si>
    <t>204:717</t>
  </si>
  <si>
    <t>204:1007</t>
  </si>
  <si>
    <t>204:1258</t>
  </si>
  <si>
    <t>300:58632</t>
  </si>
  <si>
    <t>204:157983</t>
  </si>
  <si>
    <t>204:684</t>
  </si>
  <si>
    <t>300:58626</t>
  </si>
  <si>
    <t>204:682</t>
  </si>
  <si>
    <t>300:58943</t>
  </si>
  <si>
    <t>204:957</t>
  </si>
  <si>
    <t>300:58625</t>
  </si>
  <si>
    <t>204:967</t>
  </si>
  <si>
    <t>204:158210</t>
  </si>
  <si>
    <t>204:696</t>
  </si>
  <si>
    <t>204:157835</t>
  </si>
  <si>
    <t>204:172</t>
  </si>
  <si>
    <t>204:158058</t>
  </si>
  <si>
    <t>204:157566</t>
  </si>
  <si>
    <t>204:157792</t>
  </si>
  <si>
    <t>204:157900</t>
  </si>
  <si>
    <t>204:158120</t>
  </si>
  <si>
    <t>204:158241</t>
  </si>
  <si>
    <t>300:21600</t>
  </si>
  <si>
    <t>300:21931</t>
  </si>
  <si>
    <t>204:416</t>
  </si>
  <si>
    <t>204:158464</t>
  </si>
  <si>
    <t>204:157550</t>
  </si>
  <si>
    <t>204:157773</t>
  </si>
  <si>
    <t>204:232917</t>
  </si>
  <si>
    <t>204:157894</t>
  </si>
  <si>
    <t>204:157739</t>
  </si>
  <si>
    <t>204:157963</t>
  </si>
  <si>
    <t>204:127862</t>
  </si>
  <si>
    <t>204:890</t>
  </si>
  <si>
    <t>204:127869</t>
  </si>
  <si>
    <t>204:154160</t>
  </si>
  <si>
    <t>204:139033</t>
  </si>
  <si>
    <t>204:127900</t>
  </si>
  <si>
    <t>204:1015</t>
  </si>
  <si>
    <t>204:154040</t>
  </si>
  <si>
    <t>204:150627</t>
  </si>
  <si>
    <t>204:232984</t>
  </si>
  <si>
    <t>204:157574</t>
  </si>
  <si>
    <t>204:128277</t>
  </si>
  <si>
    <t>204:233205</t>
  </si>
  <si>
    <t>204:105693</t>
  </si>
  <si>
    <t>204:232890</t>
  </si>
  <si>
    <t>204:170</t>
  </si>
  <si>
    <t>204:128260</t>
  </si>
  <si>
    <t>204:102594</t>
  </si>
  <si>
    <t>204:128264</t>
  </si>
  <si>
    <t>204:99934</t>
  </si>
  <si>
    <t>204:493</t>
  </si>
  <si>
    <t>204:233270</t>
  </si>
  <si>
    <t>204:66877</t>
  </si>
  <si>
    <t>204:37200</t>
  </si>
  <si>
    <t>204:478</t>
  </si>
  <si>
    <t>204:233329</t>
  </si>
  <si>
    <t>204:107115</t>
  </si>
  <si>
    <t>204:86353</t>
  </si>
  <si>
    <t>204:473</t>
  </si>
  <si>
    <t>204:233301</t>
  </si>
  <si>
    <t>204:233285</t>
  </si>
  <si>
    <t>204:232966</t>
  </si>
  <si>
    <t>204:233297</t>
  </si>
  <si>
    <t>204:233327</t>
  </si>
  <si>
    <t>204:187</t>
  </si>
  <si>
    <t>300:23040</t>
  </si>
  <si>
    <t>300:23199</t>
  </si>
  <si>
    <t>204:130</t>
  </si>
  <si>
    <t>300:19688</t>
  </si>
  <si>
    <t>300:21805</t>
  </si>
  <si>
    <t>204:945</t>
  </si>
  <si>
    <t>300:22159</t>
  </si>
  <si>
    <t>300:23316</t>
  </si>
  <si>
    <t>300:23075</t>
  </si>
  <si>
    <t>204:448</t>
  </si>
  <si>
    <t>300:23346</t>
  </si>
  <si>
    <t>204:193594</t>
  </si>
  <si>
    <t>204:137</t>
  </si>
  <si>
    <t>300:22216</t>
  </si>
  <si>
    <t>300:22155</t>
  </si>
  <si>
    <t>204:1190</t>
  </si>
  <si>
    <t>300:23302</t>
  </si>
  <si>
    <t>300:21837</t>
  </si>
  <si>
    <t>204:1188</t>
  </si>
  <si>
    <t>204:1341</t>
  </si>
  <si>
    <t>204:513</t>
  </si>
  <si>
    <t>204:1167</t>
  </si>
  <si>
    <t>204:127855</t>
  </si>
  <si>
    <t>204:158726</t>
  </si>
  <si>
    <t>204:232965</t>
  </si>
  <si>
    <t>204:939</t>
  </si>
  <si>
    <t>204:1284</t>
  </si>
  <si>
    <t>300:23301</t>
  </si>
  <si>
    <t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t>
  </si>
  <si>
    <t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t>
  </si>
  <si>
    <t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t>
  </si>
  <si>
    <t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t>
  </si>
  <si>
    <t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t>
  </si>
  <si>
    <t>aws s3 cp s3://rtdc.mdm.uploadarchive.raw/RTDC4051/ "%USERPROFILE%\AppData\Local\Temp\OnboardLogs"\RTDC4051\2016-12-18 --exclude "*" --recursive --include "*20161218*" &amp; "%USERPROFILE%\Documents\GitHub\mrs-test-scripts\Headless Mode &amp; Sideloading\WalkAndUnGZ.bat" "%USERPROFILE%\AppData\Local\Temp\OnboardLogs"\RTDC4051\2016-12-18 &amp; aws s3 cp s3://rtdc.mdm.uploadarchive.raw/RTDC4051/ "%USERPROFILE%\AppData\Local\Temp\OnboardLogs"\RTDC4051\2016-12-19 --exclude "*" --recursive --include "*20161219*" &amp; "%USERPROFILE%\Documents\GitHub\mrs-test-scripts\Headless Mode &amp; Sideloading\WalkAndUnGZ.bat" "%USERPROFILE%\AppData\Local\Temp\OnboardLogs"\RTDC4051\2016-12-19</t>
  </si>
  <si>
    <t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t>
  </si>
  <si>
    <t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t>
  </si>
  <si>
    <t>aws s3 cp s3://rtdc.mdm.uploadarchive.raw/RTDC4052/ "%USERPROFILE%\AppData\Local\Temp\OnboardLogs"\RTDC4052\2016-12-18 --exclude "*" --recursive --include "*20161218*" &amp; "%USERPROFILE%\Documents\GitHub\mrs-test-scripts\Headless Mode &amp; Sideloading\WalkAndUnGZ.bat" "%USERPROFILE%\AppData\Local\Temp\OnboardLogs"\RTDC4052\2016-12-18 &amp; 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</t>
  </si>
  <si>
    <t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t>
  </si>
  <si>
    <t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t>
  </si>
  <si>
    <t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t>
  </si>
  <si>
    <t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t>
  </si>
  <si>
    <t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t>
  </si>
  <si>
    <t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t>
  </si>
  <si>
    <t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t>
  </si>
  <si>
    <t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t>
  </si>
  <si>
    <t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t>
  </si>
  <si>
    <t>aws s3 cp s3://rtdc.mdm.uploadarchive.raw/RTDC4003/ "%USERPROFILE%\AppData\Local\Temp\OnboardLogs"\RTDC4003\2016-12-18 --exclude "*" --recursive --include "*20161218*" &amp; "%USERPROFILE%\Documents\GitHub\mrs-test-scripts\Headless Mode &amp; Sideloading\WalkAndUnGZ.bat" "%USERPROFILE%\AppData\Local\Temp\OnboardLogs"\RTDC4003\2016-12-18 &amp; aws s3 cp s3://rtdc.mdm.uploadarchive.raw/RTDC4003/ "%USERPROFILE%\AppData\Local\Temp\OnboardLogs"\RTDC4003\2016-12-19 --exclude "*" --recursive --include "*20161219*" &amp; "%USERPROFILE%\Documents\GitHub\mrs-test-scripts\Headless Mode &amp; Sideloading\WalkAndUnGZ.bat" "%USERPROFILE%\AppData\Local\Temp\OnboardLogs"\RTDC4003\2016-12-19</t>
  </si>
  <si>
    <t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t>
  </si>
  <si>
    <t>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 &amp; 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</t>
  </si>
  <si>
    <t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t>
  </si>
  <si>
    <t>DUS 2N/20N STOP, also DIA SW 1</t>
  </si>
  <si>
    <t>Wi-MAX data drop</t>
  </si>
  <si>
    <t>DIA SW 1 Out of Correspondence from 2016-12-17 18:51 - 2016-12-18 03:27</t>
  </si>
  <si>
    <t>Onboard in-route failure</t>
  </si>
  <si>
    <t>EC1497RH 149-1T 1S stuck at STOP &amp; PROCEED</t>
  </si>
  <si>
    <t>Starting from before 16:55:13, EC1497RH 149-1T 1S was at STOP &amp; PROCEED. It seemed like that this was undesired/unexpected. Do logs show anything unusual in the +/-20 minute window around 16:55:13?</t>
  </si>
  <si>
    <t>EC1443RH 150-2T 2S &amp; EC1388RH 144-2T 2S stuck at STOP &amp; PROCEED</t>
  </si>
  <si>
    <t>Starting from before 17:20, signals mentioned in title were at STOP &amp; PROCEED. It seemed like that this was undesired/unexpected. Do logs show anything unusual in the +/-20 minute window around 17:20?</t>
  </si>
  <si>
    <t>61st 2S slow to clear</t>
  </si>
  <si>
    <t>61st 2S received clear attempts 17:20:56, 17:27:34, 17:34:30. Signal didn't clear in those cases - do logs show anything interesting at the time?</t>
  </si>
  <si>
    <t>Chambers 2N slow to clear due to XING dependency</t>
  </si>
  <si>
    <t>Early arrival</t>
  </si>
  <si>
    <t>Braking without banner</t>
  </si>
  <si>
    <t>CCROC/crew/equipment mismatch</t>
  </si>
  <si>
    <t>Sable 4S slow to clear - XING dependency</t>
  </si>
  <si>
    <t>Overspeed</t>
  </si>
  <si>
    <t>STOP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</si>
</sst>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63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  <sheetName val="Slice Disagreement Check"/>
    </sheetNames>
    <sheetDataSet>
      <sheetData sheetId="0"/>
      <sheetData sheetId="1"/>
      <sheetData sheetId="2"/>
      <sheetData sheetId="3"/>
      <sheetData sheetId="4"/>
      <sheetData sheetId="5">
        <row r="18">
          <cell r="M18" t="str">
            <v>"C:\Program Files (x86)\AstroGrep\AstroGrep.exe"</v>
          </cell>
        </row>
      </sheetData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opLeftCell="A73" zoomScaleNormal="100" workbookViewId="0">
      <selection activeCell="R106" sqref="R10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42722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127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COUNTIFS($N$13:$N$9357,"&gt;0",$AG$13:$AG$9357,I1)</f>
        <v>106</v>
      </c>
      <c r="K5" s="44"/>
      <c r="L5" s="44"/>
      <c r="M5" s="45">
        <f>AVERAGEIFS($N$13:$N$9357,$AG$13:$AG$9357,I1)</f>
        <v>38.7067610055608</v>
      </c>
      <c r="N5" s="43">
        <f t="array" ref="N5">MIN(IF($AG$13:$AG$9357=I1,IF(ISNUMBER($N$13:$N$9357),IF($N$13:$N$9357&gt;0,$N$13:$N$9357))))</f>
        <v>28.366666676010936</v>
      </c>
      <c r="O5" s="3">
        <f t="array" ref="O5">MAX(IF($AG$13:$AG$9357=I1,IF(ISNUMBER($N$13:$N$9357),IF($N$13:$N$9357&gt;0,$N$13:$N$9357))))</f>
        <v>73.383333325618878</v>
      </c>
      <c r="P5" s="2"/>
      <c r="R5" s="80" t="s">
        <v>17</v>
      </c>
      <c r="S5" s="55">
        <f>COUNTIFS($N$13:$N$9357,"&gt;0",$AG$13:$AG$9357,R1)</f>
        <v>33</v>
      </c>
      <c r="T5" s="44"/>
      <c r="U5" s="169"/>
      <c r="V5" s="45">
        <f>AVERAGEIFS($N$13:$N$9357,$AG$13:$AG$9357,R1)</f>
        <v>14.216666667066006</v>
      </c>
      <c r="W5" s="43">
        <f t="array" ref="W5">MIN(IF($AG$13:$AG$9357=R1,IF(ISNUMBER($N$13:$N$9357),IF($N$13:$N$9357&gt;0,$N$13:$N$9357))))</f>
        <v>11.733333331067115</v>
      </c>
      <c r="X5" s="173">
        <f t="array" ref="X5">MAX(IF($AG$13:$AG$9357=R1,IF(ISNUMBER($N$13:$N$9357),IF($N$13:$N$9357&gt;0,$N$13:$N$9357))))</f>
        <v>17.499999994179234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69"/>
      <c r="V6" s="45">
        <f>IFERROR(AVERAGE($O$13:$O$143),0)</f>
        <v>0</v>
      </c>
      <c r="W6" s="43">
        <f>MIN($O$13:$O$143)</f>
        <v>0</v>
      </c>
      <c r="X6" s="173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COUNTIFS($P$13:$P$9357,"&gt;0",$AG$13:$AG$9357,I1)</f>
        <v>21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COUNTIFS($P$13:$P$9357,"&gt;0",$AG$13:$AG$9357,R1)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106</v>
      </c>
      <c r="K8" s="44"/>
      <c r="L8" s="44"/>
      <c r="M8" s="45">
        <f>M5</f>
        <v>38.7067610055608</v>
      </c>
      <c r="N8" s="43">
        <f>N5</f>
        <v>28.366666676010936</v>
      </c>
      <c r="O8" s="3">
        <f>O5</f>
        <v>73.383333325618878</v>
      </c>
      <c r="P8" s="2"/>
      <c r="R8" s="80" t="s">
        <v>16</v>
      </c>
      <c r="S8" s="55">
        <f>S5</f>
        <v>33</v>
      </c>
      <c r="T8" s="44"/>
      <c r="U8" s="169"/>
      <c r="V8" s="45">
        <f>V5</f>
        <v>14.216666667066006</v>
      </c>
      <c r="W8" s="43">
        <f>W5</f>
        <v>11.733333331067115</v>
      </c>
      <c r="X8" s="173">
        <f>X5</f>
        <v>17.499999994179234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0.83464566929133854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0.97058823529411764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- 2016-12-18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AVERAGE(S13:S100)</f>
        <v>0.94817073170731703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553</v>
      </c>
      <c r="B13" s="7">
        <v>4009</v>
      </c>
      <c r="C13" s="22" t="s">
        <v>205</v>
      </c>
      <c r="D13" s="22" t="s">
        <v>729</v>
      </c>
      <c r="E13" s="13">
        <v>42722.139467592591</v>
      </c>
      <c r="F13" s="13">
        <v>42722.140370370369</v>
      </c>
      <c r="G13" s="7">
        <v>1</v>
      </c>
      <c r="H13" s="22" t="s">
        <v>730</v>
      </c>
      <c r="I13" s="13">
        <v>42722.161365740743</v>
      </c>
      <c r="J13" s="7">
        <v>0</v>
      </c>
      <c r="K13" s="109" t="str">
        <f t="shared" ref="K13:K76" si="0">IF(ISEVEN(B13),(B13-1)&amp;"/"&amp;B13,B13&amp;"/"&amp;(B13+1))</f>
        <v>4009/4010</v>
      </c>
      <c r="L13" s="22" t="str">
        <f>VLOOKUP(A13,'Trips&amp;Operators'!$C$1:$G$99999,5,FALSE)</f>
        <v>OUN ZACK</v>
      </c>
      <c r="M13" s="6">
        <f t="shared" ref="M13:M76" si="1">I13-F13</f>
        <v>2.0995370374293998E-2</v>
      </c>
      <c r="N13" s="7"/>
      <c r="O13" s="7"/>
      <c r="P13" s="7">
        <f>24*60*SUM($M13:$M13)</f>
        <v>30.233333338983357</v>
      </c>
      <c r="Q13" s="23"/>
      <c r="R13" s="23" t="s">
        <v>950</v>
      </c>
      <c r="S13" s="35">
        <f>SUM(U13:U13)/IF(AG13="EC",12,1)</f>
        <v>1</v>
      </c>
      <c r="T13" s="50" t="str">
        <f t="shared" ref="T13:T76" si="2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https://search-rtdc-monitor-bjffxe2xuh6vdkpspy63sjmuny.us-east-1.es.amazonaws.com/_plugin/kibana/#/discover/Steve-Slow-Train-Analysis-(2080s-and-2083s)?_g=(refreshInterval:(display:Off,section:0,value:0),time:(from:'2016-12-18 02:20:50-700',mode:absolute,to:'2016-12-18 04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" s="52" t="str">
        <f t="shared" ref="W13:W36" si="4">IF(AA13&lt;IF(AG13="EC",23,5.65),"Y","N")</f>
        <v>Y</v>
      </c>
      <c r="X13" s="177" t="e">
        <f t="shared" ref="X13:X35" si="5">VALUE(LEFT(AD13,4))-VALUE(LEFT(AD12,4))</f>
        <v>#VALUE!</v>
      </c>
      <c r="Y13" s="67">
        <f t="shared" ref="Y13:Y76" si="6">RIGHT(D13,LEN(D13)-4)/10000</f>
        <v>1.9204000000000001</v>
      </c>
      <c r="Z13" s="67">
        <f>RIGHT(H13,LEN(H13)-4)/10000</f>
        <v>21.402999999999999</v>
      </c>
      <c r="AA13" s="67">
        <f t="shared" ref="AA13:AA76" si="7">ABS(Z13-Y13)</f>
        <v>19.482599999999998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8">IF(LEN(A13)=6,"0"&amp;A13,A13)</f>
        <v>0101-18</v>
      </c>
      <c r="AE13" s="91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13" s="88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/stypes="app*4009*20161218*" /stext=" 10:.+((SYSTEM_STATE.+slice.+state.+changed )|(ment ac)|(multiple cpu faults)|(system.+state.+changed )|(\[timeout)|(PRM\|1\|D)|(kpr)|(kdp)|(\|lc)|(penalty))" /e /r /s</v>
      </c>
      <c r="AG13" s="1" t="str">
        <f t="shared" ref="AG13:AG76" si="11">IFERROR(IF(VALUE(LEFT(AD13,2))&lt;=2,"EC",IF(OR(VALUE(LEFT(AD13,2))=8,VALUE(LEFT(AD13,2))=18),"NW","Other")),"Other")</f>
        <v>EC</v>
      </c>
      <c r="AH13" s="92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4009 --swversion DE.1.0.8.0 --startMP 204:19204 --initTime 2016-12-18T03:20:50 --startdatetime 2016-12-18T03:22:08 --delay 1 --endMP 204:214030 --enddatetime 2016-12-18T03:52:22 --enforcementcount 0 &gt;&gt;C:\Users\stu\Documents\GitHub\eaglep3-reporting\EC\2016-12-18-refined-times.txt</v>
      </c>
      <c r="AI13" s="119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{"issue":{"subject":"DUS 2N/20N STOP, also DIA SW 1","project_id":79,"tracker_id":40,"status_id":1,"priority_id":2,"assigned_to_id":23,"start_date":"2016-12-18","description":"","custom_fields":[{"id":1,"name":"Subdivision","value":"EC"},{"id":4,"name":"Milepost","value":"21.403"},{"id":17,"name":"Train ID","value":"101-18"},{"id":16,"name":"Locomotive ID","value":"4009"},{"id":130,"name":"Impact","value":""},{"id":150,"name":"Time of Event (Mountain Time)","value":"03:52:22"},{"id":151,"name":"Denver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553</v>
      </c>
      <c r="B14" s="7">
        <v>4009</v>
      </c>
      <c r="C14" s="22" t="s">
        <v>205</v>
      </c>
      <c r="D14" s="22" t="s">
        <v>731</v>
      </c>
      <c r="E14" s="13">
        <v>42722.127581018518</v>
      </c>
      <c r="F14" s="13">
        <v>42722.140370370369</v>
      </c>
      <c r="G14" s="7">
        <v>1</v>
      </c>
      <c r="H14" s="22" t="s">
        <v>732</v>
      </c>
      <c r="I14" s="13">
        <v>42722.161365740743</v>
      </c>
      <c r="J14" s="7">
        <v>0</v>
      </c>
      <c r="K14" s="109" t="str">
        <f t="shared" si="0"/>
        <v>4009/4010</v>
      </c>
      <c r="L14" s="22" t="str">
        <f>VLOOKUP(A14,'Trips&amp;Operators'!$C$1:$G$99999,5,FALSE)</f>
        <v>OUN ZACK</v>
      </c>
      <c r="M14" s="6">
        <f t="shared" si="1"/>
        <v>2.0995370374293998E-2</v>
      </c>
      <c r="N14" s="7"/>
      <c r="O14" s="7"/>
      <c r="P14" s="7"/>
      <c r="Q14" s="23"/>
      <c r="R14" s="23"/>
      <c r="S14" s="35"/>
      <c r="T14" s="50" t="str">
        <f t="shared" si="2"/>
        <v>NorthBound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02:03:43-700',mode:absolute,to:'2016-12-18 04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" s="52" t="str">
        <f t="shared" si="4"/>
        <v>Y</v>
      </c>
      <c r="X14" s="177">
        <f t="shared" si="5"/>
        <v>0</v>
      </c>
      <c r="Y14" s="67">
        <f t="shared" si="6"/>
        <v>7.5399999999999995E-2</v>
      </c>
      <c r="Z14" s="67">
        <f>RIGHT(H14,LEN(H14)-4)/10000</f>
        <v>0.1195</v>
      </c>
      <c r="AA14" s="67">
        <f t="shared" si="7"/>
        <v>4.41E-2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8"/>
        <v>0101-18</v>
      </c>
      <c r="AE14" s="91" t="str">
        <f t="shared" si="9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14" s="88" t="str">
        <f t="shared" si="10"/>
        <v>"C:\Program Files (x86)\AstroGrep\AstroGrep.exe" /spath="%USERPROFILE%\AppData\Local\Temp\OnboardLogs" /stypes="app*4009*20161218*" /stext=" 10:.+((SYSTEM_STATE.+slice.+state.+changed )|(ment ac)|(multiple cpu faults)|(system.+state.+changed )|(\[timeout)|(PRM\|1\|D)|(kpr)|(kdp)|(\|lc)|(penalty))" /e /r /s</v>
      </c>
      <c r="AG14" s="1" t="str">
        <f t="shared" si="11"/>
        <v>EC</v>
      </c>
      <c r="AH14" s="92" t="str">
        <f t="shared" ref="AH14:AH75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101-18 --locoid 4009 --swversion DE.1.0.8.0 --startMP 204:754 --initTime 2016-12-18T03:03:43 --startdatetime 2016-12-18T03:22:08 --delay 1 --endMP 204:1195 --enddatetime 2016-12-18T03:52:22 --enforcementcount 0 &gt;&gt;C:\Users\stu\Documents\GitHub\eaglep3-reporting\EC\2016-12-18-refined-times.txt</v>
      </c>
      <c r="AI14" s="119" t="str">
        <f t="shared" ref="AI14:AI75" si="1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{"issue":{"subject":"","project_id":79,"tracker_id":40,"status_id":1,"priority_id":2,"assigned_to_id":23,"start_date":"2016-12-18","description":"","custom_fields":[{"id":1,"name":"Subdivision","value":"EC"},{"id":4,"name":"Milepost","value":"0.1195"},{"id":17,"name":"Train ID","value":"101-18"},{"id":16,"name":"Locomotive ID","value":"4009"},{"id":130,"name":"Impact","value":""},{"id":150,"name":"Time of Event (Mountain Time)","value":"03:52:22"},{"id":151,"name":"Denver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559</v>
      </c>
      <c r="B15" s="7">
        <v>4030</v>
      </c>
      <c r="C15" s="22" t="s">
        <v>205</v>
      </c>
      <c r="D15" s="22" t="s">
        <v>733</v>
      </c>
      <c r="E15" s="13">
        <v>42722.171851851854</v>
      </c>
      <c r="F15" s="13">
        <v>42722.174571759257</v>
      </c>
      <c r="G15" s="7">
        <v>1</v>
      </c>
      <c r="H15" s="22" t="s">
        <v>273</v>
      </c>
      <c r="I15" s="13">
        <v>42722.203946759262</v>
      </c>
      <c r="J15" s="7">
        <v>0</v>
      </c>
      <c r="K15" s="109" t="str">
        <f t="shared" si="0"/>
        <v>4029/4030</v>
      </c>
      <c r="L15" s="22" t="str">
        <f>VLOOKUP(A15,'Trips&amp;Operators'!$C$1:$G$99999,5,FALSE)</f>
        <v>OUN ZACK</v>
      </c>
      <c r="M15" s="6">
        <f t="shared" si="1"/>
        <v>2.9375000005529728E-2</v>
      </c>
      <c r="N15" s="7">
        <f>24*60*SUM($M15:$M15)</f>
        <v>42.300000007962808</v>
      </c>
      <c r="O15" s="7"/>
      <c r="P15" s="7"/>
      <c r="Q15" s="23"/>
      <c r="R15" s="23"/>
      <c r="S15" s="35">
        <f t="shared" ref="S15:S22" si="16">SUM(U15:U15)/IF(AG15="EC",12,1)</f>
        <v>1</v>
      </c>
      <c r="T15" s="50" t="str">
        <f t="shared" si="2"/>
        <v>Southbound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03:07:28-700',mode:absolute,to:'2016-12-18 05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" s="52" t="str">
        <f t="shared" si="4"/>
        <v>N</v>
      </c>
      <c r="X15" s="177">
        <f t="shared" si="5"/>
        <v>1</v>
      </c>
      <c r="Y15" s="67">
        <f t="shared" si="6"/>
        <v>23.265999999999998</v>
      </c>
      <c r="Z15" s="67">
        <f>RIGHT(H15,LEN(H15)-4)/10000</f>
        <v>1.61E-2</v>
      </c>
      <c r="AA15" s="67">
        <f t="shared" si="7"/>
        <v>23.249899999999997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8"/>
        <v>0102-18</v>
      </c>
      <c r="AE15" s="91" t="str">
        <f t="shared" si="9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15" s="88" t="str">
        <f t="shared" si="10"/>
        <v>"C:\Program Files (x86)\AstroGrep\AstroGrep.exe" /spath="%USERPROFILE%\AppData\Local\Temp\OnboardLogs" /stypes="app*4030*20161218*" /stext=" 11:.+((SYSTEM_STATE.+slice.+state.+changed )|(ment ac)|(multiple cpu faults)|(system.+state.+changed )|(\[timeout)|(PRM\|1\|D)|(kpr)|(kdp)|(\|lc)|(penalty))" /e /r /s</v>
      </c>
      <c r="AG15" s="1" t="str">
        <f t="shared" si="11"/>
        <v>EC</v>
      </c>
      <c r="AH15" s="92" t="str">
        <f t="shared" si="14"/>
        <v>"%USERPROFILE%\Documents\GitHub\eaglep3\Utilities\RefineRTDCRunTimes.py" --tripid 102-18 --locoid 4030 --swversion DE.1.0.8.0 --startMP 204:232660 --initTime 2016-12-18T04:07:28 --startdatetime 2016-12-18T04:11:23 --delay 1 --endMP 204:161 --enddatetime 2016-12-18T04:53:41 --enforcementcount 0 &gt;&gt;C:\Users\stu\Documents\GitHub\eaglep3-reporting\EC\2016-12-18-refined-times.txt</v>
      </c>
      <c r="AI15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{"issue":{"subject":"","project_id":79,"tracker_id":40,"status_id":1,"priority_id":2,"assigned_to_id":23,"start_date":"2016-12-18","description":"","custom_fields":[{"id":1,"name":"Subdivision","value":"EC"},{"id":4,"name":"Milepost","value":"0.0161"},{"id":17,"name":"Train ID","value":"102-18"},{"id":16,"name":"Locomotive ID","value":"4030"},{"id":130,"name":"Impact","value":""},{"id":150,"name":"Time of Event (Mountain Time)","value":"04:53:41"},{"id":151,"name":"Denver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555</v>
      </c>
      <c r="B16" s="7">
        <v>4051</v>
      </c>
      <c r="C16" s="22" t="s">
        <v>205</v>
      </c>
      <c r="D16" s="22" t="s">
        <v>465</v>
      </c>
      <c r="E16" s="13">
        <v>42722.153877314813</v>
      </c>
      <c r="F16" s="13">
        <v>42722.156631944446</v>
      </c>
      <c r="G16" s="7">
        <v>1</v>
      </c>
      <c r="H16" s="22" t="s">
        <v>287</v>
      </c>
      <c r="I16" s="13">
        <v>42722.182083333333</v>
      </c>
      <c r="J16" s="7">
        <v>0</v>
      </c>
      <c r="K16" s="109" t="str">
        <f t="shared" si="0"/>
        <v>4051/4052</v>
      </c>
      <c r="L16" s="22" t="str">
        <f>VLOOKUP(A16,'Trips&amp;Operators'!$C$1:$G$99999,5,FALSE)</f>
        <v>MAELZER KURT</v>
      </c>
      <c r="M16" s="6">
        <f t="shared" si="1"/>
        <v>2.545138888672227E-2</v>
      </c>
      <c r="N16" s="7">
        <f>24*60*SUM($M16:$M16)</f>
        <v>36.649999996880069</v>
      </c>
      <c r="O16" s="7"/>
      <c r="P16" s="7"/>
      <c r="Q16" s="23"/>
      <c r="R16" s="23"/>
      <c r="S16" s="35">
        <f t="shared" si="16"/>
        <v>1</v>
      </c>
      <c r="T16" s="50" t="str">
        <f t="shared" si="2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02:41:35-700',mode:absolute,to:'2016-12-18 05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6" s="52" t="str">
        <f t="shared" si="4"/>
        <v>N</v>
      </c>
      <c r="X16" s="177">
        <f t="shared" si="5"/>
        <v>1</v>
      </c>
      <c r="Y16" s="67">
        <f t="shared" si="6"/>
        <v>7.3899999999999993E-2</v>
      </c>
      <c r="Z16" s="67">
        <f>RIGHT(H16,LEN(H16)-4)/10000</f>
        <v>23.3323</v>
      </c>
      <c r="AA16" s="67">
        <f t="shared" si="7"/>
        <v>23.258400000000002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8"/>
        <v>0103-18</v>
      </c>
      <c r="AE16" s="91" t="str">
        <f t="shared" si="9"/>
        <v>aws s3 cp s3://rtdc.mdm.uploadarchive.raw/RTDC4051/ "%USERPROFILE%\AppData\Local\Temp\OnboardLogs"\RTDC4051\2016-12-18 --exclude "*" --recursive --include "*20161218*" &amp; "%USERPROFILE%\Documents\GitHub\mrs-test-scripts\Headless Mode &amp; Sideloading\WalkAndUnGZ.bat" "%USERPROFILE%\AppData\Local\Temp\OnboardLogs"\RTDC4051\2016-12-18 &amp; aws s3 cp s3://rtdc.mdm.uploadarchive.raw/RTDC4051/ "%USERPROFILE%\AppData\Local\Temp\OnboardLogs"\RTDC4051\2016-12-19 --exclude "*" --recursive --include "*20161219*" &amp; "%USERPROFILE%\Documents\GitHub\mrs-test-scripts\Headless Mode &amp; Sideloading\WalkAndUnGZ.bat" "%USERPROFILE%\AppData\Local\Temp\OnboardLogs"\RTDC4051\2016-12-19</v>
      </c>
      <c r="AF16" s="88" t="str">
        <f t="shared" si="10"/>
        <v>"C:\Program Files (x86)\AstroGrep\AstroGrep.exe" /spath="%USERPROFILE%\AppData\Local\Temp\OnboardLogs" /stypes="app*4051*20161218*" /stext=" 11:.+((SYSTEM_STATE.+slice.+state.+changed )|(ment ac)|(multiple cpu faults)|(system.+state.+changed )|(\[timeout)|(PRM\|1\|D)|(kpr)|(kdp)|(\|lc)|(penalty))" /e /r /s</v>
      </c>
      <c r="AG16" s="1" t="str">
        <f t="shared" si="11"/>
        <v>EC</v>
      </c>
      <c r="AH16" s="92" t="str">
        <f t="shared" si="14"/>
        <v>"%USERPROFILE%\Documents\GitHub\eaglep3\Utilities\RefineRTDCRunTimes.py" --tripid 103-18 --locoid 4051 --swversion DE.1.0.8.0 --startMP 204:739 --initTime 2016-12-18T03:41:35 --startdatetime 2016-12-18T03:45:33 --delay 1 --endMP 204:233323 --enddatetime 2016-12-18T04:22:12 --enforcementcount 0 &gt;&gt;C:\Users\stu\Documents\GitHub\eaglep3-reporting\EC\2016-12-18-refined-times.txt</v>
      </c>
      <c r="AI16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{"issue":{"subject":"","project_id":79,"tracker_id":40,"status_id":1,"priority_id":2,"assigned_to_id":23,"start_date":"2016-12-18","description":"","custom_fields":[{"id":1,"name":"Subdivision","value":"EC"},{"id":4,"name":"Milepost","value":"23.3323"},{"id":17,"name":"Train ID","value":"103-18"},{"id":16,"name":"Locomotive ID","value":"4051"},{"id":130,"name":"Impact","value":""},{"id":150,"name":"Time of Event (Mountain Time)","value":"04:22:12"},{"id":151,"name":"Denver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563</v>
      </c>
      <c r="B17" s="7">
        <v>4043</v>
      </c>
      <c r="C17" s="22" t="s">
        <v>205</v>
      </c>
      <c r="D17" s="22" t="s">
        <v>734</v>
      </c>
      <c r="E17" s="13">
        <v>42722.190613425926</v>
      </c>
      <c r="F17" s="13">
        <v>42722.195439814815</v>
      </c>
      <c r="G17" s="7">
        <v>1</v>
      </c>
      <c r="H17" s="22" t="s">
        <v>211</v>
      </c>
      <c r="I17" s="13">
        <v>42722.216087962966</v>
      </c>
      <c r="J17" s="7">
        <v>0</v>
      </c>
      <c r="K17" s="109" t="str">
        <f t="shared" si="0"/>
        <v>4043/4044</v>
      </c>
      <c r="L17" s="22" t="str">
        <f>VLOOKUP(A17,'Trips&amp;Operators'!$C$1:$G$99999,5,FALSE)</f>
        <v>MAELZER KURT</v>
      </c>
      <c r="M17" s="6">
        <f t="shared" si="1"/>
        <v>2.064814815093996E-2</v>
      </c>
      <c r="N17" s="7"/>
      <c r="O17" s="7"/>
      <c r="P17" s="7">
        <f>24*60*SUM($M17:$M17)</f>
        <v>29.733333337353542</v>
      </c>
      <c r="Q17" s="23"/>
      <c r="R17" s="23" t="s">
        <v>951</v>
      </c>
      <c r="S17" s="35">
        <f t="shared" si="16"/>
        <v>0.75</v>
      </c>
      <c r="T17" s="50" t="str">
        <f t="shared" si="2"/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9</v>
      </c>
      <c r="V1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03:34:29-700',mode:absolute,to:'2016-12-18 06:11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" s="52" t="str">
        <f t="shared" si="4"/>
        <v>Y</v>
      </c>
      <c r="X17" s="177">
        <f t="shared" si="5"/>
        <v>1</v>
      </c>
      <c r="Y17" s="67">
        <f t="shared" si="6"/>
        <v>23.270399999999999</v>
      </c>
      <c r="Z17" s="67">
        <v>3.8142</v>
      </c>
      <c r="AA17" s="67">
        <f t="shared" si="7"/>
        <v>19.456199999999999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8"/>
        <v>0104-18</v>
      </c>
      <c r="AE17" s="91" t="str">
        <f t="shared" si="9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17" s="88" t="str">
        <f t="shared" si="10"/>
        <v>"C:\Program Files (x86)\AstroGrep\AstroGrep.exe" /spath="%USERPROFILE%\AppData\Local\Temp\OnboardLogs" /stypes="app*4043*20161218*" /stext=" 12:.+((SYSTEM_STATE.+slice.+state.+changed )|(ment ac)|(multiple cpu faults)|(system.+state.+changed )|(\[timeout)|(PRM\|1\|D)|(kpr)|(kdp)|(\|lc)|(penalty))" /e /r /s</v>
      </c>
      <c r="AG17" s="1" t="str">
        <f t="shared" si="11"/>
        <v>EC</v>
      </c>
      <c r="AH17" s="92" t="str">
        <f t="shared" si="14"/>
        <v>"%USERPROFILE%\Documents\GitHub\eaglep3\Utilities\RefineRTDCRunTimes.py" --tripid 104-18 --locoid 4043 --swversion DE.1.0.8.0 --startMP 204:232704 --initTime 2016-12-18T04:34:29 --startdatetime 2016-12-18T04:41:26 --delay 1 --endMP 204:150 --enddatetime 2016-12-18T05:11:10 --enforcementcount 0 &gt;&gt;C:\Users\stu\Documents\GitHub\eaglep3-reporting\EC\2016-12-18-refined-times.txt</v>
      </c>
      <c r="AI17" s="119" t="str">
        <f t="shared" si="15"/>
        <v>echo {"issue":{"subject":"Wi-MAX data drop","project_id":79,"tracker_id":40,"status_id":1,"priority_id":2,"assigned_to_id":23,"start_date":"2016-12-18","description":"","custom_fields":[{"id":1,"name":"Subdivision","value":"EC"},{"id":4,"name":"Milepost","value":"3.8142"},{"id":17,"name":"Train ID","value":"104-18"},{"id":16,"name":"Locomotive ID","value":"4043"},{"id":130,"name":"Impact","value":""},{"id":150,"name":"Time of Event (Mountain Time)","value":"05:11:10"},{"id":151,"name":"Denver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560</v>
      </c>
      <c r="B18" s="7">
        <v>4046</v>
      </c>
      <c r="C18" s="22" t="s">
        <v>205</v>
      </c>
      <c r="D18" s="22" t="s">
        <v>735</v>
      </c>
      <c r="E18" s="13">
        <v>42722.177812499998</v>
      </c>
      <c r="F18" s="13">
        <v>42722.179988425924</v>
      </c>
      <c r="G18" s="7">
        <v>1</v>
      </c>
      <c r="H18" s="22" t="s">
        <v>478</v>
      </c>
      <c r="I18" s="13">
        <v>42722.209409722222</v>
      </c>
      <c r="J18" s="7">
        <v>0</v>
      </c>
      <c r="K18" s="109" t="str">
        <f t="shared" si="0"/>
        <v>4045/4046</v>
      </c>
      <c r="L18" s="22" t="str">
        <f>VLOOKUP(A18,'Trips&amp;Operators'!$C$1:$G$99999,5,FALSE)</f>
        <v>ISHMAEL JOSEPH</v>
      </c>
      <c r="M18" s="6">
        <f t="shared" si="1"/>
        <v>2.9421296298096422E-2</v>
      </c>
      <c r="N18" s="7">
        <f>24*60*SUM($M18:$M18)</f>
        <v>42.366666669258848</v>
      </c>
      <c r="O18" s="7"/>
      <c r="P18" s="7"/>
      <c r="Q18" s="23"/>
      <c r="R18" s="23"/>
      <c r="S18" s="35">
        <f t="shared" si="16"/>
        <v>1</v>
      </c>
      <c r="T18" s="50" t="str">
        <f t="shared" si="2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03:16:03-700',mode:absolute,to:'2016-12-18 06:01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" s="52" t="str">
        <f t="shared" si="4"/>
        <v>N</v>
      </c>
      <c r="X18" s="177">
        <f t="shared" si="5"/>
        <v>1</v>
      </c>
      <c r="Y18" s="67">
        <f t="shared" si="6"/>
        <v>6.7299999999999999E-2</v>
      </c>
      <c r="Z18" s="67">
        <f t="shared" ref="Z18:Z49" si="17">RIGHT(H18,LEN(H18)-4)/10000</f>
        <v>23.333400000000001</v>
      </c>
      <c r="AA18" s="67">
        <f t="shared" si="7"/>
        <v>23.266100000000002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8"/>
        <v>0105-18</v>
      </c>
      <c r="AE18" s="91" t="str">
        <f t="shared" si="9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18" s="88" t="str">
        <f t="shared" si="10"/>
        <v>"C:\Program Files (x86)\AstroGrep\AstroGrep.exe" /spath="%USERPROFILE%\AppData\Local\Temp\OnboardLogs" /stypes="app*4046*20161218*" /stext=" 12:.+((SYSTEM_STATE.+slice.+state.+changed )|(ment ac)|(multiple cpu faults)|(system.+state.+changed )|(\[timeout)|(PRM\|1\|D)|(kpr)|(kdp)|(\|lc)|(penalty))" /e /r /s</v>
      </c>
      <c r="AG18" s="1" t="str">
        <f t="shared" si="11"/>
        <v>EC</v>
      </c>
      <c r="AH18" s="92" t="str">
        <f t="shared" si="14"/>
        <v>"%USERPROFILE%\Documents\GitHub\eaglep3\Utilities\RefineRTDCRunTimes.py" --tripid 105-18 --locoid 4046 --swversion DE.1.0.8.0 --startMP 204:673 --initTime 2016-12-18T04:16:03 --startdatetime 2016-12-18T04:19:11 --delay 1 --endMP 204:233334 --enddatetime 2016-12-18T05:01:33 --enforcementcount 0 &gt;&gt;C:\Users\stu\Documents\GitHub\eaglep3-reporting\EC\2016-12-18-refined-times.txt</v>
      </c>
      <c r="AI18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{"issue":{"subject":"","project_id":79,"tracker_id":40,"status_id":1,"priority_id":2,"assigned_to_id":23,"start_date":"2016-12-18","description":"","custom_fields":[{"id":1,"name":"Subdivision","value":"EC"},{"id":4,"name":"Milepost","value":"23.3334"},{"id":17,"name":"Train ID","value":"105-18"},{"id":16,"name":"Locomotive ID","value":"4046"},{"id":130,"name":"Impact","value":""},{"id":150,"name":"Time of Event (Mountain Time)","value":"05:01:33"},{"id":151,"name":"Denver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565</v>
      </c>
      <c r="B19" s="7">
        <v>4039</v>
      </c>
      <c r="C19" s="22" t="s">
        <v>205</v>
      </c>
      <c r="D19" s="22" t="s">
        <v>736</v>
      </c>
      <c r="E19" s="13">
        <v>42722.253935185188</v>
      </c>
      <c r="F19" s="13">
        <v>42722.254756944443</v>
      </c>
      <c r="G19" s="7">
        <v>0</v>
      </c>
      <c r="H19" s="22" t="s">
        <v>328</v>
      </c>
      <c r="I19" s="13">
        <v>42722.2812037037</v>
      </c>
      <c r="J19" s="7">
        <v>0</v>
      </c>
      <c r="K19" s="109" t="str">
        <f t="shared" si="0"/>
        <v>4039/4040</v>
      </c>
      <c r="L19" s="22" t="str">
        <f>VLOOKUP(A19,'Trips&amp;Operators'!$C$1:$G$99999,5,FALSE)</f>
        <v>ISHMAEL JOSEPH</v>
      </c>
      <c r="M19" s="6">
        <f t="shared" si="1"/>
        <v>2.6446759256941732E-2</v>
      </c>
      <c r="N19" s="7"/>
      <c r="O19" s="7"/>
      <c r="P19" s="7">
        <f>24*60*SUM($M19:$M19)</f>
        <v>38.083333329996094</v>
      </c>
      <c r="Q19" s="23"/>
      <c r="R19" s="23" t="s">
        <v>952</v>
      </c>
      <c r="S19" s="35">
        <f t="shared" si="16"/>
        <v>1</v>
      </c>
      <c r="T19" s="50" t="str">
        <f t="shared" si="2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05:05:40-700',mode:absolute,to:'2016-12-18 07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" s="52" t="str">
        <f t="shared" si="4"/>
        <v>Y</v>
      </c>
      <c r="X19" s="177">
        <f t="shared" si="5"/>
        <v>1</v>
      </c>
      <c r="Y19" s="67">
        <f t="shared" si="6"/>
        <v>15.392200000000001</v>
      </c>
      <c r="Z19" s="67">
        <f t="shared" si="17"/>
        <v>1.2500000000000001E-2</v>
      </c>
      <c r="AA19" s="67">
        <f t="shared" si="7"/>
        <v>15.379700000000001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8"/>
        <v>0106-18</v>
      </c>
      <c r="AE19" s="91" t="str">
        <f t="shared" si="9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19" s="88" t="str">
        <f t="shared" si="10"/>
        <v>"C:\Program Files (x86)\AstroGrep\AstroGrep.exe" /spath="%USERPROFILE%\AppData\Local\Temp\OnboardLogs" /stypes="app*4039*20161218*" /stext=" 13:.+((SYSTEM_STATE.+slice.+state.+changed )|(ment ac)|(multiple cpu faults)|(system.+state.+changed )|(\[timeout)|(PRM\|1\|D)|(kpr)|(kdp)|(\|lc)|(penalty))" /e /r /s</v>
      </c>
      <c r="AG19" s="1" t="str">
        <f t="shared" si="11"/>
        <v>EC</v>
      </c>
      <c r="AH19" s="92" t="str">
        <f t="shared" si="14"/>
        <v>"%USERPROFILE%\Documents\GitHub\eaglep3\Utilities\RefineRTDCRunTimes.py" --tripid 106-18 --locoid 4039 --swversion DE.1.0.8.0 --startMP 204:153922 --initTime 2016-12-18T06:05:40 --startdatetime 2016-12-18T06:06:51 --delay 0 --endMP 204:125 --enddatetime 2016-12-18T06:44:56 --enforcementcount 0 &gt;&gt;C:\Users\stu\Documents\GitHub\eaglep3-reporting\EC\2016-12-18-refined-times.txt</v>
      </c>
      <c r="AI19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03:27","project_id":79,"tracker_id":40,"status_id":1,"priority_id":2,"assigned_to_id":23,"start_date":"2016-12-18","description":"","custom_fields":[{"id":1,"name":"Subdivision","value":"EC"},{"id":4,"name":"Milepost","value":"0.0125"},{"id":17,"name":"Train ID","value":"106-18"},{"id":16,"name":"Locomotive ID","value":"4039"},{"id":130,"name":"Impact","value":""},{"id":150,"name":"Time of Event (Mountain Time)","value":"06:44:56"},{"id":151,"name":"Denver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565</v>
      </c>
      <c r="B20" s="7">
        <v>4039</v>
      </c>
      <c r="C20" s="22" t="s">
        <v>205</v>
      </c>
      <c r="D20" s="22" t="s">
        <v>737</v>
      </c>
      <c r="E20" s="13">
        <v>42722.211597222224</v>
      </c>
      <c r="F20" s="13">
        <v>42722.254756944443</v>
      </c>
      <c r="G20" s="7">
        <v>0</v>
      </c>
      <c r="H20" s="22" t="s">
        <v>738</v>
      </c>
      <c r="I20" s="13">
        <v>42722.2812037037</v>
      </c>
      <c r="J20" s="7">
        <v>0</v>
      </c>
      <c r="K20" s="109" t="str">
        <f t="shared" si="0"/>
        <v>4039/4040</v>
      </c>
      <c r="L20" s="22" t="str">
        <f>VLOOKUP(A20,'Trips&amp;Operators'!$C$1:$G$99999,5,FALSE)</f>
        <v>ISHMAEL JOSEPH</v>
      </c>
      <c r="M20" s="6">
        <f t="shared" si="1"/>
        <v>2.6446759256941732E-2</v>
      </c>
      <c r="N20" s="7"/>
      <c r="O20" s="7"/>
      <c r="P20" s="7"/>
      <c r="Q20" s="23"/>
      <c r="R20" s="23"/>
      <c r="S20" s="35">
        <f t="shared" si="16"/>
        <v>0</v>
      </c>
      <c r="T20" s="50" t="str">
        <f t="shared" si="2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04:04:42-700',mode:absolute,to:'2016-12-18 07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" s="52" t="str">
        <f t="shared" si="4"/>
        <v>Y</v>
      </c>
      <c r="X20" s="177">
        <f t="shared" si="5"/>
        <v>0</v>
      </c>
      <c r="Y20" s="67">
        <f t="shared" si="6"/>
        <v>23.264399999999998</v>
      </c>
      <c r="Z20" s="67">
        <f t="shared" si="17"/>
        <v>22.258400000000002</v>
      </c>
      <c r="AA20" s="67">
        <f t="shared" si="7"/>
        <v>1.0059999999999967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8"/>
        <v>0106-18</v>
      </c>
      <c r="AE20" s="91" t="str">
        <f t="shared" si="9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20" s="88" t="str">
        <f t="shared" si="10"/>
        <v>"C:\Program Files (x86)\AstroGrep\AstroGrep.exe" /spath="%USERPROFILE%\AppData\Local\Temp\OnboardLogs" /stypes="app*4039*20161218*" /stext=" 13:.+((SYSTEM_STATE.+slice.+state.+changed )|(ment ac)|(multiple cpu faults)|(system.+state.+changed )|(\[timeout)|(PRM\|1\|D)|(kpr)|(kdp)|(\|lc)|(penalty))" /e /r /s</v>
      </c>
      <c r="AG20" s="1" t="str">
        <f t="shared" si="11"/>
        <v>EC</v>
      </c>
      <c r="AH20" s="92" t="str">
        <f t="shared" si="14"/>
        <v>"%USERPROFILE%\Documents\GitHub\eaglep3\Utilities\RefineRTDCRunTimes.py" --tripid 106-18 --locoid 4039 --swversion DE.1.0.8.0 --startMP 204:232644 --initTime 2016-12-18T05:04:42 --startdatetime 2016-12-18T06:06:51 --delay 0 --endMP 204:222584 --enddatetime 2016-12-18T06:44:56 --enforcementcount 0 &gt;&gt;C:\Users\stu\Documents\GitHub\eaglep3-reporting\EC\2016-12-18-refined-times.txt</v>
      </c>
      <c r="AI20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{"issue":{"subject":"","project_id":79,"tracker_id":40,"status_id":1,"priority_id":2,"assigned_to_id":23,"start_date":"2016-12-18","description":"","custom_fields":[{"id":1,"name":"Subdivision","value":"EC"},{"id":4,"name":"Milepost","value":"22.2584"},{"id":17,"name":"Train ID","value":"106-18"},{"id":16,"name":"Locomotive ID","value":"4039"},{"id":130,"name":"Impact","value":""},{"id":150,"name":"Time of Event (Mountain Time)","value":"06:44:56"},{"id":151,"name":"Denver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561</v>
      </c>
      <c r="B21" s="7">
        <v>4031</v>
      </c>
      <c r="C21" s="22" t="s">
        <v>205</v>
      </c>
      <c r="D21" s="22" t="s">
        <v>739</v>
      </c>
      <c r="E21" s="13">
        <v>42722.184282407405</v>
      </c>
      <c r="F21" s="13">
        <v>42722.187847222223</v>
      </c>
      <c r="G21" s="7">
        <v>2</v>
      </c>
      <c r="H21" s="22" t="s">
        <v>330</v>
      </c>
      <c r="I21" s="13">
        <v>42722.215451388889</v>
      </c>
      <c r="J21" s="7">
        <v>0</v>
      </c>
      <c r="K21" s="109" t="str">
        <f t="shared" si="0"/>
        <v>4031/4032</v>
      </c>
      <c r="L21" s="22" t="str">
        <f>VLOOKUP(A21,'Trips&amp;Operators'!$C$1:$G$99999,5,FALSE)</f>
        <v>HAITHCOX MICHAEL</v>
      </c>
      <c r="M21" s="6">
        <f t="shared" si="1"/>
        <v>2.7604166665696539E-2</v>
      </c>
      <c r="N21" s="7">
        <f>24*60*SUM($M21:$M21)</f>
        <v>39.749999998603016</v>
      </c>
      <c r="O21" s="7"/>
      <c r="P21" s="7"/>
      <c r="Q21" s="23"/>
      <c r="R21" s="23"/>
      <c r="S21" s="35">
        <f t="shared" si="16"/>
        <v>1</v>
      </c>
      <c r="T21" s="50" t="str">
        <f t="shared" si="2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03:25:22-700',mode:absolute,to:'2016-12-18 06:10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4"/>
        <v>N</v>
      </c>
      <c r="X21" s="177">
        <f t="shared" si="5"/>
        <v>1</v>
      </c>
      <c r="Y21" s="67">
        <f t="shared" si="6"/>
        <v>0.1216</v>
      </c>
      <c r="Z21" s="67">
        <f t="shared" si="17"/>
        <v>23.329799999999999</v>
      </c>
      <c r="AA21" s="67">
        <f t="shared" si="7"/>
        <v>23.208199999999998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8"/>
        <v>0107-18</v>
      </c>
      <c r="AE21" s="91" t="str">
        <f t="shared" si="9"/>
        <v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v>
      </c>
      <c r="AF21" s="88" t="str">
        <f t="shared" si="10"/>
        <v>"C:\Program Files (x86)\AstroGrep\AstroGrep.exe" /spath="%USERPROFILE%\AppData\Local\Temp\OnboardLogs" /stypes="app*4031*20161218*" /stext=" 12:.+((SYSTEM_STATE.+slice.+state.+changed )|(ment ac)|(multiple cpu faults)|(system.+state.+changed )|(\[timeout)|(PRM\|1\|D)|(kpr)|(kdp)|(\|lc)|(penalty))" /e /r /s</v>
      </c>
      <c r="AG21" s="1" t="str">
        <f t="shared" si="11"/>
        <v>EC</v>
      </c>
      <c r="AH21" s="92" t="str">
        <f t="shared" si="14"/>
        <v>"%USERPROFILE%\Documents\GitHub\eaglep3\Utilities\RefineRTDCRunTimes.py" --tripid 107-18 --locoid 4031 --swversion DE.1.0.8.0 --startMP 204:1216 --initTime 2016-12-18T04:25:22 --startdatetime 2016-12-18T04:30:30 --delay 2 --endMP 204:233298 --enddatetime 2016-12-18T05:10:15 --enforcementcount 0 &gt;&gt;C:\Users\stu\Documents\GitHub\eaglep3-reporting\EC\2016-12-18-refined-times.txt</v>
      </c>
      <c r="AI21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{"issue":{"subject":"","project_id":79,"tracker_id":40,"status_id":1,"priority_id":2,"assigned_to_id":23,"start_date":"2016-12-18","description":"","custom_fields":[{"id":1,"name":"Subdivision","value":"EC"},{"id":4,"name":"Milepost","value":"23.3298"},{"id":17,"name":"Train ID","value":"107-18"},{"id":16,"name":"Locomotive ID","value":"4031"},{"id":130,"name":"Impact","value":""},{"id":150,"name":"Time of Event (Mountain Time)","value":"05:10:15"},{"id":151,"name":"Denver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566</v>
      </c>
      <c r="B22" s="7">
        <v>4032</v>
      </c>
      <c r="C22" s="22" t="s">
        <v>205</v>
      </c>
      <c r="D22" s="22" t="s">
        <v>740</v>
      </c>
      <c r="E22" s="13">
        <v>42722.261319444442</v>
      </c>
      <c r="F22" s="13">
        <v>42722.262395833335</v>
      </c>
      <c r="G22" s="7">
        <v>0</v>
      </c>
      <c r="H22" s="22" t="s">
        <v>298</v>
      </c>
      <c r="I22" s="13">
        <v>42722.287766203706</v>
      </c>
      <c r="J22" s="7">
        <v>0</v>
      </c>
      <c r="K22" s="109" t="str">
        <f t="shared" si="0"/>
        <v>4031/4032</v>
      </c>
      <c r="L22" s="22" t="str">
        <f>VLOOKUP(A22,'Trips&amp;Operators'!$C$1:$G$99999,5,FALSE)</f>
        <v>HAITHCOX MICHAEL</v>
      </c>
      <c r="M22" s="6">
        <f t="shared" si="1"/>
        <v>2.5370370371092577E-2</v>
      </c>
      <c r="N22" s="7"/>
      <c r="O22" s="7"/>
      <c r="P22" s="7">
        <f>24*60*SUM($M22:$M22)</f>
        <v>36.53333333437331</v>
      </c>
      <c r="Q22" s="23"/>
      <c r="R22" s="23" t="s">
        <v>952</v>
      </c>
      <c r="S22" s="35">
        <f t="shared" si="16"/>
        <v>1</v>
      </c>
      <c r="T22" s="50" t="str">
        <f t="shared" si="2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05:16:18-700',mode:absolute,to:'2016-12-18 07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4"/>
        <v>Y</v>
      </c>
      <c r="X22" s="177">
        <f t="shared" si="5"/>
        <v>1</v>
      </c>
      <c r="Y22" s="67">
        <f t="shared" si="6"/>
        <v>15.3969</v>
      </c>
      <c r="Z22" s="67">
        <f t="shared" si="17"/>
        <v>1.38E-2</v>
      </c>
      <c r="AA22" s="67">
        <f t="shared" si="7"/>
        <v>15.383100000000001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8"/>
        <v>0108-18</v>
      </c>
      <c r="AE22" s="91" t="str">
        <f t="shared" si="9"/>
        <v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v>
      </c>
      <c r="AF22" s="88" t="str">
        <f t="shared" si="10"/>
        <v>"C:\Program Files (x86)\AstroGrep\AstroGrep.exe" /spath="%USERPROFILE%\AppData\Local\Temp\OnboardLogs" /stypes="app*4032*20161218*" /stext=" 13:.+((SYSTEM_STATE.+slice.+state.+changed )|(ment ac)|(multiple cpu faults)|(system.+state.+changed )|(\[timeout)|(PRM\|1\|D)|(kpr)|(kdp)|(\|lc)|(penalty))" /e /r /s</v>
      </c>
      <c r="AG22" s="1" t="str">
        <f t="shared" si="11"/>
        <v>EC</v>
      </c>
      <c r="AH22" s="92" t="str">
        <f t="shared" si="14"/>
        <v>"%USERPROFILE%\Documents\GitHub\eaglep3\Utilities\RefineRTDCRunTimes.py" --tripid 108-18 --locoid 4032 --swversion DE.1.0.8.0 --startMP 204:153969 --initTime 2016-12-18T06:16:18 --startdatetime 2016-12-18T06:17:51 --delay 0 --endMP 204:138 --enddatetime 2016-12-18T06:54:23 --enforcementcount 0 &gt;&gt;C:\Users\stu\Documents\GitHub\eaglep3-reporting\EC\2016-12-18-refined-times.txt</v>
      </c>
      <c r="AI22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03:27","project_id":79,"tracker_id":40,"status_id":1,"priority_id":2,"assigned_to_id":23,"start_date":"2016-12-18","description":"","custom_fields":[{"id":1,"name":"Subdivision","value":"EC"},{"id":4,"name":"Milepost","value":"0.0138"},{"id":17,"name":"Train ID","value":"108-18"},{"id":16,"name":"Locomotive ID","value":"4032"},{"id":130,"name":"Impact","value":""},{"id":150,"name":"Time of Event (Mountain Time)","value":"06:54:23"},{"id":151,"name":"Denver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566</v>
      </c>
      <c r="B23" s="7">
        <v>4032</v>
      </c>
      <c r="C23" s="22" t="s">
        <v>205</v>
      </c>
      <c r="D23" s="22" t="s">
        <v>741</v>
      </c>
      <c r="E23" s="13">
        <v>42722.221759259257</v>
      </c>
      <c r="F23" s="13">
        <v>42722.239224537036</v>
      </c>
      <c r="G23" s="7">
        <v>1</v>
      </c>
      <c r="H23" s="22" t="s">
        <v>742</v>
      </c>
      <c r="I23" s="13">
        <v>42722.242210648146</v>
      </c>
      <c r="J23" s="7">
        <v>0</v>
      </c>
      <c r="K23" s="109" t="str">
        <f t="shared" si="0"/>
        <v>4031/4032</v>
      </c>
      <c r="L23" s="22" t="str">
        <f>VLOOKUP(A23,'Trips&amp;Operators'!$C$1:$G$99999,5,FALSE)</f>
        <v>HAITHCOX MICHAEL</v>
      </c>
      <c r="M23" s="6">
        <f t="shared" si="1"/>
        <v>2.9861111106583849E-3</v>
      </c>
      <c r="N23" s="7"/>
      <c r="O23" s="7"/>
      <c r="P23" s="7"/>
      <c r="Q23" s="23"/>
      <c r="R23" s="23"/>
      <c r="S23" s="35"/>
      <c r="T23" s="50" t="str">
        <f t="shared" si="2"/>
        <v>Southbound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04:19:20-700',mode:absolute,to:'2016-12-18 06:48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" s="52" t="str">
        <f t="shared" si="4"/>
        <v>Y</v>
      </c>
      <c r="X23" s="177">
        <f t="shared" si="5"/>
        <v>0</v>
      </c>
      <c r="Y23" s="67">
        <f t="shared" si="6"/>
        <v>23.297599999999999</v>
      </c>
      <c r="Z23" s="67">
        <f t="shared" si="17"/>
        <v>23.298100000000002</v>
      </c>
      <c r="AA23" s="67">
        <f t="shared" si="7"/>
        <v>5.0000000000238742E-4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8"/>
        <v>0108-18</v>
      </c>
      <c r="AE23" s="91" t="str">
        <f t="shared" si="9"/>
        <v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v>
      </c>
      <c r="AF23" s="88" t="str">
        <f t="shared" si="10"/>
        <v>"C:\Program Files (x86)\AstroGrep\AstroGrep.exe" /spath="%USERPROFILE%\AppData\Local\Temp\OnboardLogs" /stypes="app*4032*20161218*" /stext=" 12:.+((SYSTEM_STATE.+slice.+state.+changed )|(ment ac)|(multiple cpu faults)|(system.+state.+changed )|(\[timeout)|(PRM\|1\|D)|(kpr)|(kdp)|(\|lc)|(penalty))" /e /r /s</v>
      </c>
      <c r="AG23" s="1" t="str">
        <f t="shared" si="11"/>
        <v>EC</v>
      </c>
      <c r="AH23" s="92" t="str">
        <f t="shared" si="14"/>
        <v>"%USERPROFILE%\Documents\GitHub\eaglep3\Utilities\RefineRTDCRunTimes.py" --tripid 108-18 --locoid 4032 --swversion DE.1.0.8.0 --startMP 204:232976 --initTime 2016-12-18T05:19:20 --startdatetime 2016-12-18T05:44:29 --delay 1 --endMP 204:232981 --enddatetime 2016-12-18T05:48:47 --enforcementcount 0 &gt;&gt;C:\Users\stu\Documents\GitHub\eaglep3-reporting\EC\2016-12-18-refined-times.txt</v>
      </c>
      <c r="AI23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{"issue":{"subject":"","project_id":79,"tracker_id":40,"status_id":1,"priority_id":2,"assigned_to_id":23,"start_date":"2016-12-18","description":"","custom_fields":[{"id":1,"name":"Subdivision","value":"EC"},{"id":4,"name":"Milepost","value":"23.2981"},{"id":17,"name":"Train ID","value":"108-18"},{"id":16,"name":"Locomotive ID","value":"4032"},{"id":130,"name":"Impact","value":""},{"id":150,"name":"Time of Event (Mountain Time)","value":"05:48:47"},{"id":151,"name":"Denver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566</v>
      </c>
      <c r="B24" s="7">
        <v>4032</v>
      </c>
      <c r="C24" s="22" t="s">
        <v>205</v>
      </c>
      <c r="D24" s="22" t="s">
        <v>742</v>
      </c>
      <c r="E24" s="13">
        <v>42722.228819444441</v>
      </c>
      <c r="F24" s="13">
        <v>42722.262395833335</v>
      </c>
      <c r="G24" s="7">
        <v>1</v>
      </c>
      <c r="H24" s="22" t="s">
        <v>743</v>
      </c>
      <c r="I24" s="13">
        <v>42722.287766203706</v>
      </c>
      <c r="J24" s="7">
        <v>0</v>
      </c>
      <c r="K24" s="109" t="str">
        <f t="shared" si="0"/>
        <v>4031/4032</v>
      </c>
      <c r="L24" s="22" t="str">
        <f>VLOOKUP(A24,'Trips&amp;Operators'!$C$1:$G$99999,5,FALSE)</f>
        <v>HAITHCOX MICHAEL</v>
      </c>
      <c r="M24" s="6">
        <f t="shared" si="1"/>
        <v>2.5370370371092577E-2</v>
      </c>
      <c r="N24" s="7"/>
      <c r="O24" s="7"/>
      <c r="P24" s="7"/>
      <c r="Q24" s="23"/>
      <c r="R24" s="23"/>
      <c r="S24" s="35"/>
      <c r="T24" s="50" t="str">
        <f t="shared" si="2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04:29:30-700',mode:absolute,to:'2016-12-18 07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4" s="52" t="str">
        <f t="shared" si="4"/>
        <v>Y</v>
      </c>
      <c r="X24" s="177">
        <f t="shared" si="5"/>
        <v>0</v>
      </c>
      <c r="Y24" s="67">
        <f t="shared" si="6"/>
        <v>23.298100000000002</v>
      </c>
      <c r="Z24" s="67">
        <f t="shared" si="17"/>
        <v>22.184799999999999</v>
      </c>
      <c r="AA24" s="67">
        <f t="shared" si="7"/>
        <v>1.1133000000000024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8"/>
        <v>0108-18</v>
      </c>
      <c r="AE24" s="91" t="str">
        <f t="shared" si="9"/>
        <v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v>
      </c>
      <c r="AF24" s="88" t="str">
        <f t="shared" si="10"/>
        <v>"C:\Program Files (x86)\AstroGrep\AstroGrep.exe" /spath="%USERPROFILE%\AppData\Local\Temp\OnboardLogs" /stypes="app*4032*20161218*" /stext=" 13:.+((SYSTEM_STATE.+slice.+state.+changed )|(ment ac)|(multiple cpu faults)|(system.+state.+changed )|(\[timeout)|(PRM\|1\|D)|(kpr)|(kdp)|(\|lc)|(penalty))" /e /r /s</v>
      </c>
      <c r="AG24" s="1" t="str">
        <f t="shared" si="11"/>
        <v>EC</v>
      </c>
      <c r="AH24" s="92" t="str">
        <f t="shared" si="14"/>
        <v>"%USERPROFILE%\Documents\GitHub\eaglep3\Utilities\RefineRTDCRunTimes.py" --tripid 108-18 --locoid 4032 --swversion DE.1.0.8.0 --startMP 204:232981 --initTime 2016-12-18T05:29:30 --startdatetime 2016-12-18T06:17:51 --delay 1 --endMP 204:221848 --enddatetime 2016-12-18T06:54:23 --enforcementcount 0 &gt;&gt;C:\Users\stu\Documents\GitHub\eaglep3-reporting\EC\2016-12-18-refined-times.txt</v>
      </c>
      <c r="AI24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{"issue":{"subject":"","project_id":79,"tracker_id":40,"status_id":1,"priority_id":2,"assigned_to_id":23,"start_date":"2016-12-18","description":"","custom_fields":[{"id":1,"name":"Subdivision","value":"EC"},{"id":4,"name":"Milepost","value":"22.1848"},{"id":17,"name":"Train ID","value":"108-18"},{"id":16,"name":"Locomotive ID","value":"4032"},{"id":130,"name":"Impact","value":""},{"id":150,"name":"Time of Event (Mountain Time)","value":"06:54:23"},{"id":151,"name":"Denver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509</v>
      </c>
      <c r="B25" s="7">
        <v>4027</v>
      </c>
      <c r="C25" s="22" t="s">
        <v>205</v>
      </c>
      <c r="D25" s="22" t="s">
        <v>744</v>
      </c>
      <c r="E25" s="13">
        <v>42722.19703703704</v>
      </c>
      <c r="F25" s="13">
        <v>42722.201782407406</v>
      </c>
      <c r="G25" s="7">
        <v>6</v>
      </c>
      <c r="H25" s="22" t="s">
        <v>745</v>
      </c>
      <c r="I25" s="13">
        <v>42722.258668981478</v>
      </c>
      <c r="J25" s="7">
        <v>0</v>
      </c>
      <c r="K25" s="109" t="str">
        <f t="shared" si="0"/>
        <v>4027/4028</v>
      </c>
      <c r="L25" s="22" t="str">
        <f>VLOOKUP(A25,'Trips&amp;Operators'!$C$1:$G$99999,5,FALSE)</f>
        <v>ROBINSON KADDIBA</v>
      </c>
      <c r="M25" s="6">
        <f t="shared" si="1"/>
        <v>5.6886574071540963E-2</v>
      </c>
      <c r="N25" s="7"/>
      <c r="O25" s="7"/>
      <c r="P25" s="7">
        <f>24*60*SUM($M25:$M25)</f>
        <v>81.916666663018987</v>
      </c>
      <c r="Q25" s="23"/>
      <c r="R25" s="23" t="s">
        <v>952</v>
      </c>
      <c r="S25" s="35">
        <f>SUM(U25:U25)/IF(AG25="EC",12,1)</f>
        <v>1</v>
      </c>
      <c r="T25" s="50" t="str">
        <f t="shared" si="2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03:43:44-700',mode:absolute,to:'2016-12-18 07:12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5" s="52" t="str">
        <f t="shared" si="4"/>
        <v>Y</v>
      </c>
      <c r="X25" s="177">
        <f t="shared" si="5"/>
        <v>1</v>
      </c>
      <c r="Y25" s="67">
        <f t="shared" si="6"/>
        <v>9.7000000000000003E-2</v>
      </c>
      <c r="Z25" s="67">
        <f t="shared" si="17"/>
        <v>21.282</v>
      </c>
      <c r="AA25" s="67">
        <f t="shared" si="7"/>
        <v>21.184999999999999</v>
      </c>
      <c r="AB25" s="64" t="str">
        <f>VLOOKUP(A25,Enforcements!$C$7:$K$19,8,0)</f>
        <v>Speed (6)</v>
      </c>
      <c r="AC25" s="60" t="str">
        <f>VLOOKUP(A25,Enforcements!$C$7:$E$19,3,0)</f>
        <v>PERMANENT SPEED RESTRICTION</v>
      </c>
      <c r="AD25" s="61" t="str">
        <f t="shared" si="8"/>
        <v>0109-18</v>
      </c>
      <c r="AE25" s="91" t="str">
        <f t="shared" si="9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25" s="88" t="str">
        <f t="shared" si="10"/>
        <v>"C:\Program Files (x86)\AstroGrep\AstroGrep.exe" /spath="%USERPROFILE%\AppData\Local\Temp\OnboardLogs" /stypes="app*4027*20161218*" /stext=" 13:.+((SYSTEM_STATE.+slice.+state.+changed )|(ment ac)|(multiple cpu faults)|(system.+state.+changed )|(\[timeout)|(PRM\|1\|D)|(kpr)|(kdp)|(\|lc)|(penalty))" /e /r /s</v>
      </c>
      <c r="AG25" s="1" t="str">
        <f t="shared" si="11"/>
        <v>EC</v>
      </c>
      <c r="AH25" s="92" t="str">
        <f t="shared" si="14"/>
        <v>"%USERPROFILE%\Documents\GitHub\eaglep3\Utilities\RefineRTDCRunTimes.py" --tripid 109-18 --locoid 4027 --swversion DE.1.0.8.0 --startMP 204:970 --initTime 2016-12-18T04:43:44 --startdatetime 2016-12-18T04:50:34 --delay 6 --endMP 204:212820 --enddatetime 2016-12-18T06:12:29 --enforcementcount 0 &gt;&gt;C:\Users\stu\Documents\GitHub\eaglep3-reporting\EC\2016-12-18-refined-times.txt</v>
      </c>
      <c r="AI25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03:27","project_id":79,"tracker_id":40,"status_id":1,"priority_id":2,"assigned_to_id":23,"start_date":"2016-12-18","description":"","custom_fields":[{"id":1,"name":"Subdivision","value":"EC"},{"id":4,"name":"Milepost","value":"21.282"},{"id":17,"name":"Train ID","value":"109-18"},{"id":16,"name":"Locomotive ID","value":"4027"},{"id":130,"name":"Impact","value":""},{"id":150,"name":"Time of Event (Mountain Time)","value":"06:12:29"},{"id":151,"name":"Denver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509</v>
      </c>
      <c r="B26" s="7">
        <v>4027</v>
      </c>
      <c r="C26" s="22" t="s">
        <v>205</v>
      </c>
      <c r="D26" s="22" t="s">
        <v>744</v>
      </c>
      <c r="E26" s="13">
        <v>42722.200671296298</v>
      </c>
      <c r="F26" s="13">
        <v>42722.201782407406</v>
      </c>
      <c r="G26" s="7">
        <v>1</v>
      </c>
      <c r="H26" s="22" t="s">
        <v>745</v>
      </c>
      <c r="I26" s="13">
        <v>42722.258634259262</v>
      </c>
      <c r="J26" s="7">
        <v>0</v>
      </c>
      <c r="K26" s="109" t="str">
        <f t="shared" si="0"/>
        <v>4027/4028</v>
      </c>
      <c r="L26" s="22" t="str">
        <f>VLOOKUP(A26,'Trips&amp;Operators'!$C$1:$G$99999,5,FALSE)</f>
        <v>ROBINSON KADDIBA</v>
      </c>
      <c r="M26" s="6">
        <f t="shared" si="1"/>
        <v>5.6851851855753921E-2</v>
      </c>
      <c r="N26" s="7"/>
      <c r="O26" s="7"/>
      <c r="P26" s="7"/>
      <c r="Q26" s="23"/>
      <c r="R26" s="23"/>
      <c r="S26" s="35"/>
      <c r="T26" s="50" t="str">
        <f t="shared" si="2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03:48:58-700',mode:absolute,to:'2016-12-18 07:12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6" s="52" t="str">
        <f t="shared" si="4"/>
        <v>Y</v>
      </c>
      <c r="X26" s="177">
        <f t="shared" si="5"/>
        <v>0</v>
      </c>
      <c r="Y26" s="67">
        <f t="shared" si="6"/>
        <v>9.7000000000000003E-2</v>
      </c>
      <c r="Z26" s="67">
        <f t="shared" si="17"/>
        <v>21.282</v>
      </c>
      <c r="AA26" s="67">
        <f t="shared" si="7"/>
        <v>21.184999999999999</v>
      </c>
      <c r="AB26" s="64" t="str">
        <f>VLOOKUP(A26,Enforcements!$C$7:$K$19,8,0)</f>
        <v>Speed (6)</v>
      </c>
      <c r="AC26" s="60" t="str">
        <f>VLOOKUP(A26,Enforcements!$C$7:$E$19,3,0)</f>
        <v>PERMANENT SPEED RESTRICTION</v>
      </c>
      <c r="AD26" s="61" t="str">
        <f t="shared" si="8"/>
        <v>0109-18</v>
      </c>
      <c r="AE26" s="91" t="str">
        <f t="shared" si="9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26" s="88" t="str">
        <f t="shared" si="10"/>
        <v>"C:\Program Files (x86)\AstroGrep\AstroGrep.exe" /spath="%USERPROFILE%\AppData\Local\Temp\OnboardLogs" /stypes="app*4027*20161218*" /stext=" 13:.+((SYSTEM_STATE.+slice.+state.+changed )|(ment ac)|(multiple cpu faults)|(system.+state.+changed )|(\[timeout)|(PRM\|1\|D)|(kpr)|(kdp)|(\|lc)|(penalty))" /e /r /s</v>
      </c>
      <c r="AG26" s="1" t="str">
        <f t="shared" si="11"/>
        <v>EC</v>
      </c>
      <c r="AH26" s="92" t="str">
        <f t="shared" si="14"/>
        <v>"%USERPROFILE%\Documents\GitHub\eaglep3\Utilities\RefineRTDCRunTimes.py" --tripid 109-18 --locoid 4027 --swversion DE.1.0.8.0 --startMP 204:970 --initTime 2016-12-18T04:48:58 --startdatetime 2016-12-18T04:50:34 --delay 1 --endMP 204:212820 --enddatetime 2016-12-18T06:12:26 --enforcementcount 0 &gt;&gt;C:\Users\stu\Documents\GitHub\eaglep3-reporting\EC\2016-12-18-refined-times.txt</v>
      </c>
      <c r="AI26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{"issue":{"subject":"","project_id":79,"tracker_id":40,"status_id":1,"priority_id":2,"assigned_to_id":23,"start_date":"2016-12-18","description":"","custom_fields":[{"id":1,"name":"Subdivision","value":"EC"},{"id":4,"name":"Milepost","value":"21.282"},{"id":17,"name":"Train ID","value":"109-18"},{"id":16,"name":"Locomotive ID","value":"4027"},{"id":130,"name":"Impact","value":""},{"id":150,"name":"Time of Event (Mountain Time)","value":"06:12:26"},{"id":151,"name":"Denver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564</v>
      </c>
      <c r="B27" s="7">
        <v>4009</v>
      </c>
      <c r="C27" s="22" t="s">
        <v>205</v>
      </c>
      <c r="D27" s="22" t="s">
        <v>746</v>
      </c>
      <c r="E27" s="13">
        <v>42722.206620370373</v>
      </c>
      <c r="F27" s="13">
        <v>42722.208506944444</v>
      </c>
      <c r="G27" s="7">
        <v>2</v>
      </c>
      <c r="H27" s="22" t="s">
        <v>747</v>
      </c>
      <c r="I27" s="13">
        <v>42722.266412037039</v>
      </c>
      <c r="J27" s="7">
        <v>0</v>
      </c>
      <c r="K27" s="109" t="str">
        <f t="shared" si="0"/>
        <v>4009/4010</v>
      </c>
      <c r="L27" s="22" t="str">
        <f>VLOOKUP(A27,'Trips&amp;Operators'!$C$1:$G$99999,5,FALSE)</f>
        <v>GEBRETEKLE DAGNEW</v>
      </c>
      <c r="M27" s="6">
        <f t="shared" si="1"/>
        <v>5.7905092595319729E-2</v>
      </c>
      <c r="N27" s="7"/>
      <c r="O27" s="7"/>
      <c r="P27" s="7">
        <f>24*60*SUM($M27:$M27)</f>
        <v>83.38333333726041</v>
      </c>
      <c r="Q27" s="23"/>
      <c r="R27" s="23" t="s">
        <v>952</v>
      </c>
      <c r="S27" s="35">
        <f>SUM(U27:U27)/IF(AG27="EC",12,1)</f>
        <v>1</v>
      </c>
      <c r="T27" s="50" t="str">
        <f t="shared" si="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03:57:32-700',mode:absolute,to:'2016-12-18 07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2" t="str">
        <f t="shared" si="4"/>
        <v>Y</v>
      </c>
      <c r="X27" s="177">
        <f t="shared" si="5"/>
        <v>2</v>
      </c>
      <c r="Y27" s="67">
        <f t="shared" si="6"/>
        <v>7.4399999999999994E-2</v>
      </c>
      <c r="Z27" s="67">
        <f t="shared" si="17"/>
        <v>21.555299999999999</v>
      </c>
      <c r="AA27" s="67">
        <f t="shared" si="7"/>
        <v>21.480899999999998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8"/>
        <v>0111-18</v>
      </c>
      <c r="AE27" s="91" t="str">
        <f t="shared" si="9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27" s="88" t="str">
        <f t="shared" si="10"/>
        <v>"C:\Program Files (x86)\AstroGrep\AstroGrep.exe" /spath="%USERPROFILE%\AppData\Local\Temp\OnboardLogs" /stypes="app*4009*20161218*" /stext=" 13:.+((SYSTEM_STATE.+slice.+state.+changed )|(ment ac)|(multiple cpu faults)|(system.+state.+changed )|(\[timeout)|(PRM\|1\|D)|(kpr)|(kdp)|(\|lc)|(penalty))" /e /r /s</v>
      </c>
      <c r="AG27" s="1" t="str">
        <f t="shared" si="11"/>
        <v>EC</v>
      </c>
      <c r="AH27" s="92" t="str">
        <f t="shared" si="14"/>
        <v>"%USERPROFILE%\Documents\GitHub\eaglep3\Utilities\RefineRTDCRunTimes.py" --tripid 111-18 --locoid 4009 --swversion DE.1.0.8.0 --startMP 204:744 --initTime 2016-12-18T04:57:32 --startdatetime 2016-12-18T05:00:15 --delay 2 --endMP 204:215553 --enddatetime 2016-12-18T06:23:38 --enforcementcount 0 &gt;&gt;C:\Users\stu\Documents\GitHub\eaglep3-reporting\EC\2016-12-18-refined-times.txt</v>
      </c>
      <c r="AI27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03:27","project_id":79,"tracker_id":40,"status_id":1,"priority_id":2,"assigned_to_id":23,"start_date":"2016-12-18","description":"","custom_fields":[{"id":1,"name":"Subdivision","value":"EC"},{"id":4,"name":"Milepost","value":"21.5553"},{"id":17,"name":"Train ID","value":"111-18"},{"id":16,"name":"Locomotive ID","value":"4009"},{"id":130,"name":"Impact","value":""},{"id":150,"name":"Time of Event (Mountain Time)","value":"06:23:38"},{"id":151,"name":"Denver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513</v>
      </c>
      <c r="B28" s="7">
        <v>4029</v>
      </c>
      <c r="C28" s="22" t="s">
        <v>205</v>
      </c>
      <c r="D28" s="22" t="s">
        <v>232</v>
      </c>
      <c r="E28" s="13">
        <v>42722.21534722222</v>
      </c>
      <c r="F28" s="13">
        <v>42722.219074074077</v>
      </c>
      <c r="G28" s="7">
        <v>1</v>
      </c>
      <c r="H28" s="22" t="s">
        <v>748</v>
      </c>
      <c r="I28" s="13">
        <v>42722.268206018518</v>
      </c>
      <c r="J28" s="7">
        <v>0</v>
      </c>
      <c r="K28" s="109" t="str">
        <f t="shared" si="0"/>
        <v>4029/4030</v>
      </c>
      <c r="L28" s="22" t="str">
        <f>VLOOKUP(A28,'Trips&amp;Operators'!$C$1:$G$99999,5,FALSE)</f>
        <v>OUN ZACK</v>
      </c>
      <c r="M28" s="6">
        <f t="shared" si="1"/>
        <v>4.913194444088731E-2</v>
      </c>
      <c r="N28" s="7"/>
      <c r="O28" s="7"/>
      <c r="P28" s="7">
        <f>24*60*SUM($M28:$M28)</f>
        <v>70.749999994877726</v>
      </c>
      <c r="Q28" s="23"/>
      <c r="R28" s="23" t="s">
        <v>952</v>
      </c>
      <c r="S28" s="35">
        <f>SUM(U28:U28)/IF(AG28="EC",12,1)</f>
        <v>1</v>
      </c>
      <c r="T28" s="50" t="str">
        <f t="shared" si="2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04:10:06-700',mode:absolute,to:'2016-12-18 07:26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8" s="52" t="str">
        <f t="shared" si="4"/>
        <v>Y</v>
      </c>
      <c r="X28" s="177">
        <f t="shared" si="5"/>
        <v>2</v>
      </c>
      <c r="Y28" s="67">
        <f t="shared" si="6"/>
        <v>4.7100000000000003E-2</v>
      </c>
      <c r="Z28" s="67">
        <f t="shared" si="17"/>
        <v>21.382000000000001</v>
      </c>
      <c r="AA28" s="67">
        <f t="shared" si="7"/>
        <v>21.334900000000001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8"/>
        <v>0113-18</v>
      </c>
      <c r="AE28" s="91" t="str">
        <f t="shared" si="9"/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AF28" s="88" t="str">
        <f t="shared" si="10"/>
        <v>"C:\Program Files (x86)\AstroGrep\AstroGrep.exe" /spath="%USERPROFILE%\AppData\Local\Temp\OnboardLogs" /stypes="app*4029*20161218*" /stext=" 13:.+((SYSTEM_STATE.+slice.+state.+changed )|(ment ac)|(multiple cpu faults)|(system.+state.+changed )|(\[timeout)|(PRM\|1\|D)|(kpr)|(kdp)|(\|lc)|(penalty))" /e /r /s</v>
      </c>
      <c r="AG28" s="1" t="str">
        <f t="shared" si="11"/>
        <v>EC</v>
      </c>
      <c r="AH28" s="92" t="str">
        <f t="shared" si="14"/>
        <v>"%USERPROFILE%\Documents\GitHub\eaglep3\Utilities\RefineRTDCRunTimes.py" --tripid 113-18 --locoid 4029 --swversion DE.1.0.8.0 --startMP 204:471 --initTime 2016-12-18T05:10:06 --startdatetime 2016-12-18T05:15:28 --delay 1 --endMP 204:213820 --enddatetime 2016-12-18T06:26:13 --enforcementcount 0 &gt;&gt;C:\Users\stu\Documents\GitHub\eaglep3-reporting\EC\2016-12-18-refined-times.txt</v>
      </c>
      <c r="AI28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03:27","project_id":79,"tracker_id":40,"status_id":1,"priority_id":2,"assigned_to_id":23,"start_date":"2016-12-18","description":"","custom_fields":[{"id":1,"name":"Subdivision","value":"EC"},{"id":4,"name":"Milepost","value":"21.382"},{"id":17,"name":"Train ID","value":"113-18"},{"id":16,"name":"Locomotive ID","value":"4029"},{"id":130,"name":"Impact","value":""},{"id":150,"name":"Time of Event (Mountain Time)","value":"06:26:13"},{"id":151,"name":"Denver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514</v>
      </c>
      <c r="B29" s="7">
        <v>4051</v>
      </c>
      <c r="C29" s="22" t="s">
        <v>205</v>
      </c>
      <c r="D29" s="22" t="s">
        <v>749</v>
      </c>
      <c r="E29" s="13">
        <v>42722.231666666667</v>
      </c>
      <c r="F29" s="13">
        <v>42722.234282407408</v>
      </c>
      <c r="G29" s="7">
        <v>2</v>
      </c>
      <c r="H29" s="22" t="s">
        <v>750</v>
      </c>
      <c r="I29" s="13">
        <v>42722.271307870367</v>
      </c>
      <c r="J29" s="7">
        <v>0</v>
      </c>
      <c r="K29" s="109" t="str">
        <f t="shared" si="0"/>
        <v>4051/4052</v>
      </c>
      <c r="L29" s="22" t="str">
        <f>VLOOKUP(A29,'Trips&amp;Operators'!$C$1:$G$99999,5,FALSE)</f>
        <v>SHOOK JOHN</v>
      </c>
      <c r="M29" s="6">
        <f t="shared" si="1"/>
        <v>3.7025462959718425E-2</v>
      </c>
      <c r="N29" s="7"/>
      <c r="O29" s="7"/>
      <c r="P29" s="7">
        <f>24*60*SUM($M29:$M29)</f>
        <v>53.316666661994532</v>
      </c>
      <c r="Q29" s="23"/>
      <c r="R29" s="23" t="s">
        <v>952</v>
      </c>
      <c r="S29" s="35">
        <f>SUM(U29:U29)/IF(AG29="EC",12,1)</f>
        <v>1</v>
      </c>
      <c r="T29" s="50" t="str">
        <f t="shared" si="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04:33:36-700',mode:absolute,to:'2016-12-18 07:30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9" s="52" t="str">
        <f t="shared" si="4"/>
        <v>Y</v>
      </c>
      <c r="X29" s="177">
        <f t="shared" si="5"/>
        <v>2</v>
      </c>
      <c r="Y29" s="67">
        <f t="shared" si="6"/>
        <v>7.2099999999999997E-2</v>
      </c>
      <c r="Z29" s="67">
        <f t="shared" si="17"/>
        <v>21.280899999999999</v>
      </c>
      <c r="AA29" s="67">
        <f t="shared" si="7"/>
        <v>21.2088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8"/>
        <v>0115-18</v>
      </c>
      <c r="AE29" s="91" t="str">
        <f t="shared" si="9"/>
        <v>aws s3 cp s3://rtdc.mdm.uploadarchive.raw/RTDC4051/ "%USERPROFILE%\AppData\Local\Temp\OnboardLogs"\RTDC4051\2016-12-18 --exclude "*" --recursive --include "*20161218*" &amp; "%USERPROFILE%\Documents\GitHub\mrs-test-scripts\Headless Mode &amp; Sideloading\WalkAndUnGZ.bat" "%USERPROFILE%\AppData\Local\Temp\OnboardLogs"\RTDC4051\2016-12-18 &amp; aws s3 cp s3://rtdc.mdm.uploadarchive.raw/RTDC4051/ "%USERPROFILE%\AppData\Local\Temp\OnboardLogs"\RTDC4051\2016-12-19 --exclude "*" --recursive --include "*20161219*" &amp; "%USERPROFILE%\Documents\GitHub\mrs-test-scripts\Headless Mode &amp; Sideloading\WalkAndUnGZ.bat" "%USERPROFILE%\AppData\Local\Temp\OnboardLogs"\RTDC4051\2016-12-19</v>
      </c>
      <c r="AF29" s="88" t="str">
        <f t="shared" si="10"/>
        <v>"C:\Program Files (x86)\AstroGrep\AstroGrep.exe" /spath="%USERPROFILE%\AppData\Local\Temp\OnboardLogs" /stypes="app*4051*20161218*" /stext=" 13:.+((SYSTEM_STATE.+slice.+state.+changed )|(ment ac)|(multiple cpu faults)|(system.+state.+changed )|(\[timeout)|(PRM\|1\|D)|(kpr)|(kdp)|(\|lc)|(penalty))" /e /r /s</v>
      </c>
      <c r="AG29" s="1" t="str">
        <f t="shared" si="11"/>
        <v>EC</v>
      </c>
      <c r="AH29" s="92" t="str">
        <f t="shared" si="14"/>
        <v>"%USERPROFILE%\Documents\GitHub\eaglep3\Utilities\RefineRTDCRunTimes.py" --tripid 115-18 --locoid 4051 --swversion DE.1.0.8.0 --startMP 204:721 --initTime 2016-12-18T05:33:36 --startdatetime 2016-12-18T05:37:22 --delay 2 --endMP 204:212809 --enddatetime 2016-12-18T06:30:41 --enforcementcount 0 &gt;&gt;C:\Users\stu\Documents\GitHub\eaglep3-reporting\EC\2016-12-18-refined-times.txt</v>
      </c>
      <c r="AI29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03:27","project_id":79,"tracker_id":40,"status_id":1,"priority_id":2,"assigned_to_id":23,"start_date":"2016-12-18","description":"","custom_fields":[{"id":1,"name":"Subdivision","value":"EC"},{"id":4,"name":"Milepost","value":"21.2809"},{"id":17,"name":"Train ID","value":"115-18"},{"id":16,"name":"Locomotive ID","value":"4051"},{"id":130,"name":"Impact","value":""},{"id":150,"name":"Time of Event (Mountain Time)","value":"06:30:41"},{"id":151,"name":"Denver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511</v>
      </c>
      <c r="B30" s="7">
        <v>4044</v>
      </c>
      <c r="C30" s="22" t="s">
        <v>205</v>
      </c>
      <c r="D30" s="22" t="s">
        <v>751</v>
      </c>
      <c r="E30" s="13">
        <v>42722.294722222221</v>
      </c>
      <c r="F30" s="13">
        <v>42722.244444444441</v>
      </c>
      <c r="G30" s="7">
        <v>1</v>
      </c>
      <c r="H30" s="22" t="s">
        <v>752</v>
      </c>
      <c r="I30" s="13">
        <v>42722.310104166667</v>
      </c>
      <c r="J30" s="7">
        <v>0</v>
      </c>
      <c r="K30" s="109" t="str">
        <f t="shared" si="0"/>
        <v>4043/4044</v>
      </c>
      <c r="L30" s="22" t="str">
        <f>VLOOKUP(A30,'Trips&amp;Operators'!$C$1:$G$99999,5,FALSE)</f>
        <v>MAELZER KURT</v>
      </c>
      <c r="M30" s="6">
        <f t="shared" si="1"/>
        <v>6.5659722225973383E-2</v>
      </c>
      <c r="N30" s="7"/>
      <c r="O30" s="7"/>
      <c r="P30" s="7">
        <f>24*60*SUM($M30:$M30)</f>
        <v>94.550000005401671</v>
      </c>
      <c r="Q30" s="23"/>
      <c r="R30" s="23" t="s">
        <v>952</v>
      </c>
      <c r="S30" s="35">
        <f>SUM(U30:U31)/IF(AG30="EC",12,1)</f>
        <v>1</v>
      </c>
      <c r="T30" s="50" t="str">
        <f t="shared" si="2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06:04:24-700',mode:absolute,to:'2016-12-18 08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0" s="52" t="str">
        <f t="shared" si="4"/>
        <v>Y</v>
      </c>
      <c r="X30" s="177">
        <f t="shared" si="5"/>
        <v>2</v>
      </c>
      <c r="Y30" s="67">
        <f t="shared" si="6"/>
        <v>15.441800000000001</v>
      </c>
      <c r="Z30" s="67">
        <f t="shared" si="17"/>
        <v>21.555199999999999</v>
      </c>
      <c r="AA30" s="67">
        <f t="shared" si="7"/>
        <v>6.1133999999999986</v>
      </c>
      <c r="AB30" s="64" t="str">
        <f>VLOOKUP(A30,Enforcements!$C$7:$K$19,8,0)</f>
        <v>Signal based authority (5)</v>
      </c>
      <c r="AC30" s="60" t="str">
        <f>VLOOKUP(A30,Enforcements!$C$7:$E$19,3,0)</f>
        <v>SIGNAL</v>
      </c>
      <c r="AD30" s="61" t="str">
        <f t="shared" si="8"/>
        <v>0117-18</v>
      </c>
      <c r="AE30" s="91" t="str">
        <f t="shared" si="9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30" s="88" t="str">
        <f t="shared" si="10"/>
        <v>"C:\Program Files (x86)\AstroGrep\AstroGrep.exe" /spath="%USERPROFILE%\AppData\Local\Temp\OnboardLogs" /stypes="app*4044*20161218*" /stext=" 14:.+((SYSTEM_STATE.+slice.+state.+changed )|(ment ac)|(multiple cpu faults)|(system.+state.+changed )|(\[timeout)|(PRM\|1\|D)|(kpr)|(kdp)|(\|lc)|(penalty))" /e /r /s</v>
      </c>
      <c r="AG30" s="1" t="str">
        <f t="shared" si="11"/>
        <v>EC</v>
      </c>
      <c r="AH30" s="92" t="str">
        <f t="shared" si="14"/>
        <v>"%USERPROFILE%\Documents\GitHub\eaglep3\Utilities\RefineRTDCRunTimes.py" --tripid 117-18 --locoid 4044 --swversion DE.1.0.8.0 --startMP 204:154418 --initTime 2016-12-18T07:04:24 --startdatetime 2016-12-18T05:52:00 --delay 1 --endMP 204:215552 --enddatetime 2016-12-18T07:26:33 --enforcementcount 0 &gt;&gt;C:\Users\stu\Documents\GitHub\eaglep3-reporting\EC\2016-12-18-refined-times.txt</v>
      </c>
      <c r="AI30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03:27","project_id":79,"tracker_id":40,"status_id":1,"priority_id":2,"assigned_to_id":23,"start_date":"2016-12-18","description":"","custom_fields":[{"id":1,"name":"Subdivision","value":"EC"},{"id":4,"name":"Milepost","value":"21.5552"},{"id":17,"name":"Train ID","value":"117-18"},{"id":16,"name":"Locomotive ID","value":"4044"},{"id":130,"name":"Impact","value":""},{"id":150,"name":"Time of Event (Mountain Time)","value":"07:26:33"},{"id":151,"name":"Denver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511</v>
      </c>
      <c r="B31" s="7">
        <v>4044</v>
      </c>
      <c r="C31" s="22" t="s">
        <v>205</v>
      </c>
      <c r="D31" s="22" t="s">
        <v>753</v>
      </c>
      <c r="E31" s="13">
        <v>42722.254999999997</v>
      </c>
      <c r="F31" s="13">
        <v>42722.305335648147</v>
      </c>
      <c r="G31" s="7">
        <v>1</v>
      </c>
      <c r="H31" s="22" t="s">
        <v>754</v>
      </c>
      <c r="I31" s="13">
        <v>42722.310081018521</v>
      </c>
      <c r="J31" s="7">
        <v>0</v>
      </c>
      <c r="K31" s="109" t="str">
        <f t="shared" si="0"/>
        <v>4043/4044</v>
      </c>
      <c r="L31" s="22" t="str">
        <f>VLOOKUP(A31,'Trips&amp;Operators'!$C$1:$G$99999,5,FALSE)</f>
        <v>MAELZER KURT</v>
      </c>
      <c r="M31" s="6">
        <f t="shared" si="1"/>
        <v>4.7453703737119213E-3</v>
      </c>
      <c r="N31" s="7"/>
      <c r="O31" s="7"/>
      <c r="P31" s="7"/>
      <c r="Q31" s="23"/>
      <c r="R31" s="23"/>
      <c r="S31" s="35"/>
      <c r="T31" s="50" t="str">
        <f t="shared" si="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05:07:12-700',mode:absolute,to:'2016-12-18 08:26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1" s="52" t="str">
        <f t="shared" si="4"/>
        <v>Y</v>
      </c>
      <c r="X31" s="177">
        <f t="shared" si="5"/>
        <v>0</v>
      </c>
      <c r="Y31" s="67">
        <f t="shared" si="6"/>
        <v>2.1128999999999998</v>
      </c>
      <c r="Z31" s="67">
        <f t="shared" si="17"/>
        <v>15.4429</v>
      </c>
      <c r="AA31" s="67">
        <f t="shared" si="7"/>
        <v>13.33</v>
      </c>
      <c r="AB31" s="64" t="str">
        <f>VLOOKUP(A31,Enforcements!$C$7:$K$19,8,0)</f>
        <v>Signal based authority (5)</v>
      </c>
      <c r="AC31" s="60" t="str">
        <f>VLOOKUP(A31,Enforcements!$C$7:$E$19,3,0)</f>
        <v>SIGNAL</v>
      </c>
      <c r="AD31" s="61" t="str">
        <f t="shared" si="8"/>
        <v>0117-18</v>
      </c>
      <c r="AE31" s="91" t="str">
        <f t="shared" si="9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31" s="88" t="str">
        <f t="shared" si="10"/>
        <v>"C:\Program Files (x86)\AstroGrep\AstroGrep.exe" /spath="%USERPROFILE%\AppData\Local\Temp\OnboardLogs" /stypes="app*4044*20161218*" /stext=" 14:.+((SYSTEM_STATE.+slice.+state.+changed )|(ment ac)|(multiple cpu faults)|(system.+state.+changed )|(\[timeout)|(PRM\|1\|D)|(kpr)|(kdp)|(\|lc)|(penalty))" /e /r /s</v>
      </c>
      <c r="AG31" s="1" t="str">
        <f t="shared" si="11"/>
        <v>EC</v>
      </c>
      <c r="AH31" s="92" t="str">
        <f t="shared" si="14"/>
        <v>"%USERPROFILE%\Documents\GitHub\eaglep3\Utilities\RefineRTDCRunTimes.py" --tripid 117-18 --locoid 4044 --swversion DE.1.0.8.0 --startMP 204:21129 --initTime 2016-12-18T06:07:12 --startdatetime 2016-12-18T07:19:41 --delay 1 --endMP 204:154429 --enddatetime 2016-12-18T07:26:31 --enforcementcount 0 &gt;&gt;C:\Users\stu\Documents\GitHub\eaglep3-reporting\EC\2016-12-18-refined-times.txt</v>
      </c>
      <c r="AI31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{"issue":{"subject":"","project_id":79,"tracker_id":40,"status_id":1,"priority_id":2,"assigned_to_id":23,"start_date":"2016-12-18","description":"","custom_fields":[{"id":1,"name":"Subdivision","value":"EC"},{"id":4,"name":"Milepost","value":"15.4429"},{"id":17,"name":"Train ID","value":"117-18"},{"id":16,"name":"Locomotive ID","value":"4044"},{"id":130,"name":"Impact","value":""},{"id":150,"name":"Time of Event (Mountain Time)","value":"07:26:31"},{"id":151,"name":"Denver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511</v>
      </c>
      <c r="B32" s="7">
        <v>4044</v>
      </c>
      <c r="C32" s="22" t="s">
        <v>205</v>
      </c>
      <c r="D32" s="22" t="s">
        <v>755</v>
      </c>
      <c r="E32" s="13">
        <v>42722.234525462962</v>
      </c>
      <c r="F32" s="13">
        <v>42722.25677083333</v>
      </c>
      <c r="G32" s="7">
        <v>1</v>
      </c>
      <c r="H32" s="22" t="s">
        <v>756</v>
      </c>
      <c r="I32" s="13">
        <v>42722.274467592593</v>
      </c>
      <c r="J32" s="7">
        <v>0</v>
      </c>
      <c r="K32" s="109" t="str">
        <f t="shared" si="0"/>
        <v>4043/4044</v>
      </c>
      <c r="L32" s="22" t="str">
        <f>VLOOKUP(A32,'Trips&amp;Operators'!$C$1:$G$99999,5,FALSE)</f>
        <v>MAELZER KURT</v>
      </c>
      <c r="M32" s="6">
        <f t="shared" si="1"/>
        <v>1.7696759263344575E-2</v>
      </c>
      <c r="N32" s="7"/>
      <c r="O32" s="7"/>
      <c r="P32" s="7"/>
      <c r="Q32" s="23"/>
      <c r="R32" s="23"/>
      <c r="S32" s="35"/>
      <c r="T32" s="50" t="str">
        <f t="shared" si="2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04:37:43-700',mode:absolute,to:'2016-12-18 07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2" s="52" t="str">
        <f t="shared" si="4"/>
        <v>Y</v>
      </c>
      <c r="X32" s="177">
        <f t="shared" si="5"/>
        <v>0</v>
      </c>
      <c r="Y32" s="67">
        <f t="shared" si="6"/>
        <v>3.9800000000000002E-2</v>
      </c>
      <c r="Z32" s="67">
        <f t="shared" si="17"/>
        <v>2.1141000000000001</v>
      </c>
      <c r="AA32" s="67">
        <f t="shared" si="7"/>
        <v>2.0743</v>
      </c>
      <c r="AB32" s="64" t="str">
        <f>VLOOKUP(A32,Enforcements!$C$7:$K$19,8,0)</f>
        <v>Signal based authority (5)</v>
      </c>
      <c r="AC32" s="60" t="str">
        <f>VLOOKUP(A32,Enforcements!$C$7:$E$19,3,0)</f>
        <v>SIGNAL</v>
      </c>
      <c r="AD32" s="61" t="str">
        <f t="shared" si="8"/>
        <v>0117-18</v>
      </c>
      <c r="AE32" s="91" t="str">
        <f t="shared" si="9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32" s="88" t="str">
        <f t="shared" si="10"/>
        <v>"C:\Program Files (x86)\AstroGrep\AstroGrep.exe" /spath="%USERPROFILE%\AppData\Local\Temp\OnboardLogs" /stypes="app*4044*20161218*" /stext=" 13:.+((SYSTEM_STATE.+slice.+state.+changed )|(ment ac)|(multiple cpu faults)|(system.+state.+changed )|(\[timeout)|(PRM\|1\|D)|(kpr)|(kdp)|(\|lc)|(penalty))" /e /r /s</v>
      </c>
      <c r="AG32" s="1" t="str">
        <f t="shared" si="11"/>
        <v>EC</v>
      </c>
      <c r="AH32" s="92" t="str">
        <f t="shared" si="14"/>
        <v>"%USERPROFILE%\Documents\GitHub\eaglep3\Utilities\RefineRTDCRunTimes.py" --tripid 117-18 --locoid 4044 --swversion DE.1.0.8.0 --startMP 204:398 --initTime 2016-12-18T05:37:43 --startdatetime 2016-12-18T06:09:45 --delay 1 --endMP 204:21141 --enddatetime 2016-12-18T06:35:14 --enforcementcount 0 &gt;&gt;C:\Users\stu\Documents\GitHub\eaglep3-reporting\EC\2016-12-18-refined-times.txt</v>
      </c>
      <c r="AI32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{"issue":{"subject":"","project_id":79,"tracker_id":40,"status_id":1,"priority_id":2,"assigned_to_id":23,"start_date":"2016-12-18","description":"","custom_fields":[{"id":1,"name":"Subdivision","value":"EC"},{"id":4,"name":"Milepost","value":"2.1141"},{"id":17,"name":"Train ID","value":"117-18"},{"id":16,"name":"Locomotive ID","value":"4044"},{"id":130,"name":"Impact","value":""},{"id":150,"name":"Time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573</v>
      </c>
      <c r="B33" s="7">
        <v>4030</v>
      </c>
      <c r="C33" s="22" t="s">
        <v>205</v>
      </c>
      <c r="D33" s="22" t="s">
        <v>757</v>
      </c>
      <c r="E33" s="13">
        <v>42722.308379629627</v>
      </c>
      <c r="F33" s="13">
        <v>42722.31009259259</v>
      </c>
      <c r="G33" s="7">
        <v>0</v>
      </c>
      <c r="H33" s="22" t="s">
        <v>191</v>
      </c>
      <c r="I33" s="13">
        <v>42722.329108796293</v>
      </c>
      <c r="J33" s="7">
        <v>0</v>
      </c>
      <c r="K33" s="109" t="str">
        <f t="shared" si="0"/>
        <v>4029/4030</v>
      </c>
      <c r="L33" s="22" t="str">
        <f>VLOOKUP(A33,'Trips&amp;Operators'!$C$1:$G$99999,5,FALSE)</f>
        <v>OUN ZACK</v>
      </c>
      <c r="M33" s="6">
        <f t="shared" si="1"/>
        <v>1.9016203703358769E-2</v>
      </c>
      <c r="N33" s="7"/>
      <c r="O33" s="7"/>
      <c r="P33" s="7">
        <f>24*60*SUM($M33:$M33)</f>
        <v>27.383333332836628</v>
      </c>
      <c r="Q33" s="23"/>
      <c r="R33" s="23" t="s">
        <v>952</v>
      </c>
      <c r="S33" s="35">
        <f t="shared" ref="S33:S64" si="18">SUM(U33:U33)/IF(AG33="EC",12,1)</f>
        <v>1</v>
      </c>
      <c r="T33" s="50" t="str">
        <f t="shared" si="2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06:24:04-700',mode:absolute,to:'2016-12-18 08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3" s="52" t="str">
        <f t="shared" si="4"/>
        <v>Y</v>
      </c>
      <c r="X33" s="177">
        <f t="shared" si="5"/>
        <v>3</v>
      </c>
      <c r="Y33" s="67">
        <f t="shared" si="6"/>
        <v>12.7796</v>
      </c>
      <c r="Z33" s="67">
        <f t="shared" si="17"/>
        <v>1.49E-2</v>
      </c>
      <c r="AA33" s="67">
        <f t="shared" si="7"/>
        <v>12.764699999999999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8"/>
        <v>0120-18</v>
      </c>
      <c r="AE33" s="91" t="str">
        <f t="shared" si="9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33" s="88" t="str">
        <f t="shared" si="10"/>
        <v>"C:\Program Files (x86)\AstroGrep\AstroGrep.exe" /spath="%USERPROFILE%\AppData\Local\Temp\OnboardLogs" /stypes="app*4030*20161218*" /stext=" 14:.+((SYSTEM_STATE.+slice.+state.+changed )|(ment ac)|(multiple cpu faults)|(system.+state.+changed )|(\[timeout)|(PRM\|1\|D)|(kpr)|(kdp)|(\|lc)|(penalty))" /e /r /s</v>
      </c>
      <c r="AG33" s="1" t="str">
        <f t="shared" si="11"/>
        <v>EC</v>
      </c>
      <c r="AH33" s="92" t="str">
        <f t="shared" si="14"/>
        <v>"%USERPROFILE%\Documents\GitHub\eaglep3\Utilities\RefineRTDCRunTimes.py" --tripid 120-18 --locoid 4030 --swversion DE.1.0.8.0 --startMP 204:127796 --initTime 2016-12-18T07:24:04 --startdatetime 2016-12-18T07:26:32 --delay 0 --endMP 204:149 --enddatetime 2016-12-18T07:53:55 --enforcementcount 0 &gt;&gt;C:\Users\stu\Documents\GitHub\eaglep3-reporting\EC\2016-12-18-refined-times.txt</v>
      </c>
      <c r="AI33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03:27","project_id":79,"tracker_id":40,"status_id":1,"priority_id":2,"assigned_to_id":23,"start_date":"2016-12-18","description":"","custom_fields":[{"id":1,"name":"Subdivision","value":"EC"},{"id":4,"name":"Milepost","value":"0.0149"},{"id":17,"name":"Train ID","value":"120-18"},{"id":16,"name":"Locomotive ID","value":"4030"},{"id":130,"name":"Impact","value":""},{"id":150,"name":"Time of Event (Mountain Time)","value":"07:53:55"},{"id":151,"name":"Denver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573</v>
      </c>
      <c r="B34" s="7">
        <v>4030</v>
      </c>
      <c r="C34" s="22" t="s">
        <v>205</v>
      </c>
      <c r="D34" s="22" t="s">
        <v>758</v>
      </c>
      <c r="E34" s="13">
        <v>42722.280150462961</v>
      </c>
      <c r="F34" s="13">
        <v>42722.31009259259</v>
      </c>
      <c r="G34" s="7">
        <v>1</v>
      </c>
      <c r="H34" s="22" t="s">
        <v>759</v>
      </c>
      <c r="I34" s="13">
        <v>42722.329108796293</v>
      </c>
      <c r="J34" s="7">
        <v>0</v>
      </c>
      <c r="K34" s="109" t="str">
        <f t="shared" si="0"/>
        <v>4029/4030</v>
      </c>
      <c r="L34" s="22" t="str">
        <f>VLOOKUP(A34,'Trips&amp;Operators'!$C$1:$G$99999,5,FALSE)</f>
        <v>OUN ZACK</v>
      </c>
      <c r="M34" s="6">
        <f t="shared" si="1"/>
        <v>1.9016203703358769E-2</v>
      </c>
      <c r="N34" s="7"/>
      <c r="O34" s="7"/>
      <c r="P34" s="7"/>
      <c r="Q34" s="23"/>
      <c r="R34" s="23"/>
      <c r="S34" s="35">
        <f t="shared" si="18"/>
        <v>0</v>
      </c>
      <c r="T34" s="50" t="str">
        <f t="shared" si="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05:43:25-700',mode:absolute,to:'2016-12-18 08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4" s="52" t="str">
        <f t="shared" si="4"/>
        <v>Y</v>
      </c>
      <c r="X34" s="177">
        <f t="shared" si="5"/>
        <v>0</v>
      </c>
      <c r="Y34" s="67">
        <f t="shared" si="6"/>
        <v>23.281500000000001</v>
      </c>
      <c r="Z34" s="67">
        <f t="shared" si="17"/>
        <v>22.2121</v>
      </c>
      <c r="AA34" s="67">
        <f t="shared" si="7"/>
        <v>1.0694000000000017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8"/>
        <v>0120-18</v>
      </c>
      <c r="AE34" s="91" t="str">
        <f t="shared" si="9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34" s="88" t="str">
        <f t="shared" si="10"/>
        <v>"C:\Program Files (x86)\AstroGrep\AstroGrep.exe" /spath="%USERPROFILE%\AppData\Local\Temp\OnboardLogs" /stypes="app*4030*20161218*" /stext=" 14:.+((SYSTEM_STATE.+slice.+state.+changed )|(ment ac)|(multiple cpu faults)|(system.+state.+changed )|(\[timeout)|(PRM\|1\|D)|(kpr)|(kdp)|(\|lc)|(penalty))" /e /r /s</v>
      </c>
      <c r="AG34" s="1" t="str">
        <f t="shared" si="11"/>
        <v>EC</v>
      </c>
      <c r="AH34" s="92" t="str">
        <f t="shared" si="14"/>
        <v>"%USERPROFILE%\Documents\GitHub\eaglep3\Utilities\RefineRTDCRunTimes.py" --tripid 120-18 --locoid 4030 --swversion DE.1.0.8.0 --startMP 204:232815 --initTime 2016-12-18T06:43:25 --startdatetime 2016-12-18T07:26:32 --delay 1 --endMP 204:222121 --enddatetime 2016-12-18T07:53:55 --enforcementcount 0 &gt;&gt;C:\Users\stu\Documents\GitHub\eaglep3-reporting\EC\2016-12-18-refined-times.txt</v>
      </c>
      <c r="AI34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{"issue":{"subject":"","project_id":79,"tracker_id":40,"status_id":1,"priority_id":2,"assigned_to_id":23,"start_date":"2016-12-18","description":"","custom_fields":[{"id":1,"name":"Subdivision","value":"EC"},{"id":4,"name":"Milepost","value":"22.2121"},{"id":17,"name":"Train ID","value":"120-18"},{"id":16,"name":"Locomotive ID","value":"4030"},{"id":130,"name":"Impact","value":""},{"id":150,"name":"Time of Event (Mountain Time)","value":"07:53:55"},{"id":151,"name":"Denver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576</v>
      </c>
      <c r="B35" s="7">
        <v>4052</v>
      </c>
      <c r="C35" s="22" t="s">
        <v>205</v>
      </c>
      <c r="D35" s="22" t="s">
        <v>760</v>
      </c>
      <c r="E35" s="13">
        <v>42722.304085648146</v>
      </c>
      <c r="F35" s="13">
        <v>42722.312256944446</v>
      </c>
      <c r="G35" s="7">
        <v>1</v>
      </c>
      <c r="H35" s="22" t="s">
        <v>761</v>
      </c>
      <c r="I35" s="13">
        <v>42722.314444444448</v>
      </c>
      <c r="J35" s="7">
        <v>0</v>
      </c>
      <c r="K35" s="109" t="str">
        <f t="shared" si="0"/>
        <v>4051/4052</v>
      </c>
      <c r="L35" s="22" t="str">
        <f>VLOOKUP(A35,'Trips&amp;Operators'!$C$1:$G$99999,5,FALSE)</f>
        <v>SHOOK JOHN</v>
      </c>
      <c r="M35" s="6">
        <f t="shared" si="1"/>
        <v>2.1875000020372681E-3</v>
      </c>
      <c r="N35" s="7"/>
      <c r="O35" s="7"/>
      <c r="P35" s="7">
        <f>24*60*SUM($M35:$M35)</f>
        <v>3.1500000029336661</v>
      </c>
      <c r="Q35" s="23"/>
      <c r="R35" s="23" t="s">
        <v>952</v>
      </c>
      <c r="S35" s="35">
        <f t="shared" si="18"/>
        <v>0</v>
      </c>
      <c r="T35" s="50" t="str">
        <f t="shared" si="2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06:17:53-700',mode:absolute,to:'2016-12-18 08:32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5" s="52" t="str">
        <f t="shared" si="4"/>
        <v>Y</v>
      </c>
      <c r="X35" s="177">
        <f t="shared" si="5"/>
        <v>4</v>
      </c>
      <c r="Y35" s="67">
        <f t="shared" si="6"/>
        <v>23.268999999999998</v>
      </c>
      <c r="Z35" s="67">
        <f t="shared" si="17"/>
        <v>22.2546</v>
      </c>
      <c r="AA35" s="67">
        <f t="shared" si="7"/>
        <v>1.0143999999999984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8"/>
        <v>0124-18</v>
      </c>
      <c r="AE35" s="91" t="str">
        <f t="shared" si="9"/>
        <v>aws s3 cp s3://rtdc.mdm.uploadarchive.raw/RTDC4052/ "%USERPROFILE%\AppData\Local\Temp\OnboardLogs"\RTDC4052\2016-12-18 --exclude "*" --recursive --include "*20161218*" &amp; "%USERPROFILE%\Documents\GitHub\mrs-test-scripts\Headless Mode &amp; Sideloading\WalkAndUnGZ.bat" "%USERPROFILE%\AppData\Local\Temp\OnboardLogs"\RTDC4052\2016-12-18 &amp; 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</v>
      </c>
      <c r="AF35" s="88" t="str">
        <f t="shared" si="10"/>
        <v>"C:\Program Files (x86)\AstroGrep\AstroGrep.exe" /spath="%USERPROFILE%\AppData\Local\Temp\OnboardLogs" /stypes="app*4052*20161218*" /stext=" 14:.+((SYSTEM_STATE.+slice.+state.+changed )|(ment ac)|(multiple cpu faults)|(system.+state.+changed )|(\[timeout)|(PRM\|1\|D)|(kpr)|(kdp)|(\|lc)|(penalty))" /e /r /s</v>
      </c>
      <c r="AG35" s="1" t="str">
        <f t="shared" si="11"/>
        <v>EC</v>
      </c>
      <c r="AH35" s="92" t="str">
        <f t="shared" si="14"/>
        <v>"%USERPROFILE%\Documents\GitHub\eaglep3\Utilities\RefineRTDCRunTimes.py" --tripid 124-18 --locoid 4052 --swversion DE.1.0.8.0 --startMP 204:232690 --initTime 2016-12-18T07:17:53 --startdatetime 2016-12-18T07:29:39 --delay 1 --endMP 204:222546 --enddatetime 2016-12-18T07:32:48 --enforcementcount 0 &gt;&gt;C:\Users\stu\Documents\GitHub\eaglep3-reporting\EC\2016-12-18-refined-times.txt</v>
      </c>
      <c r="AI35" s="119" t="str">
        <f t="shared" si="15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03:27","project_id":79,"tracker_id":40,"status_id":1,"priority_id":2,"assigned_to_id":23,"start_date":"2016-12-18","description":"","custom_fields":[{"id":1,"name":"Subdivision","value":"EC"},{"id":4,"name":"Milepost","value":"22.2546"},{"id":17,"name":"Train ID","value":"124-18"},{"id":16,"name":"Locomotive ID","value":"4052"},{"id":130,"name":"Impact","value":""},{"id":150,"name":"Time of Event (Mountain Time)","value":"07:32:48"},{"id":151,"name":"Denver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575</v>
      </c>
      <c r="B36" s="7">
        <v>4046</v>
      </c>
      <c r="C36" s="22" t="s">
        <v>205</v>
      </c>
      <c r="D36" s="22" t="s">
        <v>494</v>
      </c>
      <c r="E36" s="13">
        <v>42722.290925925925</v>
      </c>
      <c r="F36" s="13">
        <v>42722.292766203704</v>
      </c>
      <c r="G36" s="7">
        <v>1</v>
      </c>
      <c r="H36" s="22" t="s">
        <v>762</v>
      </c>
      <c r="I36" s="13">
        <v>42722.335231481484</v>
      </c>
      <c r="J36" s="7">
        <v>0</v>
      </c>
      <c r="K36" s="109" t="str">
        <f t="shared" si="0"/>
        <v>4045/4046</v>
      </c>
      <c r="L36" s="22" t="str">
        <f>VLOOKUP(A36,'Trips&amp;Operators'!$C$1:$G$99999,5,FALSE)</f>
        <v>ISHMAEL JOSEPH</v>
      </c>
      <c r="M36" s="6">
        <f t="shared" si="1"/>
        <v>4.2465277780138422E-2</v>
      </c>
      <c r="N36" s="7">
        <f>24*60*SUM($M36:$M36)</f>
        <v>61.150000003399327</v>
      </c>
      <c r="O36" s="7"/>
      <c r="P36" s="7"/>
      <c r="Q36" s="23"/>
      <c r="R36" s="23"/>
      <c r="S36" s="35">
        <f t="shared" si="18"/>
        <v>1</v>
      </c>
      <c r="T36" s="50" t="str">
        <f t="shared" si="2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05:58:56-700',mode:absolute,to:'2016-12-18 09:02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6" s="52" t="str">
        <f t="shared" si="4"/>
        <v>Y</v>
      </c>
      <c r="X36" s="177">
        <f t="shared" ref="X36:X42" si="19">VALUE(LEFT(AD36,4))-VALUE(LEFT(AD35,4))</f>
        <v>3</v>
      </c>
      <c r="Y36" s="67">
        <f t="shared" si="6"/>
        <v>7.4099999999999999E-2</v>
      </c>
      <c r="Z36" s="67">
        <f t="shared" si="17"/>
        <v>15.8348</v>
      </c>
      <c r="AA36" s="67">
        <f t="shared" si="7"/>
        <v>15.7607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8"/>
        <v>0127-18</v>
      </c>
      <c r="AE36" s="91" t="str">
        <f t="shared" si="9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36" s="88" t="str">
        <f t="shared" si="10"/>
        <v>"C:\Program Files (x86)\AstroGrep\AstroGrep.exe" /spath="%USERPROFILE%\AppData\Local\Temp\OnboardLogs" /stypes="app*4046*20161218*" /stext=" 15:.+((SYSTEM_STATE.+slice.+state.+changed )|(ment ac)|(multiple cpu faults)|(system.+state.+changed )|(\[timeout)|(PRM\|1\|D)|(kpr)|(kdp)|(\|lc)|(penalty))" /e /r /s</v>
      </c>
      <c r="AG36" s="1" t="str">
        <f t="shared" si="11"/>
        <v>EC</v>
      </c>
      <c r="AH36" s="92" t="str">
        <f t="shared" si="14"/>
        <v>"%USERPROFILE%\Documents\GitHub\eaglep3\Utilities\RefineRTDCRunTimes.py" --tripid 127-18 --locoid 4046 --swversion DE.1.0.8.0 --startMP 204:741 --initTime 2016-12-18T06:58:56 --startdatetime 2016-12-18T07:01:35 --delay 1 --endMP 204:158348 --enddatetime 2016-12-18T08:02:44 --enforcementcount 0 &gt;&gt;C:\Users\stu\Documents\GitHub\eaglep3-reporting\EC\2016-12-18-refined-times.txt</v>
      </c>
      <c r="AI36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{"issue":{"subject":"","project_id":79,"tracker_id":40,"status_id":1,"priority_id":2,"assigned_to_id":23,"start_date":"2016-12-18","description":"","custom_fields":[{"id":1,"name":"Subdivision","value":"EC"},{"id":4,"name":"Milepost","value":"15.8348"},{"id":17,"name":"Train ID","value":"127-18"},{"id":16,"name":"Locomotive ID","value":"4046"},{"id":130,"name":"Impact","value":""},{"id":150,"name":"Time of Event (Mountain Time)","value":"08:02:44"},{"id":151,"name":"Denver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579</v>
      </c>
      <c r="B37" s="7">
        <v>4039</v>
      </c>
      <c r="C37" s="22" t="s">
        <v>205</v>
      </c>
      <c r="D37" s="22" t="s">
        <v>763</v>
      </c>
      <c r="E37" s="13">
        <v>42722.338680555556</v>
      </c>
      <c r="F37" s="13">
        <v>42722.339849537035</v>
      </c>
      <c r="G37" s="7">
        <v>1</v>
      </c>
      <c r="H37" s="22" t="s">
        <v>298</v>
      </c>
      <c r="I37" s="13">
        <v>42722.366249999999</v>
      </c>
      <c r="J37" s="7">
        <v>0</v>
      </c>
      <c r="K37" s="109" t="str">
        <f t="shared" si="0"/>
        <v>4039/4040</v>
      </c>
      <c r="L37" s="22" t="str">
        <f>VLOOKUP(A37,'Trips&amp;Operators'!$C$1:$G$99999,5,FALSE)</f>
        <v>ISHMAEL JOSEPH</v>
      </c>
      <c r="M37" s="6">
        <f t="shared" si="1"/>
        <v>2.6400462964375038E-2</v>
      </c>
      <c r="N37" s="7">
        <f>24*60*SUM($M37:$M37)</f>
        <v>38.016666668700054</v>
      </c>
      <c r="O37" s="7"/>
      <c r="P37" s="7"/>
      <c r="Q37" s="23"/>
      <c r="R37" s="23"/>
      <c r="S37" s="35">
        <f t="shared" si="18"/>
        <v>1</v>
      </c>
      <c r="T37" s="50" t="str">
        <f t="shared" si="2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07:07:42-700',mode:absolute,to:'2016-12-18 09:47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7" s="52" t="str">
        <f>IF(AA37&lt;IF(AG37="EC",15.7,5.65),"Y","N")</f>
        <v>N</v>
      </c>
      <c r="X37" s="177">
        <f t="shared" si="19"/>
        <v>1</v>
      </c>
      <c r="Y37" s="67">
        <f t="shared" si="6"/>
        <v>15.7888</v>
      </c>
      <c r="Z37" s="67">
        <f t="shared" si="17"/>
        <v>1.38E-2</v>
      </c>
      <c r="AA37" s="67">
        <f t="shared" si="7"/>
        <v>15.775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8"/>
        <v>0128-18</v>
      </c>
      <c r="AE37" s="91" t="str">
        <f t="shared" si="9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37" s="88" t="str">
        <f t="shared" si="10"/>
        <v>"C:\Program Files (x86)\AstroGrep\AstroGrep.exe" /spath="%USERPROFILE%\AppData\Local\Temp\OnboardLogs" /stypes="app*4039*20161218*" /stext=" 15:.+((SYSTEM_STATE.+slice.+state.+changed )|(ment ac)|(multiple cpu faults)|(system.+state.+changed )|(\[timeout)|(PRM\|1\|D)|(kpr)|(kdp)|(\|lc)|(penalty))" /e /r /s</v>
      </c>
      <c r="AG37" s="1" t="str">
        <f t="shared" si="11"/>
        <v>EC</v>
      </c>
      <c r="AH37" s="92" t="str">
        <f t="shared" si="14"/>
        <v>"%USERPROFILE%\Documents\GitHub\eaglep3\Utilities\RefineRTDCRunTimes.py" --tripid 128-18 --locoid 4039 --swversion DE.1.0.8.0 --startMP 204:157888 --initTime 2016-12-18T08:07:42 --startdatetime 2016-12-18T08:09:23 --delay 1 --endMP 204:138 --enddatetime 2016-12-18T08:47:24 --enforcementcount 0 &gt;&gt;C:\Users\stu\Documents\GitHub\eaglep3-reporting\EC\2016-12-18-refined-times.txt</v>
      </c>
      <c r="AI37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{"issue":{"subject":"","project_id":79,"tracker_id":40,"status_id":1,"priority_id":2,"assigned_to_id":23,"start_date":"2016-12-18","description":"","custom_fields":[{"id":1,"name":"Subdivision","value":"EC"},{"id":4,"name":"Milepost","value":"0.0138"},{"id":17,"name":"Train ID","value":"128-18"},{"id":16,"name":"Locomotive ID","value":"4039"},{"id":130,"name":"Impact","value":""},{"id":150,"name":"Time of Event (Mountain Time)","value":"08:47:24"},{"id":151,"name":"Denver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516</v>
      </c>
      <c r="B38" s="7">
        <v>4031</v>
      </c>
      <c r="C38" s="22" t="s">
        <v>205</v>
      </c>
      <c r="D38" s="22" t="s">
        <v>194</v>
      </c>
      <c r="E38" s="13">
        <v>42722.304791666669</v>
      </c>
      <c r="F38" s="13">
        <v>42722.312916666669</v>
      </c>
      <c r="G38" s="7">
        <v>2</v>
      </c>
      <c r="H38" s="22" t="s">
        <v>764</v>
      </c>
      <c r="I38" s="13">
        <v>42722.352175925924</v>
      </c>
      <c r="J38" s="7">
        <v>0</v>
      </c>
      <c r="K38" s="109" t="str">
        <f t="shared" si="0"/>
        <v>4031/4032</v>
      </c>
      <c r="L38" s="22" t="str">
        <f>VLOOKUP(A38,'Trips&amp;Operators'!$C$1:$G$99999,5,FALSE)</f>
        <v>HAITHCOX MICHAEL</v>
      </c>
      <c r="M38" s="6">
        <f t="shared" si="1"/>
        <v>3.9259259254322387E-2</v>
      </c>
      <c r="N38" s="7">
        <f>24*60*SUM($M38:$M38)</f>
        <v>56.533333326224238</v>
      </c>
      <c r="O38" s="7"/>
      <c r="P38" s="7"/>
      <c r="Q38" s="23"/>
      <c r="R38" s="23"/>
      <c r="S38" s="35">
        <f t="shared" si="18"/>
        <v>1</v>
      </c>
      <c r="T38" s="50" t="str">
        <f t="shared" si="2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06:18:54-700',mode:absolute,to:'2016-12-18 09:27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8" s="52" t="str">
        <f t="shared" ref="W38:W99" si="20">IF(AA38&lt;IF(AG38="EC",15.7,5.65),"Y","N")</f>
        <v>N</v>
      </c>
      <c r="X38" s="177">
        <f t="shared" si="19"/>
        <v>3</v>
      </c>
      <c r="Y38" s="67">
        <f t="shared" si="6"/>
        <v>4.5100000000000001E-2</v>
      </c>
      <c r="Z38" s="67">
        <f t="shared" si="17"/>
        <v>15.8118</v>
      </c>
      <c r="AA38" s="67">
        <f t="shared" si="7"/>
        <v>15.7667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8"/>
        <v>0131-18</v>
      </c>
      <c r="AE38" s="91" t="str">
        <f t="shared" si="9"/>
        <v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v>
      </c>
      <c r="AF38" s="88" t="str">
        <f t="shared" si="10"/>
        <v>"C:\Program Files (x86)\AstroGrep\AstroGrep.exe" /spath="%USERPROFILE%\AppData\Local\Temp\OnboardLogs" /stypes="app*4031*20161218*" /stext=" 15:.+((SYSTEM_STATE.+slice.+state.+changed )|(ment ac)|(multiple cpu faults)|(system.+state.+changed )|(\[timeout)|(PRM\|1\|D)|(kpr)|(kdp)|(\|lc)|(penalty))" /e /r /s</v>
      </c>
      <c r="AG38" s="1" t="str">
        <f t="shared" si="11"/>
        <v>EC</v>
      </c>
      <c r="AH38" s="92" t="str">
        <f t="shared" si="14"/>
        <v>"%USERPROFILE%\Documents\GitHub\eaglep3\Utilities\RefineRTDCRunTimes.py" --tripid 131-18 --locoid 4031 --swversion DE.1.0.8.0 --startMP 204:451 --initTime 2016-12-18T07:18:54 --startdatetime 2016-12-18T07:30:36 --delay 2 --endMP 204:158118 --enddatetime 2016-12-18T08:27:08 --enforcementcount 0 &gt;&gt;C:\Users\stu\Documents\GitHub\eaglep3-reporting\EC\2016-12-18-refined-times.txt</v>
      </c>
      <c r="AI38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{"issue":{"subject":"","project_id":79,"tracker_id":40,"status_id":1,"priority_id":2,"assigned_to_id":23,"start_date":"2016-12-18","description":"","custom_fields":[{"id":1,"name":"Subdivision","value":"EC"},{"id":4,"name":"Milepost","value":"15.8118"},{"id":17,"name":"Train ID","value":"131-18"},{"id":16,"name":"Locomotive ID","value":"4031"},{"id":130,"name":"Impact","value":""},{"id":150,"name":"Time of Event (Mountain Time)","value":"08:27:08"},{"id":151,"name":"Denver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518</v>
      </c>
      <c r="B39" s="7">
        <v>4032</v>
      </c>
      <c r="C39" s="22" t="s">
        <v>205</v>
      </c>
      <c r="D39" s="22" t="s">
        <v>765</v>
      </c>
      <c r="E39" s="13">
        <v>42722.353182870371</v>
      </c>
      <c r="F39" s="13">
        <v>42722.355115740742</v>
      </c>
      <c r="G39" s="7">
        <v>2</v>
      </c>
      <c r="H39" s="22" t="s">
        <v>766</v>
      </c>
      <c r="I39" s="13">
        <v>42722.382199074076</v>
      </c>
      <c r="J39" s="7">
        <v>0</v>
      </c>
      <c r="K39" s="109" t="str">
        <f t="shared" si="0"/>
        <v>4031/4032</v>
      </c>
      <c r="L39" s="22" t="str">
        <f>VLOOKUP(A39,'Trips&amp;Operators'!$C$1:$G$99999,5,FALSE)</f>
        <v>DAVIS WENDY</v>
      </c>
      <c r="M39" s="6">
        <f t="shared" si="1"/>
        <v>2.7083333334303461E-2</v>
      </c>
      <c r="N39" s="7">
        <f>24*60*SUM($M39:$M39)</f>
        <v>39.000000001396984</v>
      </c>
      <c r="O39" s="7"/>
      <c r="P39" s="7"/>
      <c r="Q39" s="23"/>
      <c r="R39" s="23"/>
      <c r="S39" s="35">
        <f t="shared" si="18"/>
        <v>1</v>
      </c>
      <c r="T39" s="50" t="str">
        <f t="shared" si="2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07:28:35-700',mode:absolute,to:'2016-12-18 10:10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9" s="52" t="str">
        <f t="shared" si="20"/>
        <v>Y</v>
      </c>
      <c r="X39" s="177">
        <f t="shared" si="19"/>
        <v>1</v>
      </c>
      <c r="Y39" s="67">
        <f t="shared" si="6"/>
        <v>15.7658</v>
      </c>
      <c r="Z39" s="67">
        <f t="shared" si="17"/>
        <v>8.6699999999999999E-2</v>
      </c>
      <c r="AA39" s="67">
        <f t="shared" si="7"/>
        <v>15.6791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8"/>
        <v>0132-18</v>
      </c>
      <c r="AE39" s="91" t="str">
        <f t="shared" si="9"/>
        <v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v>
      </c>
      <c r="AF39" s="88" t="str">
        <f t="shared" si="10"/>
        <v>"C:\Program Files (x86)\AstroGrep\AstroGrep.exe" /spath="%USERPROFILE%\AppData\Local\Temp\OnboardLogs" /stypes="app*4032*20161218*" /stext=" 16:.+((SYSTEM_STATE.+slice.+state.+changed )|(ment ac)|(multiple cpu faults)|(system.+state.+changed )|(\[timeout)|(PRM\|1\|D)|(kpr)|(kdp)|(\|lc)|(penalty))" /e /r /s</v>
      </c>
      <c r="AG39" s="1" t="str">
        <f t="shared" si="11"/>
        <v>EC</v>
      </c>
      <c r="AH39" s="92" t="str">
        <f t="shared" si="14"/>
        <v>"%USERPROFILE%\Documents\GitHub\eaglep3\Utilities\RefineRTDCRunTimes.py" --tripid 132-18 --locoid 4032 --swversion DE.1.0.8.0 --startMP 204:157658 --initTime 2016-12-18T08:28:35 --startdatetime 2016-12-18T08:31:22 --delay 2 --endMP 204:867 --enddatetime 2016-12-18T09:10:22 --enforcementcount 0 &gt;&gt;C:\Users\stu\Documents\GitHub\eaglep3-reporting\EC\2016-12-18-refined-times.txt</v>
      </c>
      <c r="AI39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{"issue":{"subject":"","project_id":79,"tracker_id":40,"status_id":1,"priority_id":2,"assigned_to_id":23,"start_date":"2016-12-18","description":"","custom_fields":[{"id":1,"name":"Subdivision","value":"EC"},{"id":4,"name":"Milepost","value":"0.0867"},{"id":17,"name":"Train ID","value":"132-18"},{"id":16,"name":"Locomotive ID","value":"4032"},{"id":130,"name":"Impact","value":""},{"id":150,"name":"Time of Event (Mountain Time)","value":"09:10:22"},{"id":151,"name":"Denver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517</v>
      </c>
      <c r="B40" s="7">
        <v>4028</v>
      </c>
      <c r="C40" s="22" t="s">
        <v>205</v>
      </c>
      <c r="D40" s="22" t="s">
        <v>767</v>
      </c>
      <c r="E40" s="13">
        <v>42722.375196759262</v>
      </c>
      <c r="F40" s="13">
        <v>42722.37604166667</v>
      </c>
      <c r="G40" s="7">
        <v>1</v>
      </c>
      <c r="H40" s="22" t="s">
        <v>231</v>
      </c>
      <c r="I40" s="13">
        <v>42722.397986111115</v>
      </c>
      <c r="J40" s="7">
        <v>0</v>
      </c>
      <c r="K40" s="109" t="str">
        <f t="shared" si="0"/>
        <v>4027/4028</v>
      </c>
      <c r="L40" s="22" t="str">
        <f>VLOOKUP(A40,'Trips&amp;Operators'!$C$1:$G$99999,5,FALSE)</f>
        <v>ROBINSON KADDIBA</v>
      </c>
      <c r="M40" s="6">
        <f t="shared" si="1"/>
        <v>2.1944444444670808E-2</v>
      </c>
      <c r="N40" s="7"/>
      <c r="O40" s="7"/>
      <c r="P40" s="7">
        <f>24*60*SUM($M40:$M40)</f>
        <v>31.600000000325963</v>
      </c>
      <c r="Q40" s="23"/>
      <c r="R40" s="23" t="s">
        <v>953</v>
      </c>
      <c r="S40" s="35">
        <f t="shared" si="18"/>
        <v>1</v>
      </c>
      <c r="T40" s="50" t="str">
        <f t="shared" si="2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08:00:17-700',mode:absolute,to:'2016-12-18 10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0" s="52" t="str">
        <f t="shared" si="20"/>
        <v>Y</v>
      </c>
      <c r="X40" s="177">
        <f t="shared" si="19"/>
        <v>2</v>
      </c>
      <c r="Y40" s="67">
        <f t="shared" si="6"/>
        <v>12.188000000000001</v>
      </c>
      <c r="Z40" s="67">
        <f t="shared" si="17"/>
        <v>4.5999999999999999E-2</v>
      </c>
      <c r="AA40" s="67">
        <f t="shared" si="7"/>
        <v>12.142000000000001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8"/>
        <v>0134-18</v>
      </c>
      <c r="AE40" s="91" t="str">
        <f t="shared" si="9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40" s="88" t="str">
        <f t="shared" si="10"/>
        <v>"C:\Program Files (x86)\AstroGrep\AstroGrep.exe" /spath="%USERPROFILE%\AppData\Local\Temp\OnboardLogs" /stypes="app*4028*20161218*" /stext=" 16:.+((SYSTEM_STATE.+slice.+state.+changed )|(ment ac)|(multiple cpu faults)|(system.+state.+changed )|(\[timeout)|(PRM\|1\|D)|(kpr)|(kdp)|(\|lc)|(penalty))" /e /r /s</v>
      </c>
      <c r="AG40" s="1" t="str">
        <f t="shared" si="11"/>
        <v>EC</v>
      </c>
      <c r="AH40" s="92" t="str">
        <f t="shared" si="14"/>
        <v>"%USERPROFILE%\Documents\GitHub\eaglep3\Utilities\RefineRTDCRunTimes.py" --tripid 134-18 --locoid 4028 --swversion DE.1.0.8.0 --startMP 204:121880 --initTime 2016-12-18T09:00:17 --startdatetime 2016-12-18T09:01:30 --delay 1 --endMP 204:460 --enddatetime 2016-12-18T09:33:06 --enforcementcount 0 &gt;&gt;C:\Users\stu\Documents\GitHub\eaglep3-reporting\EC\2016-12-18-refined-times.txt</v>
      </c>
      <c r="AI40" s="119" t="str">
        <f t="shared" si="15"/>
        <v>echo {"issue":{"subject":"Onboard in-route failure","project_id":79,"tracker_id":40,"status_id":1,"priority_id":2,"assigned_to_id":23,"start_date":"2016-12-18","description":"","custom_fields":[{"id":1,"name":"Subdivision","value":"EC"},{"id":4,"name":"Milepost","value":"0.046"},{"id":17,"name":"Train ID","value":"134-18"},{"id":16,"name":"Locomotive ID","value":"4028"},{"id":130,"name":"Impact","value":""},{"id":150,"name":"Time of Event (Mountain Time)","value":"09:33:06"},{"id":151,"name":"Denver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517</v>
      </c>
      <c r="B41" s="7">
        <v>4028</v>
      </c>
      <c r="C41" s="22" t="s">
        <v>205</v>
      </c>
      <c r="D41" s="22" t="s">
        <v>768</v>
      </c>
      <c r="E41" s="13">
        <v>42722.3671875</v>
      </c>
      <c r="F41" s="13">
        <v>42722.37604166667</v>
      </c>
      <c r="G41" s="7">
        <v>2</v>
      </c>
      <c r="H41" s="22" t="s">
        <v>769</v>
      </c>
      <c r="I41" s="13">
        <v>42722.397986111115</v>
      </c>
      <c r="J41" s="7">
        <v>0</v>
      </c>
      <c r="K41" s="109" t="str">
        <f t="shared" si="0"/>
        <v>4027/4028</v>
      </c>
      <c r="L41" s="22" t="str">
        <f>VLOOKUP(A41,'Trips&amp;Operators'!$C$1:$G$99999,5,FALSE)</f>
        <v>ROBINSON KADDIBA</v>
      </c>
      <c r="M41" s="6">
        <f t="shared" si="1"/>
        <v>2.1944444444670808E-2</v>
      </c>
      <c r="N41" s="7"/>
      <c r="O41" s="7"/>
      <c r="P41" s="7"/>
      <c r="Q41" s="23"/>
      <c r="R41" s="23"/>
      <c r="S41" s="35">
        <f t="shared" si="18"/>
        <v>0</v>
      </c>
      <c r="T41" s="50" t="str">
        <f t="shared" si="2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0</v>
      </c>
      <c r="V4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07:48:45-700',mode:absolute,to:'2016-12-18 10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1" s="52" t="str">
        <f t="shared" si="20"/>
        <v>Y</v>
      </c>
      <c r="X41" s="177">
        <f t="shared" si="19"/>
        <v>0</v>
      </c>
      <c r="Y41" s="67">
        <f t="shared" si="6"/>
        <v>15.837999999999999</v>
      </c>
      <c r="Z41" s="67">
        <f t="shared" si="17"/>
        <v>15.432600000000001</v>
      </c>
      <c r="AA41" s="67">
        <f t="shared" si="7"/>
        <v>0.40539999999999843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8"/>
        <v>0134-18</v>
      </c>
      <c r="AE41" s="91" t="str">
        <f t="shared" si="9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41" s="88" t="str">
        <f t="shared" si="10"/>
        <v>"C:\Program Files (x86)\AstroGrep\AstroGrep.exe" /spath="%USERPROFILE%\AppData\Local\Temp\OnboardLogs" /stypes="app*4028*20161218*" /stext=" 16:.+((SYSTEM_STATE.+slice.+state.+changed )|(ment ac)|(multiple cpu faults)|(system.+state.+changed )|(\[timeout)|(PRM\|1\|D)|(kpr)|(kdp)|(\|lc)|(penalty))" /e /r /s</v>
      </c>
      <c r="AG41" s="1" t="str">
        <f t="shared" si="11"/>
        <v>EC</v>
      </c>
      <c r="AH41" s="92" t="str">
        <f t="shared" si="14"/>
        <v>"%USERPROFILE%\Documents\GitHub\eaglep3\Utilities\RefineRTDCRunTimes.py" --tripid 134-18 --locoid 4028 --swversion DE.1.0.8.0 --startMP 204:158380 --initTime 2016-12-18T08:48:45 --startdatetime 2016-12-18T09:01:30 --delay 2 --endMP 204:154326 --enddatetime 2016-12-18T09:33:06 --enforcementcount 0 &gt;&gt;C:\Users\stu\Documents\GitHub\eaglep3-reporting\EC\2016-12-18-refined-times.txt</v>
      </c>
      <c r="AI41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{"issue":{"subject":"","project_id":79,"tracker_id":40,"status_id":1,"priority_id":2,"assigned_to_id":23,"start_date":"2016-12-18","description":"","custom_fields":[{"id":1,"name":"Subdivision","value":"EC"},{"id":4,"name":"Milepost","value":"15.4326"},{"id":17,"name":"Train ID","value":"134-18"},{"id":16,"name":"Locomotive ID","value":"4028"},{"id":130,"name":"Impact","value":""},{"id":150,"name":"Time of Event (Mountain Time)","value":"09:33:06"},{"id":151,"name":"Denver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587</v>
      </c>
      <c r="B42" s="7">
        <v>4030</v>
      </c>
      <c r="C42" s="22" t="s">
        <v>205</v>
      </c>
      <c r="D42" s="22" t="s">
        <v>770</v>
      </c>
      <c r="E42" s="13">
        <v>42722.378194444442</v>
      </c>
      <c r="F42" s="13">
        <v>42722.379571759258</v>
      </c>
      <c r="G42" s="7">
        <v>1</v>
      </c>
      <c r="H42" s="22" t="s">
        <v>301</v>
      </c>
      <c r="I42" s="13">
        <v>42722.403981481482</v>
      </c>
      <c r="J42" s="7">
        <v>0</v>
      </c>
      <c r="K42" s="109" t="str">
        <f t="shared" si="0"/>
        <v>4029/4030</v>
      </c>
      <c r="L42" s="22" t="str">
        <f>VLOOKUP(A42,'Trips&amp;Operators'!$C$1:$G$99999,5,FALSE)</f>
        <v>OUN ZACK</v>
      </c>
      <c r="M42" s="6">
        <f t="shared" si="1"/>
        <v>2.4409722223936114E-2</v>
      </c>
      <c r="N42" s="7">
        <f t="shared" ref="N42:N73" si="21">24*60*SUM($M42:$M42)</f>
        <v>35.150000002468005</v>
      </c>
      <c r="O42" s="7"/>
      <c r="P42" s="7"/>
      <c r="Q42" s="23"/>
      <c r="R42" s="23"/>
      <c r="S42" s="35">
        <f t="shared" si="18"/>
        <v>1</v>
      </c>
      <c r="T42" s="50" t="str">
        <f t="shared" si="2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08:04:36-700',mode:absolute,to:'2016-12-18 10:41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2" s="52" t="str">
        <f t="shared" si="20"/>
        <v>N</v>
      </c>
      <c r="X42" s="177">
        <f t="shared" si="19"/>
        <v>2</v>
      </c>
      <c r="Y42" s="67">
        <f t="shared" si="6"/>
        <v>15.7933</v>
      </c>
      <c r="Z42" s="67">
        <f t="shared" si="17"/>
        <v>1.32E-2</v>
      </c>
      <c r="AA42" s="67">
        <f t="shared" si="7"/>
        <v>15.780100000000001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8"/>
        <v>0136-18</v>
      </c>
      <c r="AE42" s="91" t="str">
        <f t="shared" si="9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42" s="88" t="str">
        <f t="shared" si="10"/>
        <v>"C:\Program Files (x86)\AstroGrep\AstroGrep.exe" /spath="%USERPROFILE%\AppData\Local\Temp\OnboardLogs" /stypes="app*4030*20161218*" /stext=" 16:.+((SYSTEM_STATE.+slice.+state.+changed )|(ment ac)|(multiple cpu faults)|(system.+state.+changed )|(\[timeout)|(PRM\|1\|D)|(kpr)|(kdp)|(\|lc)|(penalty))" /e /r /s</v>
      </c>
      <c r="AG42" s="1" t="str">
        <f t="shared" si="11"/>
        <v>EC</v>
      </c>
      <c r="AH42" s="92" t="str">
        <f t="shared" si="14"/>
        <v>"%USERPROFILE%\Documents\GitHub\eaglep3\Utilities\RefineRTDCRunTimes.py" --tripid 136-18 --locoid 4030 --swversion DE.1.0.8.0 --startMP 204:157933 --initTime 2016-12-18T09:04:36 --startdatetime 2016-12-18T09:06:35 --delay 1 --endMP 204:132 --enddatetime 2016-12-18T09:41:44 --enforcementcount 0 &gt;&gt;C:\Users\stu\Documents\GitHub\eaglep3-reporting\EC\2016-12-18-refined-times.txt</v>
      </c>
      <c r="AI42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{"issue":{"subject":"","project_id":79,"tracker_id":40,"status_id":1,"priority_id":2,"assigned_to_id":23,"start_date":"2016-12-18","description":"","custom_fields":[{"id":1,"name":"Subdivision","value":"EC"},{"id":4,"name":"Milepost","value":"0.0132"},{"id":17,"name":"Train ID","value":"136-18"},{"id":16,"name":"Locomotive ID","value":"4030"},{"id":130,"name":"Impact","value":""},{"id":150,"name":"Time of Event (Mountain Time)","value":"09:41:44"},{"id":151,"name":"Denver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578</v>
      </c>
      <c r="B43" s="7">
        <v>4027</v>
      </c>
      <c r="C43" s="22" t="s">
        <v>205</v>
      </c>
      <c r="D43" s="22" t="s">
        <v>485</v>
      </c>
      <c r="E43" s="13">
        <v>42722.334710648145</v>
      </c>
      <c r="F43" s="13">
        <v>42722.344409722224</v>
      </c>
      <c r="G43" s="7">
        <v>1</v>
      </c>
      <c r="H43" s="22" t="s">
        <v>771</v>
      </c>
      <c r="I43" s="13">
        <v>42722.365972222222</v>
      </c>
      <c r="J43" s="7">
        <v>0</v>
      </c>
      <c r="K43" s="109" t="str">
        <f t="shared" si="0"/>
        <v>4027/4028</v>
      </c>
      <c r="L43" s="22" t="str">
        <f>VLOOKUP(A43,'Trips&amp;Operators'!$C$1:$G$99999,5,FALSE)</f>
        <v>ROBINSON KADDIBA</v>
      </c>
      <c r="M43" s="6">
        <f t="shared" si="1"/>
        <v>2.156249999825377E-2</v>
      </c>
      <c r="N43" s="7">
        <f t="shared" si="21"/>
        <v>31.049999997485429</v>
      </c>
      <c r="O43" s="7"/>
      <c r="P43" s="7"/>
      <c r="Q43" s="23"/>
      <c r="R43" s="23"/>
      <c r="S43" s="35">
        <f t="shared" si="18"/>
        <v>1</v>
      </c>
      <c r="T43" s="50" t="str">
        <f t="shared" si="2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07:01:59-700',mode:absolute,to:'2016-12-18 09:47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3" s="52" t="str">
        <f t="shared" si="20"/>
        <v>N</v>
      </c>
      <c r="X43" s="177">
        <f>VALUE(LEFT(AD43,4))-VALUE(LEFT(AD42,4))</f>
        <v>1</v>
      </c>
      <c r="Y43" s="67">
        <f t="shared" si="6"/>
        <v>7.5899999999999995E-2</v>
      </c>
      <c r="Z43" s="67">
        <f t="shared" si="17"/>
        <v>15.8611</v>
      </c>
      <c r="AA43" s="67">
        <f t="shared" si="7"/>
        <v>15.7852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8"/>
        <v>0137-18</v>
      </c>
      <c r="AE43" s="91" t="str">
        <f t="shared" si="9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43" s="88" t="str">
        <f t="shared" si="10"/>
        <v>"C:\Program Files (x86)\AstroGrep\AstroGrep.exe" /spath="%USERPROFILE%\AppData\Local\Temp\OnboardLogs" /stypes="app*4027*20161218*" /stext=" 15:.+((SYSTEM_STATE.+slice.+state.+changed )|(ment ac)|(multiple cpu faults)|(system.+state.+changed )|(\[timeout)|(PRM\|1\|D)|(kpr)|(kdp)|(\|lc)|(penalty))" /e /r /s</v>
      </c>
      <c r="AG43" s="1" t="str">
        <f t="shared" si="11"/>
        <v>EC</v>
      </c>
      <c r="AH43" s="92" t="str">
        <f t="shared" si="14"/>
        <v>"%USERPROFILE%\Documents\GitHub\eaglep3\Utilities\RefineRTDCRunTimes.py" --tripid 137-18 --locoid 4027 --swversion DE.1.0.8.0 --startMP 204:759 --initTime 2016-12-18T08:01:59 --startdatetime 2016-12-18T08:15:57 --delay 1 --endMP 204:158611 --enddatetime 2016-12-18T08:47:00 --enforcementcount 0 &gt;&gt;C:\Users\stu\Documents\GitHub\eaglep3-reporting\EC\2016-12-18-refined-times.txt</v>
      </c>
      <c r="AI43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{"issue":{"subject":"","project_id":79,"tracker_id":40,"status_id":1,"priority_id":2,"assigned_to_id":23,"start_date":"2016-12-18","description":"","custom_fields":[{"id":1,"name":"Subdivision","value":"EC"},{"id":4,"name":"Milepost","value":"15.8611"},{"id":17,"name":"Train ID","value":"137-18"},{"id":16,"name":"Locomotive ID","value":"4027"},{"id":130,"name":"Impact","value":""},{"id":150,"name":"Time of Event (Mountain Time)","value":"08:47:00"},{"id":151,"name":"Denver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589</v>
      </c>
      <c r="B44" s="7">
        <v>4010</v>
      </c>
      <c r="C44" s="22" t="s">
        <v>205</v>
      </c>
      <c r="D44" s="22" t="s">
        <v>772</v>
      </c>
      <c r="E44" s="13">
        <v>42722.387175925927</v>
      </c>
      <c r="F44" s="13">
        <v>42722.389085648145</v>
      </c>
      <c r="G44" s="7">
        <v>2</v>
      </c>
      <c r="H44" s="22" t="s">
        <v>773</v>
      </c>
      <c r="I44" s="13">
        <v>42722.410717592589</v>
      </c>
      <c r="J44" s="7">
        <v>0</v>
      </c>
      <c r="K44" s="109" t="str">
        <f t="shared" si="0"/>
        <v>4009/4010</v>
      </c>
      <c r="L44" s="22" t="str">
        <f>VLOOKUP(A44,'Trips&amp;Operators'!$C$1:$G$99999,5,FALSE)</f>
        <v>GEBRETEKLE DAGNEW</v>
      </c>
      <c r="M44" s="6">
        <f t="shared" si="1"/>
        <v>2.1631944444379769E-2</v>
      </c>
      <c r="N44" s="7">
        <f t="shared" si="21"/>
        <v>31.149999999906868</v>
      </c>
      <c r="O44" s="7"/>
      <c r="P44" s="7"/>
      <c r="Q44" s="23"/>
      <c r="R44" s="23"/>
      <c r="S44" s="35">
        <f t="shared" si="18"/>
        <v>1</v>
      </c>
      <c r="T44" s="50" t="str">
        <f t="shared" si="2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08:17:32-700',mode:absolute,to:'2016-12-18 10:51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4" s="52" t="str">
        <f t="shared" si="20"/>
        <v>Y</v>
      </c>
      <c r="X44" s="177">
        <f>VALUE(LEFT(AD44,4))-VALUE(LEFT(AD43,4))</f>
        <v>1</v>
      </c>
      <c r="Y44" s="67">
        <f t="shared" si="6"/>
        <v>15.760899999999999</v>
      </c>
      <c r="Z44" s="67">
        <f t="shared" si="17"/>
        <v>0.11990000000000001</v>
      </c>
      <c r="AA44" s="67">
        <f t="shared" si="7"/>
        <v>15.641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8"/>
        <v>0138-18</v>
      </c>
      <c r="AE44" s="91" t="str">
        <f t="shared" si="9"/>
        <v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v>
      </c>
      <c r="AF44" s="88" t="str">
        <f t="shared" si="10"/>
        <v>"C:\Program Files (x86)\AstroGrep\AstroGrep.exe" /spath="%USERPROFILE%\AppData\Local\Temp\OnboardLogs" /stypes="app*4010*20161218*" /stext=" 16:.+((SYSTEM_STATE.+slice.+state.+changed )|(ment ac)|(multiple cpu faults)|(system.+state.+changed )|(\[timeout)|(PRM\|1\|D)|(kpr)|(kdp)|(\|lc)|(penalty))" /e /r /s</v>
      </c>
      <c r="AG44" s="1" t="str">
        <f t="shared" si="11"/>
        <v>EC</v>
      </c>
      <c r="AH44" s="92" t="str">
        <f t="shared" si="14"/>
        <v>"%USERPROFILE%\Documents\GitHub\eaglep3\Utilities\RefineRTDCRunTimes.py" --tripid 138-18 --locoid 4010 --swversion DE.1.0.8.0 --startMP 204:157609 --initTime 2016-12-18T09:17:32 --startdatetime 2016-12-18T09:20:17 --delay 2 --endMP 204:1199 --enddatetime 2016-12-18T09:51:26 --enforcementcount 0 &gt;&gt;C:\Users\stu\Documents\GitHub\eaglep3-reporting\EC\2016-12-18-refined-times.txt</v>
      </c>
      <c r="AI44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{"issue":{"subject":"","project_id":79,"tracker_id":40,"status_id":1,"priority_id":2,"assigned_to_id":23,"start_date":"2016-12-18","description":"","custom_fields":[{"id":1,"name":"Subdivision","value":"EC"},{"id":4,"name":"Milepost","value":"0.1199"},{"id":17,"name":"Train ID","value":"138-18"},{"id":16,"name":"Locomotive ID","value":"4010"},{"id":130,"name":"Impact","value":""},{"id":150,"name":"Time of Event (Mountain Time)","value":"09:51:26"},{"id":151,"name":"Denver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580</v>
      </c>
      <c r="B45" s="7">
        <v>4029</v>
      </c>
      <c r="C45" s="22" t="s">
        <v>205</v>
      </c>
      <c r="D45" s="22" t="s">
        <v>774</v>
      </c>
      <c r="E45" s="13">
        <v>42722.345092592594</v>
      </c>
      <c r="F45" s="13">
        <v>42722.354409722226</v>
      </c>
      <c r="G45" s="7">
        <v>2</v>
      </c>
      <c r="H45" s="22" t="s">
        <v>775</v>
      </c>
      <c r="I45" s="13">
        <v>42722.376875000002</v>
      </c>
      <c r="J45" s="7">
        <v>0</v>
      </c>
      <c r="K45" s="109" t="str">
        <f t="shared" si="0"/>
        <v>4029/4030</v>
      </c>
      <c r="L45" s="22" t="str">
        <f>VLOOKUP(A45,'Trips&amp;Operators'!$C$1:$G$99999,5,FALSE)</f>
        <v>OUN ZACK</v>
      </c>
      <c r="M45" s="6">
        <f t="shared" si="1"/>
        <v>2.2465277776063886E-2</v>
      </c>
      <c r="N45" s="7">
        <f t="shared" si="21"/>
        <v>32.349999997531995</v>
      </c>
      <c r="O45" s="7"/>
      <c r="P45" s="7"/>
      <c r="Q45" s="23"/>
      <c r="R45" s="23"/>
      <c r="S45" s="35">
        <f t="shared" si="18"/>
        <v>1</v>
      </c>
      <c r="T45" s="50" t="str">
        <f t="shared" si="2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07:16:56-700',mode:absolute,to:'2016-12-18 10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5" s="52" t="str">
        <f t="shared" si="20"/>
        <v>N</v>
      </c>
      <c r="X45" s="177">
        <f>VALUE(LEFT(AD45,4))-VALUE(LEFT(AD44,4))</f>
        <v>1</v>
      </c>
      <c r="Y45" s="67">
        <f t="shared" si="6"/>
        <v>4.24E-2</v>
      </c>
      <c r="Z45" s="67">
        <f t="shared" si="17"/>
        <v>15.8154</v>
      </c>
      <c r="AA45" s="67">
        <f t="shared" si="7"/>
        <v>15.773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8"/>
        <v>0139-18</v>
      </c>
      <c r="AE45" s="91" t="str">
        <f t="shared" si="9"/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AF45" s="88" t="str">
        <f t="shared" si="10"/>
        <v>"C:\Program Files (x86)\AstroGrep\AstroGrep.exe" /spath="%USERPROFILE%\AppData\Local\Temp\OnboardLogs" /stypes="app*4029*20161218*" /stext=" 16:.+((SYSTEM_STATE.+slice.+state.+changed )|(ment ac)|(multiple cpu faults)|(system.+state.+changed )|(\[timeout)|(PRM\|1\|D)|(kpr)|(kdp)|(\|lc)|(penalty))" /e /r /s</v>
      </c>
      <c r="AG45" s="1" t="str">
        <f t="shared" si="11"/>
        <v>EC</v>
      </c>
      <c r="AH45" s="92" t="str">
        <f t="shared" si="14"/>
        <v>"%USERPROFILE%\Documents\GitHub\eaglep3\Utilities\RefineRTDCRunTimes.py" --tripid 139-18 --locoid 4029 --swversion DE.1.0.8.0 --startMP 204:424 --initTime 2016-12-18T08:16:56 --startdatetime 2016-12-18T08:30:21 --delay 2 --endMP 204:158154 --enddatetime 2016-12-18T09:02:42 --enforcementcount 0 &gt;&gt;C:\Users\stu\Documents\GitHub\eaglep3-reporting\EC\2016-12-18-refined-times.txt</v>
      </c>
      <c r="AI45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{"issue":{"subject":"","project_id":79,"tracker_id":40,"status_id":1,"priority_id":2,"assigned_to_id":23,"start_date":"2016-12-18","description":"","custom_fields":[{"id":1,"name":"Subdivision","value":"EC"},{"id":4,"name":"Milepost","value":"15.8154"},{"id":17,"name":"Train ID","value":"139-18"},{"id":16,"name":"Locomotive ID","value":"4029"},{"id":130,"name":"Impact","value":""},{"id":150,"name":"Time of Event (Mountain Time)","value":"09:02:42"},{"id":151,"name":"Denver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590</v>
      </c>
      <c r="B46" s="7">
        <v>4013</v>
      </c>
      <c r="C46" s="22" t="s">
        <v>205</v>
      </c>
      <c r="D46" s="22" t="s">
        <v>776</v>
      </c>
      <c r="E46" s="13">
        <v>42722.397523148145</v>
      </c>
      <c r="F46" s="13">
        <v>42722.399328703701</v>
      </c>
      <c r="G46" s="7">
        <v>1</v>
      </c>
      <c r="H46" s="22" t="s">
        <v>777</v>
      </c>
      <c r="I46" s="13">
        <v>42722.423356481479</v>
      </c>
      <c r="J46" s="7">
        <v>0</v>
      </c>
      <c r="K46" s="109" t="str">
        <f t="shared" si="0"/>
        <v>4013/4014</v>
      </c>
      <c r="L46" s="22" t="str">
        <f>VLOOKUP(A46,'Trips&amp;Operators'!$C$1:$G$99999,5,FALSE)</f>
        <v>SHOOK JOHN</v>
      </c>
      <c r="M46" s="6">
        <f t="shared" si="1"/>
        <v>2.4027777777519077E-2</v>
      </c>
      <c r="N46" s="7">
        <f t="shared" si="21"/>
        <v>34.599999999627471</v>
      </c>
      <c r="O46" s="7"/>
      <c r="P46" s="7"/>
      <c r="Q46" s="23"/>
      <c r="R46" s="23"/>
      <c r="S46" s="35">
        <f t="shared" si="18"/>
        <v>1</v>
      </c>
      <c r="T46" s="50" t="str">
        <f t="shared" si="2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08:32:26-700',mode:absolute,to:'2016-12-18 11:09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20"/>
        <v>N</v>
      </c>
      <c r="X46" s="177">
        <f>VALUE(LEFT(AD46,4))-VALUE(LEFT(AD45,4))</f>
        <v>1</v>
      </c>
      <c r="Y46" s="67">
        <f t="shared" si="6"/>
        <v>15.7956</v>
      </c>
      <c r="Z46" s="67">
        <f t="shared" si="17"/>
        <v>1.14E-2</v>
      </c>
      <c r="AA46" s="67">
        <f t="shared" si="7"/>
        <v>15.7842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8"/>
        <v>0140-18</v>
      </c>
      <c r="AE46" s="91" t="str">
        <f t="shared" si="9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46" s="88" t="str">
        <f t="shared" si="10"/>
        <v>"C:\Program Files (x86)\AstroGrep\AstroGrep.exe" /spath="%USERPROFILE%\AppData\Local\Temp\OnboardLogs" /stypes="app*4013*20161218*" /stext=" 17:.+((SYSTEM_STATE.+slice.+state.+changed )|(ment ac)|(multiple cpu faults)|(system.+state.+changed )|(\[timeout)|(PRM\|1\|D)|(kpr)|(kdp)|(\|lc)|(penalty))" /e /r /s</v>
      </c>
      <c r="AG46" s="1" t="str">
        <f t="shared" si="11"/>
        <v>EC</v>
      </c>
      <c r="AH46" s="92" t="str">
        <f t="shared" si="14"/>
        <v>"%USERPROFILE%\Documents\GitHub\eaglep3\Utilities\RefineRTDCRunTimes.py" --tripid 140-18 --locoid 4013 --swversion DE.1.0.8.0 --startMP 204:157956 --initTime 2016-12-18T09:32:26 --startdatetime 2016-12-18T09:35:02 --delay 1 --endMP 204:114 --enddatetime 2016-12-18T10:09:38 --enforcementcount 0 &gt;&gt;C:\Users\stu\Documents\GitHub\eaglep3-reporting\EC\2016-12-18-refined-times.txt</v>
      </c>
      <c r="AI46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{"issue":{"subject":"","project_id":79,"tracker_id":40,"status_id":1,"priority_id":2,"assigned_to_id":23,"start_date":"2016-12-18","description":"","custom_fields":[{"id":1,"name":"Subdivision","value":"EC"},{"id":4,"name":"Milepost","value":"0.0114"},{"id":17,"name":"Train ID","value":"140-18"},{"id":16,"name":"Locomotive ID","value":"4013"},{"id":130,"name":"Impact","value":""},{"id":150,"name":"Time of Event (Mountain Time)","value":"10:09:38"},{"id":151,"name":"Denver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582</v>
      </c>
      <c r="B47" s="7">
        <v>4009</v>
      </c>
      <c r="C47" s="22" t="s">
        <v>205</v>
      </c>
      <c r="D47" s="22" t="s">
        <v>778</v>
      </c>
      <c r="E47" s="13">
        <v>42722.357824074075</v>
      </c>
      <c r="F47" s="13">
        <v>42722.36478009259</v>
      </c>
      <c r="G47" s="7">
        <v>6</v>
      </c>
      <c r="H47" s="22" t="s">
        <v>779</v>
      </c>
      <c r="I47" s="13">
        <v>42722.385833333334</v>
      </c>
      <c r="J47" s="7">
        <v>0</v>
      </c>
      <c r="K47" s="109" t="str">
        <f t="shared" si="0"/>
        <v>4009/4010</v>
      </c>
      <c r="L47" s="22" t="str">
        <f>VLOOKUP(A47,'Trips&amp;Operators'!$C$1:$G$99999,5,FALSE)</f>
        <v>GEBRETEKLE DAGNEW</v>
      </c>
      <c r="M47" s="6">
        <f t="shared" si="1"/>
        <v>2.1053240743640345E-2</v>
      </c>
      <c r="N47" s="7">
        <f t="shared" si="21"/>
        <v>30.316666670842096</v>
      </c>
      <c r="O47" s="7"/>
      <c r="P47" s="7"/>
      <c r="Q47" s="23"/>
      <c r="R47" s="23"/>
      <c r="S47" s="35">
        <f t="shared" si="18"/>
        <v>1</v>
      </c>
      <c r="T47" s="50" t="str">
        <f t="shared" si="2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07:35:16-700',mode:absolute,to:'2016-12-18 10:15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7" s="52" t="str">
        <f t="shared" si="20"/>
        <v>N</v>
      </c>
      <c r="X47" s="177">
        <f>VALUE(LEFT(AD47,4))-VALUE(LEFT(AD46,4))</f>
        <v>1</v>
      </c>
      <c r="Y47" s="67">
        <f t="shared" si="6"/>
        <v>7.6999999999999999E-2</v>
      </c>
      <c r="Z47" s="67">
        <f t="shared" si="17"/>
        <v>15.783200000000001</v>
      </c>
      <c r="AA47" s="67">
        <f t="shared" si="7"/>
        <v>15.706200000000001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8"/>
        <v>0141-18</v>
      </c>
      <c r="AE47" s="91" t="str">
        <f t="shared" si="9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47" s="88" t="str">
        <f t="shared" si="10"/>
        <v>"C:\Program Files (x86)\AstroGrep\AstroGrep.exe" /spath="%USERPROFILE%\AppData\Local\Temp\OnboardLogs" /stypes="app*4009*20161218*" /stext=" 16:.+((SYSTEM_STATE.+slice.+state.+changed )|(ment ac)|(multiple cpu faults)|(system.+state.+changed )|(\[timeout)|(PRM\|1\|D)|(kpr)|(kdp)|(\|lc)|(penalty))" /e /r /s</v>
      </c>
      <c r="AG47" s="1" t="str">
        <f t="shared" si="11"/>
        <v>EC</v>
      </c>
      <c r="AH47" s="92" t="str">
        <f t="shared" si="14"/>
        <v>"%USERPROFILE%\Documents\GitHub\eaglep3\Utilities\RefineRTDCRunTimes.py" --tripid 141-18 --locoid 4009 --swversion DE.1.0.8.0 --startMP 204:770 --initTime 2016-12-18T08:35:16 --startdatetime 2016-12-18T08:45:17 --delay 6 --endMP 204:157832 --enddatetime 2016-12-18T09:15:36 --enforcementcount 0 &gt;&gt;C:\Users\stu\Documents\GitHub\eaglep3-reporting\EC\2016-12-18-refined-times.txt</v>
      </c>
      <c r="AI47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{"issue":{"subject":"","project_id":79,"tracker_id":40,"status_id":1,"priority_id":2,"assigned_to_id":23,"start_date":"2016-12-18","description":"","custom_fields":[{"id":1,"name":"Subdivision","value":"EC"},{"id":4,"name":"Milepost","value":"15.7832"},{"id":17,"name":"Train ID","value":"141-18"},{"id":16,"name":"Locomotive ID","value":"4009"},{"id":130,"name":"Impact","value":""},{"id":150,"name":"Time of Event (Mountain Time)","value":"09:15:36"},{"id":151,"name":"Denver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584</v>
      </c>
      <c r="B48" s="7">
        <v>4014</v>
      </c>
      <c r="C48" s="22" t="s">
        <v>205</v>
      </c>
      <c r="D48" s="22" t="s">
        <v>781</v>
      </c>
      <c r="E48" s="13">
        <v>42722.360046296293</v>
      </c>
      <c r="F48" s="13">
        <v>42722.375219907408</v>
      </c>
      <c r="G48" s="7">
        <v>4</v>
      </c>
      <c r="H48" s="22" t="s">
        <v>782</v>
      </c>
      <c r="I48" s="13">
        <v>42722.396412037036</v>
      </c>
      <c r="J48" s="7">
        <v>0</v>
      </c>
      <c r="K48" s="109" t="str">
        <f t="shared" si="0"/>
        <v>4013/4014</v>
      </c>
      <c r="L48" s="22" t="str">
        <f>VLOOKUP(A48,'Trips&amp;Operators'!$C$1:$G$99999,5,FALSE)</f>
        <v>SHOOK JOHN</v>
      </c>
      <c r="M48" s="6">
        <f t="shared" si="1"/>
        <v>2.1192129628616385E-2</v>
      </c>
      <c r="N48" s="7">
        <f t="shared" si="21"/>
        <v>30.516666665207595</v>
      </c>
      <c r="O48" s="7"/>
      <c r="P48" s="7"/>
      <c r="Q48" s="23"/>
      <c r="R48" s="23"/>
      <c r="S48" s="35">
        <f t="shared" si="18"/>
        <v>1</v>
      </c>
      <c r="T48" s="50" t="str">
        <f t="shared" si="2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07:38:28-700',mode:absolute,to:'2016-12-18 10:30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8" s="52" t="str">
        <f t="shared" ref="W48:W51" si="22">IF(AA48&lt;IF(AG48="EC",15.7,5.65),"Y","N")</f>
        <v>N</v>
      </c>
      <c r="X48" s="177">
        <f t="shared" ref="X48:X51" si="23">VALUE(LEFT(AD48,4))-VALUE(LEFT(AD47,4))</f>
        <v>2</v>
      </c>
      <c r="Y48" s="67">
        <f t="shared" si="6"/>
        <v>0.1177</v>
      </c>
      <c r="Z48" s="67">
        <f t="shared" si="17"/>
        <v>15.818199999999999</v>
      </c>
      <c r="AA48" s="67">
        <f t="shared" si="7"/>
        <v>15.7005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8"/>
        <v>0143-18</v>
      </c>
      <c r="AE48" s="91" t="str">
        <f t="shared" si="9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48" s="88" t="str">
        <f t="shared" si="10"/>
        <v>"C:\Program Files (x86)\AstroGrep\AstroGrep.exe" /spath="%USERPROFILE%\AppData\Local\Temp\OnboardLogs" /stypes="app*4014*20161218*" /stext=" 16:.+((SYSTEM_STATE.+slice.+state.+changed )|(ment ac)|(multiple cpu faults)|(system.+state.+changed )|(\[timeout)|(PRM\|1\|D)|(kpr)|(kdp)|(\|lc)|(penalty))" /e /r /s</v>
      </c>
      <c r="AG48" s="1" t="str">
        <f t="shared" si="11"/>
        <v>EC</v>
      </c>
      <c r="AH48" s="92" t="str">
        <f t="shared" si="14"/>
        <v>"%USERPROFILE%\Documents\GitHub\eaglep3\Utilities\RefineRTDCRunTimes.py" --tripid 143-18 --locoid 4014 --swversion DE.1.0.8.0 --startMP 204:1177 --initTime 2016-12-18T08:38:28 --startdatetime 2016-12-18T09:00:19 --delay 4 --endMP 204:158182 --enddatetime 2016-12-18T09:30:50 --enforcementcount 0 &gt;&gt;C:\Users\stu\Documents\GitHub\eaglep3-reporting\EC\2016-12-18-refined-times.txt</v>
      </c>
      <c r="AI48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{"issue":{"subject":"","project_id":79,"tracker_id":40,"status_id":1,"priority_id":2,"assigned_to_id":23,"start_date":"2016-12-18","description":"","custom_fields":[{"id":1,"name":"Subdivision","value":"EC"},{"id":4,"name":"Milepost","value":"15.8182"},{"id":17,"name":"Train ID","value":"143-18"},{"id":16,"name":"Locomotive ID","value":"4014"},{"id":130,"name":"Impact","value":""},{"id":150,"name":"Time of Event (Mountain Time)","value":"09:30:50"},{"id":151,"name":"Denver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595</v>
      </c>
      <c r="B49" s="7">
        <v>4045</v>
      </c>
      <c r="C49" s="22" t="s">
        <v>205</v>
      </c>
      <c r="D49" s="22" t="s">
        <v>780</v>
      </c>
      <c r="E49" s="13">
        <v>42722.412442129629</v>
      </c>
      <c r="F49" s="13">
        <v>42722.421006944445</v>
      </c>
      <c r="G49" s="7">
        <v>1</v>
      </c>
      <c r="H49" s="22" t="s">
        <v>192</v>
      </c>
      <c r="I49" s="13">
        <v>42722.442685185182</v>
      </c>
      <c r="J49" s="7">
        <v>0</v>
      </c>
      <c r="K49" s="109" t="str">
        <f t="shared" si="0"/>
        <v>4045/4046</v>
      </c>
      <c r="L49" s="22" t="str">
        <f>VLOOKUP(A49,'Trips&amp;Operators'!$C$1:$G$99999,5,FALSE)</f>
        <v>ISHMAEL JOSEPH</v>
      </c>
      <c r="M49" s="6">
        <f t="shared" si="1"/>
        <v>2.1678240736946464E-2</v>
      </c>
      <c r="N49" s="7">
        <f t="shared" si="21"/>
        <v>31.216666661202908</v>
      </c>
      <c r="O49" s="7"/>
      <c r="P49" s="7"/>
      <c r="Q49" s="23"/>
      <c r="R49" s="23"/>
      <c r="S49" s="35">
        <f t="shared" si="18"/>
        <v>1</v>
      </c>
      <c r="T49" s="50" t="str">
        <f t="shared" si="2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08:53:55-700',mode:absolute,to:'2016-12-18 11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9" s="52" t="str">
        <f t="shared" si="22"/>
        <v>Y</v>
      </c>
      <c r="X49" s="177">
        <f t="shared" si="23"/>
        <v>1</v>
      </c>
      <c r="Y49" s="67">
        <f t="shared" si="6"/>
        <v>15.398999999999999</v>
      </c>
      <c r="Z49" s="67">
        <f t="shared" si="17"/>
        <v>1.43E-2</v>
      </c>
      <c r="AA49" s="67">
        <f t="shared" si="7"/>
        <v>15.384699999999999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8"/>
        <v>0144-18</v>
      </c>
      <c r="AE49" s="91" t="str">
        <f t="shared" si="9"/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AF49" s="88" t="str">
        <f t="shared" si="10"/>
        <v>"C:\Program Files (x86)\AstroGrep\AstroGrep.exe" /spath="%USERPROFILE%\AppData\Local\Temp\OnboardLogs" /stypes="app*4045*20161218*" /stext=" 17:.+((SYSTEM_STATE.+slice.+state.+changed )|(ment ac)|(multiple cpu faults)|(system.+state.+changed )|(\[timeout)|(PRM\|1\|D)|(kpr)|(kdp)|(\|lc)|(penalty))" /e /r /s</v>
      </c>
      <c r="AG49" s="1" t="str">
        <f t="shared" si="11"/>
        <v>EC</v>
      </c>
      <c r="AH49" s="92" t="str">
        <f t="shared" si="14"/>
        <v>"%USERPROFILE%\Documents\GitHub\eaglep3\Utilities\RefineRTDCRunTimes.py" --tripid 144-18 --locoid 4045 --swversion DE.1.0.8.0 --startMP 204:153990 --initTime 2016-12-18T09:53:55 --startdatetime 2016-12-18T10:06:15 --delay 1 --endMP 204:143 --enddatetime 2016-12-18T10:37:28 --enforcementcount 0 &gt;&gt;C:\Users\stu\Documents\GitHub\eaglep3-reporting\EC\2016-12-18-refined-times.txt</v>
      </c>
      <c r="AI49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{"issue":{"subject":"","project_id":79,"tracker_id":40,"status_id":1,"priority_id":2,"assigned_to_id":23,"start_date":"2016-12-18","description":"","custom_fields":[{"id":1,"name":"Subdivision","value":"EC"},{"id":4,"name":"Milepost","value":"0.0143"},{"id":17,"name":"Train ID","value":"144-18"},{"id":16,"name":"Locomotive ID","value":"4045"},{"id":130,"name":"Impact","value":""},{"id":150,"name":"Time of Event (Mountain Time)","value":"10:37:28"},{"id":151,"name":"Denver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586</v>
      </c>
      <c r="B50" s="7">
        <v>4046</v>
      </c>
      <c r="C50" s="22" t="s">
        <v>205</v>
      </c>
      <c r="D50" s="22" t="s">
        <v>783</v>
      </c>
      <c r="E50" s="13">
        <v>42722.374884259261</v>
      </c>
      <c r="F50" s="13">
        <v>42722.385613425926</v>
      </c>
      <c r="G50" s="7">
        <v>1</v>
      </c>
      <c r="H50" s="22" t="s">
        <v>784</v>
      </c>
      <c r="I50" s="13">
        <v>42722.407986111109</v>
      </c>
      <c r="J50" s="7">
        <v>0</v>
      </c>
      <c r="K50" s="109" t="str">
        <f t="shared" si="0"/>
        <v>4045/4046</v>
      </c>
      <c r="L50" s="22" t="str">
        <f>VLOOKUP(A50,'Trips&amp;Operators'!$C$1:$G$99999,5,FALSE)</f>
        <v>ISHMAEL JOSEPH</v>
      </c>
      <c r="M50" s="6">
        <f t="shared" si="1"/>
        <v>2.2372685183654539E-2</v>
      </c>
      <c r="N50" s="7">
        <f t="shared" si="21"/>
        <v>32.216666664462537</v>
      </c>
      <c r="O50" s="7"/>
      <c r="P50" s="7"/>
      <c r="Q50" s="23"/>
      <c r="R50" s="23"/>
      <c r="S50" s="35">
        <f t="shared" si="18"/>
        <v>1</v>
      </c>
      <c r="T50" s="50" t="str">
        <f t="shared" si="2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07:59:50-700',mode:absolute,to:'2016-12-18 10:47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0" s="52" t="str">
        <f t="shared" si="22"/>
        <v>N</v>
      </c>
      <c r="X50" s="177">
        <f t="shared" si="23"/>
        <v>1</v>
      </c>
      <c r="Y50" s="67">
        <f t="shared" si="6"/>
        <v>7.5200000000000003E-2</v>
      </c>
      <c r="Z50" s="67">
        <f t="shared" ref="Z50:Z81" si="24">RIGHT(H50,LEN(H50)-4)/10000</f>
        <v>15.788600000000001</v>
      </c>
      <c r="AA50" s="67">
        <f t="shared" si="7"/>
        <v>15.7134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8"/>
        <v>0145-18</v>
      </c>
      <c r="AE50" s="91" t="str">
        <f t="shared" si="9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50" s="88" t="str">
        <f t="shared" si="10"/>
        <v>"C:\Program Files (x86)\AstroGrep\AstroGrep.exe" /spath="%USERPROFILE%\AppData\Local\Temp\OnboardLogs" /stypes="app*4046*20161218*" /stext=" 16:.+((SYSTEM_STATE.+slice.+state.+changed )|(ment ac)|(multiple cpu faults)|(system.+state.+changed )|(\[timeout)|(PRM\|1\|D)|(kpr)|(kdp)|(\|lc)|(penalty))" /e /r /s</v>
      </c>
      <c r="AG50" s="1" t="str">
        <f t="shared" si="11"/>
        <v>EC</v>
      </c>
      <c r="AH50" s="92" t="str">
        <f t="shared" si="14"/>
        <v>"%USERPROFILE%\Documents\GitHub\eaglep3\Utilities\RefineRTDCRunTimes.py" --tripid 145-18 --locoid 4046 --swversion DE.1.0.8.0 --startMP 204:752 --initTime 2016-12-18T08:59:50 --startdatetime 2016-12-18T09:15:17 --delay 1 --endMP 204:157886 --enddatetime 2016-12-18T09:47:30 --enforcementcount 0 &gt;&gt;C:\Users\stu\Documents\GitHub\eaglep3-reporting\EC\2016-12-18-refined-times.txt</v>
      </c>
      <c r="AI50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{"issue":{"subject":"","project_id":79,"tracker_id":40,"status_id":1,"priority_id":2,"assigned_to_id":23,"start_date":"2016-12-18","description":"","custom_fields":[{"id":1,"name":"Subdivision","value":"EC"},{"id":4,"name":"Milepost","value":"15.7886"},{"id":17,"name":"Train ID","value":"145-18"},{"id":16,"name":"Locomotive ID","value":"4046"},{"id":130,"name":"Impact","value":""},{"id":150,"name":"Time of Event (Mountain Time)","value":"09:47:30"},{"id":151,"name":"Denver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598</v>
      </c>
      <c r="B51" s="7">
        <v>4043</v>
      </c>
      <c r="C51" s="22" t="s">
        <v>205</v>
      </c>
      <c r="D51" s="22" t="s">
        <v>785</v>
      </c>
      <c r="E51" s="13">
        <v>42722.421793981484</v>
      </c>
      <c r="F51" s="13">
        <v>42722.423263888886</v>
      </c>
      <c r="G51" s="7">
        <v>1</v>
      </c>
      <c r="H51" s="22" t="s">
        <v>211</v>
      </c>
      <c r="I51" s="13">
        <v>42722.452534722222</v>
      </c>
      <c r="J51" s="7">
        <v>0</v>
      </c>
      <c r="K51" s="109" t="str">
        <f t="shared" si="0"/>
        <v>4043/4044</v>
      </c>
      <c r="L51" s="22" t="str">
        <f>VLOOKUP(A51,'Trips&amp;Operators'!$C$1:$G$99999,5,FALSE)</f>
        <v>MAELZER KURT</v>
      </c>
      <c r="M51" s="6">
        <f t="shared" si="1"/>
        <v>2.9270833336340729E-2</v>
      </c>
      <c r="N51" s="7">
        <f t="shared" si="21"/>
        <v>42.15000000433065</v>
      </c>
      <c r="O51" s="7"/>
      <c r="P51" s="7"/>
      <c r="Q51" s="23"/>
      <c r="R51" s="23"/>
      <c r="S51" s="35">
        <f t="shared" si="18"/>
        <v>1</v>
      </c>
      <c r="T51" s="50" t="str">
        <f t="shared" si="2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09:07:23-700',mode:absolute,to:'2016-12-18 11:51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1" s="52" t="str">
        <f t="shared" si="22"/>
        <v>N</v>
      </c>
      <c r="X51" s="177">
        <f t="shared" si="23"/>
        <v>1</v>
      </c>
      <c r="Y51" s="67">
        <f t="shared" si="6"/>
        <v>15.7666</v>
      </c>
      <c r="Z51" s="67">
        <f t="shared" si="24"/>
        <v>1.4999999999999999E-2</v>
      </c>
      <c r="AA51" s="67">
        <f t="shared" si="7"/>
        <v>15.7516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8"/>
        <v>0146-18</v>
      </c>
      <c r="AE51" s="91" t="str">
        <f t="shared" si="9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51" s="88" t="str">
        <f t="shared" si="10"/>
        <v>"C:\Program Files (x86)\AstroGrep\AstroGrep.exe" /spath="%USERPROFILE%\AppData\Local\Temp\OnboardLogs" /stypes="app*4043*20161218*" /stext=" 17:.+((SYSTEM_STATE.+slice.+state.+changed )|(ment ac)|(multiple cpu faults)|(system.+state.+changed )|(\[timeout)|(PRM\|1\|D)|(kpr)|(kdp)|(\|lc)|(penalty))" /e /r /s</v>
      </c>
      <c r="AG51" s="1" t="str">
        <f t="shared" si="11"/>
        <v>EC</v>
      </c>
      <c r="AH51" s="92" t="str">
        <f t="shared" si="14"/>
        <v>"%USERPROFILE%\Documents\GitHub\eaglep3\Utilities\RefineRTDCRunTimes.py" --tripid 146-18 --locoid 4043 --swversion DE.1.0.8.0 --startMP 204:157666 --initTime 2016-12-18T10:07:23 --startdatetime 2016-12-18T10:09:30 --delay 1 --endMP 204:150 --enddatetime 2016-12-18T10:51:39 --enforcementcount 0 &gt;&gt;C:\Users\stu\Documents\GitHub\eaglep3-reporting\EC\2016-12-18-refined-times.txt</v>
      </c>
      <c r="AI51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{"issue":{"subject":"","project_id":79,"tracker_id":40,"status_id":1,"priority_id":2,"assigned_to_id":23,"start_date":"2016-12-18","description":"","custom_fields":[{"id":1,"name":"Subdivision","value":"EC"},{"id":4,"name":"Milepost","value":"0.015"},{"id":17,"name":"Train ID","value":"146-18"},{"id":16,"name":"Locomotive ID","value":"4043"},{"id":130,"name":"Impact","value":""},{"id":150,"name":"Time of Event (Mountain Time)","value":"10:51:39"},{"id":151,"name":"Denver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588</v>
      </c>
      <c r="B52" s="7">
        <v>4044</v>
      </c>
      <c r="C52" s="22" t="s">
        <v>205</v>
      </c>
      <c r="D52" s="22" t="s">
        <v>786</v>
      </c>
      <c r="E52" s="13">
        <v>42722.386145833334</v>
      </c>
      <c r="F52" s="13">
        <v>42722.396608796298</v>
      </c>
      <c r="G52" s="7">
        <v>1</v>
      </c>
      <c r="H52" s="22" t="s">
        <v>787</v>
      </c>
      <c r="I52" s="13">
        <v>42722.419074074074</v>
      </c>
      <c r="J52" s="7">
        <v>0</v>
      </c>
      <c r="K52" s="109" t="str">
        <f t="shared" si="0"/>
        <v>4043/4044</v>
      </c>
      <c r="L52" s="22" t="str">
        <f>VLOOKUP(A52,'Trips&amp;Operators'!$C$1:$G$99999,5,FALSE)</f>
        <v>MAELZER KURT</v>
      </c>
      <c r="M52" s="6">
        <f t="shared" si="1"/>
        <v>2.2465277776063886E-2</v>
      </c>
      <c r="N52" s="7">
        <f t="shared" si="21"/>
        <v>32.349999997531995</v>
      </c>
      <c r="O52" s="7"/>
      <c r="P52" s="7"/>
      <c r="Q52" s="23"/>
      <c r="R52" s="23"/>
      <c r="S52" s="35">
        <f t="shared" si="18"/>
        <v>1</v>
      </c>
      <c r="T52" s="50" t="str">
        <f t="shared" si="2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08:16:03-700',mode:absolute,to:'2016-12-18 11:03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2" s="52" t="str">
        <f t="shared" si="20"/>
        <v>N</v>
      </c>
      <c r="X52" s="177">
        <f t="shared" ref="X52:X83" si="25">VALUE(LEFT(AD52,4))-VALUE(LEFT(AD51,4))</f>
        <v>1</v>
      </c>
      <c r="Y52" s="67">
        <f t="shared" si="6"/>
        <v>7.5700000000000003E-2</v>
      </c>
      <c r="Z52" s="67">
        <f t="shared" si="24"/>
        <v>15.789</v>
      </c>
      <c r="AA52" s="67">
        <f t="shared" si="7"/>
        <v>15.7133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8"/>
        <v>0147-18</v>
      </c>
      <c r="AE52" s="91" t="str">
        <f t="shared" si="9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52" s="88" t="str">
        <f t="shared" si="10"/>
        <v>"C:\Program Files (x86)\AstroGrep\AstroGrep.exe" /spath="%USERPROFILE%\AppData\Local\Temp\OnboardLogs" /stypes="app*4044*20161218*" /stext=" 17:.+((SYSTEM_STATE.+slice.+state.+changed )|(ment ac)|(multiple cpu faults)|(system.+state.+changed )|(\[timeout)|(PRM\|1\|D)|(kpr)|(kdp)|(\|lc)|(penalty))" /e /r /s</v>
      </c>
      <c r="AG52" s="1" t="str">
        <f t="shared" si="11"/>
        <v>EC</v>
      </c>
      <c r="AH52" s="92" t="str">
        <f t="shared" si="14"/>
        <v>"%USERPROFILE%\Documents\GitHub\eaglep3\Utilities\RefineRTDCRunTimes.py" --tripid 147-18 --locoid 4044 --swversion DE.1.0.8.0 --startMP 204:757 --initTime 2016-12-18T09:16:03 --startdatetime 2016-12-18T09:31:07 --delay 1 --endMP 204:157890 --enddatetime 2016-12-18T10:03:28 --enforcementcount 0 &gt;&gt;C:\Users\stu\Documents\GitHub\eaglep3-reporting\EC\2016-12-18-refined-times.txt</v>
      </c>
      <c r="AI52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{"issue":{"subject":"","project_id":79,"tracker_id":40,"status_id":1,"priority_id":2,"assigned_to_id":23,"start_date":"2016-12-18","description":"","custom_fields":[{"id":1,"name":"Subdivision","value":"EC"},{"id":4,"name":"Milepost","value":"15.789"},{"id":17,"name":"Train ID","value":"147-18"},{"id":16,"name":"Locomotive ID","value":"4044"},{"id":130,"name":"Impact","value":""},{"id":150,"name":"Time of Event (Mountain Time)","value":"10:03:28"},{"id":151,"name":"Denver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7" t="s">
        <v>519</v>
      </c>
      <c r="B53" s="7">
        <v>4028</v>
      </c>
      <c r="C53" s="22" t="s">
        <v>205</v>
      </c>
      <c r="D53" s="22" t="s">
        <v>788</v>
      </c>
      <c r="E53" s="13">
        <v>42722.427210648151</v>
      </c>
      <c r="F53" s="13">
        <v>42722.43236111111</v>
      </c>
      <c r="G53" s="7">
        <v>1</v>
      </c>
      <c r="H53" s="22" t="s">
        <v>211</v>
      </c>
      <c r="I53" s="13">
        <v>42722.463680555556</v>
      </c>
      <c r="J53" s="7">
        <v>0</v>
      </c>
      <c r="K53" s="109" t="str">
        <f t="shared" si="0"/>
        <v>4027/4028</v>
      </c>
      <c r="L53" s="22" t="str">
        <f>VLOOKUP(A53,'Trips&amp;Operators'!$C$1:$G$99999,5,FALSE)</f>
        <v>ROBINSON KADDIBA</v>
      </c>
      <c r="M53" s="6">
        <f t="shared" si="1"/>
        <v>3.1319444446125999E-2</v>
      </c>
      <c r="N53" s="7">
        <f t="shared" si="21"/>
        <v>45.100000002421439</v>
      </c>
      <c r="O53" s="7"/>
      <c r="P53" s="7"/>
      <c r="Q53" s="23"/>
      <c r="R53" s="23"/>
      <c r="S53" s="35">
        <f t="shared" si="18"/>
        <v>1</v>
      </c>
      <c r="T53" s="50" t="str">
        <f t="shared" si="2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09:15:11-700',mode:absolute,to:'2016-12-18 12:07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3" s="52" t="str">
        <f t="shared" si="20"/>
        <v>N</v>
      </c>
      <c r="X53" s="177">
        <f t="shared" si="25"/>
        <v>1</v>
      </c>
      <c r="Y53" s="67">
        <f t="shared" si="6"/>
        <v>15.804600000000001</v>
      </c>
      <c r="Z53" s="67">
        <f t="shared" si="24"/>
        <v>1.4999999999999999E-2</v>
      </c>
      <c r="AA53" s="67">
        <f t="shared" si="7"/>
        <v>15.7896</v>
      </c>
      <c r="AB53" s="64" t="str">
        <f>VLOOKUP(A53,Enforcements!$C$7:$K$19,8,0)</f>
        <v>Bulletin (2)</v>
      </c>
      <c r="AC53" s="60" t="str">
        <f>VLOOKUP(A53,Enforcements!$C$7:$E$19,3,0)</f>
        <v>GRADE CROSSING</v>
      </c>
      <c r="AD53" s="61" t="str">
        <f t="shared" si="8"/>
        <v>0148-18</v>
      </c>
      <c r="AE53" s="91" t="str">
        <f t="shared" si="9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53" s="88" t="str">
        <f t="shared" si="10"/>
        <v>"C:\Program Files (x86)\AstroGrep\AstroGrep.exe" /spath="%USERPROFILE%\AppData\Local\Temp\OnboardLogs" /stypes="app*4028*20161218*" /stext=" 18:.+((SYSTEM_STATE.+slice.+state.+changed )|(ment ac)|(multiple cpu faults)|(system.+state.+changed )|(\[timeout)|(PRM\|1\|D)|(kpr)|(kdp)|(\|lc)|(penalty))" /e /r /s</v>
      </c>
      <c r="AG53" s="1" t="str">
        <f t="shared" si="11"/>
        <v>EC</v>
      </c>
      <c r="AH53" s="92" t="str">
        <f t="shared" si="14"/>
        <v>"%USERPROFILE%\Documents\GitHub\eaglep3\Utilities\RefineRTDCRunTimes.py" --tripid 148-18 --locoid 4028 --swversion DE.1.0.8.0 --startMP 204:158046 --initTime 2016-12-18T10:15:11 --startdatetime 2016-12-18T10:22:36 --delay 1 --endMP 204:150 --enddatetime 2016-12-18T11:07:42 --enforcementcount 0 &gt;&gt;C:\Users\stu\Documents\GitHub\eaglep3-reporting\EC\2016-12-18-refined-times.txt</v>
      </c>
      <c r="AI53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{"issue":{"subject":"","project_id":79,"tracker_id":40,"status_id":1,"priority_id":2,"assigned_to_id":23,"start_date":"2016-12-18","description":"","custom_fields":[{"id":1,"name":"Subdivision","value":"EC"},{"id":4,"name":"Milepost","value":"0.015"},{"id":17,"name":"Train ID","value":"148-18"},{"id":16,"name":"Locomotive ID","value":"4028"},{"id":130,"name":"Impact","value":""},{"id":150,"name":"Time of Event (Mountain Time)","value":"11:07:42"},{"id":151,"name":"Denver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592</v>
      </c>
      <c r="B54" s="7">
        <v>4027</v>
      </c>
      <c r="C54" s="22" t="s">
        <v>205</v>
      </c>
      <c r="D54" s="22" t="s">
        <v>789</v>
      </c>
      <c r="E54" s="13">
        <v>42722.400868055556</v>
      </c>
      <c r="F54" s="13">
        <v>42722.406423611108</v>
      </c>
      <c r="G54" s="7">
        <v>1</v>
      </c>
      <c r="H54" s="22" t="s">
        <v>790</v>
      </c>
      <c r="I54" s="13">
        <v>42722.426122685189</v>
      </c>
      <c r="J54" s="7">
        <v>0</v>
      </c>
      <c r="K54" s="109" t="str">
        <f t="shared" si="0"/>
        <v>4027/4028</v>
      </c>
      <c r="L54" s="22" t="str">
        <f>VLOOKUP(A54,'Trips&amp;Operators'!$C$1:$G$99999,5,FALSE)</f>
        <v>ROBINSON KADDIBA</v>
      </c>
      <c r="M54" s="6">
        <f t="shared" si="1"/>
        <v>1.969907408056315E-2</v>
      </c>
      <c r="N54" s="7">
        <f t="shared" si="21"/>
        <v>28.366666676010936</v>
      </c>
      <c r="O54" s="7"/>
      <c r="P54" s="7"/>
      <c r="Q54" s="23"/>
      <c r="R54" s="23"/>
      <c r="S54" s="35">
        <f t="shared" si="18"/>
        <v>1</v>
      </c>
      <c r="T54" s="50" t="str">
        <f t="shared" si="2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08:37:15-700',mode:absolute,to:'2016-12-18 11:13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4" s="52" t="str">
        <f t="shared" si="20"/>
        <v>N</v>
      </c>
      <c r="X54" s="177">
        <f t="shared" si="25"/>
        <v>1</v>
      </c>
      <c r="Y54" s="67">
        <f t="shared" si="6"/>
        <v>7.2400000000000006E-2</v>
      </c>
      <c r="Z54" s="67">
        <f t="shared" si="24"/>
        <v>15.826700000000001</v>
      </c>
      <c r="AA54" s="67">
        <f t="shared" si="7"/>
        <v>15.754300000000001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8"/>
        <v>0149-18</v>
      </c>
      <c r="AE54" s="91" t="str">
        <f t="shared" si="9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54" s="88" t="str">
        <f t="shared" si="10"/>
        <v>"C:\Program Files (x86)\AstroGrep\AstroGrep.exe" /spath="%USERPROFILE%\AppData\Local\Temp\OnboardLogs" /stypes="app*4027*20161218*" /stext=" 17:.+((SYSTEM_STATE.+slice.+state.+changed )|(ment ac)|(multiple cpu faults)|(system.+state.+changed )|(\[timeout)|(PRM\|1\|D)|(kpr)|(kdp)|(\|lc)|(penalty))" /e /r /s</v>
      </c>
      <c r="AG54" s="1" t="str">
        <f t="shared" si="11"/>
        <v>EC</v>
      </c>
      <c r="AH54" s="92" t="str">
        <f t="shared" si="14"/>
        <v>"%USERPROFILE%\Documents\GitHub\eaglep3\Utilities\RefineRTDCRunTimes.py" --tripid 149-18 --locoid 4027 --swversion DE.1.0.8.0 --startMP 204:724 --initTime 2016-12-18T09:37:15 --startdatetime 2016-12-18T09:45:15 --delay 1 --endMP 204:158267 --enddatetime 2016-12-18T10:13:37 --enforcementcount 0 &gt;&gt;C:\Users\stu\Documents\GitHub\eaglep3-reporting\EC\2016-12-18-refined-times.txt</v>
      </c>
      <c r="AI54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{"issue":{"subject":"","project_id":79,"tracker_id":40,"status_id":1,"priority_id":2,"assigned_to_id":23,"start_date":"2016-12-18","description":"","custom_fields":[{"id":1,"name":"Subdivision","value":"EC"},{"id":4,"name":"Milepost","value":"15.8267"},{"id":17,"name":"Train ID","value":"149-18"},{"id":16,"name":"Locomotive ID","value":"4027"},{"id":130,"name":"Impact","value":""},{"id":150,"name":"Time of Event (Mountain Time)","value":"10:13:37"},{"id":151,"name":"Denver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603</v>
      </c>
      <c r="B55" s="7">
        <v>4039</v>
      </c>
      <c r="C55" s="22" t="s">
        <v>205</v>
      </c>
      <c r="D55" s="22" t="s">
        <v>791</v>
      </c>
      <c r="E55" s="13">
        <v>42722.444108796299</v>
      </c>
      <c r="F55" s="13">
        <v>42722.445694444446</v>
      </c>
      <c r="G55" s="7">
        <v>1</v>
      </c>
      <c r="H55" s="22" t="s">
        <v>265</v>
      </c>
      <c r="I55" s="13">
        <v>42722.4765162037</v>
      </c>
      <c r="J55" s="7">
        <v>0</v>
      </c>
      <c r="K55" s="109" t="str">
        <f t="shared" si="0"/>
        <v>4039/4040</v>
      </c>
      <c r="L55" s="22" t="str">
        <f>VLOOKUP(A55,'Trips&amp;Operators'!$C$1:$G$99999,5,FALSE)</f>
        <v>DAVIS WENDY</v>
      </c>
      <c r="M55" s="6">
        <f t="shared" si="1"/>
        <v>3.0821759253740311E-2</v>
      </c>
      <c r="N55" s="7">
        <f t="shared" si="21"/>
        <v>44.383333325386047</v>
      </c>
      <c r="O55" s="7"/>
      <c r="P55" s="7"/>
      <c r="Q55" s="23"/>
      <c r="R55" s="23"/>
      <c r="S55" s="35">
        <f t="shared" si="18"/>
        <v>1</v>
      </c>
      <c r="T55" s="50" t="str">
        <f t="shared" si="2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09:39:31-700',mode:absolute,to:'2016-12-18 12:26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5" s="52" t="str">
        <f t="shared" si="20"/>
        <v>N</v>
      </c>
      <c r="X55" s="177">
        <f t="shared" si="25"/>
        <v>1</v>
      </c>
      <c r="Y55" s="67">
        <f t="shared" si="6"/>
        <v>15.7605</v>
      </c>
      <c r="Z55" s="67">
        <f t="shared" si="24"/>
        <v>1.3899999999999999E-2</v>
      </c>
      <c r="AA55" s="67">
        <f t="shared" si="7"/>
        <v>15.746600000000001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8"/>
        <v>0150-18</v>
      </c>
      <c r="AE55" s="91" t="str">
        <f t="shared" si="9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55" s="88" t="str">
        <f t="shared" si="10"/>
        <v>"C:\Program Files (x86)\AstroGrep\AstroGrep.exe" /spath="%USERPROFILE%\AppData\Local\Temp\OnboardLogs" /stypes="app*4039*20161218*" /stext=" 18:.+((SYSTEM_STATE.+slice.+state.+changed )|(ment ac)|(multiple cpu faults)|(system.+state.+changed )|(\[timeout)|(PRM\|1\|D)|(kpr)|(kdp)|(\|lc)|(penalty))" /e /r /s</v>
      </c>
      <c r="AG55" s="1" t="str">
        <f t="shared" si="11"/>
        <v>EC</v>
      </c>
      <c r="AH55" s="92" t="str">
        <f t="shared" si="14"/>
        <v>"%USERPROFILE%\Documents\GitHub\eaglep3\Utilities\RefineRTDCRunTimes.py" --tripid 150-18 --locoid 4039 --swversion DE.1.0.8.0 --startMP 204:157605 --initTime 2016-12-18T10:39:31 --startdatetime 2016-12-18T10:41:48 --delay 1 --endMP 204:139 --enddatetime 2016-12-18T11:26:11 --enforcementcount 0 &gt;&gt;C:\Users\stu\Documents\GitHub\eaglep3-reporting\EC\2016-12-18-refined-times.txt</v>
      </c>
      <c r="AI55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{"issue":{"subject":"","project_id":79,"tracker_id":40,"status_id":1,"priority_id":2,"assigned_to_id":23,"start_date":"2016-12-18","description":"","custom_fields":[{"id":1,"name":"Subdivision","value":"EC"},{"id":4,"name":"Milepost","value":"0.0139"},{"id":17,"name":"Train ID","value":"150-18"},{"id":16,"name":"Locomotive ID","value":"4039"},{"id":130,"name":"Impact","value":""},{"id":150,"name":"Time of Event (Mountain Time)","value":"11:26:11"},{"id":151,"name":"Denver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593</v>
      </c>
      <c r="B56" s="7">
        <v>4040</v>
      </c>
      <c r="C56" s="22" t="s">
        <v>205</v>
      </c>
      <c r="D56" s="22" t="s">
        <v>279</v>
      </c>
      <c r="E56" s="13">
        <v>42722.406990740739</v>
      </c>
      <c r="F56" s="13">
        <v>42722.416898148149</v>
      </c>
      <c r="G56" s="7">
        <v>1</v>
      </c>
      <c r="H56" s="22" t="s">
        <v>792</v>
      </c>
      <c r="I56" s="13">
        <v>42722.44259259259</v>
      </c>
      <c r="J56" s="7">
        <v>0</v>
      </c>
      <c r="K56" s="109" t="str">
        <f t="shared" si="0"/>
        <v>4039/4040</v>
      </c>
      <c r="L56" s="22" t="str">
        <f>VLOOKUP(A56,'Trips&amp;Operators'!$C$1:$G$99999,5,FALSE)</f>
        <v>DAVIS WENDY</v>
      </c>
      <c r="M56" s="6">
        <f t="shared" si="1"/>
        <v>2.569444444088731E-2</v>
      </c>
      <c r="N56" s="7">
        <f t="shared" si="21"/>
        <v>36.999999994877726</v>
      </c>
      <c r="O56" s="7"/>
      <c r="P56" s="7"/>
      <c r="Q56" s="23"/>
      <c r="R56" s="23"/>
      <c r="S56" s="35">
        <f t="shared" si="18"/>
        <v>1</v>
      </c>
      <c r="T56" s="50" t="str">
        <f t="shared" si="2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08:46:04-700',mode:absolute,to:'2016-12-18 11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6" s="52" t="str">
        <f t="shared" si="20"/>
        <v>N</v>
      </c>
      <c r="X56" s="177">
        <f t="shared" si="25"/>
        <v>1</v>
      </c>
      <c r="Y56" s="67">
        <f t="shared" si="6"/>
        <v>4.6199999999999998E-2</v>
      </c>
      <c r="Z56" s="67">
        <f t="shared" si="24"/>
        <v>15.783799999999999</v>
      </c>
      <c r="AA56" s="67">
        <f t="shared" si="7"/>
        <v>15.737599999999999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8"/>
        <v>0151-18</v>
      </c>
      <c r="AE56" s="91" t="str">
        <f t="shared" si="9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56" s="88" t="str">
        <f t="shared" si="10"/>
        <v>"C:\Program Files (x86)\AstroGrep\AstroGrep.exe" /spath="%USERPROFILE%\AppData\Local\Temp\OnboardLogs" /stypes="app*4040*20161218*" /stext=" 17:.+((SYSTEM_STATE.+slice.+state.+changed )|(ment ac)|(multiple cpu faults)|(system.+state.+changed )|(\[timeout)|(PRM\|1\|D)|(kpr)|(kdp)|(\|lc)|(penalty))" /e /r /s</v>
      </c>
      <c r="AG56" s="1" t="str">
        <f t="shared" si="11"/>
        <v>EC</v>
      </c>
      <c r="AH56" s="92" t="str">
        <f t="shared" si="14"/>
        <v>"%USERPROFILE%\Documents\GitHub\eaglep3\Utilities\RefineRTDCRunTimes.py" --tripid 151-18 --locoid 4040 --swversion DE.1.0.8.0 --startMP 204:462 --initTime 2016-12-18T09:46:04 --startdatetime 2016-12-18T10:00:20 --delay 1 --endMP 204:157838 --enddatetime 2016-12-18T10:37:20 --enforcementcount 0 &gt;&gt;C:\Users\stu\Documents\GitHub\eaglep3-reporting\EC\2016-12-18-refined-times.txt</v>
      </c>
      <c r="AI56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{"issue":{"subject":"","project_id":79,"tracker_id":40,"status_id":1,"priority_id":2,"assigned_to_id":23,"start_date":"2016-12-18","description":"","custom_fields":[{"id":1,"name":"Subdivision","value":"EC"},{"id":4,"name":"Milepost","value":"15.7838"},{"id":17,"name":"Train ID","value":"151-18"},{"id":16,"name":"Locomotive ID","value":"4040"},{"id":130,"name":"Impact","value":""},{"id":150,"name":"Time of Event (Mountain Time)","value":"10:37:20"},{"id":151,"name":"Denver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606</v>
      </c>
      <c r="B57" s="7">
        <v>4030</v>
      </c>
      <c r="C57" s="22" t="s">
        <v>205</v>
      </c>
      <c r="D57" s="22" t="s">
        <v>793</v>
      </c>
      <c r="E57" s="13">
        <v>42722.45039351852</v>
      </c>
      <c r="F57" s="13">
        <v>42722.452731481484</v>
      </c>
      <c r="G57" s="7">
        <v>1</v>
      </c>
      <c r="H57" s="22" t="s">
        <v>224</v>
      </c>
      <c r="I57" s="13">
        <v>42722.483541666668</v>
      </c>
      <c r="J57" s="7">
        <v>0</v>
      </c>
      <c r="K57" s="109" t="str">
        <f t="shared" si="0"/>
        <v>4029/4030</v>
      </c>
      <c r="L57" s="22" t="str">
        <f>VLOOKUP(A57,'Trips&amp;Operators'!$C$1:$G$99999,5,FALSE)</f>
        <v>GEBRETEKLE DAGNEW</v>
      </c>
      <c r="M57" s="6">
        <f t="shared" si="1"/>
        <v>3.0810185184236616E-2</v>
      </c>
      <c r="N57" s="7">
        <f t="shared" si="21"/>
        <v>44.366666665300727</v>
      </c>
      <c r="O57" s="7"/>
      <c r="P57" s="7"/>
      <c r="Q57" s="23"/>
      <c r="R57" s="23"/>
      <c r="S57" s="35">
        <f t="shared" si="18"/>
        <v>1</v>
      </c>
      <c r="T57" s="50" t="str">
        <f t="shared" si="2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09:48:34-700',mode:absolute,to:'2016-12-18 12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7" s="52" t="str">
        <f t="shared" si="20"/>
        <v>N</v>
      </c>
      <c r="X57" s="177">
        <f t="shared" si="25"/>
        <v>1</v>
      </c>
      <c r="Y57" s="67">
        <f t="shared" si="6"/>
        <v>15.773999999999999</v>
      </c>
      <c r="Z57" s="67">
        <f t="shared" si="24"/>
        <v>1.54E-2</v>
      </c>
      <c r="AA57" s="67">
        <f t="shared" si="7"/>
        <v>15.758599999999999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8"/>
        <v>0152-18</v>
      </c>
      <c r="AE57" s="91" t="str">
        <f t="shared" si="9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57" s="88" t="str">
        <f t="shared" si="10"/>
        <v>"C:\Program Files (x86)\AstroGrep\AstroGrep.exe" /spath="%USERPROFILE%\AppData\Local\Temp\OnboardLogs" /stypes="app*4030*20161218*" /stext=" 18:.+((SYSTEM_STATE.+slice.+state.+changed )|(ment ac)|(multiple cpu faults)|(system.+state.+changed )|(\[timeout)|(PRM\|1\|D)|(kpr)|(kdp)|(\|lc)|(penalty))" /e /r /s</v>
      </c>
      <c r="AG57" s="1" t="str">
        <f t="shared" si="11"/>
        <v>EC</v>
      </c>
      <c r="AH57" s="92" t="str">
        <f t="shared" si="14"/>
        <v>"%USERPROFILE%\Documents\GitHub\eaglep3\Utilities\RefineRTDCRunTimes.py" --tripid 152-18 --locoid 4030 --swversion DE.1.0.8.0 --startMP 204:157740 --initTime 2016-12-18T10:48:34 --startdatetime 2016-12-18T10:51:56 --delay 1 --endMP 204:154 --enddatetime 2016-12-18T11:36:18 --enforcementcount 0 &gt;&gt;C:\Users\stu\Documents\GitHub\eaglep3-reporting\EC\2016-12-18-refined-times.txt</v>
      </c>
      <c r="AI57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{"issue":{"subject":"","project_id":79,"tracker_id":40,"status_id":1,"priority_id":2,"assigned_to_id":23,"start_date":"2016-12-18","description":"","custom_fields":[{"id":1,"name":"Subdivision","value":"EC"},{"id":4,"name":"Milepost","value":"0.0154"},{"id":17,"name":"Train ID","value":"152-18"},{"id":16,"name":"Locomotive ID","value":"4030"},{"id":130,"name":"Impact","value":""},{"id":150,"name":"Time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597</v>
      </c>
      <c r="B58" s="7">
        <v>4029</v>
      </c>
      <c r="C58" s="22" t="s">
        <v>205</v>
      </c>
      <c r="D58" s="22" t="s">
        <v>251</v>
      </c>
      <c r="E58" s="13">
        <v>42722.416481481479</v>
      </c>
      <c r="F58" s="13">
        <v>42722.427268518521</v>
      </c>
      <c r="G58" s="7">
        <v>2</v>
      </c>
      <c r="H58" s="22" t="s">
        <v>794</v>
      </c>
      <c r="I58" s="13">
        <v>42722.447210648148</v>
      </c>
      <c r="J58" s="7">
        <v>0</v>
      </c>
      <c r="K58" s="109" t="str">
        <f t="shared" si="0"/>
        <v>4029/4030</v>
      </c>
      <c r="L58" s="22" t="str">
        <f>VLOOKUP(A58,'Trips&amp;Operators'!$C$1:$G$99999,5,FALSE)</f>
        <v>GEBRETEKLE DAGNEW</v>
      </c>
      <c r="M58" s="6">
        <f t="shared" si="1"/>
        <v>1.9942129627452232E-2</v>
      </c>
      <c r="N58" s="7">
        <f t="shared" si="21"/>
        <v>28.716666663531214</v>
      </c>
      <c r="O58" s="7"/>
      <c r="P58" s="7"/>
      <c r="Q58" s="23"/>
      <c r="R58" s="23"/>
      <c r="S58" s="35">
        <f t="shared" si="18"/>
        <v>1</v>
      </c>
      <c r="T58" s="50" t="str">
        <f t="shared" si="2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08:59:44-700',mode:absolute,to:'2016-12-18 11:43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8" s="52" t="str">
        <f t="shared" si="20"/>
        <v>N</v>
      </c>
      <c r="X58" s="177">
        <f t="shared" si="25"/>
        <v>1</v>
      </c>
      <c r="Y58" s="67">
        <f t="shared" si="6"/>
        <v>4.4600000000000001E-2</v>
      </c>
      <c r="Z58" s="67">
        <f t="shared" si="24"/>
        <v>15.7966</v>
      </c>
      <c r="AA58" s="67">
        <f t="shared" si="7"/>
        <v>15.751999999999999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8"/>
        <v>0153-18</v>
      </c>
      <c r="AE58" s="91" t="str">
        <f t="shared" si="9"/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AF58" s="88" t="str">
        <f t="shared" si="10"/>
        <v>"C:\Program Files (x86)\AstroGrep\AstroGrep.exe" /spath="%USERPROFILE%\AppData\Local\Temp\OnboardLogs" /stypes="app*4029*20161218*" /stext=" 17:.+((SYSTEM_STATE.+slice.+state.+changed )|(ment ac)|(multiple cpu faults)|(system.+state.+changed )|(\[timeout)|(PRM\|1\|D)|(kpr)|(kdp)|(\|lc)|(penalty))" /e /r /s</v>
      </c>
      <c r="AG58" s="1" t="str">
        <f t="shared" si="11"/>
        <v>EC</v>
      </c>
      <c r="AH58" s="92" t="str">
        <f t="shared" si="14"/>
        <v>"%USERPROFILE%\Documents\GitHub\eaglep3\Utilities\RefineRTDCRunTimes.py" --tripid 153-18 --locoid 4029 --swversion DE.1.0.8.0 --startMP 204:446 --initTime 2016-12-18T09:59:44 --startdatetime 2016-12-18T10:15:16 --delay 2 --endMP 204:157966 --enddatetime 2016-12-18T10:43:59 --enforcementcount 0 &gt;&gt;C:\Users\stu\Documents\GitHub\eaglep3-reporting\EC\2016-12-18-refined-times.txt</v>
      </c>
      <c r="AI58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{"issue":{"subject":"","project_id":79,"tracker_id":40,"status_id":1,"priority_id":2,"assigned_to_id":23,"start_date":"2016-12-18","description":"","custom_fields":[{"id":1,"name":"Subdivision","value":"EC"},{"id":4,"name":"Milepost","value":"15.7966"},{"id":17,"name":"Train ID","value":"153-18"},{"id":16,"name":"Locomotive ID","value":"4029"},{"id":130,"name":"Impact","value":""},{"id":150,"name":"Time of Event (Mountain Time)","value":"10:43:59"},{"id":151,"name":"Denver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520</v>
      </c>
      <c r="B59" s="7">
        <v>4013</v>
      </c>
      <c r="C59" s="22" t="s">
        <v>205</v>
      </c>
      <c r="D59" s="22" t="s">
        <v>795</v>
      </c>
      <c r="E59" s="13">
        <v>42722.461273148147</v>
      </c>
      <c r="F59" s="13">
        <v>42722.463773148149</v>
      </c>
      <c r="G59" s="7">
        <v>2</v>
      </c>
      <c r="H59" s="22" t="s">
        <v>466</v>
      </c>
      <c r="I59" s="13">
        <v>42722.494293981479</v>
      </c>
      <c r="J59" s="7">
        <v>0</v>
      </c>
      <c r="K59" s="109" t="str">
        <f t="shared" si="0"/>
        <v>4013/4014</v>
      </c>
      <c r="L59" s="22" t="str">
        <f>VLOOKUP(A59,'Trips&amp;Operators'!$C$1:$G$99999,5,FALSE)</f>
        <v>ADANE ELSHADAY</v>
      </c>
      <c r="M59" s="6">
        <f t="shared" si="1"/>
        <v>3.0520833330228925E-2</v>
      </c>
      <c r="N59" s="7">
        <f t="shared" si="21"/>
        <v>43.949999995529652</v>
      </c>
      <c r="O59" s="7"/>
      <c r="P59" s="7"/>
      <c r="Q59" s="23"/>
      <c r="R59" s="23"/>
      <c r="S59" s="35">
        <f t="shared" si="18"/>
        <v>1</v>
      </c>
      <c r="T59" s="50" t="str">
        <f t="shared" si="2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10:04:14-700',mode:absolute,to:'2016-12-18 12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9" s="52" t="str">
        <f t="shared" si="20"/>
        <v>N</v>
      </c>
      <c r="X59" s="177">
        <f t="shared" si="25"/>
        <v>1</v>
      </c>
      <c r="Y59" s="67">
        <f t="shared" si="6"/>
        <v>15.7844</v>
      </c>
      <c r="Z59" s="67">
        <f t="shared" si="24"/>
        <v>1.21E-2</v>
      </c>
      <c r="AA59" s="67">
        <f t="shared" si="7"/>
        <v>15.7723</v>
      </c>
      <c r="AB59" s="64" t="str">
        <f>VLOOKUP(A59,Enforcements!$C$7:$K$19,8,0)</f>
        <v>Bulletin (2)</v>
      </c>
      <c r="AC59" s="60" t="str">
        <f>VLOOKUP(A59,Enforcements!$C$7:$E$19,3,0)</f>
        <v>GRADE CROSSING</v>
      </c>
      <c r="AD59" s="61" t="str">
        <f t="shared" si="8"/>
        <v>0154-18</v>
      </c>
      <c r="AE59" s="91" t="str">
        <f t="shared" si="9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59" s="88" t="str">
        <f t="shared" si="10"/>
        <v>"C:\Program Files (x86)\AstroGrep\AstroGrep.exe" /spath="%USERPROFILE%\AppData\Local\Temp\OnboardLogs" /stypes="app*4013*20161218*" /stext=" 18:.+((SYSTEM_STATE.+slice.+state.+changed )|(ment ac)|(multiple cpu faults)|(system.+state.+changed )|(\[timeout)|(PRM\|1\|D)|(kpr)|(kdp)|(\|lc)|(penalty))" /e /r /s</v>
      </c>
      <c r="AG59" s="1" t="str">
        <f t="shared" si="11"/>
        <v>EC</v>
      </c>
      <c r="AH59" s="92" t="str">
        <f t="shared" si="14"/>
        <v>"%USERPROFILE%\Documents\GitHub\eaglep3\Utilities\RefineRTDCRunTimes.py" --tripid 154-18 --locoid 4013 --swversion DE.1.0.8.0 --startMP 204:157844 --initTime 2016-12-18T11:04:14 --startdatetime 2016-12-18T11:07:50 --delay 2 --endMP 204:121 --enddatetime 2016-12-18T11:51:47 --enforcementcount 0 &gt;&gt;C:\Users\stu\Documents\GitHub\eaglep3-reporting\EC\2016-12-18-refined-times.txt</v>
      </c>
      <c r="AI59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{"issue":{"subject":"","project_id":79,"tracker_id":40,"status_id":1,"priority_id":2,"assigned_to_id":23,"start_date":"2016-12-18","description":"","custom_fields":[{"id":1,"name":"Subdivision","value":"EC"},{"id":4,"name":"Milepost","value":"0.0121"},{"id":17,"name":"Train ID","value":"154-18"},{"id":16,"name":"Locomotive ID","value":"4013"},{"id":130,"name":"Impact","value":""},{"id":150,"name":"Time of Event (Mountain Time)","value":"11:51:47"},{"id":151,"name":"Denver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599</v>
      </c>
      <c r="B60" s="7">
        <v>4014</v>
      </c>
      <c r="C60" s="22" t="s">
        <v>205</v>
      </c>
      <c r="D60" s="22" t="s">
        <v>470</v>
      </c>
      <c r="E60" s="13">
        <v>42722.428726851853</v>
      </c>
      <c r="F60" s="13">
        <v>42722.4378125</v>
      </c>
      <c r="G60" s="7">
        <v>1</v>
      </c>
      <c r="H60" s="22" t="s">
        <v>796</v>
      </c>
      <c r="I60" s="13">
        <v>42722.46</v>
      </c>
      <c r="J60" s="7">
        <v>0</v>
      </c>
      <c r="K60" s="109" t="str">
        <f t="shared" si="0"/>
        <v>4013/4014</v>
      </c>
      <c r="L60" s="22" t="str">
        <f>VLOOKUP(A60,'Trips&amp;Operators'!$C$1:$G$99999,5,FALSE)</f>
        <v>ADANE ELSHADAY</v>
      </c>
      <c r="M60" s="6">
        <f t="shared" si="1"/>
        <v>2.2187499998835847E-2</v>
      </c>
      <c r="N60" s="7">
        <f t="shared" si="21"/>
        <v>31.949999998323619</v>
      </c>
      <c r="O60" s="7"/>
      <c r="P60" s="7"/>
      <c r="Q60" s="23"/>
      <c r="R60" s="23"/>
      <c r="S60" s="35">
        <f t="shared" si="18"/>
        <v>1</v>
      </c>
      <c r="T60" s="50" t="str">
        <f t="shared" si="2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09:17:22-700',mode:absolute,to:'2016-12-18 12:02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52" t="str">
        <f t="shared" si="20"/>
        <v>N</v>
      </c>
      <c r="X60" s="177">
        <f t="shared" si="25"/>
        <v>1</v>
      </c>
      <c r="Y60" s="67">
        <f t="shared" si="6"/>
        <v>4.4900000000000002E-2</v>
      </c>
      <c r="Z60" s="67">
        <f t="shared" si="24"/>
        <v>15.806900000000001</v>
      </c>
      <c r="AA60" s="67">
        <f t="shared" si="7"/>
        <v>15.762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8"/>
        <v>0155-18</v>
      </c>
      <c r="AE60" s="91" t="str">
        <f t="shared" si="9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60" s="88" t="str">
        <f t="shared" si="10"/>
        <v>"C:\Program Files (x86)\AstroGrep\AstroGrep.exe" /spath="%USERPROFILE%\AppData\Local\Temp\OnboardLogs" /stypes="app*4014*20161218*" /stext=" 18:.+((SYSTEM_STATE.+slice.+state.+changed )|(ment ac)|(multiple cpu faults)|(system.+state.+changed )|(\[timeout)|(PRM\|1\|D)|(kpr)|(kdp)|(\|lc)|(penalty))" /e /r /s</v>
      </c>
      <c r="AG60" s="1" t="str">
        <f t="shared" si="11"/>
        <v>EC</v>
      </c>
      <c r="AH60" s="92" t="str">
        <f t="shared" si="14"/>
        <v>"%USERPROFILE%\Documents\GitHub\eaglep3\Utilities\RefineRTDCRunTimes.py" --tripid 155-18 --locoid 4014 --swversion DE.1.0.8.0 --startMP 204:449 --initTime 2016-12-18T10:17:22 --startdatetime 2016-12-18T10:30:27 --delay 1 --endMP 204:158069 --enddatetime 2016-12-18T11:02:24 --enforcementcount 0 &gt;&gt;C:\Users\stu\Documents\GitHub\eaglep3-reporting\EC\2016-12-18-refined-times.txt</v>
      </c>
      <c r="AI60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{"issue":{"subject":"","project_id":79,"tracker_id":40,"status_id":1,"priority_id":2,"assigned_to_id":23,"start_date":"2016-12-18","description":"","custom_fields":[{"id":1,"name":"Subdivision","value":"EC"},{"id":4,"name":"Milepost","value":"15.8069"},{"id":17,"name":"Train ID","value":"155-18"},{"id":16,"name":"Locomotive ID","value":"4014"},{"id":130,"name":"Impact","value":""},{"id":150,"name":"Time of Event (Mountain Time)","value":"11:02:24"},{"id":151,"name":"Denver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609</v>
      </c>
      <c r="B61" s="7">
        <v>4010</v>
      </c>
      <c r="C61" s="22" t="s">
        <v>205</v>
      </c>
      <c r="D61" s="22" t="s">
        <v>797</v>
      </c>
      <c r="E61" s="13">
        <v>42722.47</v>
      </c>
      <c r="F61" s="13">
        <v>42722.474421296298</v>
      </c>
      <c r="G61" s="7">
        <v>2</v>
      </c>
      <c r="H61" s="22" t="s">
        <v>225</v>
      </c>
      <c r="I61" s="13">
        <v>42722.50445601852</v>
      </c>
      <c r="J61" s="7">
        <v>0</v>
      </c>
      <c r="K61" s="109" t="str">
        <f t="shared" si="0"/>
        <v>4009/4010</v>
      </c>
      <c r="L61" s="22" t="str">
        <f>VLOOKUP(A61,'Trips&amp;Operators'!$C$1:$G$99999,5,FALSE)</f>
        <v>SHOOK JOHN</v>
      </c>
      <c r="M61" s="6">
        <f t="shared" si="1"/>
        <v>3.0034722221898846E-2</v>
      </c>
      <c r="N61" s="7">
        <f t="shared" si="21"/>
        <v>43.249999999534339</v>
      </c>
      <c r="O61" s="7"/>
      <c r="P61" s="7"/>
      <c r="Q61" s="23"/>
      <c r="R61" s="23"/>
      <c r="S61" s="35">
        <f t="shared" si="18"/>
        <v>1</v>
      </c>
      <c r="T61" s="50" t="str">
        <f t="shared" si="2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10:16:48-700',mode:absolute,to:'2016-12-18 13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1" s="52" t="str">
        <f t="shared" si="20"/>
        <v>N</v>
      </c>
      <c r="X61" s="177">
        <f t="shared" si="25"/>
        <v>1</v>
      </c>
      <c r="Y61" s="67">
        <f t="shared" si="6"/>
        <v>15.8064</v>
      </c>
      <c r="Z61" s="67">
        <f t="shared" si="24"/>
        <v>1.41E-2</v>
      </c>
      <c r="AA61" s="67">
        <f t="shared" si="7"/>
        <v>15.792300000000001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8"/>
        <v>0156-18</v>
      </c>
      <c r="AE61" s="91" t="str">
        <f t="shared" si="9"/>
        <v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v>
      </c>
      <c r="AF61" s="88" t="str">
        <f t="shared" si="10"/>
        <v>"C:\Program Files (x86)\AstroGrep\AstroGrep.exe" /spath="%USERPROFILE%\AppData\Local\Temp\OnboardLogs" /stypes="app*4010*20161218*" /stext=" 19:.+((SYSTEM_STATE.+slice.+state.+changed )|(ment ac)|(multiple cpu faults)|(system.+state.+changed )|(\[timeout)|(PRM\|1\|D)|(kpr)|(kdp)|(\|lc)|(penalty))" /e /r /s</v>
      </c>
      <c r="AG61" s="1" t="str">
        <f t="shared" si="11"/>
        <v>EC</v>
      </c>
      <c r="AH61" s="92" t="str">
        <f t="shared" si="14"/>
        <v>"%USERPROFILE%\Documents\GitHub\eaglep3\Utilities\RefineRTDCRunTimes.py" --tripid 156-18 --locoid 4010 --swversion DE.1.0.8.0 --startMP 204:158064 --initTime 2016-12-18T11:16:48 --startdatetime 2016-12-18T11:23:10 --delay 2 --endMP 204:141 --enddatetime 2016-12-18T12:06:25 --enforcementcount 0 &gt;&gt;C:\Users\stu\Documents\GitHub\eaglep3-reporting\EC\2016-12-18-refined-times.txt</v>
      </c>
      <c r="AI61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{"issue":{"subject":"","project_id":79,"tracker_id":40,"status_id":1,"priority_id":2,"assigned_to_id":23,"start_date":"2016-12-18","description":"","custom_fields":[{"id":1,"name":"Subdivision","value":"EC"},{"id":4,"name":"Milepost","value":"0.0141"},{"id":17,"name":"Train ID","value":"156-18"},{"id":16,"name":"Locomotive ID","value":"4010"},{"id":130,"name":"Impact","value":""},{"id":150,"name":"Time of Event (Mountain Time)","value":"12:06:25"},{"id":151,"name":"Denver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600</v>
      </c>
      <c r="B62" s="7">
        <v>4009</v>
      </c>
      <c r="C62" s="22" t="s">
        <v>205</v>
      </c>
      <c r="D62" s="22" t="s">
        <v>798</v>
      </c>
      <c r="E62" s="13">
        <v>42722.44091435185</v>
      </c>
      <c r="F62" s="13">
        <v>42722.448125000003</v>
      </c>
      <c r="G62" s="7">
        <v>1</v>
      </c>
      <c r="H62" s="22" t="s">
        <v>799</v>
      </c>
      <c r="I62" s="13">
        <v>42722.468518518515</v>
      </c>
      <c r="J62" s="7">
        <v>0</v>
      </c>
      <c r="K62" s="109" t="str">
        <f t="shared" si="0"/>
        <v>4009/4010</v>
      </c>
      <c r="L62" s="22" t="str">
        <f>VLOOKUP(A62,'Trips&amp;Operators'!$C$1:$G$99999,5,FALSE)</f>
        <v>SHOOK JOHN</v>
      </c>
      <c r="M62" s="6">
        <f t="shared" si="1"/>
        <v>2.0393518512719311E-2</v>
      </c>
      <c r="N62" s="7">
        <f t="shared" si="21"/>
        <v>29.366666658315808</v>
      </c>
      <c r="O62" s="7"/>
      <c r="P62" s="7"/>
      <c r="Q62" s="23"/>
      <c r="R62" s="23"/>
      <c r="S62" s="35">
        <f t="shared" si="18"/>
        <v>1</v>
      </c>
      <c r="T62" s="50" t="str">
        <f t="shared" si="2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09:34:55-700',mode:absolute,to:'2016-12-18 12:14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2" s="52" t="str">
        <f t="shared" si="20"/>
        <v>Y</v>
      </c>
      <c r="X62" s="177">
        <f t="shared" si="25"/>
        <v>1</v>
      </c>
      <c r="Y62" s="67">
        <f t="shared" si="6"/>
        <v>0.153</v>
      </c>
      <c r="Z62" s="67">
        <f t="shared" si="24"/>
        <v>15.8293</v>
      </c>
      <c r="AA62" s="67">
        <f t="shared" si="7"/>
        <v>15.676299999999999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8"/>
        <v>0157-18</v>
      </c>
      <c r="AE62" s="91" t="str">
        <f t="shared" si="9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62" s="88" t="str">
        <f t="shared" si="10"/>
        <v>"C:\Program Files (x86)\AstroGrep\AstroGrep.exe" /spath="%USERPROFILE%\AppData\Local\Temp\OnboardLogs" /stypes="app*4009*20161218*" /stext=" 18:.+((SYSTEM_STATE.+slice.+state.+changed )|(ment ac)|(multiple cpu faults)|(system.+state.+changed )|(\[timeout)|(PRM\|1\|D)|(kpr)|(kdp)|(\|lc)|(penalty))" /e /r /s</v>
      </c>
      <c r="AG62" s="1" t="str">
        <f t="shared" si="11"/>
        <v>EC</v>
      </c>
      <c r="AH62" s="92" t="str">
        <f t="shared" si="14"/>
        <v>"%USERPROFILE%\Documents\GitHub\eaglep3\Utilities\RefineRTDCRunTimes.py" --tripid 157-18 --locoid 4009 --swversion DE.1.0.8.0 --startMP 204:1530 --initTime 2016-12-18T10:34:55 --startdatetime 2016-12-18T10:45:18 --delay 1 --endMP 204:158293 --enddatetime 2016-12-18T11:14:40 --enforcementcount 0 &gt;&gt;C:\Users\stu\Documents\GitHub\eaglep3-reporting\EC\2016-12-18-refined-times.txt</v>
      </c>
      <c r="AI62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{"issue":{"subject":"","project_id":79,"tracker_id":40,"status_id":1,"priority_id":2,"assigned_to_id":23,"start_date":"2016-12-18","description":"","custom_fields":[{"id":1,"name":"Subdivision","value":"EC"},{"id":4,"name":"Milepost","value":"15.8293"},{"id":17,"name":"Train ID","value":"157-18"},{"id":16,"name":"Locomotive ID","value":"4009"},{"id":130,"name":"Impact","value":""},{"id":150,"name":"Time of Event (Mountain Time)","value":"11:14:40"},{"id":151,"name":"Denver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521</v>
      </c>
      <c r="B63" s="7">
        <v>4045</v>
      </c>
      <c r="C63" s="22" t="s">
        <v>205</v>
      </c>
      <c r="D63" s="22" t="s">
        <v>800</v>
      </c>
      <c r="E63" s="13">
        <v>42722.484618055554</v>
      </c>
      <c r="F63" s="13">
        <v>42722.486643518518</v>
      </c>
      <c r="G63" s="7">
        <v>1</v>
      </c>
      <c r="H63" s="22" t="s">
        <v>236</v>
      </c>
      <c r="I63" s="13">
        <v>42722.516956018517</v>
      </c>
      <c r="J63" s="7">
        <v>0</v>
      </c>
      <c r="K63" s="109" t="str">
        <f t="shared" si="0"/>
        <v>4045/4046</v>
      </c>
      <c r="L63" s="22" t="str">
        <f>VLOOKUP(A63,'Trips&amp;Operators'!$C$1:$G$99999,5,FALSE)</f>
        <v>STEWART MICHAEL</v>
      </c>
      <c r="M63" s="6">
        <f t="shared" si="1"/>
        <v>3.0312499999126885E-2</v>
      </c>
      <c r="N63" s="7">
        <f t="shared" si="21"/>
        <v>43.649999998742715</v>
      </c>
      <c r="O63" s="7"/>
      <c r="P63" s="7"/>
      <c r="Q63" s="23"/>
      <c r="R63" s="23"/>
      <c r="S63" s="35">
        <f t="shared" si="18"/>
        <v>1</v>
      </c>
      <c r="T63" s="50" t="str">
        <f t="shared" si="2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10:37:51-700',mode:absolute,to:'2016-12-18 13:24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3" s="52" t="str">
        <f t="shared" si="20"/>
        <v>N</v>
      </c>
      <c r="X63" s="177">
        <f t="shared" si="25"/>
        <v>1</v>
      </c>
      <c r="Y63" s="67">
        <f t="shared" si="6"/>
        <v>15.7797</v>
      </c>
      <c r="Z63" s="67">
        <f t="shared" si="24"/>
        <v>1.4500000000000001E-2</v>
      </c>
      <c r="AA63" s="67">
        <f t="shared" si="7"/>
        <v>15.7652</v>
      </c>
      <c r="AB63" s="64" t="str">
        <f>VLOOKUP(A63,Enforcements!$C$7:$K$19,8,0)</f>
        <v>Speed (6)</v>
      </c>
      <c r="AC63" s="60" t="str">
        <f>VLOOKUP(A63,Enforcements!$C$7:$E$19,3,0)</f>
        <v>PERMANENT SPEED RESTRICTION</v>
      </c>
      <c r="AD63" s="61" t="str">
        <f t="shared" si="8"/>
        <v>0158-18</v>
      </c>
      <c r="AE63" s="91" t="str">
        <f t="shared" si="9"/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AF63" s="88" t="str">
        <f t="shared" si="10"/>
        <v>"C:\Program Files (x86)\AstroGrep\AstroGrep.exe" /spath="%USERPROFILE%\AppData\Local\Temp\OnboardLogs" /stypes="app*4045*20161218*" /stext=" 19:.+((SYSTEM_STATE.+slice.+state.+changed )|(ment ac)|(multiple cpu faults)|(system.+state.+changed )|(\[timeout)|(PRM\|1\|D)|(kpr)|(kdp)|(\|lc)|(penalty))" /e /r /s</v>
      </c>
      <c r="AG63" s="1" t="str">
        <f t="shared" si="11"/>
        <v>EC</v>
      </c>
      <c r="AH63" s="92" t="str">
        <f t="shared" si="14"/>
        <v>"%USERPROFILE%\Documents\GitHub\eaglep3\Utilities\RefineRTDCRunTimes.py" --tripid 158-18 --locoid 4045 --swversion DE.1.0.8.0 --startMP 204:157797 --initTime 2016-12-18T11:37:51 --startdatetime 2016-12-18T11:40:46 --delay 1 --endMP 204:145 --enddatetime 2016-12-18T12:24:25 --enforcementcount 0 &gt;&gt;C:\Users\stu\Documents\GitHub\eaglep3-reporting\EC\2016-12-18-refined-times.txt</v>
      </c>
      <c r="AI63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{"issue":{"subject":"","project_id":79,"tracker_id":40,"status_id":1,"priority_id":2,"assigned_to_id":23,"start_date":"2016-12-18","description":"","custom_fields":[{"id":1,"name":"Subdivision","value":"EC"},{"id":4,"name":"Milepost","value":"0.0145"},{"id":17,"name":"Train ID","value":"158-18"},{"id":16,"name":"Locomotive ID","value":"4045"},{"id":130,"name":"Impact","value":""},{"id":150,"name":"Time of Event (Mountain Time)","value":"12:24:25"},{"id":151,"name":"Denver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604</v>
      </c>
      <c r="B64" s="7">
        <v>4046</v>
      </c>
      <c r="C64" s="22" t="s">
        <v>205</v>
      </c>
      <c r="D64" s="22" t="s">
        <v>801</v>
      </c>
      <c r="E64" s="13">
        <v>42722.449780092589</v>
      </c>
      <c r="F64" s="13">
        <v>42722.458715277775</v>
      </c>
      <c r="G64" s="7">
        <v>2</v>
      </c>
      <c r="H64" s="22" t="s">
        <v>802</v>
      </c>
      <c r="I64" s="13">
        <v>42722.481631944444</v>
      </c>
      <c r="J64" s="7">
        <v>0</v>
      </c>
      <c r="K64" s="109" t="str">
        <f t="shared" si="0"/>
        <v>4045/4046</v>
      </c>
      <c r="L64" s="22" t="str">
        <f>VLOOKUP(A64,'Trips&amp;Operators'!$C$1:$G$99999,5,FALSE)</f>
        <v>STEWART MICHAEL</v>
      </c>
      <c r="M64" s="6">
        <f t="shared" si="1"/>
        <v>2.2916666668606922E-2</v>
      </c>
      <c r="N64" s="7">
        <f t="shared" si="21"/>
        <v>33.000000002793968</v>
      </c>
      <c r="O64" s="7"/>
      <c r="P64" s="7"/>
      <c r="Q64" s="23"/>
      <c r="R64" s="23"/>
      <c r="S64" s="35">
        <f t="shared" si="18"/>
        <v>1</v>
      </c>
      <c r="T64" s="50" t="str">
        <f t="shared" si="2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09:47:41-700',mode:absolute,to:'2016-12-18 12:33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4" s="52" t="str">
        <f t="shared" si="20"/>
        <v>N</v>
      </c>
      <c r="X64" s="177">
        <f t="shared" si="25"/>
        <v>1</v>
      </c>
      <c r="Y64" s="67">
        <f t="shared" si="6"/>
        <v>4.3700000000000003E-2</v>
      </c>
      <c r="Z64" s="67">
        <f t="shared" si="24"/>
        <v>15.802300000000001</v>
      </c>
      <c r="AA64" s="67">
        <f t="shared" si="7"/>
        <v>15.758600000000001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8"/>
        <v>0159-18</v>
      </c>
      <c r="AE64" s="91" t="str">
        <f t="shared" si="9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64" s="88" t="str">
        <f t="shared" si="10"/>
        <v>"C:\Program Files (x86)\AstroGrep\AstroGrep.exe" /spath="%USERPROFILE%\AppData\Local\Temp\OnboardLogs" /stypes="app*4046*20161218*" /stext=" 18:.+((SYSTEM_STATE.+slice.+state.+changed )|(ment ac)|(multiple cpu faults)|(system.+state.+changed )|(\[timeout)|(PRM\|1\|D)|(kpr)|(kdp)|(\|lc)|(penalty))" /e /r /s</v>
      </c>
      <c r="AG64" s="1" t="str">
        <f t="shared" si="11"/>
        <v>EC</v>
      </c>
      <c r="AH64" s="92" t="str">
        <f t="shared" si="14"/>
        <v>"%USERPROFILE%\Documents\GitHub\eaglep3\Utilities\RefineRTDCRunTimes.py" --tripid 159-18 --locoid 4046 --swversion DE.1.0.8.0 --startMP 204:437 --initTime 2016-12-18T10:47:41 --startdatetime 2016-12-18T11:00:33 --delay 2 --endMP 204:158023 --enddatetime 2016-12-18T11:33:33 --enforcementcount 0 &gt;&gt;C:\Users\stu\Documents\GitHub\eaglep3-reporting\EC\2016-12-18-refined-times.txt</v>
      </c>
      <c r="AI64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{"issue":{"subject":"","project_id":79,"tracker_id":40,"status_id":1,"priority_id":2,"assigned_to_id":23,"start_date":"2016-12-18","description":"","custom_fields":[{"id":1,"name":"Subdivision","value":"EC"},{"id":4,"name":"Milepost","value":"15.8023"},{"id":17,"name":"Train ID","value":"159-18"},{"id":16,"name":"Locomotive ID","value":"4046"},{"id":130,"name":"Impact","value":""},{"id":150,"name":"Time of Event (Mountain Time)","value":"11:33:33"},{"id":151,"name":"Denver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618</v>
      </c>
      <c r="B65" s="7">
        <v>4043</v>
      </c>
      <c r="C65" s="22" t="s">
        <v>205</v>
      </c>
      <c r="D65" s="22" t="s">
        <v>803</v>
      </c>
      <c r="E65" s="13">
        <v>42722.493958333333</v>
      </c>
      <c r="F65" s="13">
        <v>42722.497025462966</v>
      </c>
      <c r="G65" s="7">
        <v>3</v>
      </c>
      <c r="H65" s="22" t="s">
        <v>265</v>
      </c>
      <c r="I65" s="13">
        <v>42722.528113425928</v>
      </c>
      <c r="J65" s="7">
        <v>0</v>
      </c>
      <c r="K65" s="109" t="str">
        <f t="shared" si="0"/>
        <v>4043/4044</v>
      </c>
      <c r="L65" s="22" t="str">
        <f>VLOOKUP(A65,'Trips&amp;Operators'!$C$1:$G$99999,5,FALSE)</f>
        <v>DAVIS MICHAEL</v>
      </c>
      <c r="M65" s="6">
        <f t="shared" si="1"/>
        <v>3.1087962961464655E-2</v>
      </c>
      <c r="N65" s="7">
        <f t="shared" si="21"/>
        <v>44.766666664509103</v>
      </c>
      <c r="O65" s="7"/>
      <c r="P65" s="7"/>
      <c r="Q65" s="23"/>
      <c r="R65" s="23"/>
      <c r="S65" s="35">
        <f t="shared" ref="S65:S96" si="26">SUM(U65:U65)/IF(AG65="EC",12,1)</f>
        <v>1</v>
      </c>
      <c r="T65" s="50" t="str">
        <f t="shared" si="2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10:51:18-700',mode:absolute,to:'2016-12-18 13:40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5" s="52" t="str">
        <f t="shared" si="20"/>
        <v>N</v>
      </c>
      <c r="X65" s="177">
        <f t="shared" si="25"/>
        <v>1</v>
      </c>
      <c r="Y65" s="67">
        <f t="shared" si="6"/>
        <v>15.815799999999999</v>
      </c>
      <c r="Z65" s="67">
        <f t="shared" si="24"/>
        <v>1.3899999999999999E-2</v>
      </c>
      <c r="AA65" s="67">
        <f t="shared" si="7"/>
        <v>15.8019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8"/>
        <v>0160-18</v>
      </c>
      <c r="AE65" s="91" t="str">
        <f t="shared" si="9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65" s="88" t="str">
        <f t="shared" si="10"/>
        <v>"C:\Program Files (x86)\AstroGrep\AstroGrep.exe" /spath="%USERPROFILE%\AppData\Local\Temp\OnboardLogs" /stypes="app*4043*20161218*" /stext=" 19:.+((SYSTEM_STATE.+slice.+state.+changed )|(ment ac)|(multiple cpu faults)|(system.+state.+changed )|(\[timeout)|(PRM\|1\|D)|(kpr)|(kdp)|(\|lc)|(penalty))" /e /r /s</v>
      </c>
      <c r="AG65" s="1" t="str">
        <f t="shared" si="11"/>
        <v>EC</v>
      </c>
      <c r="AH65" s="92" t="str">
        <f t="shared" si="14"/>
        <v>"%USERPROFILE%\Documents\GitHub\eaglep3\Utilities\RefineRTDCRunTimes.py" --tripid 160-18 --locoid 4043 --swversion DE.1.0.8.0 --startMP 204:158158 --initTime 2016-12-18T11:51:18 --startdatetime 2016-12-18T11:55:43 --delay 3 --endMP 204:139 --enddatetime 2016-12-18T12:40:29 --enforcementcount 0 &gt;&gt;C:\Users\stu\Documents\GitHub\eaglep3-reporting\EC\2016-12-18-refined-times.txt</v>
      </c>
      <c r="AI65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{"issue":{"subject":"","project_id":79,"tracker_id":40,"status_id":1,"priority_id":2,"assigned_to_id":23,"start_date":"2016-12-18","description":"","custom_fields":[{"id":1,"name":"Subdivision","value":"EC"},{"id":4,"name":"Milepost","value":"0.0139"},{"id":17,"name":"Train ID","value":"160-18"},{"id":16,"name":"Locomotive ID","value":"4043"},{"id":130,"name":"Impact","value":""},{"id":150,"name":"Time of Event (Mountain Time)","value":"12:40:29"},{"id":151,"name":"Denver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608</v>
      </c>
      <c r="B66" s="7">
        <v>4044</v>
      </c>
      <c r="C66" s="22" t="s">
        <v>205</v>
      </c>
      <c r="D66" s="22" t="s">
        <v>472</v>
      </c>
      <c r="E66" s="13">
        <v>42722.463125000002</v>
      </c>
      <c r="F66" s="13">
        <v>42722.469386574077</v>
      </c>
      <c r="G66" s="7">
        <v>2</v>
      </c>
      <c r="H66" s="22" t="s">
        <v>804</v>
      </c>
      <c r="I66" s="13">
        <v>42722.492662037039</v>
      </c>
      <c r="J66" s="7">
        <v>0</v>
      </c>
      <c r="K66" s="109" t="str">
        <f t="shared" si="0"/>
        <v>4043/4044</v>
      </c>
      <c r="L66" s="22" t="str">
        <f>VLOOKUP(A66,'Trips&amp;Operators'!$C$1:$G$99999,5,FALSE)</f>
        <v>DAVIS MICHAEL</v>
      </c>
      <c r="M66" s="6">
        <f t="shared" si="1"/>
        <v>2.3275462961464655E-2</v>
      </c>
      <c r="N66" s="7">
        <f t="shared" si="21"/>
        <v>33.516666664509103</v>
      </c>
      <c r="O66" s="7"/>
      <c r="P66" s="7"/>
      <c r="Q66" s="23"/>
      <c r="R66" s="23"/>
      <c r="S66" s="35">
        <f t="shared" si="26"/>
        <v>1</v>
      </c>
      <c r="T66" s="50" t="str">
        <f t="shared" si="2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10:06:54-700',mode:absolute,to:'2016-12-18 12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6" s="52" t="str">
        <f t="shared" si="20"/>
        <v>N</v>
      </c>
      <c r="X66" s="177">
        <f t="shared" si="25"/>
        <v>1</v>
      </c>
      <c r="Y66" s="67">
        <f t="shared" si="6"/>
        <v>4.4200000000000003E-2</v>
      </c>
      <c r="Z66" s="67">
        <f t="shared" si="24"/>
        <v>15.8385</v>
      </c>
      <c r="AA66" s="67">
        <f t="shared" si="7"/>
        <v>15.7943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8"/>
        <v>0161-18</v>
      </c>
      <c r="AE66" s="91" t="str">
        <f t="shared" si="9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66" s="88" t="str">
        <f t="shared" si="10"/>
        <v>"C:\Program Files (x86)\AstroGrep\AstroGrep.exe" /spath="%USERPROFILE%\AppData\Local\Temp\OnboardLogs" /stypes="app*4044*20161218*" /stext=" 18:.+((SYSTEM_STATE.+slice.+state.+changed )|(ment ac)|(multiple cpu faults)|(system.+state.+changed )|(\[timeout)|(PRM\|1\|D)|(kpr)|(kdp)|(\|lc)|(penalty))" /e /r /s</v>
      </c>
      <c r="AG66" s="1" t="str">
        <f t="shared" si="11"/>
        <v>EC</v>
      </c>
      <c r="AH66" s="92" t="str">
        <f t="shared" si="14"/>
        <v>"%USERPROFILE%\Documents\GitHub\eaglep3\Utilities\RefineRTDCRunTimes.py" --tripid 161-18 --locoid 4044 --swversion DE.1.0.8.0 --startMP 204:442 --initTime 2016-12-18T11:06:54 --startdatetime 2016-12-18T11:15:55 --delay 2 --endMP 204:158385 --enddatetime 2016-12-18T11:49:26 --enforcementcount 0 &gt;&gt;C:\Users\stu\Documents\GitHub\eaglep3-reporting\EC\2016-12-18-refined-times.txt</v>
      </c>
      <c r="AI66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{"issue":{"subject":"","project_id":79,"tracker_id":40,"status_id":1,"priority_id":2,"assigned_to_id":23,"start_date":"2016-12-18","description":"","custom_fields":[{"id":1,"name":"Subdivision","value":"EC"},{"id":4,"name":"Milepost","value":"15.8385"},{"id":17,"name":"Train ID","value":"161-18"},{"id":16,"name":"Locomotive ID","value":"4044"},{"id":130,"name":"Impact","value":""},{"id":150,"name":"Time of Event (Mountain Time)","value":"11:49:26"},{"id":151,"name":"Denver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620</v>
      </c>
      <c r="B67" s="7">
        <v>4028</v>
      </c>
      <c r="C67" s="22" t="s">
        <v>205</v>
      </c>
      <c r="D67" s="22" t="s">
        <v>805</v>
      </c>
      <c r="E67" s="13">
        <v>42722.505104166667</v>
      </c>
      <c r="F67" s="13">
        <v>42722.50644675926</v>
      </c>
      <c r="G67" s="7">
        <v>1</v>
      </c>
      <c r="H67" s="22" t="s">
        <v>301</v>
      </c>
      <c r="I67" s="13">
        <v>42722.536620370367</v>
      </c>
      <c r="J67" s="7">
        <v>0</v>
      </c>
      <c r="K67" s="109" t="str">
        <f t="shared" si="0"/>
        <v>4027/4028</v>
      </c>
      <c r="L67" s="22" t="str">
        <f>VLOOKUP(A67,'Trips&amp;Operators'!$C$1:$G$99999,5,FALSE)</f>
        <v>HOLCOMB KAMDEN</v>
      </c>
      <c r="M67" s="6">
        <f t="shared" si="1"/>
        <v>3.0173611106874887E-2</v>
      </c>
      <c r="N67" s="7">
        <f t="shared" si="21"/>
        <v>43.449999993899837</v>
      </c>
      <c r="O67" s="7"/>
      <c r="P67" s="7"/>
      <c r="Q67" s="23"/>
      <c r="R67" s="23"/>
      <c r="S67" s="35">
        <f t="shared" si="26"/>
        <v>1</v>
      </c>
      <c r="T67" s="50" t="str">
        <f t="shared" si="2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11:07:21-700',mode:absolute,to:'2016-12-18 13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7" s="52" t="str">
        <f t="shared" si="20"/>
        <v>N</v>
      </c>
      <c r="X67" s="177">
        <f t="shared" si="25"/>
        <v>1</v>
      </c>
      <c r="Y67" s="67">
        <f t="shared" si="6"/>
        <v>15.8001</v>
      </c>
      <c r="Z67" s="67">
        <f t="shared" si="24"/>
        <v>1.32E-2</v>
      </c>
      <c r="AA67" s="67">
        <f t="shared" si="7"/>
        <v>15.786900000000001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8"/>
        <v>0162-18</v>
      </c>
      <c r="AE67" s="91" t="str">
        <f t="shared" si="9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67" s="88" t="str">
        <f t="shared" si="10"/>
        <v>"C:\Program Files (x86)\AstroGrep\AstroGrep.exe" /spath="%USERPROFILE%\AppData\Local\Temp\OnboardLogs" /stypes="app*4028*20161218*" /stext=" 19:.+((SYSTEM_STATE.+slice.+state.+changed )|(ment ac)|(multiple cpu faults)|(system.+state.+changed )|(\[timeout)|(PRM\|1\|D)|(kpr)|(kdp)|(\|lc)|(penalty))" /e /r /s</v>
      </c>
      <c r="AG67" s="1" t="str">
        <f t="shared" si="11"/>
        <v>EC</v>
      </c>
      <c r="AH67" s="92" t="str">
        <f t="shared" si="14"/>
        <v>"%USERPROFILE%\Documents\GitHub\eaglep3\Utilities\RefineRTDCRunTimes.py" --tripid 162-18 --locoid 4028 --swversion DE.1.0.8.0 --startMP 204:158001 --initTime 2016-12-18T12:07:21 --startdatetime 2016-12-18T12:09:17 --delay 1 --endMP 204:132 --enddatetime 2016-12-18T12:52:44 --enforcementcount 0 &gt;&gt;C:\Users\stu\Documents\GitHub\eaglep3-reporting\EC\2016-12-18-refined-times.txt</v>
      </c>
      <c r="AI67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{"issue":{"subject":"","project_id":79,"tracker_id":40,"status_id":1,"priority_id":2,"assigned_to_id":23,"start_date":"2016-12-18","description":"","custom_fields":[{"id":1,"name":"Subdivision","value":"EC"},{"id":4,"name":"Milepost","value":"0.0132"},{"id":17,"name":"Train ID","value":"162-18"},{"id":16,"name":"Locomotive ID","value":"4028"},{"id":130,"name":"Impact","value":""},{"id":150,"name":"Time of Event (Mountain Time)","value":"12:52:44"},{"id":151,"name":"Denver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610</v>
      </c>
      <c r="B68" s="7">
        <v>4027</v>
      </c>
      <c r="C68" s="22" t="s">
        <v>205</v>
      </c>
      <c r="D68" s="22" t="s">
        <v>194</v>
      </c>
      <c r="E68" s="13">
        <v>42722.471168981479</v>
      </c>
      <c r="F68" s="13">
        <v>42722.479756944442</v>
      </c>
      <c r="G68" s="7">
        <v>1</v>
      </c>
      <c r="H68" s="22" t="s">
        <v>806</v>
      </c>
      <c r="I68" s="13">
        <v>42722.503009259257</v>
      </c>
      <c r="J68" s="7">
        <v>0</v>
      </c>
      <c r="K68" s="109" t="str">
        <f t="shared" si="0"/>
        <v>4027/4028</v>
      </c>
      <c r="L68" s="22" t="str">
        <f>VLOOKUP(A68,'Trips&amp;Operators'!$C$1:$G$99999,5,FALSE)</f>
        <v>HOLCOMB KAMDEN</v>
      </c>
      <c r="M68" s="6">
        <f t="shared" si="1"/>
        <v>2.3252314815181307E-2</v>
      </c>
      <c r="N68" s="7">
        <f t="shared" si="21"/>
        <v>33.483333333861083</v>
      </c>
      <c r="O68" s="7"/>
      <c r="P68" s="7"/>
      <c r="Q68" s="23"/>
      <c r="R68" s="23"/>
      <c r="S68" s="35">
        <f t="shared" si="26"/>
        <v>1</v>
      </c>
      <c r="T68" s="50" t="str">
        <f t="shared" si="2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10:18:29-700',mode:absolute,to:'2016-12-18 13:04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8" s="52" t="str">
        <f t="shared" si="20"/>
        <v>N</v>
      </c>
      <c r="X68" s="177">
        <f t="shared" si="25"/>
        <v>1</v>
      </c>
      <c r="Y68" s="67">
        <f t="shared" si="6"/>
        <v>4.5100000000000001E-2</v>
      </c>
      <c r="Z68" s="67">
        <f t="shared" si="24"/>
        <v>15.822900000000001</v>
      </c>
      <c r="AA68" s="67">
        <f t="shared" si="7"/>
        <v>15.777800000000001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8"/>
        <v>0163-18</v>
      </c>
      <c r="AE68" s="91" t="str">
        <f t="shared" si="9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68" s="88" t="str">
        <f t="shared" si="10"/>
        <v>"C:\Program Files (x86)\AstroGrep\AstroGrep.exe" /spath="%USERPROFILE%\AppData\Local\Temp\OnboardLogs" /stypes="app*4027*20161218*" /stext=" 19:.+((SYSTEM_STATE.+slice.+state.+changed )|(ment ac)|(multiple cpu faults)|(system.+state.+changed )|(\[timeout)|(PRM\|1\|D)|(kpr)|(kdp)|(\|lc)|(penalty))" /e /r /s</v>
      </c>
      <c r="AG68" s="1" t="str">
        <f t="shared" si="11"/>
        <v>EC</v>
      </c>
      <c r="AH68" s="92" t="str">
        <f t="shared" si="14"/>
        <v>"%USERPROFILE%\Documents\GitHub\eaglep3\Utilities\RefineRTDCRunTimes.py" --tripid 163-18 --locoid 4027 --swversion DE.1.0.8.0 --startMP 204:451 --initTime 2016-12-18T11:18:29 --startdatetime 2016-12-18T11:30:51 --delay 1 --endMP 204:158229 --enddatetime 2016-12-18T12:04:20 --enforcementcount 0 &gt;&gt;C:\Users\stu\Documents\GitHub\eaglep3-reporting\EC\2016-12-18-refined-times.txt</v>
      </c>
      <c r="AI68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{"issue":{"subject":"","project_id":79,"tracker_id":40,"status_id":1,"priority_id":2,"assigned_to_id":23,"start_date":"2016-12-18","description":"","custom_fields":[{"id":1,"name":"Subdivision","value":"EC"},{"id":4,"name":"Milepost","value":"15.8229"},{"id":17,"name":"Train ID","value":"163-18"},{"id":16,"name":"Locomotive ID","value":"4027"},{"id":130,"name":"Impact","value":""},{"id":150,"name":"Time of Event (Mountain Time)","value":"12:04:20"},{"id":151,"name":"Denver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623</v>
      </c>
      <c r="B69" s="7">
        <v>4039</v>
      </c>
      <c r="C69" s="22" t="s">
        <v>205</v>
      </c>
      <c r="D69" s="22" t="s">
        <v>807</v>
      </c>
      <c r="E69" s="13">
        <v>42722.512881944444</v>
      </c>
      <c r="F69" s="13">
        <v>42722.516319444447</v>
      </c>
      <c r="G69" s="7">
        <v>1</v>
      </c>
      <c r="H69" s="22" t="s">
        <v>808</v>
      </c>
      <c r="I69" s="13">
        <v>42722.546469907407</v>
      </c>
      <c r="J69" s="7">
        <v>0</v>
      </c>
      <c r="K69" s="109" t="str">
        <f t="shared" si="0"/>
        <v>4039/4040</v>
      </c>
      <c r="L69" s="22" t="str">
        <f>VLOOKUP(A69,'Trips&amp;Operators'!$C$1:$G$99999,5,FALSE)</f>
        <v>BRUDER RICHARD</v>
      </c>
      <c r="M69" s="6">
        <f t="shared" si="1"/>
        <v>3.015046296059154E-2</v>
      </c>
      <c r="N69" s="7">
        <f t="shared" si="21"/>
        <v>43.416666663251817</v>
      </c>
      <c r="O69" s="7"/>
      <c r="P69" s="7"/>
      <c r="Q69" s="23"/>
      <c r="R69" s="23"/>
      <c r="S69" s="35">
        <f t="shared" si="26"/>
        <v>1</v>
      </c>
      <c r="T69" s="50" t="str">
        <f t="shared" si="2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11:18:33-700',mode:absolute,to:'2016-12-18 14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9" s="52" t="str">
        <f t="shared" si="20"/>
        <v>N</v>
      </c>
      <c r="X69" s="177">
        <f t="shared" si="25"/>
        <v>1</v>
      </c>
      <c r="Y69" s="67">
        <f t="shared" si="6"/>
        <v>15.7559</v>
      </c>
      <c r="Z69" s="67">
        <f t="shared" si="24"/>
        <v>1.5599999999999999E-2</v>
      </c>
      <c r="AA69" s="67">
        <f t="shared" si="7"/>
        <v>15.740300000000001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8"/>
        <v>0164-18</v>
      </c>
      <c r="AE69" s="91" t="str">
        <f t="shared" si="9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69" s="88" t="str">
        <f t="shared" si="10"/>
        <v>"C:\Program Files (x86)\AstroGrep\AstroGrep.exe" /spath="%USERPROFILE%\AppData\Local\Temp\OnboardLogs" /stypes="app*4039*20161218*" /stext=" 20:.+((SYSTEM_STATE.+slice.+state.+changed )|(ment ac)|(multiple cpu faults)|(system.+state.+changed )|(\[timeout)|(PRM\|1\|D)|(kpr)|(kdp)|(\|lc)|(penalty))" /e /r /s</v>
      </c>
      <c r="AG69" s="1" t="str">
        <f t="shared" si="11"/>
        <v>EC</v>
      </c>
      <c r="AH69" s="92" t="str">
        <f t="shared" si="14"/>
        <v>"%USERPROFILE%\Documents\GitHub\eaglep3\Utilities\RefineRTDCRunTimes.py" --tripid 164-18 --locoid 4039 --swversion DE.1.0.8.0 --startMP 204:157559 --initTime 2016-12-18T12:18:33 --startdatetime 2016-12-18T12:23:30 --delay 1 --endMP 204:156 --enddatetime 2016-12-18T13:06:55 --enforcementcount 0 &gt;&gt;C:\Users\stu\Documents\GitHub\eaglep3-reporting\EC\2016-12-18-refined-times.txt</v>
      </c>
      <c r="AI69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{"issue":{"subject":"","project_id":79,"tracker_id":40,"status_id":1,"priority_id":2,"assigned_to_id":23,"start_date":"2016-12-18","description":"","custom_fields":[{"id":1,"name":"Subdivision","value":"EC"},{"id":4,"name":"Milepost","value":"0.0156"},{"id":17,"name":"Train ID","value":"164-18"},{"id":16,"name":"Locomotive ID","value":"4039"},{"id":130,"name":"Impact","value":""},{"id":150,"name":"Time of Event (Mountain Time)","value":"13:06:55"},{"id":151,"name":"Denver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612</v>
      </c>
      <c r="B70" s="7">
        <v>4040</v>
      </c>
      <c r="C70" s="22" t="s">
        <v>205</v>
      </c>
      <c r="D70" s="22" t="s">
        <v>299</v>
      </c>
      <c r="E70" s="13">
        <v>42722.485208333332</v>
      </c>
      <c r="F70" s="13">
        <v>42722.489895833336</v>
      </c>
      <c r="G70" s="7">
        <v>1</v>
      </c>
      <c r="H70" s="22" t="s">
        <v>809</v>
      </c>
      <c r="I70" s="13">
        <v>42722.511446759258</v>
      </c>
      <c r="J70" s="7">
        <v>0</v>
      </c>
      <c r="K70" s="109" t="str">
        <f t="shared" si="0"/>
        <v>4039/4040</v>
      </c>
      <c r="L70" s="22" t="str">
        <f>VLOOKUP(A70,'Trips&amp;Operators'!$C$1:$G$99999,5,FALSE)</f>
        <v>BRUDER RICHARD</v>
      </c>
      <c r="M70" s="6">
        <f t="shared" si="1"/>
        <v>2.1550925921474118E-2</v>
      </c>
      <c r="N70" s="7">
        <f t="shared" si="21"/>
        <v>31.03333332692273</v>
      </c>
      <c r="O70" s="7"/>
      <c r="P70" s="7"/>
      <c r="Q70" s="23"/>
      <c r="R70" s="23"/>
      <c r="S70" s="35">
        <f t="shared" si="26"/>
        <v>1</v>
      </c>
      <c r="T70" s="50" t="str">
        <f t="shared" si="2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10:38:42-700',mode:absolute,to:'2016-12-18 13:16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0" s="52" t="str">
        <f t="shared" si="20"/>
        <v>N</v>
      </c>
      <c r="X70" s="177">
        <f t="shared" si="25"/>
        <v>1</v>
      </c>
      <c r="Y70" s="67">
        <f t="shared" si="6"/>
        <v>4.4400000000000002E-2</v>
      </c>
      <c r="Z70" s="67">
        <f t="shared" si="24"/>
        <v>15.7781</v>
      </c>
      <c r="AA70" s="67">
        <f t="shared" si="7"/>
        <v>15.733700000000001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8"/>
        <v>0165-18</v>
      </c>
      <c r="AE70" s="91" t="str">
        <f t="shared" si="9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70" s="88" t="str">
        <f t="shared" si="10"/>
        <v>"C:\Program Files (x86)\AstroGrep\AstroGrep.exe" /spath="%USERPROFILE%\AppData\Local\Temp\OnboardLogs" /stypes="app*4040*20161218*" /stext=" 19:.+((SYSTEM_STATE.+slice.+state.+changed )|(ment ac)|(multiple cpu faults)|(system.+state.+changed )|(\[timeout)|(PRM\|1\|D)|(kpr)|(kdp)|(\|lc)|(penalty))" /e /r /s</v>
      </c>
      <c r="AG70" s="1" t="str">
        <f t="shared" si="11"/>
        <v>EC</v>
      </c>
      <c r="AH70" s="92" t="str">
        <f t="shared" si="14"/>
        <v>"%USERPROFILE%\Documents\GitHub\eaglep3\Utilities\RefineRTDCRunTimes.py" --tripid 165-18 --locoid 4040 --swversion DE.1.0.8.0 --startMP 204:444 --initTime 2016-12-18T11:38:42 --startdatetime 2016-12-18T11:45:27 --delay 1 --endMP 204:157781 --enddatetime 2016-12-18T12:16:29 --enforcementcount 0 &gt;&gt;C:\Users\stu\Documents\GitHub\eaglep3-reporting\EC\2016-12-18-refined-times.txt</v>
      </c>
      <c r="AI70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{"issue":{"subject":"","project_id":79,"tracker_id":40,"status_id":1,"priority_id":2,"assigned_to_id":23,"start_date":"2016-12-18","description":"","custom_fields":[{"id":1,"name":"Subdivision","value":"EC"},{"id":4,"name":"Milepost","value":"15.7781"},{"id":17,"name":"Train ID","value":"165-18"},{"id":16,"name":"Locomotive ID","value":"4040"},{"id":130,"name":"Impact","value":""},{"id":150,"name":"Time of Event (Mountain Time)","value":"12:16:29"},{"id":151,"name":"Denver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625</v>
      </c>
      <c r="B71" s="7">
        <v>4030</v>
      </c>
      <c r="C71" s="22" t="s">
        <v>205</v>
      </c>
      <c r="D71" s="22" t="s">
        <v>810</v>
      </c>
      <c r="E71" s="13">
        <v>42722.522407407407</v>
      </c>
      <c r="F71" s="13">
        <v>42722.526365740741</v>
      </c>
      <c r="G71" s="7">
        <v>2</v>
      </c>
      <c r="H71" s="22" t="s">
        <v>274</v>
      </c>
      <c r="I71" s="13">
        <v>42722.556435185186</v>
      </c>
      <c r="J71" s="7">
        <v>0</v>
      </c>
      <c r="K71" s="109" t="str">
        <f t="shared" si="0"/>
        <v>4029/4030</v>
      </c>
      <c r="L71" s="22" t="str">
        <f>VLOOKUP(A71,'Trips&amp;Operators'!$C$1:$G$99999,5,FALSE)</f>
        <v>BARTLETT KIANDRA</v>
      </c>
      <c r="M71" s="6">
        <f t="shared" si="1"/>
        <v>3.0069444444961846E-2</v>
      </c>
      <c r="N71" s="7">
        <f t="shared" si="21"/>
        <v>43.300000000745058</v>
      </c>
      <c r="O71" s="7"/>
      <c r="P71" s="7"/>
      <c r="Q71" s="23"/>
      <c r="R71" s="23"/>
      <c r="S71" s="35">
        <f t="shared" si="26"/>
        <v>1</v>
      </c>
      <c r="T71" s="50" t="str">
        <f t="shared" si="2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11:32:16-700',mode:absolute,to:'2016-12-18 14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1" s="52" t="str">
        <f t="shared" si="20"/>
        <v>N</v>
      </c>
      <c r="X71" s="177">
        <f t="shared" si="25"/>
        <v>1</v>
      </c>
      <c r="Y71" s="67">
        <f t="shared" si="6"/>
        <v>15.777699999999999</v>
      </c>
      <c r="Z71" s="67">
        <f t="shared" si="24"/>
        <v>1.6E-2</v>
      </c>
      <c r="AA71" s="67">
        <f t="shared" si="7"/>
        <v>15.761699999999999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8"/>
        <v>0166-18</v>
      </c>
      <c r="AE71" s="91" t="str">
        <f t="shared" si="9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71" s="88" t="str">
        <f t="shared" si="10"/>
        <v>"C:\Program Files (x86)\AstroGrep\AstroGrep.exe" /spath="%USERPROFILE%\AppData\Local\Temp\OnboardLogs" /stypes="app*4030*20161218*" /stext=" 20:.+((SYSTEM_STATE.+slice.+state.+changed )|(ment ac)|(multiple cpu faults)|(system.+state.+changed )|(\[timeout)|(PRM\|1\|D)|(kpr)|(kdp)|(\|lc)|(penalty))" /e /r /s</v>
      </c>
      <c r="AG71" s="1" t="str">
        <f t="shared" si="11"/>
        <v>EC</v>
      </c>
      <c r="AH71" s="92" t="str">
        <f t="shared" si="14"/>
        <v>"%USERPROFILE%\Documents\GitHub\eaglep3\Utilities\RefineRTDCRunTimes.py" --tripid 166-18 --locoid 4030 --swversion DE.1.0.8.0 --startMP 204:157777 --initTime 2016-12-18T12:32:16 --startdatetime 2016-12-18T12:37:58 --delay 2 --endMP 204:160 --enddatetime 2016-12-18T13:21:16 --enforcementcount 0 &gt;&gt;C:\Users\stu\Documents\GitHub\eaglep3-reporting\EC\2016-12-18-refined-times.txt</v>
      </c>
      <c r="AI71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{"issue":{"subject":"","project_id":79,"tracker_id":40,"status_id":1,"priority_id":2,"assigned_to_id":23,"start_date":"2016-12-18","description":"","custom_fields":[{"id":1,"name":"Subdivision","value":"EC"},{"id":4,"name":"Milepost","value":"0.016"},{"id":17,"name":"Train ID","value":"166-18"},{"id":16,"name":"Locomotive ID","value":"4030"},{"id":130,"name":"Impact","value":""},{"id":150,"name":"Time of Event (Mountain Time)","value":"13:21:16"},{"id":151,"name":"Denver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615</v>
      </c>
      <c r="B72" s="7">
        <v>4029</v>
      </c>
      <c r="C72" s="22" t="s">
        <v>205</v>
      </c>
      <c r="D72" s="22" t="s">
        <v>258</v>
      </c>
      <c r="E72" s="13">
        <v>42722.489699074074</v>
      </c>
      <c r="F72" s="13">
        <v>42722.500416666669</v>
      </c>
      <c r="G72" s="7">
        <v>2</v>
      </c>
      <c r="H72" s="22" t="s">
        <v>811</v>
      </c>
      <c r="I72" s="13">
        <v>42722.520752314813</v>
      </c>
      <c r="J72" s="7">
        <v>0</v>
      </c>
      <c r="K72" s="109" t="str">
        <f t="shared" si="0"/>
        <v>4029/4030</v>
      </c>
      <c r="L72" s="22" t="str">
        <f>VLOOKUP(A72,'Trips&amp;Operators'!$C$1:$G$99999,5,FALSE)</f>
        <v>BARTLETT KIANDRA</v>
      </c>
      <c r="M72" s="6">
        <f t="shared" si="1"/>
        <v>2.0335648143372964E-2</v>
      </c>
      <c r="N72" s="7">
        <f t="shared" si="21"/>
        <v>29.283333326457068</v>
      </c>
      <c r="O72" s="7"/>
      <c r="P72" s="7"/>
      <c r="Q72" s="23"/>
      <c r="R72" s="23"/>
      <c r="S72" s="35">
        <f t="shared" si="26"/>
        <v>1</v>
      </c>
      <c r="T72" s="50" t="str">
        <f t="shared" si="2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10:45:10-700',mode:absolute,to:'2016-12-18 13:29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2" s="52" t="str">
        <f t="shared" si="20"/>
        <v>N</v>
      </c>
      <c r="X72" s="177">
        <f t="shared" si="25"/>
        <v>1</v>
      </c>
      <c r="Y72" s="67">
        <f t="shared" si="6"/>
        <v>4.53E-2</v>
      </c>
      <c r="Z72" s="67">
        <f t="shared" si="24"/>
        <v>15.8002</v>
      </c>
      <c r="AA72" s="67">
        <f t="shared" si="7"/>
        <v>15.754900000000001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8"/>
        <v>0167-18</v>
      </c>
      <c r="AE72" s="91" t="str">
        <f t="shared" si="9"/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AF72" s="88" t="str">
        <f t="shared" si="10"/>
        <v>"C:\Program Files (x86)\AstroGrep\AstroGrep.exe" /spath="%USERPROFILE%\AppData\Local\Temp\OnboardLogs" /stypes="app*4029*20161218*" /stext=" 19:.+((SYSTEM_STATE.+slice.+state.+changed )|(ment ac)|(multiple cpu faults)|(system.+state.+changed )|(\[timeout)|(PRM\|1\|D)|(kpr)|(kdp)|(\|lc)|(penalty))" /e /r /s</v>
      </c>
      <c r="AG72" s="1" t="str">
        <f t="shared" si="11"/>
        <v>EC</v>
      </c>
      <c r="AH72" s="92" t="str">
        <f t="shared" si="14"/>
        <v>"%USERPROFILE%\Documents\GitHub\eaglep3\Utilities\RefineRTDCRunTimes.py" --tripid 167-18 --locoid 4029 --swversion DE.1.0.8.0 --startMP 204:453 --initTime 2016-12-18T11:45:10 --startdatetime 2016-12-18T12:00:36 --delay 2 --endMP 204:158002 --enddatetime 2016-12-18T12:29:53 --enforcementcount 0 &gt;&gt;C:\Users\stu\Documents\GitHub\eaglep3-reporting\EC\2016-12-18-refined-times.txt</v>
      </c>
      <c r="AI72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{"issue":{"subject":"","project_id":79,"tracker_id":40,"status_id":1,"priority_id":2,"assigned_to_id":23,"start_date":"2016-12-18","description":"","custom_fields":[{"id":1,"name":"Subdivision","value":"EC"},{"id":4,"name":"Milepost","value":"15.8002"},{"id":17,"name":"Train ID","value":"167-18"},{"id":16,"name":"Locomotive ID","value":"4029"},{"id":130,"name":"Impact","value":""},{"id":150,"name":"Time of Event (Mountain Time)","value":"12:29:53"},{"id":151,"name":"Denver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627</v>
      </c>
      <c r="B73" s="7">
        <v>4013</v>
      </c>
      <c r="C73" s="22" t="s">
        <v>205</v>
      </c>
      <c r="D73" s="22" t="s">
        <v>812</v>
      </c>
      <c r="E73" s="13">
        <v>42722.534444444442</v>
      </c>
      <c r="F73" s="13">
        <v>42722.536574074074</v>
      </c>
      <c r="G73" s="7">
        <v>1</v>
      </c>
      <c r="H73" s="22" t="s">
        <v>264</v>
      </c>
      <c r="I73" s="13">
        <v>42722.56627314815</v>
      </c>
      <c r="J73" s="7">
        <v>0</v>
      </c>
      <c r="K73" s="109" t="str">
        <f t="shared" si="0"/>
        <v>4013/4014</v>
      </c>
      <c r="L73" s="22" t="str">
        <f>VLOOKUP(A73,'Trips&amp;Operators'!$C$1:$G$99999,5,FALSE)</f>
        <v>ADANE ELSHADAY</v>
      </c>
      <c r="M73" s="6">
        <f t="shared" si="1"/>
        <v>2.9699074075324461E-2</v>
      </c>
      <c r="N73" s="7">
        <f t="shared" si="21"/>
        <v>42.766666668467224</v>
      </c>
      <c r="O73" s="7"/>
      <c r="P73" s="7"/>
      <c r="Q73" s="23"/>
      <c r="R73" s="23"/>
      <c r="S73" s="35">
        <f t="shared" si="26"/>
        <v>1</v>
      </c>
      <c r="T73" s="50" t="str">
        <f t="shared" si="2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11:49:36-700',mode:absolute,to:'2016-12-18 14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52" t="str">
        <f t="shared" si="20"/>
        <v>N</v>
      </c>
      <c r="X73" s="177">
        <f t="shared" si="25"/>
        <v>1</v>
      </c>
      <c r="Y73" s="67">
        <f t="shared" si="6"/>
        <v>15.812900000000001</v>
      </c>
      <c r="Z73" s="67">
        <f t="shared" si="24"/>
        <v>1.47E-2</v>
      </c>
      <c r="AA73" s="67">
        <f t="shared" si="7"/>
        <v>15.798200000000001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8"/>
        <v>0168-18</v>
      </c>
      <c r="AE73" s="91" t="str">
        <f t="shared" si="9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73" s="88" t="str">
        <f t="shared" si="10"/>
        <v>"C:\Program Files (x86)\AstroGrep\AstroGrep.exe" /spath="%USERPROFILE%\AppData\Local\Temp\OnboardLogs" /stypes="app*4013*20161218*" /stext=" 20:.+((SYSTEM_STATE.+slice.+state.+changed )|(ment ac)|(multiple cpu faults)|(system.+state.+changed )|(\[timeout)|(PRM\|1\|D)|(kpr)|(kdp)|(\|lc)|(penalty))" /e /r /s</v>
      </c>
      <c r="AG73" s="1" t="str">
        <f t="shared" si="11"/>
        <v>EC</v>
      </c>
      <c r="AH73" s="92" t="str">
        <f t="shared" si="14"/>
        <v>"%USERPROFILE%\Documents\GitHub\eaglep3\Utilities\RefineRTDCRunTimes.py" --tripid 168-18 --locoid 4013 --swversion DE.1.0.8.0 --startMP 204:158129 --initTime 2016-12-18T12:49:36 --startdatetime 2016-12-18T12:52:40 --delay 1 --endMP 204:147 --enddatetime 2016-12-18T13:35:26 --enforcementcount 0 &gt;&gt;C:\Users\stu\Documents\GitHub\eaglep3-reporting\EC\2016-12-18-refined-times.txt</v>
      </c>
      <c r="AI73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{"issue":{"subject":"","project_id":79,"tracker_id":40,"status_id":1,"priority_id":2,"assigned_to_id":23,"start_date":"2016-12-18","description":"","custom_fields":[{"id":1,"name":"Subdivision","value":"EC"},{"id":4,"name":"Milepost","value":"0.0147"},{"id":17,"name":"Train ID","value":"168-18"},{"id":16,"name":"Locomotive ID","value":"4013"},{"id":130,"name":"Impact","value":""},{"id":150,"name":"Time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621</v>
      </c>
      <c r="B74" s="7">
        <v>4014</v>
      </c>
      <c r="C74" s="22" t="s">
        <v>205</v>
      </c>
      <c r="D74" s="22" t="s">
        <v>317</v>
      </c>
      <c r="E74" s="13">
        <v>42722.507233796299</v>
      </c>
      <c r="F74" s="13">
        <v>42722.511087962965</v>
      </c>
      <c r="G74" s="7">
        <v>1</v>
      </c>
      <c r="H74" s="22" t="s">
        <v>813</v>
      </c>
      <c r="I74" s="13">
        <v>42722.532453703701</v>
      </c>
      <c r="J74" s="7">
        <v>0</v>
      </c>
      <c r="K74" s="109" t="str">
        <f t="shared" si="0"/>
        <v>4013/4014</v>
      </c>
      <c r="L74" s="22" t="str">
        <f>VLOOKUP(A74,'Trips&amp;Operators'!$C$1:$G$99999,5,FALSE)</f>
        <v>ADANE ELSHADAY</v>
      </c>
      <c r="M74" s="6">
        <f t="shared" si="1"/>
        <v>2.1365740736655425E-2</v>
      </c>
      <c r="N74" s="7">
        <f t="shared" ref="N74:N103" si="27">24*60*SUM($M74:$M74)</f>
        <v>30.766666660783812</v>
      </c>
      <c r="O74" s="7"/>
      <c r="P74" s="7"/>
      <c r="Q74" s="23"/>
      <c r="R74" s="23"/>
      <c r="S74" s="35">
        <f t="shared" si="26"/>
        <v>1</v>
      </c>
      <c r="T74" s="50" t="str">
        <f t="shared" si="2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11:10:25-700',mode:absolute,to:'2016-12-18 13:46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52" t="str">
        <f t="shared" si="20"/>
        <v>N</v>
      </c>
      <c r="X74" s="177">
        <f t="shared" si="25"/>
        <v>1</v>
      </c>
      <c r="Y74" s="67">
        <f t="shared" si="6"/>
        <v>4.5699999999999998E-2</v>
      </c>
      <c r="Z74" s="67">
        <f t="shared" si="24"/>
        <v>15.8355</v>
      </c>
      <c r="AA74" s="67">
        <f t="shared" si="7"/>
        <v>15.7898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8"/>
        <v>0169-18</v>
      </c>
      <c r="AE74" s="91" t="str">
        <f t="shared" si="9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74" s="88" t="str">
        <f t="shared" si="10"/>
        <v>"C:\Program Files (x86)\AstroGrep\AstroGrep.exe" /spath="%USERPROFILE%\AppData\Local\Temp\OnboardLogs" /stypes="app*4014*20161218*" /stext=" 19:.+((SYSTEM_STATE.+slice.+state.+changed )|(ment ac)|(multiple cpu faults)|(system.+state.+changed )|(\[timeout)|(PRM\|1\|D)|(kpr)|(kdp)|(\|lc)|(penalty))" /e /r /s</v>
      </c>
      <c r="AG74" s="1" t="str">
        <f t="shared" si="11"/>
        <v>EC</v>
      </c>
      <c r="AH74" s="92" t="str">
        <f t="shared" si="14"/>
        <v>"%USERPROFILE%\Documents\GitHub\eaglep3\Utilities\RefineRTDCRunTimes.py" --tripid 169-18 --locoid 4014 --swversion DE.1.0.8.0 --startMP 204:457 --initTime 2016-12-18T12:10:25 --startdatetime 2016-12-18T12:15:58 --delay 1 --endMP 204:158355 --enddatetime 2016-12-18T12:46:44 --enforcementcount 0 &gt;&gt;C:\Users\stu\Documents\GitHub\eaglep3-reporting\EC\2016-12-18-refined-times.txt</v>
      </c>
      <c r="AI74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{"issue":{"subject":"","project_id":79,"tracker_id":40,"status_id":1,"priority_id":2,"assigned_to_id":23,"start_date":"2016-12-18","description":"","custom_fields":[{"id":1,"name":"Subdivision","value":"EC"},{"id":4,"name":"Milepost","value":"15.8355"},{"id":17,"name":"Train ID","value":"169-18"},{"id":16,"name":"Locomotive ID","value":"4014"},{"id":130,"name":"Impact","value":""},{"id":150,"name":"Time of Event (Mountain Time)","value":"12:46:44"},{"id":151,"name":"Denver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630</v>
      </c>
      <c r="B75" s="7">
        <v>4010</v>
      </c>
      <c r="C75" s="22" t="s">
        <v>205</v>
      </c>
      <c r="D75" s="22" t="s">
        <v>814</v>
      </c>
      <c r="E75" s="13">
        <v>42722.54582175926</v>
      </c>
      <c r="F75" s="13">
        <v>42722.547210648147</v>
      </c>
      <c r="G75" s="7">
        <v>1</v>
      </c>
      <c r="H75" s="22" t="s">
        <v>815</v>
      </c>
      <c r="I75" s="13">
        <v>42722.578680555554</v>
      </c>
      <c r="J75" s="7">
        <v>0</v>
      </c>
      <c r="K75" s="109" t="str">
        <f t="shared" si="0"/>
        <v>4009/4010</v>
      </c>
      <c r="L75" s="22" t="str">
        <f>VLOOKUP(A75,'Trips&amp;Operators'!$C$1:$G$99999,5,FALSE)</f>
        <v>KILLION DAVID</v>
      </c>
      <c r="M75" s="6">
        <f t="shared" si="1"/>
        <v>3.1469907407881692E-2</v>
      </c>
      <c r="N75" s="7">
        <f t="shared" si="27"/>
        <v>45.316666667349637</v>
      </c>
      <c r="O75" s="7"/>
      <c r="P75" s="7"/>
      <c r="Q75" s="23"/>
      <c r="R75" s="23"/>
      <c r="S75" s="35">
        <f t="shared" si="26"/>
        <v>1</v>
      </c>
      <c r="T75" s="50" t="str">
        <f t="shared" si="2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12:05:59-700',mode:absolute,to:'2016-12-18 14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5" s="52" t="str">
        <f t="shared" si="20"/>
        <v>N</v>
      </c>
      <c r="X75" s="177">
        <f t="shared" si="25"/>
        <v>1</v>
      </c>
      <c r="Y75" s="67">
        <f t="shared" si="6"/>
        <v>15.792299999999999</v>
      </c>
      <c r="Z75" s="67">
        <f t="shared" si="24"/>
        <v>1.7999999999999999E-2</v>
      </c>
      <c r="AA75" s="67">
        <f t="shared" si="7"/>
        <v>15.774299999999998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8"/>
        <v>0170-18</v>
      </c>
      <c r="AE75" s="91" t="str">
        <f t="shared" si="9"/>
        <v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v>
      </c>
      <c r="AF75" s="88" t="str">
        <f t="shared" si="10"/>
        <v>"C:\Program Files (x86)\AstroGrep\AstroGrep.exe" /spath="%USERPROFILE%\AppData\Local\Temp\OnboardLogs" /stypes="app*4010*20161218*" /stext=" 20:.+((SYSTEM_STATE.+slice.+state.+changed )|(ment ac)|(multiple cpu faults)|(system.+state.+changed )|(\[timeout)|(PRM\|1\|D)|(kpr)|(kdp)|(\|lc)|(penalty))" /e /r /s</v>
      </c>
      <c r="AG75" s="1" t="str">
        <f t="shared" si="11"/>
        <v>EC</v>
      </c>
      <c r="AH75" s="92" t="str">
        <f t="shared" si="14"/>
        <v>"%USERPROFILE%\Documents\GitHub\eaglep3\Utilities\RefineRTDCRunTimes.py" --tripid 170-18 --locoid 4010 --swversion DE.1.0.8.0 --startMP 204:157923 --initTime 2016-12-18T13:05:59 --startdatetime 2016-12-18T13:07:59 --delay 1 --endMP 204:180 --enddatetime 2016-12-18T13:53:18 --enforcementcount 0 &gt;&gt;C:\Users\stu\Documents\GitHub\eaglep3-reporting\EC\2016-12-18-refined-times.txt</v>
      </c>
      <c r="AI75" s="119" t="str">
        <f t="shared" si="15"/>
        <v>echo {"issue":{"subject":"","project_id":79,"tracker_id":40,"status_id":1,"priority_id":2,"assigned_to_id":23,"start_date":"2016-12-18","description":"","custom_fields":[{"id":1,"name":"Subdivision","value":"EC"},{"id":4,"name":"Milepost","value":"0.018"},{"id":17,"name":"Train ID","value":"170-18"},{"id":16,"name":"Locomotive ID","value":"4010"},{"id":130,"name":"Impact","value":""},{"id":150,"name":"Time of Event (Mountain Time)","value":"13:53:18"},{"id":151,"name":"Denver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522</v>
      </c>
      <c r="B76" s="7">
        <v>4009</v>
      </c>
      <c r="C76" s="22" t="s">
        <v>205</v>
      </c>
      <c r="D76" s="22" t="s">
        <v>244</v>
      </c>
      <c r="E76" s="13">
        <v>42722.508692129632</v>
      </c>
      <c r="F76" s="13">
        <v>42722.521412037036</v>
      </c>
      <c r="G76" s="7">
        <v>1</v>
      </c>
      <c r="H76" s="22" t="s">
        <v>816</v>
      </c>
      <c r="I76" s="13">
        <v>42722.54346064815</v>
      </c>
      <c r="J76" s="7">
        <v>0</v>
      </c>
      <c r="K76" s="109" t="str">
        <f t="shared" si="0"/>
        <v>4009/4010</v>
      </c>
      <c r="L76" s="22" t="str">
        <f>VLOOKUP(A76,'Trips&amp;Operators'!$C$1:$G$99999,5,FALSE)</f>
        <v>KILLION DAVID</v>
      </c>
      <c r="M76" s="6">
        <f t="shared" si="1"/>
        <v>2.2048611113859806E-2</v>
      </c>
      <c r="N76" s="7">
        <f t="shared" si="27"/>
        <v>31.750000003958121</v>
      </c>
      <c r="O76" s="7"/>
      <c r="P76" s="7"/>
      <c r="Q76" s="23"/>
      <c r="R76" s="23"/>
      <c r="S76" s="35">
        <f t="shared" si="26"/>
        <v>1</v>
      </c>
      <c r="T76" s="50" t="str">
        <f t="shared" si="2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https://search-rtdc-monitor-bjffxe2xuh6vdkpspy63sjmuny.us-east-1.es.amazonaws.com/_plugin/kibana/#/discover/Steve-Slow-Train-Analysis-(2080s-and-2083s)?_g=(refreshInterval:(display:Off,section:0,value:0),time:(from:'2016-12-18 11:12:31-700',mode:absolute,to:'2016-12-18 14:02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6" s="52" t="str">
        <f t="shared" si="20"/>
        <v>N</v>
      </c>
      <c r="X76" s="177">
        <f t="shared" si="25"/>
        <v>1</v>
      </c>
      <c r="Y76" s="67">
        <f t="shared" si="6"/>
        <v>4.58E-2</v>
      </c>
      <c r="Z76" s="67">
        <f t="shared" si="24"/>
        <v>15.8156</v>
      </c>
      <c r="AA76" s="67">
        <f t="shared" si="7"/>
        <v>15.7698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8"/>
        <v>0171-18</v>
      </c>
      <c r="AE76" s="91" t="str">
        <f t="shared" si="9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76" s="88" t="str">
        <f t="shared" si="10"/>
        <v>"C:\Program Files (x86)\AstroGrep\AstroGrep.exe" /spath="%USERPROFILE%\AppData\Local\Temp\OnboardLogs" /stypes="app*4009*20161218*" /stext=" 20:.+((SYSTEM_STATE.+slice.+state.+changed )|(ment ac)|(multiple cpu faults)|(system.+state.+changed )|(\[timeout)|(PRM\|1\|D)|(kpr)|(kdp)|(\|lc)|(penalty))" /e /r /s</v>
      </c>
      <c r="AG76" s="1" t="str">
        <f t="shared" si="11"/>
        <v>EC</v>
      </c>
      <c r="AH76" s="92" t="str">
        <f t="shared" ref="AH76:AH138" si="28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171-18 --locoid 4009 --swversion DE.1.0.8.0 --startMP 204:458 --initTime 2016-12-18T12:12:31 --startdatetime 2016-12-18T12:30:50 --delay 1 --endMP 204:158156 --enddatetime 2016-12-18T13:02:35 --enforcementcount 0 &gt;&gt;C:\Users\stu\Documents\GitHub\eaglep3-reporting\EC\2016-12-18-refined-times.txt</v>
      </c>
      <c r="AI76" s="119" t="str">
        <f t="shared" ref="AI76:AI138" si="29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{"issue":{"subject":"","project_id":79,"tracker_id":40,"status_id":1,"priority_id":2,"assigned_to_id":23,"start_date":"2016-12-18","description":"","custom_fields":[{"id":1,"name":"Subdivision","value":"EC"},{"id":4,"name":"Milepost","value":"15.8156"},{"id":17,"name":"Train ID","value":"171-18"},{"id":16,"name":"Locomotive ID","value":"4009"},{"id":130,"name":"Impact","value":""},{"id":150,"name":"Time of Event (Mountain Time)","value":"13:02:35"},{"id":151,"name":"Denver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632</v>
      </c>
      <c r="B77" s="7">
        <v>4045</v>
      </c>
      <c r="C77" s="22" t="s">
        <v>205</v>
      </c>
      <c r="D77" s="22" t="s">
        <v>817</v>
      </c>
      <c r="E77" s="13">
        <v>42722.555405092593</v>
      </c>
      <c r="F77" s="13">
        <v>42722.556909722225</v>
      </c>
      <c r="G77" s="7">
        <v>1</v>
      </c>
      <c r="H77" s="22" t="s">
        <v>278</v>
      </c>
      <c r="I77" s="13">
        <v>42722.589502314811</v>
      </c>
      <c r="J77" s="7">
        <v>0</v>
      </c>
      <c r="K77" s="109" t="str">
        <f t="shared" ref="K77:K140" si="30">IF(ISEVEN(B77),(B77-1)&amp;"/"&amp;B77,B77&amp;"/"&amp;(B77+1))</f>
        <v>4045/4046</v>
      </c>
      <c r="L77" s="22" t="str">
        <f>VLOOKUP(A77,'Trips&amp;Operators'!$C$1:$G$99999,5,FALSE)</f>
        <v>STEWART MICHAEL</v>
      </c>
      <c r="M77" s="6">
        <f t="shared" ref="M77:M140" si="31">I77-F77</f>
        <v>3.2592592586297542E-2</v>
      </c>
      <c r="N77" s="7">
        <f t="shared" si="27"/>
        <v>46.93333332426846</v>
      </c>
      <c r="O77" s="7"/>
      <c r="P77" s="7"/>
      <c r="Q77" s="23"/>
      <c r="R77" s="23"/>
      <c r="S77" s="35">
        <f t="shared" si="26"/>
        <v>1</v>
      </c>
      <c r="T77" s="50" t="str">
        <f t="shared" ref="T77:T140" si="32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3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https://search-rtdc-monitor-bjffxe2xuh6vdkpspy63sjmuny.us-east-1.es.amazonaws.com/_plugin/kibana/#/discover/Steve-Slow-Train-Analysis-(2080s-and-2083s)?_g=(refreshInterval:(display:Off,section:0,value:0),time:(from:'2016-12-18 12:19:47-700',mode:absolute,to:'2016-12-18 15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7" s="52" t="str">
        <f t="shared" si="20"/>
        <v>N</v>
      </c>
      <c r="X77" s="177">
        <f t="shared" si="25"/>
        <v>1</v>
      </c>
      <c r="Y77" s="67">
        <f t="shared" ref="Y77:Y140" si="34">RIGHT(D77,LEN(D77)-4)/10000</f>
        <v>15.774699999999999</v>
      </c>
      <c r="Z77" s="67">
        <f t="shared" si="24"/>
        <v>1.5800000000000002E-2</v>
      </c>
      <c r="AA77" s="67">
        <f t="shared" ref="AA77:AA140" si="35">ABS(Z77-Y77)</f>
        <v>15.758899999999999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6">IF(LEN(A77)=6,"0"&amp;A77,A77)</f>
        <v>0172-18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/stypes="app*4045*20161218*" /stext=" 21:.+((SYSTEM_STATE.+slice.+state.+changed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28"/>
        <v>"%USERPROFILE%\Documents\GitHub\eaglep3\Utilities\RefineRTDCRunTimes.py" --tripid 172-18 --locoid 4045 --swversion DE.1.0.8.0 --startMP 204:157747 --initTime 2016-12-18T13:19:47 --startdatetime 2016-12-18T13:21:57 --delay 1 --endMP 204:158 --enddatetime 2016-12-18T14:08:53 --enforcementcount 0 &gt;&gt;C:\Users\stu\Documents\GitHub\eaglep3-reporting\EC\2016-12-18-refined-times.txt</v>
      </c>
      <c r="AI77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{"issue":{"subject":"","project_id":79,"tracker_id":40,"status_id":1,"priority_id":2,"assigned_to_id":23,"start_date":"2016-12-18","description":"","custom_fields":[{"id":1,"name":"Subdivision","value":"EC"},{"id":4,"name":"Milepost","value":"0.0158"},{"id":17,"name":"Train ID","value":"172-18"},{"id":16,"name":"Locomotive ID","value":"4045"},{"id":130,"name":"Impact","value":""},{"id":150,"name":"Time of Event (Mountain Time)","value":"14:08:53"},{"id":151,"name":"Denver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624</v>
      </c>
      <c r="B78" s="7">
        <v>4046</v>
      </c>
      <c r="C78" s="22" t="s">
        <v>205</v>
      </c>
      <c r="D78" s="22" t="s">
        <v>299</v>
      </c>
      <c r="E78" s="13">
        <v>42722.519872685189</v>
      </c>
      <c r="F78" s="13">
        <v>42722.531481481485</v>
      </c>
      <c r="G78" s="7">
        <v>2</v>
      </c>
      <c r="H78" s="22" t="s">
        <v>818</v>
      </c>
      <c r="I78" s="13">
        <v>42722.553217592591</v>
      </c>
      <c r="J78" s="7">
        <v>0</v>
      </c>
      <c r="K78" s="109" t="str">
        <f t="shared" si="30"/>
        <v>4045/4046</v>
      </c>
      <c r="L78" s="22" t="str">
        <f>VLOOKUP(A78,'Trips&amp;Operators'!$C$1:$G$99999,5,FALSE)</f>
        <v>STEWART MICHAEL</v>
      </c>
      <c r="M78" s="6">
        <f t="shared" si="31"/>
        <v>2.173611110629281E-2</v>
      </c>
      <c r="N78" s="7">
        <f t="shared" si="27"/>
        <v>31.299999993061647</v>
      </c>
      <c r="O78" s="7"/>
      <c r="P78" s="7"/>
      <c r="Q78" s="23"/>
      <c r="R78" s="23"/>
      <c r="S78" s="35">
        <f t="shared" si="26"/>
        <v>1</v>
      </c>
      <c r="T78" s="50" t="str">
        <f t="shared" si="32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11:28:37-700',mode:absolute,to:'2016-12-18 14:16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8" s="52" t="str">
        <f t="shared" si="20"/>
        <v>N</v>
      </c>
      <c r="X78" s="177">
        <f t="shared" si="25"/>
        <v>1</v>
      </c>
      <c r="Y78" s="67">
        <f t="shared" si="34"/>
        <v>4.4400000000000002E-2</v>
      </c>
      <c r="Z78" s="67">
        <f t="shared" si="24"/>
        <v>15.7971</v>
      </c>
      <c r="AA78" s="67">
        <f t="shared" si="35"/>
        <v>15.752700000000001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6"/>
        <v>0173-18</v>
      </c>
      <c r="AE78" s="91" t="str">
        <f t="shared" si="37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78" s="88" t="str">
        <f t="shared" si="38"/>
        <v>"C:\Program Files (x86)\AstroGrep\AstroGrep.exe" /spath="%USERPROFILE%\AppData\Local\Temp\OnboardLogs" /stypes="app*4046*20161218*"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92" t="str">
        <f t="shared" si="28"/>
        <v>"%USERPROFILE%\Documents\GitHub\eaglep3\Utilities\RefineRTDCRunTimes.py" --tripid 173-18 --locoid 4046 --swversion DE.1.0.8.0 --startMP 204:444 --initTime 2016-12-18T12:28:37 --startdatetime 2016-12-18T12:45:20 --delay 2 --endMP 204:157971 --enddatetime 2016-12-18T13:16:38 --enforcementcount 0 &gt;&gt;C:\Users\stu\Documents\GitHub\eaglep3-reporting\EC\2016-12-18-refined-times.txt</v>
      </c>
      <c r="AI78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{"issue":{"subject":"","project_id":79,"tracker_id":40,"status_id":1,"priority_id":2,"assigned_to_id":23,"start_date":"2016-12-18","description":"","custom_fields":[{"id":1,"name":"Subdivision","value":"EC"},{"id":4,"name":"Milepost","value":"15.7971"},{"id":17,"name":"Train ID","value":"173-18"},{"id":16,"name":"Locomotive ID","value":"4046"},{"id":130,"name":"Impact","value":""},{"id":150,"name":"Time of Event (Mountain Time)","value":"13:16:38"},{"id":151,"name":"Denver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635</v>
      </c>
      <c r="B79" s="7">
        <v>4043</v>
      </c>
      <c r="C79" s="22" t="s">
        <v>205</v>
      </c>
      <c r="D79" s="22" t="s">
        <v>819</v>
      </c>
      <c r="E79" s="13">
        <v>42722.565636574072</v>
      </c>
      <c r="F79" s="13">
        <v>42722.568437499998</v>
      </c>
      <c r="G79" s="7">
        <v>2</v>
      </c>
      <c r="H79" s="22" t="s">
        <v>273</v>
      </c>
      <c r="I79" s="13">
        <v>42722.599942129629</v>
      </c>
      <c r="J79" s="7">
        <v>0</v>
      </c>
      <c r="K79" s="109" t="str">
        <f t="shared" si="30"/>
        <v>4043/4044</v>
      </c>
      <c r="L79" s="22" t="str">
        <f>VLOOKUP(A79,'Trips&amp;Operators'!$C$1:$G$99999,5,FALSE)</f>
        <v>DAVIS MICHAEL</v>
      </c>
      <c r="M79" s="6">
        <f t="shared" si="31"/>
        <v>3.1504629630944692E-2</v>
      </c>
      <c r="N79" s="7">
        <f t="shared" si="27"/>
        <v>45.366666668560356</v>
      </c>
      <c r="O79" s="7"/>
      <c r="P79" s="7"/>
      <c r="Q79" s="23"/>
      <c r="R79" s="23"/>
      <c r="S79" s="35">
        <f t="shared" si="26"/>
        <v>1</v>
      </c>
      <c r="T79" s="50" t="str">
        <f t="shared" si="32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12:34:31-700',mode:absolute,to:'2016-12-18 15:23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9" s="52" t="str">
        <f t="shared" si="20"/>
        <v>N</v>
      </c>
      <c r="X79" s="177">
        <f t="shared" si="25"/>
        <v>1</v>
      </c>
      <c r="Y79" s="67">
        <f t="shared" si="34"/>
        <v>15.790100000000001</v>
      </c>
      <c r="Z79" s="67">
        <f t="shared" si="24"/>
        <v>1.61E-2</v>
      </c>
      <c r="AA79" s="67">
        <f t="shared" si="35"/>
        <v>15.774000000000001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6"/>
        <v>0174-18</v>
      </c>
      <c r="AE79" s="91" t="str">
        <f t="shared" si="37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79" s="88" t="str">
        <f t="shared" si="38"/>
        <v>"C:\Program Files (x86)\AstroGrep\AstroGrep.exe" /spath="%USERPROFILE%\AppData\Local\Temp\OnboardLogs" /stypes="app*4043*20161218*" /stext=" 21:.+((SYSTEM_STATE.+slice.+state.+changed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92" t="str">
        <f t="shared" si="28"/>
        <v>"%USERPROFILE%\Documents\GitHub\eaglep3\Utilities\RefineRTDCRunTimes.py" --tripid 174-18 --locoid 4043 --swversion DE.1.0.8.0 --startMP 204:157901 --initTime 2016-12-18T13:34:31 --startdatetime 2016-12-18T13:38:33 --delay 2 --endMP 204:161 --enddatetime 2016-12-18T14:23:55 --enforcementcount 0 &gt;&gt;C:\Users\stu\Documents\GitHub\eaglep3-reporting\EC\2016-12-18-refined-times.txt</v>
      </c>
      <c r="AI79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{"issue":{"subject":"","project_id":79,"tracker_id":40,"status_id":1,"priority_id":2,"assigned_to_id":23,"start_date":"2016-12-18","description":"","custom_fields":[{"id":1,"name":"Subdivision","value":"EC"},{"id":4,"name":"Milepost","value":"0.0161"},{"id":17,"name":"Train ID","value":"174-18"},{"id":16,"name":"Locomotive ID","value":"4043"},{"id":130,"name":"Impact","value":""},{"id":150,"name":"Time of Event (Mountain Time)","value":"14:23:55"},{"id":151,"name":"Denver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628</v>
      </c>
      <c r="B80" s="7">
        <v>4044</v>
      </c>
      <c r="C80" s="22" t="s">
        <v>205</v>
      </c>
      <c r="D80" s="22" t="s">
        <v>820</v>
      </c>
      <c r="E80" s="13">
        <v>42722.53633101852</v>
      </c>
      <c r="F80" s="13">
        <v>42722.542071759257</v>
      </c>
      <c r="G80" s="7">
        <v>1</v>
      </c>
      <c r="H80" s="22" t="s">
        <v>812</v>
      </c>
      <c r="I80" s="13">
        <v>42722.564571759256</v>
      </c>
      <c r="J80" s="7">
        <v>0</v>
      </c>
      <c r="K80" s="109" t="str">
        <f t="shared" si="30"/>
        <v>4043/4044</v>
      </c>
      <c r="L80" s="22" t="str">
        <f>VLOOKUP(A80,'Trips&amp;Operators'!$C$1:$G$99999,5,FALSE)</f>
        <v>DAVIS MICHAEL</v>
      </c>
      <c r="M80" s="6">
        <f t="shared" si="31"/>
        <v>2.2499999999126885E-2</v>
      </c>
      <c r="N80" s="7">
        <f t="shared" si="27"/>
        <v>32.399999998742715</v>
      </c>
      <c r="O80" s="7"/>
      <c r="P80" s="7"/>
      <c r="Q80" s="23"/>
      <c r="R80" s="23"/>
      <c r="S80" s="35">
        <f t="shared" si="26"/>
        <v>1</v>
      </c>
      <c r="T80" s="50" t="str">
        <f t="shared" si="32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11:52:19-700',mode:absolute,to:'2016-12-18 14:32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0" s="52" t="str">
        <f t="shared" si="20"/>
        <v>N</v>
      </c>
      <c r="X80" s="177">
        <f t="shared" si="25"/>
        <v>1</v>
      </c>
      <c r="Y80" s="67">
        <f t="shared" si="34"/>
        <v>4.3299999999999998E-2</v>
      </c>
      <c r="Z80" s="67">
        <f t="shared" si="24"/>
        <v>15.812900000000001</v>
      </c>
      <c r="AA80" s="67">
        <f t="shared" si="35"/>
        <v>15.769600000000001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6"/>
        <v>0175-18</v>
      </c>
      <c r="AE80" s="91" t="str">
        <f t="shared" si="37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80" s="88" t="str">
        <f t="shared" si="38"/>
        <v>"C:\Program Files (x86)\AstroGrep\AstroGrep.exe" /spath="%USERPROFILE%\AppData\Local\Temp\OnboardLogs" /stypes="app*4044*20161218*"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92" t="str">
        <f t="shared" si="28"/>
        <v>"%USERPROFILE%\Documents\GitHub\eaglep3\Utilities\RefineRTDCRunTimes.py" --tripid 175-18 --locoid 4044 --swversion DE.1.0.8.0 --startMP 204:433 --initTime 2016-12-18T12:52:19 --startdatetime 2016-12-18T13:00:35 --delay 1 --endMP 204:158129 --enddatetime 2016-12-18T13:32:59 --enforcementcount 0 &gt;&gt;C:\Users\stu\Documents\GitHub\eaglep3-reporting\EC\2016-12-18-refined-times.txt</v>
      </c>
      <c r="AI80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{"issue":{"subject":"","project_id":79,"tracker_id":40,"status_id":1,"priority_id":2,"assigned_to_id":23,"start_date":"2016-12-18","description":"","custom_fields":[{"id":1,"name":"Subdivision","value":"EC"},{"id":4,"name":"Milepost","value":"15.8129"},{"id":17,"name":"Train ID","value":"175-18"},{"id":16,"name":"Locomotive ID","value":"4044"},{"id":130,"name":"Impact","value":""},{"id":150,"name":"Time of Event (Mountain Time)","value":"13:32:59"},{"id":151,"name":"Denver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523</v>
      </c>
      <c r="B81" s="7">
        <v>4028</v>
      </c>
      <c r="C81" s="22" t="s">
        <v>205</v>
      </c>
      <c r="D81" s="22" t="s">
        <v>821</v>
      </c>
      <c r="E81" s="13">
        <v>42722.576550925929</v>
      </c>
      <c r="F81" s="13">
        <v>42722.578541666669</v>
      </c>
      <c r="G81" s="7">
        <v>1</v>
      </c>
      <c r="H81" s="22" t="s">
        <v>476</v>
      </c>
      <c r="I81" s="13">
        <v>42722.609340277777</v>
      </c>
      <c r="J81" s="7">
        <v>0</v>
      </c>
      <c r="K81" s="109" t="str">
        <f t="shared" si="30"/>
        <v>4027/4028</v>
      </c>
      <c r="L81" s="22" t="str">
        <f>VLOOKUP(A81,'Trips&amp;Operators'!$C$1:$G$99999,5,FALSE)</f>
        <v>HOLCOMB KAMDEN</v>
      </c>
      <c r="M81" s="6">
        <f t="shared" si="31"/>
        <v>3.0798611107456964E-2</v>
      </c>
      <c r="N81" s="7">
        <f t="shared" si="27"/>
        <v>44.349999994738027</v>
      </c>
      <c r="O81" s="7"/>
      <c r="P81" s="7"/>
      <c r="Q81" s="23"/>
      <c r="R81" s="23"/>
      <c r="S81" s="35">
        <f t="shared" si="26"/>
        <v>1</v>
      </c>
      <c r="T81" s="50" t="str">
        <f t="shared" si="32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12:50:14-700',mode:absolute,to:'2016-12-18 15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1" s="52" t="str">
        <f t="shared" si="20"/>
        <v>N</v>
      </c>
      <c r="X81" s="177">
        <f t="shared" si="25"/>
        <v>1</v>
      </c>
      <c r="Y81" s="67">
        <f t="shared" si="34"/>
        <v>15.8362</v>
      </c>
      <c r="Z81" s="67">
        <f t="shared" si="24"/>
        <v>1.2699999999999999E-2</v>
      </c>
      <c r="AA81" s="67">
        <f t="shared" si="35"/>
        <v>15.823499999999999</v>
      </c>
      <c r="AB81" s="64" t="str">
        <f>VLOOKUP(A81,Enforcements!$C$7:$K$19,8,0)</f>
        <v>Speed (6)</v>
      </c>
      <c r="AC81" s="60" t="str">
        <f>VLOOKUP(A81,Enforcements!$C$7:$E$19,3,0)</f>
        <v>PERMANENT SPEED RESTRICTION</v>
      </c>
      <c r="AD81" s="61" t="str">
        <f t="shared" si="36"/>
        <v>0176-18</v>
      </c>
      <c r="AE81" s="91" t="str">
        <f t="shared" si="37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81" s="88" t="str">
        <f t="shared" si="38"/>
        <v>"C:\Program Files (x86)\AstroGrep\AstroGrep.exe" /spath="%USERPROFILE%\AppData\Local\Temp\OnboardLogs" /stypes="app*4028*20161218*" /stext=" 21:.+((SYSTEM_STATE.+slice.+state.+changed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92" t="str">
        <f t="shared" si="28"/>
        <v>"%USERPROFILE%\Documents\GitHub\eaglep3\Utilities\RefineRTDCRunTimes.py" --tripid 176-18 --locoid 4028 --swversion DE.1.0.8.0 --startMP 204:158362 --initTime 2016-12-18T13:50:14 --startdatetime 2016-12-18T13:53:06 --delay 1 --endMP 204:127 --enddatetime 2016-12-18T14:37:27 --enforcementcount 0 &gt;&gt;C:\Users\stu\Documents\GitHub\eaglep3-reporting\EC\2016-12-18-refined-times.txt</v>
      </c>
      <c r="AI81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{"issue":{"subject":"","project_id":79,"tracker_id":40,"status_id":1,"priority_id":2,"assigned_to_id":23,"start_date":"2016-12-18","description":"","custom_fields":[{"id":1,"name":"Subdivision","value":"EC"},{"id":4,"name":"Milepost","value":"0.0127"},{"id":17,"name":"Train ID","value":"176-18"},{"id":16,"name":"Locomotive ID","value":"4028"},{"id":130,"name":"Impact","value":""},{"id":150,"name":"Time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631</v>
      </c>
      <c r="B82" s="7">
        <v>4027</v>
      </c>
      <c r="C82" s="22" t="s">
        <v>205</v>
      </c>
      <c r="D82" s="22" t="s">
        <v>822</v>
      </c>
      <c r="E82" s="13">
        <v>42722.546030092592</v>
      </c>
      <c r="F82" s="13">
        <v>42722.552430555559</v>
      </c>
      <c r="G82" s="7">
        <v>1</v>
      </c>
      <c r="H82" s="22" t="s">
        <v>823</v>
      </c>
      <c r="I82" s="13">
        <v>42722.575370370374</v>
      </c>
      <c r="J82" s="7">
        <v>0</v>
      </c>
      <c r="K82" s="109" t="str">
        <f t="shared" si="30"/>
        <v>4027/4028</v>
      </c>
      <c r="L82" s="22" t="str">
        <f>VLOOKUP(A82,'Trips&amp;Operators'!$C$1:$G$99999,5,FALSE)</f>
        <v>HOLCOMB KAMDEN</v>
      </c>
      <c r="M82" s="6">
        <f t="shared" si="31"/>
        <v>2.2939814814890269E-2</v>
      </c>
      <c r="N82" s="7">
        <f t="shared" si="27"/>
        <v>33.033333333441988</v>
      </c>
      <c r="O82" s="7"/>
      <c r="P82" s="7"/>
      <c r="Q82" s="23"/>
      <c r="R82" s="23"/>
      <c r="S82" s="35">
        <f t="shared" si="26"/>
        <v>1</v>
      </c>
      <c r="T82" s="50" t="str">
        <f t="shared" si="32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12:06:17-700',mode:absolute,to:'2016-12-18 14:48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2" s="52" t="str">
        <f t="shared" si="20"/>
        <v>N</v>
      </c>
      <c r="X82" s="177">
        <f t="shared" si="25"/>
        <v>1</v>
      </c>
      <c r="Y82" s="67">
        <f t="shared" si="34"/>
        <v>4.1300000000000003E-2</v>
      </c>
      <c r="Z82" s="67">
        <f t="shared" ref="Z82:Z113" si="40">RIGHT(H82,LEN(H82)-4)/10000</f>
        <v>15.858700000000001</v>
      </c>
      <c r="AA82" s="67">
        <f t="shared" si="35"/>
        <v>15.817400000000001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6"/>
        <v>0177-18</v>
      </c>
      <c r="AE82" s="91" t="str">
        <f t="shared" si="37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82" s="88" t="str">
        <f t="shared" si="38"/>
        <v>"C:\Program Files (x86)\AstroGrep\AstroGrep.exe" /spath="%USERPROFILE%\AppData\Local\Temp\OnboardLogs" /stypes="app*4027*20161218*" /stext=" 20:.+((SYSTEM_STATE.+slice.+state.+changed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92" t="str">
        <f t="shared" si="28"/>
        <v>"%USERPROFILE%\Documents\GitHub\eaglep3\Utilities\RefineRTDCRunTimes.py" --tripid 177-18 --locoid 4027 --swversion DE.1.0.8.0 --startMP 204:413 --initTime 2016-12-18T13:06:17 --startdatetime 2016-12-18T13:15:30 --delay 1 --endMP 204:158587 --enddatetime 2016-12-18T13:48:32 --enforcementcount 0 &gt;&gt;C:\Users\stu\Documents\GitHub\eaglep3-reporting\EC\2016-12-18-refined-times.txt</v>
      </c>
      <c r="AI82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{"issue":{"subject":"","project_id":79,"tracker_id":40,"status_id":1,"priority_id":2,"assigned_to_id":23,"start_date":"2016-12-18","description":"","custom_fields":[{"id":1,"name":"Subdivision","value":"EC"},{"id":4,"name":"Milepost","value":"15.8587"},{"id":17,"name":"Train ID","value":"177-18"},{"id":16,"name":"Locomotive ID","value":"4027"},{"id":130,"name":"Impact","value":""},{"id":150,"name":"Time of Event (Mountain Time)","value":"13:48:32"},{"id":151,"name":"Denver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640</v>
      </c>
      <c r="B83" s="7">
        <v>4039</v>
      </c>
      <c r="C83" s="22" t="s">
        <v>205</v>
      </c>
      <c r="D83" s="22" t="s">
        <v>824</v>
      </c>
      <c r="E83" s="13">
        <v>42722.586122685185</v>
      </c>
      <c r="F83" s="13">
        <v>42722.588645833333</v>
      </c>
      <c r="G83" s="7">
        <v>1</v>
      </c>
      <c r="H83" s="22" t="s">
        <v>192</v>
      </c>
      <c r="I83" s="13">
        <v>42722.620578703703</v>
      </c>
      <c r="J83" s="7">
        <v>0</v>
      </c>
      <c r="K83" s="109" t="str">
        <f t="shared" si="30"/>
        <v>4039/4040</v>
      </c>
      <c r="L83" s="22" t="str">
        <f>VLOOKUP(A83,'Trips&amp;Operators'!$C$1:$G$99999,5,FALSE)</f>
        <v>BRUDER RICHARD</v>
      </c>
      <c r="M83" s="6">
        <f t="shared" si="31"/>
        <v>3.1932870369928423E-2</v>
      </c>
      <c r="N83" s="7">
        <f t="shared" si="27"/>
        <v>45.98333333269693</v>
      </c>
      <c r="O83" s="7"/>
      <c r="P83" s="7"/>
      <c r="Q83" s="23"/>
      <c r="R83" s="23"/>
      <c r="S83" s="35">
        <f t="shared" si="26"/>
        <v>1</v>
      </c>
      <c r="T83" s="50" t="str">
        <f t="shared" si="32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13:04:01-700',mode:absolute,to:'2016-12-18 15:53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3" s="52" t="str">
        <f t="shared" si="20"/>
        <v>N</v>
      </c>
      <c r="X83" s="177">
        <f t="shared" si="25"/>
        <v>1</v>
      </c>
      <c r="Y83" s="67">
        <f t="shared" si="34"/>
        <v>15.7547</v>
      </c>
      <c r="Z83" s="67">
        <f t="shared" si="40"/>
        <v>1.43E-2</v>
      </c>
      <c r="AA83" s="67">
        <f t="shared" si="35"/>
        <v>15.740399999999999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6"/>
        <v>0178-18</v>
      </c>
      <c r="AE83" s="91" t="str">
        <f t="shared" si="37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83" s="88" t="str">
        <f t="shared" si="38"/>
        <v>"C:\Program Files (x86)\AstroGrep\AstroGrep.exe" /spath="%USERPROFILE%\AppData\Local\Temp\OnboardLogs" /stypes="app*4039*20161218*" /stext=" 21:.+((SYSTEM_STATE.+slice.+state.+changed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92" t="str">
        <f t="shared" si="28"/>
        <v>"%USERPROFILE%\Documents\GitHub\eaglep3\Utilities\RefineRTDCRunTimes.py" --tripid 178-18 --locoid 4039 --swversion DE.1.0.8.0 --startMP 204:157547 --initTime 2016-12-18T14:04:01 --startdatetime 2016-12-18T14:07:39 --delay 1 --endMP 204:143 --enddatetime 2016-12-18T14:53:38 --enforcementcount 0 &gt;&gt;C:\Users\stu\Documents\GitHub\eaglep3-reporting\EC\2016-12-18-refined-times.txt</v>
      </c>
      <c r="AI83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{"issue":{"subject":"","project_id":79,"tracker_id":40,"status_id":1,"priority_id":2,"assigned_to_id":23,"start_date":"2016-12-18","description":"","custom_fields":[{"id":1,"name":"Subdivision","value":"EC"},{"id":4,"name":"Milepost","value":"0.0143"},{"id":17,"name":"Train ID","value":"178-18"},{"id":16,"name":"Locomotive ID","value":"4039"},{"id":130,"name":"Impact","value":""},{"id":150,"name":"Time of Event (Mountain Time)","value":"14:53:38"},{"id":151,"name":"Denver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633</v>
      </c>
      <c r="B84" s="7">
        <v>4040</v>
      </c>
      <c r="C84" s="22" t="s">
        <v>205</v>
      </c>
      <c r="D84" s="22" t="s">
        <v>251</v>
      </c>
      <c r="E84" s="13">
        <v>42722.557013888887</v>
      </c>
      <c r="F84" s="13">
        <v>42722.562719907408</v>
      </c>
      <c r="G84" s="7">
        <v>1</v>
      </c>
      <c r="H84" s="22" t="s">
        <v>825</v>
      </c>
      <c r="I84" s="13">
        <v>42722.584409722222</v>
      </c>
      <c r="J84" s="7">
        <v>0</v>
      </c>
      <c r="K84" s="109" t="str">
        <f t="shared" si="30"/>
        <v>4039/4040</v>
      </c>
      <c r="L84" s="22" t="str">
        <f>VLOOKUP(A84,'Trips&amp;Operators'!$C$1:$G$99999,5,FALSE)</f>
        <v>BRUDER RICHARD</v>
      </c>
      <c r="M84" s="6">
        <f t="shared" si="31"/>
        <v>2.1689814813726116E-2</v>
      </c>
      <c r="N84" s="7">
        <f t="shared" si="27"/>
        <v>31.233333331765607</v>
      </c>
      <c r="O84" s="7"/>
      <c r="P84" s="7"/>
      <c r="Q84" s="23"/>
      <c r="R84" s="23"/>
      <c r="S84" s="35">
        <f t="shared" si="26"/>
        <v>1</v>
      </c>
      <c r="T84" s="50" t="str">
        <f t="shared" si="32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12:22:06-700',mode:absolute,to:'2016-12-18 15:01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4" s="52" t="str">
        <f t="shared" si="20"/>
        <v>N</v>
      </c>
      <c r="X84" s="177">
        <f t="shared" ref="X84:X103" si="41">VALUE(LEFT(AD84,4))-VALUE(LEFT(AD83,4))</f>
        <v>1</v>
      </c>
      <c r="Y84" s="67">
        <f t="shared" si="34"/>
        <v>4.4600000000000001E-2</v>
      </c>
      <c r="Z84" s="67">
        <f t="shared" si="40"/>
        <v>15.778499999999999</v>
      </c>
      <c r="AA84" s="67">
        <f t="shared" si="35"/>
        <v>15.733899999999998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6"/>
        <v>0179-18</v>
      </c>
      <c r="AE84" s="91" t="str">
        <f t="shared" si="37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84" s="88" t="str">
        <f t="shared" si="38"/>
        <v>"C:\Program Files (x86)\AstroGrep\AstroGrep.exe" /spath="%USERPROFILE%\AppData\Local\Temp\OnboardLogs" /stypes="app*4040*20161218*" /stext=" 21:.+((SYSTEM_STATE.+slice.+state.+changed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92" t="str">
        <f t="shared" si="28"/>
        <v>"%USERPROFILE%\Documents\GitHub\eaglep3\Utilities\RefineRTDCRunTimes.py" --tripid 179-18 --locoid 4040 --swversion DE.1.0.8.0 --startMP 204:446 --initTime 2016-12-18T13:22:06 --startdatetime 2016-12-18T13:30:19 --delay 1 --endMP 204:157785 --enddatetime 2016-12-18T14:01:33 --enforcementcount 0 &gt;&gt;C:\Users\stu\Documents\GitHub\eaglep3-reporting\EC\2016-12-18-refined-times.txt</v>
      </c>
      <c r="AI84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{"issue":{"subject":"","project_id":79,"tracker_id":40,"status_id":1,"priority_id":2,"assigned_to_id":23,"start_date":"2016-12-18","description":"","custom_fields":[{"id":1,"name":"Subdivision","value":"EC"},{"id":4,"name":"Milepost","value":"15.7785"},{"id":17,"name":"Train ID","value":"179-18"},{"id":16,"name":"Locomotive ID","value":"4040"},{"id":130,"name":"Impact","value":""},{"id":150,"name":"Time of Event (Mountain Time)","value":"14:01:33"},{"id":151,"name":"Denver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641</v>
      </c>
      <c r="B85" s="7">
        <v>4030</v>
      </c>
      <c r="C85" s="22" t="s">
        <v>205</v>
      </c>
      <c r="D85" s="22" t="s">
        <v>826</v>
      </c>
      <c r="E85" s="13">
        <v>42722.594375000001</v>
      </c>
      <c r="F85" s="13">
        <v>42722.600729166668</v>
      </c>
      <c r="G85" s="7">
        <v>4</v>
      </c>
      <c r="H85" s="22" t="s">
        <v>278</v>
      </c>
      <c r="I85" s="13">
        <v>42722.628969907404</v>
      </c>
      <c r="J85" s="7">
        <v>0</v>
      </c>
      <c r="K85" s="109" t="str">
        <f t="shared" si="30"/>
        <v>4029/4030</v>
      </c>
      <c r="L85" s="22" t="str">
        <f>VLOOKUP(A85,'Trips&amp;Operators'!$C$1:$G$99999,5,FALSE)</f>
        <v>BARTLETT KIANDRA</v>
      </c>
      <c r="M85" s="6">
        <f t="shared" si="31"/>
        <v>2.824074073578231E-2</v>
      </c>
      <c r="N85" s="7">
        <f t="shared" si="27"/>
        <v>40.666666659526527</v>
      </c>
      <c r="O85" s="7"/>
      <c r="P85" s="7"/>
      <c r="Q85" s="23"/>
      <c r="R85" s="23"/>
      <c r="S85" s="35">
        <f t="shared" si="26"/>
        <v>1</v>
      </c>
      <c r="T85" s="50" t="str">
        <f t="shared" si="32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13:15:54-700',mode:absolute,to:'2016-12-18 16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5" s="52" t="str">
        <f t="shared" si="20"/>
        <v>N</v>
      </c>
      <c r="X85" s="177">
        <f t="shared" si="41"/>
        <v>1</v>
      </c>
      <c r="Y85" s="67">
        <f t="shared" si="34"/>
        <v>15.7912</v>
      </c>
      <c r="Z85" s="67">
        <f t="shared" si="40"/>
        <v>1.5800000000000002E-2</v>
      </c>
      <c r="AA85" s="67">
        <f t="shared" si="35"/>
        <v>15.775399999999999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6"/>
        <v>0180-18</v>
      </c>
      <c r="AE85" s="91" t="str">
        <f t="shared" si="37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85" s="88" t="str">
        <f t="shared" si="38"/>
        <v>"C:\Program Files (x86)\AstroGrep\AstroGrep.exe" /spath="%USERPROFILE%\AppData\Local\Temp\OnboardLogs" /stypes="app*4030*20161218*" /stext=" 22:.+((SYSTEM_STATE.+slice.+state.+changed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92" t="str">
        <f t="shared" si="28"/>
        <v>"%USERPROFILE%\Documents\GitHub\eaglep3\Utilities\RefineRTDCRunTimes.py" --tripid 180-18 --locoid 4030 --swversion DE.1.0.8.0 --startMP 204:157912 --initTime 2016-12-18T14:15:54 --startdatetime 2016-12-18T14:25:03 --delay 4 --endMP 204:158 --enddatetime 2016-12-18T15:05:43 --enforcementcount 0 &gt;&gt;C:\Users\stu\Documents\GitHub\eaglep3-reporting\EC\2016-12-18-refined-times.txt</v>
      </c>
      <c r="AI85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{"issue":{"subject":"","project_id":79,"tracker_id":40,"status_id":1,"priority_id":2,"assigned_to_id":23,"start_date":"2016-12-18","description":"","custom_fields":[{"id":1,"name":"Subdivision","value":"EC"},{"id":4,"name":"Milepost","value":"0.0158"},{"id":17,"name":"Train ID","value":"180-18"},{"id":16,"name":"Locomotive ID","value":"4030"},{"id":130,"name":"Impact","value":""},{"id":150,"name":"Time of Event (Mountain Time)","value":"15:05:43"},{"id":151,"name":"Denver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634</v>
      </c>
      <c r="B86" s="7">
        <v>4029</v>
      </c>
      <c r="C86" s="22" t="s">
        <v>205</v>
      </c>
      <c r="D86" s="22" t="s">
        <v>830</v>
      </c>
      <c r="E86" s="13">
        <v>42722.558287037034</v>
      </c>
      <c r="F86" s="13">
        <v>42722.57309027778</v>
      </c>
      <c r="G86" s="7">
        <v>1</v>
      </c>
      <c r="H86" s="22" t="s">
        <v>831</v>
      </c>
      <c r="I86" s="13">
        <v>42722.592870370368</v>
      </c>
      <c r="J86" s="7">
        <v>0</v>
      </c>
      <c r="K86" s="109" t="str">
        <f t="shared" si="30"/>
        <v>4029/4030</v>
      </c>
      <c r="L86" s="22" t="str">
        <f>VLOOKUP(A86,'Trips&amp;Operators'!$C$1:$G$99999,5,FALSE)</f>
        <v>BARTLETT KIANDRA</v>
      </c>
      <c r="M86" s="6">
        <f t="shared" si="31"/>
        <v>1.9780092588916887E-2</v>
      </c>
      <c r="N86" s="7">
        <f t="shared" si="27"/>
        <v>28.483333328040317</v>
      </c>
      <c r="O86" s="7"/>
      <c r="P86" s="7"/>
      <c r="Q86" s="23"/>
      <c r="R86" s="23"/>
      <c r="S86" s="35">
        <f t="shared" si="26"/>
        <v>1</v>
      </c>
      <c r="T86" s="50" t="str">
        <f t="shared" si="32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12:23:56-700',mode:absolute,to:'2016-12-18 15:13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6" s="52" t="str">
        <f t="shared" si="20"/>
        <v>N</v>
      </c>
      <c r="X86" s="177">
        <f t="shared" si="41"/>
        <v>1</v>
      </c>
      <c r="Y86" s="67">
        <f t="shared" si="34"/>
        <v>4.82E-2</v>
      </c>
      <c r="Z86" s="67">
        <f t="shared" si="40"/>
        <v>15.814399999999999</v>
      </c>
      <c r="AA86" s="67">
        <f t="shared" si="35"/>
        <v>15.7662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6"/>
        <v>0181-18</v>
      </c>
      <c r="AE86" s="91" t="str">
        <f t="shared" si="37"/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AF86" s="88" t="str">
        <f t="shared" si="38"/>
        <v>"C:\Program Files (x86)\AstroGrep\AstroGrep.exe" /spath="%USERPROFILE%\AppData\Local\Temp\OnboardLogs" /stypes="app*4029*20161218*" /stext=" 21:.+((SYSTEM_STATE.+slice.+state.+changed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92" t="str">
        <f t="shared" si="28"/>
        <v>"%USERPROFILE%\Documents\GitHub\eaglep3\Utilities\RefineRTDCRunTimes.py" --tripid 181-18 --locoid 4029 --swversion DE.1.0.8.0 --startMP 204:482 --initTime 2016-12-18T13:23:56 --startdatetime 2016-12-18T13:45:15 --delay 1 --endMP 204:158144 --enddatetime 2016-12-18T14:13:44 --enforcementcount 0 &gt;&gt;C:\Users\stu\Documents\GitHub\eaglep3-reporting\EC\2016-12-18-refined-times.txt</v>
      </c>
      <c r="AI86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{"issue":{"subject":"","project_id":79,"tracker_id":40,"status_id":1,"priority_id":2,"assigned_to_id":23,"start_date":"2016-12-18","description":"","custom_fields":[{"id":1,"name":"Subdivision","value":"EC"},{"id":4,"name":"Milepost","value":"15.8144"},{"id":17,"name":"Train ID","value":"181-18"},{"id":16,"name":"Locomotive ID","value":"4029"},{"id":130,"name":"Impact","value":""},{"id":150,"name":"Time of Event (Mountain Time)","value":"14:13:44"},{"id":151,"name":"Denver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643</v>
      </c>
      <c r="B87" s="7">
        <v>4013</v>
      </c>
      <c r="C87" s="22" t="s">
        <v>205</v>
      </c>
      <c r="D87" s="22" t="s">
        <v>837</v>
      </c>
      <c r="E87" s="13">
        <v>42722.605763888889</v>
      </c>
      <c r="F87" s="13">
        <v>42722.611481481479</v>
      </c>
      <c r="G87" s="7">
        <v>6</v>
      </c>
      <c r="H87" s="22" t="s">
        <v>224</v>
      </c>
      <c r="I87" s="13">
        <v>42722.639594907407</v>
      </c>
      <c r="J87" s="7">
        <v>0</v>
      </c>
      <c r="K87" s="109" t="str">
        <f t="shared" si="30"/>
        <v>4013/4014</v>
      </c>
      <c r="L87" s="22" t="str">
        <f>VLOOKUP(A87,'Trips&amp;Operators'!$C$1:$G$99999,5,FALSE)</f>
        <v>ADANE ELSHADAY</v>
      </c>
      <c r="M87" s="6">
        <f t="shared" si="31"/>
        <v>2.8113425927585922E-2</v>
      </c>
      <c r="N87" s="7">
        <f t="shared" si="27"/>
        <v>40.483333335723728</v>
      </c>
      <c r="O87" s="7"/>
      <c r="P87" s="7"/>
      <c r="Q87" s="23"/>
      <c r="R87" s="23"/>
      <c r="S87" s="35">
        <f t="shared" si="26"/>
        <v>1</v>
      </c>
      <c r="T87" s="50" t="str">
        <f t="shared" si="32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13:32:18-700',mode:absolute,to:'2016-12-18 16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7" s="52" t="str">
        <f t="shared" si="20"/>
        <v>N</v>
      </c>
      <c r="X87" s="177">
        <f t="shared" si="41"/>
        <v>1</v>
      </c>
      <c r="Y87" s="67">
        <f t="shared" si="34"/>
        <v>15.798299999999999</v>
      </c>
      <c r="Z87" s="67">
        <f t="shared" si="40"/>
        <v>1.54E-2</v>
      </c>
      <c r="AA87" s="67">
        <f t="shared" si="35"/>
        <v>15.7829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6"/>
        <v>0182-18</v>
      </c>
      <c r="AE87" s="91" t="str">
        <f t="shared" si="37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87" s="88" t="str">
        <f t="shared" si="38"/>
        <v>"C:\Program Files (x86)\AstroGrep\AstroGrep.exe" /spath="%USERPROFILE%\AppData\Local\Temp\OnboardLogs" /stypes="app*4013*20161218*" /stext=" 22:.+((SYSTEM_STATE.+slice.+state.+changed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92" t="str">
        <f t="shared" si="28"/>
        <v>"%USERPROFILE%\Documents\GitHub\eaglep3\Utilities\RefineRTDCRunTimes.py" --tripid 182-18 --locoid 4013 --swversion DE.1.0.8.0 --startMP 204:157983 --initTime 2016-12-18T14:32:18 --startdatetime 2016-12-18T14:40:32 --delay 6 --endMP 204:154 --enddatetime 2016-12-18T15:21:01 --enforcementcount 0 &gt;&gt;C:\Users\stu\Documents\GitHub\eaglep3-reporting\EC\2016-12-18-refined-times.txt</v>
      </c>
      <c r="AI87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{"issue":{"subject":"","project_id":79,"tracker_id":40,"status_id":1,"priority_id":2,"assigned_to_id":23,"start_date":"2016-12-18","description":"","custom_fields":[{"id":1,"name":"Subdivision","value":"EC"},{"id":4,"name":"Milepost","value":"0.0154"},{"id":17,"name":"Train ID","value":"182-18"},{"id":16,"name":"Locomotive ID","value":"4013"},{"id":130,"name":"Impact","value":""},{"id":150,"name":"Time of Event (Mountain Time)","value":"15:21:01"},{"id":151,"name":"Denver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637</v>
      </c>
      <c r="B88" s="7">
        <v>4014</v>
      </c>
      <c r="C88" s="22" t="s">
        <v>205</v>
      </c>
      <c r="D88" s="22" t="s">
        <v>258</v>
      </c>
      <c r="E88" s="13">
        <v>42722.568460648145</v>
      </c>
      <c r="F88" s="13">
        <v>42722.584421296298</v>
      </c>
      <c r="G88" s="7">
        <v>1</v>
      </c>
      <c r="H88" s="22" t="s">
        <v>845</v>
      </c>
      <c r="I88" s="13">
        <v>42722.60434027778</v>
      </c>
      <c r="J88" s="7">
        <v>0</v>
      </c>
      <c r="K88" s="109" t="str">
        <f t="shared" si="30"/>
        <v>4013/4014</v>
      </c>
      <c r="L88" s="22" t="str">
        <f>VLOOKUP(A88,'Trips&amp;Operators'!$C$1:$G$99999,5,FALSE)</f>
        <v>ADANE ELSHADAY</v>
      </c>
      <c r="M88" s="6">
        <f t="shared" si="31"/>
        <v>1.9918981481168885E-2</v>
      </c>
      <c r="N88" s="7">
        <f t="shared" si="27"/>
        <v>28.683333332883194</v>
      </c>
      <c r="O88" s="7"/>
      <c r="P88" s="7"/>
      <c r="Q88" s="23"/>
      <c r="R88" s="23"/>
      <c r="S88" s="35">
        <f t="shared" si="26"/>
        <v>1</v>
      </c>
      <c r="T88" s="50" t="str">
        <f t="shared" si="32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12:38:35-700',mode:absolute,to:'2016-12-18 15:30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52" t="str">
        <f t="shared" si="20"/>
        <v>N</v>
      </c>
      <c r="X88" s="177">
        <f t="shared" si="41"/>
        <v>1</v>
      </c>
      <c r="Y88" s="67">
        <f t="shared" si="34"/>
        <v>4.53E-2</v>
      </c>
      <c r="Z88" s="67">
        <f t="shared" si="40"/>
        <v>15.821</v>
      </c>
      <c r="AA88" s="67">
        <f t="shared" si="35"/>
        <v>15.775700000000001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6"/>
        <v>0183-18</v>
      </c>
      <c r="AE88" s="91" t="str">
        <f t="shared" si="37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88" s="88" t="str">
        <f t="shared" si="38"/>
        <v>"C:\Program Files (x86)\AstroGrep\AstroGrep.exe" /spath="%USERPROFILE%\AppData\Local\Temp\OnboardLogs" /stypes="app*4014*20161218*" /stext=" 21:.+((SYSTEM_STATE.+slice.+state.+changed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92" t="str">
        <f t="shared" si="28"/>
        <v>"%USERPROFILE%\Documents\GitHub\eaglep3\Utilities\RefineRTDCRunTimes.py" --tripid 183-18 --locoid 4014 --swversion DE.1.0.8.0 --startMP 204:453 --initTime 2016-12-18T13:38:35 --startdatetime 2016-12-18T14:01:34 --delay 1 --endMP 204:158210 --enddatetime 2016-12-18T14:30:15 --enforcementcount 0 &gt;&gt;C:\Users\stu\Documents\GitHub\eaglep3-reporting\EC\2016-12-18-refined-times.txt</v>
      </c>
      <c r="AI88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{"issue":{"subject":"","project_id":79,"tracker_id":40,"status_id":1,"priority_id":2,"assigned_to_id":23,"start_date":"2016-12-18","description":"","custom_fields":[{"id":1,"name":"Subdivision","value":"EC"},{"id":4,"name":"Milepost","value":"15.821"},{"id":17,"name":"Train ID","value":"183-18"},{"id":16,"name":"Locomotive ID","value":"4014"},{"id":130,"name":"Impact","value":""},{"id":150,"name":"Time of Event (Mountain Time)","value":"14:30:15"},{"id":151,"name":"Denver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646</v>
      </c>
      <c r="B89" s="7">
        <v>4010</v>
      </c>
      <c r="C89" s="22" t="s">
        <v>205</v>
      </c>
      <c r="D89" s="22" t="s">
        <v>847</v>
      </c>
      <c r="E89" s="13">
        <v>42722.617175925923</v>
      </c>
      <c r="F89" s="13">
        <v>42722.620648148149</v>
      </c>
      <c r="G89" s="7">
        <v>1</v>
      </c>
      <c r="H89" s="22" t="s">
        <v>848</v>
      </c>
      <c r="I89" s="13">
        <v>42722.651828703703</v>
      </c>
      <c r="J89" s="7">
        <v>0</v>
      </c>
      <c r="K89" s="109" t="str">
        <f t="shared" si="30"/>
        <v>4009/4010</v>
      </c>
      <c r="L89" s="22" t="str">
        <f>VLOOKUP(A89,'Trips&amp;Operators'!$C$1:$G$99999,5,FALSE)</f>
        <v>KILLION DAVID</v>
      </c>
      <c r="M89" s="6">
        <f t="shared" si="31"/>
        <v>3.1180555553874001E-2</v>
      </c>
      <c r="N89" s="7">
        <f t="shared" si="27"/>
        <v>44.899999997578561</v>
      </c>
      <c r="O89" s="7"/>
      <c r="P89" s="7"/>
      <c r="Q89" s="23"/>
      <c r="R89" s="23"/>
      <c r="S89" s="35">
        <f t="shared" si="26"/>
        <v>1</v>
      </c>
      <c r="T89" s="50" t="str">
        <f t="shared" si="32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13:48:44-700',mode:absolute,to:'2016-12-18 16:38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9" s="52" t="str">
        <f t="shared" si="20"/>
        <v>N</v>
      </c>
      <c r="X89" s="177">
        <f t="shared" si="41"/>
        <v>1</v>
      </c>
      <c r="Y89" s="67">
        <f t="shared" si="34"/>
        <v>15.7835</v>
      </c>
      <c r="Z89" s="67">
        <f t="shared" si="40"/>
        <v>1.72E-2</v>
      </c>
      <c r="AA89" s="67">
        <f t="shared" si="35"/>
        <v>15.766299999999999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6"/>
        <v>0184-18</v>
      </c>
      <c r="AE89" s="91" t="str">
        <f t="shared" si="37"/>
        <v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v>
      </c>
      <c r="AF89" s="88" t="str">
        <f t="shared" si="38"/>
        <v>"C:\Program Files (x86)\AstroGrep\AstroGrep.exe" /spath="%USERPROFILE%\AppData\Local\Temp\OnboardLogs" /stypes="app*4010*20161218*" /stext=" 22:.+((SYSTEM_STATE.+slice.+state.+changed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92" t="str">
        <f t="shared" si="28"/>
        <v>"%USERPROFILE%\Documents\GitHub\eaglep3\Utilities\RefineRTDCRunTimes.py" --tripid 184-18 --locoid 4010 --swversion DE.1.0.8.0 --startMP 204:157835 --initTime 2016-12-18T14:48:44 --startdatetime 2016-12-18T14:53:44 --delay 1 --endMP 204:172 --enddatetime 2016-12-18T15:38:38 --enforcementcount 0 &gt;&gt;C:\Users\stu\Documents\GitHub\eaglep3-reporting\EC\2016-12-18-refined-times.txt</v>
      </c>
      <c r="AI89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{"issue":{"subject":"","project_id":79,"tracker_id":40,"status_id":1,"priority_id":2,"assigned_to_id":23,"start_date":"2016-12-18","description":"","custom_fields":[{"id":1,"name":"Subdivision","value":"EC"},{"id":4,"name":"Milepost","value":"0.0172"},{"id":17,"name":"Train ID","value":"184-18"},{"id":16,"name":"Locomotive ID","value":"4010"},{"id":130,"name":"Impact","value":""},{"id":150,"name":"Time of Event (Mountain Time)","value":"15:38:38"},{"id":151,"name":"Denver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638</v>
      </c>
      <c r="B90" s="7">
        <v>4009</v>
      </c>
      <c r="C90" s="22" t="s">
        <v>205</v>
      </c>
      <c r="D90" s="22" t="s">
        <v>194</v>
      </c>
      <c r="E90" s="13">
        <v>42722.584479166668</v>
      </c>
      <c r="F90" s="13">
        <v>42722.593946759262</v>
      </c>
      <c r="G90" s="7">
        <v>1</v>
      </c>
      <c r="H90" s="22" t="s">
        <v>849</v>
      </c>
      <c r="I90" s="13">
        <v>42722.614999999998</v>
      </c>
      <c r="J90" s="7">
        <v>0</v>
      </c>
      <c r="K90" s="109" t="str">
        <f t="shared" si="30"/>
        <v>4009/4010</v>
      </c>
      <c r="L90" s="22" t="str">
        <f>VLOOKUP(A90,'Trips&amp;Operators'!$C$1:$G$99999,5,FALSE)</f>
        <v>KILLION DAVID</v>
      </c>
      <c r="M90" s="6">
        <f t="shared" si="31"/>
        <v>2.1053240736364387E-2</v>
      </c>
      <c r="N90" s="7">
        <f t="shared" si="27"/>
        <v>30.316666660364717</v>
      </c>
      <c r="O90" s="7"/>
      <c r="P90" s="7"/>
      <c r="Q90" s="23"/>
      <c r="R90" s="23"/>
      <c r="S90" s="35">
        <f t="shared" si="26"/>
        <v>1</v>
      </c>
      <c r="T90" s="50" t="str">
        <f t="shared" si="32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13:01:39-700',mode:absolute,to:'2016-12-18 15:45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0" s="52" t="str">
        <f t="shared" si="20"/>
        <v>N</v>
      </c>
      <c r="X90" s="177">
        <f t="shared" si="41"/>
        <v>1</v>
      </c>
      <c r="Y90" s="67">
        <f t="shared" si="34"/>
        <v>4.5100000000000001E-2</v>
      </c>
      <c r="Z90" s="67">
        <f t="shared" si="40"/>
        <v>15.8058</v>
      </c>
      <c r="AA90" s="67">
        <f t="shared" si="35"/>
        <v>15.7607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6"/>
        <v>0185-18</v>
      </c>
      <c r="AE90" s="91" t="str">
        <f t="shared" si="37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90" s="88" t="str">
        <f t="shared" si="38"/>
        <v>"C:\Program Files (x86)\AstroGrep\AstroGrep.exe" /spath="%USERPROFILE%\AppData\Local\Temp\OnboardLogs" /stypes="app*4009*20161218*" /stext=" 21:.+((SYSTEM_STATE.+slice.+state.+changed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92" t="str">
        <f t="shared" si="28"/>
        <v>"%USERPROFILE%\Documents\GitHub\eaglep3\Utilities\RefineRTDCRunTimes.py" --tripid 185-18 --locoid 4009 --swversion DE.1.0.8.0 --startMP 204:451 --initTime 2016-12-18T14:01:39 --startdatetime 2016-12-18T14:15:17 --delay 1 --endMP 204:158058 --enddatetime 2016-12-18T14:45:36 --enforcementcount 0 &gt;&gt;C:\Users\stu\Documents\GitHub\eaglep3-reporting\EC\2016-12-18-refined-times.txt</v>
      </c>
      <c r="AI90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{"issue":{"subject":"","project_id":79,"tracker_id":40,"status_id":1,"priority_id":2,"assigned_to_id":23,"start_date":"2016-12-18","description":"","custom_fields":[{"id":1,"name":"Subdivision","value":"EC"},{"id":4,"name":"Milepost","value":"15.8058"},{"id":17,"name":"Train ID","value":"185-18"},{"id":16,"name":"Locomotive ID","value":"4009"},{"id":130,"name":"Impact","value":""},{"id":150,"name":"Time of Event (Mountain Time)","value":"14:45:36"},{"id":151,"name":"Denver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649</v>
      </c>
      <c r="B91" s="7">
        <v>4045</v>
      </c>
      <c r="C91" s="22" t="s">
        <v>205</v>
      </c>
      <c r="D91" s="22" t="s">
        <v>850</v>
      </c>
      <c r="E91" s="13">
        <v>42722.628148148149</v>
      </c>
      <c r="F91" s="13">
        <v>42722.630532407406</v>
      </c>
      <c r="G91" s="7">
        <v>1</v>
      </c>
      <c r="H91" s="22" t="s">
        <v>278</v>
      </c>
      <c r="I91" s="13">
        <v>42722.661828703705</v>
      </c>
      <c r="J91" s="7">
        <v>0</v>
      </c>
      <c r="K91" s="109" t="str">
        <f t="shared" si="30"/>
        <v>4045/4046</v>
      </c>
      <c r="L91" s="22" t="str">
        <f>VLOOKUP(A91,'Trips&amp;Operators'!$C$1:$G$99999,5,FALSE)</f>
        <v>STEWART MICHAEL</v>
      </c>
      <c r="M91" s="6">
        <f t="shared" si="31"/>
        <v>3.1296296299842652E-2</v>
      </c>
      <c r="N91" s="7">
        <f t="shared" si="27"/>
        <v>45.066666671773419</v>
      </c>
      <c r="O91" s="7"/>
      <c r="P91" s="7"/>
      <c r="Q91" s="23"/>
      <c r="R91" s="23"/>
      <c r="S91" s="35">
        <f t="shared" si="26"/>
        <v>1</v>
      </c>
      <c r="T91" s="50" t="str">
        <f t="shared" si="32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14:04:32-700',mode:absolute,to:'2016-12-18 16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1" s="52" t="str">
        <f t="shared" si="20"/>
        <v>N</v>
      </c>
      <c r="X91" s="177">
        <f t="shared" si="41"/>
        <v>1</v>
      </c>
      <c r="Y91" s="67">
        <f t="shared" si="34"/>
        <v>15.756600000000001</v>
      </c>
      <c r="Z91" s="67">
        <f t="shared" si="40"/>
        <v>1.5800000000000002E-2</v>
      </c>
      <c r="AA91" s="67">
        <f t="shared" si="35"/>
        <v>15.7408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6"/>
        <v>0186-18</v>
      </c>
      <c r="AE91" s="91" t="str">
        <f t="shared" si="37"/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AF91" s="88" t="str">
        <f t="shared" si="38"/>
        <v>"C:\Program Files (x86)\AstroGrep\AstroGrep.exe" /spath="%USERPROFILE%\AppData\Local\Temp\OnboardLogs" /stypes="app*4045*20161218*" /stext=" 22:.+((SYSTEM_STATE.+slice.+state.+changed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92" t="str">
        <f t="shared" si="28"/>
        <v>"%USERPROFILE%\Documents\GitHub\eaglep3\Utilities\RefineRTDCRunTimes.py" --tripid 186-18 --locoid 4045 --swversion DE.1.0.8.0 --startMP 204:157566 --initTime 2016-12-18T15:04:32 --startdatetime 2016-12-18T15:07:58 --delay 1 --endMP 204:158 --enddatetime 2016-12-18T15:53:02 --enforcementcount 0 &gt;&gt;C:\Users\stu\Documents\GitHub\eaglep3-reporting\EC\2016-12-18-refined-times.txt</v>
      </c>
      <c r="AI91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{"issue":{"subject":"","project_id":79,"tracker_id":40,"status_id":1,"priority_id":2,"assigned_to_id":23,"start_date":"2016-12-18","description":"","custom_fields":[{"id":1,"name":"Subdivision","value":"EC"},{"id":4,"name":"Milepost","value":"0.0158"},{"id":17,"name":"Train ID","value":"186-18"},{"id":16,"name":"Locomotive ID","value":"4045"},{"id":130,"name":"Impact","value":""},{"id":150,"name":"Time of Event (Mountain Time)","value":"15:53:02"},{"id":151,"name":"Denver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642</v>
      </c>
      <c r="B92" s="7">
        <v>4046</v>
      </c>
      <c r="C92" s="22" t="s">
        <v>205</v>
      </c>
      <c r="D92" s="22" t="s">
        <v>229</v>
      </c>
      <c r="E92" s="13">
        <v>42722.59888888889</v>
      </c>
      <c r="F92" s="13">
        <v>42722.604537037034</v>
      </c>
      <c r="G92" s="7">
        <v>2</v>
      </c>
      <c r="H92" s="22" t="s">
        <v>851</v>
      </c>
      <c r="I92" s="13">
        <v>42722.626157407409</v>
      </c>
      <c r="J92" s="7">
        <v>0</v>
      </c>
      <c r="K92" s="109" t="str">
        <f t="shared" si="30"/>
        <v>4045/4046</v>
      </c>
      <c r="L92" s="22" t="str">
        <f>VLOOKUP(A92,'Trips&amp;Operators'!$C$1:$G$99999,5,FALSE)</f>
        <v>STEWART MICHAEL</v>
      </c>
      <c r="M92" s="6">
        <f t="shared" si="31"/>
        <v>2.1620370374876074E-2</v>
      </c>
      <c r="N92" s="7">
        <f t="shared" si="27"/>
        <v>31.133333339821547</v>
      </c>
      <c r="O92" s="7"/>
      <c r="P92" s="7"/>
      <c r="Q92" s="23"/>
      <c r="R92" s="23"/>
      <c r="S92" s="35">
        <f t="shared" si="26"/>
        <v>1</v>
      </c>
      <c r="T92" s="50" t="str">
        <f t="shared" si="32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13:22:24-700',mode:absolute,to:'2016-12-18 16:01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2" s="52" t="str">
        <f t="shared" si="20"/>
        <v>N</v>
      </c>
      <c r="X92" s="177">
        <f t="shared" si="41"/>
        <v>1</v>
      </c>
      <c r="Y92" s="67">
        <f t="shared" si="34"/>
        <v>4.5499999999999999E-2</v>
      </c>
      <c r="Z92" s="67">
        <f t="shared" si="40"/>
        <v>15.779199999999999</v>
      </c>
      <c r="AA92" s="67">
        <f t="shared" si="35"/>
        <v>15.733699999999999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6"/>
        <v>0187-18</v>
      </c>
      <c r="AE92" s="91" t="str">
        <f t="shared" si="37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92" s="88" t="str">
        <f t="shared" si="38"/>
        <v>"C:\Program Files (x86)\AstroGrep\AstroGrep.exe" /spath="%USERPROFILE%\AppData\Local\Temp\OnboardLogs" /stypes="app*4046*20161218*" /stext=" 22:.+((SYSTEM_STATE.+slice.+state.+changed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92" t="str">
        <f t="shared" si="28"/>
        <v>"%USERPROFILE%\Documents\GitHub\eaglep3\Utilities\RefineRTDCRunTimes.py" --tripid 187-18 --locoid 4046 --swversion DE.1.0.8.0 --startMP 204:455 --initTime 2016-12-18T14:22:24 --startdatetime 2016-12-18T14:30:32 --delay 2 --endMP 204:157792 --enddatetime 2016-12-18T15:01:40 --enforcementcount 0 &gt;&gt;C:\Users\stu\Documents\GitHub\eaglep3-reporting\EC\2016-12-18-refined-times.txt</v>
      </c>
      <c r="AI92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{"issue":{"subject":"","project_id":79,"tracker_id":40,"status_id":1,"priority_id":2,"assigned_to_id":23,"start_date":"2016-12-18","description":"","custom_fields":[{"id":1,"name":"Subdivision","value":"EC"},{"id":4,"name":"Milepost","value":"15.7792"},{"id":17,"name":"Train ID","value":"187-18"},{"id":16,"name":"Locomotive ID","value":"4046"},{"id":130,"name":"Impact","value":""},{"id":150,"name":"Time of Event (Mountain Time)","value":"15:01:40"},{"id":151,"name":"Denver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651</v>
      </c>
      <c r="B93" s="7">
        <v>4043</v>
      </c>
      <c r="C93" s="22" t="s">
        <v>205</v>
      </c>
      <c r="D93" s="22" t="s">
        <v>852</v>
      </c>
      <c r="E93" s="13">
        <v>42722.640555555554</v>
      </c>
      <c r="F93" s="13">
        <v>42722.64340277778</v>
      </c>
      <c r="G93" s="7">
        <v>2</v>
      </c>
      <c r="H93" s="22" t="s">
        <v>192</v>
      </c>
      <c r="I93" s="13">
        <v>42722.67291666667</v>
      </c>
      <c r="J93" s="7">
        <v>0</v>
      </c>
      <c r="K93" s="109" t="str">
        <f t="shared" si="30"/>
        <v>4043/4044</v>
      </c>
      <c r="L93" s="22" t="str">
        <f>VLOOKUP(A93,'Trips&amp;Operators'!$C$1:$G$99999,5,FALSE)</f>
        <v>DAVIS MICHAEL</v>
      </c>
      <c r="M93" s="6">
        <f t="shared" si="31"/>
        <v>2.9513888890505768E-2</v>
      </c>
      <c r="N93" s="7">
        <f t="shared" si="27"/>
        <v>42.500000002328306</v>
      </c>
      <c r="O93" s="7"/>
      <c r="P93" s="7"/>
      <c r="Q93" s="23"/>
      <c r="R93" s="23"/>
      <c r="S93" s="35">
        <f t="shared" si="26"/>
        <v>1</v>
      </c>
      <c r="T93" s="50" t="str">
        <f t="shared" si="32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14:22:24-700',mode:absolute,to:'2016-12-18 17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3" s="52" t="str">
        <f t="shared" si="20"/>
        <v>N</v>
      </c>
      <c r="X93" s="177">
        <f t="shared" si="41"/>
        <v>1</v>
      </c>
      <c r="Y93" s="67">
        <f t="shared" si="34"/>
        <v>15.79</v>
      </c>
      <c r="Z93" s="67">
        <f t="shared" si="40"/>
        <v>1.43E-2</v>
      </c>
      <c r="AA93" s="67">
        <f t="shared" si="35"/>
        <v>15.775699999999999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6"/>
        <v>0188-18</v>
      </c>
      <c r="AE93" s="91" t="str">
        <f t="shared" si="37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93" s="88" t="str">
        <f t="shared" si="38"/>
        <v>"C:\Program Files (x86)\AstroGrep\AstroGrep.exe" /spath="%USERPROFILE%\AppData\Local\Temp\OnboardLogs" /stypes="app*4043*20161218*" /stext=" 23:.+((SYSTEM_STATE.+slice.+state.+changed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92" t="str">
        <f t="shared" si="28"/>
        <v>"%USERPROFILE%\Documents\GitHub\eaglep3\Utilities\RefineRTDCRunTimes.py" --tripid 188-18 --locoid 4043 --swversion DE.1.0.8.0 --startMP 204:157900 --initTime 2016-12-18T15:22:24 --startdatetime 2016-12-18T15:26:30 --delay 2 --endMP 204:143 --enddatetime 2016-12-18T16:09:00 --enforcementcount 0 &gt;&gt;C:\Users\stu\Documents\GitHub\eaglep3-reporting\EC\2016-12-18-refined-times.txt</v>
      </c>
      <c r="AI93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{"issue":{"subject":"","project_id":79,"tracker_id":40,"status_id":1,"priority_id":2,"assigned_to_id":23,"start_date":"2016-12-18","description":"","custom_fields":[{"id":1,"name":"Subdivision","value":"EC"},{"id":4,"name":"Milepost","value":"0.0143"},{"id":17,"name":"Train ID","value":"188-18"},{"id":16,"name":"Locomotive ID","value":"4043"},{"id":130,"name":"Impact","value":""},{"id":150,"name":"Time of Event (Mountain Time)","value":"16:09:00"},{"id":151,"name":"Denver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645</v>
      </c>
      <c r="B94" s="7">
        <v>4044</v>
      </c>
      <c r="C94" s="22" t="s">
        <v>205</v>
      </c>
      <c r="D94" s="22" t="s">
        <v>279</v>
      </c>
      <c r="E94" s="13">
        <v>42722.61383101852</v>
      </c>
      <c r="F94" s="13">
        <v>42722.616030092591</v>
      </c>
      <c r="G94" s="7">
        <v>1</v>
      </c>
      <c r="H94" s="22" t="s">
        <v>853</v>
      </c>
      <c r="I94" s="13">
        <v>42722.638981481483</v>
      </c>
      <c r="J94" s="7">
        <v>0</v>
      </c>
      <c r="K94" s="109" t="str">
        <f t="shared" si="30"/>
        <v>4043/4044</v>
      </c>
      <c r="L94" s="22" t="str">
        <f>VLOOKUP(A94,'Trips&amp;Operators'!$C$1:$G$99999,5,FALSE)</f>
        <v>DAVIS MICHAEL</v>
      </c>
      <c r="M94" s="6">
        <f t="shared" si="31"/>
        <v>2.2951388891669922E-2</v>
      </c>
      <c r="N94" s="7">
        <f t="shared" si="27"/>
        <v>33.050000004004687</v>
      </c>
      <c r="O94" s="7"/>
      <c r="P94" s="7"/>
      <c r="Q94" s="23"/>
      <c r="R94" s="23"/>
      <c r="S94" s="35">
        <f t="shared" si="26"/>
        <v>1</v>
      </c>
      <c r="T94" s="50" t="str">
        <f t="shared" si="32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13:43:55-700',mode:absolute,to:'2016-12-18 16:20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4" s="52" t="str">
        <f t="shared" si="20"/>
        <v>N</v>
      </c>
      <c r="X94" s="177">
        <f t="shared" si="41"/>
        <v>1</v>
      </c>
      <c r="Y94" s="67">
        <f t="shared" si="34"/>
        <v>4.6199999999999998E-2</v>
      </c>
      <c r="Z94" s="67">
        <f t="shared" si="40"/>
        <v>15.811999999999999</v>
      </c>
      <c r="AA94" s="67">
        <f t="shared" si="35"/>
        <v>15.765799999999999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6"/>
        <v>0189-18</v>
      </c>
      <c r="AE94" s="91" t="str">
        <f t="shared" si="37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94" s="88" t="str">
        <f t="shared" si="38"/>
        <v>"C:\Program Files (x86)\AstroGrep\AstroGrep.exe" /spath="%USERPROFILE%\AppData\Local\Temp\OnboardLogs" /stypes="app*4044*20161218*" /stext=" 22:.+((SYSTEM_STATE.+slice.+state.+changed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92" t="str">
        <f t="shared" si="28"/>
        <v>"%USERPROFILE%\Documents\GitHub\eaglep3\Utilities\RefineRTDCRunTimes.py" --tripid 189-18 --locoid 4044 --swversion DE.1.0.8.0 --startMP 204:462 --initTime 2016-12-18T14:43:55 --startdatetime 2016-12-18T14:47:05 --delay 1 --endMP 204:158120 --enddatetime 2016-12-18T15:20:08 --enforcementcount 0 &gt;&gt;C:\Users\stu\Documents\GitHub\eaglep3-reporting\EC\2016-12-18-refined-times.txt</v>
      </c>
      <c r="AI94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{"issue":{"subject":"","project_id":79,"tracker_id":40,"status_id":1,"priority_id":2,"assigned_to_id":23,"start_date":"2016-12-18","description":"","custom_fields":[{"id":1,"name":"Subdivision","value":"EC"},{"id":4,"name":"Milepost","value":"15.812"},{"id":17,"name":"Train ID","value":"189-18"},{"id":16,"name":"Locomotive ID","value":"4044"},{"id":130,"name":"Impact","value":""},{"id":150,"name":"Time of Event (Mountain Time)","value":"15:20:08"},{"id":151,"name":"Denver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652</v>
      </c>
      <c r="B95" s="7">
        <v>4028</v>
      </c>
      <c r="C95" s="22" t="s">
        <v>205</v>
      </c>
      <c r="D95" s="22" t="s">
        <v>854</v>
      </c>
      <c r="E95" s="13">
        <v>42722.648576388892</v>
      </c>
      <c r="F95" s="13">
        <v>42722.651099537034</v>
      </c>
      <c r="G95" s="7">
        <v>1</v>
      </c>
      <c r="H95" s="22" t="s">
        <v>236</v>
      </c>
      <c r="I95" s="13">
        <v>42722.682083333333</v>
      </c>
      <c r="J95" s="7">
        <v>0</v>
      </c>
      <c r="K95" s="109" t="str">
        <f t="shared" si="30"/>
        <v>4027/4028</v>
      </c>
      <c r="L95" s="22" t="str">
        <f>VLOOKUP(A95,'Trips&amp;Operators'!$C$1:$G$99999,5,FALSE)</f>
        <v>HOLCOMB KAMDEN</v>
      </c>
      <c r="M95" s="6">
        <f t="shared" si="31"/>
        <v>3.0983796299551614E-2</v>
      </c>
      <c r="N95" s="7">
        <f t="shared" si="27"/>
        <v>44.616666671354324</v>
      </c>
      <c r="O95" s="7"/>
      <c r="P95" s="7"/>
      <c r="Q95" s="23"/>
      <c r="R95" s="23"/>
      <c r="S95" s="35">
        <f t="shared" si="26"/>
        <v>1</v>
      </c>
      <c r="T95" s="50" t="str">
        <f t="shared" si="32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14:33:57-700',mode:absolute,to:'2016-12-18 17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5" s="52" t="str">
        <f t="shared" si="20"/>
        <v>N</v>
      </c>
      <c r="X95" s="177">
        <f t="shared" si="41"/>
        <v>1</v>
      </c>
      <c r="Y95" s="67">
        <f t="shared" si="34"/>
        <v>15.8241</v>
      </c>
      <c r="Z95" s="67">
        <f t="shared" si="40"/>
        <v>1.4500000000000001E-2</v>
      </c>
      <c r="AA95" s="67">
        <f t="shared" si="35"/>
        <v>15.8096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6"/>
        <v>0190-18</v>
      </c>
      <c r="AE95" s="91" t="str">
        <f t="shared" si="37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95" s="88" t="str">
        <f t="shared" si="38"/>
        <v>"C:\Program Files (x86)\AstroGrep\AstroGrep.exe" /spath="%USERPROFILE%\AppData\Local\Temp\OnboardLogs" /stypes="app*4028*20161218*" /stext=" 23:.+((SYSTEM_STATE.+slice.+state.+changed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92" t="str">
        <f t="shared" si="28"/>
        <v>"%USERPROFILE%\Documents\GitHub\eaglep3\Utilities\RefineRTDCRunTimes.py" --tripid 190-18 --locoid 4028 --swversion DE.1.0.8.0 --startMP 204:158241 --initTime 2016-12-18T15:33:57 --startdatetime 2016-12-18T15:37:35 --delay 1 --endMP 204:145 --enddatetime 2016-12-18T16:22:12 --enforcementcount 0 &gt;&gt;C:\Users\stu\Documents\GitHub\eaglep3-reporting\EC\2016-12-18-refined-times.txt</v>
      </c>
      <c r="AI95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{"issue":{"subject":"","project_id":79,"tracker_id":40,"status_id":1,"priority_id":2,"assigned_to_id":23,"start_date":"2016-12-18","description":"","custom_fields":[{"id":1,"name":"Subdivision","value":"EC"},{"id":4,"name":"Milepost","value":"0.0145"},{"id":17,"name":"Train ID","value":"190-18"},{"id":16,"name":"Locomotive ID","value":"4028"},{"id":130,"name":"Impact","value":""},{"id":150,"name":"Time of Event (Mountain Time)","value":"16:22:12"},{"id":151,"name":"Denver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524</v>
      </c>
      <c r="B96" s="7">
        <v>4027</v>
      </c>
      <c r="C96" s="22" t="s">
        <v>205</v>
      </c>
      <c r="D96" s="22" t="s">
        <v>857</v>
      </c>
      <c r="E96" s="13">
        <v>42722.615624999999</v>
      </c>
      <c r="F96" s="13">
        <v>42722.625289351854</v>
      </c>
      <c r="G96" s="7">
        <v>1</v>
      </c>
      <c r="H96" s="22" t="s">
        <v>858</v>
      </c>
      <c r="I96" s="13">
        <v>42722.646898148145</v>
      </c>
      <c r="J96" s="7">
        <v>0</v>
      </c>
      <c r="K96" s="109" t="str">
        <f t="shared" si="30"/>
        <v>4027/4028</v>
      </c>
      <c r="L96" s="22" t="str">
        <f>VLOOKUP(A96,'Trips&amp;Operators'!$C$1:$G$99999,5,FALSE)</f>
        <v>HOLCOMB KAMDEN</v>
      </c>
      <c r="M96" s="6">
        <f t="shared" si="31"/>
        <v>2.1608796290820464E-2</v>
      </c>
      <c r="N96" s="7">
        <f t="shared" si="27"/>
        <v>31.116666658781469</v>
      </c>
      <c r="O96" s="7"/>
      <c r="P96" s="7"/>
      <c r="Q96" s="23"/>
      <c r="R96" s="23"/>
      <c r="S96" s="35">
        <f t="shared" si="26"/>
        <v>1</v>
      </c>
      <c r="T96" s="50" t="str">
        <f t="shared" si="32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13:46:30-700',mode:absolute,to:'2016-12-18 16:31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6" s="52" t="str">
        <f t="shared" si="20"/>
        <v>N</v>
      </c>
      <c r="X96" s="177">
        <f t="shared" si="41"/>
        <v>1</v>
      </c>
      <c r="Y96" s="67">
        <f t="shared" si="34"/>
        <v>4.1599999999999998E-2</v>
      </c>
      <c r="Z96" s="67">
        <f t="shared" si="40"/>
        <v>15.846399999999999</v>
      </c>
      <c r="AA96" s="67">
        <f t="shared" si="35"/>
        <v>15.804799999999998</v>
      </c>
      <c r="AB96" s="64" t="str">
        <f>VLOOKUP(A96,Enforcements!$C$7:$K$19,8,0)</f>
        <v>Bulletin (2)</v>
      </c>
      <c r="AC96" s="60" t="str">
        <f>VLOOKUP(A96,Enforcements!$C$7:$E$19,3,0)</f>
        <v>GRADE CROSSING</v>
      </c>
      <c r="AD96" s="61" t="str">
        <f t="shared" si="36"/>
        <v>0191-18</v>
      </c>
      <c r="AE96" s="91" t="str">
        <f t="shared" si="37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96" s="88" t="str">
        <f t="shared" si="38"/>
        <v>"C:\Program Files (x86)\AstroGrep\AstroGrep.exe" /spath="%USERPROFILE%\AppData\Local\Temp\OnboardLogs" /stypes="app*4027*20161218*" /stext=" 22:.+((SYSTEM_STATE.+slice.+state.+changed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92" t="str">
        <f t="shared" si="28"/>
        <v>"%USERPROFILE%\Documents\GitHub\eaglep3\Utilities\RefineRTDCRunTimes.py" --tripid 191-18 --locoid 4027 --swversion DE.1.0.8.0 --startMP 204:416 --initTime 2016-12-18T14:46:30 --startdatetime 2016-12-18T15:00:25 --delay 1 --endMP 204:158464 --enddatetime 2016-12-18T15:31:32 --enforcementcount 0 &gt;&gt;C:\Users\stu\Documents\GitHub\eaglep3-reporting\EC\2016-12-18-refined-times.txt</v>
      </c>
      <c r="AI96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{"issue":{"subject":"","project_id":79,"tracker_id":40,"status_id":1,"priority_id":2,"assigned_to_id":23,"start_date":"2016-12-18","description":"","custom_fields":[{"id":1,"name":"Subdivision","value":"EC"},{"id":4,"name":"Milepost","value":"15.8464"},{"id":17,"name":"Train ID","value":"191-18"},{"id":16,"name":"Locomotive ID","value":"4027"},{"id":130,"name":"Impact","value":""},{"id":150,"name":"Time of Event (Mountain Time)","value":"15:31:32"},{"id":151,"name":"Denver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655</v>
      </c>
      <c r="B97" s="7">
        <v>4039</v>
      </c>
      <c r="C97" s="22" t="s">
        <v>205</v>
      </c>
      <c r="D97" s="22" t="s">
        <v>859</v>
      </c>
      <c r="E97" s="13">
        <v>42722.65724537037</v>
      </c>
      <c r="F97" s="13">
        <v>42722.661562499998</v>
      </c>
      <c r="G97" s="7">
        <v>2</v>
      </c>
      <c r="H97" s="22" t="s">
        <v>481</v>
      </c>
      <c r="I97" s="13">
        <v>42722.692060185182</v>
      </c>
      <c r="J97" s="7">
        <v>0</v>
      </c>
      <c r="K97" s="109" t="str">
        <f t="shared" si="30"/>
        <v>4039/4040</v>
      </c>
      <c r="L97" s="22" t="str">
        <f>VLOOKUP(A97,'Trips&amp;Operators'!$C$1:$G$99999,5,FALSE)</f>
        <v>BRUDER RICHARD</v>
      </c>
      <c r="M97" s="6">
        <f t="shared" si="31"/>
        <v>3.0497685183945578E-2</v>
      </c>
      <c r="N97" s="7">
        <f t="shared" si="27"/>
        <v>43.916666664881632</v>
      </c>
      <c r="O97" s="7"/>
      <c r="P97" s="7"/>
      <c r="Q97" s="23"/>
      <c r="R97" s="23"/>
      <c r="S97" s="35">
        <f t="shared" ref="S97:S106" si="42">SUM(U97:U97)/IF(AG97="EC",12,1)</f>
        <v>1</v>
      </c>
      <c r="T97" s="50" t="str">
        <f t="shared" si="32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14:46:26-700',mode:absolute,to:'2016-12-18 17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7" s="52" t="str">
        <f t="shared" si="20"/>
        <v>N</v>
      </c>
      <c r="X97" s="177">
        <f t="shared" si="41"/>
        <v>1</v>
      </c>
      <c r="Y97" s="67">
        <f t="shared" si="34"/>
        <v>15.755000000000001</v>
      </c>
      <c r="Z97" s="67">
        <f t="shared" si="40"/>
        <v>1.29E-2</v>
      </c>
      <c r="AA97" s="67">
        <f t="shared" si="35"/>
        <v>15.742100000000001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6"/>
        <v>0192-18</v>
      </c>
      <c r="AE97" s="91" t="str">
        <f t="shared" si="37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97" s="88" t="str">
        <f t="shared" si="38"/>
        <v>"C:\Program Files (x86)\AstroGrep\AstroGrep.exe" /spath="%USERPROFILE%\AppData\Local\Temp\OnboardLogs" /stypes="app*4039*20161218*" /stext=" 23:.+((SYSTEM_STATE.+slice.+state.+changed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92" t="str">
        <f t="shared" si="28"/>
        <v>"%USERPROFILE%\Documents\GitHub\eaglep3\Utilities\RefineRTDCRunTimes.py" --tripid 192-18 --locoid 4039 --swversion DE.1.0.8.0 --startMP 204:157550 --initTime 2016-12-18T15:46:26 --startdatetime 2016-12-18T15:52:39 --delay 2 --endMP 204:129 --enddatetime 2016-12-18T16:36:34 --enforcementcount 0 &gt;&gt;C:\Users\stu\Documents\GitHub\eaglep3-reporting\EC\2016-12-18-refined-times.txt</v>
      </c>
      <c r="AI97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{"issue":{"subject":"","project_id":79,"tracker_id":40,"status_id":1,"priority_id":2,"assigned_to_id":23,"start_date":"2016-12-18","description":"","custom_fields":[{"id":1,"name":"Subdivision","value":"EC"},{"id":4,"name":"Milepost","value":"0.0129"},{"id":17,"name":"Train ID","value":"192-18"},{"id":16,"name":"Locomotive ID","value":"4039"},{"id":130,"name":"Impact","value":""},{"id":150,"name":"Time of Event (Mountain Time)","value":"16:36:34"},{"id":151,"name":"Denver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648</v>
      </c>
      <c r="B98" s="7">
        <v>4040</v>
      </c>
      <c r="C98" s="22" t="s">
        <v>205</v>
      </c>
      <c r="D98" s="22" t="s">
        <v>193</v>
      </c>
      <c r="E98" s="13">
        <v>42722.627395833333</v>
      </c>
      <c r="F98" s="13">
        <v>42722.635601851849</v>
      </c>
      <c r="G98" s="7">
        <v>1</v>
      </c>
      <c r="H98" s="22" t="s">
        <v>860</v>
      </c>
      <c r="I98" s="13">
        <v>42722.656365740739</v>
      </c>
      <c r="J98" s="7">
        <v>0</v>
      </c>
      <c r="K98" s="109" t="str">
        <f t="shared" si="30"/>
        <v>4039/4040</v>
      </c>
      <c r="L98" s="22" t="str">
        <f>VLOOKUP(A98,'Trips&amp;Operators'!$C$1:$G$99999,5,FALSE)</f>
        <v>BRUDER RICHARD</v>
      </c>
      <c r="M98" s="6">
        <f t="shared" si="31"/>
        <v>2.0763888889632653E-2</v>
      </c>
      <c r="N98" s="7">
        <f t="shared" si="27"/>
        <v>29.900000001071021</v>
      </c>
      <c r="O98" s="7"/>
      <c r="P98" s="7"/>
      <c r="Q98" s="23"/>
      <c r="R98" s="23"/>
      <c r="S98" s="35">
        <f t="shared" si="42"/>
        <v>1</v>
      </c>
      <c r="T98" s="50" t="str">
        <f t="shared" si="32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14:03:27-700',mode:absolute,to:'2016-12-18 16:45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8" s="52" t="str">
        <f t="shared" si="20"/>
        <v>N</v>
      </c>
      <c r="X98" s="177">
        <f t="shared" si="41"/>
        <v>1</v>
      </c>
      <c r="Y98" s="67">
        <f t="shared" si="34"/>
        <v>4.4699999999999997E-2</v>
      </c>
      <c r="Z98" s="67">
        <f t="shared" si="40"/>
        <v>15.7773</v>
      </c>
      <c r="AA98" s="67">
        <f t="shared" si="35"/>
        <v>15.7326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6"/>
        <v>0193-18</v>
      </c>
      <c r="AE98" s="91" t="str">
        <f t="shared" si="37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98" s="88" t="str">
        <f t="shared" si="38"/>
        <v>"C:\Program Files (x86)\AstroGrep\AstroGrep.exe" /spath="%USERPROFILE%\AppData\Local\Temp\OnboardLogs" /stypes="app*4040*20161218*" /stext=" 22:.+((SYSTEM_STATE.+slice.+state.+changed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92" t="str">
        <f t="shared" si="28"/>
        <v>"%USERPROFILE%\Documents\GitHub\eaglep3\Utilities\RefineRTDCRunTimes.py" --tripid 193-18 --locoid 4040 --swversion DE.1.0.8.0 --startMP 204:447 --initTime 2016-12-18T15:03:27 --startdatetime 2016-12-18T15:15:16 --delay 1 --endMP 204:157773 --enddatetime 2016-12-18T15:45:10 --enforcementcount 0 &gt;&gt;C:\Users\stu\Documents\GitHub\eaglep3-reporting\EC\2016-12-18-refined-times.txt</v>
      </c>
      <c r="AI98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{"issue":{"subject":"","project_id":79,"tracker_id":40,"status_id":1,"priority_id":2,"assigned_to_id":23,"start_date":"2016-12-18","description":"","custom_fields":[{"id":1,"name":"Subdivision","value":"EC"},{"id":4,"name":"Milepost","value":"15.7773"},{"id":17,"name":"Train ID","value":"193-18"},{"id":16,"name":"Locomotive ID","value":"4040"},{"id":130,"name":"Impact","value":""},{"id":150,"name":"Time of Event (Mountain Time)","value":"15:45:10"},{"id":151,"name":"Denver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650</v>
      </c>
      <c r="B99" s="7">
        <v>4029</v>
      </c>
      <c r="C99" s="22" t="s">
        <v>205</v>
      </c>
      <c r="D99" s="22" t="s">
        <v>271</v>
      </c>
      <c r="E99" s="13">
        <v>42722.633680555555</v>
      </c>
      <c r="F99" s="13">
        <v>42722.646111111113</v>
      </c>
      <c r="G99" s="7">
        <v>1</v>
      </c>
      <c r="H99" s="22" t="s">
        <v>861</v>
      </c>
      <c r="I99" s="13">
        <v>42722.697071759256</v>
      </c>
      <c r="J99" s="7">
        <v>0</v>
      </c>
      <c r="K99" s="109" t="str">
        <f t="shared" si="30"/>
        <v>4029/4030</v>
      </c>
      <c r="L99" s="22" t="str">
        <f>VLOOKUP(A99,'Trips&amp;Operators'!$C$1:$G$99999,5,FALSE)</f>
        <v>BARTLETT KIANDRA</v>
      </c>
      <c r="M99" s="6">
        <f t="shared" si="31"/>
        <v>5.0960648142790888E-2</v>
      </c>
      <c r="N99" s="7">
        <f t="shared" si="27"/>
        <v>73.383333325618878</v>
      </c>
      <c r="O99" s="7"/>
      <c r="P99" s="7"/>
      <c r="Q99" s="23"/>
      <c r="R99" s="23"/>
      <c r="S99" s="35">
        <f t="shared" si="42"/>
        <v>1</v>
      </c>
      <c r="T99" s="50" t="str">
        <f t="shared" si="32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14:12:30-700',mode:absolute,to:'2016-12-18 17:43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9" s="52" t="str">
        <f t="shared" si="20"/>
        <v>N</v>
      </c>
      <c r="X99" s="177">
        <f t="shared" si="41"/>
        <v>2</v>
      </c>
      <c r="Y99" s="67">
        <f t="shared" si="34"/>
        <v>4.6699999999999998E-2</v>
      </c>
      <c r="Z99" s="67">
        <f t="shared" si="40"/>
        <v>23.291699999999999</v>
      </c>
      <c r="AA99" s="67">
        <f t="shared" si="35"/>
        <v>23.244999999999997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6"/>
        <v>0195-18</v>
      </c>
      <c r="AE99" s="91" t="str">
        <f t="shared" si="37"/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AF99" s="88" t="str">
        <f t="shared" si="38"/>
        <v>"C:\Program Files (x86)\AstroGrep\AstroGrep.exe" /spath="%USERPROFILE%\AppData\Local\Temp\OnboardLogs" /stypes="app*4029*20161218*" /stext=" 23:.+((SYSTEM_STATE.+slice.+state.+changed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92" t="str">
        <f t="shared" si="28"/>
        <v>"%USERPROFILE%\Documents\GitHub\eaglep3\Utilities\RefineRTDCRunTimes.py" --tripid 195-18 --locoid 4029 --swversion DE.1.0.8.0 --startMP 204:467 --initTime 2016-12-18T15:12:30 --startdatetime 2016-12-18T15:30:24 --delay 1 --endMP 204:232917 --enddatetime 2016-12-18T16:43:47 --enforcementcount 0 &gt;&gt;C:\Users\stu\Documents\GitHub\eaglep3-reporting\EC\2016-12-18-refined-times.txt</v>
      </c>
      <c r="AI99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{"issue":{"subject":"","project_id":79,"tracker_id":40,"status_id":1,"priority_id":2,"assigned_to_id":23,"start_date":"2016-12-18","description":"","custom_fields":[{"id":1,"name":"Subdivision","value":"EC"},{"id":4,"name":"Milepost","value":"23.2917"},{"id":17,"name":"Train ID","value":"195-18"},{"id":16,"name":"Locomotive ID","value":"4029"},{"id":130,"name":"Impact","value":""},{"id":150,"name":"Time of Event (Mountain Time)","value":"16:43:47"},{"id":151,"name":"Denver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526</v>
      </c>
      <c r="B100" s="7">
        <v>4013</v>
      </c>
      <c r="C100" s="22" t="s">
        <v>205</v>
      </c>
      <c r="D100" s="22" t="s">
        <v>862</v>
      </c>
      <c r="E100" s="13">
        <v>42722.678819444445</v>
      </c>
      <c r="F100" s="13">
        <v>42722.680555555555</v>
      </c>
      <c r="G100" s="7">
        <v>1</v>
      </c>
      <c r="H100" s="22" t="s">
        <v>264</v>
      </c>
      <c r="I100" s="13">
        <v>42722.712511574071</v>
      </c>
      <c r="J100" s="7">
        <v>0</v>
      </c>
      <c r="K100" s="109" t="str">
        <f t="shared" si="30"/>
        <v>4013/4014</v>
      </c>
      <c r="L100" s="22" t="str">
        <f>VLOOKUP(A100,'Trips&amp;Operators'!$C$1:$G$99999,5,FALSE)</f>
        <v>ADANE ELSHADAY</v>
      </c>
      <c r="M100" s="6">
        <f t="shared" si="31"/>
        <v>3.195601851621177E-2</v>
      </c>
      <c r="N100" s="7">
        <f t="shared" si="27"/>
        <v>46.016666663344949</v>
      </c>
      <c r="O100" s="7"/>
      <c r="P100" s="7"/>
      <c r="Q100" s="23"/>
      <c r="R100" s="23"/>
      <c r="S100" s="35">
        <f t="shared" si="42"/>
        <v>1</v>
      </c>
      <c r="T100" s="50" t="str">
        <f t="shared" si="32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15:17:30-700',mode:absolute,to:'2016-12-18 18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0" s="52" t="str">
        <f t="shared" ref="W100:W109" si="43">IF(AA100&lt;IF(AG100="EC",15.7,5.65),"Y","N")</f>
        <v>N</v>
      </c>
      <c r="X100" s="177">
        <f t="shared" si="41"/>
        <v>1</v>
      </c>
      <c r="Y100" s="67">
        <f t="shared" si="34"/>
        <v>15.789400000000001</v>
      </c>
      <c r="Z100" s="67">
        <f t="shared" si="40"/>
        <v>1.47E-2</v>
      </c>
      <c r="AA100" s="67">
        <f t="shared" si="35"/>
        <v>15.774700000000001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6"/>
        <v>0196-18</v>
      </c>
      <c r="AE100" s="91" t="str">
        <f t="shared" si="37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100" s="88" t="str">
        <f t="shared" si="38"/>
        <v>"C:\Program Files (x86)\AstroGrep\AstroGrep.exe" /spath="%USERPROFILE%\AppData\Local\Temp\OnboardLogs" /stypes="app*4013*20161219*" /stext=" 00:.+((SYSTEM_STATE.+slice.+state.+changed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92" t="str">
        <f t="shared" si="28"/>
        <v>"%USERPROFILE%\Documents\GitHub\eaglep3\Utilities\RefineRTDCRunTimes.py" --tripid 196-18 --locoid 4013 --swversion DE.1.0.8.0 --startMP 204:157894 --initTime 2016-12-18T16:17:30 --startdatetime 2016-12-18T16:20:00 --delay 1 --endMP 204:147 --enddatetime 2016-12-18T17:06:01 --enforcementcount 0 &gt;&gt;C:\Users\stu\Documents\GitHub\eaglep3-reporting\EC\2016-12-18-refined-times.txt</v>
      </c>
      <c r="AI100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{"issue":{"subject":"","project_id":79,"tracker_id":40,"status_id":1,"priority_id":2,"assigned_to_id":23,"start_date":"2016-12-18","description":"","custom_fields":[{"id":1,"name":"Subdivision","value":"EC"},{"id":4,"name":"Milepost","value":"0.0147"},{"id":17,"name":"Train ID","value":"196-18"},{"id":16,"name":"Locomotive ID","value":"4013"},{"id":130,"name":"Impact","value":""},{"id":150,"name":"Time of Event (Mountain Time)","value":"17:06:01"},{"id":151,"name":"Denver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525</v>
      </c>
      <c r="B101" s="7">
        <v>4014</v>
      </c>
      <c r="C101" s="22" t="s">
        <v>205</v>
      </c>
      <c r="D101" s="22" t="s">
        <v>251</v>
      </c>
      <c r="E101" s="13">
        <v>42722.643043981479</v>
      </c>
      <c r="F101" s="13">
        <v>42722.656782407408</v>
      </c>
      <c r="G101" s="7">
        <v>1</v>
      </c>
      <c r="H101" s="22" t="s">
        <v>853</v>
      </c>
      <c r="I101" s="13">
        <v>42722.677164351851</v>
      </c>
      <c r="J101" s="7">
        <v>0</v>
      </c>
      <c r="K101" s="109" t="str">
        <f t="shared" si="30"/>
        <v>4013/4014</v>
      </c>
      <c r="L101" s="22" t="str">
        <f>VLOOKUP(A101,'Trips&amp;Operators'!$C$1:$G$99999,5,FALSE)</f>
        <v>ADANE ELSHADAY</v>
      </c>
      <c r="M101" s="6">
        <f t="shared" si="31"/>
        <v>2.0381944443215616E-2</v>
      </c>
      <c r="N101" s="7">
        <f t="shared" si="27"/>
        <v>29.349999998230487</v>
      </c>
      <c r="O101" s="7"/>
      <c r="P101" s="7"/>
      <c r="Q101" s="23"/>
      <c r="R101" s="23"/>
      <c r="S101" s="35">
        <f t="shared" si="42"/>
        <v>1</v>
      </c>
      <c r="T101" s="50" t="str">
        <f t="shared" si="32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14:25:59-700',mode:absolute,to:'2016-12-18 17:15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43"/>
        <v>N</v>
      </c>
      <c r="X101" s="177">
        <f t="shared" si="41"/>
        <v>1</v>
      </c>
      <c r="Y101" s="67">
        <f t="shared" si="34"/>
        <v>4.4600000000000001E-2</v>
      </c>
      <c r="Z101" s="67">
        <f t="shared" si="40"/>
        <v>15.811999999999999</v>
      </c>
      <c r="AA101" s="67">
        <f t="shared" si="35"/>
        <v>15.767399999999999</v>
      </c>
      <c r="AB101" s="64" t="str">
        <f>VLOOKUP(A101,Enforcements!$C$7:$K$19,8,0)</f>
        <v>Bulletin (2)</v>
      </c>
      <c r="AC101" s="60" t="str">
        <f>VLOOKUP(A101,Enforcements!$C$7:$E$19,3,0)</f>
        <v>GRADE CROSSING</v>
      </c>
      <c r="AD101" s="61" t="str">
        <f t="shared" si="36"/>
        <v>0197-18</v>
      </c>
      <c r="AE101" s="91" t="str">
        <f t="shared" si="37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101" s="88" t="str">
        <f t="shared" si="38"/>
        <v>"C:\Program Files (x86)\AstroGrep\AstroGrep.exe" /spath="%USERPROFILE%\AppData\Local\Temp\OnboardLogs" /stypes="app*4014*20161218*" /stext=" 23:.+((SYSTEM_STATE.+slice.+state.+changed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92" t="str">
        <f t="shared" si="28"/>
        <v>"%USERPROFILE%\Documents\GitHub\eaglep3\Utilities\RefineRTDCRunTimes.py" --tripid 197-18 --locoid 4014 --swversion DE.1.0.8.0 --startMP 204:446 --initTime 2016-12-18T15:25:59 --startdatetime 2016-12-18T15:45:46 --delay 1 --endMP 204:158120 --enddatetime 2016-12-18T16:15:07 --enforcementcount 0 &gt;&gt;C:\Users\stu\Documents\GitHub\eaglep3-reporting\EC\2016-12-18-refined-times.txt</v>
      </c>
      <c r="AI101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{"issue":{"subject":"","project_id":79,"tracker_id":40,"status_id":1,"priority_id":2,"assigned_to_id":23,"start_date":"2016-12-18","description":"","custom_fields":[{"id":1,"name":"Subdivision","value":"EC"},{"id":4,"name":"Milepost","value":"15.812"},{"id":17,"name":"Train ID","value":"197-18"},{"id":16,"name":"Locomotive ID","value":"4014"},{"id":130,"name":"Impact","value":""},{"id":150,"name":"Time of Event (Mountain Time)","value":"16:15:07"},{"id":151,"name":"Denver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659</v>
      </c>
      <c r="B102" s="7">
        <v>4010</v>
      </c>
      <c r="C102" s="22" t="s">
        <v>205</v>
      </c>
      <c r="D102" s="22" t="s">
        <v>863</v>
      </c>
      <c r="E102" s="13">
        <v>42722.69023148148</v>
      </c>
      <c r="F102" s="13">
        <v>42722.692812499998</v>
      </c>
      <c r="G102" s="7">
        <v>1</v>
      </c>
      <c r="H102" s="22" t="s">
        <v>211</v>
      </c>
      <c r="I102" s="13">
        <v>42722.72378472222</v>
      </c>
      <c r="J102" s="7">
        <v>0</v>
      </c>
      <c r="K102" s="109" t="str">
        <f t="shared" si="30"/>
        <v>4009/4010</v>
      </c>
      <c r="L102" s="22" t="str">
        <f>VLOOKUP(A102,'Trips&amp;Operators'!$C$1:$G$99999,5,FALSE)</f>
        <v>KILLION DAVID</v>
      </c>
      <c r="M102" s="6">
        <f t="shared" si="31"/>
        <v>3.0972222222771961E-2</v>
      </c>
      <c r="N102" s="7">
        <f t="shared" si="27"/>
        <v>44.600000000791624</v>
      </c>
      <c r="O102" s="7"/>
      <c r="P102" s="7"/>
      <c r="Q102" s="23"/>
      <c r="R102" s="23"/>
      <c r="S102" s="35">
        <f t="shared" si="42"/>
        <v>1</v>
      </c>
      <c r="T102" s="50" t="str">
        <f t="shared" si="32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15:33:56-700',mode:absolute,to:'2016-12-18 18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2" s="52" t="str">
        <f t="shared" si="43"/>
        <v>N</v>
      </c>
      <c r="X102" s="177">
        <f t="shared" si="41"/>
        <v>1</v>
      </c>
      <c r="Y102" s="67">
        <f t="shared" si="34"/>
        <v>15.773899999999999</v>
      </c>
      <c r="Z102" s="67">
        <f t="shared" si="40"/>
        <v>1.4999999999999999E-2</v>
      </c>
      <c r="AA102" s="67">
        <f t="shared" si="35"/>
        <v>15.758899999999999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6"/>
        <v>0198-18</v>
      </c>
      <c r="AE102" s="91" t="str">
        <f t="shared" si="37"/>
        <v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v>
      </c>
      <c r="AF102" s="88" t="str">
        <f t="shared" si="38"/>
        <v>"C:\Program Files (x86)\AstroGrep\AstroGrep.exe" /spath="%USERPROFILE%\AppData\Local\Temp\OnboardLogs" /stypes="app*4010*20161219*" /stext=" 00:.+((SYSTEM_STATE.+slice.+state.+changed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92" t="str">
        <f t="shared" si="28"/>
        <v>"%USERPROFILE%\Documents\GitHub\eaglep3\Utilities\RefineRTDCRunTimes.py" --tripid 198-18 --locoid 4010 --swversion DE.1.0.8.0 --startMP 204:157739 --initTime 2016-12-18T16:33:56 --startdatetime 2016-12-18T16:37:39 --delay 1 --endMP 204:150 --enddatetime 2016-12-18T17:22:15 --enforcementcount 0 &gt;&gt;C:\Users\stu\Documents\GitHub\eaglep3-reporting\EC\2016-12-18-refined-times.txt</v>
      </c>
      <c r="AI102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{"issue":{"subject":"","project_id":79,"tracker_id":40,"status_id":1,"priority_id":2,"assigned_to_id":23,"start_date":"2016-12-18","description":"","custom_fields":[{"id":1,"name":"Subdivision","value":"EC"},{"id":4,"name":"Milepost","value":"0.015"},{"id":17,"name":"Train ID","value":"198-18"},{"id":16,"name":"Locomotive ID","value":"4010"},{"id":130,"name":"Impact","value":""},{"id":150,"name":"Time of Event (Mountain Time)","value":"17:22:15"},{"id":151,"name":"Denver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654</v>
      </c>
      <c r="B103" s="7">
        <v>4009</v>
      </c>
      <c r="C103" s="22" t="s">
        <v>205</v>
      </c>
      <c r="D103" s="22" t="s">
        <v>471</v>
      </c>
      <c r="E103" s="13">
        <v>42722.655231481483</v>
      </c>
      <c r="F103" s="13">
        <v>42722.666875000003</v>
      </c>
      <c r="G103" s="7">
        <v>1</v>
      </c>
      <c r="H103" s="22" t="s">
        <v>864</v>
      </c>
      <c r="I103" s="13">
        <v>42722.688460648147</v>
      </c>
      <c r="J103" s="7">
        <v>0</v>
      </c>
      <c r="K103" s="109" t="str">
        <f t="shared" si="30"/>
        <v>4009/4010</v>
      </c>
      <c r="L103" s="22" t="str">
        <f>VLOOKUP(A103,'Trips&amp;Operators'!$C$1:$G$99999,5,FALSE)</f>
        <v>KILLION DAVID</v>
      </c>
      <c r="M103" s="6">
        <f t="shared" si="31"/>
        <v>2.1585648144537117E-2</v>
      </c>
      <c r="N103" s="7">
        <f t="shared" si="27"/>
        <v>31.083333328133449</v>
      </c>
      <c r="O103" s="7"/>
      <c r="P103" s="7"/>
      <c r="Q103" s="23"/>
      <c r="R103" s="23"/>
      <c r="S103" s="35">
        <f t="shared" si="42"/>
        <v>1</v>
      </c>
      <c r="T103" s="50" t="str">
        <f t="shared" si="32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14:43:32-700',mode:absolute,to:'2016-12-18 17:31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3" s="52" t="str">
        <f t="shared" si="43"/>
        <v>N</v>
      </c>
      <c r="X103" s="177">
        <f t="shared" si="41"/>
        <v>1</v>
      </c>
      <c r="Y103" s="67">
        <f t="shared" si="34"/>
        <v>4.6899999999999997E-2</v>
      </c>
      <c r="Z103" s="67">
        <f t="shared" si="40"/>
        <v>15.7963</v>
      </c>
      <c r="AA103" s="67">
        <f t="shared" si="35"/>
        <v>15.7494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6"/>
        <v>0199-18</v>
      </c>
      <c r="AE103" s="91" t="str">
        <f t="shared" si="37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103" s="88" t="str">
        <f t="shared" si="38"/>
        <v>"C:\Program Files (x86)\AstroGrep\AstroGrep.exe" /spath="%USERPROFILE%\AppData\Local\Temp\OnboardLogs" /stypes="app*4009*20161218*" /stext=" 23:.+((SYSTEM_STATE.+slice.+state.+changed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92" t="str">
        <f t="shared" si="28"/>
        <v>"%USERPROFILE%\Documents\GitHub\eaglep3\Utilities\RefineRTDCRunTimes.py" --tripid 199-18 --locoid 4009 --swversion DE.1.0.8.0 --startMP 204:469 --initTime 2016-12-18T15:43:32 --startdatetime 2016-12-18T16:00:18 --delay 1 --endMP 204:157963 --enddatetime 2016-12-18T16:31:23 --enforcementcount 0 &gt;&gt;C:\Users\stu\Documents\GitHub\eaglep3-reporting\EC\2016-12-18-refined-times.txt</v>
      </c>
      <c r="AI103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{"issue":{"subject":"","project_id":79,"tracker_id":40,"status_id":1,"priority_id":2,"assigned_to_id":23,"start_date":"2016-12-18","description":"","custom_fields":[{"id":1,"name":"Subdivision","value":"EC"},{"id":4,"name":"Milepost","value":"15.7963"},{"id":17,"name":"Train ID","value":"199-18"},{"id":16,"name":"Locomotive ID","value":"4009"},{"id":130,"name":"Impact","value":""},{"id":150,"name":"Time of Event (Mountain Time)","value":"16:31:23"},{"id":151,"name":"Denver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531</v>
      </c>
      <c r="B104" s="7">
        <v>4045</v>
      </c>
      <c r="C104" s="22" t="s">
        <v>205</v>
      </c>
      <c r="D104" s="22" t="s">
        <v>865</v>
      </c>
      <c r="E104" s="13">
        <v>42722.723541666666</v>
      </c>
      <c r="F104" s="13">
        <v>42722.724594907406</v>
      </c>
      <c r="G104" s="7">
        <v>1</v>
      </c>
      <c r="H104" s="22" t="s">
        <v>866</v>
      </c>
      <c r="I104" s="13">
        <v>42722.745011574072</v>
      </c>
      <c r="J104" s="7">
        <v>0</v>
      </c>
      <c r="K104" s="109" t="str">
        <f t="shared" si="30"/>
        <v>4045/4046</v>
      </c>
      <c r="L104" s="22" t="str">
        <f>VLOOKUP(A104,'Trips&amp;Operators'!$C$1:$G$99999,5,FALSE)</f>
        <v>STEWART MICHAEL</v>
      </c>
      <c r="M104" s="6">
        <f t="shared" si="31"/>
        <v>2.0416666666278616E-2</v>
      </c>
      <c r="N104" s="7"/>
      <c r="O104" s="7"/>
      <c r="P104" s="7">
        <f>24*60*SUM($M104:$M104)</f>
        <v>29.399999999441206</v>
      </c>
      <c r="Q104" s="23"/>
      <c r="R104" s="23" t="s">
        <v>954</v>
      </c>
      <c r="S104" s="35">
        <f t="shared" si="42"/>
        <v>1</v>
      </c>
      <c r="T104" s="50" t="str">
        <f t="shared" si="32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16:21:54-700',mode:absolute,to:'2016-12-18 18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4" s="52" t="str">
        <f t="shared" si="43"/>
        <v>Y</v>
      </c>
      <c r="X104" s="177">
        <f t="shared" ref="X104:X108" si="44">VALUE(LEFT(AD104,4))-VALUE(LEFT(AD103,4))</f>
        <v>1</v>
      </c>
      <c r="Y104" s="67">
        <f t="shared" si="34"/>
        <v>12.786199999999999</v>
      </c>
      <c r="Z104" s="67">
        <f t="shared" si="40"/>
        <v>8.8999999999999996E-2</v>
      </c>
      <c r="AA104" s="67">
        <f t="shared" si="35"/>
        <v>12.697199999999999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6"/>
        <v>0200-18</v>
      </c>
      <c r="AE104" s="91" t="str">
        <f t="shared" si="37"/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AF104" s="88" t="str">
        <f t="shared" si="38"/>
        <v>"C:\Program Files (x86)\AstroGrep\AstroGrep.exe" /spath="%USERPROFILE%\AppData\Local\Temp\OnboardLogs" /stypes="app*4045*20161219*" /stext=" 00:.+((SYSTEM_STATE.+slice.+state.+changed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92" t="str">
        <f t="shared" si="28"/>
        <v>"%USERPROFILE%\Documents\GitHub\eaglep3\Utilities\RefineRTDCRunTimes.py" --tripid 200-18 --locoid 4045 --swversion DE.1.0.8.0 --startMP 204:127862 --initTime 2016-12-18T17:21:54 --startdatetime 2016-12-18T17:23:25 --delay 1 --endMP 204:890 --enddatetime 2016-12-18T17:52:49 --enforcementcount 0 &gt;&gt;C:\Users\stu\Documents\GitHub\eaglep3-reporting\EC\2016-12-18-refined-times.txt</v>
      </c>
      <c r="AI104" s="119" t="str">
        <f t="shared" si="29"/>
        <v>echo {"issue":{"subject":"EC1497RH 149-1T 1S stuck at STOP &amp; PROCEED","project_id":79,"tracker_id":40,"status_id":1,"priority_id":2,"assigned_to_id":23,"start_date":"2016-12-18","description":"Starting from before 16:55:13, EC1497RH 149-1T 1S was at STOP &amp; PROCEED. It seemed like that this was undesired/unexpected. Do logs show anything unusual in the +/-20 minute window around 16:55:13?","custom_fields":[{"id":1,"name":"Subdivision","value":"EC"},{"id":4,"name":"Milepost","value":"0.089"},{"id":17,"name":"Train ID","value":"200-18"},{"id":16,"name":"Locomotive ID","value":"4045"},{"id":130,"name":"Impact","value":"Unexpected Cut-Out or Disengaged"},{"id":150,"name":"Time of Event (Mountain Time)","value":"17:52:49"},{"id":151,"name":"Denver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4" s="53" t="s">
        <v>955</v>
      </c>
      <c r="AK104" s="53" t="s">
        <v>131</v>
      </c>
      <c r="AL104" s="53" t="s">
        <v>130</v>
      </c>
    </row>
    <row r="105" spans="1:91" s="21" customFormat="1" x14ac:dyDescent="0.25">
      <c r="A105" s="37" t="s">
        <v>657</v>
      </c>
      <c r="B105" s="7">
        <v>4046</v>
      </c>
      <c r="C105" s="22" t="s">
        <v>205</v>
      </c>
      <c r="D105" s="22" t="s">
        <v>317</v>
      </c>
      <c r="E105" s="13">
        <v>42722.669791666667</v>
      </c>
      <c r="F105" s="13">
        <v>42722.67732638889</v>
      </c>
      <c r="G105" s="7">
        <v>1</v>
      </c>
      <c r="H105" s="22" t="s">
        <v>754</v>
      </c>
      <c r="I105" s="13">
        <v>42722.697974537034</v>
      </c>
      <c r="J105" s="7">
        <v>0</v>
      </c>
      <c r="K105" s="109" t="str">
        <f t="shared" si="30"/>
        <v>4045/4046</v>
      </c>
      <c r="L105" s="22" t="str">
        <f>VLOOKUP(A105,'Trips&amp;Operators'!$C$1:$G$99999,5,FALSE)</f>
        <v>STEWART MICHAEL</v>
      </c>
      <c r="M105" s="6">
        <f t="shared" si="31"/>
        <v>2.0648148143664002E-2</v>
      </c>
      <c r="N105" s="7">
        <f>24*60*SUM($M105:$M105)</f>
        <v>29.733333326876163</v>
      </c>
      <c r="O105" s="7"/>
      <c r="P105" s="7"/>
      <c r="Q105" s="23"/>
      <c r="R105" s="23"/>
      <c r="S105" s="35">
        <f t="shared" si="42"/>
        <v>1</v>
      </c>
      <c r="T105" s="50" t="str">
        <f t="shared" si="32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15:04:30-700',mode:absolute,to:'2016-12-18 17:45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5" s="52" t="str">
        <f t="shared" si="43"/>
        <v>Y</v>
      </c>
      <c r="X105" s="177">
        <f t="shared" si="44"/>
        <v>1</v>
      </c>
      <c r="Y105" s="67">
        <f t="shared" si="34"/>
        <v>4.5699999999999998E-2</v>
      </c>
      <c r="Z105" s="67">
        <f t="shared" si="40"/>
        <v>15.4429</v>
      </c>
      <c r="AA105" s="67">
        <f t="shared" si="35"/>
        <v>15.3972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6"/>
        <v>0201-18</v>
      </c>
      <c r="AE105" s="91" t="str">
        <f t="shared" si="37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105" s="88" t="str">
        <f t="shared" si="38"/>
        <v>"C:\Program Files (x86)\AstroGrep\AstroGrep.exe" /spath="%USERPROFILE%\AppData\Local\Temp\OnboardLogs" /stypes="app*4046*20161218*" /stext=" 23:.+((SYSTEM_STATE.+slice.+state.+changed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92" t="str">
        <f t="shared" si="28"/>
        <v>"%USERPROFILE%\Documents\GitHub\eaglep3\Utilities\RefineRTDCRunTimes.py" --tripid 201-18 --locoid 4046 --swversion DE.1.0.8.0 --startMP 204:457 --initTime 2016-12-18T16:04:30 --startdatetime 2016-12-18T16:15:21 --delay 1 --endMP 204:154429 --enddatetime 2016-12-18T16:45:05 --enforcementcount 0 &gt;&gt;C:\Users\stu\Documents\GitHub\eaglep3-reporting\EC\2016-12-18-refined-times.txt</v>
      </c>
      <c r="AI105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{"issue":{"subject":"","project_id":79,"tracker_id":40,"status_id":1,"priority_id":2,"assigned_to_id":23,"start_date":"2016-12-18","description":"","custom_fields":[{"id":1,"name":"Subdivision","value":"EC"},{"id":4,"name":"Milepost","value":"15.4429"},{"id":17,"name":"Train ID","value":"201-18"},{"id":16,"name":"Locomotive ID","value":"4046"},{"id":130,"name":"Impact","value":""},{"id":150,"name":"Time of Event (Mountain Time)","value":"16:45:05"},{"id":151,"name":"Denver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530</v>
      </c>
      <c r="B106" s="7">
        <v>4043</v>
      </c>
      <c r="C106" s="22" t="s">
        <v>205</v>
      </c>
      <c r="D106" s="22" t="s">
        <v>867</v>
      </c>
      <c r="E106" s="13">
        <v>42722.735844907409</v>
      </c>
      <c r="F106" s="13">
        <v>42722.737013888887</v>
      </c>
      <c r="G106" s="7">
        <v>1</v>
      </c>
      <c r="H106" s="22" t="s">
        <v>236</v>
      </c>
      <c r="I106" s="13">
        <v>42722.758067129631</v>
      </c>
      <c r="J106" s="7">
        <v>0</v>
      </c>
      <c r="K106" s="109" t="str">
        <f t="shared" si="30"/>
        <v>4043/4044</v>
      </c>
      <c r="L106" s="22" t="str">
        <f>VLOOKUP(A106,'Trips&amp;Operators'!$C$1:$G$99999,5,FALSE)</f>
        <v>DAVIS MICHAEL</v>
      </c>
      <c r="M106" s="6">
        <f t="shared" si="31"/>
        <v>2.1053240743640345E-2</v>
      </c>
      <c r="N106" s="7"/>
      <c r="O106" s="7"/>
      <c r="P106" s="7">
        <f>24*60*SUM($M106:$M106)</f>
        <v>30.316666670842096</v>
      </c>
      <c r="Q106" s="23"/>
      <c r="R106" s="23" t="s">
        <v>956</v>
      </c>
      <c r="S106" s="35">
        <f t="shared" si="42"/>
        <v>1</v>
      </c>
      <c r="T106" s="50" t="str">
        <f t="shared" si="32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16:39:37-700',mode:absolute,to:'2016-12-18 19:11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6" s="52" t="str">
        <f t="shared" si="43"/>
        <v>Y</v>
      </c>
      <c r="X106" s="177">
        <f t="shared" si="44"/>
        <v>1</v>
      </c>
      <c r="Y106" s="67">
        <f t="shared" si="34"/>
        <v>12.786899999999999</v>
      </c>
      <c r="Z106" s="67">
        <f t="shared" si="40"/>
        <v>1.4500000000000001E-2</v>
      </c>
      <c r="AA106" s="67">
        <f t="shared" si="35"/>
        <v>12.772399999999999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6"/>
        <v>0202-18</v>
      </c>
      <c r="AE106" s="91" t="str">
        <f t="shared" si="37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106" s="88" t="str">
        <f t="shared" si="38"/>
        <v>"C:\Program Files (x86)\AstroGrep\AstroGrep.exe" /spath="%USERPROFILE%\AppData\Local\Temp\OnboardLogs" /stypes="app*4043*20161219*" /stext=" 01:.+((SYSTEM_STATE.+slice.+state.+changed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92" t="str">
        <f t="shared" si="28"/>
        <v>"%USERPROFILE%\Documents\GitHub\eaglep3\Utilities\RefineRTDCRunTimes.py" --tripid 202-18 --locoid 4043 --swversion DE.1.0.8.0 --startMP 204:127869 --initTime 2016-12-18T17:39:37 --startdatetime 2016-12-18T17:41:18 --delay 1 --endMP 204:145 --enddatetime 2016-12-18T18:11:37 --enforcementcount 0 &gt;&gt;C:\Users\stu\Documents\GitHub\eaglep3-reporting\EC\2016-12-18-refined-times.txt</v>
      </c>
      <c r="AI106" s="119" t="str">
        <f t="shared" si="29"/>
        <v>echo {"issue":{"subject":"EC1443RH 150-2T 2S &amp; EC1388RH 144-2T 2S stuck at STOP &amp; PROCEED","project_id":79,"tracker_id":40,"status_id":1,"priority_id":2,"assigned_to_id":23,"start_date":"2016-12-18","description":"Starting from before 17:20, signals mentioned in title were at STOP &amp; PROCEED. It seemed like that this was undesired/unexpected. Do logs show anything unusual in the +/-20 minute window around 17:20?","custom_fields":[{"id":1,"name":"Subdivision","value":"EC"},{"id":4,"name":"Milepost","value":"0.0145"},{"id":17,"name":"Train ID","value":"202-18"},{"id":16,"name":"Locomotive ID","value":"4043"},{"id":130,"name":"Impact","value":"Unexpected Cut-Out or Disengaged"},{"id":150,"name":"Time of Event (Mountain Time)","value":"18:11:37"},{"id":151,"name":"Denver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6" s="53" t="s">
        <v>957</v>
      </c>
      <c r="AK106" s="53" t="s">
        <v>131</v>
      </c>
      <c r="AL106" s="53" t="s">
        <v>130</v>
      </c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530</v>
      </c>
      <c r="B107" s="7">
        <v>4043</v>
      </c>
      <c r="C107" s="22" t="s">
        <v>205</v>
      </c>
      <c r="D107" s="22" t="s">
        <v>868</v>
      </c>
      <c r="E107" s="13">
        <v>42722.721087962964</v>
      </c>
      <c r="F107" s="13">
        <v>42722.737013888887</v>
      </c>
      <c r="G107" s="7">
        <v>2</v>
      </c>
      <c r="H107" s="22" t="s">
        <v>869</v>
      </c>
      <c r="I107" s="13">
        <v>42722.758067129631</v>
      </c>
      <c r="J107" s="7">
        <v>0</v>
      </c>
      <c r="K107" s="109" t="str">
        <f t="shared" si="30"/>
        <v>4043/4044</v>
      </c>
      <c r="L107" s="22" t="str">
        <f>VLOOKUP(A107,'Trips&amp;Operators'!$C$1:$G$99999,5,FALSE)</f>
        <v>DAVIS MICHAEL</v>
      </c>
      <c r="M107" s="6">
        <f t="shared" si="31"/>
        <v>2.1053240743640345E-2</v>
      </c>
      <c r="N107" s="7"/>
      <c r="O107" s="7"/>
      <c r="P107" s="7"/>
      <c r="Q107" s="23"/>
      <c r="R107" s="23"/>
      <c r="S107" s="35"/>
      <c r="T107" s="50" t="str">
        <f t="shared" si="32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0</v>
      </c>
      <c r="V10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16:18:22-700',mode:absolute,to:'2016-12-18 19:11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7" s="52" t="str">
        <f t="shared" si="43"/>
        <v>Y</v>
      </c>
      <c r="X107" s="177">
        <f t="shared" si="44"/>
        <v>0</v>
      </c>
      <c r="Y107" s="67">
        <f t="shared" si="34"/>
        <v>15.416</v>
      </c>
      <c r="Z107" s="67">
        <f t="shared" si="40"/>
        <v>13.9033</v>
      </c>
      <c r="AA107" s="67">
        <f t="shared" si="35"/>
        <v>1.5127000000000006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6"/>
        <v>0202-18</v>
      </c>
      <c r="AE107" s="91" t="str">
        <f t="shared" si="37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107" s="88" t="str">
        <f t="shared" si="38"/>
        <v>"C:\Program Files (x86)\AstroGrep\AstroGrep.exe" /spath="%USERPROFILE%\AppData\Local\Temp\OnboardLogs" /stypes="app*4043*20161219*" /stext=" 01:.+((SYSTEM_STATE.+slice.+state.+changed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92" t="str">
        <f t="shared" si="28"/>
        <v>"%USERPROFILE%\Documents\GitHub\eaglep3\Utilities\RefineRTDCRunTimes.py" --tripid 202-18 --locoid 4043 --swversion DE.1.0.8.0 --startMP 204:154160 --initTime 2016-12-18T17:18:22 --startdatetime 2016-12-18T17:41:18 --delay 2 --endMP 204:139033 --enddatetime 2016-12-18T18:11:37 --enforcementcount 0 &gt;&gt;C:\Users\stu\Documents\GitHub\eaglep3-reporting\EC\2016-12-18-refined-times.txt</v>
      </c>
      <c r="AI107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{"issue":{"subject":"","project_id":79,"tracker_id":40,"status_id":1,"priority_id":2,"assigned_to_id":23,"start_date":"2016-12-18","description":"","custom_fields":[{"id":1,"name":"Subdivision","value":"EC"},{"id":4,"name":"Milepost","value":"13.9033"},{"id":17,"name":"Train ID","value":"202-18"},{"id":16,"name":"Locomotive ID","value":"4043"},{"id":130,"name":"Impact","value":""},{"id":150,"name":"Time of Event (Mountain Time)","value":"18:11:37"},{"id":151,"name":"Denver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658</v>
      </c>
      <c r="B108" s="7">
        <v>4044</v>
      </c>
      <c r="C108" s="22" t="s">
        <v>205</v>
      </c>
      <c r="D108" s="22" t="s">
        <v>323</v>
      </c>
      <c r="E108" s="13">
        <v>42722.682986111111</v>
      </c>
      <c r="F108" s="13">
        <v>42722.687916666669</v>
      </c>
      <c r="G108" s="7">
        <v>1</v>
      </c>
      <c r="H108" s="22" t="s">
        <v>754</v>
      </c>
      <c r="I108" s="13">
        <v>42722.716307870367</v>
      </c>
      <c r="J108" s="7">
        <v>0</v>
      </c>
      <c r="K108" s="109" t="str">
        <f t="shared" si="30"/>
        <v>4043/4044</v>
      </c>
      <c r="L108" s="22" t="str">
        <f>VLOOKUP(A108,'Trips&amp;Operators'!$C$1:$G$99999,5,FALSE)</f>
        <v>DAVIS MICHAEL</v>
      </c>
      <c r="M108" s="6">
        <f t="shared" si="31"/>
        <v>2.8391203697538003E-2</v>
      </c>
      <c r="N108" s="7">
        <f>24*60*SUM($M108:$M108)</f>
        <v>40.883333324454725</v>
      </c>
      <c r="O108" s="7"/>
      <c r="P108" s="7"/>
      <c r="Q108" s="23"/>
      <c r="R108" s="23"/>
      <c r="S108" s="35">
        <f>SUM(U108:U108)/IF(AG108="EC",12,1)</f>
        <v>1</v>
      </c>
      <c r="T108" s="50" t="str">
        <f t="shared" si="32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15:23:30-700',mode:absolute,to:'2016-12-18 18:11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8" s="52" t="str">
        <f t="shared" si="43"/>
        <v>Y</v>
      </c>
      <c r="X108" s="177">
        <f t="shared" si="44"/>
        <v>1</v>
      </c>
      <c r="Y108" s="67">
        <f t="shared" si="34"/>
        <v>4.3999999999999997E-2</v>
      </c>
      <c r="Z108" s="67">
        <f t="shared" si="40"/>
        <v>15.4429</v>
      </c>
      <c r="AA108" s="67">
        <f t="shared" si="35"/>
        <v>15.398899999999999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6"/>
        <v>0203-18</v>
      </c>
      <c r="AE108" s="91" t="str">
        <f t="shared" si="37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108" s="88" t="str">
        <f t="shared" si="38"/>
        <v>"C:\Program Files (x86)\AstroGrep\AstroGrep.exe" /spath="%USERPROFILE%\AppData\Local\Temp\OnboardLogs" /stypes="app*4044*20161219*" /stext=" 00:.+((SYSTEM_STATE.+slice.+state.+changed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92" t="str">
        <f t="shared" si="28"/>
        <v>"%USERPROFILE%\Documents\GitHub\eaglep3\Utilities\RefineRTDCRunTimes.py" --tripid 203-18 --locoid 4044 --swversion DE.1.0.8.0 --startMP 204:440 --initTime 2016-12-18T16:23:30 --startdatetime 2016-12-18T16:30:36 --delay 1 --endMP 204:154429 --enddatetime 2016-12-18T17:11:29 --enforcementcount 0 &gt;&gt;C:\Users\stu\Documents\GitHub\eaglep3-reporting\EC\2016-12-18-refined-times.txt</v>
      </c>
      <c r="AI108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{"issue":{"subject":"","project_id":79,"tracker_id":40,"status_id":1,"priority_id":2,"assigned_to_id":23,"start_date":"2016-12-18","description":"","custom_fields":[{"id":1,"name":"Subdivision","value":"EC"},{"id":4,"name":"Milepost","value":"15.4429"},{"id":17,"name":"Train ID","value":"203-18"},{"id":16,"name":"Locomotive ID","value":"4044"},{"id":130,"name":"Impact","value":""},{"id":150,"name":"Time of Event (Mountain Time)","value":"17:11:29"},{"id":151,"name":"Denver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534</v>
      </c>
      <c r="B109" s="7">
        <v>4030</v>
      </c>
      <c r="C109" s="22" t="s">
        <v>205</v>
      </c>
      <c r="D109" s="22" t="s">
        <v>870</v>
      </c>
      <c r="E109" s="13">
        <v>42722.742615740739</v>
      </c>
      <c r="F109" s="13">
        <v>42722.743587962963</v>
      </c>
      <c r="G109" s="7">
        <v>1</v>
      </c>
      <c r="H109" s="22" t="s">
        <v>871</v>
      </c>
      <c r="I109" s="13">
        <v>42722.760520833333</v>
      </c>
      <c r="J109" s="7">
        <v>0</v>
      </c>
      <c r="K109" s="109" t="str">
        <f t="shared" si="30"/>
        <v>4029/4030</v>
      </c>
      <c r="L109" s="22" t="str">
        <f>VLOOKUP(A109,'Trips&amp;Operators'!$C$1:$G$99999,5,FALSE)</f>
        <v>BARTLETT KIANDRA</v>
      </c>
      <c r="M109" s="6">
        <f t="shared" si="31"/>
        <v>1.69328703705105E-2</v>
      </c>
      <c r="N109" s="7"/>
      <c r="O109" s="7"/>
      <c r="P109" s="7">
        <f>24*60*SUM($M109:$M109)</f>
        <v>24.38333333353512</v>
      </c>
      <c r="Q109" s="23"/>
      <c r="R109" s="23" t="s">
        <v>958</v>
      </c>
      <c r="S109" s="35">
        <f>SUM(U109:U109)/IF(AG109="EC",12,1)</f>
        <v>1</v>
      </c>
      <c r="T109" s="50" t="str">
        <f t="shared" si="32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16:49:22-700',mode:absolute,to:'2016-12-18 19:15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9" s="52" t="str">
        <f t="shared" si="43"/>
        <v>Y</v>
      </c>
      <c r="X109" s="177">
        <f t="shared" ref="X109:X152" si="45">VALUE(LEFT(AD109,4))-VALUE(LEFT(AD108,4))</f>
        <v>1</v>
      </c>
      <c r="Y109" s="67">
        <f t="shared" si="34"/>
        <v>12.79</v>
      </c>
      <c r="Z109" s="67">
        <f t="shared" si="40"/>
        <v>0.10150000000000001</v>
      </c>
      <c r="AA109" s="67">
        <f t="shared" si="35"/>
        <v>12.688499999999999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6"/>
        <v>0204-18</v>
      </c>
      <c r="AE109" s="91" t="str">
        <f t="shared" si="37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109" s="88" t="str">
        <f t="shared" si="38"/>
        <v>"C:\Program Files (x86)\AstroGrep\AstroGrep.exe" /spath="%USERPROFILE%\AppData\Local\Temp\OnboardLogs" /stypes="app*4030*20161219*" /stext=" 01:.+((SYSTEM_STATE.+slice.+state.+changed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92" t="str">
        <f t="shared" si="28"/>
        <v>"%USERPROFILE%\Documents\GitHub\eaglep3\Utilities\RefineRTDCRunTimes.py" --tripid 204-18 --locoid 4030 --swversion DE.1.0.8.0 --startMP 204:127900 --initTime 2016-12-18T17:49:22 --startdatetime 2016-12-18T17:50:46 --delay 1 --endMP 204:1015 --enddatetime 2016-12-18T18:15:09 --enforcementcount 0 &gt;&gt;C:\Users\stu\Documents\GitHub\eaglep3-reporting\EC\2016-12-18-refined-times.txt</v>
      </c>
      <c r="AI109" s="119" t="str">
        <f t="shared" si="29"/>
        <v>echo {"issue":{"subject":"61st 2S slow to clear","project_id":79,"tracker_id":40,"status_id":1,"priority_id":2,"assigned_to_id":23,"start_date":"2016-12-18","description":"61st 2S received clear attempts 17:20:56, 17:27:34, 17:34:30. Signal didn't clear in those cases - do logs show anything interesting at the time?","custom_fields":[{"id":1,"name":"Subdivision","value":"EC"},{"id":4,"name":"Milepost","value":"0.1015"},{"id":17,"name":"Train ID","value":"204-18"},{"id":16,"name":"Locomotive ID","value":"4030"},{"id":130,"name":"Impact","value":"Unexpected Cut-Out or Disengaged"},{"id":150,"name":"Time of Event (Mountain Time)","value":"18:15:09"},{"id":151,"name":"Denver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9" s="53" t="s">
        <v>959</v>
      </c>
      <c r="AK109" s="53" t="s">
        <v>131</v>
      </c>
      <c r="AL109" s="53" t="s">
        <v>130</v>
      </c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534</v>
      </c>
      <c r="B110" s="7">
        <v>4030</v>
      </c>
      <c r="C110" s="22" t="s">
        <v>205</v>
      </c>
      <c r="D110" s="22" t="s">
        <v>872</v>
      </c>
      <c r="E110" s="13">
        <v>42722.734733796293</v>
      </c>
      <c r="F110" s="13">
        <v>42722.743587962963</v>
      </c>
      <c r="G110" s="7">
        <v>0</v>
      </c>
      <c r="H110" s="22" t="s">
        <v>873</v>
      </c>
      <c r="I110" s="13">
        <v>42722.760520833333</v>
      </c>
      <c r="J110" s="7">
        <v>0</v>
      </c>
      <c r="K110" s="109" t="str">
        <f t="shared" si="30"/>
        <v>4029/4030</v>
      </c>
      <c r="L110" s="22" t="str">
        <f>VLOOKUP(A110,'Trips&amp;Operators'!$C$1:$G$99999,5,FALSE)</f>
        <v>BARTLETT KIANDRA</v>
      </c>
      <c r="M110" s="6">
        <f t="shared" si="31"/>
        <v>1.69328703705105E-2</v>
      </c>
      <c r="N110" s="7"/>
      <c r="O110" s="7"/>
      <c r="P110" s="7"/>
      <c r="Q110" s="23"/>
      <c r="R110" s="23"/>
      <c r="S110" s="35"/>
      <c r="T110" s="50" t="str">
        <f t="shared" si="32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16:38:01-700',mode:absolute,to:'2016-12-18 19:15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0" s="52" t="str">
        <f t="shared" ref="W110:W141" si="46">IF(AA110&lt;IF(AG110="EC",23,5.65),"Y","N")</f>
        <v>Y</v>
      </c>
      <c r="X110" s="177">
        <f t="shared" si="45"/>
        <v>0</v>
      </c>
      <c r="Y110" s="67">
        <f t="shared" si="34"/>
        <v>15.404</v>
      </c>
      <c r="Z110" s="67">
        <f t="shared" si="40"/>
        <v>15.0627</v>
      </c>
      <c r="AA110" s="67">
        <f t="shared" si="35"/>
        <v>0.34130000000000038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6"/>
        <v>0204-18</v>
      </c>
      <c r="AE110" s="91" t="str">
        <f t="shared" si="37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110" s="88" t="str">
        <f t="shared" si="38"/>
        <v>"C:\Program Files (x86)\AstroGrep\AstroGrep.exe" /spath="%USERPROFILE%\AppData\Local\Temp\OnboardLogs" /stypes="app*4030*20161219*" /stext=" 01:.+((SYSTEM_STATE.+slice.+state.+changed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92" t="str">
        <f t="shared" si="28"/>
        <v>"%USERPROFILE%\Documents\GitHub\eaglep3\Utilities\RefineRTDCRunTimes.py" --tripid 204-18 --locoid 4030 --swversion DE.1.0.8.0 --startMP 204:154040 --initTime 2016-12-18T17:38:01 --startdatetime 2016-12-18T17:50:46 --delay 0 --endMP 204:150627 --enddatetime 2016-12-18T18:15:09 --enforcementcount 0 &gt;&gt;C:\Users\stu\Documents\GitHub\eaglep3-reporting\EC\2016-12-18-refined-times.txt</v>
      </c>
      <c r="AI110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{"issue":{"subject":"","project_id":79,"tracker_id":40,"status_id":1,"priority_id":2,"assigned_to_id":23,"start_date":"2016-12-18","description":"","custom_fields":[{"id":1,"name":"Subdivision","value":"EC"},{"id":4,"name":"Milepost","value":"15.0627"},{"id":17,"name":"Train ID","value":"204-18"},{"id":16,"name":"Locomotive ID","value":"4030"},{"id":130,"name":"Impact","value":""},{"id":150,"name":"Time of Event (Mountain Time)","value":"18:15:09"},{"id":151,"name":"Denver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534</v>
      </c>
      <c r="B111" s="7">
        <v>4030</v>
      </c>
      <c r="C111" s="22" t="s">
        <v>205</v>
      </c>
      <c r="D111" s="22" t="s">
        <v>874</v>
      </c>
      <c r="E111" s="13">
        <v>42722.724976851852</v>
      </c>
      <c r="F111" s="13">
        <v>42722.743587962963</v>
      </c>
      <c r="G111" s="7">
        <v>1</v>
      </c>
      <c r="H111" s="22" t="s">
        <v>875</v>
      </c>
      <c r="I111" s="13">
        <v>42722.760520833333</v>
      </c>
      <c r="J111" s="7">
        <v>0</v>
      </c>
      <c r="K111" s="109" t="str">
        <f t="shared" si="30"/>
        <v>4029/4030</v>
      </c>
      <c r="L111" s="22" t="str">
        <f>VLOOKUP(A111,'Trips&amp;Operators'!$C$1:$G$99999,5,FALSE)</f>
        <v>BARTLETT KIANDRA</v>
      </c>
      <c r="M111" s="6">
        <f t="shared" si="31"/>
        <v>1.69328703705105E-2</v>
      </c>
      <c r="N111" s="7"/>
      <c r="O111" s="7"/>
      <c r="P111" s="7"/>
      <c r="Q111" s="23"/>
      <c r="R111" s="23"/>
      <c r="S111" s="35"/>
      <c r="T111" s="50" t="str">
        <f t="shared" si="32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16:23:58-700',mode:absolute,to:'2016-12-18 19:15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1" s="52" t="str">
        <f t="shared" si="46"/>
        <v>Y</v>
      </c>
      <c r="X111" s="177">
        <f t="shared" si="45"/>
        <v>0</v>
      </c>
      <c r="Y111" s="67">
        <f t="shared" si="34"/>
        <v>23.298400000000001</v>
      </c>
      <c r="Z111" s="67">
        <f t="shared" si="40"/>
        <v>15.757400000000001</v>
      </c>
      <c r="AA111" s="67">
        <f t="shared" si="35"/>
        <v>7.5410000000000004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6"/>
        <v>0204-18</v>
      </c>
      <c r="AE111" s="91" t="str">
        <f t="shared" si="37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111" s="88" t="str">
        <f t="shared" si="38"/>
        <v>"C:\Program Files (x86)\AstroGrep\AstroGrep.exe" /spath="%USERPROFILE%\AppData\Local\Temp\OnboardLogs" /stypes="app*4030*20161219*" /stext=" 01:.+((SYSTEM_STATE.+slice.+state.+changed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92" t="str">
        <f t="shared" si="28"/>
        <v>"%USERPROFILE%\Documents\GitHub\eaglep3\Utilities\RefineRTDCRunTimes.py" --tripid 204-18 --locoid 4030 --swversion DE.1.0.8.0 --startMP 204:232984 --initTime 2016-12-18T17:23:58 --startdatetime 2016-12-18T17:50:46 --delay 1 --endMP 204:157574 --enddatetime 2016-12-18T18:15:09 --enforcementcount 0 &gt;&gt;C:\Users\stu\Documents\GitHub\eaglep3-reporting\EC\2016-12-18-refined-times.txt</v>
      </c>
      <c r="AI111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{"issue":{"subject":"","project_id":79,"tracker_id":40,"status_id":1,"priority_id":2,"assigned_to_id":23,"start_date":"2016-12-18","description":"","custom_fields":[{"id":1,"name":"Subdivision","value":"EC"},{"id":4,"name":"Milepost","value":"15.7574"},{"id":17,"name":"Train ID","value":"204-18"},{"id":16,"name":"Locomotive ID","value":"4030"},{"id":130,"name":"Impact","value":""},{"id":150,"name":"Time of Event (Mountain Time)","value":"18:15:09"},{"id":151,"name":"Denver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527</v>
      </c>
      <c r="B112" s="7">
        <v>4027</v>
      </c>
      <c r="C112" s="22" t="s">
        <v>205</v>
      </c>
      <c r="D112" s="22" t="s">
        <v>876</v>
      </c>
      <c r="E112" s="13">
        <v>42722.730636574073</v>
      </c>
      <c r="F112" s="13">
        <v>42722.731226851851</v>
      </c>
      <c r="G112" s="7">
        <v>0</v>
      </c>
      <c r="H112" s="22" t="s">
        <v>877</v>
      </c>
      <c r="I112" s="13">
        <v>42722.743067129632</v>
      </c>
      <c r="J112" s="7">
        <v>1</v>
      </c>
      <c r="K112" s="109" t="str">
        <f t="shared" si="30"/>
        <v>4027/4028</v>
      </c>
      <c r="L112" s="22" t="str">
        <f>VLOOKUP(A112,'Trips&amp;Operators'!$C$1:$G$99999,5,FALSE)</f>
        <v>HOLCOMB KAMDEN</v>
      </c>
      <c r="M112" s="6">
        <f t="shared" si="31"/>
        <v>1.1840277780720498E-2</v>
      </c>
      <c r="N112" s="7"/>
      <c r="O112" s="7"/>
      <c r="P112" s="7">
        <f>24*60*SUM($M112:$M113)</f>
        <v>58.783333338797092</v>
      </c>
      <c r="Q112" s="23"/>
      <c r="R112" s="23" t="s">
        <v>960</v>
      </c>
      <c r="S112" s="35">
        <f>SUM(U112:U113)/IF(AG112="EC",12,1)</f>
        <v>0.91666666666666663</v>
      </c>
      <c r="T112" s="50" t="str">
        <f t="shared" si="32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16:32:07-700',mode:absolute,to:'2016-12-18 18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2" s="52" t="str">
        <f t="shared" si="46"/>
        <v>Y</v>
      </c>
      <c r="X112" s="177">
        <f t="shared" si="45"/>
        <v>1</v>
      </c>
      <c r="Y112" s="67">
        <f t="shared" si="34"/>
        <v>12.8277</v>
      </c>
      <c r="Z112" s="67">
        <f t="shared" si="40"/>
        <v>23.320499999999999</v>
      </c>
      <c r="AA112" s="67">
        <f t="shared" si="35"/>
        <v>10.492799999999999</v>
      </c>
      <c r="AB112" s="64" t="str">
        <f>VLOOKUP(A112,Enforcements!$C$7:$K$19,8,0)</f>
        <v>Speed (6)</v>
      </c>
      <c r="AC112" s="60" t="str">
        <f>VLOOKUP(A112,Enforcements!$C$7:$E$19,3,0)</f>
        <v>PERMANENT SPEED RESTRICTION</v>
      </c>
      <c r="AD112" s="61" t="str">
        <f t="shared" si="36"/>
        <v>0205-18</v>
      </c>
      <c r="AE112" s="91" t="str">
        <f t="shared" si="37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112" s="88" t="str">
        <f t="shared" si="38"/>
        <v>"C:\Program Files (x86)\AstroGrep\AstroGrep.exe" /spath="%USERPROFILE%\AppData\Local\Temp\OnboardLogs" /stypes="app*4027*20161219*" /stext=" 00:.+((SYSTEM_STATE.+slice.+state.+changed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92" t="str">
        <f t="shared" si="28"/>
        <v>"%USERPROFILE%\Documents\GitHub\eaglep3\Utilities\RefineRTDCRunTimes.py" --tripid 205-18 --locoid 4027 --swversion DE.1.0.8.0 --startMP 204:128277 --initTime 2016-12-18T17:32:07 --startdatetime 2016-12-18T17:32:58 --delay 0 --endMP 204:233205 --enddatetime 2016-12-18T17:50:01 --enforcementcount 1 &gt;&gt;C:\Users\stu\Documents\GitHub\eaglep3-reporting\EC\2016-12-18-refined-times.txt</v>
      </c>
      <c r="AI112" s="119" t="str">
        <f t="shared" si="29"/>
        <v>echo {"issue":{"subject":"Chambers 2N slow to clear due to XING dependency","project_id":79,"tracker_id":40,"status_id":1,"priority_id":2,"assigned_to_id":23,"start_date":"2016-12-18","description":"","custom_fields":[{"id":1,"name":"Subdivision","value":"EC"},{"id":4,"name":"Milepost","value":"23.3205"},{"id":17,"name":"Train ID","value":"205-18"},{"id":16,"name":"Locomotive ID","value":"4027"},{"id":130,"name":"Impact","value":""},{"id":150,"name":"Time of Event (Mountain Time)","value":"17:50:01"},{"id":151,"name":"Denver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527</v>
      </c>
      <c r="B113" s="7">
        <v>4027</v>
      </c>
      <c r="C113" s="22" t="s">
        <v>205</v>
      </c>
      <c r="D113" s="22" t="s">
        <v>302</v>
      </c>
      <c r="E113" s="13">
        <v>42722.690312500003</v>
      </c>
      <c r="F113" s="13">
        <v>42722.691469907404</v>
      </c>
      <c r="G113" s="7">
        <v>1</v>
      </c>
      <c r="H113" s="22" t="s">
        <v>878</v>
      </c>
      <c r="I113" s="13">
        <v>42722.720451388886</v>
      </c>
      <c r="J113" s="7">
        <v>1</v>
      </c>
      <c r="K113" s="109" t="str">
        <f t="shared" si="30"/>
        <v>4027/4028</v>
      </c>
      <c r="L113" s="22" t="str">
        <f>VLOOKUP(A113,'Trips&amp;Operators'!$C$1:$G$99999,5,FALSE)</f>
        <v>HOLCOMB KAMDEN</v>
      </c>
      <c r="M113" s="6">
        <f t="shared" si="31"/>
        <v>2.8981481482333038E-2</v>
      </c>
      <c r="N113" s="7"/>
      <c r="O113" s="7"/>
      <c r="P113" s="7"/>
      <c r="Q113" s="23"/>
      <c r="R113" s="23"/>
      <c r="S113" s="35"/>
      <c r="T113" s="50" t="str">
        <f t="shared" si="32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11</v>
      </c>
      <c r="V11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15:34:03-700',mode:absolute,to:'2016-12-18 18:17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3" s="52" t="str">
        <f t="shared" si="46"/>
        <v>Y</v>
      </c>
      <c r="X113" s="177">
        <f t="shared" si="45"/>
        <v>0</v>
      </c>
      <c r="Y113" s="67">
        <f t="shared" si="34"/>
        <v>4.2900000000000001E-2</v>
      </c>
      <c r="Z113" s="67">
        <f t="shared" si="40"/>
        <v>10.5693</v>
      </c>
      <c r="AA113" s="67">
        <f t="shared" si="35"/>
        <v>10.526400000000001</v>
      </c>
      <c r="AB113" s="64" t="str">
        <f>VLOOKUP(A113,Enforcements!$C$7:$K$19,8,0)</f>
        <v>Speed (6)</v>
      </c>
      <c r="AC113" s="60" t="str">
        <f>VLOOKUP(A113,Enforcements!$C$7:$E$19,3,0)</f>
        <v>PERMANENT SPEED RESTRICTION</v>
      </c>
      <c r="AD113" s="61" t="str">
        <f t="shared" si="36"/>
        <v>0205-18</v>
      </c>
      <c r="AE113" s="91" t="str">
        <f t="shared" si="37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113" s="88" t="str">
        <f t="shared" si="38"/>
        <v>"C:\Program Files (x86)\AstroGrep\AstroGrep.exe" /spath="%USERPROFILE%\AppData\Local\Temp\OnboardLogs" /stypes="app*4027*20161219*" /stext=" 00:.+((SYSTEM_STATE.+slice.+state.+changed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92" t="str">
        <f t="shared" si="28"/>
        <v>"%USERPROFILE%\Documents\GitHub\eaglep3\Utilities\RefineRTDCRunTimes.py" --tripid 205-18 --locoid 4027 --swversion DE.1.0.8.0 --startMP 204:429 --initTime 2016-12-18T16:34:03 --startdatetime 2016-12-18T16:35:43 --delay 1 --endMP 204:105693 --enddatetime 2016-12-18T17:17:27 --enforcementcount 1 &gt;&gt;C:\Users\stu\Documents\GitHub\eaglep3-reporting\EC\2016-12-18-refined-times.txt</v>
      </c>
      <c r="AI113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{"issue":{"subject":"","project_id":79,"tracker_id":40,"status_id":1,"priority_id":2,"assigned_to_id":23,"start_date":"2016-12-18","description":"","custom_fields":[{"id":1,"name":"Subdivision","value":"EC"},{"id":4,"name":"Milepost","value":"10.5693"},{"id":17,"name":"Train ID","value":"205-18"},{"id":16,"name":"Locomotive ID","value":"4027"},{"id":130,"name":"Impact","value":""},{"id":150,"name":"Time of Event (Mountain Time)","value":"17:17:27"},{"id":151,"name":"Denver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671</v>
      </c>
      <c r="B114" s="7">
        <v>4028</v>
      </c>
      <c r="C114" s="22" t="s">
        <v>205</v>
      </c>
      <c r="D114" s="22" t="s">
        <v>879</v>
      </c>
      <c r="E114" s="13">
        <v>42722.746458333335</v>
      </c>
      <c r="F114" s="13">
        <v>42722.747881944444</v>
      </c>
      <c r="G114" s="7">
        <v>1</v>
      </c>
      <c r="H114" s="22" t="s">
        <v>880</v>
      </c>
      <c r="I114" s="13">
        <v>42722.778738425928</v>
      </c>
      <c r="J114" s="7">
        <v>0</v>
      </c>
      <c r="K114" s="109" t="str">
        <f t="shared" si="30"/>
        <v>4027/4028</v>
      </c>
      <c r="L114" s="22" t="str">
        <f>VLOOKUP(A114,'Trips&amp;Operators'!$C$1:$G$99999,5,FALSE)</f>
        <v>HOLCOMB KAMDEN</v>
      </c>
      <c r="M114" s="6">
        <f t="shared" si="31"/>
        <v>3.0856481484079268E-2</v>
      </c>
      <c r="N114" s="7">
        <f>24*60*SUM($M114:$M114)</f>
        <v>44.433333337074146</v>
      </c>
      <c r="O114" s="7"/>
      <c r="P114" s="7"/>
      <c r="Q114" s="23"/>
      <c r="R114" s="23"/>
      <c r="S114" s="35">
        <f>SUM(U114:U114)/IF(AG114="EC",12,1)</f>
        <v>1</v>
      </c>
      <c r="T114" s="50" t="str">
        <f t="shared" si="32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16:54:54-700',mode:absolute,to:'2016-12-18 19:41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4" s="52" t="str">
        <f t="shared" si="46"/>
        <v>N</v>
      </c>
      <c r="X114" s="177">
        <f t="shared" si="45"/>
        <v>1</v>
      </c>
      <c r="Y114" s="67">
        <f t="shared" si="34"/>
        <v>23.289000000000001</v>
      </c>
      <c r="Z114" s="67">
        <f t="shared" ref="Z114:Z145" si="47">RIGHT(H114,LEN(H114)-4)/10000</f>
        <v>1.7000000000000001E-2</v>
      </c>
      <c r="AA114" s="67">
        <f t="shared" si="35"/>
        <v>23.272000000000002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6"/>
        <v>0206-18</v>
      </c>
      <c r="AE114" s="91" t="str">
        <f t="shared" si="37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114" s="88" t="str">
        <f t="shared" si="38"/>
        <v>"C:\Program Files (x86)\AstroGrep\AstroGrep.exe" /spath="%USERPROFILE%\AppData\Local\Temp\OnboardLogs" /stypes="app*4028*20161219*" /stext=" 01:.+((SYSTEM_STATE.+slice.+state.+changed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92" t="str">
        <f t="shared" si="28"/>
        <v>"%USERPROFILE%\Documents\GitHub\eaglep3\Utilities\RefineRTDCRunTimes.py" --tripid 206-18 --locoid 4028 --swversion DE.1.0.8.0 --startMP 204:232890 --initTime 2016-12-18T17:54:54 --startdatetime 2016-12-18T17:56:57 --delay 1 --endMP 204:170 --enddatetime 2016-12-18T18:41:23 --enforcementcount 0 &gt;&gt;C:\Users\stu\Documents\GitHub\eaglep3-reporting\EC\2016-12-18-refined-times.txt</v>
      </c>
      <c r="AI114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{"issue":{"subject":"","project_id":79,"tracker_id":40,"status_id":1,"priority_id":2,"assigned_to_id":23,"start_date":"2016-12-18","description":"","custom_fields":[{"id":1,"name":"Subdivision","value":"EC"},{"id":4,"name":"Milepost","value":"0.017"},{"id":17,"name":"Train ID","value":"206-18"},{"id":16,"name":"Locomotive ID","value":"4028"},{"id":130,"name":"Impact","value":""},{"id":150,"name":"Time of Event (Mountain Time)","value":"18:41:23"},{"id":151,"name":"Denver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661</v>
      </c>
      <c r="B115" s="7">
        <v>4040</v>
      </c>
      <c r="C115" s="22" t="s">
        <v>205</v>
      </c>
      <c r="D115" s="22" t="s">
        <v>881</v>
      </c>
      <c r="E115" s="13">
        <v>42722.7341087963</v>
      </c>
      <c r="F115" s="13">
        <v>42722.736122685186</v>
      </c>
      <c r="G115" s="7">
        <v>2</v>
      </c>
      <c r="H115" s="22" t="s">
        <v>326</v>
      </c>
      <c r="I115" s="13">
        <v>42722.746817129628</v>
      </c>
      <c r="J115" s="7">
        <v>0</v>
      </c>
      <c r="K115" s="109" t="str">
        <f t="shared" si="30"/>
        <v>4039/4040</v>
      </c>
      <c r="L115" s="22" t="str">
        <f>VLOOKUP(A115,'Trips&amp;Operators'!$C$1:$G$99999,5,FALSE)</f>
        <v>BRUDER RICHARD</v>
      </c>
      <c r="M115" s="6">
        <f t="shared" si="31"/>
        <v>1.0694444441469386E-2</v>
      </c>
      <c r="N115" s="7"/>
      <c r="O115" s="7"/>
      <c r="P115" s="7">
        <f>24*60*SUM($M115:$M116)</f>
        <v>54.216666662832722</v>
      </c>
      <c r="Q115" s="23"/>
      <c r="R115" s="23" t="s">
        <v>960</v>
      </c>
      <c r="S115" s="35">
        <f>SUM(U115:U116)/IF(AG115="EC",12,1)</f>
        <v>0.83333333333333337</v>
      </c>
      <c r="T115" s="50" t="str">
        <f t="shared" si="32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16:37:07-700',mode:absolute,to:'2016-12-18 18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5" s="52" t="str">
        <f t="shared" si="46"/>
        <v>Y</v>
      </c>
      <c r="X115" s="177">
        <f t="shared" si="45"/>
        <v>1</v>
      </c>
      <c r="Y115" s="67">
        <f t="shared" si="34"/>
        <v>12.826000000000001</v>
      </c>
      <c r="Z115" s="67">
        <f t="shared" si="47"/>
        <v>23.3306</v>
      </c>
      <c r="AA115" s="67">
        <f t="shared" si="35"/>
        <v>10.5046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6"/>
        <v>0207-18</v>
      </c>
      <c r="AE115" s="91" t="str">
        <f t="shared" si="37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115" s="88" t="str">
        <f t="shared" si="38"/>
        <v>"C:\Program Files (x86)\AstroGrep\AstroGrep.exe" /spath="%USERPROFILE%\AppData\Local\Temp\OnboardLogs" /stypes="app*4040*20161219*" /stext=" 00:.+((SYSTEM_STATE.+slice.+state.+changed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92" t="str">
        <f t="shared" si="28"/>
        <v>"%USERPROFILE%\Documents\GitHub\eaglep3\Utilities\RefineRTDCRunTimes.py" --tripid 207-18 --locoid 4040 --swversion DE.1.0.8.0 --startMP 204:128260 --initTime 2016-12-18T17:37:07 --startdatetime 2016-12-18T17:40:01 --delay 2 --endMP 204:233306 --enddatetime 2016-12-18T17:55:25 --enforcementcount 0 &gt;&gt;C:\Users\stu\Documents\GitHub\eaglep3-reporting\EC\2016-12-18-refined-times.txt</v>
      </c>
      <c r="AI115" s="119" t="str">
        <f t="shared" si="29"/>
        <v>echo {"issue":{"subject":"Chambers 2N slow to clear due to XING dependency","project_id":79,"tracker_id":40,"status_id":1,"priority_id":2,"assigned_to_id":23,"start_date":"2016-12-18","description":"","custom_fields":[{"id":1,"name":"Subdivision","value":"EC"},{"id":4,"name":"Milepost","value":"23.3306"},{"id":17,"name":"Train ID","value":"207-18"},{"id":16,"name":"Locomotive ID","value":"4040"},{"id":130,"name":"Impact","value":""},{"id":150,"name":"Time of Event (Mountain Time)","value":"17:55:25"},{"id":151,"name":"Denver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661</v>
      </c>
      <c r="B116" s="7">
        <v>4040</v>
      </c>
      <c r="C116" s="22" t="s">
        <v>205</v>
      </c>
      <c r="D116" s="22" t="s">
        <v>244</v>
      </c>
      <c r="E116" s="13">
        <v>42722.702430555553</v>
      </c>
      <c r="F116" s="13">
        <v>42722.703287037039</v>
      </c>
      <c r="G116" s="7">
        <v>1</v>
      </c>
      <c r="H116" s="22" t="s">
        <v>882</v>
      </c>
      <c r="I116" s="13">
        <v>42722.730243055557</v>
      </c>
      <c r="J116" s="7">
        <v>0</v>
      </c>
      <c r="K116" s="109" t="str">
        <f t="shared" si="30"/>
        <v>4039/4040</v>
      </c>
      <c r="L116" s="22" t="str">
        <f>VLOOKUP(A116,'Trips&amp;Operators'!$C$1:$G$99999,5,FALSE)</f>
        <v>BRUDER RICHARD</v>
      </c>
      <c r="M116" s="6">
        <f t="shared" si="31"/>
        <v>2.6956018518831115E-2</v>
      </c>
      <c r="N116" s="7"/>
      <c r="O116" s="7"/>
      <c r="P116" s="7"/>
      <c r="Q116" s="23"/>
      <c r="R116" s="23"/>
      <c r="S116" s="35"/>
      <c r="T116" s="50" t="str">
        <f t="shared" si="32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10</v>
      </c>
      <c r="V11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15:51:30-700',mode:absolute,to:'2016-12-18 18:31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6" s="52" t="str">
        <f t="shared" si="46"/>
        <v>Y</v>
      </c>
      <c r="X116" s="177">
        <f t="shared" si="45"/>
        <v>0</v>
      </c>
      <c r="Y116" s="67">
        <f t="shared" si="34"/>
        <v>4.58E-2</v>
      </c>
      <c r="Z116" s="67">
        <f t="shared" si="47"/>
        <v>10.259399999999999</v>
      </c>
      <c r="AA116" s="67">
        <f t="shared" si="35"/>
        <v>10.2136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6"/>
        <v>0207-18</v>
      </c>
      <c r="AE116" s="91" t="str">
        <f t="shared" si="37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116" s="88" t="str">
        <f t="shared" si="38"/>
        <v>"C:\Program Files (x86)\AstroGrep\AstroGrep.exe" /spath="%USERPROFILE%\AppData\Local\Temp\OnboardLogs" /stypes="app*4040*20161219*" /stext=" 00:.+((SYSTEM_STATE.+slice.+state.+changed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92" t="str">
        <f t="shared" si="28"/>
        <v>"%USERPROFILE%\Documents\GitHub\eaglep3\Utilities\RefineRTDCRunTimes.py" --tripid 207-18 --locoid 4040 --swversion DE.1.0.8.0 --startMP 204:458 --initTime 2016-12-18T16:51:30 --startdatetime 2016-12-18T16:52:44 --delay 1 --endMP 204:102594 --enddatetime 2016-12-18T17:31:33 --enforcementcount 0 &gt;&gt;C:\Users\stu\Documents\GitHub\eaglep3-reporting\EC\2016-12-18-refined-times.txt</v>
      </c>
      <c r="AI116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{"issue":{"subject":"","project_id":79,"tracker_id":40,"status_id":1,"priority_id":2,"assigned_to_id":23,"start_date":"2016-12-18","description":"","custom_fields":[{"id":1,"name":"Subdivision","value":"EC"},{"id":4,"name":"Milepost","value":"10.2594"},{"id":17,"name":"Train ID","value":"207-18"},{"id":16,"name":"Locomotive ID","value":"4040"},{"id":130,"name":"Impact","value":""},{"id":150,"name":"Time of Event (Mountain Time)","value":"17:31:33"},{"id":151,"name":"Denver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672</v>
      </c>
      <c r="B117" s="7">
        <v>4039</v>
      </c>
      <c r="C117" s="22" t="s">
        <v>205</v>
      </c>
      <c r="D117" s="22" t="s">
        <v>280</v>
      </c>
      <c r="E117" s="13">
        <v>42722.748530092591</v>
      </c>
      <c r="F117" s="13">
        <v>42722.750254629631</v>
      </c>
      <c r="G117" s="7">
        <v>1</v>
      </c>
      <c r="H117" s="22" t="s">
        <v>264</v>
      </c>
      <c r="I117" s="13">
        <v>42722.783807870372</v>
      </c>
      <c r="J117" s="7">
        <v>0</v>
      </c>
      <c r="K117" s="109" t="str">
        <f t="shared" si="30"/>
        <v>4039/4040</v>
      </c>
      <c r="L117" s="22" t="str">
        <f>VLOOKUP(A117,'Trips&amp;Operators'!$C$1:$G$99999,5,FALSE)</f>
        <v>BRUDER RICHARD</v>
      </c>
      <c r="M117" s="6">
        <f t="shared" si="31"/>
        <v>3.3553240740729962E-2</v>
      </c>
      <c r="N117" s="7">
        <f>24*60*SUM($M117:$M117)</f>
        <v>48.316666666651145</v>
      </c>
      <c r="O117" s="7"/>
      <c r="P117" s="7"/>
      <c r="Q117" s="23"/>
      <c r="R117" s="23"/>
      <c r="S117" s="35">
        <f>SUM(U117:U117)/IF(AG117="EC",12,1)</f>
        <v>1</v>
      </c>
      <c r="T117" s="50" t="str">
        <f t="shared" si="32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16:57:53-700',mode:absolute,to:'2016-12-18 19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7" s="52" t="str">
        <f t="shared" si="46"/>
        <v>N</v>
      </c>
      <c r="X117" s="177">
        <f t="shared" si="45"/>
        <v>1</v>
      </c>
      <c r="Y117" s="67">
        <f t="shared" si="34"/>
        <v>23.299299999999999</v>
      </c>
      <c r="Z117" s="67">
        <f t="shared" si="47"/>
        <v>1.47E-2</v>
      </c>
      <c r="AA117" s="67">
        <f t="shared" si="35"/>
        <v>23.284599999999998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6"/>
        <v>0208-18</v>
      </c>
      <c r="AE117" s="91" t="str">
        <f t="shared" si="37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117" s="88" t="str">
        <f t="shared" si="38"/>
        <v>"C:\Program Files (x86)\AstroGrep\AstroGrep.exe" /spath="%USERPROFILE%\AppData\Local\Temp\OnboardLogs" /stypes="app*4039*20161219*" /stext=" 01:.+((SYSTEM_STATE.+slice.+state.+changed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92" t="str">
        <f t="shared" si="28"/>
        <v>"%USERPROFILE%\Documents\GitHub\eaglep3\Utilities\RefineRTDCRunTimes.py" --tripid 208-18 --locoid 4039 --swversion DE.1.0.8.0 --startMP 204:232993 --initTime 2016-12-18T17:57:53 --startdatetime 2016-12-18T18:00:22 --delay 1 --endMP 204:147 --enddatetime 2016-12-18T18:48:41 --enforcementcount 0 &gt;&gt;C:\Users\stu\Documents\GitHub\eaglep3-reporting\EC\2016-12-18-refined-times.txt</v>
      </c>
      <c r="AI117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{"issue":{"subject":"","project_id":79,"tracker_id":40,"status_id":1,"priority_id":2,"assigned_to_id":23,"start_date":"2016-12-18","description":"","custom_fields":[{"id":1,"name":"Subdivision","value":"EC"},{"id":4,"name":"Milepost","value":"0.0147"},{"id":17,"name":"Train ID","value":"208-18"},{"id":16,"name":"Locomotive ID","value":"4039"},{"id":130,"name":"Impact","value":""},{"id":150,"name":"Time of Event (Mountain Time)","value":"18:48:41"},{"id":151,"name":"Denver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663</v>
      </c>
      <c r="B118" s="7">
        <v>4003</v>
      </c>
      <c r="C118" s="22" t="s">
        <v>205</v>
      </c>
      <c r="D118" s="22" t="s">
        <v>883</v>
      </c>
      <c r="E118" s="13">
        <v>42722.742534722223</v>
      </c>
      <c r="F118" s="13">
        <v>42722.743344907409</v>
      </c>
      <c r="G118" s="7">
        <v>1</v>
      </c>
      <c r="H118" s="22" t="s">
        <v>467</v>
      </c>
      <c r="I118" s="13">
        <v>42722.75377314815</v>
      </c>
      <c r="J118" s="7">
        <v>0</v>
      </c>
      <c r="K118" s="109" t="str">
        <f t="shared" si="30"/>
        <v>4003/4004</v>
      </c>
      <c r="L118" s="22" t="str">
        <f>VLOOKUP(A118,'Trips&amp;Operators'!$C$1:$G$99999,5,FALSE)</f>
        <v>CHANDLER KELVIN</v>
      </c>
      <c r="M118" s="6">
        <f t="shared" si="31"/>
        <v>1.0428240741021E-2</v>
      </c>
      <c r="N118" s="7"/>
      <c r="O118" s="7"/>
      <c r="P118" s="7">
        <f>24*60*SUM($M118:$M119)</f>
        <v>40.599999998230487</v>
      </c>
      <c r="Q118" s="23"/>
      <c r="R118" s="23" t="s">
        <v>960</v>
      </c>
      <c r="S118" s="35">
        <f>SUM(U118:U119)/IF(AG118="EC",12,1)</f>
        <v>0.83333333333333337</v>
      </c>
      <c r="T118" s="50" t="str">
        <f t="shared" si="32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0</v>
      </c>
      <c r="V11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16:49:15-700',mode:absolute,to:'2016-12-18 19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8" s="52" t="str">
        <f t="shared" si="46"/>
        <v>Y</v>
      </c>
      <c r="X118" s="177">
        <f t="shared" si="45"/>
        <v>1</v>
      </c>
      <c r="Y118" s="67">
        <f t="shared" si="34"/>
        <v>12.8264</v>
      </c>
      <c r="Z118" s="67">
        <f t="shared" si="47"/>
        <v>23.326799999999999</v>
      </c>
      <c r="AA118" s="67">
        <f t="shared" si="35"/>
        <v>10.500399999999999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6"/>
        <v>0209-18</v>
      </c>
      <c r="AE118" s="91" t="str">
        <f t="shared" si="37"/>
        <v>aws s3 cp s3://rtdc.mdm.uploadarchive.raw/RTDC4003/ "%USERPROFILE%\AppData\Local\Temp\OnboardLogs"\RTDC4003\2016-12-18 --exclude "*" --recursive --include "*20161218*" &amp; "%USERPROFILE%\Documents\GitHub\mrs-test-scripts\Headless Mode &amp; Sideloading\WalkAndUnGZ.bat" "%USERPROFILE%\AppData\Local\Temp\OnboardLogs"\RTDC4003\2016-12-18 &amp; aws s3 cp s3://rtdc.mdm.uploadarchive.raw/RTDC4003/ "%USERPROFILE%\AppData\Local\Temp\OnboardLogs"\RTDC4003\2016-12-19 --exclude "*" --recursive --include "*20161219*" &amp; "%USERPROFILE%\Documents\GitHub\mrs-test-scripts\Headless Mode &amp; Sideloading\WalkAndUnGZ.bat" "%USERPROFILE%\AppData\Local\Temp\OnboardLogs"\RTDC4003\2016-12-19</v>
      </c>
      <c r="AF118" s="88" t="str">
        <f t="shared" si="38"/>
        <v>"C:\Program Files (x86)\AstroGrep\AstroGrep.exe" /spath="%USERPROFILE%\AppData\Local\Temp\OnboardLogs" /stypes="app*4003*20161219*" /stext=" 01:.+((SYSTEM_STATE.+slice.+state.+changed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92" t="str">
        <f t="shared" si="28"/>
        <v>"%USERPROFILE%\Documents\GitHub\eaglep3\Utilities\RefineRTDCRunTimes.py" --tripid 209-18 --locoid 4003 --swversion DE.1.0.8.0 --startMP 204:128264 --initTime 2016-12-18T17:49:15 --startdatetime 2016-12-18T17:50:25 --delay 1 --endMP 204:233268 --enddatetime 2016-12-18T18:05:26 --enforcementcount 0 &gt;&gt;C:\Users\stu\Documents\GitHub\eaglep3-reporting\EC\2016-12-18-refined-times.txt</v>
      </c>
      <c r="AI118" s="119" t="str">
        <f t="shared" si="29"/>
        <v>echo {"issue":{"subject":"Chambers 2N slow to clear due to XING dependency","project_id":79,"tracker_id":40,"status_id":1,"priority_id":2,"assigned_to_id":23,"start_date":"2016-12-18","description":"","custom_fields":[{"id":1,"name":"Subdivision","value":"EC"},{"id":4,"name":"Milepost","value":"23.3268"},{"id":17,"name":"Train ID","value":"209-18"},{"id":16,"name":"Locomotive ID","value":"4003"},{"id":130,"name":"Impact","value":""},{"id":150,"name":"Time of Event (Mountain Time)","value":"18:05:26"},{"id":151,"name":"Denver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663</v>
      </c>
      <c r="B119" s="7">
        <v>4003</v>
      </c>
      <c r="C119" s="22" t="s">
        <v>205</v>
      </c>
      <c r="D119" s="22" t="s">
        <v>229</v>
      </c>
      <c r="E119" s="13">
        <v>42722.716192129628</v>
      </c>
      <c r="F119" s="13">
        <v>42722.717361111114</v>
      </c>
      <c r="G119" s="7">
        <v>1</v>
      </c>
      <c r="H119" s="22" t="s">
        <v>884</v>
      </c>
      <c r="I119" s="13">
        <v>42722.735127314816</v>
      </c>
      <c r="J119" s="7">
        <v>0</v>
      </c>
      <c r="K119" s="109" t="str">
        <f t="shared" si="30"/>
        <v>4003/4004</v>
      </c>
      <c r="L119" s="22" t="str">
        <f>VLOOKUP(A119,'Trips&amp;Operators'!$C$1:$G$99999,5,FALSE)</f>
        <v>CHANDLER KELVIN</v>
      </c>
      <c r="M119" s="6">
        <f t="shared" si="31"/>
        <v>1.7766203702194616E-2</v>
      </c>
      <c r="N119" s="7"/>
      <c r="O119" s="7"/>
      <c r="P119" s="7"/>
      <c r="Q119" s="23"/>
      <c r="R119" s="23"/>
      <c r="S119" s="35"/>
      <c r="T119" s="50" t="str">
        <f t="shared" si="32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10</v>
      </c>
      <c r="V11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16:11:19-700',mode:absolute,to:'2016-12-18 18:38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9" s="52" t="str">
        <f t="shared" si="46"/>
        <v>Y</v>
      </c>
      <c r="X119" s="177">
        <f t="shared" si="45"/>
        <v>0</v>
      </c>
      <c r="Y119" s="67">
        <f t="shared" si="34"/>
        <v>4.5499999999999999E-2</v>
      </c>
      <c r="Z119" s="67">
        <f t="shared" si="47"/>
        <v>9.9933999999999994</v>
      </c>
      <c r="AA119" s="67">
        <f t="shared" si="35"/>
        <v>9.9478999999999989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6"/>
        <v>0209-18</v>
      </c>
      <c r="AE119" s="91" t="str">
        <f t="shared" si="37"/>
        <v>aws s3 cp s3://rtdc.mdm.uploadarchive.raw/RTDC4003/ "%USERPROFILE%\AppData\Local\Temp\OnboardLogs"\RTDC4003\2016-12-18 --exclude "*" --recursive --include "*20161218*" &amp; "%USERPROFILE%\Documents\GitHub\mrs-test-scripts\Headless Mode &amp; Sideloading\WalkAndUnGZ.bat" "%USERPROFILE%\AppData\Local\Temp\OnboardLogs"\RTDC4003\2016-12-18 &amp; aws s3 cp s3://rtdc.mdm.uploadarchive.raw/RTDC4003/ "%USERPROFILE%\AppData\Local\Temp\OnboardLogs"\RTDC4003\2016-12-19 --exclude "*" --recursive --include "*20161219*" &amp; "%USERPROFILE%\Documents\GitHub\mrs-test-scripts\Headless Mode &amp; Sideloading\WalkAndUnGZ.bat" "%USERPROFILE%\AppData\Local\Temp\OnboardLogs"\RTDC4003\2016-12-19</v>
      </c>
      <c r="AF119" s="88" t="str">
        <f t="shared" si="38"/>
        <v>"C:\Program Files (x86)\AstroGrep\AstroGrep.exe" /spath="%USERPROFILE%\AppData\Local\Temp\OnboardLogs" /stypes="app*4003*20161219*" /stext=" 00:.+((SYSTEM_STATE.+slice.+state.+changed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92" t="str">
        <f t="shared" si="28"/>
        <v>"%USERPROFILE%\Documents\GitHub\eaglep3\Utilities\RefineRTDCRunTimes.py" --tripid 209-18 --locoid 4003 --swversion DE.1.0.8.0 --startMP 204:455 --initTime 2016-12-18T17:11:19 --startdatetime 2016-12-18T17:13:00 --delay 1 --endMP 204:99934 --enddatetime 2016-12-18T17:38:35 --enforcementcount 0 &gt;&gt;C:\Users\stu\Documents\GitHub\eaglep3-reporting\EC\2016-12-18-refined-times.txt</v>
      </c>
      <c r="AI119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{"issue":{"subject":"","project_id":79,"tracker_id":40,"status_id":1,"priority_id":2,"assigned_to_id":23,"start_date":"2016-12-18","description":"","custom_fields":[{"id":1,"name":"Subdivision","value":"EC"},{"id":4,"name":"Milepost","value":"9.9934"},{"id":17,"name":"Train ID","value":"209-18"},{"id":16,"name":"Locomotive ID","value":"4003"},{"id":130,"name":"Impact","value":""},{"id":150,"name":"Time of Event (Mountain Time)","value":"17:38:35"},{"id":151,"name":"Denver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532</v>
      </c>
      <c r="B120" s="7">
        <v>4004</v>
      </c>
      <c r="C120" s="22" t="s">
        <v>205</v>
      </c>
      <c r="D120" s="22" t="s">
        <v>475</v>
      </c>
      <c r="E120" s="13">
        <v>42722.757002314815</v>
      </c>
      <c r="F120" s="13">
        <v>42722.815254629626</v>
      </c>
      <c r="G120" s="7">
        <v>1</v>
      </c>
      <c r="H120" s="22" t="s">
        <v>273</v>
      </c>
      <c r="I120" s="13">
        <v>42722.843414351853</v>
      </c>
      <c r="J120" s="7">
        <v>0</v>
      </c>
      <c r="K120" s="109" t="str">
        <f t="shared" si="30"/>
        <v>4003/4004</v>
      </c>
      <c r="L120" s="22" t="str">
        <f>VLOOKUP(A120,'Trips&amp;Operators'!$C$1:$G$99999,5,FALSE)</f>
        <v>CHANDLER KELVIN</v>
      </c>
      <c r="M120" s="6">
        <f t="shared" si="31"/>
        <v>2.8159722227428574E-2</v>
      </c>
      <c r="N120" s="7">
        <f>24*60*SUM($M120:$M120)</f>
        <v>40.550000007497147</v>
      </c>
      <c r="O120" s="7"/>
      <c r="P120" s="7"/>
      <c r="Q120" s="23"/>
      <c r="R120" s="23"/>
      <c r="S120" s="35">
        <f t="shared" ref="S120:S133" si="48">SUM(U120:U120)/IF(AG120="EC",12,1)</f>
        <v>1</v>
      </c>
      <c r="T120" s="50" t="str">
        <f t="shared" si="32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17:10:05-700',mode:absolute,to:'2016-12-18 21:14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0" s="52" t="str">
        <f t="shared" si="46"/>
        <v>N</v>
      </c>
      <c r="X120" s="177">
        <f t="shared" si="45"/>
        <v>1</v>
      </c>
      <c r="Y120" s="67">
        <f t="shared" si="34"/>
        <v>23.2973</v>
      </c>
      <c r="Z120" s="67">
        <f t="shared" si="47"/>
        <v>1.61E-2</v>
      </c>
      <c r="AA120" s="67">
        <f t="shared" si="35"/>
        <v>23.281199999999998</v>
      </c>
      <c r="AB120" s="64" t="str">
        <f>VLOOKUP(A120,Enforcements!$C$7:$K$19,8,0)</f>
        <v>Speed (6)</v>
      </c>
      <c r="AC120" s="60" t="str">
        <f>VLOOKUP(A120,Enforcements!$C$7:$E$19,3,0)</f>
        <v>PERMANENT SPEED RESTRICTION</v>
      </c>
      <c r="AD120" s="61" t="str">
        <f t="shared" si="36"/>
        <v>0210-18</v>
      </c>
      <c r="AE120" s="91" t="str">
        <f t="shared" si="37"/>
        <v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v>
      </c>
      <c r="AF120" s="88" t="str">
        <f t="shared" si="38"/>
        <v>"C:\Program Files (x86)\AstroGrep\AstroGrep.exe" /spath="%USERPROFILE%\AppData\Local\Temp\OnboardLogs" /stypes="app*4004*20161219*" /stext=" 03:.+((SYSTEM_STATE.+slice.+state.+changed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92" t="str">
        <f t="shared" si="28"/>
        <v>"%USERPROFILE%\Documents\GitHub\eaglep3\Utilities\RefineRTDCRunTimes.py" --tripid 210-18 --locoid 4004 --swversion DE.1.0.8.0 --startMP 204:232973 --initTime 2016-12-18T18:10:05 --startdatetime 2016-12-18T19:33:58 --delay 1 --endMP 204:161 --enddatetime 2016-12-18T20:14:31 --enforcementcount 0 &gt;&gt;C:\Users\stu\Documents\GitHub\eaglep3-reporting\EC\2016-12-18-refined-times.txt</v>
      </c>
      <c r="AI120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{"issue":{"subject":"","project_id":79,"tracker_id":40,"status_id":1,"priority_id":2,"assigned_to_id":23,"start_date":"2016-12-18","description":"","custom_fields":[{"id":1,"name":"Subdivision","value":"EC"},{"id":4,"name":"Milepost","value":"0.0161"},{"id":17,"name":"Train ID","value":"210-18"},{"id":16,"name":"Locomotive ID","value":"4004"},{"id":130,"name":"Impact","value":""},{"id":150,"name":"Time of Event (Mountain Time)","value":"20:14:31"},{"id":151,"name":"Denver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664</v>
      </c>
      <c r="B121" s="7">
        <v>4014</v>
      </c>
      <c r="C121" s="22" t="s">
        <v>205</v>
      </c>
      <c r="D121" s="22" t="s">
        <v>885</v>
      </c>
      <c r="E121" s="13">
        <v>42722.724629629629</v>
      </c>
      <c r="F121" s="13">
        <v>42722.729444444441</v>
      </c>
      <c r="G121" s="7">
        <v>1</v>
      </c>
      <c r="H121" s="22" t="s">
        <v>886</v>
      </c>
      <c r="I121" s="13">
        <v>42722.757939814815</v>
      </c>
      <c r="J121" s="7">
        <v>0</v>
      </c>
      <c r="K121" s="109" t="str">
        <f t="shared" si="30"/>
        <v>4013/4014</v>
      </c>
      <c r="L121" s="22" t="str">
        <f>VLOOKUP(A121,'Trips&amp;Operators'!$C$1:$G$99999,5,FALSE)</f>
        <v>MCREYNOLDS KYLE</v>
      </c>
      <c r="M121" s="6">
        <f t="shared" si="31"/>
        <v>2.849537037400296E-2</v>
      </c>
      <c r="N121" s="7">
        <f>24*60*SUM($M121:$M121)</f>
        <v>41.033333338564262</v>
      </c>
      <c r="O121" s="7"/>
      <c r="P121" s="7"/>
      <c r="Q121" s="23"/>
      <c r="R121" s="23"/>
      <c r="S121" s="35">
        <f t="shared" si="48"/>
        <v>1</v>
      </c>
      <c r="T121" s="50" t="str">
        <f t="shared" si="32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16:23:28-700',mode:absolute,to:'2016-12-18 19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1" s="52" t="str">
        <f t="shared" si="46"/>
        <v>N</v>
      </c>
      <c r="X121" s="177">
        <f t="shared" si="45"/>
        <v>1</v>
      </c>
      <c r="Y121" s="67">
        <f t="shared" si="34"/>
        <v>4.9299999999999997E-2</v>
      </c>
      <c r="Z121" s="67">
        <f t="shared" si="47"/>
        <v>23.327000000000002</v>
      </c>
      <c r="AA121" s="67">
        <f t="shared" si="35"/>
        <v>23.277700000000003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6"/>
        <v>0211-18</v>
      </c>
      <c r="AE121" s="91" t="str">
        <f t="shared" si="37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121" s="88" t="str">
        <f t="shared" si="38"/>
        <v>"C:\Program Files (x86)\AstroGrep\AstroGrep.exe" /spath="%USERPROFILE%\AppData\Local\Temp\OnboardLogs" /stypes="app*4014*20161219*" /stext=" 01:.+((SYSTEM_STATE.+slice.+state.+changed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92" t="str">
        <f t="shared" si="28"/>
        <v>"%USERPROFILE%\Documents\GitHub\eaglep3\Utilities\RefineRTDCRunTimes.py" --tripid 211-18 --locoid 4014 --swversion DE.1.0.8.0 --startMP 204:493 --initTime 2016-12-18T17:23:28 --startdatetime 2016-12-18T17:30:24 --delay 1 --endMP 204:233270 --enddatetime 2016-12-18T18:11:26 --enforcementcount 0 &gt;&gt;C:\Users\stu\Documents\GitHub\eaglep3-reporting\EC\2016-12-18-refined-times.txt</v>
      </c>
      <c r="AI121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{"issue":{"subject":"","project_id":79,"tracker_id":40,"status_id":1,"priority_id":2,"assigned_to_id":23,"start_date":"2016-12-18","description":"","custom_fields":[{"id":1,"name":"Subdivision","value":"EC"},{"id":4,"name":"Milepost","value":"23.327"},{"id":17,"name":"Train ID","value":"211-18"},{"id":16,"name":"Locomotive ID","value":"4014"},{"id":130,"name":"Impact","value":""},{"id":150,"name":"Time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676</v>
      </c>
      <c r="B122" s="7">
        <v>4013</v>
      </c>
      <c r="C122" s="22" t="s">
        <v>205</v>
      </c>
      <c r="D122" s="22" t="s">
        <v>284</v>
      </c>
      <c r="E122" s="13">
        <v>42722.767384259256</v>
      </c>
      <c r="F122" s="13">
        <v>42722.768587962964</v>
      </c>
      <c r="G122" s="7">
        <v>1</v>
      </c>
      <c r="H122" s="22" t="s">
        <v>278</v>
      </c>
      <c r="I122" s="13">
        <v>42722.797384259262</v>
      </c>
      <c r="J122" s="7">
        <v>0</v>
      </c>
      <c r="K122" s="109" t="str">
        <f t="shared" si="30"/>
        <v>4013/4014</v>
      </c>
      <c r="L122" s="22" t="str">
        <f>VLOOKUP(A122,'Trips&amp;Operators'!$C$1:$G$99999,5,FALSE)</f>
        <v>MCREYNOLDS KYLE</v>
      </c>
      <c r="M122" s="6">
        <f t="shared" si="31"/>
        <v>2.8796296297514345E-2</v>
      </c>
      <c r="N122" s="7">
        <f>24*60*SUM($M122:$M122)</f>
        <v>41.466666668420658</v>
      </c>
      <c r="O122" s="7"/>
      <c r="P122" s="7"/>
      <c r="Q122" s="23"/>
      <c r="R122" s="23"/>
      <c r="S122" s="35">
        <f t="shared" si="48"/>
        <v>1</v>
      </c>
      <c r="T122" s="50" t="str">
        <f t="shared" si="32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17:25:02-700',mode:absolute,to:'2016-12-18 20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2" s="52" t="str">
        <f t="shared" si="46"/>
        <v>N</v>
      </c>
      <c r="X122" s="177">
        <f t="shared" si="45"/>
        <v>1</v>
      </c>
      <c r="Y122" s="67">
        <f t="shared" si="34"/>
        <v>23.295300000000001</v>
      </c>
      <c r="Z122" s="67">
        <f t="shared" si="47"/>
        <v>1.5800000000000002E-2</v>
      </c>
      <c r="AA122" s="67">
        <f t="shared" si="35"/>
        <v>23.279500000000002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6"/>
        <v>0212-18</v>
      </c>
      <c r="AE122" s="91" t="str">
        <f t="shared" si="37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122" s="88" t="str">
        <f t="shared" si="38"/>
        <v>"C:\Program Files (x86)\AstroGrep\AstroGrep.exe" /spath="%USERPROFILE%\AppData\Local\Temp\OnboardLogs" /stypes="app*4013*20161219*" /stext=" 02:.+((SYSTEM_STATE.+slice.+state.+changed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92" t="str">
        <f t="shared" si="28"/>
        <v>"%USERPROFILE%\Documents\GitHub\eaglep3\Utilities\RefineRTDCRunTimes.py" --tripid 212-18 --locoid 4013 --swversion DE.1.0.8.0 --startMP 204:232953 --initTime 2016-12-18T18:25:02 --startdatetime 2016-12-18T18:26:46 --delay 1 --endMP 204:158 --enddatetime 2016-12-18T19:08:14 --enforcementcount 0 &gt;&gt;C:\Users\stu\Documents\GitHub\eaglep3-reporting\EC\2016-12-18-refined-times.txt</v>
      </c>
      <c r="AI122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{"issue":{"subject":"","project_id":79,"tracker_id":40,"status_id":1,"priority_id":2,"assigned_to_id":23,"start_date":"2016-12-18","description":"","custom_fields":[{"id":1,"name":"Subdivision","value":"EC"},{"id":4,"name":"Milepost","value":"0.0158"},{"id":17,"name":"Train ID","value":"212-18"},{"id":16,"name":"Locomotive ID","value":"4013"},{"id":130,"name":"Impact","value":""},{"id":150,"name":"Time of Event (Mountain Time)","value":"19:08:14"},{"id":151,"name":"Denver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667</v>
      </c>
      <c r="B123" s="7">
        <v>4009</v>
      </c>
      <c r="C123" s="22" t="s">
        <v>205</v>
      </c>
      <c r="D123" s="22" t="s">
        <v>231</v>
      </c>
      <c r="E123" s="13">
        <v>42722.734907407408</v>
      </c>
      <c r="F123" s="13">
        <v>42722.739745370367</v>
      </c>
      <c r="G123" s="7">
        <v>6</v>
      </c>
      <c r="H123" s="22" t="s">
        <v>473</v>
      </c>
      <c r="I123" s="13">
        <v>42722.767939814818</v>
      </c>
      <c r="J123" s="7">
        <v>0</v>
      </c>
      <c r="K123" s="109" t="str">
        <f t="shared" si="30"/>
        <v>4009/4010</v>
      </c>
      <c r="L123" s="22" t="str">
        <f>VLOOKUP(A123,'Trips&amp;Operators'!$C$1:$G$99999,5,FALSE)</f>
        <v>NEWELL JAMES</v>
      </c>
      <c r="M123" s="6">
        <f t="shared" si="31"/>
        <v>2.8194444450491574E-2</v>
      </c>
      <c r="N123" s="7">
        <f>24*60*SUM($M123:$M123)</f>
        <v>40.600000008707866</v>
      </c>
      <c r="O123" s="7"/>
      <c r="P123" s="7"/>
      <c r="Q123" s="23"/>
      <c r="R123" s="23"/>
      <c r="S123" s="35">
        <f t="shared" si="48"/>
        <v>1</v>
      </c>
      <c r="T123" s="50" t="str">
        <f t="shared" si="32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16:38:16-700',mode:absolute,to:'2016-12-18 19:25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46"/>
        <v>N</v>
      </c>
      <c r="X123" s="177">
        <f t="shared" si="45"/>
        <v>1</v>
      </c>
      <c r="Y123" s="67">
        <f t="shared" si="34"/>
        <v>4.5999999999999999E-2</v>
      </c>
      <c r="Z123" s="67">
        <f t="shared" si="47"/>
        <v>23.329499999999999</v>
      </c>
      <c r="AA123" s="67">
        <f t="shared" si="35"/>
        <v>23.2835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6"/>
        <v>0213-18</v>
      </c>
      <c r="AE123" s="91" t="str">
        <f t="shared" si="37"/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AF123" s="88" t="str">
        <f t="shared" si="38"/>
        <v>"C:\Program Files (x86)\AstroGrep\AstroGrep.exe" /spath="%USERPROFILE%\AppData\Local\Temp\OnboardLogs" /stypes="app*4009*20161219*" /stext=" 01:.+((SYSTEM_STATE.+slice.+state.+changed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92" t="str">
        <f t="shared" si="28"/>
        <v>"%USERPROFILE%\Documents\GitHub\eaglep3\Utilities\RefineRTDCRunTimes.py" --tripid 213-18 --locoid 4009 --swversion DE.1.0.8.0 --startMP 204:460 --initTime 2016-12-18T17:38:16 --startdatetime 2016-12-18T17:45:14 --delay 6 --endMP 204:233295 --enddatetime 2016-12-18T18:25:50 --enforcementcount 0 &gt;&gt;C:\Users\stu\Documents\GitHub\eaglep3-reporting\EC\2016-12-18-refined-times.txt</v>
      </c>
      <c r="AI123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{"issue":{"subject":"","project_id":79,"tracker_id":40,"status_id":1,"priority_id":2,"assigned_to_id":23,"start_date":"2016-12-18","description":"","custom_fields":[{"id":1,"name":"Subdivision","value":"EC"},{"id":4,"name":"Milepost","value":"23.3295"},{"id":17,"name":"Train ID","value":"213-18"},{"id":16,"name":"Locomotive ID","value":"4009"},{"id":130,"name":"Impact","value":""},{"id":150,"name":"Time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536</v>
      </c>
      <c r="B124" s="7">
        <v>4010</v>
      </c>
      <c r="C124" s="22" t="s">
        <v>205</v>
      </c>
      <c r="D124" s="22" t="s">
        <v>322</v>
      </c>
      <c r="E124" s="13">
        <v>42722.772696759261</v>
      </c>
      <c r="F124" s="13">
        <v>42722.778831018521</v>
      </c>
      <c r="G124" s="7">
        <v>1</v>
      </c>
      <c r="H124" s="22" t="s">
        <v>887</v>
      </c>
      <c r="I124" s="13">
        <v>42722.794432870367</v>
      </c>
      <c r="J124" s="7">
        <v>0</v>
      </c>
      <c r="K124" s="109" t="str">
        <f t="shared" si="30"/>
        <v>4009/4010</v>
      </c>
      <c r="L124" s="22" t="str">
        <f>VLOOKUP(A124,'Trips&amp;Operators'!$C$1:$G$99999,5,FALSE)</f>
        <v>NEWELL JAMES</v>
      </c>
      <c r="M124" s="6">
        <f t="shared" si="31"/>
        <v>1.5601851846440695E-2</v>
      </c>
      <c r="N124" s="7"/>
      <c r="O124" s="7"/>
      <c r="P124" s="7">
        <f>24*60*SUM($M124:$M124)</f>
        <v>22.466666658874601</v>
      </c>
      <c r="Q124" s="23"/>
      <c r="R124" s="23" t="s">
        <v>962</v>
      </c>
      <c r="S124" s="35">
        <f t="shared" si="48"/>
        <v>0.25</v>
      </c>
      <c r="T124" s="50" t="str">
        <f t="shared" si="32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3</v>
      </c>
      <c r="V12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17:32:41-700',mode:absolute,to:'2016-12-18 20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46"/>
        <v>Y</v>
      </c>
      <c r="X124" s="177">
        <f t="shared" si="45"/>
        <v>1</v>
      </c>
      <c r="Y124" s="67">
        <f t="shared" si="34"/>
        <v>23.2986</v>
      </c>
      <c r="Z124" s="67">
        <f t="shared" si="47"/>
        <v>6.6877000000000004</v>
      </c>
      <c r="AA124" s="67">
        <f t="shared" si="35"/>
        <v>16.610900000000001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6"/>
        <v>0214-18</v>
      </c>
      <c r="AE124" s="91" t="str">
        <f t="shared" si="37"/>
        <v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v>
      </c>
      <c r="AF124" s="88" t="str">
        <f t="shared" si="38"/>
        <v>"C:\Program Files (x86)\AstroGrep\AstroGrep.exe" /spath="%USERPROFILE%\AppData\Local\Temp\OnboardLogs" /stypes="app*4010*20161219*" /stext=" 02:.+((SYSTEM_STATE.+slice.+state.+changed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92" t="str">
        <f t="shared" si="28"/>
        <v>"%USERPROFILE%\Documents\GitHub\eaglep3\Utilities\RefineRTDCRunTimes.py" --tripid 214-18 --locoid 4010 --swversion DE.1.0.8.0 --startMP 204:232986 --initTime 2016-12-18T18:32:41 --startdatetime 2016-12-18T18:41:31 --delay 1 --endMP 204:66877 --enddatetime 2016-12-18T19:03:59 --enforcementcount 0 &gt;&gt;C:\Users\stu\Documents\GitHub\eaglep3-reporting\EC\2016-12-18-refined-times.txt</v>
      </c>
      <c r="AI124" s="119" t="str">
        <f t="shared" si="29"/>
        <v>echo {"issue":{"subject":"Braking without banner","project_id":79,"tracker_id":40,"status_id":1,"priority_id":2,"assigned_to_id":23,"start_date":"2016-12-18","description":"","custom_fields":[{"id":1,"name":"Subdivision","value":"EC"},{"id":4,"name":"Milepost","value":"6.6877"},{"id":17,"name":"Train ID","value":"214-18"},{"id":16,"name":"Locomotive ID","value":"4010"},{"id":130,"name":"Impact","value":""},{"id":150,"name":"Time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670</v>
      </c>
      <c r="B125" s="7">
        <v>4031</v>
      </c>
      <c r="C125" s="22" t="s">
        <v>205</v>
      </c>
      <c r="D125" s="22" t="s">
        <v>259</v>
      </c>
      <c r="E125" s="13">
        <v>42722.739791666667</v>
      </c>
      <c r="F125" s="13">
        <v>42722.750185185185</v>
      </c>
      <c r="G125" s="7">
        <v>1</v>
      </c>
      <c r="H125" s="22" t="s">
        <v>474</v>
      </c>
      <c r="I125" s="13">
        <v>42722.776319444441</v>
      </c>
      <c r="J125" s="7">
        <v>0</v>
      </c>
      <c r="K125" s="109" t="str">
        <f t="shared" si="30"/>
        <v>4031/4032</v>
      </c>
      <c r="L125" s="22" t="str">
        <f>VLOOKUP(A125,'Trips&amp;Operators'!$C$1:$G$99999,5,FALSE)</f>
        <v>KILLION DAVID</v>
      </c>
      <c r="M125" s="6">
        <f t="shared" si="31"/>
        <v>2.6134259256650694E-2</v>
      </c>
      <c r="N125" s="7">
        <f>24*60*SUM($M125:$M125)</f>
        <v>37.633333329576999</v>
      </c>
      <c r="O125" s="7"/>
      <c r="P125" s="7"/>
      <c r="Q125" s="23"/>
      <c r="R125" s="23"/>
      <c r="S125" s="35">
        <f t="shared" si="48"/>
        <v>1</v>
      </c>
      <c r="T125" s="50" t="str">
        <f t="shared" si="32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16:45:18-700',mode:absolute,to:'2016-12-18 19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52" t="str">
        <f t="shared" si="46"/>
        <v>N</v>
      </c>
      <c r="X125" s="177">
        <f t="shared" si="45"/>
        <v>1</v>
      </c>
      <c r="Y125" s="67">
        <f t="shared" si="34"/>
        <v>4.6399999999999997E-2</v>
      </c>
      <c r="Z125" s="67">
        <f t="shared" si="47"/>
        <v>23.3308</v>
      </c>
      <c r="AA125" s="67">
        <f t="shared" si="35"/>
        <v>23.284400000000002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6"/>
        <v>0215-18</v>
      </c>
      <c r="AE125" s="91" t="str">
        <f t="shared" si="37"/>
        <v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v>
      </c>
      <c r="AF125" s="88" t="str">
        <f t="shared" si="38"/>
        <v>"C:\Program Files (x86)\AstroGrep\AstroGrep.exe" /spath="%USERPROFILE%\AppData\Local\Temp\OnboardLogs" /stypes="app*4031*20161219*" /stext=" 01:.+((SYSTEM_STATE.+slice.+state.+changed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92" t="str">
        <f t="shared" si="28"/>
        <v>"%USERPROFILE%\Documents\GitHub\eaglep3\Utilities\RefineRTDCRunTimes.py" --tripid 215-18 --locoid 4031 --swversion DE.1.0.8.0 --startMP 204:464 --initTime 2016-12-18T17:45:18 --startdatetime 2016-12-18T18:00:16 --delay 1 --endMP 204:233308 --enddatetime 2016-12-18T18:37:54 --enforcementcount 0 &gt;&gt;C:\Users\stu\Documents\GitHub\eaglep3-reporting\EC\2016-12-18-refined-times.txt</v>
      </c>
      <c r="AI125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{"issue":{"subject":"","project_id":79,"tracker_id":40,"status_id":1,"priority_id":2,"assigned_to_id":23,"start_date":"2016-12-18","description":"","custom_fields":[{"id":1,"name":"Subdivision","value":"EC"},{"id":4,"name":"Milepost","value":"23.3308"},{"id":17,"name":"Train ID","value":"215-18"},{"id":16,"name":"Locomotive ID","value":"4031"},{"id":130,"name":"Impact","value":""},{"id":150,"name":"Time of Event (Mountain Time)","value":"18:37:54"},{"id":151,"name":"Denver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682</v>
      </c>
      <c r="B126" s="7">
        <v>4032</v>
      </c>
      <c r="C126" s="22" t="s">
        <v>205</v>
      </c>
      <c r="D126" s="22" t="s">
        <v>269</v>
      </c>
      <c r="E126" s="13">
        <v>42722.784756944442</v>
      </c>
      <c r="F126" s="13">
        <v>42722.789097222223</v>
      </c>
      <c r="G126" s="7">
        <v>1</v>
      </c>
      <c r="H126" s="22" t="s">
        <v>236</v>
      </c>
      <c r="I126" s="13">
        <v>42722.820243055554</v>
      </c>
      <c r="J126" s="7">
        <v>0</v>
      </c>
      <c r="K126" s="109" t="str">
        <f t="shared" si="30"/>
        <v>4031/4032</v>
      </c>
      <c r="L126" s="22" t="str">
        <f>VLOOKUP(A126,'Trips&amp;Operators'!$C$1:$G$99999,5,FALSE)</f>
        <v>KILLION DAVID</v>
      </c>
      <c r="M126" s="6">
        <f t="shared" si="31"/>
        <v>3.1145833330811001E-2</v>
      </c>
      <c r="N126" s="7">
        <f>24*60*SUM($M126:$M126)</f>
        <v>44.849999996367842</v>
      </c>
      <c r="O126" s="7"/>
      <c r="P126" s="7"/>
      <c r="Q126" s="23"/>
      <c r="R126" s="23"/>
      <c r="S126" s="35">
        <f t="shared" si="48"/>
        <v>1</v>
      </c>
      <c r="T126" s="50" t="str">
        <f t="shared" si="32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17:50:03-700',mode:absolute,to:'2016-12-18 20:41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52" t="str">
        <f t="shared" si="46"/>
        <v>N</v>
      </c>
      <c r="X126" s="177">
        <f t="shared" si="45"/>
        <v>1</v>
      </c>
      <c r="Y126" s="67">
        <f t="shared" si="34"/>
        <v>23.2989</v>
      </c>
      <c r="Z126" s="67">
        <f t="shared" si="47"/>
        <v>1.4500000000000001E-2</v>
      </c>
      <c r="AA126" s="67">
        <f t="shared" si="35"/>
        <v>23.284399999999998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6"/>
        <v>0216-18</v>
      </c>
      <c r="AE126" s="91" t="str">
        <f t="shared" si="37"/>
        <v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v>
      </c>
      <c r="AF126" s="88" t="str">
        <f t="shared" si="38"/>
        <v>"C:\Program Files (x86)\AstroGrep\AstroGrep.exe" /spath="%USERPROFILE%\AppData\Local\Temp\OnboardLogs" /stypes="app*4032*20161219*" /stext=" 02:.+((SYSTEM_STATE.+slice.+state.+changed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92" t="str">
        <f t="shared" si="28"/>
        <v>"%USERPROFILE%\Documents\GitHub\eaglep3\Utilities\RefineRTDCRunTimes.py" --tripid 216-18 --locoid 4032 --swversion DE.1.0.8.0 --startMP 204:232989 --initTime 2016-12-18T18:50:03 --startdatetime 2016-12-18T18:56:18 --delay 1 --endMP 204:145 --enddatetime 2016-12-18T19:41:09 --enforcementcount 0 &gt;&gt;C:\Users\stu\Documents\GitHub\eaglep3-reporting\EC\2016-12-18-refined-times.txt</v>
      </c>
      <c r="AI126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{"issue":{"subject":"","project_id":79,"tracker_id":40,"status_id":1,"priority_id":2,"assigned_to_id":23,"start_date":"2016-12-18","description":"","custom_fields":[{"id":1,"name":"Subdivision","value":"EC"},{"id":4,"name":"Milepost","value":"0.0145"},{"id":17,"name":"Train ID","value":"216-18"},{"id":16,"name":"Locomotive ID","value":"4032"},{"id":130,"name":"Impact","value":""},{"id":150,"name":"Time of Event (Mountain Time)","value":"19:41:09"},{"id":151,"name":"Denver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x14ac:dyDescent="0.25">
      <c r="A127" s="37" t="s">
        <v>674</v>
      </c>
      <c r="B127" s="7">
        <v>4046</v>
      </c>
      <c r="C127" s="22" t="s">
        <v>205</v>
      </c>
      <c r="D127" s="22" t="s">
        <v>888</v>
      </c>
      <c r="E127" s="13">
        <v>42722.773819444446</v>
      </c>
      <c r="F127" s="13">
        <v>42722.775104166663</v>
      </c>
      <c r="G127" s="7">
        <v>1</v>
      </c>
      <c r="H127" s="22" t="s">
        <v>327</v>
      </c>
      <c r="I127" s="13">
        <v>42722.795868055553</v>
      </c>
      <c r="J127" s="7">
        <v>0</v>
      </c>
      <c r="K127" s="109" t="str">
        <f t="shared" si="30"/>
        <v>4045/4046</v>
      </c>
      <c r="L127" s="22" t="str">
        <f>VLOOKUP(A127,'Trips&amp;Operators'!$C$1:$G$99999,5,FALSE)</f>
        <v>SMITH MICHAEL</v>
      </c>
      <c r="M127" s="6">
        <f t="shared" si="31"/>
        <v>2.0763888889632653E-2</v>
      </c>
      <c r="N127" s="7"/>
      <c r="O127" s="7"/>
      <c r="P127" s="7">
        <f>24*60*SUM($M127:$M127)</f>
        <v>29.900000001071021</v>
      </c>
      <c r="Q127" s="23"/>
      <c r="R127" s="23" t="s">
        <v>963</v>
      </c>
      <c r="S127" s="35">
        <f t="shared" si="48"/>
        <v>0.75</v>
      </c>
      <c r="T127" s="50" t="str">
        <f t="shared" si="32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9</v>
      </c>
      <c r="V12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17:34:18-700',mode:absolute,to:'2016-12-18 20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7" s="52" t="str">
        <f t="shared" si="46"/>
        <v>Y</v>
      </c>
      <c r="X127" s="177">
        <f t="shared" si="45"/>
        <v>1</v>
      </c>
      <c r="Y127" s="67">
        <f t="shared" si="34"/>
        <v>3.72</v>
      </c>
      <c r="Z127" s="67">
        <f t="shared" si="47"/>
        <v>23.329899999999999</v>
      </c>
      <c r="AA127" s="67">
        <f t="shared" si="35"/>
        <v>19.6099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6"/>
        <v>0217-18</v>
      </c>
      <c r="AE127" s="91" t="str">
        <f t="shared" si="37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127" s="88" t="str">
        <f t="shared" si="38"/>
        <v>"C:\Program Files (x86)\AstroGrep\AstroGrep.exe" /spath="%USERPROFILE%\AppData\Local\Temp\OnboardLogs" /stypes="app*4046*20161219*" /stext=" 02:.+((SYSTEM_STATE.+slice.+state.+changed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92" t="str">
        <f t="shared" si="28"/>
        <v>"%USERPROFILE%\Documents\GitHub\eaglep3\Utilities\RefineRTDCRunTimes.py" --tripid 217-18 --locoid 4046 --swversion DE.1.0.8.0 --startMP 204:37200 --initTime 2016-12-18T18:34:18 --startdatetime 2016-12-18T18:36:09 --delay 1 --endMP 204:233299 --enddatetime 2016-12-18T19:06:03 --enforcementcount 0 &gt;&gt;C:\Users\stu\Documents\GitHub\eaglep3-reporting\EC\2016-12-18-refined-times.txt</v>
      </c>
      <c r="AI127" s="119" t="str">
        <f t="shared" si="29"/>
        <v>echo {"issue":{"subject":"CCROC/crew/equipment mismatch","project_id":79,"tracker_id":40,"status_id":1,"priority_id":2,"assigned_to_id":23,"start_date":"2016-12-18","description":"","custom_fields":[{"id":1,"name":"Subdivision","value":"EC"},{"id":4,"name":"Milepost","value":"23.3299"},{"id":17,"name":"Train ID","value":"217-18"},{"id":16,"name":"Locomotive ID","value":"4046"},{"id":130,"name":"Impact","value":""},{"id":150,"name":"Time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685</v>
      </c>
      <c r="B128" s="7">
        <v>4045</v>
      </c>
      <c r="C128" s="22" t="s">
        <v>205</v>
      </c>
      <c r="D128" s="22" t="s">
        <v>272</v>
      </c>
      <c r="E128" s="13">
        <v>42722.79760416667</v>
      </c>
      <c r="F128" s="13">
        <v>42722.799907407411</v>
      </c>
      <c r="G128" s="7">
        <v>1</v>
      </c>
      <c r="H128" s="22" t="s">
        <v>273</v>
      </c>
      <c r="I128" s="13">
        <v>42722.831666666665</v>
      </c>
      <c r="J128" s="7">
        <v>0</v>
      </c>
      <c r="K128" s="109" t="str">
        <f t="shared" si="30"/>
        <v>4045/4046</v>
      </c>
      <c r="L128" s="22" t="str">
        <f>VLOOKUP(A128,'Trips&amp;Operators'!$C$1:$G$99999,5,FALSE)</f>
        <v>SMITH MICHAEL</v>
      </c>
      <c r="M128" s="6">
        <f t="shared" si="31"/>
        <v>3.1759259254613426E-2</v>
      </c>
      <c r="N128" s="7">
        <f t="shared" ref="N128:N133" si="49">24*60*SUM($M128:$M128)</f>
        <v>45.733333326643333</v>
      </c>
      <c r="O128" s="7"/>
      <c r="P128" s="7"/>
      <c r="Q128" s="23"/>
      <c r="R128" s="23"/>
      <c r="S128" s="35">
        <f t="shared" si="48"/>
        <v>1</v>
      </c>
      <c r="T128" s="50" t="str">
        <f t="shared" si="32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18:08:33-700',mode:absolute,to:'2016-12-18 20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8" s="52" t="str">
        <f t="shared" si="46"/>
        <v>N</v>
      </c>
      <c r="X128" s="177">
        <f t="shared" si="45"/>
        <v>1</v>
      </c>
      <c r="Y128" s="67">
        <f t="shared" si="34"/>
        <v>23.297699999999999</v>
      </c>
      <c r="Z128" s="67">
        <f t="shared" si="47"/>
        <v>1.61E-2</v>
      </c>
      <c r="AA128" s="67">
        <f t="shared" si="35"/>
        <v>23.281599999999997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6"/>
        <v>0218-18</v>
      </c>
      <c r="AE128" s="91" t="str">
        <f t="shared" si="37"/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AF128" s="88" t="str">
        <f t="shared" si="38"/>
        <v>"C:\Program Files (x86)\AstroGrep\AstroGrep.exe" /spath="%USERPROFILE%\AppData\Local\Temp\OnboardLogs" /stypes="app*4045*20161219*" /stext=" 02:.+((SYSTEM_STATE.+slice.+state.+changed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92" t="str">
        <f t="shared" si="28"/>
        <v>"%USERPROFILE%\Documents\GitHub\eaglep3\Utilities\RefineRTDCRunTimes.py" --tripid 218-18 --locoid 4045 --swversion DE.1.0.8.0 --startMP 204:232977 --initTime 2016-12-18T19:08:33 --startdatetime 2016-12-18T19:11:52 --delay 1 --endMP 204:161 --enddatetime 2016-12-18T19:57:36 --enforcementcount 0 &gt;&gt;C:\Users\stu\Documents\GitHub\eaglep3-reporting\EC\2016-12-18-refined-times.txt</v>
      </c>
      <c r="AI128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{"issue":{"subject":"","project_id":79,"tracker_id":40,"status_id":1,"priority_id":2,"assigned_to_id":23,"start_date":"2016-12-18","description":"","custom_fields":[{"id":1,"name":"Subdivision","value":"EC"},{"id":4,"name":"Milepost","value":"0.0161"},{"id":17,"name":"Train ID","value":"218-18"},{"id":16,"name":"Locomotive ID","value":"4045"},{"id":130,"name":"Impact","value":""},{"id":150,"name":"Time of Event (Mountain Time)","value":"19:57:36"},{"id":151,"name":"Denver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677</v>
      </c>
      <c r="B129" s="7">
        <v>4044</v>
      </c>
      <c r="C129" s="22" t="s">
        <v>205</v>
      </c>
      <c r="D129" s="22" t="s">
        <v>283</v>
      </c>
      <c r="E129" s="13">
        <v>42722.7653125</v>
      </c>
      <c r="F129" s="13">
        <v>42722.772048611114</v>
      </c>
      <c r="G129" s="7">
        <v>2</v>
      </c>
      <c r="H129" s="22" t="s">
        <v>326</v>
      </c>
      <c r="I129" s="13">
        <v>42722.797835648147</v>
      </c>
      <c r="J129" s="7">
        <v>0</v>
      </c>
      <c r="K129" s="109" t="str">
        <f t="shared" si="30"/>
        <v>4043/4044</v>
      </c>
      <c r="L129" s="22" t="str">
        <f>VLOOKUP(A129,'Trips&amp;Operators'!$C$1:$G$99999,5,FALSE)</f>
        <v>STAMBAUGH JAMES</v>
      </c>
      <c r="M129" s="6">
        <f t="shared" si="31"/>
        <v>2.5787037033296656E-2</v>
      </c>
      <c r="N129" s="7">
        <f t="shared" si="49"/>
        <v>37.133333327947184</v>
      </c>
      <c r="O129" s="7"/>
      <c r="P129" s="7"/>
      <c r="Q129" s="23"/>
      <c r="R129" s="23"/>
      <c r="S129" s="35">
        <f t="shared" si="48"/>
        <v>1</v>
      </c>
      <c r="T129" s="50" t="str">
        <f t="shared" si="32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17:22:03-700',mode:absolute,to:'2016-12-18 20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9" s="52" t="str">
        <f t="shared" si="46"/>
        <v>N</v>
      </c>
      <c r="X129" s="177">
        <f t="shared" si="45"/>
        <v>1</v>
      </c>
      <c r="Y129" s="67">
        <f t="shared" si="34"/>
        <v>4.7500000000000001E-2</v>
      </c>
      <c r="Z129" s="67">
        <f t="shared" si="47"/>
        <v>23.3306</v>
      </c>
      <c r="AA129" s="67">
        <f t="shared" si="35"/>
        <v>23.283100000000001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6"/>
        <v>0219-18</v>
      </c>
      <c r="AE129" s="91" t="str">
        <f t="shared" si="37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129" s="88" t="str">
        <f t="shared" si="38"/>
        <v>"C:\Program Files (x86)\AstroGrep\AstroGrep.exe" /spath="%USERPROFILE%\AppData\Local\Temp\OnboardLogs" /stypes="app*4044*20161219*" /stext=" 02:.+((SYSTEM_STATE.+slice.+state.+changed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92" t="str">
        <f t="shared" si="28"/>
        <v>"%USERPROFILE%\Documents\GitHub\eaglep3\Utilities\RefineRTDCRunTimes.py" --tripid 219-18 --locoid 4044 --swversion DE.1.0.8.0 --startMP 204:475 --initTime 2016-12-18T18:22:03 --startdatetime 2016-12-18T18:31:45 --delay 2 --endMP 204:233306 --enddatetime 2016-12-18T19:08:53 --enforcementcount 0 &gt;&gt;C:\Users\stu\Documents\GitHub\eaglep3-reporting\EC\2016-12-18-refined-times.txt</v>
      </c>
      <c r="AI129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{"issue":{"subject":"","project_id":79,"tracker_id":40,"status_id":1,"priority_id":2,"assigned_to_id":23,"start_date":"2016-12-18","description":"","custom_fields":[{"id":1,"name":"Subdivision","value":"EC"},{"id":4,"name":"Milepost","value":"23.3306"},{"id":17,"name":"Train ID","value":"219-18"},{"id":16,"name":"Locomotive ID","value":"4044"},{"id":130,"name":"Impact","value":""},{"id":150,"name":"Time of Event (Mountain Time)","value":"19:08:53"},{"id":151,"name":"Denver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687</v>
      </c>
      <c r="B130" s="7">
        <v>4043</v>
      </c>
      <c r="C130" s="22" t="s">
        <v>205</v>
      </c>
      <c r="D130" s="22" t="s">
        <v>260</v>
      </c>
      <c r="E130" s="13">
        <v>42722.803993055553</v>
      </c>
      <c r="F130" s="13">
        <v>42722.810277777775</v>
      </c>
      <c r="G130" s="7">
        <v>1</v>
      </c>
      <c r="H130" s="22" t="s">
        <v>225</v>
      </c>
      <c r="I130" s="13">
        <v>42722.836863425924</v>
      </c>
      <c r="J130" s="7">
        <v>0</v>
      </c>
      <c r="K130" s="109" t="str">
        <f t="shared" si="30"/>
        <v>4043/4044</v>
      </c>
      <c r="L130" s="22" t="str">
        <f>VLOOKUP(A130,'Trips&amp;Operators'!$C$1:$G$99999,5,FALSE)</f>
        <v>STAMBAUGH JAMES</v>
      </c>
      <c r="M130" s="6">
        <f t="shared" si="31"/>
        <v>2.658564814919373E-2</v>
      </c>
      <c r="N130" s="7">
        <f t="shared" si="49"/>
        <v>38.283333334838971</v>
      </c>
      <c r="O130" s="7"/>
      <c r="P130" s="7"/>
      <c r="Q130" s="23"/>
      <c r="R130" s="23"/>
      <c r="S130" s="35">
        <f t="shared" si="48"/>
        <v>1</v>
      </c>
      <c r="T130" s="50" t="str">
        <f t="shared" si="32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18:17:45-700',mode:absolute,to:'2016-12-18 21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0" s="52" t="str">
        <f t="shared" si="46"/>
        <v>N</v>
      </c>
      <c r="X130" s="177">
        <f t="shared" si="45"/>
        <v>1</v>
      </c>
      <c r="Y130" s="67">
        <f t="shared" si="34"/>
        <v>23.299399999999999</v>
      </c>
      <c r="Z130" s="67">
        <f t="shared" si="47"/>
        <v>1.41E-2</v>
      </c>
      <c r="AA130" s="67">
        <f t="shared" si="35"/>
        <v>23.285299999999999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6"/>
        <v>0220-18</v>
      </c>
      <c r="AE130" s="91" t="str">
        <f t="shared" si="37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130" s="88" t="str">
        <f t="shared" si="38"/>
        <v>"C:\Program Files (x86)\AstroGrep\AstroGrep.exe" /spath="%USERPROFILE%\AppData\Local\Temp\OnboardLogs" /stypes="app*4043*20161219*" /stext=" 03:.+((SYSTEM_STATE.+slice.+state.+changed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92" t="str">
        <f t="shared" si="28"/>
        <v>"%USERPROFILE%\Documents\GitHub\eaglep3\Utilities\RefineRTDCRunTimes.py" --tripid 220-18 --locoid 4043 --swversion DE.1.0.8.0 --startMP 204:232994 --initTime 2016-12-18T19:17:45 --startdatetime 2016-12-18T19:26:48 --delay 1 --endMP 204:141 --enddatetime 2016-12-18T20:05:05 --enforcementcount 0 &gt;&gt;C:\Users\stu\Documents\GitHub\eaglep3-reporting\EC\2016-12-18-refined-times.txt</v>
      </c>
      <c r="AI130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{"issue":{"subject":"","project_id":79,"tracker_id":40,"status_id":1,"priority_id":2,"assigned_to_id":23,"start_date":"2016-12-18","description":"","custom_fields":[{"id":1,"name":"Subdivision","value":"EC"},{"id":4,"name":"Milepost","value":"0.0141"},{"id":17,"name":"Train ID","value":"220-18"},{"id":16,"name":"Locomotive ID","value":"4043"},{"id":130,"name":"Impact","value":""},{"id":150,"name":"Time of Event (Mountain Time)","value":"20:05:05"},{"id":151,"name":"Denver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683</v>
      </c>
      <c r="B131" s="7">
        <v>4040</v>
      </c>
      <c r="C131" s="22" t="s">
        <v>205</v>
      </c>
      <c r="D131" s="22" t="s">
        <v>251</v>
      </c>
      <c r="E131" s="13">
        <v>42722.786458333336</v>
      </c>
      <c r="F131" s="13">
        <v>42722.792349537034</v>
      </c>
      <c r="G131" s="7">
        <v>4</v>
      </c>
      <c r="H131" s="22" t="s">
        <v>469</v>
      </c>
      <c r="I131" s="13">
        <v>42722.817442129628</v>
      </c>
      <c r="J131" s="7">
        <v>0</v>
      </c>
      <c r="K131" s="109" t="str">
        <f t="shared" si="30"/>
        <v>4039/4040</v>
      </c>
      <c r="L131" s="22" t="str">
        <f>VLOOKUP(A131,'Trips&amp;Operators'!$C$1:$G$99999,5,FALSE)</f>
        <v>SAFIEF AEIMEN</v>
      </c>
      <c r="M131" s="6">
        <f t="shared" si="31"/>
        <v>2.5092592593864538E-2</v>
      </c>
      <c r="N131" s="7">
        <f t="shared" si="49"/>
        <v>36.133333335164934</v>
      </c>
      <c r="O131" s="7"/>
      <c r="P131" s="7"/>
      <c r="Q131" s="23"/>
      <c r="R131" s="23"/>
      <c r="S131" s="35">
        <f t="shared" si="48"/>
        <v>1</v>
      </c>
      <c r="T131" s="50" t="str">
        <f t="shared" si="32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17:52:30-700',mode:absolute,to:'2016-12-18 20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1" s="52" t="str">
        <f t="shared" si="46"/>
        <v>N</v>
      </c>
      <c r="X131" s="177">
        <f t="shared" si="45"/>
        <v>1</v>
      </c>
      <c r="Y131" s="67">
        <f t="shared" si="34"/>
        <v>4.4600000000000001E-2</v>
      </c>
      <c r="Z131" s="67">
        <f t="shared" si="47"/>
        <v>23.331</v>
      </c>
      <c r="AA131" s="67">
        <f t="shared" si="35"/>
        <v>23.2864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6"/>
        <v>0221-18</v>
      </c>
      <c r="AE131" s="91" t="str">
        <f t="shared" si="37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131" s="88" t="str">
        <f t="shared" si="38"/>
        <v>"C:\Program Files (x86)\AstroGrep\AstroGrep.exe" /spath="%USERPROFILE%\AppData\Local\Temp\OnboardLogs" /stypes="app*4040*20161219*" /stext=" 02:.+((SYSTEM_STATE.+slice.+state.+changed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92" t="str">
        <f t="shared" si="28"/>
        <v>"%USERPROFILE%\Documents\GitHub\eaglep3\Utilities\RefineRTDCRunTimes.py" --tripid 221-18 --locoid 4040 --swversion DE.1.0.8.0 --startMP 204:446 --initTime 2016-12-18T18:52:30 --startdatetime 2016-12-18T19:00:59 --delay 4 --endMP 204:233310 --enddatetime 2016-12-18T19:37:07 --enforcementcount 0 &gt;&gt;C:\Users\stu\Documents\GitHub\eaglep3-reporting\EC\2016-12-18-refined-times.txt</v>
      </c>
      <c r="AI131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{"issue":{"subject":"","project_id":79,"tracker_id":40,"status_id":1,"priority_id":2,"assigned_to_id":23,"start_date":"2016-12-18","description":"","custom_fields":[{"id":1,"name":"Subdivision","value":"EC"},{"id":4,"name":"Milepost","value":"23.331"},{"id":17,"name":"Train ID","value":"221-18"},{"id":16,"name":"Locomotive ID","value":"4040"},{"id":130,"name":"Impact","value":""},{"id":150,"name":"Time of Event (Mountain Time)","value":"19:37:07"},{"id":151,"name":"Denver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691</v>
      </c>
      <c r="B132" s="7">
        <v>4039</v>
      </c>
      <c r="C132" s="22" t="s">
        <v>205</v>
      </c>
      <c r="D132" s="22" t="s">
        <v>288</v>
      </c>
      <c r="E132" s="13">
        <v>42722.820717592593</v>
      </c>
      <c r="F132" s="13">
        <v>42722.830914351849</v>
      </c>
      <c r="G132" s="7">
        <v>2</v>
      </c>
      <c r="H132" s="22" t="s">
        <v>274</v>
      </c>
      <c r="I132" s="13">
        <v>42722.858854166669</v>
      </c>
      <c r="J132" s="7">
        <v>0</v>
      </c>
      <c r="K132" s="109" t="str">
        <f t="shared" si="30"/>
        <v>4039/4040</v>
      </c>
      <c r="L132" s="22" t="str">
        <f>VLOOKUP(A132,'Trips&amp;Operators'!$C$1:$G$99999,5,FALSE)</f>
        <v>SAFIEF AEIMEN</v>
      </c>
      <c r="M132" s="6">
        <f t="shared" si="31"/>
        <v>2.7939814819546882E-2</v>
      </c>
      <c r="N132" s="7">
        <f t="shared" si="49"/>
        <v>40.23333334014751</v>
      </c>
      <c r="O132" s="7"/>
      <c r="P132" s="7"/>
      <c r="Q132" s="23"/>
      <c r="R132" s="23"/>
      <c r="S132" s="35">
        <f t="shared" si="48"/>
        <v>1</v>
      </c>
      <c r="T132" s="50" t="str">
        <f t="shared" si="32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18:41:50-700',mode:absolute,to:'2016-12-18 21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2" s="52" t="str">
        <f t="shared" si="46"/>
        <v>N</v>
      </c>
      <c r="X132" s="177">
        <f t="shared" si="45"/>
        <v>1</v>
      </c>
      <c r="Y132" s="67">
        <f t="shared" si="34"/>
        <v>23.298500000000001</v>
      </c>
      <c r="Z132" s="67">
        <f t="shared" si="47"/>
        <v>1.6E-2</v>
      </c>
      <c r="AA132" s="67">
        <f t="shared" si="35"/>
        <v>23.282500000000002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6"/>
        <v>0222-18</v>
      </c>
      <c r="AE132" s="91" t="str">
        <f t="shared" si="37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132" s="88" t="str">
        <f t="shared" si="38"/>
        <v>"C:\Program Files (x86)\AstroGrep\AstroGrep.exe" /spath="%USERPROFILE%\AppData\Local\Temp\OnboardLogs" /stypes="app*4039*20161219*" /stext=" 03:.+((SYSTEM_STATE.+slice.+state.+changed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92" t="str">
        <f t="shared" si="28"/>
        <v>"%USERPROFILE%\Documents\GitHub\eaglep3\Utilities\RefineRTDCRunTimes.py" --tripid 222-18 --locoid 4039 --swversion DE.1.0.8.0 --startMP 204:232985 --initTime 2016-12-18T19:41:50 --startdatetime 2016-12-18T19:56:31 --delay 2 --endMP 204:160 --enddatetime 2016-12-18T20:36:45 --enforcementcount 0 &gt;&gt;C:\Users\stu\Documents\GitHub\eaglep3-reporting\EC\2016-12-18-refined-times.txt</v>
      </c>
      <c r="AI132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{"issue":{"subject":"","project_id":79,"tracker_id":40,"status_id":1,"priority_id":2,"assigned_to_id":23,"start_date":"2016-12-18","description":"","custom_fields":[{"id":1,"name":"Subdivision","value":"EC"},{"id":4,"name":"Milepost","value":"0.016"},{"id":17,"name":"Train ID","value":"222-18"},{"id":16,"name":"Locomotive ID","value":"4039"},{"id":130,"name":"Impact","value":""},{"id":150,"name":"Time of Event (Mountain Time)","value":"20:36:45"},{"id":151,"name":"Denver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689</v>
      </c>
      <c r="B133" s="7">
        <v>4003</v>
      </c>
      <c r="C133" s="22" t="s">
        <v>205</v>
      </c>
      <c r="D133" s="22" t="s">
        <v>889</v>
      </c>
      <c r="E133" s="13">
        <v>42722.813738425924</v>
      </c>
      <c r="F133" s="13">
        <v>42722.815254629626</v>
      </c>
      <c r="G133" s="7">
        <v>1</v>
      </c>
      <c r="H133" s="22" t="s">
        <v>890</v>
      </c>
      <c r="I133" s="13">
        <v>42722.843414351853</v>
      </c>
      <c r="J133" s="7">
        <v>0</v>
      </c>
      <c r="K133" s="109" t="str">
        <f t="shared" si="30"/>
        <v>4003/4004</v>
      </c>
      <c r="L133" s="22" t="str">
        <f>VLOOKUP(A133,'Trips&amp;Operators'!$C$1:$G$99999,5,FALSE)</f>
        <v>NEWELL JAMES</v>
      </c>
      <c r="M133" s="6">
        <f t="shared" si="31"/>
        <v>2.8159722227428574E-2</v>
      </c>
      <c r="N133" s="7">
        <f t="shared" si="49"/>
        <v>40.550000007497147</v>
      </c>
      <c r="O133" s="7"/>
      <c r="P133" s="7"/>
      <c r="Q133" s="23"/>
      <c r="R133" s="23"/>
      <c r="S133" s="35">
        <f t="shared" si="48"/>
        <v>1</v>
      </c>
      <c r="T133" s="50" t="str">
        <f t="shared" si="32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18:31:47-700',mode:absolute,to:'2016-12-18 21:14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3" s="52" t="str">
        <f t="shared" si="46"/>
        <v>N</v>
      </c>
      <c r="X133" s="177">
        <f t="shared" si="45"/>
        <v>1</v>
      </c>
      <c r="Y133" s="67">
        <f t="shared" si="34"/>
        <v>4.7800000000000002E-2</v>
      </c>
      <c r="Z133" s="67">
        <f t="shared" si="47"/>
        <v>23.332899999999999</v>
      </c>
      <c r="AA133" s="67">
        <f t="shared" si="35"/>
        <v>23.2851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6"/>
        <v>0223-18</v>
      </c>
      <c r="AE133" s="91" t="str">
        <f t="shared" si="37"/>
        <v>aws s3 cp s3://rtdc.mdm.uploadarchive.raw/RTDC4003/ "%USERPROFILE%\AppData\Local\Temp\OnboardLogs"\RTDC4003\2016-12-18 --exclude "*" --recursive --include "*20161218*" &amp; "%USERPROFILE%\Documents\GitHub\mrs-test-scripts\Headless Mode &amp; Sideloading\WalkAndUnGZ.bat" "%USERPROFILE%\AppData\Local\Temp\OnboardLogs"\RTDC4003\2016-12-18 &amp; aws s3 cp s3://rtdc.mdm.uploadarchive.raw/RTDC4003/ "%USERPROFILE%\AppData\Local\Temp\OnboardLogs"\RTDC4003\2016-12-19 --exclude "*" --recursive --include "*20161219*" &amp; "%USERPROFILE%\Documents\GitHub\mrs-test-scripts\Headless Mode &amp; Sideloading\WalkAndUnGZ.bat" "%USERPROFILE%\AppData\Local\Temp\OnboardLogs"\RTDC4003\2016-12-19</v>
      </c>
      <c r="AF133" s="88" t="str">
        <f t="shared" si="38"/>
        <v>"C:\Program Files (x86)\AstroGrep\AstroGrep.exe" /spath="%USERPROFILE%\AppData\Local\Temp\OnboardLogs" /stypes="app*4003*20161219*" /stext=" 03:.+((SYSTEM_STATE.+slice.+state.+changed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92" t="str">
        <f t="shared" si="28"/>
        <v>"%USERPROFILE%\Documents\GitHub\eaglep3\Utilities\RefineRTDCRunTimes.py" --tripid 223-18 --locoid 4003 --swversion DE.1.0.8.0 --startMP 204:478 --initTime 2016-12-18T19:31:47 --startdatetime 2016-12-18T19:33:58 --delay 1 --endMP 204:233329 --enddatetime 2016-12-18T20:14:31 --enforcementcount 0 &gt;&gt;C:\Users\stu\Documents\GitHub\eaglep3-reporting\EC\2016-12-18-refined-times.txt</v>
      </c>
      <c r="AI133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{"issue":{"subject":"","project_id":79,"tracker_id":40,"status_id":1,"priority_id":2,"assigned_to_id":23,"start_date":"2016-12-18","description":"","custom_fields":[{"id":1,"name":"Subdivision","value":"EC"},{"id":4,"name":"Milepost","value":"23.3329"},{"id":17,"name":"Train ID","value":"223-18"},{"id":16,"name":"Locomotive ID","value":"4003"},{"id":130,"name":"Impact","value":""},{"id":150,"name":"Time of Event (Mountain Time)","value":"20:14:31"},{"id":151,"name":"Denver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538</v>
      </c>
      <c r="B134" s="7">
        <v>4004</v>
      </c>
      <c r="C134" s="22" t="s">
        <v>205</v>
      </c>
      <c r="D134" s="22" t="s">
        <v>321</v>
      </c>
      <c r="E134" s="13">
        <v>42722.847893518519</v>
      </c>
      <c r="F134" s="13">
        <v>42722.849270833336</v>
      </c>
      <c r="G134" s="7">
        <v>1</v>
      </c>
      <c r="H134" s="22" t="s">
        <v>891</v>
      </c>
      <c r="I134" s="13">
        <v>42722.86954861111</v>
      </c>
      <c r="J134" s="7">
        <v>0</v>
      </c>
      <c r="K134" s="109" t="str">
        <f t="shared" si="30"/>
        <v>4003/4004</v>
      </c>
      <c r="L134" s="22" t="str">
        <f>VLOOKUP(A134,'Trips&amp;Operators'!$C$1:$G$99999,5,FALSE)</f>
        <v>NEWELL JAMES</v>
      </c>
      <c r="M134" s="6">
        <f t="shared" si="31"/>
        <v>2.0277777774026617E-2</v>
      </c>
      <c r="N134" s="7"/>
      <c r="O134" s="7"/>
      <c r="P134" s="7">
        <f>24*60*SUM($M134:$M135)</f>
        <v>55.29999999795109</v>
      </c>
      <c r="Q134" s="23"/>
      <c r="R134" s="23" t="s">
        <v>964</v>
      </c>
      <c r="S134" s="35">
        <f>SUM(U134:U135)/IF(AG134="EC",12,1)</f>
        <v>0.91666666666666663</v>
      </c>
      <c r="T134" s="50" t="str">
        <f t="shared" si="32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</v>
      </c>
      <c r="V134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19:20:58-700',mode:absolute,to:'2016-12-18 21:52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4" s="52" t="str">
        <f t="shared" si="46"/>
        <v>Y</v>
      </c>
      <c r="X134" s="177">
        <f t="shared" si="45"/>
        <v>1</v>
      </c>
      <c r="Y134" s="67">
        <f t="shared" si="34"/>
        <v>23.3</v>
      </c>
      <c r="Z134" s="67">
        <f t="shared" si="47"/>
        <v>10.711499999999999</v>
      </c>
      <c r="AA134" s="67">
        <f t="shared" si="35"/>
        <v>12.588500000000002</v>
      </c>
      <c r="AB134" s="64" t="str">
        <f>VLOOKUP(A134,Enforcements!$C$7:$K$19,8,0)</f>
        <v>Speed (6)</v>
      </c>
      <c r="AC134" s="60" t="str">
        <f>VLOOKUP(A134,Enforcements!$C$7:$E$19,3,0)</f>
        <v>PERMANENT SPEED RESTRICTION</v>
      </c>
      <c r="AD134" s="61" t="str">
        <f t="shared" si="36"/>
        <v>0224-18</v>
      </c>
      <c r="AE134" s="91" t="str">
        <f t="shared" si="37"/>
        <v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v>
      </c>
      <c r="AF134" s="88" t="str">
        <f t="shared" si="38"/>
        <v>"C:\Program Files (x86)\AstroGrep\AstroGrep.exe" /spath="%USERPROFILE%\AppData\Local\Temp\OnboardLogs" /stypes="app*4004*20161219*" /stext=" 03:.+((SYSTEM_STATE.+slice.+state.+changed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92" t="str">
        <f t="shared" si="28"/>
        <v>"%USERPROFILE%\Documents\GitHub\eaglep3\Utilities\RefineRTDCRunTimes.py" --tripid 224-18 --locoid 4004 --swversion DE.1.0.8.0 --startMP 204:233000 --initTime 2016-12-18T20:20:58 --startdatetime 2016-12-18T20:22:57 --delay 1 --endMP 204:107115 --enddatetime 2016-12-18T20:52:09 --enforcementcount 0 &gt;&gt;C:\Users\stu\Documents\GitHub\eaglep3-reporting\EC\2016-12-18-refined-times.txt</v>
      </c>
      <c r="AI134" s="119" t="str">
        <f t="shared" si="29"/>
        <v>echo {"issue":{"subject":"Sable 4S slow to clear - XING dependency","project_id":79,"tracker_id":40,"status_id":1,"priority_id":2,"assigned_to_id":23,"start_date":"2016-12-18","description":"","custom_fields":[{"id":1,"name":"Subdivision","value":"EC"},{"id":4,"name":"Milepost","value":"10.7115"},{"id":17,"name":"Train ID","value":"224-18"},{"id":16,"name":"Locomotive ID","value":"4004"},{"id":130,"name":"Impact","value":""},{"id":150,"name":"Time of Event (Mountain Time)","value":"20:52:09"},{"id":151,"name":"Denver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538</v>
      </c>
      <c r="B135" s="7">
        <v>4004</v>
      </c>
      <c r="C135" s="22" t="s">
        <v>205</v>
      </c>
      <c r="D135" s="22" t="s">
        <v>892</v>
      </c>
      <c r="E135" s="13">
        <v>42722.873043981483</v>
      </c>
      <c r="F135" s="13">
        <v>42722.873749999999</v>
      </c>
      <c r="G135" s="7">
        <v>1</v>
      </c>
      <c r="H135" s="22" t="s">
        <v>224</v>
      </c>
      <c r="I135" s="13">
        <v>42722.891875000001</v>
      </c>
      <c r="J135" s="7">
        <v>1</v>
      </c>
      <c r="K135" s="109" t="str">
        <f t="shared" si="30"/>
        <v>4003/4004</v>
      </c>
      <c r="L135" s="22" t="str">
        <f>VLOOKUP(A135,'Trips&amp;Operators'!$C$1:$G$99999,5,FALSE)</f>
        <v>NEWELL JAMES</v>
      </c>
      <c r="M135" s="6">
        <f t="shared" si="31"/>
        <v>1.8125000002328306E-2</v>
      </c>
      <c r="N135" s="7"/>
      <c r="O135" s="7"/>
      <c r="P135" s="7"/>
      <c r="Q135" s="23"/>
      <c r="R135" s="23"/>
      <c r="S135" s="35"/>
      <c r="T135" s="50" t="str">
        <f t="shared" si="32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10</v>
      </c>
      <c r="V135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19:57:11-700',mode:absolute,to:'2016-12-18 22:24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5" s="52" t="str">
        <f t="shared" si="46"/>
        <v>Y</v>
      </c>
      <c r="X135" s="177">
        <f t="shared" si="45"/>
        <v>0</v>
      </c>
      <c r="Y135" s="67">
        <f t="shared" si="34"/>
        <v>8.6353000000000009</v>
      </c>
      <c r="Z135" s="67">
        <f t="shared" si="47"/>
        <v>1.54E-2</v>
      </c>
      <c r="AA135" s="67">
        <f t="shared" si="35"/>
        <v>8.6199000000000012</v>
      </c>
      <c r="AB135" s="64" t="str">
        <f>VLOOKUP(A135,Enforcements!$C$7:$K$19,8,0)</f>
        <v>Speed (6)</v>
      </c>
      <c r="AC135" s="60" t="str">
        <f>VLOOKUP(A135,Enforcements!$C$7:$E$19,3,0)</f>
        <v>PERMANENT SPEED RESTRICTION</v>
      </c>
      <c r="AD135" s="61" t="str">
        <f t="shared" si="36"/>
        <v>0224-18</v>
      </c>
      <c r="AE135" s="91" t="str">
        <f t="shared" si="37"/>
        <v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v>
      </c>
      <c r="AF135" s="88" t="str">
        <f t="shared" si="38"/>
        <v>"C:\Program Files (x86)\AstroGrep\AstroGrep.exe" /spath="%USERPROFILE%\AppData\Local\Temp\OnboardLogs" /stypes="app*4004*20161219*" /stext=" 04:.+((SYSTEM_STATE.+slice.+state.+changed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92" t="str">
        <f t="shared" si="28"/>
        <v>"%USERPROFILE%\Documents\GitHub\eaglep3\Utilities\RefineRTDCRunTimes.py" --tripid 224-18 --locoid 4004 --swversion DE.1.0.8.0 --startMP 204:86353 --initTime 2016-12-18T20:57:11 --startdatetime 2016-12-18T20:58:12 --delay 1 --endMP 204:154 --enddatetime 2016-12-18T21:24:18 --enforcementcount 1 &gt;&gt;C:\Users\stu\Documents\GitHub\eaglep3-reporting\EC\2016-12-18-refined-times.txt</v>
      </c>
      <c r="AI135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{"issue":{"subject":"","project_id":79,"tracker_id":40,"status_id":1,"priority_id":2,"assigned_to_id":23,"start_date":"2016-12-18","description":"","custom_fields":[{"id":1,"name":"Subdivision","value":"EC"},{"id":4,"name":"Milepost","value":"0.0154"},{"id":17,"name":"Train ID","value":"224-18"},{"id":16,"name":"Locomotive ID","value":"4004"},{"id":130,"name":"Impact","value":""},{"id":150,"name":"Time of Event (Mountain Time)","value":"21:24:18"},{"id":151,"name":"Denver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693</v>
      </c>
      <c r="B136" s="7">
        <v>4046</v>
      </c>
      <c r="C136" s="22" t="s">
        <v>205</v>
      </c>
      <c r="D136" s="22" t="s">
        <v>285</v>
      </c>
      <c r="E136" s="13">
        <v>42722.833032407405</v>
      </c>
      <c r="F136" s="13">
        <v>42722.834641203706</v>
      </c>
      <c r="G136" s="7">
        <v>1</v>
      </c>
      <c r="H136" s="22" t="s">
        <v>316</v>
      </c>
      <c r="I136" s="13">
        <v>42722.862534722219</v>
      </c>
      <c r="J136" s="7">
        <v>0</v>
      </c>
      <c r="K136" s="109" t="str">
        <f t="shared" si="30"/>
        <v>4045/4046</v>
      </c>
      <c r="L136" s="22" t="str">
        <f>VLOOKUP(A136,'Trips&amp;Operators'!$C$1:$G$99999,5,FALSE)</f>
        <v>SMITH MICHAEL</v>
      </c>
      <c r="M136" s="6">
        <f t="shared" si="31"/>
        <v>2.7893518512428273E-2</v>
      </c>
      <c r="N136" s="7">
        <f t="shared" ref="N136:N157" si="50">24*60*SUM($M136:$M136)</f>
        <v>40.166666657896712</v>
      </c>
      <c r="O136" s="7"/>
      <c r="P136" s="7"/>
      <c r="Q136" s="23"/>
      <c r="R136" s="23"/>
      <c r="S136" s="35">
        <f t="shared" ref="S136:S167" si="51">SUM(U136:U136)/IF(AG136="EC",12,1)</f>
        <v>1</v>
      </c>
      <c r="T136" s="50" t="str">
        <f t="shared" si="32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18:59:34-700',mode:absolute,to:'2016-12-18 21:42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52" t="str">
        <f t="shared" si="46"/>
        <v>N</v>
      </c>
      <c r="X136" s="177">
        <f t="shared" si="45"/>
        <v>1</v>
      </c>
      <c r="Y136" s="67">
        <f t="shared" si="34"/>
        <v>4.8599999999999997E-2</v>
      </c>
      <c r="Z136" s="67">
        <f t="shared" si="47"/>
        <v>23.328900000000001</v>
      </c>
      <c r="AA136" s="67">
        <f t="shared" si="35"/>
        <v>23.2803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6"/>
        <v>0225-18</v>
      </c>
      <c r="AE136" s="91" t="str">
        <f t="shared" si="37"/>
        <v>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 &amp; aws s3 cp s3://rtdc.mdm.uploadarchive.raw/RTDC4046/ "%USERPROFILE%\AppData\Local\Temp\OnboardLogs"\RTDC4046\2016-12-19 --exclude "*" --recursive --include "*20161219*" &amp; "%USERPROFILE%\Documents\GitHub\mrs-test-scripts\Headless Mode &amp; Sideloading\WalkAndUnGZ.bat" "%USERPROFILE%\AppData\Local\Temp\OnboardLogs"\RTDC4046\2016-12-19</v>
      </c>
      <c r="AF136" s="88" t="str">
        <f t="shared" si="38"/>
        <v>"C:\Program Files (x86)\AstroGrep\AstroGrep.exe" /spath="%USERPROFILE%\AppData\Local\Temp\OnboardLogs" /stypes="app*4046*20161219*" /stext=" 03:.+((SYSTEM_STATE.+slice.+state.+changed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92" t="str">
        <f t="shared" si="28"/>
        <v>"%USERPROFILE%\Documents\GitHub\eaglep3\Utilities\RefineRTDCRunTimes.py" --tripid 225-18 --locoid 4046 --swversion DE.1.0.8.0 --startMP 204:486 --initTime 2016-12-18T19:59:34 --startdatetime 2016-12-18T20:01:53 --delay 1 --endMP 204:233289 --enddatetime 2016-12-18T20:42:03 --enforcementcount 0 &gt;&gt;C:\Users\stu\Documents\GitHub\eaglep3-reporting\EC\2016-12-18-refined-times.txt</v>
      </c>
      <c r="AI136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{"issue":{"subject":"","project_id":79,"tracker_id":40,"status_id":1,"priority_id":2,"assigned_to_id":23,"start_date":"2016-12-18","description":"","custom_fields":[{"id":1,"name":"Subdivision","value":"EC"},{"id":4,"name":"Milepost","value":"23.3289"},{"id":17,"name":"Train ID","value":"225-18"},{"id":16,"name":"Locomotive ID","value":"4046"},{"id":130,"name":"Impact","value":""},{"id":150,"name":"Time of Event (Mountain Time)","value":"20:42:03"},{"id":151,"name":"Denver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700</v>
      </c>
      <c r="B137" s="7">
        <v>4045</v>
      </c>
      <c r="C137" s="22" t="s">
        <v>205</v>
      </c>
      <c r="D137" s="22" t="s">
        <v>303</v>
      </c>
      <c r="E137" s="13">
        <v>42722.868043981478</v>
      </c>
      <c r="F137" s="13">
        <v>42722.87290509259</v>
      </c>
      <c r="G137" s="7">
        <v>1</v>
      </c>
      <c r="H137" s="22" t="s">
        <v>273</v>
      </c>
      <c r="I137" s="13">
        <v>42722.903645833336</v>
      </c>
      <c r="J137" s="7">
        <v>0</v>
      </c>
      <c r="K137" s="109" t="str">
        <f t="shared" si="30"/>
        <v>4045/4046</v>
      </c>
      <c r="L137" s="22" t="str">
        <f>VLOOKUP(A137,'Trips&amp;Operators'!$C$1:$G$99999,5,FALSE)</f>
        <v>SMITH MICHAEL</v>
      </c>
      <c r="M137" s="6">
        <f t="shared" si="31"/>
        <v>3.0740740745386574E-2</v>
      </c>
      <c r="N137" s="7">
        <f t="shared" si="50"/>
        <v>44.266666673356667</v>
      </c>
      <c r="O137" s="7"/>
      <c r="P137" s="7"/>
      <c r="Q137" s="23"/>
      <c r="R137" s="23"/>
      <c r="S137" s="35">
        <f t="shared" si="51"/>
        <v>1</v>
      </c>
      <c r="T137" s="50" t="str">
        <f t="shared" si="32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19:49:59-700',mode:absolute,to:'2016-12-18 22:41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52" t="str">
        <f t="shared" si="46"/>
        <v>N</v>
      </c>
      <c r="X137" s="177">
        <f t="shared" si="45"/>
        <v>1</v>
      </c>
      <c r="Y137" s="67">
        <f t="shared" si="34"/>
        <v>23.2974</v>
      </c>
      <c r="Z137" s="67">
        <f t="shared" si="47"/>
        <v>1.61E-2</v>
      </c>
      <c r="AA137" s="67">
        <f t="shared" si="35"/>
        <v>23.281299999999998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6"/>
        <v>0226-18</v>
      </c>
      <c r="AE137" s="91" t="str">
        <f t="shared" si="37"/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AF137" s="88" t="str">
        <f t="shared" si="38"/>
        <v>"C:\Program Files (x86)\AstroGrep\AstroGrep.exe" /spath="%USERPROFILE%\AppData\Local\Temp\OnboardLogs" /stypes="app*4045*20161219*" /stext=" 04:.+((SYSTEM_STATE.+slice.+state.+changed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92" t="str">
        <f t="shared" si="28"/>
        <v>"%USERPROFILE%\Documents\GitHub\eaglep3\Utilities\RefineRTDCRunTimes.py" --tripid 226-18 --locoid 4045 --swversion DE.1.0.8.0 --startMP 204:232974 --initTime 2016-12-18T20:49:59 --startdatetime 2016-12-18T20:56:59 --delay 1 --endMP 204:161 --enddatetime 2016-12-18T21:41:15 --enforcementcount 0 &gt;&gt;C:\Users\stu\Documents\GitHub\eaglep3-reporting\EC\2016-12-18-refined-times.txt</v>
      </c>
      <c r="AI137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{"issue":{"subject":"","project_id":79,"tracker_id":40,"status_id":1,"priority_id":2,"assigned_to_id":23,"start_date":"2016-12-18","description":"","custom_fields":[{"id":1,"name":"Subdivision","value":"EC"},{"id":4,"name":"Milepost","value":"0.0161"},{"id":17,"name":"Train ID","value":"226-18"},{"id":16,"name":"Locomotive ID","value":"4045"},{"id":130,"name":"Impact","value":""},{"id":150,"name":"Time of Event (Mountain Time)","value":"21:41:15"},{"id":151,"name":"Denver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695</v>
      </c>
      <c r="B138" s="7">
        <v>4044</v>
      </c>
      <c r="C138" s="22" t="s">
        <v>205</v>
      </c>
      <c r="D138" s="22" t="s">
        <v>193</v>
      </c>
      <c r="E138" s="13">
        <v>42722.838518518518</v>
      </c>
      <c r="F138" s="13">
        <v>42722.854710648149</v>
      </c>
      <c r="G138" s="7">
        <v>1</v>
      </c>
      <c r="H138" s="22" t="s">
        <v>318</v>
      </c>
      <c r="I138" s="13">
        <v>42722.881064814814</v>
      </c>
      <c r="J138" s="7">
        <v>0</v>
      </c>
      <c r="K138" s="109" t="str">
        <f t="shared" si="30"/>
        <v>4043/4044</v>
      </c>
      <c r="L138" s="22" t="str">
        <f>VLOOKUP(A138,'Trips&amp;Operators'!$C$1:$G$99999,5,FALSE)</f>
        <v>STAMBAUGH JAMES</v>
      </c>
      <c r="M138" s="6">
        <f t="shared" si="31"/>
        <v>2.6354166664532386E-2</v>
      </c>
      <c r="N138" s="7">
        <f t="shared" si="50"/>
        <v>37.949999996926636</v>
      </c>
      <c r="O138" s="7"/>
      <c r="P138" s="7"/>
      <c r="Q138" s="23"/>
      <c r="R138" s="23"/>
      <c r="S138" s="35">
        <f t="shared" si="51"/>
        <v>1</v>
      </c>
      <c r="T138" s="50" t="str">
        <f t="shared" si="32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19:07:28-700',mode:absolute,to:'2016-12-18 22:08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8" s="52" t="str">
        <f t="shared" si="46"/>
        <v>N</v>
      </c>
      <c r="X138" s="177">
        <f t="shared" si="45"/>
        <v>1</v>
      </c>
      <c r="Y138" s="67">
        <f t="shared" si="34"/>
        <v>4.4699999999999997E-2</v>
      </c>
      <c r="Z138" s="67">
        <f t="shared" si="47"/>
        <v>23.333200000000001</v>
      </c>
      <c r="AA138" s="67">
        <f t="shared" si="35"/>
        <v>23.288500000000003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6"/>
        <v>0227-18</v>
      </c>
      <c r="AE138" s="91" t="str">
        <f t="shared" si="37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138" s="88" t="str">
        <f t="shared" si="38"/>
        <v>"C:\Program Files (x86)\AstroGrep\AstroGrep.exe" /spath="%USERPROFILE%\AppData\Local\Temp\OnboardLogs" /stypes="app*4044*20161219*" /stext=" 04:.+((SYSTEM_STATE.+slice.+state.+changed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92" t="str">
        <f t="shared" si="28"/>
        <v>"%USERPROFILE%\Documents\GitHub\eaglep3\Utilities\RefineRTDCRunTimes.py" --tripid 227-18 --locoid 4044 --swversion DE.1.0.8.0 --startMP 204:447 --initTime 2016-12-18T20:07:28 --startdatetime 2016-12-18T20:30:47 --delay 1 --endMP 204:233332 --enddatetime 2016-12-18T21:08:44 --enforcementcount 0 &gt;&gt;C:\Users\stu\Documents\GitHub\eaglep3-reporting\EC\2016-12-18-refined-times.txt</v>
      </c>
      <c r="AI138" s="119" t="str">
        <f t="shared" si="29"/>
        <v>echo {"issue":{"subject":"","project_id":79,"tracker_id":40,"status_id":1,"priority_id":2,"assigned_to_id":23,"start_date":"2016-12-18","description":"","custom_fields":[{"id":1,"name":"Subdivision","value":"EC"},{"id":4,"name":"Milepost","value":"23.3332"},{"id":17,"name":"Train ID","value":"227-18"},{"id":16,"name":"Locomotive ID","value":"4044"},{"id":130,"name":"Impact","value":""},{"id":150,"name":"Time of Event (Mountain Time)","value":"21:08:44"},{"id":151,"name":"Denver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702</v>
      </c>
      <c r="B139" s="7">
        <v>4043</v>
      </c>
      <c r="C139" s="22" t="s">
        <v>205</v>
      </c>
      <c r="D139" s="22" t="s">
        <v>477</v>
      </c>
      <c r="E139" s="13">
        <v>42722.889907407407</v>
      </c>
      <c r="F139" s="13">
        <v>42722.893437500003</v>
      </c>
      <c r="G139" s="7">
        <v>1</v>
      </c>
      <c r="H139" s="22" t="s">
        <v>466</v>
      </c>
      <c r="I139" s="13">
        <v>42722.920856481483</v>
      </c>
      <c r="J139" s="7">
        <v>0</v>
      </c>
      <c r="K139" s="109" t="str">
        <f t="shared" si="30"/>
        <v>4043/4044</v>
      </c>
      <c r="L139" s="22" t="str">
        <f>VLOOKUP(A139,'Trips&amp;Operators'!$C$1:$G$99999,5,FALSE)</f>
        <v>STAMBAUGH JAMES</v>
      </c>
      <c r="M139" s="6">
        <f t="shared" si="31"/>
        <v>2.7418981480877846E-2</v>
      </c>
      <c r="N139" s="7">
        <f t="shared" si="50"/>
        <v>39.483333332464099</v>
      </c>
      <c r="O139" s="7"/>
      <c r="P139" s="7"/>
      <c r="Q139" s="23"/>
      <c r="R139" s="23"/>
      <c r="S139" s="35">
        <f t="shared" si="51"/>
        <v>1</v>
      </c>
      <c r="T139" s="50" t="str">
        <f t="shared" si="32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20:21:28-700',mode:absolute,to:'2016-12-18 23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9" s="52" t="str">
        <f t="shared" si="46"/>
        <v>N</v>
      </c>
      <c r="X139" s="177">
        <f t="shared" si="45"/>
        <v>1</v>
      </c>
      <c r="Y139" s="67">
        <f t="shared" si="34"/>
        <v>23.301300000000001</v>
      </c>
      <c r="Z139" s="67">
        <f t="shared" si="47"/>
        <v>1.21E-2</v>
      </c>
      <c r="AA139" s="67">
        <f t="shared" si="35"/>
        <v>23.289200000000001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6"/>
        <v>0228-18</v>
      </c>
      <c r="AE139" s="91" t="str">
        <f t="shared" si="37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139" s="88" t="str">
        <f t="shared" si="38"/>
        <v>"C:\Program Files (x86)\AstroGrep\AstroGrep.exe" /spath="%USERPROFILE%\AppData\Local\Temp\OnboardLogs" /stypes="app*4043*20161219*" /stext=" 05:.+((SYSTEM_STATE.+slice.+state.+changed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92" t="str">
        <f t="shared" ref="AH139:AH201" si="52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228-18 --locoid 4043 --swversion DE.1.0.8.0 --startMP 204:233013 --initTime 2016-12-18T21:21:28 --startdatetime 2016-12-18T21:26:33 --delay 1 --endMP 204:121 --enddatetime 2016-12-18T22:06:02 --enforcementcount 0 &gt;&gt;C:\Users\stu\Documents\GitHub\eaglep3-reporting\EC\2016-12-18-refined-times.txt</v>
      </c>
      <c r="AI139" s="119" t="str">
        <f t="shared" ref="AI139:AI201" si="53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{"issue":{"subject":"","project_id":79,"tracker_id":40,"status_id":1,"priority_id":2,"assigned_to_id":23,"start_date":"2016-12-18","description":"","custom_fields":[{"id":1,"name":"Subdivision","value":"EC"},{"id":4,"name":"Milepost","value":"0.0121"},{"id":17,"name":"Train ID","value":"228-18"},{"id":16,"name":"Locomotive ID","value":"4043"},{"id":130,"name":"Impact","value":""},{"id":150,"name":"Time of Event (Mountain Time)","value":"22:06:02"},{"id":151,"name":"Denver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699</v>
      </c>
      <c r="B140" s="7">
        <v>4040</v>
      </c>
      <c r="C140" s="22" t="s">
        <v>205</v>
      </c>
      <c r="D140" s="22" t="s">
        <v>893</v>
      </c>
      <c r="E140" s="13">
        <v>42722.862743055557</v>
      </c>
      <c r="F140" s="13">
        <v>42722.875335648147</v>
      </c>
      <c r="G140" s="7">
        <v>2</v>
      </c>
      <c r="H140" s="22" t="s">
        <v>325</v>
      </c>
      <c r="I140" s="13">
        <v>42722.899814814817</v>
      </c>
      <c r="J140" s="7">
        <v>0</v>
      </c>
      <c r="K140" s="109" t="str">
        <f t="shared" si="30"/>
        <v>4039/4040</v>
      </c>
      <c r="L140" s="22" t="str">
        <f>VLOOKUP(A140,'Trips&amp;Operators'!$C$1:$G$99999,5,FALSE)</f>
        <v>CHANDLER KELVIN</v>
      </c>
      <c r="M140" s="6">
        <f t="shared" si="31"/>
        <v>2.4479166670062114E-2</v>
      </c>
      <c r="N140" s="7">
        <f t="shared" si="50"/>
        <v>35.250000004889444</v>
      </c>
      <c r="O140" s="7"/>
      <c r="P140" s="7"/>
      <c r="Q140" s="23"/>
      <c r="R140" s="23"/>
      <c r="S140" s="35">
        <f t="shared" si="51"/>
        <v>1</v>
      </c>
      <c r="T140" s="50" t="str">
        <f t="shared" si="32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3"/>
        <v>https://search-rtdc-monitor-bjffxe2xuh6vdkpspy63sjmuny.us-east-1.es.amazonaws.com/_plugin/kibana/#/discover/Steve-Slow-Train-Analysis-(2080s-and-2083s)?_g=(refreshInterval:(display:Off,section:0,value:0),time:(from:'2016-12-18 19:42:21-700',mode:absolute,to:'2016-12-18 22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0" s="52" t="str">
        <f t="shared" si="46"/>
        <v>N</v>
      </c>
      <c r="X140" s="177">
        <f t="shared" si="45"/>
        <v>1</v>
      </c>
      <c r="Y140" s="67">
        <f t="shared" si="34"/>
        <v>4.7300000000000002E-2</v>
      </c>
      <c r="Z140" s="67">
        <f t="shared" si="47"/>
        <v>23.3291</v>
      </c>
      <c r="AA140" s="67">
        <f t="shared" si="35"/>
        <v>23.2818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6"/>
        <v>0229-18</v>
      </c>
      <c r="AE140" s="91" t="str">
        <f t="shared" si="37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140" s="88" t="str">
        <f t="shared" si="38"/>
        <v>"C:\Program Files (x86)\AstroGrep\AstroGrep.exe" /spath="%USERPROFILE%\AppData\Local\Temp\OnboardLogs" /stypes="app*4040*20161219*" /stext=" 04:.+((SYSTEM_STATE.+slice.+state.+changed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92" t="str">
        <f t="shared" si="52"/>
        <v>"%USERPROFILE%\Documents\GitHub\eaglep3\Utilities\RefineRTDCRunTimes.py" --tripid 229-18 --locoid 4040 --swversion DE.1.0.8.0 --startMP 204:473 --initTime 2016-12-18T20:42:21 --startdatetime 2016-12-18T21:00:29 --delay 2 --endMP 204:233291 --enddatetime 2016-12-18T21:35:44 --enforcementcount 0 &gt;&gt;C:\Users\stu\Documents\GitHub\eaglep3-reporting\EC\2016-12-18-refined-times.txt</v>
      </c>
      <c r="AI140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{"issue":{"subject":"","project_id":79,"tracker_id":40,"status_id":1,"priority_id":2,"assigned_to_id":23,"start_date":"2016-12-18","description":"","custom_fields":[{"id":1,"name":"Subdivision","value":"EC"},{"id":4,"name":"Milepost","value":"23.3291"},{"id":17,"name":"Train ID","value":"229-18"},{"id":16,"name":"Locomotive ID","value":"4040"},{"id":130,"name":"Impact","value":""},{"id":150,"name":"Time of Event (Mountain Time)","value":"21:35:44"},{"id":151,"name":"Denver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x14ac:dyDescent="0.25">
      <c r="A141" s="37" t="s">
        <v>708</v>
      </c>
      <c r="B141" s="7">
        <v>4039</v>
      </c>
      <c r="C141" s="22" t="s">
        <v>205</v>
      </c>
      <c r="D141" s="22" t="s">
        <v>479</v>
      </c>
      <c r="E141" s="13">
        <v>42722.910150462965</v>
      </c>
      <c r="F141" s="13">
        <v>42722.914247685185</v>
      </c>
      <c r="G141" s="7">
        <v>1</v>
      </c>
      <c r="H141" s="22" t="s">
        <v>273</v>
      </c>
      <c r="I141" s="13">
        <v>42722.943043981482</v>
      </c>
      <c r="J141" s="7">
        <v>0</v>
      </c>
      <c r="K141" s="109" t="str">
        <f t="shared" ref="K141:K204" si="54">IF(ISEVEN(B141),(B141-1)&amp;"/"&amp;B141,B141&amp;"/"&amp;(B141+1))</f>
        <v>4039/4040</v>
      </c>
      <c r="L141" s="22" t="str">
        <f>VLOOKUP(A141,'Trips&amp;Operators'!$C$1:$G$99999,5,FALSE)</f>
        <v>CHANDLER KELVIN</v>
      </c>
      <c r="M141" s="6">
        <f t="shared" ref="M141:M204" si="55">I141-F141</f>
        <v>2.8796296297514345E-2</v>
      </c>
      <c r="N141" s="7">
        <f t="shared" si="50"/>
        <v>41.466666668420658</v>
      </c>
      <c r="O141" s="7"/>
      <c r="P141" s="7"/>
      <c r="Q141" s="23"/>
      <c r="R141" s="23"/>
      <c r="S141" s="35">
        <f t="shared" si="51"/>
        <v>1</v>
      </c>
      <c r="T141" s="50" t="str">
        <f t="shared" ref="T141:T204" si="56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7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https://search-rtdc-monitor-bjffxe2xuh6vdkpspy63sjmuny.us-east-1.es.amazonaws.com/_plugin/kibana/#/discover/Steve-Slow-Train-Analysis-(2080s-and-2083s)?_g=(refreshInterval:(display:Off,section:0,value:0),time:(from:'2016-12-18 20:50:37-700',mode:absolute,to:'2016-12-18 23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1" s="52" t="str">
        <f t="shared" si="46"/>
        <v>N</v>
      </c>
      <c r="X141" s="177">
        <f t="shared" si="45"/>
        <v>1</v>
      </c>
      <c r="Y141" s="67">
        <f t="shared" ref="Y141:Y204" si="58">RIGHT(D141,LEN(D141)-4)/10000</f>
        <v>23.2972</v>
      </c>
      <c r="Z141" s="67">
        <f t="shared" si="47"/>
        <v>1.61E-2</v>
      </c>
      <c r="AA141" s="67">
        <f t="shared" ref="AA141:AA204" si="59">ABS(Z141-Y141)</f>
        <v>23.281099999999999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4" si="60">IF(LEN(A141)=6,"0"&amp;A141,A141)</f>
        <v>0230-18</v>
      </c>
      <c r="AE141" s="91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141" s="88" t="str">
        <f t="shared" ref="AF141:AF204" si="6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/stypes="app*4039*20161219*" /stext=" 05:.+((SYSTEM_STATE.+slice.+state.+changed )|(ment ac)|(multiple cpu faults)|(system.+state.+changed )|(\[timeout)|(PRM\|1\|D)|(kpr)|(kdp)|(\|lc)|(penalty))" /e /r /s</v>
      </c>
      <c r="AG141" s="1" t="str">
        <f t="shared" ref="AG141:AG204" si="63">IFERROR(IF(VALUE(LEFT(AD141,2))&lt;=2,"EC",IF(OR(VALUE(LEFT(AD141,2))=8,VALUE(LEFT(AD141,2))=18),"NW","Other")),"Other")</f>
        <v>EC</v>
      </c>
      <c r="AH141" s="92" t="str">
        <f t="shared" si="52"/>
        <v>"%USERPROFILE%\Documents\GitHub\eaglep3\Utilities\RefineRTDCRunTimes.py" --tripid 230-18 --locoid 4039 --swversion DE.1.0.8.0 --startMP 204:232972 --initTime 2016-12-18T21:50:37 --startdatetime 2016-12-18T21:56:31 --delay 1 --endMP 204:161 --enddatetime 2016-12-18T22:37:59 --enforcementcount 0 &gt;&gt;C:\Users\stu\Documents\GitHub\eaglep3-reporting\EC\2016-12-18-refined-times.txt</v>
      </c>
      <c r="AI141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{"issue":{"subject":"","project_id":79,"tracker_id":40,"status_id":1,"priority_id":2,"assigned_to_id":23,"start_date":"2016-12-18","description":"","custom_fields":[{"id":1,"name":"Subdivision","value":"EC"},{"id":4,"name":"Milepost","value":"0.0161"},{"id":17,"name":"Train ID","value":"230-18"},{"id":16,"name":"Locomotive ID","value":"4039"},{"id":130,"name":"Impact","value":""},{"id":150,"name":"Time of Event (Mountain Time)","value":"22:37:59"},{"id":151,"name":"Denver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704</v>
      </c>
      <c r="B142" s="7">
        <v>4003</v>
      </c>
      <c r="C142" s="22" t="s">
        <v>205</v>
      </c>
      <c r="D142" s="22" t="s">
        <v>231</v>
      </c>
      <c r="E142" s="13">
        <v>42722.893576388888</v>
      </c>
      <c r="F142" s="13">
        <v>42722.89603009259</v>
      </c>
      <c r="G142" s="7">
        <v>1</v>
      </c>
      <c r="H142" s="22" t="s">
        <v>894</v>
      </c>
      <c r="I142" s="13">
        <v>42722.920324074075</v>
      </c>
      <c r="J142" s="7">
        <v>0</v>
      </c>
      <c r="K142" s="109" t="str">
        <f t="shared" si="54"/>
        <v>4003/4004</v>
      </c>
      <c r="L142" s="22" t="str">
        <f>VLOOKUP(A142,'Trips&amp;Operators'!$C$1:$G$99999,5,FALSE)</f>
        <v>NEWELL JAMES</v>
      </c>
      <c r="M142" s="6">
        <f t="shared" si="55"/>
        <v>2.4293981485243421E-2</v>
      </c>
      <c r="N142" s="7">
        <f t="shared" si="50"/>
        <v>34.983333338750526</v>
      </c>
      <c r="O142" s="7"/>
      <c r="P142" s="7"/>
      <c r="Q142" s="23"/>
      <c r="R142" s="23"/>
      <c r="S142" s="35">
        <f t="shared" si="51"/>
        <v>1</v>
      </c>
      <c r="T142" s="50" t="str">
        <f t="shared" si="56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20:26:45-700',mode:absolute,to:'2016-12-18 23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2" s="52" t="str">
        <f t="shared" ref="W142:W173" si="64">IF(AA142&lt;IF(AG142="EC",23,5.65),"Y","N")</f>
        <v>N</v>
      </c>
      <c r="X142" s="177">
        <f t="shared" si="45"/>
        <v>1</v>
      </c>
      <c r="Y142" s="67">
        <f t="shared" si="58"/>
        <v>4.5999999999999999E-2</v>
      </c>
      <c r="Z142" s="67">
        <f t="shared" si="47"/>
        <v>23.330100000000002</v>
      </c>
      <c r="AA142" s="67">
        <f t="shared" si="59"/>
        <v>23.284100000000002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60"/>
        <v>0231-18</v>
      </c>
      <c r="AE142" s="91" t="str">
        <f t="shared" si="61"/>
        <v>aws s3 cp s3://rtdc.mdm.uploadarchive.raw/RTDC4003/ "%USERPROFILE%\AppData\Local\Temp\OnboardLogs"\RTDC4003\2016-12-18 --exclude "*" --recursive --include "*20161218*" &amp; "%USERPROFILE%\Documents\GitHub\mrs-test-scripts\Headless Mode &amp; Sideloading\WalkAndUnGZ.bat" "%USERPROFILE%\AppData\Local\Temp\OnboardLogs"\RTDC4003\2016-12-18 &amp; aws s3 cp s3://rtdc.mdm.uploadarchive.raw/RTDC4003/ "%USERPROFILE%\AppData\Local\Temp\OnboardLogs"\RTDC4003\2016-12-19 --exclude "*" --recursive --include "*20161219*" &amp; "%USERPROFILE%\Documents\GitHub\mrs-test-scripts\Headless Mode &amp; Sideloading\WalkAndUnGZ.bat" "%USERPROFILE%\AppData\Local\Temp\OnboardLogs"\RTDC4003\2016-12-19</v>
      </c>
      <c r="AF142" s="88" t="str">
        <f t="shared" si="62"/>
        <v>"C:\Program Files (x86)\AstroGrep\AstroGrep.exe" /spath="%USERPROFILE%\AppData\Local\Temp\OnboardLogs" /stypes="app*4003*20161219*" /stext=" 05:.+((SYSTEM_STATE.+slice.+state.+changed )|(ment ac)|(multiple cpu faults)|(system.+state.+changed )|(\[timeout)|(PRM\|1\|D)|(kpr)|(kdp)|(\|lc)|(penalty))" /e /r /s</v>
      </c>
      <c r="AG142" s="1" t="str">
        <f t="shared" si="63"/>
        <v>EC</v>
      </c>
      <c r="AH142" s="92" t="str">
        <f t="shared" si="52"/>
        <v>"%USERPROFILE%\Documents\GitHub\eaglep3\Utilities\RefineRTDCRunTimes.py" --tripid 231-18 --locoid 4003 --swversion DE.1.0.8.0 --startMP 204:460 --initTime 2016-12-18T21:26:45 --startdatetime 2016-12-18T21:30:17 --delay 1 --endMP 204:233301 --enddatetime 2016-12-18T22:05:16 --enforcementcount 0 &gt;&gt;C:\Users\stu\Documents\GitHub\eaglep3-reporting\EC\2016-12-18-refined-times.txt</v>
      </c>
      <c r="AI142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{"issue":{"subject":"","project_id":79,"tracker_id":40,"status_id":1,"priority_id":2,"assigned_to_id":23,"start_date":"2016-12-18","description":"","custom_fields":[{"id":1,"name":"Subdivision","value":"EC"},{"id":4,"name":"Milepost","value":"23.3301"},{"id":17,"name":"Train ID","value":"231-18"},{"id":16,"name":"Locomotive ID","value":"4003"},{"id":130,"name":"Impact","value":""},{"id":150,"name":"Time of Event (Mountain Time)","value":"22:05:16"},{"id":151,"name":"Denver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710</v>
      </c>
      <c r="B143" s="7">
        <v>4004</v>
      </c>
      <c r="C143" s="22" t="s">
        <v>205</v>
      </c>
      <c r="D143" s="22" t="s">
        <v>468</v>
      </c>
      <c r="E143" s="13">
        <v>42722.930381944447</v>
      </c>
      <c r="F143" s="13">
        <v>42722.934953703705</v>
      </c>
      <c r="G143" s="7">
        <v>0</v>
      </c>
      <c r="H143" s="22" t="s">
        <v>224</v>
      </c>
      <c r="I143" s="13">
        <v>42722.961886574078</v>
      </c>
      <c r="J143" s="7">
        <v>0</v>
      </c>
      <c r="K143" s="109" t="str">
        <f t="shared" si="54"/>
        <v>4003/4004</v>
      </c>
      <c r="L143" s="22" t="str">
        <f>VLOOKUP(A143,'Trips&amp;Operators'!$C$1:$G$99999,5,FALSE)</f>
        <v>NEWELL JAMES</v>
      </c>
      <c r="M143" s="6">
        <f t="shared" si="55"/>
        <v>2.6932870372547768E-2</v>
      </c>
      <c r="N143" s="7">
        <f t="shared" si="50"/>
        <v>38.783333336468786</v>
      </c>
      <c r="O143" s="7"/>
      <c r="P143" s="7"/>
      <c r="Q143" s="23"/>
      <c r="R143" s="23"/>
      <c r="S143" s="35">
        <f t="shared" si="51"/>
        <v>1</v>
      </c>
      <c r="T143" s="50" t="str">
        <f t="shared" si="56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21:19:45-700',mode:absolute,to:'2016-12-19 00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3" s="52" t="str">
        <f t="shared" si="64"/>
        <v>N</v>
      </c>
      <c r="X143" s="177">
        <f t="shared" si="45"/>
        <v>1</v>
      </c>
      <c r="Y143" s="67">
        <f t="shared" si="58"/>
        <v>23.2988</v>
      </c>
      <c r="Z143" s="67">
        <f t="shared" si="47"/>
        <v>1.54E-2</v>
      </c>
      <c r="AA143" s="67">
        <f t="shared" si="59"/>
        <v>23.2834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60"/>
        <v>0232-18</v>
      </c>
      <c r="AE143" s="91" t="str">
        <f t="shared" si="61"/>
        <v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v>
      </c>
      <c r="AF143" s="88" t="str">
        <f t="shared" si="62"/>
        <v>"C:\Program Files (x86)\AstroGrep\AstroGrep.exe" /spath="%USERPROFILE%\AppData\Local\Temp\OnboardLogs" /stypes="app*4004*20161219*" /stext=" 06:.+((SYSTEM_STATE.+slice.+state.+changed )|(ment ac)|(multiple cpu faults)|(system.+state.+changed )|(\[timeout)|(PRM\|1\|D)|(kpr)|(kdp)|(\|lc)|(penalty))" /e /r /s</v>
      </c>
      <c r="AG143" s="1" t="str">
        <f t="shared" si="63"/>
        <v>EC</v>
      </c>
      <c r="AH143" s="92" t="str">
        <f t="shared" si="52"/>
        <v>"%USERPROFILE%\Documents\GitHub\eaglep3\Utilities\RefineRTDCRunTimes.py" --tripid 232-18 --locoid 4004 --swversion DE.1.0.8.0 --startMP 204:232988 --initTime 2016-12-18T22:19:45 --startdatetime 2016-12-18T22:26:20 --delay 0 --endMP 204:154 --enddatetime 2016-12-18T23:05:07 --enforcementcount 0 &gt;&gt;C:\Users\stu\Documents\GitHub\eaglep3-reporting\EC\2016-12-18-refined-times.txt</v>
      </c>
      <c r="AI143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{"issue":{"subject":"","project_id":79,"tracker_id":40,"status_id":1,"priority_id":2,"assigned_to_id":23,"start_date":"2016-12-18","description":"","custom_fields":[{"id":1,"name":"Subdivision","value":"EC"},{"id":4,"name":"Milepost","value":"0.0154"},{"id":17,"name":"Train ID","value":"232-18"},{"id":16,"name":"Locomotive ID","value":"4004"},{"id":130,"name":"Impact","value":""},{"id":150,"name":"Time of Event (Mountain Time)","value":"23:05:07"},{"id":151,"name":"Denver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707</v>
      </c>
      <c r="B144" s="7">
        <v>4014</v>
      </c>
      <c r="C144" s="22" t="s">
        <v>205</v>
      </c>
      <c r="D144" s="22" t="s">
        <v>893</v>
      </c>
      <c r="E144" s="13">
        <v>42722.907997685186</v>
      </c>
      <c r="F144" s="13">
        <v>42722.917187500003</v>
      </c>
      <c r="G144" s="7">
        <v>2</v>
      </c>
      <c r="H144" s="22" t="s">
        <v>330</v>
      </c>
      <c r="I144" s="13">
        <v>42722.943240740744</v>
      </c>
      <c r="J144" s="7">
        <v>0</v>
      </c>
      <c r="K144" s="109" t="str">
        <f t="shared" si="54"/>
        <v>4013/4014</v>
      </c>
      <c r="L144" s="22" t="str">
        <f>VLOOKUP(A144,'Trips&amp;Operators'!$C$1:$G$99999,5,FALSE)</f>
        <v>SMITH MICHAEL</v>
      </c>
      <c r="M144" s="6">
        <f t="shared" si="55"/>
        <v>2.6053240741021E-2</v>
      </c>
      <c r="N144" s="7">
        <f t="shared" si="50"/>
        <v>37.51666666707024</v>
      </c>
      <c r="O144" s="7"/>
      <c r="P144" s="7"/>
      <c r="Q144" s="23"/>
      <c r="R144" s="23"/>
      <c r="S144" s="35">
        <f t="shared" si="51"/>
        <v>1</v>
      </c>
      <c r="T144" s="50" t="str">
        <f t="shared" si="56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20:47:31-700',mode:absolute,to:'2016-12-18 23:38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4" s="52" t="str">
        <f t="shared" si="64"/>
        <v>N</v>
      </c>
      <c r="X144" s="177">
        <f t="shared" si="45"/>
        <v>1</v>
      </c>
      <c r="Y144" s="67">
        <f t="shared" si="58"/>
        <v>4.7300000000000002E-2</v>
      </c>
      <c r="Z144" s="67">
        <f t="shared" si="47"/>
        <v>23.329799999999999</v>
      </c>
      <c r="AA144" s="67">
        <f t="shared" si="59"/>
        <v>23.282499999999999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60"/>
        <v>0233-18</v>
      </c>
      <c r="AE144" s="91" t="str">
        <f t="shared" si="61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144" s="88" t="str">
        <f t="shared" si="62"/>
        <v>"C:\Program Files (x86)\AstroGrep\AstroGrep.exe" /spath="%USERPROFILE%\AppData\Local\Temp\OnboardLogs" /stypes="app*4014*20161219*" /stext=" 05:.+((SYSTEM_STATE.+slice.+state.+changed )|(ment ac)|(multiple cpu faults)|(system.+state.+changed )|(\[timeout)|(PRM\|1\|D)|(kpr)|(kdp)|(\|lc)|(penalty))" /e /r /s</v>
      </c>
      <c r="AG144" s="1" t="str">
        <f t="shared" si="63"/>
        <v>EC</v>
      </c>
      <c r="AH144" s="92" t="str">
        <f t="shared" si="52"/>
        <v>"%USERPROFILE%\Documents\GitHub\eaglep3\Utilities\RefineRTDCRunTimes.py" --tripid 233-18 --locoid 4014 --swversion DE.1.0.8.0 --startMP 204:473 --initTime 2016-12-18T21:47:31 --startdatetime 2016-12-18T22:00:45 --delay 2 --endMP 204:233298 --enddatetime 2016-12-18T22:38:16 --enforcementcount 0 &gt;&gt;C:\Users\stu\Documents\GitHub\eaglep3-reporting\EC\2016-12-18-refined-times.txt</v>
      </c>
      <c r="AI144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{"issue":{"subject":"","project_id":79,"tracker_id":40,"status_id":1,"priority_id":2,"assigned_to_id":23,"start_date":"2016-12-18","description":"","custom_fields":[{"id":1,"name":"Subdivision","value":"EC"},{"id":4,"name":"Milepost","value":"23.3298"},{"id":17,"name":"Train ID","value":"233-18"},{"id":16,"name":"Locomotive ID","value":"4014"},{"id":130,"name":"Impact","value":""},{"id":150,"name":"Time of Event (Mountain Time)","value":"22:38:16"},{"id":151,"name":"Denver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539</v>
      </c>
      <c r="B145" s="7">
        <v>4013</v>
      </c>
      <c r="C145" s="22" t="s">
        <v>205</v>
      </c>
      <c r="D145" s="22" t="s">
        <v>275</v>
      </c>
      <c r="E145" s="13">
        <v>42722.945497685185</v>
      </c>
      <c r="F145" s="13">
        <v>42722.955810185187</v>
      </c>
      <c r="G145" s="7">
        <v>1</v>
      </c>
      <c r="H145" s="22" t="s">
        <v>273</v>
      </c>
      <c r="I145" s="13">
        <v>42722.985231481478</v>
      </c>
      <c r="J145" s="7">
        <v>0</v>
      </c>
      <c r="K145" s="109" t="str">
        <f t="shared" si="54"/>
        <v>4013/4014</v>
      </c>
      <c r="L145" s="22" t="str">
        <f>VLOOKUP(A145,'Trips&amp;Operators'!$C$1:$G$99999,5,FALSE)</f>
        <v>SMITH MICHAEL</v>
      </c>
      <c r="M145" s="6">
        <f t="shared" si="55"/>
        <v>2.9421296290820464E-2</v>
      </c>
      <c r="N145" s="7">
        <f t="shared" si="50"/>
        <v>42.366666658781469</v>
      </c>
      <c r="O145" s="7"/>
      <c r="P145" s="7"/>
      <c r="Q145" s="23"/>
      <c r="R145" s="23"/>
      <c r="S145" s="35">
        <f t="shared" si="51"/>
        <v>1</v>
      </c>
      <c r="T145" s="50" t="str">
        <f t="shared" si="56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21:41:31-700',mode:absolute,to:'2016-12-19 00:38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5" s="52" t="str">
        <f t="shared" si="64"/>
        <v>N</v>
      </c>
      <c r="X145" s="177">
        <f t="shared" si="45"/>
        <v>1</v>
      </c>
      <c r="Y145" s="67">
        <f t="shared" si="58"/>
        <v>23.2987</v>
      </c>
      <c r="Z145" s="67">
        <f t="shared" si="47"/>
        <v>1.61E-2</v>
      </c>
      <c r="AA145" s="67">
        <f t="shared" si="59"/>
        <v>23.282599999999999</v>
      </c>
      <c r="AB145" s="64" t="str">
        <f>VLOOKUP(A145,Enforcements!$C$7:$K$19,8,0)</f>
        <v>Speed (6)</v>
      </c>
      <c r="AC145" s="60" t="str">
        <f>VLOOKUP(A145,Enforcements!$C$7:$E$19,3,0)</f>
        <v>PERMANENT SPEED RESTRICTION</v>
      </c>
      <c r="AD145" s="61" t="str">
        <f t="shared" si="60"/>
        <v>0234-18</v>
      </c>
      <c r="AE145" s="91" t="str">
        <f t="shared" si="61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145" s="88" t="str">
        <f t="shared" si="62"/>
        <v>"C:\Program Files (x86)\AstroGrep\AstroGrep.exe" /spath="%USERPROFILE%\AppData\Local\Temp\OnboardLogs" /stypes="app*4013*20161219*" /stext=" 06:.+((SYSTEM_STATE.+slice.+state.+changed )|(ment ac)|(multiple cpu faults)|(system.+state.+changed )|(\[timeout)|(PRM\|1\|D)|(kpr)|(kdp)|(\|lc)|(penalty))" /e /r /s</v>
      </c>
      <c r="AG145" s="1" t="str">
        <f t="shared" si="63"/>
        <v>EC</v>
      </c>
      <c r="AH145" s="92" t="str">
        <f t="shared" si="52"/>
        <v>"%USERPROFILE%\Documents\GitHub\eaglep3\Utilities\RefineRTDCRunTimes.py" --tripid 234-18 --locoid 4013 --swversion DE.1.0.8.0 --startMP 204:232987 --initTime 2016-12-18T22:41:31 --startdatetime 2016-12-18T22:56:22 --delay 1 --endMP 204:161 --enddatetime 2016-12-18T23:38:44 --enforcementcount 0 &gt;&gt;C:\Users\stu\Documents\GitHub\eaglep3-reporting\EC\2016-12-18-refined-times.txt</v>
      </c>
      <c r="AI145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{"issue":{"subject":"","project_id":79,"tracker_id":40,"status_id":1,"priority_id":2,"assigned_to_id":23,"start_date":"2016-12-18","description":"","custom_fields":[{"id":1,"name":"Subdivision","value":"EC"},{"id":4,"name":"Milepost","value":"0.0161"},{"id":17,"name":"Train ID","value":"234-18"},{"id":16,"name":"Locomotive ID","value":"4013"},{"id":130,"name":"Impact","value":""},{"id":150,"name":"Time of Event (Mountain Time)","value":"23:38:44"},{"id":151,"name":"Denver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540</v>
      </c>
      <c r="B146" s="7">
        <v>4044</v>
      </c>
      <c r="C146" s="22" t="s">
        <v>205</v>
      </c>
      <c r="D146" s="22" t="s">
        <v>820</v>
      </c>
      <c r="E146" s="13">
        <v>42722.922673611109</v>
      </c>
      <c r="F146" s="13">
        <v>42722.938136574077</v>
      </c>
      <c r="G146" s="7">
        <v>1</v>
      </c>
      <c r="H146" s="22" t="s">
        <v>895</v>
      </c>
      <c r="I146" s="13">
        <v>42722.961863425924</v>
      </c>
      <c r="J146" s="7">
        <v>0</v>
      </c>
      <c r="K146" s="109" t="str">
        <f t="shared" si="54"/>
        <v>4043/4044</v>
      </c>
      <c r="L146" s="22" t="str">
        <f>VLOOKUP(A146,'Trips&amp;Operators'!$C$1:$G$99999,5,FALSE)</f>
        <v>STAMBAUGH JAMES</v>
      </c>
      <c r="M146" s="6">
        <f t="shared" si="55"/>
        <v>2.3726851846731734E-2</v>
      </c>
      <c r="N146" s="7">
        <f t="shared" si="50"/>
        <v>34.166666659293696</v>
      </c>
      <c r="O146" s="7"/>
      <c r="P146" s="7"/>
      <c r="Q146" s="23"/>
      <c r="R146" s="23"/>
      <c r="S146" s="35">
        <f t="shared" si="51"/>
        <v>1</v>
      </c>
      <c r="T146" s="50" t="str">
        <f t="shared" si="56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21:08:39-700',mode:absolute,to:'2016-12-19 00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6" s="52" t="str">
        <f t="shared" si="64"/>
        <v>N</v>
      </c>
      <c r="X146" s="177">
        <f t="shared" si="45"/>
        <v>1</v>
      </c>
      <c r="Y146" s="67">
        <f t="shared" si="58"/>
        <v>4.3299999999999998E-2</v>
      </c>
      <c r="Z146" s="67">
        <f t="shared" ref="Z146:Z157" si="65">RIGHT(H146,LEN(H146)-4)/10000</f>
        <v>23.328499999999998</v>
      </c>
      <c r="AA146" s="67">
        <f t="shared" si="59"/>
        <v>23.2852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60"/>
        <v>0235-18</v>
      </c>
      <c r="AE146" s="91" t="str">
        <f t="shared" si="61"/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AF146" s="88" t="str">
        <f t="shared" si="62"/>
        <v>"C:\Program Files (x86)\AstroGrep\AstroGrep.exe" /spath="%USERPROFILE%\AppData\Local\Temp\OnboardLogs" /stypes="app*4044*20161219*" /stext=" 06:.+((SYSTEM_STATE.+slice.+state.+changed )|(ment ac)|(multiple cpu faults)|(system.+state.+changed )|(\[timeout)|(PRM\|1\|D)|(kpr)|(kdp)|(\|lc)|(penalty))" /e /r /s</v>
      </c>
      <c r="AG146" s="1" t="str">
        <f t="shared" si="63"/>
        <v>EC</v>
      </c>
      <c r="AH146" s="92" t="str">
        <f t="shared" si="52"/>
        <v>"%USERPROFILE%\Documents\GitHub\eaglep3\Utilities\RefineRTDCRunTimes.py" --tripid 235-18 --locoid 4044 --swversion DE.1.0.8.0 --startMP 204:433 --initTime 2016-12-18T22:08:39 --startdatetime 2016-12-18T22:30:55 --delay 1 --endMP 204:233285 --enddatetime 2016-12-18T23:05:05 --enforcementcount 0 &gt;&gt;C:\Users\stu\Documents\GitHub\eaglep3-reporting\EC\2016-12-18-refined-times.txt</v>
      </c>
      <c r="AI146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{"issue":{"subject":"","project_id":79,"tracker_id":40,"status_id":1,"priority_id":2,"assigned_to_id":23,"start_date":"2016-12-18","description":"","custom_fields":[{"id":1,"name":"Subdivision","value":"EC"},{"id":4,"name":"Milepost","value":"23.3285"},{"id":17,"name":"Train ID","value":"235-18"},{"id":16,"name":"Locomotive ID","value":"4044"},{"id":130,"name":"Impact","value":""},{"id":150,"name":"Time of Event (Mountain Time)","value":"23:05:05"},{"id":151,"name":"Denver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713</v>
      </c>
      <c r="B147" s="7">
        <v>4043</v>
      </c>
      <c r="C147" s="22" t="s">
        <v>205</v>
      </c>
      <c r="D147" s="22" t="s">
        <v>896</v>
      </c>
      <c r="E147" s="13">
        <v>42722.973692129628</v>
      </c>
      <c r="F147" s="13">
        <v>42722.976666666669</v>
      </c>
      <c r="G147" s="7">
        <v>1</v>
      </c>
      <c r="H147" s="22" t="s">
        <v>476</v>
      </c>
      <c r="I147" s="13">
        <v>42723.004699074074</v>
      </c>
      <c r="J147" s="7">
        <v>0</v>
      </c>
      <c r="K147" s="109" t="str">
        <f t="shared" si="54"/>
        <v>4043/4044</v>
      </c>
      <c r="L147" s="22" t="str">
        <f>VLOOKUP(A147,'Trips&amp;Operators'!$C$1:$G$99999,5,FALSE)</f>
        <v>STAMBAUGH JAMES</v>
      </c>
      <c r="M147" s="6">
        <f t="shared" si="55"/>
        <v>2.8032407404680271E-2</v>
      </c>
      <c r="N147" s="7">
        <f t="shared" si="50"/>
        <v>40.36666666273959</v>
      </c>
      <c r="O147" s="7"/>
      <c r="P147" s="7"/>
      <c r="Q147" s="23"/>
      <c r="R147" s="23"/>
      <c r="S147" s="35">
        <f t="shared" si="51"/>
        <v>1</v>
      </c>
      <c r="T147" s="50" t="str">
        <f t="shared" si="56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22:22:07-700',mode:absolute,to:'2016-12-19 01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7" s="52" t="str">
        <f t="shared" si="64"/>
        <v>N</v>
      </c>
      <c r="X147" s="177">
        <f t="shared" si="45"/>
        <v>1</v>
      </c>
      <c r="Y147" s="67">
        <f t="shared" si="58"/>
        <v>23.296600000000002</v>
      </c>
      <c r="Z147" s="67">
        <f t="shared" si="65"/>
        <v>1.2699999999999999E-2</v>
      </c>
      <c r="AA147" s="67">
        <f t="shared" si="59"/>
        <v>23.283900000000003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60"/>
        <v>0236-18</v>
      </c>
      <c r="AE147" s="91" t="str">
        <f t="shared" si="61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147" s="88" t="str">
        <f t="shared" si="62"/>
        <v>"C:\Program Files (x86)\AstroGrep\AstroGrep.exe" /spath="%USERPROFILE%\AppData\Local\Temp\OnboardLogs" /stypes="app*4043*20161219*" /stext=" 07:.+((SYSTEM_STATE.+slice.+state.+changed )|(ment ac)|(multiple cpu faults)|(system.+state.+changed )|(\[timeout)|(PRM\|1\|D)|(kpr)|(kdp)|(\|lc)|(penalty))" /e /r /s</v>
      </c>
      <c r="AG147" s="1" t="str">
        <f t="shared" si="63"/>
        <v>EC</v>
      </c>
      <c r="AH147" s="92" t="str">
        <f t="shared" si="52"/>
        <v>"%USERPROFILE%\Documents\GitHub\eaglep3\Utilities\RefineRTDCRunTimes.py" --tripid 236-18 --locoid 4043 --swversion DE.1.0.8.0 --startMP 204:232966 --initTime 2016-12-18T23:22:07 --startdatetime 2016-12-18T23:26:24 --delay 1 --endMP 204:127 --enddatetime 2016-12-19T00:06:46 --enforcementcount 0 &gt;&gt;C:\Users\stu\Documents\GitHub\eaglep3-reporting\EC\2016-12-18-refined-times.txt</v>
      </c>
      <c r="AI147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{"issue":{"subject":"","project_id":79,"tracker_id":40,"status_id":1,"priority_id":2,"assigned_to_id":23,"start_date":"2016-12-19","description":"","custom_fields":[{"id":1,"name":"Subdivision","value":"EC"},{"id":4,"name":"Milepost","value":"0.0127"},{"id":17,"name":"Train ID","value":"236-18"},{"id":16,"name":"Locomotive ID","value":"4043"},{"id":130,"name":"Impact","value":""},{"id":150,"name":"Time of Event (Mountain Time)","value":"00:06:46"},{"id":151,"name":"Denver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712</v>
      </c>
      <c r="B148" s="7">
        <v>4040</v>
      </c>
      <c r="C148" s="22" t="s">
        <v>205</v>
      </c>
      <c r="D148" s="22" t="s">
        <v>229</v>
      </c>
      <c r="E148" s="13">
        <v>42722.957476851851</v>
      </c>
      <c r="F148" s="13">
        <v>42722.958668981482</v>
      </c>
      <c r="G148" s="7">
        <v>1</v>
      </c>
      <c r="H148" s="22" t="s">
        <v>281</v>
      </c>
      <c r="I148" s="13">
        <v>42722.991979166669</v>
      </c>
      <c r="J148" s="7">
        <v>0</v>
      </c>
      <c r="K148" s="109" t="str">
        <f t="shared" si="54"/>
        <v>4039/4040</v>
      </c>
      <c r="L148" s="22" t="str">
        <f>VLOOKUP(A148,'Trips&amp;Operators'!$C$1:$G$99999,5,FALSE)</f>
        <v>CHANDLER KELVIN</v>
      </c>
      <c r="M148" s="6">
        <f t="shared" si="55"/>
        <v>3.3310185186564922E-2</v>
      </c>
      <c r="N148" s="7">
        <f t="shared" si="50"/>
        <v>47.966666668653488</v>
      </c>
      <c r="O148" s="7"/>
      <c r="P148" s="7"/>
      <c r="Q148" s="23"/>
      <c r="R148" s="23"/>
      <c r="S148" s="35">
        <f t="shared" si="51"/>
        <v>1</v>
      </c>
      <c r="T148" s="50" t="str">
        <f t="shared" si="56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21:58:46-700',mode:absolute,to:'2016-12-19 00:48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8" s="52" t="str">
        <f t="shared" si="64"/>
        <v>N</v>
      </c>
      <c r="X148" s="177">
        <f t="shared" si="45"/>
        <v>1</v>
      </c>
      <c r="Y148" s="67">
        <f t="shared" si="58"/>
        <v>4.5499999999999999E-2</v>
      </c>
      <c r="Z148" s="67">
        <f t="shared" si="65"/>
        <v>23.331399999999999</v>
      </c>
      <c r="AA148" s="67">
        <f t="shared" si="59"/>
        <v>23.285899999999998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60"/>
        <v>0237-18</v>
      </c>
      <c r="AE148" s="91" t="str">
        <f t="shared" si="61"/>
        <v>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 &amp; 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</v>
      </c>
      <c r="AF148" s="88" t="str">
        <f t="shared" si="62"/>
        <v>"C:\Program Files (x86)\AstroGrep\AstroGrep.exe" /spath="%USERPROFILE%\AppData\Local\Temp\OnboardLogs" /stypes="app*4040*20161219*" /stext=" 06:.+((SYSTEM_STATE.+slice.+state.+changed )|(ment ac)|(multiple cpu faults)|(system.+state.+changed )|(\[timeout)|(PRM\|1\|D)|(kpr)|(kdp)|(\|lc)|(penalty))" /e /r /s</v>
      </c>
      <c r="AG148" s="1" t="str">
        <f t="shared" si="63"/>
        <v>EC</v>
      </c>
      <c r="AH148" s="92" t="str">
        <f t="shared" si="52"/>
        <v>"%USERPROFILE%\Documents\GitHub\eaglep3\Utilities\RefineRTDCRunTimes.py" --tripid 237-18 --locoid 4040 --swversion DE.1.0.8.0 --startMP 204:455 --initTime 2016-12-18T22:58:46 --startdatetime 2016-12-18T23:00:29 --delay 1 --endMP 204:233314 --enddatetime 2016-12-18T23:48:27 --enforcementcount 0 &gt;&gt;C:\Users\stu\Documents\GitHub\eaglep3-reporting\EC\2016-12-18-refined-times.txt</v>
      </c>
      <c r="AI148" s="119" t="str">
        <f t="shared" si="53"/>
        <v>echo {"issue":{"subject":"","project_id":79,"tracker_id":40,"status_id":1,"priority_id":2,"assigned_to_id":23,"start_date":"2016-12-18","description":"","custom_fields":[{"id":1,"name":"Subdivision","value":"EC"},{"id":4,"name":"Milepost","value":"23.3314"},{"id":17,"name":"Train ID","value":"237-18"},{"id":16,"name":"Locomotive ID","value":"4040"},{"id":130,"name":"Impact","value":""},{"id":150,"name":"Time of Event (Mountain Time)","value":"23:48:27"},{"id":151,"name":"Denver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716</v>
      </c>
      <c r="B149" s="7">
        <v>4039</v>
      </c>
      <c r="C149" s="22" t="s">
        <v>205</v>
      </c>
      <c r="D149" s="22" t="s">
        <v>321</v>
      </c>
      <c r="E149" s="13">
        <v>42722.995335648149</v>
      </c>
      <c r="F149" s="13">
        <v>42722.997627314813</v>
      </c>
      <c r="G149" s="7">
        <v>1</v>
      </c>
      <c r="H149" s="22" t="s">
        <v>274</v>
      </c>
      <c r="I149" s="13">
        <v>42723.02553240741</v>
      </c>
      <c r="J149" s="7">
        <v>0</v>
      </c>
      <c r="K149" s="109" t="str">
        <f t="shared" si="54"/>
        <v>4039/4040</v>
      </c>
      <c r="L149" s="22" t="str">
        <f>VLOOKUP(A149,'Trips&amp;Operators'!$C$1:$G$99999,5,FALSE)</f>
        <v>CHANDLER KELVIN</v>
      </c>
      <c r="M149" s="6">
        <f t="shared" si="55"/>
        <v>2.7905092596483883E-2</v>
      </c>
      <c r="N149" s="7">
        <f t="shared" si="50"/>
        <v>40.183333338936791</v>
      </c>
      <c r="O149" s="7"/>
      <c r="P149" s="7"/>
      <c r="Q149" s="23"/>
      <c r="R149" s="23"/>
      <c r="S149" s="35">
        <f t="shared" si="51"/>
        <v>1</v>
      </c>
      <c r="T149" s="50" t="str">
        <f t="shared" si="56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22:53:17-700',mode:absolute,to:'2016-12-19 01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9" s="52" t="str">
        <f t="shared" si="64"/>
        <v>N</v>
      </c>
      <c r="X149" s="177">
        <f t="shared" si="45"/>
        <v>1</v>
      </c>
      <c r="Y149" s="67">
        <f t="shared" si="58"/>
        <v>23.3</v>
      </c>
      <c r="Z149" s="67">
        <f t="shared" si="65"/>
        <v>1.6E-2</v>
      </c>
      <c r="AA149" s="67">
        <f t="shared" si="59"/>
        <v>23.284000000000002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60"/>
        <v>0238-18</v>
      </c>
      <c r="AE149" s="91" t="str">
        <f t="shared" si="61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149" s="88" t="str">
        <f t="shared" si="62"/>
        <v>"C:\Program Files (x86)\AstroGrep\AstroGrep.exe" /spath="%USERPROFILE%\AppData\Local\Temp\OnboardLogs" /stypes="app*4039*20161219*" /stext=" 07:.+((SYSTEM_STATE.+slice.+state.+changed )|(ment ac)|(multiple cpu faults)|(system.+state.+changed )|(\[timeout)|(PRM\|1\|D)|(kpr)|(kdp)|(\|lc)|(penalty))" /e /r /s</v>
      </c>
      <c r="AG149" s="1" t="str">
        <f t="shared" si="63"/>
        <v>EC</v>
      </c>
      <c r="AH149" s="92" t="str">
        <f t="shared" si="52"/>
        <v>"%USERPROFILE%\Documents\GitHub\eaglep3\Utilities\RefineRTDCRunTimes.py" --tripid 238-18 --locoid 4039 --swversion DE.1.0.8.0 --startMP 204:233000 --initTime 2016-12-18T23:53:17 --startdatetime 2016-12-18T23:56:35 --delay 1 --endMP 204:160 --enddatetime 2016-12-19T00:36:46 --enforcementcount 0 &gt;&gt;C:\Users\stu\Documents\GitHub\eaglep3-reporting\EC\2016-12-18-refined-times.txt</v>
      </c>
      <c r="AI149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{"issue":{"subject":"","project_id":79,"tracker_id":40,"status_id":1,"priority_id":2,"assigned_to_id":23,"start_date":"2016-12-19","description":"","custom_fields":[{"id":1,"name":"Subdivision","value":"EC"},{"id":4,"name":"Milepost","value":"0.016"},{"id":17,"name":"Train ID","value":"238-18"},{"id":16,"name":"Locomotive ID","value":"4039"},{"id":130,"name":"Impact","value":""},{"id":150,"name":"Time of Event (Mountain Time)","value":"00:36:46"},{"id":151,"name":"Denver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714</v>
      </c>
      <c r="B150" s="7">
        <v>4003</v>
      </c>
      <c r="C150" s="22" t="s">
        <v>205</v>
      </c>
      <c r="D150" s="22" t="s">
        <v>244</v>
      </c>
      <c r="E150" s="13">
        <v>42722.975555555553</v>
      </c>
      <c r="F150" s="13">
        <v>42722.979317129626</v>
      </c>
      <c r="G150" s="7">
        <v>1</v>
      </c>
      <c r="H150" s="22" t="s">
        <v>326</v>
      </c>
      <c r="I150" s="13">
        <v>42723.003854166665</v>
      </c>
      <c r="J150" s="7">
        <v>0</v>
      </c>
      <c r="K150" s="109" t="str">
        <f t="shared" si="54"/>
        <v>4003/4004</v>
      </c>
      <c r="L150" s="22" t="str">
        <f>VLOOKUP(A150,'Trips&amp;Operators'!$C$1:$G$99999,5,FALSE)</f>
        <v>NEWELL JAMES</v>
      </c>
      <c r="M150" s="6">
        <f t="shared" si="55"/>
        <v>2.453703703940846E-2</v>
      </c>
      <c r="N150" s="7">
        <f t="shared" si="50"/>
        <v>35.333333336748183</v>
      </c>
      <c r="O150" s="7"/>
      <c r="P150" s="7"/>
      <c r="Q150" s="23"/>
      <c r="R150" s="23"/>
      <c r="S150" s="35">
        <f t="shared" si="51"/>
        <v>1</v>
      </c>
      <c r="T150" s="50" t="str">
        <f t="shared" si="56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22:24:48-700',mode:absolute,to:'2016-12-19 01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0" s="52" t="str">
        <f t="shared" si="64"/>
        <v>N</v>
      </c>
      <c r="X150" s="177">
        <f t="shared" si="45"/>
        <v>1</v>
      </c>
      <c r="Y150" s="67">
        <f t="shared" si="58"/>
        <v>4.58E-2</v>
      </c>
      <c r="Z150" s="67">
        <f t="shared" si="65"/>
        <v>23.3306</v>
      </c>
      <c r="AA150" s="67">
        <f t="shared" si="59"/>
        <v>23.284800000000001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60"/>
        <v>0239-18</v>
      </c>
      <c r="AE150" s="91" t="str">
        <f t="shared" si="61"/>
        <v>aws s3 cp s3://rtdc.mdm.uploadarchive.raw/RTDC4003/ "%USERPROFILE%\AppData\Local\Temp\OnboardLogs"\RTDC4003\2016-12-18 --exclude "*" --recursive --include "*20161218*" &amp; "%USERPROFILE%\Documents\GitHub\mrs-test-scripts\Headless Mode &amp; Sideloading\WalkAndUnGZ.bat" "%USERPROFILE%\AppData\Local\Temp\OnboardLogs"\RTDC4003\2016-12-18 &amp; aws s3 cp s3://rtdc.mdm.uploadarchive.raw/RTDC4003/ "%USERPROFILE%\AppData\Local\Temp\OnboardLogs"\RTDC4003\2016-12-19 --exclude "*" --recursive --include "*20161219*" &amp; "%USERPROFILE%\Documents\GitHub\mrs-test-scripts\Headless Mode &amp; Sideloading\WalkAndUnGZ.bat" "%USERPROFILE%\AppData\Local\Temp\OnboardLogs"\RTDC4003\2016-12-19</v>
      </c>
      <c r="AF150" s="88" t="str">
        <f t="shared" si="62"/>
        <v>"C:\Program Files (x86)\AstroGrep\AstroGrep.exe" /spath="%USERPROFILE%\AppData\Local\Temp\OnboardLogs" /stypes="app*4003*20161219*" /stext=" 07:.+((SYSTEM_STATE.+slice.+state.+changed )|(ment ac)|(multiple cpu faults)|(system.+state.+changed )|(\[timeout)|(PRM\|1\|D)|(kpr)|(kdp)|(\|lc)|(penalty))" /e /r /s</v>
      </c>
      <c r="AG150" s="1" t="str">
        <f t="shared" si="63"/>
        <v>EC</v>
      </c>
      <c r="AH150" s="92" t="str">
        <f t="shared" si="52"/>
        <v>"%USERPROFILE%\Documents\GitHub\eaglep3\Utilities\RefineRTDCRunTimes.py" --tripid 239-18 --locoid 4003 --swversion DE.1.0.8.0 --startMP 204:458 --initTime 2016-12-18T23:24:48 --startdatetime 2016-12-18T23:30:13 --delay 1 --endMP 204:233306 --enddatetime 2016-12-19T00:05:33 --enforcementcount 0 &gt;&gt;C:\Users\stu\Documents\GitHub\eaglep3-reporting\EC\2016-12-18-refined-times.txt</v>
      </c>
      <c r="AI150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{"issue":{"subject":"","project_id":79,"tracker_id":40,"status_id":1,"priority_id":2,"assigned_to_id":23,"start_date":"2016-12-19","description":"","custom_fields":[{"id":1,"name":"Subdivision","value":"EC"},{"id":4,"name":"Milepost","value":"23.3306"},{"id":17,"name":"Train ID","value":"239-18"},{"id":16,"name":"Locomotive ID","value":"4003"},{"id":130,"name":"Impact","value":""},{"id":150,"name":"Time of Event (Mountain Time)","value":"00:05:33"},{"id":151,"name":"Denver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717</v>
      </c>
      <c r="B151" s="7">
        <v>4004</v>
      </c>
      <c r="C151" s="22" t="s">
        <v>205</v>
      </c>
      <c r="D151" s="22" t="s">
        <v>270</v>
      </c>
      <c r="E151" s="13">
        <v>42723.006585648145</v>
      </c>
      <c r="F151" s="13">
        <v>42723.018483796295</v>
      </c>
      <c r="G151" s="7">
        <v>1</v>
      </c>
      <c r="H151" s="22" t="s">
        <v>329</v>
      </c>
      <c r="I151" s="13">
        <v>42723.04483796296</v>
      </c>
      <c r="J151" s="7">
        <v>0</v>
      </c>
      <c r="K151" s="109" t="str">
        <f t="shared" si="54"/>
        <v>4003/4004</v>
      </c>
      <c r="L151" s="22" t="str">
        <f>VLOOKUP(A151,'Trips&amp;Operators'!$C$1:$G$99999,5,FALSE)</f>
        <v>NEWELL JAMES</v>
      </c>
      <c r="M151" s="6">
        <f t="shared" si="55"/>
        <v>2.6354166664532386E-2</v>
      </c>
      <c r="N151" s="7">
        <f t="shared" si="50"/>
        <v>37.949999996926636</v>
      </c>
      <c r="O151" s="7"/>
      <c r="P151" s="7"/>
      <c r="Q151" s="23"/>
      <c r="R151" s="23"/>
      <c r="S151" s="35">
        <f t="shared" si="51"/>
        <v>1</v>
      </c>
      <c r="T151" s="50" t="str">
        <f t="shared" si="56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23:09:29-700',mode:absolute,to:'2016-12-19 02:04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1" s="52" t="str">
        <f t="shared" si="64"/>
        <v>N</v>
      </c>
      <c r="X151" s="177">
        <f t="shared" si="45"/>
        <v>1</v>
      </c>
      <c r="Y151" s="67">
        <f t="shared" si="58"/>
        <v>23.299600000000002</v>
      </c>
      <c r="Z151" s="67">
        <f t="shared" si="65"/>
        <v>1.34E-2</v>
      </c>
      <c r="AA151" s="67">
        <f t="shared" si="59"/>
        <v>23.286200000000001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60"/>
        <v>0240-18</v>
      </c>
      <c r="AE151" s="91" t="str">
        <f t="shared" si="61"/>
        <v>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 &amp; 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</v>
      </c>
      <c r="AF151" s="88" t="str">
        <f t="shared" si="62"/>
        <v>"C:\Program Files (x86)\AstroGrep\AstroGrep.exe" /spath="%USERPROFILE%\AppData\Local\Temp\OnboardLogs" /stypes="app*4004*20161219*" /stext=" 08:.+((SYSTEM_STATE.+slice.+state.+changed )|(ment ac)|(multiple cpu faults)|(system.+state.+changed )|(\[timeout)|(PRM\|1\|D)|(kpr)|(kdp)|(\|lc)|(penalty))" /e /r /s</v>
      </c>
      <c r="AG151" s="1" t="str">
        <f t="shared" si="63"/>
        <v>EC</v>
      </c>
      <c r="AH151" s="92" t="str">
        <f t="shared" si="52"/>
        <v>"%USERPROFILE%\Documents\GitHub\eaglep3\Utilities\RefineRTDCRunTimes.py" --tripid 240-18 --locoid 4004 --swversion DE.1.0.8.0 --startMP 204:232996 --initTime 2016-12-19T00:09:29 --startdatetime 2016-12-19T00:26:37 --delay 1 --endMP 204:134 --enddatetime 2016-12-19T01:04:34 --enforcementcount 0 &gt;&gt;C:\Users\stu\Documents\GitHub\eaglep3-reporting\EC\2016-12-18-refined-times.txt</v>
      </c>
      <c r="AI151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{"issue":{"subject":"","project_id":79,"tracker_id":40,"status_id":1,"priority_id":2,"assigned_to_id":23,"start_date":"2016-12-19","description":"","custom_fields":[{"id":1,"name":"Subdivision","value":"EC"},{"id":4,"name":"Milepost","value":"0.0134"},{"id":17,"name":"Train ID","value":"240-18"},{"id":16,"name":"Locomotive ID","value":"4004"},{"id":130,"name":"Impact","value":""},{"id":150,"name":"Time of Event (Mountain Time)","value":"01:04:34"},{"id":151,"name":"Denver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715</v>
      </c>
      <c r="B152" s="7">
        <v>4014</v>
      </c>
      <c r="C152" s="22" t="s">
        <v>205</v>
      </c>
      <c r="D152" s="22" t="s">
        <v>194</v>
      </c>
      <c r="E152" s="13">
        <v>42722.987500000003</v>
      </c>
      <c r="F152" s="13">
        <v>42723.0002662037</v>
      </c>
      <c r="G152" s="7">
        <v>1</v>
      </c>
      <c r="H152" s="22" t="s">
        <v>897</v>
      </c>
      <c r="I152" s="13">
        <v>42723.025810185187</v>
      </c>
      <c r="J152" s="7">
        <v>0</v>
      </c>
      <c r="K152" s="109" t="str">
        <f t="shared" si="54"/>
        <v>4013/4014</v>
      </c>
      <c r="L152" s="22" t="str">
        <f>VLOOKUP(A152,'Trips&amp;Operators'!$C$1:$G$99999,5,FALSE)</f>
        <v>SMITH MICHAEL</v>
      </c>
      <c r="M152" s="6">
        <f t="shared" si="55"/>
        <v>2.5543981486407574E-2</v>
      </c>
      <c r="N152" s="7">
        <f t="shared" si="50"/>
        <v>36.783333340426907</v>
      </c>
      <c r="O152" s="7"/>
      <c r="P152" s="7"/>
      <c r="Q152" s="23"/>
      <c r="R152" s="23"/>
      <c r="S152" s="35">
        <f t="shared" si="51"/>
        <v>1</v>
      </c>
      <c r="T152" s="50" t="str">
        <f t="shared" si="56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22:42:00-700',mode:absolute,to:'2016-12-19 01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2" s="52" t="str">
        <f t="shared" si="64"/>
        <v>N</v>
      </c>
      <c r="X152" s="177">
        <f t="shared" si="45"/>
        <v>1</v>
      </c>
      <c r="Y152" s="67">
        <f t="shared" si="58"/>
        <v>4.5100000000000001E-2</v>
      </c>
      <c r="Z152" s="67">
        <f t="shared" si="65"/>
        <v>23.329699999999999</v>
      </c>
      <c r="AA152" s="67">
        <f t="shared" si="59"/>
        <v>23.284599999999998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60"/>
        <v>0241-18</v>
      </c>
      <c r="AE152" s="91" t="str">
        <f t="shared" si="61"/>
        <v>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 &amp; aws s3 cp s3://rtdc.mdm.uploadarchive.raw/RTDC4014/ "%USERPROFILE%\AppData\Local\Temp\OnboardLogs"\RTDC4014\2016-12-20 --exclude "*" --recursive --include "*20161220*" &amp; "%USERPROFILE%\Documents\GitHub\mrs-test-scripts\Headless Mode &amp; Sideloading\WalkAndUnGZ.bat" "%USERPROFILE%\AppData\Local\Temp\OnboardLogs"\RTDC4014\2016-12-20</v>
      </c>
      <c r="AF152" s="88" t="str">
        <f t="shared" si="62"/>
        <v>"C:\Program Files (x86)\AstroGrep\AstroGrep.exe" /spath="%USERPROFILE%\AppData\Local\Temp\OnboardLogs" /stypes="app*4014*20161219*" /stext=" 07:.+((SYSTEM_STATE.+slice.+state.+changed )|(ment ac)|(multiple cpu faults)|(system.+state.+changed )|(\[timeout)|(PRM\|1\|D)|(kpr)|(kdp)|(\|lc)|(penalty))" /e /r /s</v>
      </c>
      <c r="AG152" s="1" t="str">
        <f t="shared" si="63"/>
        <v>EC</v>
      </c>
      <c r="AH152" s="92" t="str">
        <f t="shared" si="52"/>
        <v>"%USERPROFILE%\Documents\GitHub\eaglep3\Utilities\RefineRTDCRunTimes.py" --tripid 241-18 --locoid 4014 --swversion DE.1.0.8.0 --startMP 204:451 --initTime 2016-12-18T23:42:00 --startdatetime 2016-12-19T00:00:23 --delay 1 --endMP 204:233297 --enddatetime 2016-12-19T00:37:10 --enforcementcount 0 &gt;&gt;C:\Users\stu\Documents\GitHub\eaglep3-reporting\EC\2016-12-18-refined-times.txt</v>
      </c>
      <c r="AI152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{"issue":{"subject":"","project_id":79,"tracker_id":40,"status_id":1,"priority_id":2,"assigned_to_id":23,"start_date":"2016-12-19","description":"","custom_fields":[{"id":1,"name":"Subdivision","value":"EC"},{"id":4,"name":"Milepost","value":"23.3297"},{"id":17,"name":"Train ID","value":"241-18"},{"id":16,"name":"Locomotive ID","value":"4014"},{"id":130,"name":"Impact","value":""},{"id":150,"name":"Time of Event (Mountain Time)","value":"00:37:10"},{"id":151,"name":"Denver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720</v>
      </c>
      <c r="B153" s="7">
        <v>4013</v>
      </c>
      <c r="C153" s="22" t="s">
        <v>205</v>
      </c>
      <c r="D153" s="22" t="s">
        <v>741</v>
      </c>
      <c r="E153" s="13">
        <v>42723.029317129629</v>
      </c>
      <c r="F153" s="13">
        <v>42723.039155092592</v>
      </c>
      <c r="G153" s="7">
        <v>1</v>
      </c>
      <c r="H153" s="22" t="s">
        <v>246</v>
      </c>
      <c r="I153" s="13">
        <v>42723.068240740744</v>
      </c>
      <c r="J153" s="7">
        <v>0</v>
      </c>
      <c r="K153" s="109" t="str">
        <f t="shared" si="54"/>
        <v>4013/4014</v>
      </c>
      <c r="L153" s="22" t="str">
        <f>VLOOKUP(A153,'Trips&amp;Operators'!$C$1:$G$99999,5,FALSE)</f>
        <v>SMITH MICHAEL</v>
      </c>
      <c r="M153" s="6">
        <f t="shared" si="55"/>
        <v>2.9085648151522037E-2</v>
      </c>
      <c r="N153" s="7">
        <f t="shared" si="50"/>
        <v>41.883333338191733</v>
      </c>
      <c r="O153" s="7"/>
      <c r="P153" s="7"/>
      <c r="Q153" s="23"/>
      <c r="R153" s="23"/>
      <c r="S153" s="35">
        <f t="shared" si="51"/>
        <v>1</v>
      </c>
      <c r="T153" s="50" t="str">
        <f t="shared" si="56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23:42:13-700',mode:absolute,to:'2016-12-19 02:38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3" s="52" t="str">
        <f t="shared" si="64"/>
        <v>N</v>
      </c>
      <c r="X153" s="177">
        <f t="shared" ref="X153:X157" si="66">VALUE(LEFT(AD153,4))-VALUE(LEFT(AD152,4))</f>
        <v>1</v>
      </c>
      <c r="Y153" s="67">
        <f t="shared" si="58"/>
        <v>23.297599999999999</v>
      </c>
      <c r="Z153" s="67">
        <f t="shared" si="65"/>
        <v>1.6299999999999999E-2</v>
      </c>
      <c r="AA153" s="67">
        <f t="shared" si="59"/>
        <v>23.281299999999998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60"/>
        <v>0242-18</v>
      </c>
      <c r="AE153" s="91" t="str">
        <f t="shared" si="61"/>
        <v>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 &amp; aws s3 cp s3://rtdc.mdm.uploadarchive.raw/RTDC4013/ "%USERPROFILE%\AppData\Local\Temp\OnboardLogs"\RTDC4013\2016-12-20 --exclude "*" --recursive --include "*20161220*" &amp; "%USERPROFILE%\Documents\GitHub\mrs-test-scripts\Headless Mode &amp; Sideloading\WalkAndUnGZ.bat" "%USERPROFILE%\AppData\Local\Temp\OnboardLogs"\RTDC4013\2016-12-20</v>
      </c>
      <c r="AF153" s="88" t="str">
        <f t="shared" si="62"/>
        <v>"C:\Program Files (x86)\AstroGrep\AstroGrep.exe" /spath="%USERPROFILE%\AppData\Local\Temp\OnboardLogs" /stypes="app*4013*20161219*" /stext=" 08:.+((SYSTEM_STATE.+slice.+state.+changed )|(ment ac)|(multiple cpu faults)|(system.+state.+changed )|(\[timeout)|(PRM\|1\|D)|(kpr)|(kdp)|(\|lc)|(penalty))" /e /r /s</v>
      </c>
      <c r="AG153" s="1" t="str">
        <f t="shared" si="63"/>
        <v>EC</v>
      </c>
      <c r="AH153" s="92" t="str">
        <f t="shared" si="52"/>
        <v>"%USERPROFILE%\Documents\GitHub\eaglep3\Utilities\RefineRTDCRunTimes.py" --tripid 242-18 --locoid 4013 --swversion DE.1.0.8.0 --startMP 204:232976 --initTime 2016-12-19T00:42:13 --startdatetime 2016-12-19T00:56:23 --delay 1 --endMP 204:163 --enddatetime 2016-12-19T01:38:16 --enforcementcount 0 &gt;&gt;C:\Users\stu\Documents\GitHub\eaglep3-reporting\EC\2016-12-18-refined-times.txt</v>
      </c>
      <c r="AI153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{"issue":{"subject":"","project_id":79,"tracker_id":40,"status_id":1,"priority_id":2,"assigned_to_id":23,"start_date":"2016-12-19","description":"","custom_fields":[{"id":1,"name":"Subdivision","value":"EC"},{"id":4,"name":"Milepost","value":"0.0163"},{"id":17,"name":"Train ID","value":"242-18"},{"id":16,"name":"Locomotive ID","value":"4013"},{"id":130,"name":"Impact","value":""},{"id":150,"name":"Time of Event (Mountain Time)","value":"01:38:16"},{"id":151,"name":"Denver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718</v>
      </c>
      <c r="B154" s="7">
        <v>4044</v>
      </c>
      <c r="C154" s="22" t="s">
        <v>205</v>
      </c>
      <c r="D154" s="22" t="s">
        <v>193</v>
      </c>
      <c r="E154" s="13">
        <v>42723.006631944445</v>
      </c>
      <c r="F154" s="13">
        <v>42723.02138888889</v>
      </c>
      <c r="G154" s="7">
        <v>1</v>
      </c>
      <c r="H154" s="22" t="s">
        <v>898</v>
      </c>
      <c r="I154" s="13">
        <v>42723.046898148146</v>
      </c>
      <c r="J154" s="7">
        <v>0</v>
      </c>
      <c r="K154" s="109" t="str">
        <f t="shared" si="54"/>
        <v>4043/4044</v>
      </c>
      <c r="L154" s="22" t="str">
        <f>VLOOKUP(A154,'Trips&amp;Operators'!$C$1:$G$99999,5,FALSE)</f>
        <v>STAMBAUGH JAMES</v>
      </c>
      <c r="M154" s="6">
        <f t="shared" si="55"/>
        <v>2.5509259256068617E-2</v>
      </c>
      <c r="N154" s="7">
        <f t="shared" si="50"/>
        <v>36.733333328738809</v>
      </c>
      <c r="O154" s="7"/>
      <c r="P154" s="7"/>
      <c r="Q154" s="23"/>
      <c r="R154" s="23"/>
      <c r="S154" s="35">
        <f t="shared" si="51"/>
        <v>1</v>
      </c>
      <c r="T154" s="50" t="str">
        <f t="shared" si="56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23:09:33-700',mode:absolute,to:'2016-12-19 02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4" s="52" t="str">
        <f t="shared" si="64"/>
        <v>N</v>
      </c>
      <c r="X154" s="177">
        <f t="shared" si="66"/>
        <v>1</v>
      </c>
      <c r="Y154" s="67">
        <f t="shared" si="58"/>
        <v>4.4699999999999997E-2</v>
      </c>
      <c r="Z154" s="67">
        <f t="shared" si="65"/>
        <v>23.332699999999999</v>
      </c>
      <c r="AA154" s="67">
        <f t="shared" si="59"/>
        <v>23.288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60"/>
        <v>0243-18</v>
      </c>
      <c r="AE154" s="91" t="str">
        <f t="shared" si="61"/>
        <v>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 &amp; 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</v>
      </c>
      <c r="AF154" s="88" t="str">
        <f t="shared" si="62"/>
        <v>"C:\Program Files (x86)\AstroGrep\AstroGrep.exe" /spath="%USERPROFILE%\AppData\Local\Temp\OnboardLogs" /stypes="app*4044*20161219*" /stext=" 08:.+((SYSTEM_STATE.+slice.+state.+changed )|(ment ac)|(multiple cpu faults)|(system.+state.+changed )|(\[timeout)|(PRM\|1\|D)|(kpr)|(kdp)|(\|lc)|(penalty))" /e /r /s</v>
      </c>
      <c r="AG154" s="1" t="str">
        <f t="shared" si="63"/>
        <v>EC</v>
      </c>
      <c r="AH154" s="92" t="str">
        <f t="shared" si="52"/>
        <v>"%USERPROFILE%\Documents\GitHub\eaglep3\Utilities\RefineRTDCRunTimes.py" --tripid 243-18 --locoid 4044 --swversion DE.1.0.8.0 --startMP 204:447 --initTime 2016-12-19T00:09:33 --startdatetime 2016-12-19T00:30:48 --delay 1 --endMP 204:233327 --enddatetime 2016-12-19T01:07:32 --enforcementcount 0 &gt;&gt;C:\Users\stu\Documents\GitHub\eaglep3-reporting\EC\2016-12-18-refined-times.txt</v>
      </c>
      <c r="AI154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{"issue":{"subject":"","project_id":79,"tracker_id":40,"status_id":1,"priority_id":2,"assigned_to_id":23,"start_date":"2016-12-19","description":"","custom_fields":[{"id":1,"name":"Subdivision","value":"EC"},{"id":4,"name":"Milepost","value":"23.3327"},{"id":17,"name":"Train ID","value":"243-18"},{"id":16,"name":"Locomotive ID","value":"4044"},{"id":130,"name":"Impact","value":""},{"id":150,"name":"Time of Event (Mountain Time)","value":"01:07:32"},{"id":151,"name":"Denver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722</v>
      </c>
      <c r="B155" s="7">
        <v>4043</v>
      </c>
      <c r="C155" s="22" t="s">
        <v>205</v>
      </c>
      <c r="D155" s="22" t="s">
        <v>319</v>
      </c>
      <c r="E155" s="13">
        <v>42723.05736111111</v>
      </c>
      <c r="F155" s="13">
        <v>42723.060115740744</v>
      </c>
      <c r="G155" s="7">
        <v>0</v>
      </c>
      <c r="H155" s="22" t="s">
        <v>899</v>
      </c>
      <c r="I155" s="13">
        <v>42723.085879629631</v>
      </c>
      <c r="J155" s="7">
        <v>0</v>
      </c>
      <c r="K155" s="109" t="str">
        <f t="shared" si="54"/>
        <v>4043/4044</v>
      </c>
      <c r="L155" s="22" t="str">
        <f>VLOOKUP(A155,'Trips&amp;Operators'!$C$1:$G$99999,5,FALSE)</f>
        <v>STAMBAUGH JAMES</v>
      </c>
      <c r="M155" s="6">
        <f t="shared" si="55"/>
        <v>2.5763888887013309E-2</v>
      </c>
      <c r="N155" s="7">
        <f t="shared" si="50"/>
        <v>37.099999997299165</v>
      </c>
      <c r="O155" s="7"/>
      <c r="P155" s="7"/>
      <c r="Q155" s="23"/>
      <c r="R155" s="23"/>
      <c r="S155" s="35">
        <f t="shared" si="51"/>
        <v>1</v>
      </c>
      <c r="T155" s="50" t="str">
        <f t="shared" si="56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https://search-rtdc-monitor-bjffxe2xuh6vdkpspy63sjmuny.us-east-1.es.amazonaws.com/_plugin/kibana/#/discover/Steve-Slow-Train-Analysis-(2080s-and-2083s)?_g=(refreshInterval:(display:Off,section:0,value:0),time:(from:'2016-12-19 00:22:36-700',mode:absolute,to:'2016-12-19 03:03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5" s="52" t="str">
        <f t="shared" si="64"/>
        <v>N</v>
      </c>
      <c r="X155" s="177">
        <f t="shared" si="66"/>
        <v>1</v>
      </c>
      <c r="Y155" s="67">
        <f t="shared" si="58"/>
        <v>23.300799999999999</v>
      </c>
      <c r="Z155" s="67">
        <f t="shared" si="65"/>
        <v>1.8700000000000001E-2</v>
      </c>
      <c r="AA155" s="67">
        <f t="shared" si="59"/>
        <v>23.2821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60"/>
        <v>0244-18</v>
      </c>
      <c r="AE155" s="91" t="str">
        <f t="shared" si="61"/>
        <v>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 &amp; 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</v>
      </c>
      <c r="AF155" s="88" t="str">
        <f t="shared" si="62"/>
        <v>"C:\Program Files (x86)\AstroGrep\AstroGrep.exe" /spath="%USERPROFILE%\AppData\Local\Temp\OnboardLogs" /stypes="app*4043*20161219*" /stext=" 09:.+((SYSTEM_STATE.+slice.+state.+changed )|(ment ac)|(multiple cpu faults)|(system.+state.+changed )|(\[timeout)|(PRM\|1\|D)|(kpr)|(kdp)|(\|lc)|(penalty))" /e /r /s</v>
      </c>
      <c r="AG155" s="1" t="str">
        <f t="shared" si="63"/>
        <v>EC</v>
      </c>
      <c r="AH155" s="92" t="str">
        <f t="shared" si="52"/>
        <v>"%USERPROFILE%\Documents\GitHub\eaglep3\Utilities\RefineRTDCRunTimes.py" --tripid 244-18 --locoid 4043 --swversion DE.1.0.8.0 --startMP 204:233008 --initTime 2016-12-19T01:22:36 --startdatetime 2016-12-19T01:26:34 --delay 0 --endMP 204:187 --enddatetime 2016-12-19T02:03:40 --enforcementcount 0 &gt;&gt;C:\Users\stu\Documents\GitHub\eaglep3-reporting\EC\2016-12-18-refined-times.txt</v>
      </c>
      <c r="AI155" s="119" t="str">
        <f t="shared" si="53"/>
        <v>echo {"issue":{"subject":"","project_id":79,"tracker_id":40,"status_id":1,"priority_id":2,"assigned_to_id":23,"start_date":"2016-12-19","description":"","custom_fields":[{"id":1,"name":"Subdivision","value":"EC"},{"id":4,"name":"Milepost","value":"0.0187"},{"id":17,"name":"Train ID","value":"244-18"},{"id":16,"name":"Locomotive ID","value":"4043"},{"id":130,"name":"Impact","value":""},{"id":150,"name":"Time of Event (Mountain Time)","value":"02:03:40"},{"id":151,"name":"Denver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570</v>
      </c>
      <c r="B156" s="7">
        <v>4021</v>
      </c>
      <c r="C156" s="22" t="s">
        <v>205</v>
      </c>
      <c r="D156" s="22" t="s">
        <v>490</v>
      </c>
      <c r="E156" s="13">
        <v>42722.233194444445</v>
      </c>
      <c r="F156" s="13">
        <v>42722.235856481479</v>
      </c>
      <c r="G156" s="7">
        <v>1</v>
      </c>
      <c r="H156" s="22" t="s">
        <v>827</v>
      </c>
      <c r="I156" s="13">
        <v>42722.246018518519</v>
      </c>
      <c r="J156" s="7">
        <v>0</v>
      </c>
      <c r="K156" s="109" t="str">
        <f t="shared" si="54"/>
        <v>4021/4022</v>
      </c>
      <c r="L156" s="22" t="str">
        <f>VLOOKUP(A156,'Trips&amp;Operators'!$C$1:$G$99999,5,FALSE)</f>
        <v>YORK EDGAR</v>
      </c>
      <c r="M156" s="6">
        <f t="shared" si="55"/>
        <v>1.0162037040572613E-2</v>
      </c>
      <c r="N156" s="7">
        <f t="shared" si="50"/>
        <v>14.633333338424563</v>
      </c>
      <c r="O156" s="7"/>
      <c r="P156" s="7"/>
      <c r="Q156" s="23"/>
      <c r="R156" s="23"/>
      <c r="S156" s="35">
        <f t="shared" si="51"/>
        <v>1</v>
      </c>
      <c r="T156" s="50" t="str">
        <f t="shared" si="56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04:35:48-700',mode:absolute,to:'2016-12-18 06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6" s="52" t="str">
        <f t="shared" si="64"/>
        <v>N</v>
      </c>
      <c r="X156" s="177">
        <f t="shared" si="66"/>
        <v>1556</v>
      </c>
      <c r="Y156" s="67">
        <f t="shared" si="58"/>
        <v>5.8619000000000003</v>
      </c>
      <c r="Z156" s="67">
        <f t="shared" si="65"/>
        <v>7.4499999999999997E-2</v>
      </c>
      <c r="AA156" s="67">
        <f t="shared" si="59"/>
        <v>5.7874000000000008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60"/>
        <v>1800-18</v>
      </c>
      <c r="AE156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56" s="88" t="str">
        <f t="shared" si="62"/>
        <v>"C:\Program Files (x86)\AstroGrep\AstroGrep.exe" /spath="%USERPROFILE%\AppData\Local\Temp\OnboardLogs" /stypes="app*4021*20161218*" /stext=" 12:.+((SYSTEM_STATE.+slice.+state.+changed )|(ment ac)|(multiple cpu faults)|(system.+state.+changed )|(\[timeout)|(PRM\|1\|D)|(kpr)|(kdp)|(\|lc)|(penalty))" /e /r /s</v>
      </c>
      <c r="AG156" s="1" t="str">
        <f t="shared" si="63"/>
        <v>NW</v>
      </c>
      <c r="AH156" s="92" t="str">
        <f t="shared" si="52"/>
        <v>"%USERPROFILE%\Documents\GitHub\eaglep3\Utilities\RefineRTDCRunTimes.py" --tripid 1800-18 --locoid 4021 --swversion DE.1.0.8.0 --startMP 300:58619 --initTime 2016-12-18T05:35:48 --startdatetime 2016-12-18T05:39:38 --delay 1 --endMP 204:745 --enddatetime 2016-12-18T05:54:16 --enforcementcount 0 &gt;&gt;C:\Users\stu\Documents\GitHub\eaglep3-reporting\EC\2016-12-18-refined-times.txt</v>
      </c>
      <c r="AI156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{"issue":{"subject":"","project_id":79,"tracker_id":40,"status_id":1,"priority_id":2,"assigned_to_id":23,"start_date":"2016-12-18","description":"","custom_fields":[{"id":1,"name":"Subdivision","value":"NW"},{"id":4,"name":"Milepost","value":"0.0745"},{"id":17,"name":"Train ID","value":"1800-18"},{"id":16,"name":"Locomotive ID","value":"4021"},{"id":130,"name":"Impact","value":""},{"id":150,"name":"Time of Event (Mountain Time)","value":"05:54:16"},{"id":151,"name":"Denver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571</v>
      </c>
      <c r="B157" s="7">
        <v>4022</v>
      </c>
      <c r="C157" s="22" t="s">
        <v>205</v>
      </c>
      <c r="D157" s="22" t="s">
        <v>495</v>
      </c>
      <c r="E157" s="13">
        <v>42722.249826388892</v>
      </c>
      <c r="F157" s="13">
        <v>42722.264999999999</v>
      </c>
      <c r="G157" s="7">
        <v>1</v>
      </c>
      <c r="H157" s="22" t="s">
        <v>503</v>
      </c>
      <c r="I157" s="13">
        <v>42722.274270833332</v>
      </c>
      <c r="J157" s="7">
        <v>0</v>
      </c>
      <c r="K157" s="109" t="str">
        <f t="shared" si="54"/>
        <v>4021/4022</v>
      </c>
      <c r="L157" s="22" t="str">
        <f>VLOOKUP(A157,'Trips&amp;Operators'!$C$1:$G$99999,5,FALSE)</f>
        <v>YORK EDGAR</v>
      </c>
      <c r="M157" s="6">
        <f t="shared" si="55"/>
        <v>9.2708333322661929E-3</v>
      </c>
      <c r="N157" s="7">
        <f t="shared" si="50"/>
        <v>13.349999998463318</v>
      </c>
      <c r="O157" s="7"/>
      <c r="P157" s="7"/>
      <c r="Q157" s="23"/>
      <c r="R157" s="23"/>
      <c r="S157" s="35">
        <f t="shared" si="51"/>
        <v>1</v>
      </c>
      <c r="T157" s="50" t="str">
        <f t="shared" si="56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04:59:45-700',mode:absolute,to:'2016-12-18 07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7" s="52" t="str">
        <f t="shared" si="64"/>
        <v>N</v>
      </c>
      <c r="X157" s="177">
        <f t="shared" si="66"/>
        <v>1</v>
      </c>
      <c r="Y157" s="67">
        <f t="shared" si="58"/>
        <v>0.10199999999999999</v>
      </c>
      <c r="Z157" s="67">
        <f t="shared" si="65"/>
        <v>5.8920000000000003</v>
      </c>
      <c r="AA157" s="67">
        <f t="shared" si="59"/>
        <v>5.79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60"/>
        <v>1801-18</v>
      </c>
      <c r="AE157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57" s="88" t="str">
        <f t="shared" si="62"/>
        <v>"C:\Program Files (x86)\AstroGrep\AstroGrep.exe" /spath="%USERPROFILE%\AppData\Local\Temp\OnboardLogs" /stypes="app*4022*20161218*" /stext=" 13:.+((SYSTEM_STATE.+slice.+state.+changed )|(ment ac)|(multiple cpu faults)|(system.+state.+changed )|(\[timeout)|(PRM\|1\|D)|(kpr)|(kdp)|(\|lc)|(penalty))" /e /r /s</v>
      </c>
      <c r="AG157" s="1" t="str">
        <f t="shared" si="63"/>
        <v>NW</v>
      </c>
      <c r="AH157" s="92" t="str">
        <f t="shared" si="52"/>
        <v>"%USERPROFILE%\Documents\GitHub\eaglep3\Utilities\RefineRTDCRunTimes.py" --tripid 1801-18 --locoid 4022 --swversion DE.1.0.8.0 --startMP 204:1020 --initTime 2016-12-18T05:59:45 --startdatetime 2016-12-18T06:21:36 --delay 1 --endMP 300:58920 --enddatetime 2016-12-18T06:34:57 --enforcementcount 0 &gt;&gt;C:\Users\stu\Documents\GitHub\eaglep3-reporting\EC\2016-12-18-refined-times.txt</v>
      </c>
      <c r="AI157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{"issue":{"subject":"","project_id":79,"tracker_id":40,"status_id":1,"priority_id":2,"assigned_to_id":23,"start_date":"2016-12-18","description":"","custom_fields":[{"id":1,"name":"Subdivision","value":"NW"},{"id":4,"name":"Milepost","value":"5.892"},{"id":17,"name":"Train ID","value":"1801-18"},{"id":16,"name":"Locomotive ID","value":"4022"},{"id":130,"name":"Impact","value":""},{"id":150,"name":"Time of Event (Mountain Time)","value":"06:34:57"},{"id":151,"name":"Denver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7" t="s">
        <v>572</v>
      </c>
      <c r="B158" s="7">
        <v>4021</v>
      </c>
      <c r="C158" s="22" t="s">
        <v>205</v>
      </c>
      <c r="D158" s="22" t="s">
        <v>502</v>
      </c>
      <c r="E158" s="13">
        <v>42722.276018518518</v>
      </c>
      <c r="F158" s="13">
        <v>42722.277858796297</v>
      </c>
      <c r="G158" s="7">
        <v>2</v>
      </c>
      <c r="H158" s="22" t="s">
        <v>504</v>
      </c>
      <c r="I158" s="13">
        <v>42722.283194444448</v>
      </c>
      <c r="J158" s="7">
        <v>0</v>
      </c>
      <c r="K158" s="109" t="str">
        <f t="shared" si="54"/>
        <v>4021/4022</v>
      </c>
      <c r="L158" s="22" t="str">
        <f>VLOOKUP(A158,'Trips&amp;Operators'!$C$1:$G$99999,5,FALSE)</f>
        <v>YORK EDGAR</v>
      </c>
      <c r="M158" s="6">
        <f t="shared" si="55"/>
        <v>5.3356481512309983E-3</v>
      </c>
      <c r="N158" s="7"/>
      <c r="O158" s="7"/>
      <c r="P158" s="7">
        <f>24*60*SUM($M158:$M158)</f>
        <v>7.6833333377726376</v>
      </c>
      <c r="Q158" s="23"/>
      <c r="R158" s="23" t="s">
        <v>953</v>
      </c>
      <c r="S158" s="35">
        <f t="shared" si="51"/>
        <v>0</v>
      </c>
      <c r="T158" s="50" t="str">
        <f t="shared" si="56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05:37:28-700',mode:absolute,to:'2016-12-18 07:47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8" s="52" t="str">
        <f t="shared" si="64"/>
        <v>Y</v>
      </c>
      <c r="X158" s="177">
        <f t="shared" ref="X158:X189" si="67">VALUE(LEFT(AD158,4))-VALUE(LEFT(AD157,4))</f>
        <v>1</v>
      </c>
      <c r="Y158" s="67">
        <f t="shared" si="58"/>
        <v>5.8616999999999999</v>
      </c>
      <c r="Z158" s="67">
        <v>5.8616999999999999</v>
      </c>
      <c r="AA158" s="67">
        <f t="shared" si="59"/>
        <v>0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60"/>
        <v>1802-18</v>
      </c>
      <c r="AE158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58" s="88" t="str">
        <f t="shared" si="62"/>
        <v>"C:\Program Files (x86)\AstroGrep\AstroGrep.exe" /spath="%USERPROFILE%\AppData\Local\Temp\OnboardLogs" /stypes="app*4021*20161218*" /stext=" 13:.+((SYSTEM_STATE.+slice.+state.+changed )|(ment ac)|(multiple cpu faults)|(system.+state.+changed )|(\[timeout)|(PRM\|1\|D)|(kpr)|(kdp)|(\|lc)|(penalty))" /e /r /s</v>
      </c>
      <c r="AG158" s="1" t="str">
        <f t="shared" si="63"/>
        <v>NW</v>
      </c>
      <c r="AH158" s="92" t="str">
        <f t="shared" si="52"/>
        <v>"%USERPROFILE%\Documents\GitHub\eaglep3\Utilities\RefineRTDCRunTimes.py" --tripid 1802-18 --locoid 4021 --swversion DE.1.0.8.0 --startMP 300:58617 --initTime 2016-12-18T06:37:28 --startdatetime 2016-12-18T06:40:07 --delay 2 --endMP 204:738 --enddatetime 2016-12-18T06:47:48 --enforcementcount 0 &gt;&gt;C:\Users\stu\Documents\GitHub\eaglep3-reporting\EC\2016-12-18-refined-times.txt</v>
      </c>
      <c r="AI158" s="119" t="str">
        <f t="shared" si="53"/>
        <v>echo {"issue":{"subject":"Onboard in-route failure","project_id":79,"tracker_id":40,"status_id":1,"priority_id":2,"assigned_to_id":23,"start_date":"2016-12-18","description":"","custom_fields":[{"id":1,"name":"Subdivision","value":"NW"},{"id":4,"name":"Milepost","value":"5.8617"},{"id":17,"name":"Train ID","value":"1802-18"},{"id":16,"name":"Locomotive ID","value":"4021"},{"id":130,"name":"Impact","value":""},{"id":150,"name":"Time of Event (Mountain Time)","value":"06:47:48"},{"id":151,"name":"Denver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574</v>
      </c>
      <c r="B159" s="7">
        <v>4022</v>
      </c>
      <c r="C159" s="22" t="s">
        <v>205</v>
      </c>
      <c r="D159" s="22" t="s">
        <v>828</v>
      </c>
      <c r="E159" s="13">
        <v>42722.291203703702</v>
      </c>
      <c r="F159" s="13">
        <v>42722.306620370371</v>
      </c>
      <c r="G159" s="7">
        <v>0</v>
      </c>
      <c r="H159" s="22" t="s">
        <v>491</v>
      </c>
      <c r="I159" s="13">
        <v>42722.31559027778</v>
      </c>
      <c r="J159" s="7">
        <v>0</v>
      </c>
      <c r="K159" s="109" t="str">
        <f t="shared" si="54"/>
        <v>4021/4022</v>
      </c>
      <c r="L159" s="22" t="str">
        <f>VLOOKUP(A159,'Trips&amp;Operators'!$C$1:$G$99999,5,FALSE)</f>
        <v>YORK EDGAR</v>
      </c>
      <c r="M159" s="6">
        <f t="shared" si="55"/>
        <v>8.969907408754807E-3</v>
      </c>
      <c r="N159" s="7">
        <f t="shared" ref="N159:N190" si="68">24*60*SUM($M159:$M159)</f>
        <v>12.916666668606922</v>
      </c>
      <c r="O159" s="7"/>
      <c r="P159" s="7"/>
      <c r="Q159" s="23"/>
      <c r="R159" s="23"/>
      <c r="S159" s="35">
        <f t="shared" si="51"/>
        <v>1</v>
      </c>
      <c r="T159" s="50" t="str">
        <f t="shared" si="56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05:59:20-700',mode:absolute,to:'2016-12-18 08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9" s="52" t="str">
        <f t="shared" si="64"/>
        <v>N</v>
      </c>
      <c r="X159" s="177">
        <f t="shared" si="67"/>
        <v>1</v>
      </c>
      <c r="Y159" s="67">
        <f t="shared" si="58"/>
        <v>0.1004</v>
      </c>
      <c r="Z159" s="67">
        <f t="shared" ref="Z159:Z190" si="69">RIGHT(H159,LEN(H159)-4)/10000</f>
        <v>5.8940999999999999</v>
      </c>
      <c r="AA159" s="67">
        <f t="shared" si="59"/>
        <v>5.7937000000000003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60"/>
        <v>1803-18</v>
      </c>
      <c r="AE159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59" s="88" t="str">
        <f t="shared" si="62"/>
        <v>"C:\Program Files (x86)\AstroGrep\AstroGrep.exe" /spath="%USERPROFILE%\AppData\Local\Temp\OnboardLogs" /stypes="app*4022*20161218*" /stext=" 14:.+((SYSTEM_STATE.+slice.+state.+changed )|(ment ac)|(multiple cpu faults)|(system.+state.+changed )|(\[timeout)|(PRM\|1\|D)|(kpr)|(kdp)|(\|lc)|(penalty))" /e /r /s</v>
      </c>
      <c r="AG159" s="1" t="str">
        <f t="shared" si="63"/>
        <v>NW</v>
      </c>
      <c r="AH159" s="92" t="str">
        <f t="shared" si="52"/>
        <v>"%USERPROFILE%\Documents\GitHub\eaglep3\Utilities\RefineRTDCRunTimes.py" --tripid 1803-18 --locoid 4022 --swversion DE.1.0.8.0 --startMP 204:1004 --initTime 2016-12-18T06:59:20 --startdatetime 2016-12-18T07:21:32 --delay 0 --endMP 300:58941 --enddatetime 2016-12-18T07:34:27 --enforcementcount 0 &gt;&gt;C:\Users\stu\Documents\GitHub\eaglep3-reporting\EC\2016-12-18-refined-times.txt</v>
      </c>
      <c r="AI159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{"issue":{"subject":"","project_id":79,"tracker_id":40,"status_id":1,"priority_id":2,"assigned_to_id":23,"start_date":"2016-12-18","description":"","custom_fields":[{"id":1,"name":"Subdivision","value":"NW"},{"id":4,"name":"Milepost","value":"5.8941"},{"id":17,"name":"Train ID","value":"1803-18"},{"id":16,"name":"Locomotive ID","value":"4022"},{"id":130,"name":"Impact","value":""},{"id":150,"name":"Time of Event (Mountain Time)","value":"07:34:27"},{"id":151,"name":"Denver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577</v>
      </c>
      <c r="B160" s="7">
        <v>4021</v>
      </c>
      <c r="C160" s="22" t="s">
        <v>205</v>
      </c>
      <c r="D160" s="22" t="s">
        <v>268</v>
      </c>
      <c r="E160" s="13">
        <v>42722.317731481482</v>
      </c>
      <c r="F160" s="13">
        <v>42722.319872685184</v>
      </c>
      <c r="G160" s="7">
        <v>1</v>
      </c>
      <c r="H160" s="22" t="s">
        <v>504</v>
      </c>
      <c r="I160" s="13">
        <v>42722.329236111109</v>
      </c>
      <c r="J160" s="7">
        <v>0</v>
      </c>
      <c r="K160" s="109" t="str">
        <f t="shared" si="54"/>
        <v>4021/4022</v>
      </c>
      <c r="L160" s="22" t="str">
        <f>VLOOKUP(A160,'Trips&amp;Operators'!$C$1:$G$99999,5,FALSE)</f>
        <v>YORK EDGAR</v>
      </c>
      <c r="M160" s="6">
        <f t="shared" si="55"/>
        <v>9.3634259246755391E-3</v>
      </c>
      <c r="N160" s="7">
        <f t="shared" si="68"/>
        <v>13.483333331532776</v>
      </c>
      <c r="O160" s="7"/>
      <c r="P160" s="7"/>
      <c r="Q160" s="23"/>
      <c r="R160" s="23"/>
      <c r="S160" s="35">
        <f t="shared" si="51"/>
        <v>1</v>
      </c>
      <c r="T160" s="50" t="str">
        <f t="shared" si="56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06:37:32-700',mode:absolute,to:'2016-12-18 08:54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0" s="52" t="str">
        <f t="shared" si="64"/>
        <v>N</v>
      </c>
      <c r="X160" s="177">
        <f t="shared" si="67"/>
        <v>1</v>
      </c>
      <c r="Y160" s="67">
        <f t="shared" si="58"/>
        <v>5.8623000000000003</v>
      </c>
      <c r="Z160" s="67">
        <f t="shared" si="69"/>
        <v>7.3800000000000004E-2</v>
      </c>
      <c r="AA160" s="67">
        <f t="shared" si="59"/>
        <v>5.7885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60"/>
        <v>1804-18</v>
      </c>
      <c r="AE160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60" s="88" t="str">
        <f t="shared" si="62"/>
        <v>"C:\Program Files (x86)\AstroGrep\AstroGrep.exe" /spath="%USERPROFILE%\AppData\Local\Temp\OnboardLogs" /stypes="app*4021*20161218*" /stext=" 14:.+((SYSTEM_STATE.+slice.+state.+changed )|(ment ac)|(multiple cpu faults)|(system.+state.+changed )|(\[timeout)|(PRM\|1\|D)|(kpr)|(kdp)|(\|lc)|(penalty))" /e /r /s</v>
      </c>
      <c r="AG160" s="1" t="str">
        <f t="shared" si="63"/>
        <v>NW</v>
      </c>
      <c r="AH160" s="92" t="str">
        <f t="shared" si="52"/>
        <v>"%USERPROFILE%\Documents\GitHub\eaglep3\Utilities\RefineRTDCRunTimes.py" --tripid 1804-18 --locoid 4021 --swversion DE.1.0.8.0 --startMP 300:58623 --initTime 2016-12-18T07:37:32 --startdatetime 2016-12-18T07:40:37 --delay 1 --endMP 204:738 --enddatetime 2016-12-18T07:54:06 --enforcementcount 0 &gt;&gt;C:\Users\stu\Documents\GitHub\eaglep3-reporting\EC\2016-12-18-refined-times.txt</v>
      </c>
      <c r="AI160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{"issue":{"subject":"","project_id":79,"tracker_id":40,"status_id":1,"priority_id":2,"assigned_to_id":23,"start_date":"2016-12-18","description":"","custom_fields":[{"id":1,"name":"Subdivision","value":"NW"},{"id":4,"name":"Milepost","value":"0.0738"},{"id":17,"name":"Train ID","value":"1804-18"},{"id":16,"name":"Locomotive ID","value":"4021"},{"id":130,"name":"Impact","value":""},{"id":150,"name":"Time of Event (Mountain Time)","value":"07:54:06"},{"id":151,"name":"Denver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581</v>
      </c>
      <c r="B161" s="7">
        <v>4022</v>
      </c>
      <c r="C161" s="22" t="s">
        <v>205</v>
      </c>
      <c r="D161" s="22" t="s">
        <v>493</v>
      </c>
      <c r="E161" s="13">
        <v>42722.347858796296</v>
      </c>
      <c r="F161" s="13">
        <v>42722.348877314813</v>
      </c>
      <c r="G161" s="7">
        <v>0</v>
      </c>
      <c r="H161" s="22" t="s">
        <v>293</v>
      </c>
      <c r="I161" s="13">
        <v>42722.357581018521</v>
      </c>
      <c r="J161" s="7">
        <v>0</v>
      </c>
      <c r="K161" s="109" t="str">
        <f t="shared" si="54"/>
        <v>4021/4022</v>
      </c>
      <c r="L161" s="22" t="str">
        <f>VLOOKUP(A161,'Trips&amp;Operators'!$C$1:$G$99999,5,FALSE)</f>
        <v>YORK EDGAR</v>
      </c>
      <c r="M161" s="6">
        <f t="shared" si="55"/>
        <v>8.7037037083064206E-3</v>
      </c>
      <c r="N161" s="7">
        <f t="shared" si="68"/>
        <v>12.533333339961246</v>
      </c>
      <c r="O161" s="7"/>
      <c r="P161" s="7"/>
      <c r="Q161" s="23"/>
      <c r="R161" s="23"/>
      <c r="S161" s="35">
        <f t="shared" si="51"/>
        <v>1</v>
      </c>
      <c r="T161" s="50" t="str">
        <f t="shared" si="56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07:20:55-700',mode:absolute,to:'2016-12-18 09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1" s="52" t="str">
        <f t="shared" si="64"/>
        <v>N</v>
      </c>
      <c r="X161" s="177">
        <f t="shared" si="67"/>
        <v>1</v>
      </c>
      <c r="Y161" s="67">
        <f t="shared" si="58"/>
        <v>0.1016</v>
      </c>
      <c r="Z161" s="67">
        <f t="shared" si="69"/>
        <v>5.8936999999999999</v>
      </c>
      <c r="AA161" s="67">
        <f t="shared" si="59"/>
        <v>5.7920999999999996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60"/>
        <v>1805-18</v>
      </c>
      <c r="AE161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61" s="88" t="str">
        <f t="shared" si="62"/>
        <v>"C:\Program Files (x86)\AstroGrep\AstroGrep.exe" /spath="%USERPROFILE%\AppData\Local\Temp\OnboardLogs" /stypes="app*4022*20161218*" /stext=" 15:.+((SYSTEM_STATE.+slice.+state.+changed )|(ment ac)|(multiple cpu faults)|(system.+state.+changed )|(\[timeout)|(PRM\|1\|D)|(kpr)|(kdp)|(\|lc)|(penalty))" /e /r /s</v>
      </c>
      <c r="AG161" s="1" t="str">
        <f t="shared" si="63"/>
        <v>NW</v>
      </c>
      <c r="AH161" s="92" t="str">
        <f t="shared" si="52"/>
        <v>"%USERPROFILE%\Documents\GitHub\eaglep3\Utilities\RefineRTDCRunTimes.py" --tripid 1805-18 --locoid 4022 --swversion DE.1.0.8.0 --startMP 204:1016 --initTime 2016-12-18T08:20:55 --startdatetime 2016-12-18T08:22:23 --delay 0 --endMP 300:58937 --enddatetime 2016-12-18T08:34:55 --enforcementcount 0 &gt;&gt;C:\Users\stu\Documents\GitHub\eaglep3-reporting\EC\2016-12-18-refined-times.txt</v>
      </c>
      <c r="AI161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{"issue":{"subject":"","project_id":79,"tracker_id":40,"status_id":1,"priority_id":2,"assigned_to_id":23,"start_date":"2016-12-18","description":"","custom_fields":[{"id":1,"name":"Subdivision","value":"NW"},{"id":4,"name":"Milepost","value":"5.8937"},{"id":17,"name":"Train ID","value":"1805-18"},{"id":16,"name":"Locomotive ID","value":"4022"},{"id":130,"name":"Impact","value":""},{"id":150,"name":"Time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583</v>
      </c>
      <c r="B162" s="7">
        <v>4021</v>
      </c>
      <c r="C162" s="22" t="s">
        <v>205</v>
      </c>
      <c r="D162" s="22" t="s">
        <v>331</v>
      </c>
      <c r="E162" s="13">
        <v>42722.361331018517</v>
      </c>
      <c r="F162" s="13">
        <v>42722.362858796296</v>
      </c>
      <c r="G162" s="7">
        <v>1</v>
      </c>
      <c r="H162" s="22" t="s">
        <v>492</v>
      </c>
      <c r="I162" s="13">
        <v>42722.371006944442</v>
      </c>
      <c r="J162" s="7">
        <v>0</v>
      </c>
      <c r="K162" s="109" t="str">
        <f t="shared" si="54"/>
        <v>4021/4022</v>
      </c>
      <c r="L162" s="22" t="str">
        <f>VLOOKUP(A162,'Trips&amp;Operators'!$C$1:$G$99999,5,FALSE)</f>
        <v>YORK EDGAR</v>
      </c>
      <c r="M162" s="6">
        <f t="shared" si="55"/>
        <v>8.1481481465743855E-3</v>
      </c>
      <c r="N162" s="7">
        <f t="shared" si="68"/>
        <v>11.733333331067115</v>
      </c>
      <c r="O162" s="7"/>
      <c r="P162" s="7"/>
      <c r="Q162" s="23"/>
      <c r="R162" s="23"/>
      <c r="S162" s="35">
        <f t="shared" si="51"/>
        <v>1</v>
      </c>
      <c r="T162" s="50" t="str">
        <f t="shared" si="56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07:40:19-700',mode:absolute,to:'2016-12-18 09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2" s="52" t="str">
        <f t="shared" si="64"/>
        <v>N</v>
      </c>
      <c r="X162" s="177">
        <f t="shared" si="67"/>
        <v>1</v>
      </c>
      <c r="Y162" s="67">
        <f t="shared" si="58"/>
        <v>5.8624000000000001</v>
      </c>
      <c r="Z162" s="67">
        <f t="shared" si="69"/>
        <v>7.4300000000000005E-2</v>
      </c>
      <c r="AA162" s="67">
        <f t="shared" si="59"/>
        <v>5.7881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60"/>
        <v>1806-18</v>
      </c>
      <c r="AE162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62" s="88" t="str">
        <f t="shared" si="62"/>
        <v>"C:\Program Files (x86)\AstroGrep\AstroGrep.exe" /spath="%USERPROFILE%\AppData\Local\Temp\OnboardLogs" /stypes="app*4021*20161218*" /stext=" 15:.+((SYSTEM_STATE.+slice.+state.+changed )|(ment ac)|(multiple cpu faults)|(system.+state.+changed )|(\[timeout)|(PRM\|1\|D)|(kpr)|(kdp)|(\|lc)|(penalty))" /e /r /s</v>
      </c>
      <c r="AG162" s="1" t="str">
        <f t="shared" si="63"/>
        <v>NW</v>
      </c>
      <c r="AH162" s="92" t="str">
        <f t="shared" si="52"/>
        <v>"%USERPROFILE%\Documents\GitHub\eaglep3\Utilities\RefineRTDCRunTimes.py" --tripid 1806-18 --locoid 4021 --swversion DE.1.0.8.0 --startMP 300:58624 --initTime 2016-12-18T08:40:19 --startdatetime 2016-12-18T08:42:31 --delay 1 --endMP 204:743 --enddatetime 2016-12-18T08:54:15 --enforcementcount 0 &gt;&gt;C:\Users\stu\Documents\GitHub\eaglep3-reporting\EC\2016-12-18-refined-times.txt</v>
      </c>
      <c r="AI162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{"issue":{"subject":"","project_id":79,"tracker_id":40,"status_id":1,"priority_id":2,"assigned_to_id":23,"start_date":"2016-12-18","description":"","custom_fields":[{"id":1,"name":"Subdivision","value":"NW"},{"id":4,"name":"Milepost","value":"0.0743"},{"id":17,"name":"Train ID","value":"1806-18"},{"id":16,"name":"Locomotive ID","value":"4021"},{"id":130,"name":"Impact","value":""},{"id":150,"name":"Time of Event (Mountain Time)","value":"08:54:15"},{"id":151,"name":"Denver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585</v>
      </c>
      <c r="B163" s="7">
        <v>4022</v>
      </c>
      <c r="C163" s="22" t="s">
        <v>205</v>
      </c>
      <c r="D163" s="22" t="s">
        <v>829</v>
      </c>
      <c r="E163" s="13">
        <v>42722.374664351853</v>
      </c>
      <c r="F163" s="13">
        <v>42722.389756944445</v>
      </c>
      <c r="G163" s="7">
        <v>1</v>
      </c>
      <c r="H163" s="22" t="s">
        <v>289</v>
      </c>
      <c r="I163" s="13">
        <v>42722.398599537039</v>
      </c>
      <c r="J163" s="7">
        <v>0</v>
      </c>
      <c r="K163" s="109" t="str">
        <f t="shared" si="54"/>
        <v>4021/4022</v>
      </c>
      <c r="L163" s="22" t="str">
        <f>VLOOKUP(A163,'Trips&amp;Operators'!$C$1:$G$99999,5,FALSE)</f>
        <v>YORK EDGAR</v>
      </c>
      <c r="M163" s="6">
        <f t="shared" si="55"/>
        <v>8.8425925932824612E-3</v>
      </c>
      <c r="N163" s="7">
        <f t="shared" si="68"/>
        <v>12.733333334326744</v>
      </c>
      <c r="O163" s="7"/>
      <c r="P163" s="7"/>
      <c r="Q163" s="23"/>
      <c r="R163" s="23"/>
      <c r="S163" s="35">
        <f t="shared" si="51"/>
        <v>1</v>
      </c>
      <c r="T163" s="50" t="str">
        <f t="shared" si="56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07:59:31-700',mode:absolute,to:'2016-12-18 10:33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3" s="52" t="str">
        <f t="shared" si="64"/>
        <v>N</v>
      </c>
      <c r="X163" s="177">
        <f t="shared" si="67"/>
        <v>1</v>
      </c>
      <c r="Y163" s="67">
        <f t="shared" si="58"/>
        <v>0.1018</v>
      </c>
      <c r="Z163" s="67">
        <f t="shared" si="69"/>
        <v>5.8930999999999996</v>
      </c>
      <c r="AA163" s="67">
        <f t="shared" si="59"/>
        <v>5.7912999999999997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60"/>
        <v>1807-18</v>
      </c>
      <c r="AE163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63" s="88" t="str">
        <f t="shared" si="62"/>
        <v>"C:\Program Files (x86)\AstroGrep\AstroGrep.exe" /spath="%USERPROFILE%\AppData\Local\Temp\OnboardLogs" /stypes="app*4022*20161218*" /stext=" 16:.+((SYSTEM_STATE.+slice.+state.+changed )|(ment ac)|(multiple cpu faults)|(system.+state.+changed )|(\[timeout)|(PRM\|1\|D)|(kpr)|(kdp)|(\|lc)|(penalty))" /e /r /s</v>
      </c>
      <c r="AG163" s="1" t="str">
        <f t="shared" si="63"/>
        <v>NW</v>
      </c>
      <c r="AH163" s="92" t="str">
        <f t="shared" si="52"/>
        <v>"%USERPROFILE%\Documents\GitHub\eaglep3\Utilities\RefineRTDCRunTimes.py" --tripid 1807-18 --locoid 4022 --swversion DE.1.0.8.0 --startMP 204:1018 --initTime 2016-12-18T08:59:31 --startdatetime 2016-12-18T09:21:15 --delay 1 --endMP 300:58931 --enddatetime 2016-12-18T09:33:59 --enforcementcount 0 &gt;&gt;C:\Users\stu\Documents\GitHub\eaglep3-reporting\EC\2016-12-18-refined-times.txt</v>
      </c>
      <c r="AI163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{"issue":{"subject":"","project_id":79,"tracker_id":40,"status_id":1,"priority_id":2,"assigned_to_id":23,"start_date":"2016-12-18","description":"","custom_fields":[{"id":1,"name":"Subdivision","value":"NW"},{"id":4,"name":"Milepost","value":"5.8931"},{"id":17,"name":"Train ID","value":"1807-18"},{"id":16,"name":"Locomotive ID","value":"4022"},{"id":130,"name":"Impact","value":""},{"id":150,"name":"Time of Event (Mountain Time)","value":"09:33:59"},{"id":151,"name":"Denver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591</v>
      </c>
      <c r="B164" s="7">
        <v>4021</v>
      </c>
      <c r="C164" s="22" t="s">
        <v>205</v>
      </c>
      <c r="D164" s="22" t="s">
        <v>331</v>
      </c>
      <c r="E164" s="13">
        <v>42722.399895833332</v>
      </c>
      <c r="F164" s="13">
        <v>42722.401550925926</v>
      </c>
      <c r="G164" s="7">
        <v>1</v>
      </c>
      <c r="H164" s="22" t="s">
        <v>489</v>
      </c>
      <c r="I164" s="13">
        <v>42722.412638888891</v>
      </c>
      <c r="J164" s="7">
        <v>0</v>
      </c>
      <c r="K164" s="109" t="str">
        <f t="shared" si="54"/>
        <v>4021/4022</v>
      </c>
      <c r="L164" s="22" t="str">
        <f>VLOOKUP(A164,'Trips&amp;Operators'!$C$1:$G$99999,5,FALSE)</f>
        <v>YORK EDGAR</v>
      </c>
      <c r="M164" s="6">
        <f t="shared" si="55"/>
        <v>1.1087962964666076E-2</v>
      </c>
      <c r="N164" s="7">
        <f t="shared" si="68"/>
        <v>15.966666669119149</v>
      </c>
      <c r="O164" s="7"/>
      <c r="P164" s="7"/>
      <c r="Q164" s="23"/>
      <c r="R164" s="23"/>
      <c r="S164" s="35">
        <f t="shared" si="51"/>
        <v>1</v>
      </c>
      <c r="T164" s="50" t="str">
        <f t="shared" si="56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08:35:51-700',mode:absolute,to:'2016-12-18 10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4" s="52" t="str">
        <f t="shared" si="64"/>
        <v>N</v>
      </c>
      <c r="X164" s="177">
        <f t="shared" si="67"/>
        <v>1</v>
      </c>
      <c r="Y164" s="67">
        <f t="shared" si="58"/>
        <v>5.8624000000000001</v>
      </c>
      <c r="Z164" s="67">
        <f t="shared" si="69"/>
        <v>7.1900000000000006E-2</v>
      </c>
      <c r="AA164" s="67">
        <f t="shared" si="59"/>
        <v>5.7904999999999998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60"/>
        <v>1808-18</v>
      </c>
      <c r="AE164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64" s="88" t="str">
        <f t="shared" si="62"/>
        <v>"C:\Program Files (x86)\AstroGrep\AstroGrep.exe" /spath="%USERPROFILE%\AppData\Local\Temp\OnboardLogs" /stypes="app*4021*20161218*" /stext=" 16:.+((SYSTEM_STATE.+slice.+state.+changed )|(ment ac)|(multiple cpu faults)|(system.+state.+changed )|(\[timeout)|(PRM\|1\|D)|(kpr)|(kdp)|(\|lc)|(penalty))" /e /r /s</v>
      </c>
      <c r="AG164" s="1" t="str">
        <f t="shared" si="63"/>
        <v>NW</v>
      </c>
      <c r="AH164" s="92" t="str">
        <f t="shared" si="52"/>
        <v>"%USERPROFILE%\Documents\GitHub\eaglep3\Utilities\RefineRTDCRunTimes.py" --tripid 1808-18 --locoid 4021 --swversion DE.1.0.8.0 --startMP 300:58624 --initTime 2016-12-18T09:35:51 --startdatetime 2016-12-18T09:38:14 --delay 1 --endMP 204:719 --enddatetime 2016-12-18T09:54:12 --enforcementcount 0 &gt;&gt;C:\Users\stu\Documents\GitHub\eaglep3-reporting\EC\2016-12-18-refined-times.txt</v>
      </c>
      <c r="AI164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{"issue":{"subject":"","project_id":79,"tracker_id":40,"status_id":1,"priority_id":2,"assigned_to_id":23,"start_date":"2016-12-18","description":"","custom_fields":[{"id":1,"name":"Subdivision","value":"NW"},{"id":4,"name":"Milepost","value":"0.0719"},{"id":17,"name":"Train ID","value":"1808-18"},{"id":16,"name":"Locomotive ID","value":"4021"},{"id":130,"name":"Impact","value":""},{"id":150,"name":"Time of Event (Mountain Time)","value":"09:54:12"},{"id":151,"name":"Denver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596</v>
      </c>
      <c r="B165" s="7">
        <v>4022</v>
      </c>
      <c r="C165" s="22" t="s">
        <v>205</v>
      </c>
      <c r="D165" s="22" t="s">
        <v>828</v>
      </c>
      <c r="E165" s="13">
        <v>42722.414201388892</v>
      </c>
      <c r="F165" s="13">
        <v>42722.43141203704</v>
      </c>
      <c r="G165" s="7">
        <v>1</v>
      </c>
      <c r="H165" s="22" t="s">
        <v>333</v>
      </c>
      <c r="I165" s="13">
        <v>42722.440011574072</v>
      </c>
      <c r="J165" s="7">
        <v>0</v>
      </c>
      <c r="K165" s="109" t="str">
        <f t="shared" si="54"/>
        <v>4021/4022</v>
      </c>
      <c r="L165" s="22" t="str">
        <f>VLOOKUP(A165,'Trips&amp;Operators'!$C$1:$G$99999,5,FALSE)</f>
        <v>YORK EDGAR</v>
      </c>
      <c r="M165" s="6">
        <f t="shared" si="55"/>
        <v>8.5995370318414643E-3</v>
      </c>
      <c r="N165" s="7">
        <f t="shared" si="68"/>
        <v>12.383333325851709</v>
      </c>
      <c r="O165" s="7"/>
      <c r="P165" s="7"/>
      <c r="Q165" s="23"/>
      <c r="R165" s="23"/>
      <c r="S165" s="35">
        <f t="shared" si="51"/>
        <v>1</v>
      </c>
      <c r="T165" s="50" t="str">
        <f t="shared" si="56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08:56:27-700',mode:absolute,to:'2016-12-18 11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5" s="52" t="str">
        <f t="shared" si="64"/>
        <v>N</v>
      </c>
      <c r="X165" s="177">
        <f t="shared" si="67"/>
        <v>1</v>
      </c>
      <c r="Y165" s="67">
        <f t="shared" si="58"/>
        <v>0.1004</v>
      </c>
      <c r="Z165" s="67">
        <f t="shared" si="69"/>
        <v>5.8933</v>
      </c>
      <c r="AA165" s="67">
        <f t="shared" si="59"/>
        <v>5.7929000000000004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60"/>
        <v>1809-18</v>
      </c>
      <c r="AE165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65" s="88" t="str">
        <f t="shared" si="62"/>
        <v>"C:\Program Files (x86)\AstroGrep\AstroGrep.exe" /spath="%USERPROFILE%\AppData\Local\Temp\OnboardLogs" /stypes="app*4022*20161218*" /stext=" 17:.+((SYSTEM_STATE.+slice.+state.+changed )|(ment ac)|(multiple cpu faults)|(system.+state.+changed )|(\[timeout)|(PRM\|1\|D)|(kpr)|(kdp)|(\|lc)|(penalty))" /e /r /s</v>
      </c>
      <c r="AG165" s="1" t="str">
        <f t="shared" si="63"/>
        <v>NW</v>
      </c>
      <c r="AH165" s="92" t="str">
        <f t="shared" si="52"/>
        <v>"%USERPROFILE%\Documents\GitHub\eaglep3\Utilities\RefineRTDCRunTimes.py" --tripid 1809-18 --locoid 4022 --swversion DE.1.0.8.0 --startMP 204:1004 --initTime 2016-12-18T09:56:27 --startdatetime 2016-12-18T10:21:14 --delay 1 --endMP 300:58933 --enddatetime 2016-12-18T10:33:37 --enforcementcount 0 &gt;&gt;C:\Users\stu\Documents\GitHub\eaglep3-reporting\EC\2016-12-18-refined-times.txt</v>
      </c>
      <c r="AI165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{"issue":{"subject":"","project_id":79,"tracker_id":40,"status_id":1,"priority_id":2,"assigned_to_id":23,"start_date":"2016-12-18","description":"","custom_fields":[{"id":1,"name":"Subdivision","value":"NW"},{"id":4,"name":"Milepost","value":"5.8933"},{"id":17,"name":"Train ID","value":"1809-18"},{"id":16,"name":"Locomotive ID","value":"4022"},{"id":130,"name":"Impact","value":""},{"id":150,"name":"Time of Event (Mountain Time)","value":"10:33:37"},{"id":151,"name":"Denver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602</v>
      </c>
      <c r="B166" s="7">
        <v>4021</v>
      </c>
      <c r="C166" s="22" t="s">
        <v>205</v>
      </c>
      <c r="D166" s="22" t="s">
        <v>490</v>
      </c>
      <c r="E166" s="13">
        <v>42722.442499999997</v>
      </c>
      <c r="F166" s="13">
        <v>42722.44462962963</v>
      </c>
      <c r="G166" s="7">
        <v>2</v>
      </c>
      <c r="H166" s="22" t="s">
        <v>494</v>
      </c>
      <c r="I166" s="13">
        <v>42722.454791666663</v>
      </c>
      <c r="J166" s="7">
        <v>0</v>
      </c>
      <c r="K166" s="109" t="str">
        <f t="shared" si="54"/>
        <v>4021/4022</v>
      </c>
      <c r="L166" s="22" t="str">
        <f>VLOOKUP(A166,'Trips&amp;Operators'!$C$1:$G$99999,5,FALSE)</f>
        <v>YORK EDGAR</v>
      </c>
      <c r="M166" s="6">
        <f t="shared" si="55"/>
        <v>1.0162037033296656E-2</v>
      </c>
      <c r="N166" s="7">
        <f t="shared" si="68"/>
        <v>14.633333327947184</v>
      </c>
      <c r="O166" s="7"/>
      <c r="P166" s="7"/>
      <c r="Q166" s="23"/>
      <c r="R166" s="23"/>
      <c r="S166" s="35">
        <f t="shared" si="51"/>
        <v>1</v>
      </c>
      <c r="T166" s="50" t="str">
        <f t="shared" si="56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09:37:12-700',mode:absolute,to:'2016-12-18 11:54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6" s="52" t="str">
        <f t="shared" si="64"/>
        <v>N</v>
      </c>
      <c r="X166" s="177">
        <f t="shared" si="67"/>
        <v>1</v>
      </c>
      <c r="Y166" s="67">
        <f t="shared" si="58"/>
        <v>5.8619000000000003</v>
      </c>
      <c r="Z166" s="67">
        <f t="shared" si="69"/>
        <v>7.4099999999999999E-2</v>
      </c>
      <c r="AA166" s="67">
        <f t="shared" si="59"/>
        <v>5.7878000000000007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60"/>
        <v>1810-18</v>
      </c>
      <c r="AE166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66" s="88" t="str">
        <f t="shared" si="62"/>
        <v>"C:\Program Files (x86)\AstroGrep\AstroGrep.exe" /spath="%USERPROFILE%\AppData\Local\Temp\OnboardLogs" /stypes="app*4021*20161218*" /stext=" 17:.+((SYSTEM_STATE.+slice.+state.+changed )|(ment ac)|(multiple cpu faults)|(system.+state.+changed )|(\[timeout)|(PRM\|1\|D)|(kpr)|(kdp)|(\|lc)|(penalty))" /e /r /s</v>
      </c>
      <c r="AG166" s="1" t="str">
        <f t="shared" si="63"/>
        <v>NW</v>
      </c>
      <c r="AH166" s="92" t="str">
        <f t="shared" si="52"/>
        <v>"%USERPROFILE%\Documents\GitHub\eaglep3\Utilities\RefineRTDCRunTimes.py" --tripid 1810-18 --locoid 4021 --swversion DE.1.0.8.0 --startMP 300:58619 --initTime 2016-12-18T10:37:12 --startdatetime 2016-12-18T10:40:16 --delay 2 --endMP 204:741 --enddatetime 2016-12-18T10:54:54 --enforcementcount 0 &gt;&gt;C:\Users\stu\Documents\GitHub\eaglep3-reporting\EC\2016-12-18-refined-times.txt</v>
      </c>
      <c r="AI166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{"issue":{"subject":"","project_id":79,"tracker_id":40,"status_id":1,"priority_id":2,"assigned_to_id":23,"start_date":"2016-12-18","description":"","custom_fields":[{"id":1,"name":"Subdivision","value":"NW"},{"id":4,"name":"Milepost","value":"0.0741"},{"id":17,"name":"Train ID","value":"1810-18"},{"id":16,"name":"Locomotive ID","value":"4021"},{"id":130,"name":"Impact","value":""},{"id":150,"name":"Time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607</v>
      </c>
      <c r="B167" s="7">
        <v>4022</v>
      </c>
      <c r="C167" s="22" t="s">
        <v>205</v>
      </c>
      <c r="D167" s="22" t="s">
        <v>493</v>
      </c>
      <c r="E167" s="13">
        <v>42722.463055555556</v>
      </c>
      <c r="F167" s="13">
        <v>42722.473090277781</v>
      </c>
      <c r="G167" s="7">
        <v>0</v>
      </c>
      <c r="H167" s="22" t="s">
        <v>488</v>
      </c>
      <c r="I167" s="13">
        <v>42722.481944444444</v>
      </c>
      <c r="J167" s="7">
        <v>0</v>
      </c>
      <c r="K167" s="109" t="str">
        <f t="shared" si="54"/>
        <v>4021/4022</v>
      </c>
      <c r="L167" s="22" t="str">
        <f>VLOOKUP(A167,'Trips&amp;Operators'!$C$1:$G$99999,5,FALSE)</f>
        <v>YORK EDGAR</v>
      </c>
      <c r="M167" s="6">
        <f t="shared" si="55"/>
        <v>8.8541666627861559E-3</v>
      </c>
      <c r="N167" s="7">
        <f t="shared" si="68"/>
        <v>12.749999994412065</v>
      </c>
      <c r="O167" s="7"/>
      <c r="P167" s="7"/>
      <c r="Q167" s="23"/>
      <c r="R167" s="23"/>
      <c r="S167" s="35">
        <f t="shared" si="51"/>
        <v>1</v>
      </c>
      <c r="T167" s="50" t="str">
        <f t="shared" si="56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10:06:48-700',mode:absolute,to:'2016-12-18 12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7" s="52" t="str">
        <f t="shared" si="64"/>
        <v>N</v>
      </c>
      <c r="X167" s="177">
        <f t="shared" si="67"/>
        <v>1</v>
      </c>
      <c r="Y167" s="67">
        <f t="shared" si="58"/>
        <v>0.1016</v>
      </c>
      <c r="Z167" s="67">
        <f t="shared" si="69"/>
        <v>5.8924000000000003</v>
      </c>
      <c r="AA167" s="67">
        <f t="shared" si="59"/>
        <v>5.7907999999999999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60"/>
        <v>1811-18</v>
      </c>
      <c r="AE167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67" s="88" t="str">
        <f t="shared" si="62"/>
        <v>"C:\Program Files (x86)\AstroGrep\AstroGrep.exe" /spath="%USERPROFILE%\AppData\Local\Temp\OnboardLogs" /stypes="app*4022*20161218*" /stext=" 18:.+((SYSTEM_STATE.+slice.+state.+changed )|(ment ac)|(multiple cpu faults)|(system.+state.+changed )|(\[timeout)|(PRM\|1\|D)|(kpr)|(kdp)|(\|lc)|(penalty))" /e /r /s</v>
      </c>
      <c r="AG167" s="1" t="str">
        <f t="shared" si="63"/>
        <v>NW</v>
      </c>
      <c r="AH167" s="92" t="str">
        <f t="shared" si="52"/>
        <v>"%USERPROFILE%\Documents\GitHub\eaglep3\Utilities\RefineRTDCRunTimes.py" --tripid 1811-18 --locoid 4022 --swversion DE.1.0.8.0 --startMP 204:1016 --initTime 2016-12-18T11:06:48 --startdatetime 2016-12-18T11:21:15 --delay 0 --endMP 300:58924 --enddatetime 2016-12-18T11:34:00 --enforcementcount 0 &gt;&gt;C:\Users\stu\Documents\GitHub\eaglep3-reporting\EC\2016-12-18-refined-times.txt</v>
      </c>
      <c r="AI167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{"issue":{"subject":"","project_id":79,"tracker_id":40,"status_id":1,"priority_id":2,"assigned_to_id":23,"start_date":"2016-12-18","description":"","custom_fields":[{"id":1,"name":"Subdivision","value":"NW"},{"id":4,"name":"Milepost","value":"5.8924"},{"id":17,"name":"Train ID","value":"1811-18"},{"id":16,"name":"Locomotive ID","value":"4022"},{"id":130,"name":"Impact","value":""},{"id":150,"name":"Time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611</v>
      </c>
      <c r="B168" s="7">
        <v>4021</v>
      </c>
      <c r="C168" s="22" t="s">
        <v>205</v>
      </c>
      <c r="D168" s="22" t="s">
        <v>832</v>
      </c>
      <c r="E168" s="13">
        <v>42722.483298611114</v>
      </c>
      <c r="F168" s="13">
        <v>42722.484652777777</v>
      </c>
      <c r="G168" s="7">
        <v>1</v>
      </c>
      <c r="H168" s="22" t="s">
        <v>833</v>
      </c>
      <c r="I168" s="13">
        <v>42722.496134259258</v>
      </c>
      <c r="J168" s="7">
        <v>0</v>
      </c>
      <c r="K168" s="109" t="str">
        <f t="shared" si="54"/>
        <v>4021/4022</v>
      </c>
      <c r="L168" s="22" t="str">
        <f>VLOOKUP(A168,'Trips&amp;Operators'!$C$1:$G$99999,5,FALSE)</f>
        <v>YORK EDGAR</v>
      </c>
      <c r="M168" s="6">
        <f t="shared" si="55"/>
        <v>1.1481481480586808E-2</v>
      </c>
      <c r="N168" s="7">
        <f t="shared" si="68"/>
        <v>16.533333332045004</v>
      </c>
      <c r="O168" s="7"/>
      <c r="P168" s="7"/>
      <c r="Q168" s="23"/>
      <c r="R168" s="23"/>
      <c r="S168" s="35">
        <f t="shared" ref="S168:S199" si="70">SUM(U168:U168)/IF(AG168="EC",12,1)</f>
        <v>1</v>
      </c>
      <c r="T168" s="50" t="str">
        <f t="shared" si="56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10:35:57-700',mode:absolute,to:'2016-12-18 12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8" s="52" t="str">
        <f t="shared" si="64"/>
        <v>N</v>
      </c>
      <c r="X168" s="177">
        <f t="shared" si="67"/>
        <v>1</v>
      </c>
      <c r="Y168" s="67">
        <f t="shared" si="58"/>
        <v>5.8611000000000004</v>
      </c>
      <c r="Z168" s="67">
        <f t="shared" si="69"/>
        <v>7.17E-2</v>
      </c>
      <c r="AA168" s="67">
        <f t="shared" si="59"/>
        <v>5.7894000000000005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60"/>
        <v>1812-18</v>
      </c>
      <c r="AE168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68" s="88" t="str">
        <f t="shared" si="62"/>
        <v>"C:\Program Files (x86)\AstroGrep\AstroGrep.exe" /spath="%USERPROFILE%\AppData\Local\Temp\OnboardLogs" /stypes="app*4021*20161218*" /stext=" 18:.+((SYSTEM_STATE.+slice.+state.+changed )|(ment ac)|(multiple cpu faults)|(system.+state.+changed )|(\[timeout)|(PRM\|1\|D)|(kpr)|(kdp)|(\|lc)|(penalty))" /e /r /s</v>
      </c>
      <c r="AG168" s="1" t="str">
        <f t="shared" si="63"/>
        <v>NW</v>
      </c>
      <c r="AH168" s="92" t="str">
        <f t="shared" si="52"/>
        <v>"%USERPROFILE%\Documents\GitHub\eaglep3\Utilities\RefineRTDCRunTimes.py" --tripid 1812-18 --locoid 4021 --swversion DE.1.0.8.0 --startMP 300:58611 --initTime 2016-12-18T11:35:57 --startdatetime 2016-12-18T11:37:54 --delay 1 --endMP 204:717 --enddatetime 2016-12-18T11:54:26 --enforcementcount 0 &gt;&gt;C:\Users\stu\Documents\GitHub\eaglep3-reporting\EC\2016-12-18-refined-times.txt</v>
      </c>
      <c r="AI168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{"issue":{"subject":"","project_id":79,"tracker_id":40,"status_id":1,"priority_id":2,"assigned_to_id":23,"start_date":"2016-12-18","description":"","custom_fields":[{"id":1,"name":"Subdivision","value":"NW"},{"id":4,"name":"Milepost","value":"0.0717"},{"id":17,"name":"Train ID","value":"1812-18"},{"id":16,"name":"Locomotive ID","value":"4021"},{"id":130,"name":"Impact","value":""},{"id":150,"name":"Time of Event (Mountain Time)","value":"11:54:26"},{"id":151,"name":"Denver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619</v>
      </c>
      <c r="B169" s="7">
        <v>4022</v>
      </c>
      <c r="C169" s="22" t="s">
        <v>205</v>
      </c>
      <c r="D169" s="22" t="s">
        <v>834</v>
      </c>
      <c r="E169" s="13">
        <v>42722.49796296296</v>
      </c>
      <c r="F169" s="13">
        <v>42722.514780092592</v>
      </c>
      <c r="G169" s="7">
        <v>0</v>
      </c>
      <c r="H169" s="22" t="s">
        <v>290</v>
      </c>
      <c r="I169" s="13">
        <v>42722.523541666669</v>
      </c>
      <c r="J169" s="7">
        <v>0</v>
      </c>
      <c r="K169" s="109" t="str">
        <f t="shared" si="54"/>
        <v>4021/4022</v>
      </c>
      <c r="L169" s="22" t="str">
        <f>VLOOKUP(A169,'Trips&amp;Operators'!$C$1:$G$99999,5,FALSE)</f>
        <v>YORK EDGAR</v>
      </c>
      <c r="M169" s="6">
        <f t="shared" si="55"/>
        <v>8.7615740776527673E-3</v>
      </c>
      <c r="N169" s="7">
        <f t="shared" si="68"/>
        <v>12.616666671819985</v>
      </c>
      <c r="O169" s="7"/>
      <c r="P169" s="7"/>
      <c r="Q169" s="23"/>
      <c r="R169" s="23"/>
      <c r="S169" s="35">
        <f t="shared" si="70"/>
        <v>1</v>
      </c>
      <c r="T169" s="50" t="str">
        <f t="shared" si="56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10:57:04-700',mode:absolute,to:'2016-12-18 13:33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9" s="52" t="str">
        <f t="shared" si="64"/>
        <v>N</v>
      </c>
      <c r="X169" s="177">
        <f t="shared" si="67"/>
        <v>1</v>
      </c>
      <c r="Y169" s="67">
        <f t="shared" si="58"/>
        <v>0.1007</v>
      </c>
      <c r="Z169" s="67">
        <f t="shared" si="69"/>
        <v>5.8935000000000004</v>
      </c>
      <c r="AA169" s="67">
        <f t="shared" si="59"/>
        <v>5.7928000000000006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60"/>
        <v>1813-18</v>
      </c>
      <c r="AE169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69" s="88" t="str">
        <f t="shared" si="62"/>
        <v>"C:\Program Files (x86)\AstroGrep\AstroGrep.exe" /spath="%USERPROFILE%\AppData\Local\Temp\OnboardLogs" /stypes="app*4022*20161218*" /stext=" 19:.+((SYSTEM_STATE.+slice.+state.+changed )|(ment ac)|(multiple cpu faults)|(system.+state.+changed )|(\[timeout)|(PRM\|1\|D)|(kpr)|(kdp)|(\|lc)|(penalty))" /e /r /s</v>
      </c>
      <c r="AG169" s="1" t="str">
        <f t="shared" si="63"/>
        <v>NW</v>
      </c>
      <c r="AH169" s="92" t="str">
        <f t="shared" si="52"/>
        <v>"%USERPROFILE%\Documents\GitHub\eaglep3\Utilities\RefineRTDCRunTimes.py" --tripid 1813-18 --locoid 4022 --swversion DE.1.0.8.0 --startMP 204:1007 --initTime 2016-12-18T11:57:04 --startdatetime 2016-12-18T12:21:17 --delay 0 --endMP 300:58935 --enddatetime 2016-12-18T12:33:54 --enforcementcount 0 &gt;&gt;C:\Users\stu\Documents\GitHub\eaglep3-reporting\EC\2016-12-18-refined-times.txt</v>
      </c>
      <c r="AI169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{"issue":{"subject":"","project_id":79,"tracker_id":40,"status_id":1,"priority_id":2,"assigned_to_id":23,"start_date":"2016-12-18","description":"","custom_fields":[{"id":1,"name":"Subdivision","value":"NW"},{"id":4,"name":"Milepost","value":"5.8935"},{"id":17,"name":"Train ID","value":"1813-18"},{"id":16,"name":"Locomotive ID","value":"4022"},{"id":130,"name":"Impact","value":""},{"id":150,"name":"Time of Event (Mountain Time)","value":"12:33:54"},{"id":151,"name":"Denver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626</v>
      </c>
      <c r="B170" s="7">
        <v>4021</v>
      </c>
      <c r="C170" s="22" t="s">
        <v>205</v>
      </c>
      <c r="D170" s="22" t="s">
        <v>338</v>
      </c>
      <c r="E170" s="13">
        <v>42722.525057870371</v>
      </c>
      <c r="F170" s="13">
        <v>42722.526550925926</v>
      </c>
      <c r="G170" s="7">
        <v>1</v>
      </c>
      <c r="H170" s="22" t="s">
        <v>487</v>
      </c>
      <c r="I170" s="13">
        <v>42722.53738425926</v>
      </c>
      <c r="J170" s="7">
        <v>0</v>
      </c>
      <c r="K170" s="109" t="str">
        <f t="shared" si="54"/>
        <v>4021/4022</v>
      </c>
      <c r="L170" s="22" t="str">
        <f>VLOOKUP(A170,'Trips&amp;Operators'!$C$1:$G$99999,5,FALSE)</f>
        <v>YORK EDGAR</v>
      </c>
      <c r="M170" s="6">
        <f t="shared" si="55"/>
        <v>1.0833333333721384E-2</v>
      </c>
      <c r="N170" s="7">
        <f t="shared" si="68"/>
        <v>15.600000000558794</v>
      </c>
      <c r="O170" s="7"/>
      <c r="P170" s="7"/>
      <c r="Q170" s="23"/>
      <c r="R170" s="23"/>
      <c r="S170" s="35">
        <f t="shared" si="70"/>
        <v>1</v>
      </c>
      <c r="T170" s="50" t="str">
        <f t="shared" si="56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11:36:05-700',mode:absolute,to:'2016-12-18 13:53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0" s="52" t="str">
        <f t="shared" si="64"/>
        <v>N</v>
      </c>
      <c r="X170" s="177">
        <f t="shared" si="67"/>
        <v>1</v>
      </c>
      <c r="Y170" s="67">
        <f t="shared" si="58"/>
        <v>5.8615000000000004</v>
      </c>
      <c r="Z170" s="67">
        <f t="shared" si="69"/>
        <v>7.3400000000000007E-2</v>
      </c>
      <c r="AA170" s="67">
        <f t="shared" si="59"/>
        <v>5.7881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60"/>
        <v>1814-18</v>
      </c>
      <c r="AE170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70" s="88" t="str">
        <f t="shared" si="62"/>
        <v>"C:\Program Files (x86)\AstroGrep\AstroGrep.exe" /spath="%USERPROFILE%\AppData\Local\Temp\OnboardLogs" /stypes="app*4021*20161218*" /stext=" 19:.+((SYSTEM_STATE.+slice.+state.+changed )|(ment ac)|(multiple cpu faults)|(system.+state.+changed )|(\[timeout)|(PRM\|1\|D)|(kpr)|(kdp)|(\|lc)|(penalty))" /e /r /s</v>
      </c>
      <c r="AG170" s="1" t="str">
        <f t="shared" si="63"/>
        <v>NW</v>
      </c>
      <c r="AH170" s="92" t="str">
        <f t="shared" si="52"/>
        <v>"%USERPROFILE%\Documents\GitHub\eaglep3\Utilities\RefineRTDCRunTimes.py" --tripid 1814-18 --locoid 4021 --swversion DE.1.0.8.0 --startMP 300:58615 --initTime 2016-12-18T12:36:05 --startdatetime 2016-12-18T12:38:14 --delay 1 --endMP 204:734 --enddatetime 2016-12-18T12:53:50 --enforcementcount 0 &gt;&gt;C:\Users\stu\Documents\GitHub\eaglep3-reporting\EC\2016-12-18-refined-times.txt</v>
      </c>
      <c r="AI170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{"issue":{"subject":"","project_id":79,"tracker_id":40,"status_id":1,"priority_id":2,"assigned_to_id":23,"start_date":"2016-12-18","description":"","custom_fields":[{"id":1,"name":"Subdivision","value":"NW"},{"id":4,"name":"Milepost","value":"0.0734"},{"id":17,"name":"Train ID","value":"1814-18"},{"id":16,"name":"Locomotive ID","value":"4021"},{"id":130,"name":"Impact","value":""},{"id":150,"name":"Time of Event (Mountain Time)","value":"12:53:50"},{"id":151,"name":"Denver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629</v>
      </c>
      <c r="B171" s="7">
        <v>4022</v>
      </c>
      <c r="C171" s="22" t="s">
        <v>205</v>
      </c>
      <c r="D171" s="22" t="s">
        <v>495</v>
      </c>
      <c r="E171" s="13">
        <v>42722.538518518515</v>
      </c>
      <c r="F171" s="13">
        <v>42722.556550925925</v>
      </c>
      <c r="G171" s="7">
        <v>0</v>
      </c>
      <c r="H171" s="22" t="s">
        <v>486</v>
      </c>
      <c r="I171" s="13">
        <v>42722.56527777778</v>
      </c>
      <c r="J171" s="7">
        <v>0</v>
      </c>
      <c r="K171" s="109" t="str">
        <f t="shared" si="54"/>
        <v>4021/4022</v>
      </c>
      <c r="L171" s="22" t="str">
        <f>VLOOKUP(A171,'Trips&amp;Operators'!$C$1:$G$99999,5,FALSE)</f>
        <v>YORK EDGAR</v>
      </c>
      <c r="M171" s="6">
        <f t="shared" si="55"/>
        <v>8.7268518545897678E-3</v>
      </c>
      <c r="N171" s="7">
        <f t="shared" si="68"/>
        <v>12.566666670609266</v>
      </c>
      <c r="O171" s="7"/>
      <c r="P171" s="7"/>
      <c r="Q171" s="23"/>
      <c r="R171" s="23"/>
      <c r="S171" s="35">
        <f t="shared" si="70"/>
        <v>1</v>
      </c>
      <c r="T171" s="50" t="str">
        <f t="shared" si="56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11:55:28-700',mode:absolute,to:'2016-12-18 14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1" s="52" t="str">
        <f t="shared" si="64"/>
        <v>N</v>
      </c>
      <c r="X171" s="177">
        <f t="shared" si="67"/>
        <v>1</v>
      </c>
      <c r="Y171" s="67">
        <f t="shared" si="58"/>
        <v>0.10199999999999999</v>
      </c>
      <c r="Z171" s="67">
        <f t="shared" si="69"/>
        <v>5.8929</v>
      </c>
      <c r="AA171" s="67">
        <f t="shared" si="59"/>
        <v>5.7908999999999997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60"/>
        <v>1815-18</v>
      </c>
      <c r="AE171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71" s="88" t="str">
        <f t="shared" si="62"/>
        <v>"C:\Program Files (x86)\AstroGrep\AstroGrep.exe" /spath="%USERPROFILE%\AppData\Local\Temp\OnboardLogs" /stypes="app*4022*20161218*" /stext=" 20:.+((SYSTEM_STATE.+slice.+state.+changed )|(ment ac)|(multiple cpu faults)|(system.+state.+changed )|(\[timeout)|(PRM\|1\|D)|(kpr)|(kdp)|(\|lc)|(penalty))" /e /r /s</v>
      </c>
      <c r="AG171" s="1" t="str">
        <f t="shared" si="63"/>
        <v>NW</v>
      </c>
      <c r="AH171" s="92" t="str">
        <f t="shared" si="52"/>
        <v>"%USERPROFILE%\Documents\GitHub\eaglep3\Utilities\RefineRTDCRunTimes.py" --tripid 1815-18 --locoid 4022 --swversion DE.1.0.8.0 --startMP 204:1020 --initTime 2016-12-18T12:55:28 --startdatetime 2016-12-18T13:21:26 --delay 0 --endMP 300:58929 --enddatetime 2016-12-18T13:34:00 --enforcementcount 0 &gt;&gt;C:\Users\stu\Documents\GitHub\eaglep3-reporting\EC\2016-12-18-refined-times.txt</v>
      </c>
      <c r="AI171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{"issue":{"subject":"","project_id":79,"tracker_id":40,"status_id":1,"priority_id":2,"assigned_to_id":23,"start_date":"2016-12-18","description":"","custom_fields":[{"id":1,"name":"Subdivision","value":"NW"},{"id":4,"name":"Milepost","value":"5.8929"},{"id":17,"name":"Train ID","value":"1815-18"},{"id":16,"name":"Locomotive ID","value":"4022"},{"id":130,"name":"Impact","value":""},{"id":150,"name":"Time of Event (Mountain Time)","value":"13:34:00"},{"id":151,"name":"Denver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636</v>
      </c>
      <c r="B172" s="7">
        <v>4021</v>
      </c>
      <c r="C172" s="22" t="s">
        <v>205</v>
      </c>
      <c r="D172" s="22" t="s">
        <v>291</v>
      </c>
      <c r="E172" s="13">
        <v>42722.566990740743</v>
      </c>
      <c r="F172" s="13">
        <v>42722.569421296299</v>
      </c>
      <c r="G172" s="7">
        <v>1</v>
      </c>
      <c r="H172" s="22" t="s">
        <v>334</v>
      </c>
      <c r="I172" s="13">
        <v>42722.578993055555</v>
      </c>
      <c r="J172" s="7">
        <v>0</v>
      </c>
      <c r="K172" s="109" t="str">
        <f t="shared" si="54"/>
        <v>4021/4022</v>
      </c>
      <c r="L172" s="22" t="str">
        <f>VLOOKUP(A172,'Trips&amp;Operators'!$C$1:$G$99999,5,FALSE)</f>
        <v>YORK EDGAR</v>
      </c>
      <c r="M172" s="6">
        <f t="shared" si="55"/>
        <v>9.5717592557775788E-3</v>
      </c>
      <c r="N172" s="7">
        <f t="shared" si="68"/>
        <v>13.783333328319713</v>
      </c>
      <c r="O172" s="7"/>
      <c r="P172" s="7"/>
      <c r="Q172" s="23"/>
      <c r="R172" s="23"/>
      <c r="S172" s="35">
        <f t="shared" si="70"/>
        <v>1</v>
      </c>
      <c r="T172" s="50" t="str">
        <f t="shared" si="56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12:36:28-700',mode:absolute,to:'2016-12-18 14:53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2" s="52" t="str">
        <f t="shared" si="64"/>
        <v>N</v>
      </c>
      <c r="X172" s="177">
        <f t="shared" si="67"/>
        <v>1</v>
      </c>
      <c r="Y172" s="67">
        <f t="shared" si="58"/>
        <v>5.8613</v>
      </c>
      <c r="Z172" s="67">
        <f t="shared" si="69"/>
        <v>9.69E-2</v>
      </c>
      <c r="AA172" s="67">
        <f t="shared" si="59"/>
        <v>5.7644000000000002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60"/>
        <v>1816-18</v>
      </c>
      <c r="AE172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72" s="88" t="str">
        <f t="shared" si="62"/>
        <v>"C:\Program Files (x86)\AstroGrep\AstroGrep.exe" /spath="%USERPROFILE%\AppData\Local\Temp\OnboardLogs" /stypes="app*4021*20161218*" /stext=" 20:.+((SYSTEM_STATE.+slice.+state.+changed )|(ment ac)|(multiple cpu faults)|(system.+state.+changed )|(\[timeout)|(PRM\|1\|D)|(kpr)|(kdp)|(\|lc)|(penalty))" /e /r /s</v>
      </c>
      <c r="AG172" s="1" t="str">
        <f t="shared" si="63"/>
        <v>NW</v>
      </c>
      <c r="AH172" s="92" t="str">
        <f t="shared" si="52"/>
        <v>"%USERPROFILE%\Documents\GitHub\eaglep3\Utilities\RefineRTDCRunTimes.py" --tripid 1816-18 --locoid 4021 --swversion DE.1.0.8.0 --startMP 300:58613 --initTime 2016-12-18T13:36:28 --startdatetime 2016-12-18T13:39:58 --delay 1 --endMP 204:969 --enddatetime 2016-12-18T13:53:45 --enforcementcount 0 &gt;&gt;C:\Users\stu\Documents\GitHub\eaglep3-reporting\EC\2016-12-18-refined-times.txt</v>
      </c>
      <c r="AI172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{"issue":{"subject":"","project_id":79,"tracker_id":40,"status_id":1,"priority_id":2,"assigned_to_id":23,"start_date":"2016-12-18","description":"","custom_fields":[{"id":1,"name":"Subdivision","value":"NW"},{"id":4,"name":"Milepost","value":"0.0969"},{"id":17,"name":"Train ID","value":"1816-18"},{"id":16,"name":"Locomotive ID","value":"4021"},{"id":130,"name":"Impact","value":""},{"id":150,"name":"Time of Event (Mountain Time)","value":"13:53:45"},{"id":151,"name":"Denver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639</v>
      </c>
      <c r="B173" s="7">
        <v>4022</v>
      </c>
      <c r="C173" s="22" t="s">
        <v>205</v>
      </c>
      <c r="D173" s="22" t="s">
        <v>835</v>
      </c>
      <c r="E173" s="13">
        <v>42722.584849537037</v>
      </c>
      <c r="F173" s="13">
        <v>42722.598101851851</v>
      </c>
      <c r="G173" s="7">
        <v>1</v>
      </c>
      <c r="H173" s="22" t="s">
        <v>500</v>
      </c>
      <c r="I173" s="13">
        <v>42722.607199074075</v>
      </c>
      <c r="J173" s="7">
        <v>0</v>
      </c>
      <c r="K173" s="109" t="str">
        <f t="shared" si="54"/>
        <v>4021/4022</v>
      </c>
      <c r="L173" s="22" t="str">
        <f>VLOOKUP(A173,'Trips&amp;Operators'!$C$1:$G$99999,5,FALSE)</f>
        <v>LALONDE GREGORY</v>
      </c>
      <c r="M173" s="6">
        <f t="shared" si="55"/>
        <v>9.0972222242271528E-3</v>
      </c>
      <c r="N173" s="7">
        <f t="shared" si="68"/>
        <v>13.1000000028871</v>
      </c>
      <c r="O173" s="7"/>
      <c r="P173" s="7"/>
      <c r="Q173" s="23"/>
      <c r="R173" s="23"/>
      <c r="S173" s="35">
        <f t="shared" si="70"/>
        <v>1</v>
      </c>
      <c r="T173" s="50" t="str">
        <f t="shared" si="56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13:02:11-700',mode:absolute,to:'2016-12-18 15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3" s="52" t="str">
        <f t="shared" si="64"/>
        <v>N</v>
      </c>
      <c r="X173" s="177">
        <f t="shared" si="67"/>
        <v>1</v>
      </c>
      <c r="Y173" s="67">
        <f t="shared" si="58"/>
        <v>0.1258</v>
      </c>
      <c r="Z173" s="67">
        <f t="shared" si="69"/>
        <v>5.8925999999999998</v>
      </c>
      <c r="AA173" s="67">
        <f t="shared" si="59"/>
        <v>5.7667999999999999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60"/>
        <v>1817-18</v>
      </c>
      <c r="AE173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73" s="88" t="str">
        <f t="shared" si="62"/>
        <v>"C:\Program Files (x86)\AstroGrep\AstroGrep.exe" /spath="%USERPROFILE%\AppData\Local\Temp\OnboardLogs" /stypes="app*4022*20161218*" /stext=" 21:.+((SYSTEM_STATE.+slice.+state.+changed )|(ment ac)|(multiple cpu faults)|(system.+state.+changed )|(\[timeout)|(PRM\|1\|D)|(kpr)|(kdp)|(\|lc)|(penalty))" /e /r /s</v>
      </c>
      <c r="AG173" s="1" t="str">
        <f t="shared" si="63"/>
        <v>NW</v>
      </c>
      <c r="AH173" s="92" t="str">
        <f t="shared" si="52"/>
        <v>"%USERPROFILE%\Documents\GitHub\eaglep3\Utilities\RefineRTDCRunTimes.py" --tripid 1817-18 --locoid 4022 --swversion DE.1.0.8.0 --startMP 204:1258 --initTime 2016-12-18T14:02:11 --startdatetime 2016-12-18T14:21:16 --delay 1 --endMP 300:58926 --enddatetime 2016-12-18T14:34:22 --enforcementcount 0 &gt;&gt;C:\Users\stu\Documents\GitHub\eaglep3-reporting\EC\2016-12-18-refined-times.txt</v>
      </c>
      <c r="AI173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{"issue":{"subject":"","project_id":79,"tracker_id":40,"status_id":1,"priority_id":2,"assigned_to_id":23,"start_date":"2016-12-18","description":"","custom_fields":[{"id":1,"name":"Subdivision","value":"NW"},{"id":4,"name":"Milepost","value":"5.8926"},{"id":17,"name":"Train ID","value":"1817-18"},{"id":16,"name":"Locomotive ID","value":"4022"},{"id":130,"name":"Impact","value":""},{"id":150,"name":"Time of Event (Mountain Time)","value":"14:34:22"},{"id":151,"name":"Denver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644</v>
      </c>
      <c r="B174" s="7">
        <v>4021</v>
      </c>
      <c r="C174" s="22" t="s">
        <v>205</v>
      </c>
      <c r="D174" s="22" t="s">
        <v>836</v>
      </c>
      <c r="E174" s="13">
        <v>42722.608761574076</v>
      </c>
      <c r="F174" s="13">
        <v>42722.610706018517</v>
      </c>
      <c r="G174" s="7">
        <v>1</v>
      </c>
      <c r="H174" s="22" t="s">
        <v>499</v>
      </c>
      <c r="I174" s="13">
        <v>42722.621215277781</v>
      </c>
      <c r="J174" s="7">
        <v>0</v>
      </c>
      <c r="K174" s="109" t="str">
        <f t="shared" si="54"/>
        <v>4021/4022</v>
      </c>
      <c r="L174" s="22" t="str">
        <f>VLOOKUP(A174,'Trips&amp;Operators'!$C$1:$G$99999,5,FALSE)</f>
        <v>LALONDE GREGORY</v>
      </c>
      <c r="M174" s="6">
        <f t="shared" si="55"/>
        <v>1.0509259263926651E-2</v>
      </c>
      <c r="N174" s="7">
        <f t="shared" si="68"/>
        <v>15.133333340054378</v>
      </c>
      <c r="O174" s="7"/>
      <c r="P174" s="7"/>
      <c r="Q174" s="23"/>
      <c r="R174" s="23"/>
      <c r="S174" s="35">
        <f t="shared" si="70"/>
        <v>1</v>
      </c>
      <c r="T174" s="50" t="str">
        <f t="shared" si="56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13:36:37-700',mode:absolute,to:'2016-12-18 15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4" s="52" t="str">
        <f t="shared" ref="W174:W205" si="71">IF(AA174&lt;IF(AG174="EC",23,5.65),"Y","N")</f>
        <v>N</v>
      </c>
      <c r="X174" s="177">
        <f t="shared" si="67"/>
        <v>1</v>
      </c>
      <c r="Y174" s="67">
        <f t="shared" si="58"/>
        <v>5.8632</v>
      </c>
      <c r="Z174" s="67">
        <f t="shared" si="69"/>
        <v>6.7799999999999999E-2</v>
      </c>
      <c r="AA174" s="67">
        <f t="shared" si="59"/>
        <v>5.7953999999999999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60"/>
        <v>1818-18</v>
      </c>
      <c r="AE174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74" s="88" t="str">
        <f t="shared" si="62"/>
        <v>"C:\Program Files (x86)\AstroGrep\AstroGrep.exe" /spath="%USERPROFILE%\AppData\Local\Temp\OnboardLogs" /stypes="app*4021*20161218*" /stext=" 21:.+((SYSTEM_STATE.+slice.+state.+changed )|(ment ac)|(multiple cpu faults)|(system.+state.+changed )|(\[timeout)|(PRM\|1\|D)|(kpr)|(kdp)|(\|lc)|(penalty))" /e /r /s</v>
      </c>
      <c r="AG174" s="1" t="str">
        <f t="shared" si="63"/>
        <v>NW</v>
      </c>
      <c r="AH174" s="92" t="str">
        <f t="shared" si="52"/>
        <v>"%USERPROFILE%\Documents\GitHub\eaglep3\Utilities\RefineRTDCRunTimes.py" --tripid 1818-18 --locoid 4021 --swversion DE.1.0.8.0 --startMP 300:58632 --initTime 2016-12-18T14:36:37 --startdatetime 2016-12-18T14:39:25 --delay 1 --endMP 204:678 --enddatetime 2016-12-18T14:54:33 --enforcementcount 0 &gt;&gt;C:\Users\stu\Documents\GitHub\eaglep3-reporting\EC\2016-12-18-refined-times.txt</v>
      </c>
      <c r="AI174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{"issue":{"subject":"","project_id":79,"tracker_id":40,"status_id":1,"priority_id":2,"assigned_to_id":23,"start_date":"2016-12-18","description":"","custom_fields":[{"id":1,"name":"Subdivision","value":"NW"},{"id":4,"name":"Milepost","value":"0.0678"},{"id":17,"name":"Train ID","value":"1818-18"},{"id":16,"name":"Locomotive ID","value":"4021"},{"id":130,"name":"Impact","value":""},{"id":150,"name":"Time of Event (Mountain Time)","value":"14:54:33"},{"id":151,"name":"Denver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647</v>
      </c>
      <c r="B175" s="7">
        <v>4022</v>
      </c>
      <c r="C175" s="22" t="s">
        <v>205</v>
      </c>
      <c r="D175" s="22" t="s">
        <v>335</v>
      </c>
      <c r="E175" s="13">
        <v>42722.622870370367</v>
      </c>
      <c r="F175" s="13">
        <v>42722.640243055554</v>
      </c>
      <c r="G175" s="7">
        <v>1</v>
      </c>
      <c r="H175" s="22" t="s">
        <v>292</v>
      </c>
      <c r="I175" s="13">
        <v>42722.649965277778</v>
      </c>
      <c r="J175" s="7">
        <v>0</v>
      </c>
      <c r="K175" s="109" t="str">
        <f t="shared" si="54"/>
        <v>4021/4022</v>
      </c>
      <c r="L175" s="22" t="str">
        <f>VLOOKUP(A175,'Trips&amp;Operators'!$C$1:$G$99999,5,FALSE)</f>
        <v>LALONDE GREGORY</v>
      </c>
      <c r="M175" s="6">
        <f t="shared" si="55"/>
        <v>9.7222222248092294E-3</v>
      </c>
      <c r="N175" s="7">
        <f t="shared" si="68"/>
        <v>14.00000000372529</v>
      </c>
      <c r="O175" s="7"/>
      <c r="P175" s="7"/>
      <c r="Q175" s="23"/>
      <c r="R175" s="23"/>
      <c r="S175" s="35">
        <f t="shared" si="70"/>
        <v>1</v>
      </c>
      <c r="T175" s="50" t="str">
        <f t="shared" si="56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13:56:56-700',mode:absolute,to:'2016-12-18 16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5" s="52" t="str">
        <f t="shared" si="71"/>
        <v>N</v>
      </c>
      <c r="X175" s="177">
        <f t="shared" si="67"/>
        <v>1</v>
      </c>
      <c r="Y175" s="67">
        <f t="shared" si="58"/>
        <v>9.7600000000000006E-2</v>
      </c>
      <c r="Z175" s="67">
        <f t="shared" si="69"/>
        <v>5.8944000000000001</v>
      </c>
      <c r="AA175" s="67">
        <f t="shared" si="59"/>
        <v>5.7968000000000002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60"/>
        <v>1819-18</v>
      </c>
      <c r="AE175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75" s="88" t="str">
        <f t="shared" si="62"/>
        <v>"C:\Program Files (x86)\AstroGrep\AstroGrep.exe" /spath="%USERPROFILE%\AppData\Local\Temp\OnboardLogs" /stypes="app*4022*20161218*" /stext=" 22:.+((SYSTEM_STATE.+slice.+state.+changed )|(ment ac)|(multiple cpu faults)|(system.+state.+changed )|(\[timeout)|(PRM\|1\|D)|(kpr)|(kdp)|(\|lc)|(penalty))" /e /r /s</v>
      </c>
      <c r="AG175" s="1" t="str">
        <f t="shared" si="63"/>
        <v>NW</v>
      </c>
      <c r="AH175" s="92" t="str">
        <f t="shared" si="52"/>
        <v>"%USERPROFILE%\Documents\GitHub\eaglep3\Utilities\RefineRTDCRunTimes.py" --tripid 1819-18 --locoid 4022 --swversion DE.1.0.8.0 --startMP 204:976 --initTime 2016-12-18T14:56:56 --startdatetime 2016-12-18T15:21:57 --delay 1 --endMP 300:58944 --enddatetime 2016-12-18T15:35:57 --enforcementcount 0 &gt;&gt;C:\Users\stu\Documents\GitHub\eaglep3-reporting\EC\2016-12-18-refined-times.txt</v>
      </c>
      <c r="AI175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{"issue":{"subject":"","project_id":79,"tracker_id":40,"status_id":1,"priority_id":2,"assigned_to_id":23,"start_date":"2016-12-18","description":"","custom_fields":[{"id":1,"name":"Subdivision","value":"NW"},{"id":4,"name":"Milepost","value":"5.8944"},{"id":17,"name":"Train ID","value":"1819-18"},{"id":16,"name":"Locomotive ID","value":"4022"},{"id":130,"name":"Impact","value":""},{"id":150,"name":"Time of Event (Mountain Time)","value":"15:35:57"},{"id":151,"name":"Denver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653</v>
      </c>
      <c r="B176" s="7">
        <v>4021</v>
      </c>
      <c r="C176" s="22" t="s">
        <v>205</v>
      </c>
      <c r="D176" s="22" t="s">
        <v>337</v>
      </c>
      <c r="E176" s="13">
        <v>42722.650937500002</v>
      </c>
      <c r="F176" s="13">
        <v>42722.65247685185</v>
      </c>
      <c r="G176" s="7">
        <v>1</v>
      </c>
      <c r="H176" s="22" t="s">
        <v>838</v>
      </c>
      <c r="I176" s="13">
        <v>42722.663136574076</v>
      </c>
      <c r="J176" s="7">
        <v>0</v>
      </c>
      <c r="K176" s="109" t="str">
        <f t="shared" si="54"/>
        <v>4021/4022</v>
      </c>
      <c r="L176" s="22" t="str">
        <f>VLOOKUP(A176,'Trips&amp;Operators'!$C$1:$G$99999,5,FALSE)</f>
        <v>LALONDE GREGORY</v>
      </c>
      <c r="M176" s="6">
        <f t="shared" si="55"/>
        <v>1.0659722225682344E-2</v>
      </c>
      <c r="N176" s="7">
        <f t="shared" si="68"/>
        <v>15.350000004982576</v>
      </c>
      <c r="O176" s="7"/>
      <c r="P176" s="7"/>
      <c r="Q176" s="23"/>
      <c r="R176" s="23"/>
      <c r="S176" s="35">
        <f t="shared" si="70"/>
        <v>1</v>
      </c>
      <c r="T176" s="50" t="str">
        <f t="shared" si="56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14:37:21-700',mode:absolute,to:'2016-12-18 16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6" s="52" t="str">
        <f t="shared" si="71"/>
        <v>N</v>
      </c>
      <c r="X176" s="177">
        <f t="shared" si="67"/>
        <v>1</v>
      </c>
      <c r="Y176" s="67">
        <f t="shared" si="58"/>
        <v>5.8628</v>
      </c>
      <c r="Z176" s="67">
        <f t="shared" si="69"/>
        <v>6.8400000000000002E-2</v>
      </c>
      <c r="AA176" s="67">
        <f t="shared" si="59"/>
        <v>5.7944000000000004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60"/>
        <v>1820-18</v>
      </c>
      <c r="AE176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76" s="88" t="str">
        <f t="shared" si="62"/>
        <v>"C:\Program Files (x86)\AstroGrep\AstroGrep.exe" /spath="%USERPROFILE%\AppData\Local\Temp\OnboardLogs" /stypes="app*4021*20161218*" /stext=" 22:.+((SYSTEM_STATE.+slice.+state.+changed )|(ment ac)|(multiple cpu faults)|(system.+state.+changed )|(\[timeout)|(PRM\|1\|D)|(kpr)|(kdp)|(\|lc)|(penalty))" /e /r /s</v>
      </c>
      <c r="AG176" s="1" t="str">
        <f t="shared" si="63"/>
        <v>NW</v>
      </c>
      <c r="AH176" s="92" t="str">
        <f t="shared" si="52"/>
        <v>"%USERPROFILE%\Documents\GitHub\eaglep3\Utilities\RefineRTDCRunTimes.py" --tripid 1820-18 --locoid 4021 --swversion DE.1.0.8.0 --startMP 300:58628 --initTime 2016-12-18T15:37:21 --startdatetime 2016-12-18T15:39:34 --delay 1 --endMP 204:684 --enddatetime 2016-12-18T15:54:55 --enforcementcount 0 &gt;&gt;C:\Users\stu\Documents\GitHub\eaglep3-reporting\EC\2016-12-18-refined-times.txt</v>
      </c>
      <c r="AI176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{"issue":{"subject":"","project_id":79,"tracker_id":40,"status_id":1,"priority_id":2,"assigned_to_id":23,"start_date":"2016-12-18","description":"","custom_fields":[{"id":1,"name":"Subdivision","value":"NW"},{"id":4,"name":"Milepost","value":"0.0684"},{"id":17,"name":"Train ID","value":"1820-18"},{"id":16,"name":"Locomotive ID","value":"4021"},{"id":130,"name":"Impact","value":""},{"id":150,"name":"Time of Event (Mountain Time)","value":"15:54:55"},{"id":151,"name":"Denver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656</v>
      </c>
      <c r="B177" s="7">
        <v>4022</v>
      </c>
      <c r="C177" s="22" t="s">
        <v>205</v>
      </c>
      <c r="D177" s="22" t="s">
        <v>334</v>
      </c>
      <c r="E177" s="13">
        <v>42722.667037037034</v>
      </c>
      <c r="F177" s="13">
        <v>42722.681423611109</v>
      </c>
      <c r="G177" s="7">
        <v>1</v>
      </c>
      <c r="H177" s="22" t="s">
        <v>333</v>
      </c>
      <c r="I177" s="13">
        <v>42722.691145833334</v>
      </c>
      <c r="J177" s="7">
        <v>0</v>
      </c>
      <c r="K177" s="109" t="str">
        <f t="shared" si="54"/>
        <v>4021/4022</v>
      </c>
      <c r="L177" s="22" t="str">
        <f>VLOOKUP(A177,'Trips&amp;Operators'!$C$1:$G$99999,5,FALSE)</f>
        <v>LALONDE GREGORY</v>
      </c>
      <c r="M177" s="6">
        <f t="shared" si="55"/>
        <v>9.7222222248092294E-3</v>
      </c>
      <c r="N177" s="7">
        <f t="shared" si="68"/>
        <v>14.00000000372529</v>
      </c>
      <c r="O177" s="7"/>
      <c r="P177" s="7"/>
      <c r="Q177" s="23"/>
      <c r="R177" s="23"/>
      <c r="S177" s="35">
        <f t="shared" si="70"/>
        <v>1</v>
      </c>
      <c r="T177" s="50" t="str">
        <f t="shared" si="56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15:00:32-700',mode:absolute,to:'2016-12-18 17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7" s="52" t="str">
        <f t="shared" si="71"/>
        <v>N</v>
      </c>
      <c r="X177" s="177">
        <f t="shared" si="67"/>
        <v>1</v>
      </c>
      <c r="Y177" s="67">
        <f t="shared" si="58"/>
        <v>9.69E-2</v>
      </c>
      <c r="Z177" s="67">
        <f t="shared" si="69"/>
        <v>5.8933</v>
      </c>
      <c r="AA177" s="67">
        <f t="shared" si="59"/>
        <v>5.7964000000000002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60"/>
        <v>1821-18</v>
      </c>
      <c r="AE177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77" s="88" t="str">
        <f t="shared" si="62"/>
        <v>"C:\Program Files (x86)\AstroGrep\AstroGrep.exe" /spath="%USERPROFILE%\AppData\Local\Temp\OnboardLogs" /stypes="app*4022*20161218*" /stext=" 23:.+((SYSTEM_STATE.+slice.+state.+changed )|(ment ac)|(multiple cpu faults)|(system.+state.+changed )|(\[timeout)|(PRM\|1\|D)|(kpr)|(kdp)|(\|lc)|(penalty))" /e /r /s</v>
      </c>
      <c r="AG177" s="1" t="str">
        <f t="shared" si="63"/>
        <v>NW</v>
      </c>
      <c r="AH177" s="92" t="str">
        <f t="shared" si="52"/>
        <v>"%USERPROFILE%\Documents\GitHub\eaglep3\Utilities\RefineRTDCRunTimes.py" --tripid 1821-18 --locoid 4022 --swversion DE.1.0.8.0 --startMP 204:969 --initTime 2016-12-18T16:00:32 --startdatetime 2016-12-18T16:21:15 --delay 1 --endMP 300:58933 --enddatetime 2016-12-18T16:35:15 --enforcementcount 0 &gt;&gt;C:\Users\stu\Documents\GitHub\eaglep3-reporting\EC\2016-12-18-refined-times.txt</v>
      </c>
      <c r="AI177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{"issue":{"subject":"","project_id":79,"tracker_id":40,"status_id":1,"priority_id":2,"assigned_to_id":23,"start_date":"2016-12-18","description":"","custom_fields":[{"id":1,"name":"Subdivision","value":"NW"},{"id":4,"name":"Milepost","value":"5.8933"},{"id":17,"name":"Train ID","value":"1821-18"},{"id":16,"name":"Locomotive ID","value":"4022"},{"id":130,"name":"Impact","value":""},{"id":150,"name":"Time of Event (Mountain Time)","value":"16:35:15"},{"id":151,"name":"Denver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660</v>
      </c>
      <c r="B178" s="7">
        <v>4021</v>
      </c>
      <c r="C178" s="22" t="s">
        <v>205</v>
      </c>
      <c r="D178" s="22" t="s">
        <v>839</v>
      </c>
      <c r="E178" s="13">
        <v>42722.692546296297</v>
      </c>
      <c r="F178" s="13">
        <v>42722.693888888891</v>
      </c>
      <c r="G178" s="7">
        <v>0</v>
      </c>
      <c r="H178" s="22" t="s">
        <v>840</v>
      </c>
      <c r="I178" s="13">
        <v>42722.704687500001</v>
      </c>
      <c r="J178" s="7">
        <v>0</v>
      </c>
      <c r="K178" s="109" t="str">
        <f t="shared" si="54"/>
        <v>4021/4022</v>
      </c>
      <c r="L178" s="22" t="str">
        <f>VLOOKUP(A178,'Trips&amp;Operators'!$C$1:$G$99999,5,FALSE)</f>
        <v>LALONDE GREGORY</v>
      </c>
      <c r="M178" s="6">
        <f t="shared" si="55"/>
        <v>1.0798611110658385E-2</v>
      </c>
      <c r="N178" s="7">
        <f t="shared" si="68"/>
        <v>15.549999999348074</v>
      </c>
      <c r="O178" s="7"/>
      <c r="P178" s="7"/>
      <c r="Q178" s="23"/>
      <c r="R178" s="23"/>
      <c r="S178" s="35">
        <f t="shared" si="70"/>
        <v>1</v>
      </c>
      <c r="T178" s="50" t="str">
        <f t="shared" si="56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15:37:16-700',mode:absolute,to:'2016-12-18 17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8" s="52" t="str">
        <f t="shared" si="71"/>
        <v>N</v>
      </c>
      <c r="X178" s="177">
        <f t="shared" si="67"/>
        <v>1</v>
      </c>
      <c r="Y178" s="67">
        <f t="shared" si="58"/>
        <v>5.8625999999999996</v>
      </c>
      <c r="Z178" s="67">
        <f t="shared" si="69"/>
        <v>6.8199999999999997E-2</v>
      </c>
      <c r="AA178" s="67">
        <f t="shared" si="59"/>
        <v>5.7943999999999996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60"/>
        <v>1822-18</v>
      </c>
      <c r="AE178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78" s="88" t="str">
        <f t="shared" si="62"/>
        <v>"C:\Program Files (x86)\AstroGrep\AstroGrep.exe" /spath="%USERPROFILE%\AppData\Local\Temp\OnboardLogs" /stypes="app*4021*20161218*" /stext=" 23:.+((SYSTEM_STATE.+slice.+state.+changed )|(ment ac)|(multiple cpu faults)|(system.+state.+changed )|(\[timeout)|(PRM\|1\|D)|(kpr)|(kdp)|(\|lc)|(penalty))" /e /r /s</v>
      </c>
      <c r="AG178" s="1" t="str">
        <f t="shared" si="63"/>
        <v>NW</v>
      </c>
      <c r="AH178" s="92" t="str">
        <f t="shared" si="52"/>
        <v>"%USERPROFILE%\Documents\GitHub\eaglep3\Utilities\RefineRTDCRunTimes.py" --tripid 1822-18 --locoid 4021 --swversion DE.1.0.8.0 --startMP 300:58626 --initTime 2016-12-18T16:37:16 --startdatetime 2016-12-18T16:39:12 --delay 0 --endMP 204:682 --enddatetime 2016-12-18T16:54:45 --enforcementcount 0 &gt;&gt;C:\Users\stu\Documents\GitHub\eaglep3-reporting\EC\2016-12-18-refined-times.txt</v>
      </c>
      <c r="AI178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{"issue":{"subject":"","project_id":79,"tracker_id":40,"status_id":1,"priority_id":2,"assigned_to_id":23,"start_date":"2016-12-18","description":"","custom_fields":[{"id":1,"name":"Subdivision","value":"NW"},{"id":4,"name":"Milepost","value":"0.0682"},{"id":17,"name":"Train ID","value":"1822-18"},{"id":16,"name":"Locomotive ID","value":"4021"},{"id":130,"name":"Impact","value":""},{"id":150,"name":"Time of Event (Mountain Time)","value":"16:54:45"},{"id":151,"name":"Denver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662</v>
      </c>
      <c r="B179" s="7">
        <v>4022</v>
      </c>
      <c r="C179" s="22" t="s">
        <v>205</v>
      </c>
      <c r="D179" s="22" t="s">
        <v>496</v>
      </c>
      <c r="E179" s="13">
        <v>42722.706203703703</v>
      </c>
      <c r="F179" s="13">
        <v>42722.723078703704</v>
      </c>
      <c r="G179" s="7">
        <v>1</v>
      </c>
      <c r="H179" s="22" t="s">
        <v>841</v>
      </c>
      <c r="I179" s="13">
        <v>42722.732488425929</v>
      </c>
      <c r="J179" s="7">
        <v>0</v>
      </c>
      <c r="K179" s="109" t="str">
        <f t="shared" si="54"/>
        <v>4021/4022</v>
      </c>
      <c r="L179" s="22" t="str">
        <f>VLOOKUP(A179,'Trips&amp;Operators'!$C$1:$G$99999,5,FALSE)</f>
        <v>LALONDE GREGORY</v>
      </c>
      <c r="M179" s="6">
        <f t="shared" si="55"/>
        <v>9.4097222245181911E-3</v>
      </c>
      <c r="N179" s="7">
        <f t="shared" si="68"/>
        <v>13.550000003306195</v>
      </c>
      <c r="O179" s="7"/>
      <c r="P179" s="7"/>
      <c r="Q179" s="23"/>
      <c r="R179" s="23"/>
      <c r="S179" s="35">
        <f t="shared" si="70"/>
        <v>1</v>
      </c>
      <c r="T179" s="50" t="str">
        <f t="shared" si="56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15:56:56-700',mode:absolute,to:'2016-12-18 18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9" s="52" t="str">
        <f t="shared" si="71"/>
        <v>N</v>
      </c>
      <c r="X179" s="177">
        <f t="shared" si="67"/>
        <v>1</v>
      </c>
      <c r="Y179" s="67">
        <f t="shared" si="58"/>
        <v>9.7199999999999995E-2</v>
      </c>
      <c r="Z179" s="67">
        <f t="shared" si="69"/>
        <v>5.8943000000000003</v>
      </c>
      <c r="AA179" s="67">
        <f t="shared" si="59"/>
        <v>5.7971000000000004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60"/>
        <v>1823-18</v>
      </c>
      <c r="AE179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79" s="88" t="str">
        <f t="shared" si="62"/>
        <v>"C:\Program Files (x86)\AstroGrep\AstroGrep.exe" /spath="%USERPROFILE%\AppData\Local\Temp\OnboardLogs" /stypes="app*4022*20161219*" /stext=" 00:.+((SYSTEM_STATE.+slice.+state.+changed )|(ment ac)|(multiple cpu faults)|(system.+state.+changed )|(\[timeout)|(PRM\|1\|D)|(kpr)|(kdp)|(\|lc)|(penalty))" /e /r /s</v>
      </c>
      <c r="AG179" s="1" t="str">
        <f t="shared" si="63"/>
        <v>NW</v>
      </c>
      <c r="AH179" s="92" t="str">
        <f t="shared" si="52"/>
        <v>"%USERPROFILE%\Documents\GitHub\eaglep3\Utilities\RefineRTDCRunTimes.py" --tripid 1823-18 --locoid 4022 --swversion DE.1.0.8.0 --startMP 204:972 --initTime 2016-12-18T16:56:56 --startdatetime 2016-12-18T17:21:14 --delay 1 --endMP 300:58943 --enddatetime 2016-12-18T17:34:47 --enforcementcount 0 &gt;&gt;C:\Users\stu\Documents\GitHub\eaglep3-reporting\EC\2016-12-18-refined-times.txt</v>
      </c>
      <c r="AI179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{"issue":{"subject":"","project_id":79,"tracker_id":40,"status_id":1,"priority_id":2,"assigned_to_id":23,"start_date":"2016-12-18","description":"","custom_fields":[{"id":1,"name":"Subdivision","value":"NW"},{"id":4,"name":"Milepost","value":"5.8943"},{"id":17,"name":"Train ID","value":"1823-18"},{"id":16,"name":"Locomotive ID","value":"4022"},{"id":130,"name":"Impact","value":""},{"id":150,"name":"Time of Event (Mountain Time)","value":"17:34:47"},{"id":151,"name":"Denver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668</v>
      </c>
      <c r="B180" s="7">
        <v>4021</v>
      </c>
      <c r="C180" s="22" t="s">
        <v>205</v>
      </c>
      <c r="D180" s="22" t="s">
        <v>490</v>
      </c>
      <c r="E180" s="13">
        <v>42722.733553240738</v>
      </c>
      <c r="F180" s="13">
        <v>42722.735127314816</v>
      </c>
      <c r="G180" s="7">
        <v>1</v>
      </c>
      <c r="H180" s="22" t="s">
        <v>840</v>
      </c>
      <c r="I180" s="13">
        <v>42722.747118055559</v>
      </c>
      <c r="J180" s="7">
        <v>0</v>
      </c>
      <c r="K180" s="109" t="str">
        <f t="shared" si="54"/>
        <v>4021/4022</v>
      </c>
      <c r="L180" s="22" t="str">
        <f>VLOOKUP(A180,'Trips&amp;Operators'!$C$1:$G$99999,5,FALSE)</f>
        <v>LALONDE GREGORY</v>
      </c>
      <c r="M180" s="6">
        <f t="shared" si="55"/>
        <v>1.1990740742476191E-2</v>
      </c>
      <c r="N180" s="7">
        <f t="shared" si="68"/>
        <v>17.266666669165716</v>
      </c>
      <c r="O180" s="7"/>
      <c r="P180" s="7"/>
      <c r="Q180" s="23"/>
      <c r="R180" s="23"/>
      <c r="S180" s="35">
        <f t="shared" si="70"/>
        <v>1</v>
      </c>
      <c r="T180" s="50" t="str">
        <f t="shared" si="56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16:36:19-700',mode:absolute,to:'2016-12-18 18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0" s="52" t="str">
        <f t="shared" si="71"/>
        <v>N</v>
      </c>
      <c r="X180" s="177">
        <f t="shared" si="67"/>
        <v>1</v>
      </c>
      <c r="Y180" s="67">
        <f t="shared" si="58"/>
        <v>5.8619000000000003</v>
      </c>
      <c r="Z180" s="67">
        <f t="shared" si="69"/>
        <v>6.8199999999999997E-2</v>
      </c>
      <c r="AA180" s="67">
        <f t="shared" si="59"/>
        <v>5.7937000000000003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60"/>
        <v>1824-18</v>
      </c>
      <c r="AE180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80" s="88" t="str">
        <f t="shared" si="62"/>
        <v>"C:\Program Files (x86)\AstroGrep\AstroGrep.exe" /spath="%USERPROFILE%\AppData\Local\Temp\OnboardLogs" /stypes="app*4021*20161219*" /stext=" 00:.+((SYSTEM_STATE.+slice.+state.+changed )|(ment ac)|(multiple cpu faults)|(system.+state.+changed )|(\[timeout)|(PRM\|1\|D)|(kpr)|(kdp)|(\|lc)|(penalty))" /e /r /s</v>
      </c>
      <c r="AG180" s="1" t="str">
        <f t="shared" si="63"/>
        <v>NW</v>
      </c>
      <c r="AH180" s="92" t="str">
        <f t="shared" si="52"/>
        <v>"%USERPROFILE%\Documents\GitHub\eaglep3\Utilities\RefineRTDCRunTimes.py" --tripid 1824-18 --locoid 4021 --swversion DE.1.0.8.0 --startMP 300:58619 --initTime 2016-12-18T17:36:19 --startdatetime 2016-12-18T17:38:35 --delay 1 --endMP 204:682 --enddatetime 2016-12-18T17:55:51 --enforcementcount 0 &gt;&gt;C:\Users\stu\Documents\GitHub\eaglep3-reporting\EC\2016-12-18-refined-times.txt</v>
      </c>
      <c r="AI180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{"issue":{"subject":"","project_id":79,"tracker_id":40,"status_id":1,"priority_id":2,"assigned_to_id":23,"start_date":"2016-12-18","description":"","custom_fields":[{"id":1,"name":"Subdivision","value":"NW"},{"id":4,"name":"Milepost","value":"0.0682"},{"id":17,"name":"Train ID","value":"1824-18"},{"id":16,"name":"Locomotive ID","value":"4021"},{"id":130,"name":"Impact","value":""},{"id":150,"name":"Time of Event (Mountain Time)","value":"17:55:51"},{"id":151,"name":"Denver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673</v>
      </c>
      <c r="B181" s="7">
        <v>4022</v>
      </c>
      <c r="C181" s="22" t="s">
        <v>205</v>
      </c>
      <c r="D181" s="22" t="s">
        <v>842</v>
      </c>
      <c r="E181" s="13">
        <v>42722.748599537037</v>
      </c>
      <c r="F181" s="13">
        <v>42722.764999999999</v>
      </c>
      <c r="G181" s="7">
        <v>1</v>
      </c>
      <c r="H181" s="22" t="s">
        <v>290</v>
      </c>
      <c r="I181" s="13">
        <v>42722.774722222224</v>
      </c>
      <c r="J181" s="7">
        <v>0</v>
      </c>
      <c r="K181" s="109" t="str">
        <f t="shared" si="54"/>
        <v>4021/4022</v>
      </c>
      <c r="L181" s="22" t="str">
        <f>VLOOKUP(A181,'Trips&amp;Operators'!$C$1:$G$99999,5,FALSE)</f>
        <v>LALONDE GREGORY</v>
      </c>
      <c r="M181" s="6">
        <f t="shared" si="55"/>
        <v>9.7222222248092294E-3</v>
      </c>
      <c r="N181" s="7">
        <f t="shared" si="68"/>
        <v>14.00000000372529</v>
      </c>
      <c r="O181" s="7"/>
      <c r="P181" s="7"/>
      <c r="Q181" s="23"/>
      <c r="R181" s="23"/>
      <c r="S181" s="35">
        <f t="shared" si="70"/>
        <v>1</v>
      </c>
      <c r="T181" s="50" t="str">
        <f t="shared" si="56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16:57:59-700',mode:absolute,to:'2016-12-18 19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1" s="52" t="str">
        <f t="shared" si="71"/>
        <v>N</v>
      </c>
      <c r="X181" s="177">
        <f t="shared" si="67"/>
        <v>1</v>
      </c>
      <c r="Y181" s="67">
        <f t="shared" si="58"/>
        <v>9.5699999999999993E-2</v>
      </c>
      <c r="Z181" s="67">
        <f t="shared" si="69"/>
        <v>5.8935000000000004</v>
      </c>
      <c r="AA181" s="67">
        <f t="shared" si="59"/>
        <v>5.7978000000000005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60"/>
        <v>1825-18</v>
      </c>
      <c r="AE181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81" s="88" t="str">
        <f t="shared" si="62"/>
        <v>"C:\Program Files (x86)\AstroGrep\AstroGrep.exe" /spath="%USERPROFILE%\AppData\Local\Temp\OnboardLogs" /stypes="app*4022*20161219*" /stext=" 01:.+((SYSTEM_STATE.+slice.+state.+changed )|(ment ac)|(multiple cpu faults)|(system.+state.+changed )|(\[timeout)|(PRM\|1\|D)|(kpr)|(kdp)|(\|lc)|(penalty))" /e /r /s</v>
      </c>
      <c r="AG181" s="1" t="str">
        <f t="shared" si="63"/>
        <v>NW</v>
      </c>
      <c r="AH181" s="92" t="str">
        <f t="shared" si="52"/>
        <v>"%USERPROFILE%\Documents\GitHub\eaglep3\Utilities\RefineRTDCRunTimes.py" --tripid 1825-18 --locoid 4022 --swversion DE.1.0.8.0 --startMP 204:957 --initTime 2016-12-18T17:57:59 --startdatetime 2016-12-18T18:21:36 --delay 1 --endMP 300:58935 --enddatetime 2016-12-18T18:35:36 --enforcementcount 0 &gt;&gt;C:\Users\stu\Documents\GitHub\eaglep3-reporting\EC\2016-12-18-refined-times.txt</v>
      </c>
      <c r="AI181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{"issue":{"subject":"","project_id":79,"tracker_id":40,"status_id":1,"priority_id":2,"assigned_to_id":23,"start_date":"2016-12-18","description":"","custom_fields":[{"id":1,"name":"Subdivision","value":"NW"},{"id":4,"name":"Milepost","value":"5.8935"},{"id":17,"name":"Train ID","value":"1825-18"},{"id":16,"name":"Locomotive ID","value":"4022"},{"id":130,"name":"Impact","value":""},{"id":150,"name":"Time of Event (Mountain Time)","value":"18:35:36"},{"id":151,"name":"Denver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678</v>
      </c>
      <c r="B182" s="7">
        <v>4021</v>
      </c>
      <c r="C182" s="22" t="s">
        <v>205</v>
      </c>
      <c r="D182" s="22" t="s">
        <v>843</v>
      </c>
      <c r="E182" s="13">
        <v>42722.77611111111</v>
      </c>
      <c r="F182" s="13">
        <v>42722.777615740742</v>
      </c>
      <c r="G182" s="7">
        <v>1</v>
      </c>
      <c r="H182" s="22" t="s">
        <v>735</v>
      </c>
      <c r="I182" s="13">
        <v>42722.78833333333</v>
      </c>
      <c r="J182" s="7">
        <v>0</v>
      </c>
      <c r="K182" s="109" t="str">
        <f t="shared" si="54"/>
        <v>4021/4022</v>
      </c>
      <c r="L182" s="22" t="str">
        <f>VLOOKUP(A182,'Trips&amp;Operators'!$C$1:$G$99999,5,FALSE)</f>
        <v>LALONDE GREGORY</v>
      </c>
      <c r="M182" s="6">
        <f t="shared" si="55"/>
        <v>1.0717592587752733E-2</v>
      </c>
      <c r="N182" s="7">
        <f t="shared" si="68"/>
        <v>15.433333326363936</v>
      </c>
      <c r="O182" s="7"/>
      <c r="P182" s="7"/>
      <c r="Q182" s="23"/>
      <c r="R182" s="23"/>
      <c r="S182" s="35">
        <f t="shared" si="70"/>
        <v>1</v>
      </c>
      <c r="T182" s="50" t="str">
        <f t="shared" si="56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17:37:36-700',mode:absolute,to:'2016-12-18 19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2" s="52" t="str">
        <f t="shared" si="71"/>
        <v>N</v>
      </c>
      <c r="X182" s="177">
        <f t="shared" si="67"/>
        <v>1</v>
      </c>
      <c r="Y182" s="67">
        <f t="shared" si="58"/>
        <v>5.8624999999999998</v>
      </c>
      <c r="Z182" s="67">
        <f t="shared" si="69"/>
        <v>6.7299999999999999E-2</v>
      </c>
      <c r="AA182" s="67">
        <f t="shared" si="59"/>
        <v>5.7951999999999995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60"/>
        <v>1826-18</v>
      </c>
      <c r="AE182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82" s="88" t="str">
        <f t="shared" si="62"/>
        <v>"C:\Program Files (x86)\AstroGrep\AstroGrep.exe" /spath="%USERPROFILE%\AppData\Local\Temp\OnboardLogs" /stypes="app*4021*20161219*" /stext=" 01:.+((SYSTEM_STATE.+slice.+state.+changed )|(ment ac)|(multiple cpu faults)|(system.+state.+changed )|(\[timeout)|(PRM\|1\|D)|(kpr)|(kdp)|(\|lc)|(penalty))" /e /r /s</v>
      </c>
      <c r="AG182" s="1" t="str">
        <f t="shared" si="63"/>
        <v>NW</v>
      </c>
      <c r="AH182" s="92" t="str">
        <f t="shared" si="52"/>
        <v>"%USERPROFILE%\Documents\GitHub\eaglep3\Utilities\RefineRTDCRunTimes.py" --tripid 1826-18 --locoid 4021 --swversion DE.1.0.8.0 --startMP 300:58625 --initTime 2016-12-18T18:37:36 --startdatetime 2016-12-18T18:39:46 --delay 1 --endMP 204:673 --enddatetime 2016-12-18T18:55:12 --enforcementcount 0 &gt;&gt;C:\Users\stu\Documents\GitHub\eaglep3-reporting\EC\2016-12-18-refined-times.txt</v>
      </c>
      <c r="AI182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{"issue":{"subject":"","project_id":79,"tracker_id":40,"status_id":1,"priority_id":2,"assigned_to_id":23,"start_date":"2016-12-18","description":"","custom_fields":[{"id":1,"name":"Subdivision","value":"NW"},{"id":4,"name":"Milepost","value":"0.0673"},{"id":17,"name":"Train ID","value":"1826-18"},{"id":16,"name":"Locomotive ID","value":"4021"},{"id":130,"name":"Impact","value":""},{"id":150,"name":"Time of Event (Mountain Time)","value":"18:55:12"},{"id":151,"name":"Denver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684</v>
      </c>
      <c r="B183" s="7">
        <v>4022</v>
      </c>
      <c r="C183" s="22" t="s">
        <v>205</v>
      </c>
      <c r="D183" s="22" t="s">
        <v>844</v>
      </c>
      <c r="E183" s="13">
        <v>42722.789826388886</v>
      </c>
      <c r="F183" s="13">
        <v>42722.806435185186</v>
      </c>
      <c r="G183" s="7">
        <v>2</v>
      </c>
      <c r="H183" s="22" t="s">
        <v>336</v>
      </c>
      <c r="I183" s="13">
        <v>42722.81559027778</v>
      </c>
      <c r="J183" s="7">
        <v>0</v>
      </c>
      <c r="K183" s="109" t="str">
        <f t="shared" si="54"/>
        <v>4021/4022</v>
      </c>
      <c r="L183" s="22" t="str">
        <f>VLOOKUP(A183,'Trips&amp;Operators'!$C$1:$G$99999,5,FALSE)</f>
        <v>LALONDE GREGORY</v>
      </c>
      <c r="M183" s="6">
        <f t="shared" si="55"/>
        <v>9.1550925935734995E-3</v>
      </c>
      <c r="N183" s="7">
        <f t="shared" si="68"/>
        <v>13.183333334745839</v>
      </c>
      <c r="O183" s="7"/>
      <c r="P183" s="7"/>
      <c r="Q183" s="23"/>
      <c r="R183" s="23"/>
      <c r="S183" s="35">
        <f t="shared" si="70"/>
        <v>1</v>
      </c>
      <c r="T183" s="50" t="str">
        <f t="shared" si="56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17:57:21-700',mode:absolute,to:'2016-12-18 20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3" s="52" t="str">
        <f t="shared" si="71"/>
        <v>N</v>
      </c>
      <c r="X183" s="177">
        <f t="shared" si="67"/>
        <v>1</v>
      </c>
      <c r="Y183" s="67">
        <f t="shared" si="58"/>
        <v>9.6699999999999994E-2</v>
      </c>
      <c r="Z183" s="67">
        <f t="shared" si="69"/>
        <v>5.8939000000000004</v>
      </c>
      <c r="AA183" s="67">
        <f t="shared" si="59"/>
        <v>5.7972000000000001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60"/>
        <v>1827-18</v>
      </c>
      <c r="AE183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83" s="88" t="str">
        <f t="shared" si="62"/>
        <v>"C:\Program Files (x86)\AstroGrep\AstroGrep.exe" /spath="%USERPROFILE%\AppData\Local\Temp\OnboardLogs" /stypes="app*4022*20161219*" /stext=" 02:.+((SYSTEM_STATE.+slice.+state.+changed )|(ment ac)|(multiple cpu faults)|(system.+state.+changed )|(\[timeout)|(PRM\|1\|D)|(kpr)|(kdp)|(\|lc)|(penalty))" /e /r /s</v>
      </c>
      <c r="AG183" s="1" t="str">
        <f t="shared" si="63"/>
        <v>NW</v>
      </c>
      <c r="AH183" s="92" t="str">
        <f t="shared" si="52"/>
        <v>"%USERPROFILE%\Documents\GitHub\eaglep3\Utilities\RefineRTDCRunTimes.py" --tripid 1827-18 --locoid 4022 --swversion DE.1.0.8.0 --startMP 204:967 --initTime 2016-12-18T18:57:21 --startdatetime 2016-12-18T19:21:16 --delay 2 --endMP 300:58939 --enddatetime 2016-12-18T19:34:27 --enforcementcount 0 &gt;&gt;C:\Users\stu\Documents\GitHub\eaglep3-reporting\EC\2016-12-18-refined-times.txt</v>
      </c>
      <c r="AI183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{"issue":{"subject":"","project_id":79,"tracker_id":40,"status_id":1,"priority_id":2,"assigned_to_id":23,"start_date":"2016-12-18","description":"","custom_fields":[{"id":1,"name":"Subdivision","value":"NW"},{"id":4,"name":"Milepost","value":"5.8939"},{"id":17,"name":"Train ID","value":"1827-18"},{"id":16,"name":"Locomotive ID","value":"4022"},{"id":130,"name":"Impact","value":""},{"id":150,"name":"Time of Event (Mountain Time)","value":"19:34:27"},{"id":151,"name":"Denver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690</v>
      </c>
      <c r="B184" s="7">
        <v>4021</v>
      </c>
      <c r="C184" s="22" t="s">
        <v>205</v>
      </c>
      <c r="D184" s="22" t="s">
        <v>836</v>
      </c>
      <c r="E184" s="13">
        <v>42722.817152777781</v>
      </c>
      <c r="F184" s="13">
        <v>42722.81863425926</v>
      </c>
      <c r="G184" s="7">
        <v>1</v>
      </c>
      <c r="H184" s="22" t="s">
        <v>498</v>
      </c>
      <c r="I184" s="13">
        <v>42722.830069444448</v>
      </c>
      <c r="J184" s="7">
        <v>0</v>
      </c>
      <c r="K184" s="109" t="str">
        <f t="shared" si="54"/>
        <v>4021/4022</v>
      </c>
      <c r="L184" s="22" t="str">
        <f>VLOOKUP(A184,'Trips&amp;Operators'!$C$1:$G$99999,5,FALSE)</f>
        <v>LALONDE GREGORY</v>
      </c>
      <c r="M184" s="6">
        <f t="shared" si="55"/>
        <v>1.1435185188020114E-2</v>
      </c>
      <c r="N184" s="7">
        <f t="shared" si="68"/>
        <v>16.466666670748964</v>
      </c>
      <c r="O184" s="7"/>
      <c r="P184" s="7"/>
      <c r="Q184" s="23"/>
      <c r="R184" s="23"/>
      <c r="S184" s="35">
        <f t="shared" si="70"/>
        <v>1</v>
      </c>
      <c r="T184" s="50" t="str">
        <f t="shared" si="56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18:36:42-700',mode:absolute,to:'2016-12-18 20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4" s="52" t="str">
        <f t="shared" si="71"/>
        <v>N</v>
      </c>
      <c r="X184" s="177">
        <f t="shared" si="67"/>
        <v>1</v>
      </c>
      <c r="Y184" s="67">
        <f t="shared" si="58"/>
        <v>5.8632</v>
      </c>
      <c r="Z184" s="67">
        <f t="shared" si="69"/>
        <v>6.6799999999999998E-2</v>
      </c>
      <c r="AA184" s="67">
        <f t="shared" si="59"/>
        <v>5.7964000000000002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60"/>
        <v>1828-18</v>
      </c>
      <c r="AE184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84" s="88" t="str">
        <f t="shared" si="62"/>
        <v>"C:\Program Files (x86)\AstroGrep\AstroGrep.exe" /spath="%USERPROFILE%\AppData\Local\Temp\OnboardLogs" /stypes="app*4021*20161219*" /stext=" 02:.+((SYSTEM_STATE.+slice.+state.+changed )|(ment ac)|(multiple cpu faults)|(system.+state.+changed )|(\[timeout)|(PRM\|1\|D)|(kpr)|(kdp)|(\|lc)|(penalty))" /e /r /s</v>
      </c>
      <c r="AG184" s="1" t="str">
        <f t="shared" si="63"/>
        <v>NW</v>
      </c>
      <c r="AH184" s="92" t="str">
        <f t="shared" si="52"/>
        <v>"%USERPROFILE%\Documents\GitHub\eaglep3\Utilities\RefineRTDCRunTimes.py" --tripid 1828-18 --locoid 4021 --swversion DE.1.0.8.0 --startMP 300:58632 --initTime 2016-12-18T19:36:42 --startdatetime 2016-12-18T19:38:50 --delay 1 --endMP 204:668 --enddatetime 2016-12-18T19:55:18 --enforcementcount 0 &gt;&gt;C:\Users\stu\Documents\GitHub\eaglep3-reporting\EC\2016-12-18-refined-times.txt</v>
      </c>
      <c r="AI184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{"issue":{"subject":"","project_id":79,"tracker_id":40,"status_id":1,"priority_id":2,"assigned_to_id":23,"start_date":"2016-12-18","description":"","custom_fields":[{"id":1,"name":"Subdivision","value":"NW"},{"id":4,"name":"Milepost","value":"0.0668"},{"id":17,"name":"Train ID","value":"1828-18"},{"id":16,"name":"Locomotive ID","value":"4021"},{"id":130,"name":"Impact","value":""},{"id":150,"name":"Time of Event (Mountain Time)","value":"19:55:18"},{"id":151,"name":"Denver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696</v>
      </c>
      <c r="B185" s="7">
        <v>4022</v>
      </c>
      <c r="C185" s="22" t="s">
        <v>205</v>
      </c>
      <c r="D185" s="22" t="s">
        <v>496</v>
      </c>
      <c r="E185" s="13">
        <v>42722.838599537034</v>
      </c>
      <c r="F185" s="13">
        <v>42722.848078703704</v>
      </c>
      <c r="G185" s="7">
        <v>1</v>
      </c>
      <c r="H185" s="22" t="s">
        <v>336</v>
      </c>
      <c r="I185" s="13">
        <v>42722.857407407406</v>
      </c>
      <c r="J185" s="7">
        <v>0</v>
      </c>
      <c r="K185" s="109" t="str">
        <f t="shared" si="54"/>
        <v>4021/4022</v>
      </c>
      <c r="L185" s="22" t="str">
        <f>VLOOKUP(A185,'Trips&amp;Operators'!$C$1:$G$99999,5,FALSE)</f>
        <v>LALONDE GREGORY</v>
      </c>
      <c r="M185" s="6">
        <f t="shared" si="55"/>
        <v>9.3287037016125396E-3</v>
      </c>
      <c r="N185" s="7">
        <f t="shared" si="68"/>
        <v>13.433333330322057</v>
      </c>
      <c r="O185" s="7"/>
      <c r="P185" s="7"/>
      <c r="Q185" s="23"/>
      <c r="R185" s="23"/>
      <c r="S185" s="35">
        <f t="shared" si="70"/>
        <v>1</v>
      </c>
      <c r="T185" s="50" t="str">
        <f t="shared" si="56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19:07:35-700',mode:absolute,to:'2016-12-18 21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5" s="52" t="str">
        <f t="shared" si="71"/>
        <v>N</v>
      </c>
      <c r="X185" s="177">
        <f t="shared" si="67"/>
        <v>1</v>
      </c>
      <c r="Y185" s="67">
        <f t="shared" si="58"/>
        <v>9.7199999999999995E-2</v>
      </c>
      <c r="Z185" s="67">
        <f t="shared" si="69"/>
        <v>5.8939000000000004</v>
      </c>
      <c r="AA185" s="67">
        <f t="shared" si="59"/>
        <v>5.7967000000000004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60"/>
        <v>1829-18</v>
      </c>
      <c r="AE185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85" s="88" t="str">
        <f t="shared" si="62"/>
        <v>"C:\Program Files (x86)\AstroGrep\AstroGrep.exe" /spath="%USERPROFILE%\AppData\Local\Temp\OnboardLogs" /stypes="app*4022*20161219*" /stext=" 03:.+((SYSTEM_STATE.+slice.+state.+changed )|(ment ac)|(multiple cpu faults)|(system.+state.+changed )|(\[timeout)|(PRM\|1\|D)|(kpr)|(kdp)|(\|lc)|(penalty))" /e /r /s</v>
      </c>
      <c r="AG185" s="1" t="str">
        <f t="shared" si="63"/>
        <v>NW</v>
      </c>
      <c r="AH185" s="92" t="str">
        <f t="shared" si="52"/>
        <v>"%USERPROFILE%\Documents\GitHub\eaglep3\Utilities\RefineRTDCRunTimes.py" --tripid 1829-18 --locoid 4022 --swversion DE.1.0.8.0 --startMP 204:972 --initTime 2016-12-18T20:07:35 --startdatetime 2016-12-18T20:21:14 --delay 1 --endMP 300:58939 --enddatetime 2016-12-18T20:34:40 --enforcementcount 0 &gt;&gt;C:\Users\stu\Documents\GitHub\eaglep3-reporting\EC\2016-12-18-refined-times.txt</v>
      </c>
      <c r="AI185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{"issue":{"subject":"","project_id":79,"tracker_id":40,"status_id":1,"priority_id":2,"assigned_to_id":23,"start_date":"2016-12-18","description":"","custom_fields":[{"id":1,"name":"Subdivision","value":"NW"},{"id":4,"name":"Milepost","value":"5.8939"},{"id":17,"name":"Train ID","value":"1829-18"},{"id":16,"name":"Locomotive ID","value":"4022"},{"id":130,"name":"Impact","value":""},{"id":150,"name":"Time of Event (Mountain Time)","value":"20:34:40"},{"id":151,"name":"Denver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537</v>
      </c>
      <c r="B186" s="7">
        <v>4021</v>
      </c>
      <c r="C186" s="22" t="s">
        <v>205</v>
      </c>
      <c r="D186" s="22" t="s">
        <v>337</v>
      </c>
      <c r="E186" s="13">
        <v>42722.858425925922</v>
      </c>
      <c r="F186" s="13">
        <v>42722.859976851854</v>
      </c>
      <c r="G186" s="7">
        <v>1</v>
      </c>
      <c r="H186" s="22" t="s">
        <v>846</v>
      </c>
      <c r="I186" s="13">
        <v>42722.872129629628</v>
      </c>
      <c r="J186" s="7">
        <v>0</v>
      </c>
      <c r="K186" s="109" t="str">
        <f t="shared" si="54"/>
        <v>4021/4022</v>
      </c>
      <c r="L186" s="22" t="str">
        <f>VLOOKUP(A186,'Trips&amp;Operators'!$C$1:$G$99999,5,FALSE)</f>
        <v>LALONDE GREGORY</v>
      </c>
      <c r="M186" s="6">
        <f t="shared" si="55"/>
        <v>1.2152777773735579E-2</v>
      </c>
      <c r="N186" s="7">
        <f t="shared" si="68"/>
        <v>17.499999994179234</v>
      </c>
      <c r="O186" s="7"/>
      <c r="P186" s="7"/>
      <c r="Q186" s="23"/>
      <c r="R186" s="23"/>
      <c r="S186" s="35">
        <f t="shared" si="70"/>
        <v>1</v>
      </c>
      <c r="T186" s="50" t="str">
        <f t="shared" si="56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19:36:08-700',mode:absolute,to:'2016-12-18 21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6" s="52" t="str">
        <f t="shared" si="71"/>
        <v>N</v>
      </c>
      <c r="X186" s="177">
        <f t="shared" si="67"/>
        <v>1</v>
      </c>
      <c r="Y186" s="67">
        <f t="shared" si="58"/>
        <v>5.8628</v>
      </c>
      <c r="Z186" s="67">
        <f t="shared" si="69"/>
        <v>6.9599999999999995E-2</v>
      </c>
      <c r="AA186" s="67">
        <f t="shared" si="59"/>
        <v>5.7931999999999997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60"/>
        <v>1830-18</v>
      </c>
      <c r="AE186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86" s="88" t="str">
        <f t="shared" si="62"/>
        <v>"C:\Program Files (x86)\AstroGrep\AstroGrep.exe" /spath="%USERPROFILE%\AppData\Local\Temp\OnboardLogs" /stypes="app*4021*20161219*" /stext=" 03:.+((SYSTEM_STATE.+slice.+state.+changed )|(ment ac)|(multiple cpu faults)|(system.+state.+changed )|(\[timeout)|(PRM\|1\|D)|(kpr)|(kdp)|(\|lc)|(penalty))" /e /r /s</v>
      </c>
      <c r="AG186" s="1" t="str">
        <f t="shared" si="63"/>
        <v>NW</v>
      </c>
      <c r="AH186" s="92" t="str">
        <f t="shared" si="52"/>
        <v>"%USERPROFILE%\Documents\GitHub\eaglep3\Utilities\RefineRTDCRunTimes.py" --tripid 1830-18 --locoid 4021 --swversion DE.1.0.8.0 --startMP 300:58628 --initTime 2016-12-18T20:36:08 --startdatetime 2016-12-18T20:38:22 --delay 1 --endMP 204:696 --enddatetime 2016-12-18T20:55:52 --enforcementcount 0 &gt;&gt;C:\Users\stu\Documents\GitHub\eaglep3-reporting\EC\2016-12-18-refined-times.txt</v>
      </c>
      <c r="AI186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{"issue":{"subject":"","project_id":79,"tracker_id":40,"status_id":1,"priority_id":2,"assigned_to_id":23,"start_date":"2016-12-18","description":"","custom_fields":[{"id":1,"name":"Subdivision","value":"NW"},{"id":4,"name":"Milepost","value":"0.0696"},{"id":17,"name":"Train ID","value":"1830-18"},{"id":16,"name":"Locomotive ID","value":"4021"},{"id":130,"name":"Impact","value":""},{"id":150,"name":"Time of Event (Mountain Time)","value":"20:55:52"},{"id":151,"name":"Denver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701</v>
      </c>
      <c r="B187" s="7">
        <v>4022</v>
      </c>
      <c r="C187" s="22" t="s">
        <v>205</v>
      </c>
      <c r="D187" s="22" t="s">
        <v>844</v>
      </c>
      <c r="E187" s="13">
        <v>42722.874548611115</v>
      </c>
      <c r="F187" s="13">
        <v>42722.889849537038</v>
      </c>
      <c r="G187" s="7">
        <v>1</v>
      </c>
      <c r="H187" s="22" t="s">
        <v>491</v>
      </c>
      <c r="I187" s="13">
        <v>42722.899131944447</v>
      </c>
      <c r="J187" s="7">
        <v>0</v>
      </c>
      <c r="K187" s="109" t="str">
        <f t="shared" si="54"/>
        <v>4021/4022</v>
      </c>
      <c r="L187" s="22" t="str">
        <f>VLOOKUP(A187,'Trips&amp;Operators'!$C$1:$G$99999,5,FALSE)</f>
        <v>LALONDE GREGORY</v>
      </c>
      <c r="M187" s="6">
        <f t="shared" si="55"/>
        <v>9.2824074090458453E-3</v>
      </c>
      <c r="N187" s="7">
        <f t="shared" si="68"/>
        <v>13.366666669026017</v>
      </c>
      <c r="O187" s="7"/>
      <c r="P187" s="7"/>
      <c r="Q187" s="23"/>
      <c r="R187" s="23"/>
      <c r="S187" s="35">
        <f t="shared" si="70"/>
        <v>1</v>
      </c>
      <c r="T187" s="50" t="str">
        <f t="shared" si="56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19:59:21-700',mode:absolute,to:'2016-12-18 22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7" s="52" t="str">
        <f t="shared" si="71"/>
        <v>N</v>
      </c>
      <c r="X187" s="177">
        <f t="shared" si="67"/>
        <v>1</v>
      </c>
      <c r="Y187" s="67">
        <f t="shared" si="58"/>
        <v>9.6699999999999994E-2</v>
      </c>
      <c r="Z187" s="67">
        <f t="shared" si="69"/>
        <v>5.8940999999999999</v>
      </c>
      <c r="AA187" s="67">
        <f t="shared" si="59"/>
        <v>5.7973999999999997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60"/>
        <v>1831-18</v>
      </c>
      <c r="AE187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87" s="88" t="str">
        <f t="shared" si="62"/>
        <v>"C:\Program Files (x86)\AstroGrep\AstroGrep.exe" /spath="%USERPROFILE%\AppData\Local\Temp\OnboardLogs" /stypes="app*4022*20161219*" /stext=" 04:.+((SYSTEM_STATE.+slice.+state.+changed )|(ment ac)|(multiple cpu faults)|(system.+state.+changed )|(\[timeout)|(PRM\|1\|D)|(kpr)|(kdp)|(\|lc)|(penalty))" /e /r /s</v>
      </c>
      <c r="AG187" s="1" t="str">
        <f t="shared" si="63"/>
        <v>NW</v>
      </c>
      <c r="AH187" s="92" t="str">
        <f t="shared" si="52"/>
        <v>"%USERPROFILE%\Documents\GitHub\eaglep3\Utilities\RefineRTDCRunTimes.py" --tripid 1831-18 --locoid 4022 --swversion DE.1.0.8.0 --startMP 204:967 --initTime 2016-12-18T20:59:21 --startdatetime 2016-12-18T21:21:23 --delay 1 --endMP 300:58941 --enddatetime 2016-12-18T21:34:45 --enforcementcount 0 &gt;&gt;C:\Users\stu\Documents\GitHub\eaglep3-reporting\EC\2016-12-18-refined-times.txt</v>
      </c>
      <c r="AI187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{"issue":{"subject":"","project_id":79,"tracker_id":40,"status_id":1,"priority_id":2,"assigned_to_id":23,"start_date":"2016-12-18","description":"","custom_fields":[{"id":1,"name":"Subdivision","value":"NW"},{"id":4,"name":"Milepost","value":"5.8941"},{"id":17,"name":"Train ID","value":"1831-18"},{"id":16,"name":"Locomotive ID","value":"4022"},{"id":130,"name":"Impact","value":""},{"id":150,"name":"Time of Event (Mountain Time)","value":"21:34:45"},{"id":151,"name":"Denver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706</v>
      </c>
      <c r="B188" s="7">
        <v>4021</v>
      </c>
      <c r="C188" s="22" t="s">
        <v>205</v>
      </c>
      <c r="D188" s="22" t="s">
        <v>291</v>
      </c>
      <c r="E188" s="13">
        <v>42722.900451388887</v>
      </c>
      <c r="F188" s="13">
        <v>42722.902048611111</v>
      </c>
      <c r="G188" s="7">
        <v>1</v>
      </c>
      <c r="H188" s="22" t="s">
        <v>838</v>
      </c>
      <c r="I188" s="13">
        <v>42722.913182870368</v>
      </c>
      <c r="J188" s="7">
        <v>0</v>
      </c>
      <c r="K188" s="109" t="str">
        <f t="shared" si="54"/>
        <v>4021/4022</v>
      </c>
      <c r="L188" s="22" t="str">
        <f>VLOOKUP(A188,'Trips&amp;Operators'!$C$1:$G$99999,5,FALSE)</f>
        <v>LALONDE GREGORY</v>
      </c>
      <c r="M188" s="6">
        <f t="shared" si="55"/>
        <v>1.113425925723277E-2</v>
      </c>
      <c r="N188" s="7">
        <f t="shared" si="68"/>
        <v>16.033333330415189</v>
      </c>
      <c r="O188" s="7"/>
      <c r="P188" s="7"/>
      <c r="Q188" s="23"/>
      <c r="R188" s="23"/>
      <c r="S188" s="35">
        <f t="shared" si="70"/>
        <v>1</v>
      </c>
      <c r="T188" s="50" t="str">
        <f t="shared" si="56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20:36:39-700',mode:absolute,to:'2016-12-18 22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8" s="52" t="str">
        <f t="shared" si="71"/>
        <v>N</v>
      </c>
      <c r="X188" s="177">
        <f t="shared" si="67"/>
        <v>1</v>
      </c>
      <c r="Y188" s="67">
        <f t="shared" si="58"/>
        <v>5.8613</v>
      </c>
      <c r="Z188" s="67">
        <f t="shared" si="69"/>
        <v>6.8400000000000002E-2</v>
      </c>
      <c r="AA188" s="67">
        <f t="shared" si="59"/>
        <v>5.7929000000000004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60"/>
        <v>1832-18</v>
      </c>
      <c r="AE188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188" s="88" t="str">
        <f t="shared" si="62"/>
        <v>"C:\Program Files (x86)\AstroGrep\AstroGrep.exe" /spath="%USERPROFILE%\AppData\Local\Temp\OnboardLogs" /stypes="app*4021*20161219*" /stext=" 04:.+((SYSTEM_STATE.+slice.+state.+changed )|(ment ac)|(multiple cpu faults)|(system.+state.+changed )|(\[timeout)|(PRM\|1\|D)|(kpr)|(kdp)|(\|lc)|(penalty))" /e /r /s</v>
      </c>
      <c r="AG188" s="1" t="str">
        <f t="shared" si="63"/>
        <v>NW</v>
      </c>
      <c r="AH188" s="92" t="str">
        <f t="shared" si="52"/>
        <v>"%USERPROFILE%\Documents\GitHub\eaglep3\Utilities\RefineRTDCRunTimes.py" --tripid 1832-18 --locoid 4021 --swversion DE.1.0.8.0 --startMP 300:58613 --initTime 2016-12-18T21:36:39 --startdatetime 2016-12-18T21:38:57 --delay 1 --endMP 204:684 --enddatetime 2016-12-18T21:54:59 --enforcementcount 0 &gt;&gt;C:\Users\stu\Documents\GitHub\eaglep3-reporting\EC\2016-12-18-refined-times.txt</v>
      </c>
      <c r="AI188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{"issue":{"subject":"","project_id":79,"tracker_id":40,"status_id":1,"priority_id":2,"assigned_to_id":23,"start_date":"2016-12-18","description":"","custom_fields":[{"id":1,"name":"Subdivision","value":"NW"},{"id":4,"name":"Milepost","value":"0.0684"},{"id":17,"name":"Train ID","value":"1832-18"},{"id":16,"name":"Locomotive ID","value":"4021"},{"id":130,"name":"Impact","value":""},{"id":150,"name":"Time of Event (Mountain Time)","value":"21:54:59"},{"id":151,"name":"Denver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709</v>
      </c>
      <c r="B189" s="7">
        <v>4022</v>
      </c>
      <c r="C189" s="22" t="s">
        <v>205</v>
      </c>
      <c r="D189" s="22" t="s">
        <v>332</v>
      </c>
      <c r="E189" s="13">
        <v>42722.915925925925</v>
      </c>
      <c r="F189" s="13">
        <v>42722.931631944448</v>
      </c>
      <c r="G189" s="7">
        <v>1</v>
      </c>
      <c r="H189" s="22" t="s">
        <v>501</v>
      </c>
      <c r="I189" s="13">
        <v>42722.941053240742</v>
      </c>
      <c r="J189" s="7">
        <v>0</v>
      </c>
      <c r="K189" s="109" t="str">
        <f t="shared" si="54"/>
        <v>4021/4022</v>
      </c>
      <c r="L189" s="22" t="str">
        <f>VLOOKUP(A189,'Trips&amp;Operators'!$C$1:$G$99999,5,FALSE)</f>
        <v>LALONDE GREGORY</v>
      </c>
      <c r="M189" s="6">
        <f t="shared" si="55"/>
        <v>9.4212962940218858E-3</v>
      </c>
      <c r="N189" s="7">
        <f t="shared" si="68"/>
        <v>13.566666663391516</v>
      </c>
      <c r="O189" s="7"/>
      <c r="P189" s="7"/>
      <c r="Q189" s="23"/>
      <c r="R189" s="23"/>
      <c r="S189" s="35">
        <f t="shared" si="70"/>
        <v>1</v>
      </c>
      <c r="T189" s="50" t="str">
        <f t="shared" si="56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20:58:56-700',mode:absolute,to:'2016-12-18 23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9" s="52" t="str">
        <f t="shared" si="71"/>
        <v>N</v>
      </c>
      <c r="X189" s="177">
        <f t="shared" si="67"/>
        <v>1</v>
      </c>
      <c r="Y189" s="67">
        <f t="shared" si="58"/>
        <v>9.6500000000000002E-2</v>
      </c>
      <c r="Z189" s="67">
        <f t="shared" si="69"/>
        <v>5.8945999999999996</v>
      </c>
      <c r="AA189" s="67">
        <f t="shared" si="59"/>
        <v>5.7980999999999998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60"/>
        <v>1833-18</v>
      </c>
      <c r="AE189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189" s="88" t="str">
        <f t="shared" si="62"/>
        <v>"C:\Program Files (x86)\AstroGrep\AstroGrep.exe" /spath="%USERPROFILE%\AppData\Local\Temp\OnboardLogs" /stypes="app*4022*20161219*" /stext=" 05:.+((SYSTEM_STATE.+slice.+state.+changed )|(ment ac)|(multiple cpu faults)|(system.+state.+changed )|(\[timeout)|(PRM\|1\|D)|(kpr)|(kdp)|(\|lc)|(penalty))" /e /r /s</v>
      </c>
      <c r="AG189" s="1" t="str">
        <f t="shared" si="63"/>
        <v>NW</v>
      </c>
      <c r="AH189" s="92" t="str">
        <f t="shared" si="52"/>
        <v>"%USERPROFILE%\Documents\GitHub\eaglep3\Utilities\RefineRTDCRunTimes.py" --tripid 1833-18 --locoid 4022 --swversion DE.1.0.8.0 --startMP 204:965 --initTime 2016-12-18T21:58:56 --startdatetime 2016-12-18T22:21:33 --delay 1 --endMP 300:58946 --enddatetime 2016-12-18T22:35:07 --enforcementcount 0 &gt;&gt;C:\Users\stu\Documents\GitHub\eaglep3-reporting\EC\2016-12-18-refined-times.txt</v>
      </c>
      <c r="AI189" s="119" t="str">
        <f t="shared" si="53"/>
        <v>echo {"issue":{"subject":"","project_id":79,"tracker_id":40,"status_id":1,"priority_id":2,"assigned_to_id":23,"start_date":"2016-12-18","description":"","custom_fields":[{"id":1,"name":"Subdivision","value":"NW"},{"id":4,"name":"Milepost","value":"5.8946"},{"id":17,"name":"Train ID","value":"1833-18"},{"id":16,"name":"Locomotive ID","value":"4022"},{"id":130,"name":"Impact","value":""},{"id":150,"name":"Time of Event (Mountain Time)","value":"22:35:07"},{"id":151,"name":"Denver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549</v>
      </c>
      <c r="B190" s="7">
        <v>4030</v>
      </c>
      <c r="C190" s="22" t="s">
        <v>205</v>
      </c>
      <c r="D190" s="22" t="s">
        <v>900</v>
      </c>
      <c r="E190" s="13">
        <v>42722.113634259258</v>
      </c>
      <c r="F190" s="13">
        <v>42722.118460648147</v>
      </c>
      <c r="G190" s="7">
        <v>6</v>
      </c>
      <c r="H190" s="22" t="s">
        <v>301</v>
      </c>
      <c r="I190" s="13">
        <v>42722.1253125</v>
      </c>
      <c r="J190" s="7">
        <v>0</v>
      </c>
      <c r="K190" s="109" t="str">
        <f t="shared" si="54"/>
        <v>4029/4030</v>
      </c>
      <c r="L190" s="22" t="str">
        <f>VLOOKUP(A190,'Trips&amp;Operators'!$C$1:$G$99999,5,FALSE)</f>
        <v>OUN ZACK</v>
      </c>
      <c r="M190" s="6">
        <f t="shared" si="55"/>
        <v>6.8518518528435379E-3</v>
      </c>
      <c r="N190" s="7">
        <f t="shared" si="68"/>
        <v>9.8666666680946946</v>
      </c>
      <c r="O190" s="7"/>
      <c r="P190" s="7"/>
      <c r="Q190" s="23"/>
      <c r="R190" s="23"/>
      <c r="S190" s="35">
        <f t="shared" si="70"/>
        <v>1</v>
      </c>
      <c r="T190" s="50" t="str">
        <f t="shared" si="56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01:43:38-700',mode:absolute,to:'2016-12-18 04:00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0" s="52" t="str">
        <f t="shared" si="71"/>
        <v>Y</v>
      </c>
      <c r="X190" s="177">
        <f t="shared" ref="X190:X220" si="72">VALUE(LEFT(AD190,4))-VALUE(LEFT(AD189,4))</f>
        <v>-1531</v>
      </c>
      <c r="Y190" s="67">
        <f t="shared" si="58"/>
        <v>2.3039999999999998</v>
      </c>
      <c r="Z190" s="67">
        <f t="shared" si="69"/>
        <v>1.32E-2</v>
      </c>
      <c r="AA190" s="67">
        <f t="shared" si="59"/>
        <v>2.2907999999999999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60"/>
        <v>0302-18</v>
      </c>
      <c r="AE190" s="91" t="str">
        <f t="shared" si="61"/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AF190" s="88" t="str">
        <f t="shared" si="62"/>
        <v>"C:\Program Files (x86)\AstroGrep\AstroGrep.exe" /spath="%USERPROFILE%\AppData\Local\Temp\OnboardLogs" /stypes="app*4030*20161218*" /stext=" 10:.+((SYSTEM_STATE.+slice.+state.+changed )|(ment ac)|(multiple cpu faults)|(system.+state.+changed )|(\[timeout)|(PRM\|1\|D)|(kpr)|(kdp)|(\|lc)|(penalty))" /e /r /s</v>
      </c>
      <c r="AG190" s="1" t="str">
        <f t="shared" si="63"/>
        <v>Other</v>
      </c>
      <c r="AH190" s="92" t="str">
        <f t="shared" si="52"/>
        <v>"%USERPROFILE%\Documents\GitHub\eaglep3\Utilities\RefineRTDCRunTimes.py" --tripid 302-18 --locoid 4030 --swversion DE.1.0.8.0 --startMP 300:23040 --initTime 2016-12-18T02:43:38 --startdatetime 2016-12-18T02:50:35 --delay 6 --endMP 204:132 --enddatetime 2016-12-18T03:00:27 --enforcementcount 0 &gt;&gt;C:\Users\stu\Documents\GitHub\eaglep3-reporting\EC\2016-12-18-refined-times.txt</v>
      </c>
      <c r="AI190" s="119" t="str">
        <f t="shared" si="53"/>
        <v>echo {"issue":{"subject":"","project_id":79,"tracker_id":40,"status_id":1,"priority_id":2,"assigned_to_id":23,"start_date":"2016-12-18","description":"","custom_fields":[{"id":1,"name":"Subdivision","value":"Other"},{"id":4,"name":"Milepost","value":"0.0132"},{"id":17,"name":"Train ID","value":"302-18"},{"id":16,"name":"Locomotive ID","value":"4030"},{"id":130,"name":"Impact","value":""},{"id":150,"name":"Time of Event (Mountain Time)","value":"03:00:27"},{"id":151,"name":"Denver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725</v>
      </c>
      <c r="B191" s="7">
        <v>4012</v>
      </c>
      <c r="C191" s="22" t="s">
        <v>205</v>
      </c>
      <c r="D191" s="22" t="s">
        <v>901</v>
      </c>
      <c r="E191" s="13">
        <v>42723.11109953704</v>
      </c>
      <c r="F191" s="13">
        <v>42723.115011574075</v>
      </c>
      <c r="G191" s="7">
        <v>5</v>
      </c>
      <c r="H191" s="22" t="s">
        <v>902</v>
      </c>
      <c r="I191" s="13">
        <v>42723.12300925926</v>
      </c>
      <c r="J191" s="7">
        <v>0</v>
      </c>
      <c r="K191" s="109" t="str">
        <f t="shared" si="54"/>
        <v>4011/4012</v>
      </c>
      <c r="L191" s="22" t="str">
        <f>VLOOKUP(A191,'Trips&amp;Operators'!$C$1:$G$99999,5,FALSE)</f>
        <v>OUN ZACK</v>
      </c>
      <c r="M191" s="6">
        <f t="shared" si="55"/>
        <v>7.9976851848186925E-3</v>
      </c>
      <c r="N191" s="7">
        <f t="shared" ref="N191:N220" si="73">24*60*SUM($M191:$M191)</f>
        <v>11.516666666138917</v>
      </c>
      <c r="O191" s="7"/>
      <c r="P191" s="7"/>
      <c r="Q191" s="23"/>
      <c r="R191" s="23"/>
      <c r="S191" s="35">
        <f t="shared" si="70"/>
        <v>1</v>
      </c>
      <c r="T191" s="50" t="str">
        <f t="shared" si="56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https://search-rtdc-monitor-bjffxe2xuh6vdkpspy63sjmuny.us-east-1.es.amazonaws.com/_plugin/kibana/#/discover/Steve-Slow-Train-Analysis-(2080s-and-2083s)?_g=(refreshInterval:(display:Off,section:0,value:0),time:(from:'2016-12-19 01:39:59-700',mode:absolute,to:'2016-12-19 03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1" s="52" t="str">
        <f t="shared" si="71"/>
        <v>Y</v>
      </c>
      <c r="X191" s="177">
        <f t="shared" si="72"/>
        <v>0</v>
      </c>
      <c r="Y191" s="67">
        <f t="shared" si="58"/>
        <v>2.3199000000000001</v>
      </c>
      <c r="Z191" s="67">
        <f t="shared" ref="Z191:Z220" si="74">RIGHT(H191,LEN(H191)-4)/10000</f>
        <v>1.2999999999999999E-2</v>
      </c>
      <c r="AA191" s="67">
        <f t="shared" si="59"/>
        <v>2.3069000000000002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60"/>
        <v>0302-19</v>
      </c>
      <c r="AE191" s="91" t="str">
        <f t="shared" si="61"/>
        <v>aws s3 cp s3://rtdc.mdm.uploadarchive.raw/RTDC4012/ "%USERPROFILE%\AppData\Local\Temp\OnboardLogs"\RTDC4012\2016-12-19 --exclude "*" --recursive --include "*20161219*" &amp; "%USERPROFILE%\Documents\GitHub\mrs-test-scripts\Headless Mode &amp; Sideloading\WalkAndUnGZ.bat" "%USERPROFILE%\AppData\Local\Temp\OnboardLogs"\RTDC4012\2016-12-19 &amp; 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</v>
      </c>
      <c r="AF191" s="88" t="str">
        <f t="shared" si="62"/>
        <v>"C:\Program Files (x86)\AstroGrep\AstroGrep.exe" /spath="%USERPROFILE%\AppData\Local\Temp\OnboardLogs" /stypes="app*4012*20161219*" /stext=" 09:.+((SYSTEM_STATE.+slice.+state.+changed )|(ment ac)|(multiple cpu faults)|(system.+state.+changed )|(\[timeout)|(PRM\|1\|D)|(kpr)|(kdp)|(\|lc)|(penalty))" /e /r /s</v>
      </c>
      <c r="AG191" s="1" t="str">
        <f t="shared" si="63"/>
        <v>Other</v>
      </c>
      <c r="AH191" s="92" t="str">
        <f t="shared" si="52"/>
        <v>"%USERPROFILE%\Documents\GitHub\eaglep3\Utilities\RefineRTDCRunTimes.py" --tripid 302-19 --locoid 4012 --swversion DE.1.0.8.0 --startMP 300:23199 --initTime 2016-12-19T02:39:59 --startdatetime 2016-12-19T02:45:37 --delay 5 --endMP 204:130 --enddatetime 2016-12-19T02:57:08 --enforcementcount 0 &gt;&gt;C:\Users\stu\Documents\GitHub\eaglep3-reporting\EC\2016-12-18-refined-times.txt</v>
      </c>
      <c r="AI191" s="119" t="str">
        <f t="shared" si="53"/>
        <v>echo {"issue":{"subject":"","project_id":79,"tracker_id":40,"status_id":1,"priority_id":2,"assigned_to_id":23,"start_date":"2016-12-19","description":"","custom_fields":[{"id":1,"name":"Subdivision","value":"Other"},{"id":4,"name":"Milepost","value":"0.013"},{"id":17,"name":"Train ID","value":"302-19"},{"id":16,"name":"Locomotive ID","value":"4012"},{"id":130,"name":"Impact","value":""},{"id":150,"name":"Time of Event (Mountain Time)","value":"02:57:08"},{"id":151,"name":"Denver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554</v>
      </c>
      <c r="B192" s="7">
        <v>4043</v>
      </c>
      <c r="C192" s="22" t="s">
        <v>205</v>
      </c>
      <c r="D192" s="22" t="s">
        <v>903</v>
      </c>
      <c r="E192" s="13">
        <v>42722.137638888889</v>
      </c>
      <c r="F192" s="13">
        <v>42722.143437500003</v>
      </c>
      <c r="G192" s="7">
        <v>7</v>
      </c>
      <c r="H192" s="22" t="s">
        <v>264</v>
      </c>
      <c r="I192" s="13">
        <v>42722.149247685185</v>
      </c>
      <c r="J192" s="7">
        <v>0</v>
      </c>
      <c r="K192" s="109" t="str">
        <f t="shared" si="54"/>
        <v>4043/4044</v>
      </c>
      <c r="L192" s="22" t="str">
        <f>VLOOKUP(A192,'Trips&amp;Operators'!$C$1:$G$99999,5,FALSE)</f>
        <v>MAELZER KURT</v>
      </c>
      <c r="M192" s="6">
        <f t="shared" si="55"/>
        <v>5.8101851827814244E-3</v>
      </c>
      <c r="N192" s="7">
        <f t="shared" si="73"/>
        <v>8.3666666632052511</v>
      </c>
      <c r="O192" s="7"/>
      <c r="P192" s="7"/>
      <c r="Q192" s="23"/>
      <c r="R192" s="23"/>
      <c r="S192" s="35">
        <f t="shared" si="70"/>
        <v>1</v>
      </c>
      <c r="T192" s="50" t="str">
        <f t="shared" si="56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02:18:12-700',mode:absolute,to:'2016-12-18 04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2" s="52" t="str">
        <f t="shared" si="71"/>
        <v>Y</v>
      </c>
      <c r="X192" s="177">
        <f t="shared" si="72"/>
        <v>2</v>
      </c>
      <c r="Y192" s="67">
        <f t="shared" si="58"/>
        <v>1.9688000000000001</v>
      </c>
      <c r="Z192" s="67">
        <f t="shared" si="74"/>
        <v>1.47E-2</v>
      </c>
      <c r="AA192" s="67">
        <f t="shared" si="59"/>
        <v>1.9541000000000002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60"/>
        <v>0304-18</v>
      </c>
      <c r="AE192" s="91" t="str">
        <f t="shared" si="61"/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AF192" s="88" t="str">
        <f t="shared" si="62"/>
        <v>"C:\Program Files (x86)\AstroGrep\AstroGrep.exe" /spath="%USERPROFILE%\AppData\Local\Temp\OnboardLogs" /stypes="app*4043*20161218*" /stext=" 10:.+((SYSTEM_STATE.+slice.+state.+changed )|(ment ac)|(multiple cpu faults)|(system.+state.+changed )|(\[timeout)|(PRM\|1\|D)|(kpr)|(kdp)|(\|lc)|(penalty))" /e /r /s</v>
      </c>
      <c r="AG192" s="1" t="str">
        <f t="shared" si="63"/>
        <v>Other</v>
      </c>
      <c r="AH192" s="92" t="str">
        <f t="shared" si="52"/>
        <v>"%USERPROFILE%\Documents\GitHub\eaglep3\Utilities\RefineRTDCRunTimes.py" --tripid 304-18 --locoid 4043 --swversion DE.1.0.8.0 --startMP 300:19688 --initTime 2016-12-18T03:18:12 --startdatetime 2016-12-18T03:26:33 --delay 7 --endMP 204:147 --enddatetime 2016-12-18T03:34:55 --enforcementcount 0 &gt;&gt;C:\Users\stu\Documents\GitHub\eaglep3-reporting\EC\2016-12-18-refined-times.txt</v>
      </c>
      <c r="AI192" s="119" t="str">
        <f t="shared" si="53"/>
        <v>echo {"issue":{"subject":"","project_id":79,"tracker_id":40,"status_id":1,"priority_id":2,"assigned_to_id":23,"start_date":"2016-12-18","description":"","custom_fields":[{"id":1,"name":"Subdivision","value":"Other"},{"id":4,"name":"Milepost","value":"0.0147"},{"id":17,"name":"Train ID","value":"304-18"},{"id":16,"name":"Locomotive ID","value":"4043"},{"id":130,"name":"Impact","value":""},{"id":150,"name":"Time of Event (Mountain Time)","value":"03:34:55"},{"id":151,"name":"Denver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556</v>
      </c>
      <c r="B193" s="7">
        <v>4039</v>
      </c>
      <c r="C193" s="22" t="s">
        <v>205</v>
      </c>
      <c r="D193" s="22" t="s">
        <v>904</v>
      </c>
      <c r="E193" s="13">
        <v>42722.165983796294</v>
      </c>
      <c r="F193" s="13">
        <v>42722.167129629626</v>
      </c>
      <c r="G193" s="7">
        <v>1</v>
      </c>
      <c r="H193" s="22" t="s">
        <v>264</v>
      </c>
      <c r="I193" s="13">
        <v>42722.17627314815</v>
      </c>
      <c r="J193" s="7">
        <v>0</v>
      </c>
      <c r="K193" s="109" t="str">
        <f t="shared" si="54"/>
        <v>4039/4040</v>
      </c>
      <c r="L193" s="22" t="str">
        <f>VLOOKUP(A193,'Trips&amp;Operators'!$C$1:$G$99999,5,FALSE)</f>
        <v>ISHMAEL JOSEPH</v>
      </c>
      <c r="M193" s="6">
        <f t="shared" si="55"/>
        <v>9.1435185240698047E-3</v>
      </c>
      <c r="N193" s="7">
        <f t="shared" si="73"/>
        <v>13.166666674660519</v>
      </c>
      <c r="O193" s="7"/>
      <c r="P193" s="7"/>
      <c r="Q193" s="23"/>
      <c r="R193" s="23"/>
      <c r="S193" s="35">
        <f t="shared" si="70"/>
        <v>1</v>
      </c>
      <c r="T193" s="50" t="str">
        <f t="shared" si="56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02:59:01-700',mode:absolute,to:'2016-12-18 05:13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 t="shared" si="71"/>
        <v>Y</v>
      </c>
      <c r="X193" s="177">
        <f t="shared" si="72"/>
        <v>2</v>
      </c>
      <c r="Y193" s="67">
        <f t="shared" si="58"/>
        <v>2.1804999999999999</v>
      </c>
      <c r="Z193" s="67">
        <f t="shared" si="74"/>
        <v>1.47E-2</v>
      </c>
      <c r="AA193" s="67">
        <f t="shared" si="59"/>
        <v>2.1657999999999999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60"/>
        <v>0306-18</v>
      </c>
      <c r="AE193" s="91" t="str">
        <f t="shared" si="61"/>
        <v>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 &amp; aws s3 cp s3://rtdc.mdm.uploadarchive.raw/RTDC4039/ "%USERPROFILE%\AppData\Local\Temp\OnboardLogs"\RTDC4039\2016-12-19 --exclude "*" --recursive --include "*20161219*" &amp; "%USERPROFILE%\Documents\GitHub\mrs-test-scripts\Headless Mode &amp; Sideloading\WalkAndUnGZ.bat" "%USERPROFILE%\AppData\Local\Temp\OnboardLogs"\RTDC4039\2016-12-19</v>
      </c>
      <c r="AF193" s="88" t="str">
        <f t="shared" si="62"/>
        <v>"C:\Program Files (x86)\AstroGrep\AstroGrep.exe" /spath="%USERPROFILE%\AppData\Local\Temp\OnboardLogs" /stypes="app*4039*20161218*" /stext=" 11:.+((SYSTEM_STATE.+slice.+state.+changed )|(ment ac)|(multiple cpu faults)|(system.+state.+changed )|(\[timeout)|(PRM\|1\|D)|(kpr)|(kdp)|(\|lc)|(penalty))" /e /r /s</v>
      </c>
      <c r="AG193" s="1" t="str">
        <f t="shared" si="63"/>
        <v>Other</v>
      </c>
      <c r="AH193" s="92" t="str">
        <f t="shared" si="52"/>
        <v>"%USERPROFILE%\Documents\GitHub\eaglep3\Utilities\RefineRTDCRunTimes.py" --tripid 306-18 --locoid 4039 --swversion DE.1.0.8.0 --startMP 300:21805 --initTime 2016-12-18T03:59:01 --startdatetime 2016-12-18T04:00:40 --delay 1 --endMP 204:147 --enddatetime 2016-12-18T04:13:50 --enforcementcount 0 &gt;&gt;C:\Users\stu\Documents\GitHub\eaglep3-reporting\EC\2016-12-18-refined-times.txt</v>
      </c>
      <c r="AI193" s="119" t="str">
        <f t="shared" si="53"/>
        <v>echo {"issue":{"subject":"","project_id":79,"tracker_id":40,"status_id":1,"priority_id":2,"assigned_to_id":23,"start_date":"2016-12-18","description":"","custom_fields":[{"id":1,"name":"Subdivision","value":"Other"},{"id":4,"name":"Milepost","value":"0.0147"},{"id":17,"name":"Train ID","value":"306-18"},{"id":16,"name":"Locomotive ID","value":"4039"},{"id":130,"name":"Impact","value":""},{"id":150,"name":"Time of Event (Mountain Time)","value":"04:13:50"},{"id":151,"name":"Denver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719</v>
      </c>
      <c r="B194" s="7">
        <v>4040</v>
      </c>
      <c r="C194" s="22" t="s">
        <v>205</v>
      </c>
      <c r="D194" s="22" t="s">
        <v>194</v>
      </c>
      <c r="E194" s="13">
        <v>42723.028622685182</v>
      </c>
      <c r="F194" s="13">
        <v>42723.029965277776</v>
      </c>
      <c r="G194" s="7">
        <v>1</v>
      </c>
      <c r="H194" s="22" t="s">
        <v>905</v>
      </c>
      <c r="I194" s="13">
        <v>42723.030428240738</v>
      </c>
      <c r="J194" s="7">
        <v>0</v>
      </c>
      <c r="K194" s="109" t="str">
        <f t="shared" si="54"/>
        <v>4039/4040</v>
      </c>
      <c r="L194" s="22" t="str">
        <f>VLOOKUP(A194,'Trips&amp;Operators'!$C$1:$G$99999,5,FALSE)</f>
        <v>CHANDLER KELVIN</v>
      </c>
      <c r="M194" s="6">
        <f t="shared" si="55"/>
        <v>4.6296296204673126E-4</v>
      </c>
      <c r="N194" s="7">
        <f t="shared" si="73"/>
        <v>0.66666666534729302</v>
      </c>
      <c r="O194" s="7"/>
      <c r="P194" s="7"/>
      <c r="Q194" s="23"/>
      <c r="R194" s="23"/>
      <c r="S194" s="35">
        <f t="shared" si="70"/>
        <v>0</v>
      </c>
      <c r="T194" s="50" t="str">
        <f t="shared" si="56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23:41:13-700',mode:absolute,to:'2016-12-19 01:43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4" s="52" t="str">
        <f t="shared" si="71"/>
        <v>Y</v>
      </c>
      <c r="X194" s="177">
        <f t="shared" si="72"/>
        <v>3</v>
      </c>
      <c r="Y194" s="67">
        <f t="shared" si="58"/>
        <v>4.5100000000000001E-2</v>
      </c>
      <c r="Z194" s="67">
        <f t="shared" si="74"/>
        <v>9.4500000000000001E-2</v>
      </c>
      <c r="AA194" s="67">
        <f t="shared" si="59"/>
        <v>4.9399999999999999E-2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60"/>
        <v>0309-18</v>
      </c>
      <c r="AE194" s="91" t="str">
        <f t="shared" si="61"/>
        <v>aws s3 cp s3://rtdc.mdm.uploadarchive.raw/RTDC4040/ "%USERPROFILE%\AppData\Local\Temp\OnboardLogs"\RTDC4040\2016-12-19 --exclude "*" --recursive --include "*20161219*" &amp; "%USERPROFILE%\Documents\GitHub\mrs-test-scripts\Headless Mode &amp; Sideloading\WalkAndUnGZ.bat" "%USERPROFILE%\AppData\Local\Temp\OnboardLogs"\RTDC4040\2016-12-19 &amp; 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</v>
      </c>
      <c r="AF194" s="88" t="str">
        <f t="shared" si="62"/>
        <v>"C:\Program Files (x86)\AstroGrep\AstroGrep.exe" /spath="%USERPROFILE%\AppData\Local\Temp\OnboardLogs" /stypes="app*4040*20161219*" /stext=" 07:.+((SYSTEM_STATE.+slice.+state.+changed )|(ment ac)|(multiple cpu faults)|(system.+state.+changed )|(\[timeout)|(PRM\|1\|D)|(kpr)|(kdp)|(\|lc)|(penalty))" /e /r /s</v>
      </c>
      <c r="AG194" s="1" t="str">
        <f t="shared" si="63"/>
        <v>Other</v>
      </c>
      <c r="AH194" s="92" t="str">
        <f t="shared" si="52"/>
        <v>"%USERPROFILE%\Documents\GitHub\eaglep3\Utilities\RefineRTDCRunTimes.py" --tripid 309-18 --locoid 4040 --swversion DE.1.0.8.0 --startMP 204:451 --initTime 2016-12-19T00:41:13 --startdatetime 2016-12-19T00:43:09 --delay 1 --endMP 204:945 --enddatetime 2016-12-19T00:43:49 --enforcementcount 0 &gt;&gt;C:\Users\stu\Documents\GitHub\eaglep3-reporting\EC\2016-12-18-refined-times.txt</v>
      </c>
      <c r="AI194" s="119" t="str">
        <f t="shared" si="53"/>
        <v>echo {"issue":{"subject":"","project_id":79,"tracker_id":40,"status_id":1,"priority_id":2,"assigned_to_id":23,"start_date":"2016-12-19","description":"","custom_fields":[{"id":1,"name":"Subdivision","value":"Other"},{"id":4,"name":"Milepost","value":"0.0945"},{"id":17,"name":"Train ID","value":"309-18"},{"id":16,"name":"Locomotive ID","value":"4040"},{"id":130,"name":"Impact","value":""},{"id":150,"name":"Time of Event (Mountain Time)","value":"00:43:49"},{"id":151,"name":"Denver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507</v>
      </c>
      <c r="B195" s="7">
        <v>4028</v>
      </c>
      <c r="C195" s="22" t="s">
        <v>205</v>
      </c>
      <c r="D195" s="22" t="s">
        <v>906</v>
      </c>
      <c r="E195" s="13">
        <v>42722.184699074074</v>
      </c>
      <c r="F195" s="13">
        <v>42722.185914351852</v>
      </c>
      <c r="G195" s="7">
        <v>1</v>
      </c>
      <c r="H195" s="22" t="s">
        <v>278</v>
      </c>
      <c r="I195" s="13">
        <v>42722.195416666669</v>
      </c>
      <c r="J195" s="7">
        <v>0</v>
      </c>
      <c r="K195" s="109" t="str">
        <f t="shared" si="54"/>
        <v>4027/4028</v>
      </c>
      <c r="L195" s="22" t="str">
        <f>VLOOKUP(A195,'Trips&amp;Operators'!$C$1:$G$99999,5,FALSE)</f>
        <v>ROBINSON KADDIBA</v>
      </c>
      <c r="M195" s="6">
        <f t="shared" si="55"/>
        <v>9.5023148169275373E-3</v>
      </c>
      <c r="N195" s="7">
        <f t="shared" si="73"/>
        <v>13.683333336375654</v>
      </c>
      <c r="O195" s="7"/>
      <c r="P195" s="7"/>
      <c r="Q195" s="23"/>
      <c r="R195" s="23"/>
      <c r="S195" s="35">
        <f t="shared" si="70"/>
        <v>1</v>
      </c>
      <c r="T195" s="50" t="str">
        <f t="shared" si="56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03:25:58-700',mode:absolute,to:'2016-12-18 05:41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5" s="52" t="str">
        <f t="shared" si="71"/>
        <v>Y</v>
      </c>
      <c r="X195" s="177">
        <f t="shared" si="72"/>
        <v>1</v>
      </c>
      <c r="Y195" s="67">
        <f t="shared" si="58"/>
        <v>2.2159</v>
      </c>
      <c r="Z195" s="67">
        <f t="shared" si="74"/>
        <v>1.5800000000000002E-2</v>
      </c>
      <c r="AA195" s="67">
        <f t="shared" si="59"/>
        <v>2.2000999999999999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60"/>
        <v>0310-18</v>
      </c>
      <c r="AE195" s="91" t="str">
        <f t="shared" si="61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195" s="88" t="str">
        <f t="shared" si="62"/>
        <v>"C:\Program Files (x86)\AstroGrep\AstroGrep.exe" /spath="%USERPROFILE%\AppData\Local\Temp\OnboardLogs" /stypes="app*4028*20161218*" /stext=" 11:.+((SYSTEM_STATE.+slice.+state.+changed )|(ment ac)|(multiple cpu faults)|(system.+state.+changed )|(\[timeout)|(PRM\|1\|D)|(kpr)|(kdp)|(\|lc)|(penalty))" /e /r /s</v>
      </c>
      <c r="AG195" s="1" t="str">
        <f t="shared" si="63"/>
        <v>Other</v>
      </c>
      <c r="AH195" s="92" t="str">
        <f t="shared" si="52"/>
        <v>"%USERPROFILE%\Documents\GitHub\eaglep3\Utilities\RefineRTDCRunTimes.py" --tripid 310-18 --locoid 4028 --swversion DE.1.0.8.0 --startMP 300:22159 --initTime 2016-12-18T04:25:58 --startdatetime 2016-12-18T04:27:43 --delay 1 --endMP 204:158 --enddatetime 2016-12-18T04:41:24 --enforcementcount 0 &gt;&gt;C:\Users\stu\Documents\GitHub\eaglep3-reporting\EC\2016-12-18-refined-times.txt</v>
      </c>
      <c r="AI195" s="119" t="str">
        <f t="shared" si="53"/>
        <v>echo {"issue":{"subject":"","project_id":79,"tracker_id":40,"status_id":1,"priority_id":2,"assigned_to_id":23,"start_date":"2016-12-18","description":"","custom_fields":[{"id":1,"name":"Subdivision","value":"Other"},{"id":4,"name":"Milepost","value":"0.0158"},{"id":17,"name":"Train ID","value":"310-18"},{"id":16,"name":"Locomotive ID","value":"4028"},{"id":130,"name":"Impact","value":""},{"id":150,"name":"Time of Event (Mountain Time)","value":"04:41:24"},{"id":151,"name":"Denver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547</v>
      </c>
      <c r="B196" s="7">
        <v>4016</v>
      </c>
      <c r="C196" s="22" t="s">
        <v>205</v>
      </c>
      <c r="D196" s="22" t="s">
        <v>471</v>
      </c>
      <c r="E196" s="13">
        <v>42722.083055555559</v>
      </c>
      <c r="F196" s="13">
        <v>25568.708333333332</v>
      </c>
      <c r="G196" s="7">
        <v>1</v>
      </c>
      <c r="H196" s="22" t="s">
        <v>907</v>
      </c>
      <c r="I196" s="13">
        <v>25568.708333333332</v>
      </c>
      <c r="J196" s="7">
        <v>0</v>
      </c>
      <c r="K196" s="109" t="str">
        <f t="shared" si="54"/>
        <v>4015/4016</v>
      </c>
      <c r="L196" s="22" t="str">
        <f>VLOOKUP(A196,'Trips&amp;Operators'!$C$1:$G$99999,5,FALSE)</f>
        <v>LEVIN SCOTT</v>
      </c>
      <c r="M196" s="6">
        <f t="shared" si="55"/>
        <v>0</v>
      </c>
      <c r="N196" s="7">
        <f t="shared" si="73"/>
        <v>0</v>
      </c>
      <c r="O196" s="7"/>
      <c r="P196" s="7"/>
      <c r="Q196" s="23"/>
      <c r="R196" s="23"/>
      <c r="S196" s="35">
        <f t="shared" si="70"/>
        <v>1</v>
      </c>
      <c r="T196" s="50" t="str">
        <f t="shared" si="56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00:59:36-700',mode:absolute,to:'1969-12-31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6" s="52" t="str">
        <f t="shared" si="71"/>
        <v>Y</v>
      </c>
      <c r="X196" s="177">
        <f t="shared" si="72"/>
        <v>1</v>
      </c>
      <c r="Y196" s="67">
        <f t="shared" si="58"/>
        <v>4.6899999999999997E-2</v>
      </c>
      <c r="Z196" s="67">
        <f t="shared" si="74"/>
        <v>2.3315999999999999</v>
      </c>
      <c r="AA196" s="67">
        <f t="shared" si="59"/>
        <v>2.2847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60"/>
        <v>0311-17</v>
      </c>
      <c r="AE196" s="91" t="str">
        <f t="shared" si="6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96" s="88" t="str">
        <f t="shared" si="6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196" s="1" t="str">
        <f t="shared" si="63"/>
        <v>Other</v>
      </c>
      <c r="AH196" s="92" t="str">
        <f t="shared" si="52"/>
        <v>"%USERPROFILE%\Documents\GitHub\eaglep3\Utilities\RefineRTDCRunTimes.py" --tripid 311-17 --locoid 4016 --swversion DE.1.0.8.0 --startMP 204:469 --initTime 2016-12-18T01:59:36 --startdatetime 1969-12-31T17:00:00 --delay 1 --endMP 300:23316 --enddatetime 1969-12-31T17:00:00 --enforcementcount 0 &gt;&gt;C:\Users\stu\Documents\GitHub\eaglep3-reporting\EC\2016-12-18-refined-times.txt</v>
      </c>
      <c r="AI196" s="119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ID","value":"311-17"},{"id":16,"name":"Locomotive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721</v>
      </c>
      <c r="B197" s="7">
        <v>4003</v>
      </c>
      <c r="C197" s="22" t="s">
        <v>205</v>
      </c>
      <c r="D197" s="22" t="s">
        <v>323</v>
      </c>
      <c r="E197" s="13">
        <v>42723.047592592593</v>
      </c>
      <c r="F197" s="13">
        <v>25568.708333333332</v>
      </c>
      <c r="G197" s="7">
        <v>2</v>
      </c>
      <c r="H197" s="22" t="s">
        <v>908</v>
      </c>
      <c r="I197" s="13">
        <v>25568.708333333332</v>
      </c>
      <c r="J197" s="7">
        <v>0</v>
      </c>
      <c r="K197" s="109" t="str">
        <f t="shared" si="54"/>
        <v>4003/4004</v>
      </c>
      <c r="L197" s="22" t="str">
        <f>VLOOKUP(A197,'Trips&amp;Operators'!$C$1:$G$99999,5,FALSE)</f>
        <v>NEWELL JAMES</v>
      </c>
      <c r="M197" s="6">
        <f t="shared" si="55"/>
        <v>0</v>
      </c>
      <c r="N197" s="7">
        <f t="shared" si="73"/>
        <v>0</v>
      </c>
      <c r="O197" s="7"/>
      <c r="P197" s="7"/>
      <c r="Q197" s="23"/>
      <c r="R197" s="23"/>
      <c r="S197" s="35">
        <f t="shared" si="70"/>
        <v>1</v>
      </c>
      <c r="T197" s="50" t="str">
        <f t="shared" si="56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https://search-rtdc-monitor-bjffxe2xuh6vdkpspy63sjmuny.us-east-1.es.amazonaws.com/_plugin/kibana/#/discover/Steve-Slow-Train-Analysis-(2080s-and-2083s)?_g=(refreshInterval:(display:Off,section:0,value:0),time:(from:'2016-12-19 00:08:32-700',mode:absolute,to:'1969-12-31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7" s="52" t="str">
        <f t="shared" si="71"/>
        <v>Y</v>
      </c>
      <c r="X197" s="177">
        <f t="shared" si="72"/>
        <v>0</v>
      </c>
      <c r="Y197" s="67">
        <f t="shared" si="58"/>
        <v>4.3999999999999997E-2</v>
      </c>
      <c r="Z197" s="67">
        <f t="shared" si="74"/>
        <v>2.3075000000000001</v>
      </c>
      <c r="AA197" s="67">
        <f t="shared" si="59"/>
        <v>2.2635000000000001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60"/>
        <v>0311-18</v>
      </c>
      <c r="AE197" s="91" t="str">
        <f t="shared" si="6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197" s="88" t="str">
        <f t="shared" si="62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197" s="1" t="str">
        <f t="shared" si="63"/>
        <v>Other</v>
      </c>
      <c r="AH197" s="92" t="str">
        <f t="shared" si="52"/>
        <v>"%USERPROFILE%\Documents\GitHub\eaglep3\Utilities\RefineRTDCRunTimes.py" --tripid 311-18 --locoid 4003 --swversion DE.1.0.8.0 --startMP 204:440 --initTime 2016-12-19T01:08:32 --startdatetime 1969-12-31T17:00:00 --delay 2 --endMP 300:23075 --enddatetime 1969-12-31T17:00:00 --enforcementcount 0 &gt;&gt;C:\Users\stu\Documents\GitHub\eaglep3-reporting\EC\2016-12-18-refined-times.txt</v>
      </c>
      <c r="AI197" s="119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{"issue":{"subject":"","project_id":79,"tracker_id":40,"status_id":1,"priority_id":2,"assigned_to_id":23,"start_date":"1969-12-31","description":"","custom_fields":[{"id":1,"name":"Subdivision","value":"Other"},{"id":4,"name":"Milepost","value":"2.3075"},{"id":17,"name":"Train ID","value":"311-18"},{"id":16,"name":"Locomotive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548</v>
      </c>
      <c r="B198" s="7">
        <v>4018</v>
      </c>
      <c r="C198" s="22" t="s">
        <v>205</v>
      </c>
      <c r="D198" s="22" t="s">
        <v>300</v>
      </c>
      <c r="E198" s="13">
        <v>42722.100370370368</v>
      </c>
      <c r="F198" s="13">
        <v>25568.708333333332</v>
      </c>
      <c r="G198" s="7">
        <v>1</v>
      </c>
      <c r="H198" s="22" t="s">
        <v>482</v>
      </c>
      <c r="I198" s="13">
        <v>25568.708333333332</v>
      </c>
      <c r="J198" s="7">
        <v>0</v>
      </c>
      <c r="K198" s="109" t="str">
        <f t="shared" si="54"/>
        <v>4017/4018</v>
      </c>
      <c r="L198" s="22" t="str">
        <f>VLOOKUP(A198,'Trips&amp;Operators'!$C$1:$G$99999,5,FALSE)</f>
        <v>STAMBAUGH JAMES</v>
      </c>
      <c r="M198" s="6">
        <f t="shared" si="55"/>
        <v>0</v>
      </c>
      <c r="N198" s="7">
        <f t="shared" si="73"/>
        <v>0</v>
      </c>
      <c r="O198" s="7"/>
      <c r="P198" s="7"/>
      <c r="Q198" s="23"/>
      <c r="R198" s="23"/>
      <c r="S198" s="35">
        <f t="shared" si="70"/>
        <v>1</v>
      </c>
      <c r="T198" s="50" t="str">
        <f t="shared" si="56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01:24:32-700',mode:absolute,to:'1969-12-31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8" s="52" t="str">
        <f t="shared" si="71"/>
        <v>Y</v>
      </c>
      <c r="X198" s="177">
        <f t="shared" si="72"/>
        <v>2</v>
      </c>
      <c r="Y198" s="67">
        <f t="shared" si="58"/>
        <v>4.7699999999999999E-2</v>
      </c>
      <c r="Z198" s="67">
        <f t="shared" si="74"/>
        <v>2.3311999999999999</v>
      </c>
      <c r="AA198" s="67">
        <f t="shared" si="59"/>
        <v>2.2835000000000001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60"/>
        <v>0313-17</v>
      </c>
      <c r="AE198" s="91" t="str">
        <f t="shared" si="6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8" s="88" t="str">
        <f t="shared" si="6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198" s="1" t="str">
        <f t="shared" si="63"/>
        <v>Other</v>
      </c>
      <c r="AH198" s="92" t="str">
        <f t="shared" si="52"/>
        <v>"%USERPROFILE%\Documents\GitHub\eaglep3\Utilities\RefineRTDCRunTimes.py" --tripid 313-17 --locoid 4018 --swversion DE.1.0.8.0 --startMP 204:477 --initTime 2016-12-18T02:24:32 --startdatetime 1969-12-31T17:00:00 --delay 1 --endMP 300:23312 --enddatetime 1969-12-31T17:00:00 --enforcementcount 0 &gt;&gt;C:\Users\stu\Documents\GitHub\eaglep3-reporting\EC\2016-12-18-refined-times.txt</v>
      </c>
      <c r="AI198" s="119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ID","value":"313-17"},{"id":16,"name":"Locomotive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723</v>
      </c>
      <c r="B199" s="7">
        <v>4014</v>
      </c>
      <c r="C199" s="22" t="s">
        <v>205</v>
      </c>
      <c r="D199" s="22" t="s">
        <v>259</v>
      </c>
      <c r="E199" s="13">
        <v>42723.071215277778</v>
      </c>
      <c r="F199" s="13">
        <v>42723.072638888887</v>
      </c>
      <c r="G199" s="7">
        <v>1</v>
      </c>
      <c r="H199" s="22" t="s">
        <v>304</v>
      </c>
      <c r="I199" s="13">
        <v>42723.078784722224</v>
      </c>
      <c r="J199" s="7">
        <v>0</v>
      </c>
      <c r="K199" s="109" t="str">
        <f t="shared" si="54"/>
        <v>4013/4014</v>
      </c>
      <c r="L199" s="22" t="str">
        <f>VLOOKUP(A199,'Trips&amp;Operators'!$C$1:$G$99999,5,FALSE)</f>
        <v>SMITH MICHAEL</v>
      </c>
      <c r="M199" s="6">
        <f t="shared" si="55"/>
        <v>6.1458333366317675E-3</v>
      </c>
      <c r="N199" s="7">
        <f t="shared" si="73"/>
        <v>8.8500000047497451</v>
      </c>
      <c r="O199" s="7"/>
      <c r="P199" s="7"/>
      <c r="Q199" s="23"/>
      <c r="R199" s="23"/>
      <c r="S199" s="35">
        <f t="shared" si="70"/>
        <v>1</v>
      </c>
      <c r="T199" s="50" t="str">
        <f t="shared" si="56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https://search-rtdc-monitor-bjffxe2xuh6vdkpspy63sjmuny.us-east-1.es.amazonaws.com/_plugin/kibana/#/discover/Steve-Slow-Train-Analysis-(2080s-and-2083s)?_g=(refreshInterval:(display:Off,section:0,value:0),time:(from:'2016-12-19 00:42:33-700',mode:absolute,to:'2016-12-19 02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9" s="52" t="str">
        <f t="shared" si="71"/>
        <v>Y</v>
      </c>
      <c r="X199" s="177">
        <f t="shared" si="72"/>
        <v>0</v>
      </c>
      <c r="Y199" s="67">
        <f t="shared" si="58"/>
        <v>4.6399999999999997E-2</v>
      </c>
      <c r="Z199" s="67">
        <f t="shared" si="74"/>
        <v>2.3304</v>
      </c>
      <c r="AA199" s="67">
        <f t="shared" si="59"/>
        <v>2.2839999999999998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60"/>
        <v>0313-18</v>
      </c>
      <c r="AE199" s="91" t="str">
        <f t="shared" si="61"/>
        <v>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 &amp; aws s3 cp s3://rtdc.mdm.uploadarchive.raw/RTDC4014/ "%USERPROFILE%\AppData\Local\Temp\OnboardLogs"\RTDC4014\2016-12-20 --exclude "*" --recursive --include "*20161220*" &amp; "%USERPROFILE%\Documents\GitHub\mrs-test-scripts\Headless Mode &amp; Sideloading\WalkAndUnGZ.bat" "%USERPROFILE%\AppData\Local\Temp\OnboardLogs"\RTDC4014\2016-12-20</v>
      </c>
      <c r="AF199" s="88" t="str">
        <f t="shared" si="62"/>
        <v>"C:\Program Files (x86)\AstroGrep\AstroGrep.exe" /spath="%USERPROFILE%\AppData\Local\Temp\OnboardLogs" /stypes="app*4014*20161219*" /stext=" 08:.+((SYSTEM_STATE.+slice.+state.+changed )|(ment ac)|(multiple cpu faults)|(system.+state.+changed )|(\[timeout)|(PRM\|1\|D)|(kpr)|(kdp)|(\|lc)|(penalty))" /e /r /s</v>
      </c>
      <c r="AG199" s="1" t="str">
        <f t="shared" si="63"/>
        <v>Other</v>
      </c>
      <c r="AH199" s="92" t="str">
        <f t="shared" si="52"/>
        <v>"%USERPROFILE%\Documents\GitHub\eaglep3\Utilities\RefineRTDCRunTimes.py" --tripid 313-18 --locoid 4014 --swversion DE.1.0.8.0 --startMP 204:464 --initTime 2016-12-19T01:42:33 --startdatetime 2016-12-19T01:44:36 --delay 1 --endMP 300:23304 --enddatetime 2016-12-19T01:53:27 --enforcementcount 0 &gt;&gt;C:\Users\stu\Documents\GitHub\eaglep3-reporting\EC\2016-12-18-refined-times.txt</v>
      </c>
      <c r="AI199" s="119" t="str">
        <f t="shared" si="53"/>
        <v>echo {"issue":{"subject":"","project_id":79,"tracker_id":40,"status_id":1,"priority_id":2,"assigned_to_id":23,"start_date":"2016-12-19","description":"","custom_fields":[{"id":1,"name":"Subdivision","value":"Other"},{"id":4,"name":"Milepost","value":"2.3304"},{"id":17,"name":"Train ID","value":"313-18"},{"id":16,"name":"Locomotive ID","value":"4014"},{"id":130,"name":"Impact","value":""},{"id":150,"name":"Time of Event (Mountain Time)","value":"01:53:27"},{"id":151,"name":"Denver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ht="16.5" customHeight="1" x14ac:dyDescent="0.25">
      <c r="A200" s="37" t="s">
        <v>567</v>
      </c>
      <c r="B200" s="7">
        <v>4022</v>
      </c>
      <c r="C200" s="22" t="s">
        <v>205</v>
      </c>
      <c r="D200" s="22" t="s">
        <v>855</v>
      </c>
      <c r="E200" s="13">
        <v>42722.224432870367</v>
      </c>
      <c r="F200" s="13">
        <v>42722.225775462961</v>
      </c>
      <c r="G200" s="7">
        <v>1</v>
      </c>
      <c r="H200" s="22" t="s">
        <v>289</v>
      </c>
      <c r="I200" s="13">
        <v>42722.231134259258</v>
      </c>
      <c r="J200" s="7">
        <v>0</v>
      </c>
      <c r="K200" s="109" t="str">
        <f t="shared" si="54"/>
        <v>4021/4022</v>
      </c>
      <c r="L200" s="22" t="str">
        <f>VLOOKUP(A200,'Trips&amp;Operators'!$C$1:$G$99999,5,FALSE)</f>
        <v>YORK EDGAR</v>
      </c>
      <c r="M200" s="6">
        <f t="shared" si="55"/>
        <v>5.3587962975143455E-3</v>
      </c>
      <c r="N200" s="7">
        <f t="shared" si="73"/>
        <v>7.7166666684206575</v>
      </c>
      <c r="O200" s="7"/>
      <c r="P200" s="7"/>
      <c r="Q200" s="23"/>
      <c r="R200" s="23"/>
      <c r="S200" s="35">
        <f t="shared" ref="S200:S220" si="75">SUM(U200:U200)/IF(AG200="EC",12,1)</f>
        <v>0</v>
      </c>
      <c r="T200" s="50" t="str">
        <f t="shared" si="56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04:23:11-700',mode:absolute,to:'2016-12-18 06:32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0" s="52" t="str">
        <f t="shared" si="71"/>
        <v>Y</v>
      </c>
      <c r="X200" s="177">
        <f t="shared" si="72"/>
        <v>1588</v>
      </c>
      <c r="Y200" s="67">
        <f t="shared" si="58"/>
        <v>2.16</v>
      </c>
      <c r="Z200" s="67">
        <f t="shared" si="74"/>
        <v>5.8930999999999996</v>
      </c>
      <c r="AA200" s="67">
        <f t="shared" si="59"/>
        <v>3.7330999999999994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60"/>
        <v>1901-18</v>
      </c>
      <c r="AE200" s="91" t="str">
        <f t="shared" si="61"/>
        <v>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 &amp; aws s3 cp s3://rtdc.mdm.uploadarchive.raw/RTDC4022/ "%USERPROFILE%\AppData\Local\Temp\OnboardLogs"\RTDC4022\2016-12-19 --exclude "*" --recursive --include "*20161219*" &amp; "%USERPROFILE%\Documents\GitHub\mrs-test-scripts\Headless Mode &amp; Sideloading\WalkAndUnGZ.bat" "%USERPROFILE%\AppData\Local\Temp\OnboardLogs"\RTDC4022\2016-12-19</v>
      </c>
      <c r="AF200" s="88" t="str">
        <f t="shared" si="62"/>
        <v>"C:\Program Files (x86)\AstroGrep\AstroGrep.exe" /spath="%USERPROFILE%\AppData\Local\Temp\OnboardLogs" /stypes="app*4022*20161218*" /stext=" 12:.+((SYSTEM_STATE.+slice.+state.+changed )|(ment ac)|(multiple cpu faults)|(system.+state.+changed )|(\[timeout)|(PRM\|1\|D)|(kpr)|(kdp)|(\|lc)|(penalty))" /e /r /s</v>
      </c>
      <c r="AG200" s="1" t="str">
        <f t="shared" si="63"/>
        <v>Other</v>
      </c>
      <c r="AH200" s="92" t="str">
        <f t="shared" si="52"/>
        <v>"%USERPROFILE%\Documents\GitHub\eaglep3\Utilities\RefineRTDCRunTimes.py" --tripid 1901-18 --locoid 4022 --swversion DE.1.0.8.0 --startMP 300:21600 --initTime 2016-12-18T05:23:11 --startdatetime 2016-12-18T05:25:07 --delay 1 --endMP 300:58931 --enddatetime 2016-12-18T05:32:50 --enforcementcount 0 &gt;&gt;C:\Users\stu\Documents\GitHub\eaglep3-reporting\EC\2016-12-18-refined-times.txt</v>
      </c>
      <c r="AI200" s="119" t="str">
        <f t="shared" si="53"/>
        <v>echo {"issue":{"subject":"","project_id":79,"tracker_id":40,"status_id":1,"priority_id":2,"assigned_to_id":23,"start_date":"2016-12-18","description":"","custom_fields":[{"id":1,"name":"Subdivision","value":"Other"},{"id":4,"name":"Milepost","value":"5.8931"},{"id":17,"name":"Train ID","value":"1901-18"},{"id":16,"name":"Locomotive ID","value":"4022"},{"id":130,"name":"Impact","value":""},{"id":150,"name":"Time of Event (Mountain Time)","value":"05:32:50"},{"id":151,"name":"Denver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711</v>
      </c>
      <c r="B201" s="7">
        <v>4021</v>
      </c>
      <c r="C201" s="22" t="s">
        <v>205</v>
      </c>
      <c r="D201" s="22" t="s">
        <v>497</v>
      </c>
      <c r="E201" s="13">
        <v>42722.942060185182</v>
      </c>
      <c r="F201" s="13">
        <v>42722.943657407406</v>
      </c>
      <c r="G201" s="7">
        <v>1</v>
      </c>
      <c r="H201" s="22" t="s">
        <v>856</v>
      </c>
      <c r="I201" s="13">
        <v>42722.948148148149</v>
      </c>
      <c r="J201" s="7">
        <v>0</v>
      </c>
      <c r="K201" s="109" t="str">
        <f t="shared" si="54"/>
        <v>4021/4022</v>
      </c>
      <c r="L201" s="22" t="str">
        <f>VLOOKUP(A201,'Trips&amp;Operators'!$C$1:$G$99999,5,FALSE)</f>
        <v>LALONDE GREGORY</v>
      </c>
      <c r="M201" s="6">
        <f t="shared" si="55"/>
        <v>4.4907407427672297E-3</v>
      </c>
      <c r="N201" s="7">
        <f t="shared" si="73"/>
        <v>6.4666666695848107</v>
      </c>
      <c r="O201" s="7"/>
      <c r="P201" s="7"/>
      <c r="Q201" s="23"/>
      <c r="R201" s="23"/>
      <c r="S201" s="35">
        <f t="shared" si="75"/>
        <v>0</v>
      </c>
      <c r="T201" s="50" t="str">
        <f t="shared" si="56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21:36:34-700',mode:absolute,to:'2016-12-18 23:45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1" s="52" t="str">
        <f t="shared" si="71"/>
        <v>Y</v>
      </c>
      <c r="X201" s="177">
        <f t="shared" si="72"/>
        <v>1</v>
      </c>
      <c r="Y201" s="67">
        <f t="shared" si="58"/>
        <v>5.8635999999999999</v>
      </c>
      <c r="Z201" s="67">
        <f t="shared" si="74"/>
        <v>2.1930999999999998</v>
      </c>
      <c r="AA201" s="67">
        <f t="shared" si="59"/>
        <v>3.6705000000000001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60"/>
        <v>1902-18</v>
      </c>
      <c r="AE201" s="91" t="str">
        <f t="shared" si="61"/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AF201" s="88" t="str">
        <f t="shared" si="62"/>
        <v>"C:\Program Files (x86)\AstroGrep\AstroGrep.exe" /spath="%USERPROFILE%\AppData\Local\Temp\OnboardLogs" /stypes="app*4021*20161219*" /stext=" 05:.+((SYSTEM_STATE.+slice.+state.+changed )|(ment ac)|(multiple cpu faults)|(system.+state.+changed )|(\[timeout)|(PRM\|1\|D)|(kpr)|(kdp)|(\|lc)|(penalty))" /e /r /s</v>
      </c>
      <c r="AG201" s="1" t="str">
        <f t="shared" si="63"/>
        <v>Other</v>
      </c>
      <c r="AH201" s="92" t="str">
        <f t="shared" si="52"/>
        <v>"%USERPROFILE%\Documents\GitHub\eaglep3\Utilities\RefineRTDCRunTimes.py" --tripid 1902-18 --locoid 4021 --swversion DE.1.0.8.0 --startMP 300:58636 --initTime 2016-12-18T22:36:34 --startdatetime 2016-12-18T22:38:52 --delay 1 --endMP 300:21931 --enddatetime 2016-12-18T22:45:20 --enforcementcount 0 &gt;&gt;C:\Users\stu\Documents\GitHub\eaglep3-reporting\EC\2016-12-18-refined-times.txt</v>
      </c>
      <c r="AI201" s="119" t="str">
        <f t="shared" si="53"/>
        <v>echo {"issue":{"subject":"","project_id":79,"tracker_id":40,"status_id":1,"priority_id":2,"assigned_to_id":23,"start_date":"2016-12-18","description":"","custom_fields":[{"id":1,"name":"Subdivision","value":"Other"},{"id":4,"name":"Milepost","value":"2.1931"},{"id":17,"name":"Train ID","value":"1902-18"},{"id":16,"name":"Locomotive ID","value":"4021"},{"id":130,"name":"Impact","value":""},{"id":150,"name":"Time of Event (Mountain Time)","value":"22:45:20"},{"id":151,"name":"Denver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552</v>
      </c>
      <c r="B202" s="7">
        <v>4025</v>
      </c>
      <c r="C202" s="22" t="s">
        <v>205</v>
      </c>
      <c r="D202" s="22" t="s">
        <v>909</v>
      </c>
      <c r="E202" s="13">
        <v>42722.145300925928</v>
      </c>
      <c r="F202" s="13">
        <v>42722.150925925926</v>
      </c>
      <c r="G202" s="7">
        <v>2</v>
      </c>
      <c r="H202" s="22" t="s">
        <v>910</v>
      </c>
      <c r="I202" s="13">
        <v>42722.156909722224</v>
      </c>
      <c r="J202" s="7">
        <v>0</v>
      </c>
      <c r="K202" s="109" t="str">
        <f t="shared" si="54"/>
        <v>4025/4026</v>
      </c>
      <c r="L202" s="22" t="str">
        <f>VLOOKUP(A202,'Trips&amp;Operators'!$C$1:$G$99999,5,FALSE)</f>
        <v>BADERTSCHER DIANE</v>
      </c>
      <c r="M202" s="6">
        <f t="shared" si="55"/>
        <v>5.9837962980964221E-3</v>
      </c>
      <c r="N202" s="7">
        <f t="shared" si="73"/>
        <v>8.6166666692588478</v>
      </c>
      <c r="O202" s="7"/>
      <c r="P202" s="7"/>
      <c r="Q202" s="23"/>
      <c r="R202" s="23"/>
      <c r="S202" s="35">
        <f t="shared" si="75"/>
        <v>0</v>
      </c>
      <c r="T202" s="50" t="e">
        <f t="shared" si="56"/>
        <v>#VALUE!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02:29:14-700',mode:absolute,to:'2016-12-18 04:45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2" s="52" t="str">
        <f t="shared" si="71"/>
        <v>Y</v>
      </c>
      <c r="X202" s="177" t="e">
        <f t="shared" si="72"/>
        <v>#VALUE!</v>
      </c>
      <c r="Y202" s="67">
        <f t="shared" si="58"/>
        <v>4.48E-2</v>
      </c>
      <c r="Z202" s="67">
        <f t="shared" si="74"/>
        <v>2.3346</v>
      </c>
      <c r="AA202" s="67">
        <f t="shared" si="59"/>
        <v>2.2898000000000001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60"/>
        <v>50-18</v>
      </c>
      <c r="AE202" s="91" t="str">
        <f t="shared" si="61"/>
        <v>aws s3 cp s3://rtdc.mdm.uploadarchive.raw/RTDC4025/ "%USERPROFILE%\AppData\Local\Temp\OnboardLogs"\RTDC4025\2016-12-18 --exclude "*" --recursive --include "*20161218*" &amp; "%USERPROFILE%\Documents\GitHub\mrs-test-scripts\Headless Mode &amp; Sideloading\WalkAndUnGZ.bat" "%USERPROFILE%\AppData\Local\Temp\OnboardLogs"\RTDC4025\2016-12-18 &amp; aws s3 cp s3://rtdc.mdm.uploadarchive.raw/RTDC4025/ "%USERPROFILE%\AppData\Local\Temp\OnboardLogs"\RTDC4025\2016-12-19 --exclude "*" --recursive --include "*20161219*" &amp; "%USERPROFILE%\Documents\GitHub\mrs-test-scripts\Headless Mode &amp; Sideloading\WalkAndUnGZ.bat" "%USERPROFILE%\AppData\Local\Temp\OnboardLogs"\RTDC4025\2016-12-19</v>
      </c>
      <c r="AF202" s="88" t="str">
        <f t="shared" si="62"/>
        <v>"C:\Program Files (x86)\AstroGrep\AstroGrep.exe" /spath="%USERPROFILE%\AppData\Local\Temp\OnboardLogs" /stypes="app*4025*20161218*" /stext=" 10:.+((SYSTEM_STATE.+slice.+state.+changed )|(ment ac)|(multiple cpu faults)|(system.+state.+changed )|(\[timeout)|(PRM\|1\|D)|(kpr)|(kdp)|(\|lc)|(penalty))" /e /r /s</v>
      </c>
      <c r="AG202" s="1" t="str">
        <f t="shared" si="63"/>
        <v>Other</v>
      </c>
      <c r="AH202" s="92" t="str">
        <f t="shared" ref="AH202:AH220" si="76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50-18 --locoid 4025 --swversion DE.1.0.8.0 --startMP 204:448 --initTime 2016-12-18T03:29:14 --startdatetime 2016-12-18T03:37:20 --delay 2 --endMP 300:23346 --enddatetime 2016-12-18T03:45:57 --enforcementcount 0 &gt;&gt;C:\Users\stu\Documents\GitHub\eaglep3-reporting\EC\2016-12-18-refined-times.txt</v>
      </c>
      <c r="AI202" s="119" t="str">
        <f t="shared" ref="AI202:AI220" si="77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{"issue":{"subject":"","project_id":79,"tracker_id":40,"status_id":1,"priority_id":2,"assigned_to_id":23,"start_date":"2016-12-18","description":"","custom_fields":[{"id":1,"name":"Subdivision","value":"Other"},{"id":4,"name":"Milepost","value":"2.3346"},{"id":17,"name":"Train ID","value":"50-18"},{"id":16,"name":"Locomotive ID","value":"4025"},{"id":130,"name":"Impact","value":""},{"id":150,"name":"Time of Event (Mountain Time)","value":"03:45:57"},{"id":151,"name":"Denver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552</v>
      </c>
      <c r="B203" s="7">
        <v>4026</v>
      </c>
      <c r="C203" s="22" t="s">
        <v>205</v>
      </c>
      <c r="D203" s="22" t="s">
        <v>911</v>
      </c>
      <c r="E203" s="13">
        <v>42722.115370370368</v>
      </c>
      <c r="F203" s="13">
        <v>42722.150925925926</v>
      </c>
      <c r="G203" s="7">
        <v>1</v>
      </c>
      <c r="H203" s="22" t="s">
        <v>912</v>
      </c>
      <c r="I203" s="13">
        <v>42722.156909722224</v>
      </c>
      <c r="J203" s="7">
        <v>0</v>
      </c>
      <c r="K203" s="109" t="str">
        <f t="shared" si="54"/>
        <v>4025/4026</v>
      </c>
      <c r="L203" s="22" t="str">
        <f>VLOOKUP(A203,'Trips&amp;Operators'!$C$1:$G$99999,5,FALSE)</f>
        <v>BADERTSCHER DIANE</v>
      </c>
      <c r="M203" s="6">
        <f t="shared" si="55"/>
        <v>5.9837962980964221E-3</v>
      </c>
      <c r="N203" s="7">
        <f t="shared" si="73"/>
        <v>8.6166666692588478</v>
      </c>
      <c r="O203" s="7"/>
      <c r="P203" s="7"/>
      <c r="Q203" s="23"/>
      <c r="R203" s="23"/>
      <c r="S203" s="35">
        <f t="shared" si="75"/>
        <v>0</v>
      </c>
      <c r="T203" s="50" t="e">
        <f t="shared" si="56"/>
        <v>#VALUE!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01:46:08-700',mode:absolute,to:'2016-12-18 04:45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3" s="52" t="str">
        <f t="shared" si="71"/>
        <v>N</v>
      </c>
      <c r="X203" s="177" t="e">
        <f t="shared" si="72"/>
        <v>#VALUE!</v>
      </c>
      <c r="Y203" s="67">
        <f t="shared" si="58"/>
        <v>19.359400000000001</v>
      </c>
      <c r="Z203" s="67">
        <f t="shared" si="74"/>
        <v>1.37E-2</v>
      </c>
      <c r="AA203" s="67">
        <f t="shared" si="59"/>
        <v>19.345700000000001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60"/>
        <v>50-18</v>
      </c>
      <c r="AE203" s="91" t="str">
        <f t="shared" si="61"/>
        <v>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 &amp; aws s3 cp s3://rtdc.mdm.uploadarchive.raw/RTDC4026/ "%USERPROFILE%\AppData\Local\Temp\OnboardLogs"\RTDC4026\2016-12-19 --exclude "*" --recursive --include "*20161219*" &amp; "%USERPROFILE%\Documents\GitHub\mrs-test-scripts\Headless Mode &amp; Sideloading\WalkAndUnGZ.bat" "%USERPROFILE%\AppData\Local\Temp\OnboardLogs"\RTDC4026\2016-12-19</v>
      </c>
      <c r="AF203" s="88" t="str">
        <f t="shared" si="62"/>
        <v>"C:\Program Files (x86)\AstroGrep\AstroGrep.exe" /spath="%USERPROFILE%\AppData\Local\Temp\OnboardLogs" /stypes="app*4026*20161218*" /stext=" 10:.+((SYSTEM_STATE.+slice.+state.+changed )|(ment ac)|(multiple cpu faults)|(system.+state.+changed )|(\[timeout)|(PRM\|1\|D)|(kpr)|(kdp)|(\|lc)|(penalty))" /e /r /s</v>
      </c>
      <c r="AG203" s="1" t="str">
        <f t="shared" si="63"/>
        <v>Other</v>
      </c>
      <c r="AH203" s="92" t="str">
        <f t="shared" si="76"/>
        <v>"%USERPROFILE%\Documents\GitHub\eaglep3\Utilities\RefineRTDCRunTimes.py" --tripid 50-18 --locoid 4026 --swversion DE.1.0.8.0 --startMP 204:193594 --initTime 2016-12-18T02:46:08 --startdatetime 2016-12-18T03:37:20 --delay 1 --endMP 204:137 --enddatetime 2016-12-18T03:45:57 --enforcementcount 0 &gt;&gt;C:\Users\stu\Documents\GitHub\eaglep3-reporting\EC\2016-12-18-refined-times.txt</v>
      </c>
      <c r="AI203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{"issue":{"subject":"","project_id":79,"tracker_id":40,"status_id":1,"priority_id":2,"assigned_to_id":23,"start_date":"2016-12-18","description":"","custom_fields":[{"id":1,"name":"Subdivision","value":"Other"},{"id":4,"name":"Milepost","value":"0.0137"},{"id":17,"name":"Train ID","value":"50-18"},{"id":16,"name":"Locomotive ID","value":"4026"},{"id":130,"name":"Impact","value":""},{"id":150,"name":"Time of Event (Mountain Time)","value":"03:45:57"},{"id":151,"name":"Denver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528</v>
      </c>
      <c r="B204" s="7">
        <v>4052</v>
      </c>
      <c r="C204" s="22" t="s">
        <v>205</v>
      </c>
      <c r="D204" s="22" t="s">
        <v>913</v>
      </c>
      <c r="E204" s="13">
        <v>42722.711724537039</v>
      </c>
      <c r="F204" s="13">
        <v>42722.715312499997</v>
      </c>
      <c r="G204" s="7">
        <v>5</v>
      </c>
      <c r="H204" s="22" t="s">
        <v>766</v>
      </c>
      <c r="I204" s="13">
        <v>42722.719861111109</v>
      </c>
      <c r="J204" s="7">
        <v>0</v>
      </c>
      <c r="K204" s="109" t="str">
        <f t="shared" si="54"/>
        <v>4051/4052</v>
      </c>
      <c r="L204" s="22" t="str">
        <f>VLOOKUP(A204,'Trips&amp;Operators'!$C$1:$G$99999,5,FALSE)</f>
        <v>NEWELL JAMES</v>
      </c>
      <c r="M204" s="6">
        <f t="shared" si="55"/>
        <v>4.5486111121135764E-3</v>
      </c>
      <c r="N204" s="7">
        <f t="shared" si="73"/>
        <v>6.55000000144355</v>
      </c>
      <c r="O204" s="7"/>
      <c r="P204" s="7"/>
      <c r="Q204" s="23"/>
      <c r="R204" s="23"/>
      <c r="S204" s="35">
        <f t="shared" si="75"/>
        <v>0</v>
      </c>
      <c r="T204" s="50" t="e">
        <f t="shared" si="56"/>
        <v>#VALUE!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https://search-rtdc-monitor-bjffxe2xuh6vdkpspy63sjmuny.us-east-1.es.amazonaws.com/_plugin/kibana/#/discover/Steve-Slow-Train-Analysis-(2080s-and-2083s)?_g=(refreshInterval:(display:Off,section:0,value:0),time:(from:'2016-12-18 16:04:53-700',mode:absolute,to:'2016-12-18 18:16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4" s="52" t="str">
        <f t="shared" si="71"/>
        <v>Y</v>
      </c>
      <c r="X204" s="177" t="e">
        <f t="shared" si="72"/>
        <v>#VALUE!</v>
      </c>
      <c r="Y204" s="67">
        <f t="shared" si="58"/>
        <v>2.2216</v>
      </c>
      <c r="Z204" s="67">
        <f t="shared" si="74"/>
        <v>8.6699999999999999E-2</v>
      </c>
      <c r="AA204" s="67">
        <f t="shared" si="59"/>
        <v>2.1349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0"/>
        <v>51-18</v>
      </c>
      <c r="AE204" s="91" t="str">
        <f t="shared" si="61"/>
        <v>aws s3 cp s3://rtdc.mdm.uploadarchive.raw/RTDC4052/ "%USERPROFILE%\AppData\Local\Temp\OnboardLogs"\RTDC4052\2016-12-18 --exclude "*" --recursive --include "*20161218*" &amp; "%USERPROFILE%\Documents\GitHub\mrs-test-scripts\Headless Mode &amp; Sideloading\WalkAndUnGZ.bat" "%USERPROFILE%\AppData\Local\Temp\OnboardLogs"\RTDC4052\2016-12-18 &amp; 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</v>
      </c>
      <c r="AF204" s="88" t="str">
        <f t="shared" si="62"/>
        <v>"C:\Program Files (x86)\AstroGrep\AstroGrep.exe" /spath="%USERPROFILE%\AppData\Local\Temp\OnboardLogs" /stypes="app*4052*20161219*" /stext=" 00:.+((SYSTEM_STATE.+slice.+state.+changed )|(ment ac)|(multiple cpu faults)|(system.+state.+changed )|(\[timeout)|(PRM\|1\|D)|(kpr)|(kdp)|(\|lc)|(penalty))" /e /r /s</v>
      </c>
      <c r="AG204" s="1" t="str">
        <f t="shared" si="63"/>
        <v>Other</v>
      </c>
      <c r="AH204" s="92" t="str">
        <f t="shared" si="76"/>
        <v>"%USERPROFILE%\Documents\GitHub\eaglep3\Utilities\RefineRTDCRunTimes.py" --tripid 51-18 --locoid 4052 --swversion DE.1.0.8.0 --startMP 300:22216 --initTime 2016-12-18T17:04:53 --startdatetime 2016-12-18T17:10:03 --delay 5 --endMP 204:867 --enddatetime 2016-12-18T17:16:36 --enforcementcount 0 &gt;&gt;C:\Users\stu\Documents\GitHub\eaglep3-reporting\EC\2016-12-18-refined-times.txt</v>
      </c>
      <c r="AI204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{"issue":{"subject":"","project_id":79,"tracker_id":40,"status_id":1,"priority_id":2,"assigned_to_id":23,"start_date":"2016-12-18","description":"","custom_fields":[{"id":1,"name":"Subdivision","value":"Other"},{"id":4,"name":"Milepost","value":"0.0867"},{"id":17,"name":"Train ID","value":"51-18"},{"id":16,"name":"Locomotive ID","value":"4052"},{"id":130,"name":"Impact","value":""},{"id":150,"name":"Time of Event (Mountain Time)","value":"17:16:36"},{"id":151,"name":"Denver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669</v>
      </c>
      <c r="B205" s="7">
        <v>4017</v>
      </c>
      <c r="C205" s="22" t="s">
        <v>205</v>
      </c>
      <c r="D205" s="22" t="s">
        <v>914</v>
      </c>
      <c r="E205" s="13">
        <v>42722.735752314817</v>
      </c>
      <c r="F205" s="13">
        <v>42722.736990740741</v>
      </c>
      <c r="G205" s="7">
        <v>1</v>
      </c>
      <c r="H205" s="22" t="s">
        <v>505</v>
      </c>
      <c r="I205" s="13">
        <v>42722.744618055556</v>
      </c>
      <c r="J205" s="7">
        <v>0</v>
      </c>
      <c r="K205" s="109" t="str">
        <f t="shared" ref="K205:K220" si="78">IF(ISEVEN(B205),(B205-1)&amp;"/"&amp;B205,B205&amp;"/"&amp;(B205+1))</f>
        <v>4017/4018</v>
      </c>
      <c r="L205" s="22" t="str">
        <f>VLOOKUP(A205,'Trips&amp;Operators'!$C$1:$G$99999,5,FALSE)</f>
        <v>SAFIEF AEIMEN</v>
      </c>
      <c r="M205" s="6">
        <f t="shared" ref="M205:M220" si="79">I205-F205</f>
        <v>7.6273148151813075E-3</v>
      </c>
      <c r="N205" s="7">
        <f t="shared" si="73"/>
        <v>10.983333333861083</v>
      </c>
      <c r="O205" s="7"/>
      <c r="P205" s="7"/>
      <c r="Q205" s="23"/>
      <c r="R205" s="23"/>
      <c r="S205" s="35">
        <f t="shared" si="75"/>
        <v>0</v>
      </c>
      <c r="T205" s="50" t="e">
        <f t="shared" ref="T205:T220" si="80">IF(ISEVEN(LEFT(AD205,4)),"Southbound","NorthBound")</f>
        <v>#VALUE!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ref="V205:V220" si="81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https://search-rtdc-monitor-bjffxe2xuh6vdkpspy63sjmuny.us-east-1.es.amazonaws.com/_plugin/kibana/#/discover/Steve-Slow-Train-Analysis-(2080s-and-2083s)?_g=(refreshInterval:(display:Off,section:0,value:0),time:(from:'2016-12-18 16:39:29-700',mode:absolute,to:'2016-12-18 18:52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5" s="52" t="str">
        <f t="shared" si="71"/>
        <v>Y</v>
      </c>
      <c r="X205" s="177" t="e">
        <f t="shared" si="72"/>
        <v>#VALUE!</v>
      </c>
      <c r="Y205" s="67">
        <f t="shared" ref="Y205:Y220" si="82">RIGHT(D205,LEN(D205)-4)/10000</f>
        <v>2.2155</v>
      </c>
      <c r="Z205" s="67">
        <f t="shared" si="74"/>
        <v>1.55E-2</v>
      </c>
      <c r="AA205" s="67">
        <f t="shared" ref="AA205:AA220" si="83">ABS(Z205-Y205)</f>
        <v>2.2000000000000002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20" si="84">IF(LEN(A205)=6,"0"&amp;A205,A205)</f>
        <v>52-18</v>
      </c>
      <c r="AE205" s="91" t="str">
        <f t="shared" ref="AE205:AE220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 &amp; 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</v>
      </c>
      <c r="AF205" s="88" t="str">
        <f t="shared" ref="AF205:AF220" si="8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/stypes="app*4017*20161219*" /stext=" 00:.+((SYSTEM_STATE.+slice.+state.+changed )|(ment ac)|(multiple cpu faults)|(system.+state.+changed )|(\[timeout)|(PRM\|1\|D)|(kpr)|(kdp)|(\|lc)|(penalty))" /e /r /s</v>
      </c>
      <c r="AG205" s="1" t="str">
        <f t="shared" ref="AG205:AG220" si="87">IFERROR(IF(VALUE(LEFT(AD205,2))&lt;=2,"EC",IF(OR(VALUE(LEFT(AD205,2))=8,VALUE(LEFT(AD205,2))=18),"NW","Other")),"Other")</f>
        <v>Other</v>
      </c>
      <c r="AH205" s="92" t="str">
        <f t="shared" si="76"/>
        <v>"%USERPROFILE%\Documents\GitHub\eaglep3\Utilities\RefineRTDCRunTimes.py" --tripid 52-18 --locoid 4017 --swversion DE.1.0.8.0 --startMP 300:22155 --initTime 2016-12-18T17:39:29 --startdatetime 2016-12-18T17:41:16 --delay 1 --endMP 204:155 --enddatetime 2016-12-18T17:52:15 --enforcementcount 0 &gt;&gt;C:\Users\stu\Documents\GitHub\eaglep3-reporting\EC\2016-12-18-refined-times.txt</v>
      </c>
      <c r="AI205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{"issue":{"subject":"","project_id":79,"tracker_id":40,"status_id":1,"priority_id":2,"assigned_to_id":23,"start_date":"2016-12-18","description":"","custom_fields":[{"id":1,"name":"Subdivision","value":"Other"},{"id":4,"name":"Milepost","value":"0.0155"},{"id":17,"name":"Train ID","value":"52-18"},{"id":16,"name":"Locomotive ID","value":"4017"},{"id":130,"name":"Impact","value":""},{"id":150,"name":"Time of Event (Mountain Time)","value":"17:52:15"},{"id":151,"name":"Denver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535</v>
      </c>
      <c r="B206" s="7">
        <v>4051</v>
      </c>
      <c r="C206" s="22" t="s">
        <v>205</v>
      </c>
      <c r="D206" s="22" t="s">
        <v>915</v>
      </c>
      <c r="E206" s="13">
        <v>42722.785081018519</v>
      </c>
      <c r="F206" s="13">
        <v>25568.708333333332</v>
      </c>
      <c r="G206" s="7">
        <v>1</v>
      </c>
      <c r="H206" s="22" t="s">
        <v>916</v>
      </c>
      <c r="I206" s="13">
        <v>25568.708333333332</v>
      </c>
      <c r="J206" s="7">
        <v>0</v>
      </c>
      <c r="K206" s="109" t="str">
        <f t="shared" si="78"/>
        <v>4051/4052</v>
      </c>
      <c r="L206" s="22" t="str">
        <f>VLOOKUP(A206,'Trips&amp;Operators'!$C$1:$G$99999,5,FALSE)</f>
        <v>HOLCOMB KAMDEN</v>
      </c>
      <c r="M206" s="6">
        <f t="shared" si="79"/>
        <v>0</v>
      </c>
      <c r="N206" s="7">
        <f t="shared" si="73"/>
        <v>0</v>
      </c>
      <c r="O206" s="7"/>
      <c r="P206" s="7"/>
      <c r="Q206" s="23"/>
      <c r="R206" s="23"/>
      <c r="S206" s="35">
        <f t="shared" si="75"/>
        <v>0</v>
      </c>
      <c r="T206" s="50" t="e">
        <f t="shared" si="80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17:50:31-700',mode:absolute,to:'1969-12-31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6" s="52" t="str">
        <f t="shared" ref="W206:W220" si="88">IF(AA206&lt;IF(AG206="EC",23,5.65),"Y","N")</f>
        <v>Y</v>
      </c>
      <c r="X206" s="177" t="e">
        <f t="shared" si="72"/>
        <v>#VALUE!</v>
      </c>
      <c r="Y206" s="67">
        <f t="shared" si="82"/>
        <v>0.11899999999999999</v>
      </c>
      <c r="Z206" s="67">
        <f t="shared" si="74"/>
        <v>2.3302</v>
      </c>
      <c r="AA206" s="67">
        <f t="shared" si="83"/>
        <v>2.2111999999999998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84"/>
        <v>53-18</v>
      </c>
      <c r="AE206" s="91" t="str">
        <f t="shared" si="85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6" s="88" t="str">
        <f t="shared" si="86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6" s="1" t="str">
        <f t="shared" si="87"/>
        <v>Other</v>
      </c>
      <c r="AH206" s="92" t="str">
        <f t="shared" si="76"/>
        <v>"%USERPROFILE%\Documents\GitHub\eaglep3\Utilities\RefineRTDCRunTimes.py" --tripid 53-18 --locoid 4051 --swversion DE.1.0.8.0 --startMP 204:1190 --initTime 2016-12-18T18:50:31 --startdatetime 1969-12-31T17:00:00 --delay 1 --endMP 300:23302 --enddatetime 1969-12-31T17:00:00 --enforcementcount 0 &gt;&gt;C:\Users\stu\Documents\GitHub\eaglep3-reporting\EC\2016-12-18-refined-times.txt</v>
      </c>
      <c r="AI206" s="119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ID","value":"53-18"},{"id":16,"name":"Locomotive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601</v>
      </c>
      <c r="B207" s="7">
        <v>4004</v>
      </c>
      <c r="C207" s="22" t="s">
        <v>205</v>
      </c>
      <c r="D207" s="22" t="s">
        <v>917</v>
      </c>
      <c r="E207" s="13">
        <v>42722.442187499997</v>
      </c>
      <c r="F207" s="13">
        <v>42722.443599537037</v>
      </c>
      <c r="G207" s="7">
        <v>1</v>
      </c>
      <c r="H207" s="22" t="s">
        <v>918</v>
      </c>
      <c r="I207" s="13">
        <v>42722.451631944445</v>
      </c>
      <c r="J207" s="7">
        <v>0</v>
      </c>
      <c r="K207" s="109" t="str">
        <f t="shared" si="78"/>
        <v>4003/4004</v>
      </c>
      <c r="L207" s="22" t="str">
        <f>VLOOKUP(A207,'Trips&amp;Operators'!$C$1:$G$99999,5,FALSE)</f>
        <v>SWANSON BRYCE</v>
      </c>
      <c r="M207" s="6">
        <f t="shared" si="79"/>
        <v>8.0324074078816921E-3</v>
      </c>
      <c r="N207" s="7">
        <f t="shared" si="73"/>
        <v>11.566666667349637</v>
      </c>
      <c r="O207" s="7"/>
      <c r="P207" s="7"/>
      <c r="Q207" s="23"/>
      <c r="R207" s="23"/>
      <c r="S207" s="35">
        <f t="shared" si="75"/>
        <v>0</v>
      </c>
      <c r="T207" s="50" t="e">
        <f t="shared" si="80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09:36:45-700',mode:absolute,to:'2016-12-18 11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 t="shared" si="88"/>
        <v>Y</v>
      </c>
      <c r="X207" s="177" t="e">
        <f t="shared" si="72"/>
        <v>#VALUE!</v>
      </c>
      <c r="Y207" s="67">
        <f t="shared" si="82"/>
        <v>2.1837</v>
      </c>
      <c r="Z207" s="67">
        <f t="shared" si="74"/>
        <v>0.1188</v>
      </c>
      <c r="AA207" s="67">
        <f t="shared" si="83"/>
        <v>2.0649000000000002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4"/>
        <v>54-18</v>
      </c>
      <c r="AE207" s="91" t="str">
        <f t="shared" si="85"/>
        <v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v>
      </c>
      <c r="AF207" s="88" t="str">
        <f t="shared" si="86"/>
        <v>"C:\Program Files (x86)\AstroGrep\AstroGrep.exe" /spath="%USERPROFILE%\AppData\Local\Temp\OnboardLogs" /stypes="app*4004*20161218*" /stext=" 17:.+((SYSTEM_STATE.+slice.+state.+changed )|(ment ac)|(multiple cpu faults)|(system.+state.+changed )|(\[timeout)|(PRM\|1\|D)|(kpr)|(kdp)|(\|lc)|(penalty))" /e /r /s</v>
      </c>
      <c r="AG207" s="1" t="str">
        <f t="shared" si="87"/>
        <v>Other</v>
      </c>
      <c r="AH207" s="92" t="str">
        <f t="shared" si="76"/>
        <v>"%USERPROFILE%\Documents\GitHub\eaglep3\Utilities\RefineRTDCRunTimes.py" --tripid 54-18 --locoid 4004 --swversion DE.1.0.8.0 --startMP 300:21837 --initTime 2016-12-18T10:36:45 --startdatetime 2016-12-18T10:38:47 --delay 1 --endMP 204:1188 --enddatetime 2016-12-18T10:50:21 --enforcementcount 0 &gt;&gt;C:\Users\stu\Documents\GitHub\eaglep3-reporting\EC\2016-12-18-refined-times.txt</v>
      </c>
      <c r="AI207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{"issue":{"subject":"","project_id":79,"tracker_id":40,"status_id":1,"priority_id":2,"assigned_to_id":23,"start_date":"2016-12-18","description":"","custom_fields":[{"id":1,"name":"Subdivision","value":"Other"},{"id":4,"name":"Milepost","value":"0.1188"},{"id":17,"name":"Train ID","value":"54-18"},{"id":16,"name":"Locomotive ID","value":"4004"},{"id":130,"name":"Impact","value":""},{"id":150,"name":"Time of Event (Mountain Time)","value":"10:50:21"},{"id":151,"name":"Denver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675</v>
      </c>
      <c r="B208" s="7">
        <v>4029</v>
      </c>
      <c r="C208" s="22" t="s">
        <v>205</v>
      </c>
      <c r="D208" s="22" t="s">
        <v>919</v>
      </c>
      <c r="E208" s="13">
        <v>42722.762546296297</v>
      </c>
      <c r="F208" s="13">
        <v>42722.767256944448</v>
      </c>
      <c r="G208" s="7">
        <v>1</v>
      </c>
      <c r="H208" s="22" t="s">
        <v>304</v>
      </c>
      <c r="I208" s="13">
        <v>42722.771921296298</v>
      </c>
      <c r="J208" s="7">
        <v>0</v>
      </c>
      <c r="K208" s="109" t="str">
        <f t="shared" si="78"/>
        <v>4029/4030</v>
      </c>
      <c r="L208" s="22" t="str">
        <f>VLOOKUP(A208,'Trips&amp;Operators'!$C$1:$G$99999,5,FALSE)</f>
        <v>BARTLETT KIANDRA</v>
      </c>
      <c r="M208" s="6">
        <f t="shared" si="79"/>
        <v>4.6643518508062698E-3</v>
      </c>
      <c r="N208" s="7">
        <f t="shared" si="73"/>
        <v>6.7166666651610285</v>
      </c>
      <c r="O208" s="7"/>
      <c r="P208" s="7"/>
      <c r="Q208" s="23"/>
      <c r="R208" s="23"/>
      <c r="S208" s="35">
        <f t="shared" si="75"/>
        <v>0</v>
      </c>
      <c r="T208" s="50" t="e">
        <f t="shared" si="80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17:18:04-700',mode:absolute,to:'2016-12-18 19:31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8" s="52" t="str">
        <f t="shared" si="88"/>
        <v>Y</v>
      </c>
      <c r="X208" s="177" t="e">
        <f t="shared" si="72"/>
        <v>#VALUE!</v>
      </c>
      <c r="Y208" s="67">
        <f t="shared" si="82"/>
        <v>0.1341</v>
      </c>
      <c r="Z208" s="67">
        <f t="shared" si="74"/>
        <v>2.3304</v>
      </c>
      <c r="AA208" s="67">
        <f t="shared" si="83"/>
        <v>2.1962999999999999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4"/>
        <v>55-18</v>
      </c>
      <c r="AE208" s="91" t="str">
        <f t="shared" si="85"/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AF208" s="88" t="str">
        <f t="shared" si="86"/>
        <v>"C:\Program Files (x86)\AstroGrep\AstroGrep.exe" /spath="%USERPROFILE%\AppData\Local\Temp\OnboardLogs" /stypes="app*4029*20161219*" /stext=" 01:.+((SYSTEM_STATE.+slice.+state.+changed )|(ment ac)|(multiple cpu faults)|(system.+state.+changed )|(\[timeout)|(PRM\|1\|D)|(kpr)|(kdp)|(\|lc)|(penalty))" /e /r /s</v>
      </c>
      <c r="AG208" s="1" t="str">
        <f t="shared" si="87"/>
        <v>Other</v>
      </c>
      <c r="AH208" s="92" t="str">
        <f t="shared" si="76"/>
        <v>"%USERPROFILE%\Documents\GitHub\eaglep3\Utilities\RefineRTDCRunTimes.py" --tripid 55-18 --locoid 4029 --swversion DE.1.0.8.0 --startMP 204:1341 --initTime 2016-12-18T18:18:04 --startdatetime 2016-12-18T18:24:51 --delay 1 --endMP 300:23304 --enddatetime 2016-12-18T18:31:34 --enforcementcount 0 &gt;&gt;C:\Users\stu\Documents\GitHub\eaglep3-reporting\EC\2016-12-18-refined-times.txt</v>
      </c>
      <c r="AI208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{"issue":{"subject":"","project_id":79,"tracker_id":40,"status_id":1,"priority_id":2,"assigned_to_id":23,"start_date":"2016-12-18","description":"","custom_fields":[{"id":1,"name":"Subdivision","value":"Other"},{"id":4,"name":"Milepost","value":"2.3304"},{"id":17,"name":"Train ID","value":"55-18"},{"id":16,"name":"Locomotive ID","value":"4029"},{"id":130,"name":"Impact","value":""},{"id":150,"name":"Time of Event (Mountain Time)","value":"18:31:34"},{"id":151,"name":"Denver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679</v>
      </c>
      <c r="B209" s="7">
        <v>4027</v>
      </c>
      <c r="C209" s="22" t="s">
        <v>205</v>
      </c>
      <c r="D209" s="22" t="s">
        <v>920</v>
      </c>
      <c r="E209" s="13">
        <v>42722.781261574077</v>
      </c>
      <c r="F209" s="13">
        <v>42722.783263888887</v>
      </c>
      <c r="G209" s="7">
        <v>2</v>
      </c>
      <c r="H209" s="22" t="s">
        <v>281</v>
      </c>
      <c r="I209" s="13">
        <v>42722.810543981483</v>
      </c>
      <c r="J209" s="7">
        <v>0</v>
      </c>
      <c r="K209" s="109" t="str">
        <f t="shared" si="78"/>
        <v>4027/4028</v>
      </c>
      <c r="L209" s="22" t="str">
        <f>VLOOKUP(A209,'Trips&amp;Operators'!$C$1:$G$99999,5,FALSE)</f>
        <v>NELSON ARIANE</v>
      </c>
      <c r="M209" s="6">
        <f t="shared" si="79"/>
        <v>2.7280092595901806E-2</v>
      </c>
      <c r="N209" s="7">
        <f t="shared" si="73"/>
        <v>39.283333338098601</v>
      </c>
      <c r="O209" s="7"/>
      <c r="P209" s="7"/>
      <c r="Q209" s="23"/>
      <c r="R209" s="23"/>
      <c r="S209" s="35">
        <f t="shared" si="75"/>
        <v>0</v>
      </c>
      <c r="T209" s="50" t="e">
        <f t="shared" si="80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17:45:01-700',mode:absolute,to:'2016-12-18 20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9" s="52" t="str">
        <f t="shared" si="88"/>
        <v>N</v>
      </c>
      <c r="X209" s="177" t="e">
        <f t="shared" si="72"/>
        <v>#VALUE!</v>
      </c>
      <c r="Y209" s="67">
        <f t="shared" si="82"/>
        <v>5.1299999999999998E-2</v>
      </c>
      <c r="Z209" s="67">
        <f t="shared" si="74"/>
        <v>23.331399999999999</v>
      </c>
      <c r="AA209" s="67">
        <f t="shared" si="83"/>
        <v>23.280099999999997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4"/>
        <v>61-18</v>
      </c>
      <c r="AE209" s="91" t="str">
        <f t="shared" si="85"/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AF209" s="88" t="str">
        <f t="shared" si="86"/>
        <v>"C:\Program Files (x86)\AstroGrep\AstroGrep.exe" /spath="%USERPROFILE%\AppData\Local\Temp\OnboardLogs" /stypes="app*4027*20161219*" /stext=" 02:.+((SYSTEM_STATE.+slice.+state.+changed )|(ment ac)|(multiple cpu faults)|(system.+state.+changed )|(\[timeout)|(PRM\|1\|D)|(kpr)|(kdp)|(\|lc)|(penalty))" /e /r /s</v>
      </c>
      <c r="AG209" s="1" t="str">
        <f t="shared" si="87"/>
        <v>Other</v>
      </c>
      <c r="AH209" s="92" t="str">
        <f t="shared" si="76"/>
        <v>"%USERPROFILE%\Documents\GitHub\eaglep3\Utilities\RefineRTDCRunTimes.py" --tripid 61-18 --locoid 4027 --swversion DE.1.0.8.0 --startMP 204:513 --initTime 2016-12-18T18:45:01 --startdatetime 2016-12-18T18:47:54 --delay 2 --endMP 204:233314 --enddatetime 2016-12-18T19:27:11 --enforcementcount 0 &gt;&gt;C:\Users\stu\Documents\GitHub\eaglep3-reporting\EC\2016-12-18-refined-times.txt</v>
      </c>
      <c r="AI209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{"issue":{"subject":"","project_id":79,"tracker_id":40,"status_id":1,"priority_id":2,"assigned_to_id":23,"start_date":"2016-12-18","description":"","custom_fields":[{"id":1,"name":"Subdivision","value":"Other"},{"id":4,"name":"Milepost","value":"23.3314"},{"id":17,"name":"Train ID","value":"61-18"},{"id":16,"name":"Locomotive ID","value":"4027"},{"id":130,"name":"Impact","value":""},{"id":150,"name":"Time of Event (Mountain Time)","value":"19:27:11"},{"id":151,"name":"Denver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688</v>
      </c>
      <c r="B210" s="7">
        <v>4028</v>
      </c>
      <c r="C210" s="22" t="s">
        <v>205</v>
      </c>
      <c r="D210" s="22" t="s">
        <v>324</v>
      </c>
      <c r="E210" s="13">
        <v>42722.813217592593</v>
      </c>
      <c r="F210" s="13">
        <v>42722.820381944446</v>
      </c>
      <c r="G210" s="7">
        <v>6</v>
      </c>
      <c r="H210" s="22" t="s">
        <v>921</v>
      </c>
      <c r="I210" s="13">
        <v>42722.853379629632</v>
      </c>
      <c r="J210" s="7">
        <v>0</v>
      </c>
      <c r="K210" s="109" t="str">
        <f t="shared" si="78"/>
        <v>4027/4028</v>
      </c>
      <c r="L210" s="22" t="str">
        <f>VLOOKUP(A210,'Trips&amp;Operators'!$C$1:$G$99999,5,FALSE)</f>
        <v>NELSON ARIANE</v>
      </c>
      <c r="M210" s="6">
        <f t="shared" si="79"/>
        <v>3.2997685186273884E-2</v>
      </c>
      <c r="N210" s="7">
        <f t="shared" si="73"/>
        <v>47.516666668234393</v>
      </c>
      <c r="O210" s="7"/>
      <c r="P210" s="7"/>
      <c r="Q210" s="23"/>
      <c r="R210" s="23"/>
      <c r="S210" s="35">
        <f t="shared" si="75"/>
        <v>0</v>
      </c>
      <c r="T210" s="50" t="e">
        <f t="shared" si="80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18:31:02-700',mode:absolute,to:'2016-12-18 21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0" s="52" t="str">
        <f t="shared" si="88"/>
        <v>N</v>
      </c>
      <c r="X210" s="177" t="e">
        <f t="shared" si="72"/>
        <v>#VALUE!</v>
      </c>
      <c r="Y210" s="67">
        <f t="shared" si="82"/>
        <v>23.2971</v>
      </c>
      <c r="Z210" s="67">
        <f t="shared" si="74"/>
        <v>0.1167</v>
      </c>
      <c r="AA210" s="67">
        <f t="shared" si="83"/>
        <v>23.180399999999999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4"/>
        <v>62-18</v>
      </c>
      <c r="AE210" s="91" t="str">
        <f t="shared" si="85"/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AF210" s="88" t="str">
        <f t="shared" si="86"/>
        <v>"C:\Program Files (x86)\AstroGrep\AstroGrep.exe" /spath="%USERPROFILE%\AppData\Local\Temp\OnboardLogs" /stypes="app*4028*20161219*" /stext=" 03:.+((SYSTEM_STATE.+slice.+state.+changed )|(ment ac)|(multiple cpu faults)|(system.+state.+changed )|(\[timeout)|(PRM\|1\|D)|(kpr)|(kdp)|(\|lc)|(penalty))" /e /r /s</v>
      </c>
      <c r="AG210" s="1" t="str">
        <f t="shared" si="87"/>
        <v>Other</v>
      </c>
      <c r="AH210" s="92" t="str">
        <f t="shared" si="76"/>
        <v>"%USERPROFILE%\Documents\GitHub\eaglep3\Utilities\RefineRTDCRunTimes.py" --tripid 62-18 --locoid 4028 --swversion DE.1.0.8.0 --startMP 204:232971 --initTime 2016-12-18T19:31:02 --startdatetime 2016-12-18T19:41:21 --delay 6 --endMP 204:1167 --enddatetime 2016-12-18T20:28:52 --enforcementcount 0 &gt;&gt;C:\Users\stu\Documents\GitHub\eaglep3-reporting\EC\2016-12-18-refined-times.txt</v>
      </c>
      <c r="AI210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{"issue":{"subject":"","project_id":79,"tracker_id":40,"status_id":1,"priority_id":2,"assigned_to_id":23,"start_date":"2016-12-18","description":"","custom_fields":[{"id":1,"name":"Subdivision","value":"Other"},{"id":4,"name":"Milepost","value":"0.1167"},{"id":17,"name":"Train ID","value":"62-18"},{"id":16,"name":"Locomotive ID","value":"4028"},{"id":130,"name":"Impact","value":""},{"id":150,"name":"Time of Event (Mountain Time)","value":"20:28:52"},{"id":151,"name":"Denver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686</v>
      </c>
      <c r="B211" s="7">
        <v>4014</v>
      </c>
      <c r="C211" s="22" t="s">
        <v>205</v>
      </c>
      <c r="D211" s="22" t="s">
        <v>286</v>
      </c>
      <c r="E211" s="13">
        <v>42722.799293981479</v>
      </c>
      <c r="F211" s="13">
        <v>42722.802430555559</v>
      </c>
      <c r="G211" s="7">
        <v>1</v>
      </c>
      <c r="H211" s="22" t="s">
        <v>320</v>
      </c>
      <c r="I211" s="13">
        <v>42722.827881944446</v>
      </c>
      <c r="J211" s="7">
        <v>0</v>
      </c>
      <c r="K211" s="109" t="str">
        <f t="shared" si="78"/>
        <v>4013/4014</v>
      </c>
      <c r="L211" s="22" t="str">
        <f>VLOOKUP(A211,'Trips&amp;Operators'!$C$1:$G$99999,5,FALSE)</f>
        <v>MCREYNOLDS KYLE</v>
      </c>
      <c r="M211" s="6">
        <f t="shared" si="79"/>
        <v>2.545138888672227E-2</v>
      </c>
      <c r="N211" s="7">
        <f t="shared" si="73"/>
        <v>36.649999996880069</v>
      </c>
      <c r="O211" s="7"/>
      <c r="P211" s="7"/>
      <c r="Q211" s="23"/>
      <c r="R211" s="23"/>
      <c r="S211" s="35">
        <f t="shared" si="75"/>
        <v>0</v>
      </c>
      <c r="T211" s="50" t="e">
        <f t="shared" si="80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18:10:59-700',mode:absolute,to:'2016-12-18 20:52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1" s="52" t="str">
        <f t="shared" si="88"/>
        <v>N</v>
      </c>
      <c r="X211" s="177" t="e">
        <f t="shared" si="72"/>
        <v>#VALUE!</v>
      </c>
      <c r="Y211" s="67">
        <f t="shared" si="82"/>
        <v>4.8399999999999999E-2</v>
      </c>
      <c r="Z211" s="67">
        <f t="shared" si="74"/>
        <v>23.3307</v>
      </c>
      <c r="AA211" s="67">
        <f t="shared" si="83"/>
        <v>23.282299999999999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4"/>
        <v>63-18</v>
      </c>
      <c r="AE211" s="91" t="str">
        <f t="shared" si="85"/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AF211" s="88" t="str">
        <f t="shared" si="86"/>
        <v>"C:\Program Files (x86)\AstroGrep\AstroGrep.exe" /spath="%USERPROFILE%\AppData\Local\Temp\OnboardLogs" /stypes="app*4014*20161219*" /stext=" 02:.+((SYSTEM_STATE.+slice.+state.+changed )|(ment ac)|(multiple cpu faults)|(system.+state.+changed )|(\[timeout)|(PRM\|1\|D)|(kpr)|(kdp)|(\|lc)|(penalty))" /e /r /s</v>
      </c>
      <c r="AG211" s="1" t="str">
        <f t="shared" si="87"/>
        <v>Other</v>
      </c>
      <c r="AH211" s="92" t="str">
        <f t="shared" si="76"/>
        <v>"%USERPROFILE%\Documents\GitHub\eaglep3\Utilities\RefineRTDCRunTimes.py" --tripid 63-18 --locoid 4014 --swversion DE.1.0.8.0 --startMP 204:484 --initTime 2016-12-18T19:10:59 --startdatetime 2016-12-18T19:15:30 --delay 1 --endMP 204:233307 --enddatetime 2016-12-18T19:52:09 --enforcementcount 0 &gt;&gt;C:\Users\stu\Documents\GitHub\eaglep3-reporting\EC\2016-12-18-refined-times.txt</v>
      </c>
      <c r="AI211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{"issue":{"subject":"","project_id":79,"tracker_id":40,"status_id":1,"priority_id":2,"assigned_to_id":23,"start_date":"2016-12-18","description":"","custom_fields":[{"id":1,"name":"Subdivision","value":"Other"},{"id":4,"name":"Milepost","value":"23.3307"},{"id":17,"name":"Train ID","value":"63-18"},{"id":16,"name":"Locomotive ID","value":"4014"},{"id":130,"name":"Impact","value":""},{"id":150,"name":"Time of Event (Mountain Time)","value":"19:52:09"},{"id":151,"name":"Denver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694</v>
      </c>
      <c r="B212" s="7">
        <v>4013</v>
      </c>
      <c r="C212" s="22" t="s">
        <v>205</v>
      </c>
      <c r="D212" s="22" t="s">
        <v>922</v>
      </c>
      <c r="E212" s="13">
        <v>42722.86309027778</v>
      </c>
      <c r="F212" s="13">
        <v>42722.864363425928</v>
      </c>
      <c r="G212" s="7">
        <v>1</v>
      </c>
      <c r="H212" s="22" t="s">
        <v>224</v>
      </c>
      <c r="I212" s="13">
        <v>42722.883483796293</v>
      </c>
      <c r="J212" s="7">
        <v>0</v>
      </c>
      <c r="K212" s="109" t="str">
        <f t="shared" si="78"/>
        <v>4013/4014</v>
      </c>
      <c r="L212" s="22" t="str">
        <f>VLOOKUP(A212,'Trips&amp;Operators'!$C$1:$G$99999,5,FALSE)</f>
        <v>MCREYNOLDS KYLE</v>
      </c>
      <c r="M212" s="6">
        <f t="shared" si="79"/>
        <v>1.912037036527181E-2</v>
      </c>
      <c r="N212" s="7">
        <f t="shared" si="73"/>
        <v>27.533333325991407</v>
      </c>
      <c r="O212" s="7"/>
      <c r="P212" s="7"/>
      <c r="Q212" s="23"/>
      <c r="R212" s="23"/>
      <c r="S212" s="35">
        <f t="shared" si="75"/>
        <v>0</v>
      </c>
      <c r="T212" s="50" t="e">
        <f t="shared" si="80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19:42:51-700',mode:absolute,to:'2016-12-18 22:12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2" s="52" t="str">
        <f t="shared" si="88"/>
        <v>N</v>
      </c>
      <c r="X212" s="177" t="e">
        <f t="shared" si="72"/>
        <v>#VALUE!</v>
      </c>
      <c r="Y212" s="67">
        <f t="shared" si="82"/>
        <v>12.785500000000001</v>
      </c>
      <c r="Z212" s="67">
        <f t="shared" si="74"/>
        <v>1.54E-2</v>
      </c>
      <c r="AA212" s="67">
        <f t="shared" si="83"/>
        <v>12.770100000000001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4"/>
        <v>64-18</v>
      </c>
      <c r="AE212" s="91" t="str">
        <f t="shared" si="85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212" s="88" t="str">
        <f t="shared" si="86"/>
        <v>"C:\Program Files (x86)\AstroGrep\AstroGrep.exe" /spath="%USERPROFILE%\AppData\Local\Temp\OnboardLogs" /stypes="app*4013*20161219*" /stext=" 04:.+((SYSTEM_STATE.+slice.+state.+changed )|(ment ac)|(multiple cpu faults)|(system.+state.+changed )|(\[timeout)|(PRM\|1\|D)|(kpr)|(kdp)|(\|lc)|(penalty))" /e /r /s</v>
      </c>
      <c r="AG212" s="1" t="str">
        <f t="shared" si="87"/>
        <v>Other</v>
      </c>
      <c r="AH212" s="92" t="str">
        <f t="shared" si="76"/>
        <v>"%USERPROFILE%\Documents\GitHub\eaglep3\Utilities\RefineRTDCRunTimes.py" --tripid 64-18 --locoid 4013 --swversion DE.1.0.8.0 --startMP 204:127855 --initTime 2016-12-18T20:42:51 --startdatetime 2016-12-18T20:44:41 --delay 1 --endMP 204:154 --enddatetime 2016-12-18T21:12:13 --enforcementcount 0 &gt;&gt;C:\Users\stu\Documents\GitHub\eaglep3-reporting\EC\2016-12-18-refined-times.txt</v>
      </c>
      <c r="AI212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{"issue":{"subject":"","project_id":79,"tracker_id":40,"status_id":1,"priority_id":2,"assigned_to_id":23,"start_date":"2016-12-18","description":"","custom_fields":[{"id":1,"name":"Subdivision","value":"Other"},{"id":4,"name":"Milepost","value":"0.0154"},{"id":17,"name":"Train ID","value":"64-18"},{"id":16,"name":"Locomotive ID","value":"4013"},{"id":130,"name":"Impact","value":""},{"id":150,"name":"Time of Event (Mountain Time)","value":"21:12:13"},{"id":151,"name":"Denver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694</v>
      </c>
      <c r="B213" s="7">
        <v>4013</v>
      </c>
      <c r="C213" s="22" t="s">
        <v>205</v>
      </c>
      <c r="D213" s="22" t="s">
        <v>324</v>
      </c>
      <c r="E213" s="13">
        <v>42722.843310185184</v>
      </c>
      <c r="F213" s="13">
        <v>42722.864363425928</v>
      </c>
      <c r="G213" s="7">
        <v>0</v>
      </c>
      <c r="H213" s="22" t="s">
        <v>923</v>
      </c>
      <c r="I213" s="13">
        <v>42722.883483796293</v>
      </c>
      <c r="J213" s="7">
        <v>0</v>
      </c>
      <c r="K213" s="109" t="str">
        <f t="shared" si="78"/>
        <v>4013/4014</v>
      </c>
      <c r="L213" s="22" t="str">
        <f>VLOOKUP(A213,'Trips&amp;Operators'!$C$1:$G$99999,5,FALSE)</f>
        <v>MCREYNOLDS KYLE</v>
      </c>
      <c r="M213" s="6">
        <f t="shared" si="79"/>
        <v>1.912037036527181E-2</v>
      </c>
      <c r="N213" s="7">
        <f t="shared" si="73"/>
        <v>27.533333325991407</v>
      </c>
      <c r="O213" s="7"/>
      <c r="P213" s="7"/>
      <c r="Q213" s="23"/>
      <c r="R213" s="23"/>
      <c r="S213" s="35">
        <f t="shared" si="75"/>
        <v>0</v>
      </c>
      <c r="T213" s="50" t="e">
        <f t="shared" si="80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19:14:22-700',mode:absolute,to:'2016-12-18 22:12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3" s="52" t="str">
        <f t="shared" si="88"/>
        <v>N</v>
      </c>
      <c r="X213" s="177" t="e">
        <f t="shared" si="72"/>
        <v>#VALUE!</v>
      </c>
      <c r="Y213" s="67">
        <f t="shared" si="82"/>
        <v>23.2971</v>
      </c>
      <c r="Z213" s="67">
        <f t="shared" si="74"/>
        <v>15.8726</v>
      </c>
      <c r="AA213" s="67">
        <f t="shared" si="83"/>
        <v>7.4245000000000001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4"/>
        <v>64-18</v>
      </c>
      <c r="AE213" s="91" t="str">
        <f t="shared" si="85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213" s="88" t="str">
        <f t="shared" si="86"/>
        <v>"C:\Program Files (x86)\AstroGrep\AstroGrep.exe" /spath="%USERPROFILE%\AppData\Local\Temp\OnboardLogs" /stypes="app*4013*20161219*" /stext=" 04:.+((SYSTEM_STATE.+slice.+state.+changed )|(ment ac)|(multiple cpu faults)|(system.+state.+changed )|(\[timeout)|(PRM\|1\|D)|(kpr)|(kdp)|(\|lc)|(penalty))" /e /r /s</v>
      </c>
      <c r="AG213" s="1" t="str">
        <f t="shared" si="87"/>
        <v>Other</v>
      </c>
      <c r="AH213" s="92" t="str">
        <f t="shared" si="76"/>
        <v>"%USERPROFILE%\Documents\GitHub\eaglep3\Utilities\RefineRTDCRunTimes.py" --tripid 64-18 --locoid 4013 --swversion DE.1.0.8.0 --startMP 204:232971 --initTime 2016-12-18T20:14:22 --startdatetime 2016-12-18T20:44:41 --delay 0 --endMP 204:158726 --enddatetime 2016-12-18T21:12:13 --enforcementcount 0 &gt;&gt;C:\Users\stu\Documents\GitHub\eaglep3-reporting\EC\2016-12-18-refined-times.txt</v>
      </c>
      <c r="AI213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{"issue":{"subject":"","project_id":79,"tracker_id":40,"status_id":1,"priority_id":2,"assigned_to_id":23,"start_date":"2016-12-18","description":"","custom_fields":[{"id":1,"name":"Subdivision","value":"Other"},{"id":4,"name":"Milepost","value":"15.8726"},{"id":17,"name":"Train ID","value":"64-18"},{"id":16,"name":"Locomotive ID","value":"4013"},{"id":130,"name":"Impact","value":""},{"id":150,"name":"Time of Event (Mountain Time)","value":"21:12:13"},{"id":151,"name":"Denver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694</v>
      </c>
      <c r="B214" s="7">
        <v>4013</v>
      </c>
      <c r="C214" s="22" t="s">
        <v>205</v>
      </c>
      <c r="D214" s="22" t="s">
        <v>480</v>
      </c>
      <c r="E214" s="13">
        <v>42722.833935185183</v>
      </c>
      <c r="F214" s="13">
        <v>42722.844895833332</v>
      </c>
      <c r="G214" s="7">
        <v>2</v>
      </c>
      <c r="H214" s="22" t="s">
        <v>480</v>
      </c>
      <c r="I214" s="13">
        <v>42722.851550925923</v>
      </c>
      <c r="J214" s="7">
        <v>0</v>
      </c>
      <c r="K214" s="109" t="str">
        <f t="shared" si="78"/>
        <v>4013/4014</v>
      </c>
      <c r="L214" s="22" t="str">
        <f>VLOOKUP(A214,'Trips&amp;Operators'!$C$1:$G$99999,5,FALSE)</f>
        <v>MCREYNOLDS KYLE</v>
      </c>
      <c r="M214" s="6">
        <f t="shared" si="79"/>
        <v>6.655092591245193E-3</v>
      </c>
      <c r="N214" s="7">
        <f t="shared" si="73"/>
        <v>9.583333331393078</v>
      </c>
      <c r="O214" s="7"/>
      <c r="P214" s="7"/>
      <c r="Q214" s="23"/>
      <c r="R214" s="23"/>
      <c r="S214" s="35">
        <f t="shared" si="75"/>
        <v>0</v>
      </c>
      <c r="T214" s="50" t="e">
        <f t="shared" si="80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19:00:52-700',mode:absolute,to:'2016-12-18 21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4" s="52" t="str">
        <f t="shared" si="88"/>
        <v>Y</v>
      </c>
      <c r="X214" s="177" t="e">
        <f t="shared" si="72"/>
        <v>#VALUE!</v>
      </c>
      <c r="Y214" s="67">
        <f t="shared" si="82"/>
        <v>23.297799999999999</v>
      </c>
      <c r="Z214" s="67">
        <f t="shared" si="74"/>
        <v>23.297799999999999</v>
      </c>
      <c r="AA214" s="67">
        <f t="shared" si="83"/>
        <v>0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4"/>
        <v>64-18</v>
      </c>
      <c r="AE214" s="91" t="str">
        <f t="shared" si="85"/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AF214" s="88" t="str">
        <f t="shared" si="86"/>
        <v>"C:\Program Files (x86)\AstroGrep\AstroGrep.exe" /spath="%USERPROFILE%\AppData\Local\Temp\OnboardLogs" /stypes="app*4013*20161219*" /stext=" 03:.+((SYSTEM_STATE.+slice.+state.+changed )|(ment ac)|(multiple cpu faults)|(system.+state.+changed )|(\[timeout)|(PRM\|1\|D)|(kpr)|(kdp)|(\|lc)|(penalty))" /e /r /s</v>
      </c>
      <c r="AG214" s="1" t="str">
        <f t="shared" si="87"/>
        <v>Other</v>
      </c>
      <c r="AH214" s="92" t="str">
        <f t="shared" si="76"/>
        <v>"%USERPROFILE%\Documents\GitHub\eaglep3\Utilities\RefineRTDCRunTimes.py" --tripid 64-18 --locoid 4013 --swversion DE.1.0.8.0 --startMP 204:232978 --initTime 2016-12-18T20:00:52 --startdatetime 2016-12-18T20:16:39 --delay 2 --endMP 204:232978 --enddatetime 2016-12-18T20:26:14 --enforcementcount 0 &gt;&gt;C:\Users\stu\Documents\GitHub\eaglep3-reporting\EC\2016-12-18-refined-times.txt</v>
      </c>
      <c r="AI214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{"issue":{"subject":"","project_id":79,"tracker_id":40,"status_id":1,"priority_id":2,"assigned_to_id":23,"start_date":"2016-12-18","description":"","custom_fields":[{"id":1,"name":"Subdivision","value":"Other"},{"id":4,"name":"Milepost","value":"23.2978"},{"id":17,"name":"Train ID","value":"64-18"},{"id":16,"name":"Locomotive ID","value":"4013"},{"id":130,"name":"Impact","value":""},{"id":150,"name":"Time of Event (Mountain Time)","value":"20:26:14"},{"id":151,"name":"Denver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692</v>
      </c>
      <c r="B215" s="7">
        <v>4031</v>
      </c>
      <c r="C215" s="22" t="s">
        <v>205</v>
      </c>
      <c r="D215" s="22" t="s">
        <v>889</v>
      </c>
      <c r="E215" s="13">
        <v>42722.821886574071</v>
      </c>
      <c r="F215" s="13">
        <v>42722.824525462966</v>
      </c>
      <c r="G215" s="7">
        <v>2</v>
      </c>
      <c r="H215" s="22" t="s">
        <v>894</v>
      </c>
      <c r="I215" s="13">
        <v>42722.849907407406</v>
      </c>
      <c r="J215" s="7">
        <v>0</v>
      </c>
      <c r="K215" s="109" t="str">
        <f t="shared" si="78"/>
        <v>4031/4032</v>
      </c>
      <c r="L215" s="22" t="str">
        <f>VLOOKUP(A215,'Trips&amp;Operators'!$C$1:$G$99999,5,FALSE)</f>
        <v>MACDONALD THOMAS</v>
      </c>
      <c r="M215" s="6">
        <f t="shared" si="79"/>
        <v>2.5381944440596271E-2</v>
      </c>
      <c r="N215" s="7">
        <f t="shared" si="73"/>
        <v>36.549999994458631</v>
      </c>
      <c r="O215" s="7"/>
      <c r="P215" s="7"/>
      <c r="Q215" s="23"/>
      <c r="R215" s="23"/>
      <c r="S215" s="35">
        <f t="shared" si="75"/>
        <v>0</v>
      </c>
      <c r="T215" s="50" t="e">
        <f t="shared" si="80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18:43:31-700',mode:absolute,to:'2016-12-18 21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5" s="52" t="str">
        <f t="shared" si="88"/>
        <v>N</v>
      </c>
      <c r="X215" s="177" t="e">
        <f t="shared" si="72"/>
        <v>#VALUE!</v>
      </c>
      <c r="Y215" s="67">
        <f t="shared" si="82"/>
        <v>4.7800000000000002E-2</v>
      </c>
      <c r="Z215" s="67">
        <f t="shared" si="74"/>
        <v>23.330100000000002</v>
      </c>
      <c r="AA215" s="67">
        <f t="shared" si="83"/>
        <v>23.282300000000003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84"/>
        <v>65-18</v>
      </c>
      <c r="AE215" s="91" t="str">
        <f t="shared" si="85"/>
        <v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v>
      </c>
      <c r="AF215" s="88" t="str">
        <f t="shared" si="86"/>
        <v>"C:\Program Files (x86)\AstroGrep\AstroGrep.exe" /spath="%USERPROFILE%\AppData\Local\Temp\OnboardLogs" /stypes="app*4031*20161219*" /stext=" 03:.+((SYSTEM_STATE.+slice.+state.+changed )|(ment ac)|(multiple cpu faults)|(system.+state.+changed )|(\[timeout)|(PRM\|1\|D)|(kpr)|(kdp)|(\|lc)|(penalty))" /e /r /s</v>
      </c>
      <c r="AG215" s="1" t="str">
        <f t="shared" si="87"/>
        <v>Other</v>
      </c>
      <c r="AH215" s="92" t="str">
        <f t="shared" si="76"/>
        <v>"%USERPROFILE%\Documents\GitHub\eaglep3\Utilities\RefineRTDCRunTimes.py" --tripid 65-18 --locoid 4031 --swversion DE.1.0.8.0 --startMP 204:478 --initTime 2016-12-18T19:43:31 --startdatetime 2016-12-18T19:47:19 --delay 2 --endMP 204:233301 --enddatetime 2016-12-18T20:23:52 --enforcementcount 0 &gt;&gt;C:\Users\stu\Documents\GitHub\eaglep3-reporting\EC\2016-12-18-refined-times.txt</v>
      </c>
      <c r="AI215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{"issue":{"subject":"","project_id":79,"tracker_id":40,"status_id":1,"priority_id":2,"assigned_to_id":23,"start_date":"2016-12-18","description":"","custom_fields":[{"id":1,"name":"Subdivision","value":"Other"},{"id":4,"name":"Milepost","value":"23.3301"},{"id":17,"name":"Train ID","value":"65-18"},{"id":16,"name":"Locomotive ID","value":"4031"},{"id":130,"name":"Impact","value":""},{"id":150,"name":"Time of Event (Mountain Time)","value":"20:23:52"},{"id":151,"name":"Denver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698</v>
      </c>
      <c r="B216" s="7">
        <v>4032</v>
      </c>
      <c r="C216" s="22" t="s">
        <v>205</v>
      </c>
      <c r="D216" s="22" t="s">
        <v>924</v>
      </c>
      <c r="E216" s="13">
        <v>42722.861145833333</v>
      </c>
      <c r="F216" s="13">
        <v>42722.862592592595</v>
      </c>
      <c r="G216" s="7">
        <v>1</v>
      </c>
      <c r="H216" s="22" t="s">
        <v>925</v>
      </c>
      <c r="I216" s="13">
        <v>42722.894641203704</v>
      </c>
      <c r="J216" s="7">
        <v>0</v>
      </c>
      <c r="K216" s="109" t="str">
        <f t="shared" si="78"/>
        <v>4031/4032</v>
      </c>
      <c r="L216" s="22" t="str">
        <f>VLOOKUP(A216,'Trips&amp;Operators'!$C$1:$G$99999,5,FALSE)</f>
        <v>MACDONALD THOMAS</v>
      </c>
      <c r="M216" s="6">
        <f t="shared" si="79"/>
        <v>3.2048611108621117E-2</v>
      </c>
      <c r="N216" s="7">
        <f t="shared" si="73"/>
        <v>46.149999996414408</v>
      </c>
      <c r="O216" s="7"/>
      <c r="P216" s="7"/>
      <c r="Q216" s="23"/>
      <c r="R216" s="23"/>
      <c r="S216" s="35">
        <f t="shared" si="75"/>
        <v>0</v>
      </c>
      <c r="T216" s="50" t="e">
        <f t="shared" si="80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19:40:03-700',mode:absolute,to:'2016-12-18 22:28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6" s="52" t="str">
        <f t="shared" si="88"/>
        <v>N</v>
      </c>
      <c r="X216" s="177" t="e">
        <f t="shared" si="72"/>
        <v>#VALUE!</v>
      </c>
      <c r="Y216" s="67">
        <f t="shared" si="82"/>
        <v>23.296500000000002</v>
      </c>
      <c r="Z216" s="67">
        <f t="shared" si="74"/>
        <v>9.3899999999999997E-2</v>
      </c>
      <c r="AA216" s="67">
        <f t="shared" si="83"/>
        <v>23.2026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84"/>
        <v>66-18</v>
      </c>
      <c r="AE216" s="91" t="str">
        <f t="shared" si="85"/>
        <v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v>
      </c>
      <c r="AF216" s="88" t="str">
        <f t="shared" si="86"/>
        <v>"C:\Program Files (x86)\AstroGrep\AstroGrep.exe" /spath="%USERPROFILE%\AppData\Local\Temp\OnboardLogs" /stypes="app*4032*20161219*" /stext=" 04:.+((SYSTEM_STATE.+slice.+state.+changed )|(ment ac)|(multiple cpu faults)|(system.+state.+changed )|(\[timeout)|(PRM\|1\|D)|(kpr)|(kdp)|(\|lc)|(penalty))" /e /r /s</v>
      </c>
      <c r="AG216" s="1" t="str">
        <f t="shared" si="87"/>
        <v>Other</v>
      </c>
      <c r="AH216" s="92" t="str">
        <f t="shared" si="76"/>
        <v>"%USERPROFILE%\Documents\GitHub\eaglep3\Utilities\RefineRTDCRunTimes.py" --tripid 66-18 --locoid 4032 --swversion DE.1.0.8.0 --startMP 204:232965 --initTime 2016-12-18T20:40:03 --startdatetime 2016-12-18T20:42:08 --delay 1 --endMP 204:939 --enddatetime 2016-12-18T21:28:17 --enforcementcount 0 &gt;&gt;C:\Users\stu\Documents\GitHub\eaglep3-reporting\EC\2016-12-18-refined-times.txt</v>
      </c>
      <c r="AI216" s="119" t="str">
        <f t="shared" si="77"/>
        <v>echo {"issue":{"subject":"","project_id":79,"tracker_id":40,"status_id":1,"priority_id":2,"assigned_to_id":23,"start_date":"2016-12-18","description":"","custom_fields":[{"id":1,"name":"Subdivision","value":"Other"},{"id":4,"name":"Milepost","value":"0.0939"},{"id":17,"name":"Train ID","value":"66-18"},{"id":16,"name":"Locomotive ID","value":"4032"},{"id":130,"name":"Impact","value":""},{"id":150,"name":"Time of Event (Mountain Time)","value":"21:28:17"},{"id":151,"name":"Denver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703</v>
      </c>
      <c r="B217" s="7">
        <v>4014</v>
      </c>
      <c r="C217" s="22" t="s">
        <v>205</v>
      </c>
      <c r="D217" s="22" t="s">
        <v>470</v>
      </c>
      <c r="E217" s="13">
        <v>42722.890393518515</v>
      </c>
      <c r="F217" s="13">
        <v>25568.708333333332</v>
      </c>
      <c r="G217" s="7">
        <v>1</v>
      </c>
      <c r="H217" s="22" t="s">
        <v>258</v>
      </c>
      <c r="I217" s="13">
        <v>25568.708333333332</v>
      </c>
      <c r="J217" s="7">
        <v>0</v>
      </c>
      <c r="K217" s="109" t="str">
        <f t="shared" si="78"/>
        <v>4013/4014</v>
      </c>
      <c r="L217" s="22" t="str">
        <f>VLOOKUP(A217,'Trips&amp;Operators'!$C$1:$G$99999,5,FALSE)</f>
        <v>MCREYNOLDS KYLE</v>
      </c>
      <c r="M217" s="6">
        <f t="shared" si="79"/>
        <v>0</v>
      </c>
      <c r="N217" s="7">
        <f t="shared" si="73"/>
        <v>0</v>
      </c>
      <c r="O217" s="7"/>
      <c r="P217" s="7"/>
      <c r="Q217" s="23"/>
      <c r="R217" s="23"/>
      <c r="S217" s="35">
        <f t="shared" si="75"/>
        <v>0</v>
      </c>
      <c r="T217" s="50" t="e">
        <f t="shared" si="80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20:22:10-700',mode:absolute,to:'1969-12-31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7" s="52" t="str">
        <f t="shared" si="88"/>
        <v>Y</v>
      </c>
      <c r="X217" s="177" t="e">
        <f t="shared" si="72"/>
        <v>#VALUE!</v>
      </c>
      <c r="Y217" s="67">
        <f t="shared" si="82"/>
        <v>4.4900000000000002E-2</v>
      </c>
      <c r="Z217" s="67">
        <f t="shared" si="74"/>
        <v>4.53E-2</v>
      </c>
      <c r="AA217" s="67">
        <f t="shared" si="83"/>
        <v>3.9999999999999758E-4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84"/>
        <v>67-18</v>
      </c>
      <c r="AE217" s="91" t="str">
        <f t="shared" si="8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7" s="88" t="str">
        <f t="shared" si="86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7" s="1" t="str">
        <f t="shared" si="87"/>
        <v>Other</v>
      </c>
      <c r="AH217" s="92" t="str">
        <f t="shared" si="76"/>
        <v>"%USERPROFILE%\Documents\GitHub\eaglep3\Utilities\RefineRTDCRunTimes.py" --tripid 67-18 --locoid 4014 --swversion DE.1.0.8.0 --startMP 204:449 --initTime 2016-12-18T21:22:10 --startdatetime 1969-12-31T17:00:00 --delay 1 --endMP 204:453 --enddatetime 1969-12-31T17:00:00 --enforcementcount 0 &gt;&gt;C:\Users\stu\Documents\GitHub\eaglep3-reporting\EC\2016-12-18-refined-times.txt</v>
      </c>
      <c r="AI217" s="119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{"issue":{"subject":"","project_id":79,"tracker_id":40,"status_id":1,"priority_id":2,"assigned_to_id":23,"start_date":"1969-12-31","description":"","custom_fields":[{"id":1,"name":"Subdivision","value":"Other"},{"id":4,"name":"Milepost","value":"0.0453"},{"id":17,"name":"Train ID","value":"67-18"},{"id":16,"name":"Locomotive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703</v>
      </c>
      <c r="B218" s="7">
        <v>4046</v>
      </c>
      <c r="C218" s="22" t="s">
        <v>205</v>
      </c>
      <c r="D218" s="22" t="s">
        <v>271</v>
      </c>
      <c r="E218" s="13">
        <v>42722.910034722219</v>
      </c>
      <c r="F218" s="13">
        <v>25568.708333333332</v>
      </c>
      <c r="G218" s="7">
        <v>1</v>
      </c>
      <c r="H218" s="22" t="s">
        <v>483</v>
      </c>
      <c r="I218" s="13">
        <v>25568.708333333332</v>
      </c>
      <c r="J218" s="7">
        <v>0</v>
      </c>
      <c r="K218" s="109" t="str">
        <f t="shared" si="78"/>
        <v>4045/4046</v>
      </c>
      <c r="L218" s="22" t="str">
        <f>VLOOKUP(A218,'Trips&amp;Operators'!$C$1:$G$99999,5,FALSE)</f>
        <v>MCREYNOLDS KYLE</v>
      </c>
      <c r="M218" s="6">
        <f t="shared" si="79"/>
        <v>0</v>
      </c>
      <c r="N218" s="7">
        <f t="shared" si="73"/>
        <v>0</v>
      </c>
      <c r="O218" s="7"/>
      <c r="P218" s="7"/>
      <c r="Q218" s="23"/>
      <c r="R218" s="23"/>
      <c r="S218" s="35">
        <f t="shared" si="75"/>
        <v>0</v>
      </c>
      <c r="T218" s="50" t="e">
        <f t="shared" si="80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20:50:27-700',mode:absolute,to:'1969-12-31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8" s="52" t="str">
        <f t="shared" si="88"/>
        <v>Y</v>
      </c>
      <c r="X218" s="177" t="e">
        <f t="shared" si="72"/>
        <v>#VALUE!</v>
      </c>
      <c r="Y218" s="67">
        <f t="shared" si="82"/>
        <v>4.6699999999999998E-2</v>
      </c>
      <c r="Z218" s="67">
        <f t="shared" si="74"/>
        <v>2.3306</v>
      </c>
      <c r="AA218" s="67">
        <f t="shared" si="83"/>
        <v>2.2839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84"/>
        <v>67-18</v>
      </c>
      <c r="AE218" s="91" t="str">
        <f t="shared" si="8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8" s="88" t="str">
        <f t="shared" si="86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8" s="1" t="str">
        <f t="shared" si="87"/>
        <v>Other</v>
      </c>
      <c r="AH218" s="92" t="str">
        <f t="shared" si="76"/>
        <v>"%USERPROFILE%\Documents\GitHub\eaglep3\Utilities\RefineRTDCRunTimes.py" --tripid 67-18 --locoid 4046 --swversion DE.1.0.8.0 --startMP 204:467 --initTime 2016-12-18T21:50:27 --startdatetime 1969-12-31T17:00:00 --delay 1 --endMP 300:23306 --enddatetime 1969-12-31T17:00:00 --enforcementcount 0 &gt;&gt;C:\Users\stu\Documents\GitHub\eaglep3-reporting\EC\2016-12-18-refined-times.txt</v>
      </c>
      <c r="AI218" s="119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ID","value":"67-18"},{"id":16,"name":"Locomotive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705</v>
      </c>
      <c r="B219" s="7">
        <v>4031</v>
      </c>
      <c r="C219" s="22" t="s">
        <v>205</v>
      </c>
      <c r="D219" s="22" t="s">
        <v>926</v>
      </c>
      <c r="E219" s="13">
        <v>42722.896099537036</v>
      </c>
      <c r="F219" s="13">
        <v>25568.708333333332</v>
      </c>
      <c r="G219" s="7">
        <v>1</v>
      </c>
      <c r="H219" s="22" t="s">
        <v>927</v>
      </c>
      <c r="I219" s="13">
        <v>25568.708333333332</v>
      </c>
      <c r="J219" s="7">
        <v>0</v>
      </c>
      <c r="K219" s="109" t="str">
        <f t="shared" si="78"/>
        <v>4031/4032</v>
      </c>
      <c r="L219" s="22" t="str">
        <f>VLOOKUP(A219,'Trips&amp;Operators'!$C$1:$G$99999,5,FALSE)</f>
        <v>MACDONALD THOMAS</v>
      </c>
      <c r="M219" s="6">
        <f t="shared" si="79"/>
        <v>0</v>
      </c>
      <c r="N219" s="7">
        <f t="shared" si="73"/>
        <v>0</v>
      </c>
      <c r="O219" s="7"/>
      <c r="P219" s="7"/>
      <c r="Q219" s="23"/>
      <c r="R219" s="23"/>
      <c r="S219" s="35">
        <f t="shared" si="75"/>
        <v>0</v>
      </c>
      <c r="T219" s="50" t="e">
        <f t="shared" si="80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20:30:23-700',mode:absolute,to:'1969-12-31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9" s="52" t="str">
        <f t="shared" si="88"/>
        <v>Y</v>
      </c>
      <c r="X219" s="177" t="e">
        <f t="shared" si="72"/>
        <v>#VALUE!</v>
      </c>
      <c r="Y219" s="67">
        <f t="shared" si="82"/>
        <v>0.12839999999999999</v>
      </c>
      <c r="Z219" s="67">
        <f t="shared" si="74"/>
        <v>2.3300999999999998</v>
      </c>
      <c r="AA219" s="67">
        <f t="shared" si="83"/>
        <v>2.2016999999999998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84"/>
        <v>69-18</v>
      </c>
      <c r="AE219" s="91" t="str">
        <f t="shared" si="85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9" s="88" t="str">
        <f t="shared" si="86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9" s="1" t="str">
        <f t="shared" si="87"/>
        <v>Other</v>
      </c>
      <c r="AH219" s="92" t="str">
        <f t="shared" si="76"/>
        <v>"%USERPROFILE%\Documents\GitHub\eaglep3\Utilities\RefineRTDCRunTimes.py" --tripid 69-18 --locoid 4031 --swversion DE.1.0.8.0 --startMP 204:1284 --initTime 2016-12-18T21:30:23 --startdatetime 1969-12-31T17:00:00 --delay 1 --endMP 300:23301 --enddatetime 1969-12-31T17:00:00 --enforcementcount 0 &gt;&gt;C:\Users\stu\Documents\GitHub\eaglep3-reporting\EC\2016-12-18-refined-times.txt</v>
      </c>
      <c r="AI219" s="119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ID","value":"69-18"},{"id":16,"name":"Locomotive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697</v>
      </c>
      <c r="B220" s="7">
        <v>4027</v>
      </c>
      <c r="C220" s="22" t="s">
        <v>205</v>
      </c>
      <c r="D220" s="22" t="s">
        <v>484</v>
      </c>
      <c r="E220" s="13">
        <v>42722.856365740743</v>
      </c>
      <c r="F220" s="13">
        <v>25568.708333333332</v>
      </c>
      <c r="G220" s="7">
        <v>3</v>
      </c>
      <c r="H220" s="22" t="s">
        <v>910</v>
      </c>
      <c r="I220" s="13">
        <v>25568.708333333332</v>
      </c>
      <c r="J220" s="7">
        <v>0</v>
      </c>
      <c r="K220" s="109" t="str">
        <f t="shared" si="78"/>
        <v>4027/4028</v>
      </c>
      <c r="L220" s="22" t="str">
        <f>VLOOKUP(A220,'Trips&amp;Operators'!$C$1:$G$99999,5,FALSE)</f>
        <v>NELSON ARIANE</v>
      </c>
      <c r="M220" s="6">
        <f t="shared" si="79"/>
        <v>0</v>
      </c>
      <c r="N220" s="7">
        <f t="shared" si="73"/>
        <v>0</v>
      </c>
      <c r="O220" s="7"/>
      <c r="P220" s="7"/>
      <c r="Q220" s="23"/>
      <c r="R220" s="23"/>
      <c r="S220" s="35">
        <f t="shared" si="75"/>
        <v>0</v>
      </c>
      <c r="T220" s="50" t="e">
        <f t="shared" si="80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https://search-rtdc-monitor-bjffxe2xuh6vdkpspy63sjmuny.us-east-1.es.amazonaws.com/_plugin/kibana/#/discover/Steve-Slow-Train-Analysis-(2080s-and-2083s)?_g=(refreshInterval:(display:Off,section:0,value:0),time:(from:'2016-12-18 19:33:10-700',mode:absolute,to:'1969-12-31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0" s="52" t="str">
        <f t="shared" si="88"/>
        <v>Y</v>
      </c>
      <c r="X220" s="177" t="e">
        <f t="shared" si="72"/>
        <v>#VALUE!</v>
      </c>
      <c r="Y220" s="67">
        <f t="shared" si="82"/>
        <v>0.14960000000000001</v>
      </c>
      <c r="Z220" s="67">
        <f t="shared" si="74"/>
        <v>2.3346</v>
      </c>
      <c r="AA220" s="67">
        <f t="shared" si="83"/>
        <v>2.1850000000000001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84"/>
        <v>71-18</v>
      </c>
      <c r="AE220" s="91" t="str">
        <f t="shared" si="8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0" s="88" t="str">
        <f t="shared" si="86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0" s="1" t="str">
        <f t="shared" si="87"/>
        <v>Other</v>
      </c>
      <c r="AH220" s="92" t="str">
        <f t="shared" si="76"/>
        <v>"%USERPROFILE%\Documents\GitHub\eaglep3\Utilities\RefineRTDCRunTimes.py" --tripid 71-18 --locoid 4027 --swversion DE.1.0.8.0 --startMP 204:1496 --initTime 2016-12-18T20:33:10 --startdatetime 1969-12-31T17:00:00 --delay 3 --endMP 300:23346 --enddatetime 1969-12-31T17:00:00 --enforcementcount 0 &gt;&gt;C:\Users\stu\Documents\GitHub\eaglep3-reporting\EC\2016-12-18-refined-times.txt</v>
      </c>
      <c r="AI220" s="119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ID","value":"71-18"},{"id":16,"name":"Locomotive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</sheetData>
  <autoFilter ref="A12:AG224">
    <sortState ref="A13:AG228">
      <sortCondition ref="AG13:AG224"/>
      <sortCondition ref="AD13:AD224"/>
    </sortState>
  </autoFilter>
  <sortState ref="A13:AH200">
    <sortCondition ref="AG13:AG200"/>
    <sortCondition ref="AD13:AD200"/>
  </sortState>
  <mergeCells count="1">
    <mergeCell ref="A11:P11"/>
  </mergeCells>
  <conditionalFormatting sqref="W11:W12 W238:X1048576 W13:X220">
    <cfRule type="cellIs" dxfId="62" priority="396" operator="equal">
      <formula>"Y"</formula>
    </cfRule>
  </conditionalFormatting>
  <conditionalFormatting sqref="X238:X1048576 X13:X220">
    <cfRule type="cellIs" dxfId="61" priority="379" operator="greaterThan">
      <formula>1</formula>
    </cfRule>
  </conditionalFormatting>
  <conditionalFormatting sqref="X238:X1048576 X12:X220">
    <cfRule type="cellIs" dxfId="60" priority="376" operator="equal">
      <formula>0</formula>
    </cfRule>
  </conditionalFormatting>
  <conditionalFormatting sqref="A13:S18 A19:Q19 S19 A20:S21 A22:Q22 S22 A23:S24 A25:Q25 S25 A26:S26 A27:Q27 S27 A28:M30 A31:S32 A33:Q33 S33 A34:S34 A35:Q35 S35 A36:S220">
    <cfRule type="expression" dxfId="59" priority="370" stopIfTrue="1">
      <formula>$P13&gt;0</formula>
    </cfRule>
    <cfRule type="expression" dxfId="58" priority="371" stopIfTrue="1">
      <formula>$O13&gt;0</formula>
    </cfRule>
  </conditionalFormatting>
  <conditionalFormatting sqref="R19">
    <cfRule type="expression" dxfId="57" priority="50" stopIfTrue="1">
      <formula>$P19&gt;0</formula>
    </cfRule>
    <cfRule type="expression" dxfId="56" priority="51" stopIfTrue="1">
      <formula>$O19&gt;0</formula>
    </cfRule>
  </conditionalFormatting>
  <conditionalFormatting sqref="R22">
    <cfRule type="expression" dxfId="55" priority="46" stopIfTrue="1">
      <formula>$P22&gt;0</formula>
    </cfRule>
    <cfRule type="expression" dxfId="54" priority="47" stopIfTrue="1">
      <formula>$O22&gt;0</formula>
    </cfRule>
  </conditionalFormatting>
  <conditionalFormatting sqref="R25">
    <cfRule type="expression" dxfId="53" priority="42" stopIfTrue="1">
      <formula>$P25&gt;0</formula>
    </cfRule>
    <cfRule type="expression" dxfId="52" priority="43" stopIfTrue="1">
      <formula>$O25&gt;0</formula>
    </cfRule>
  </conditionalFormatting>
  <conditionalFormatting sqref="R27">
    <cfRule type="expression" dxfId="51" priority="38" stopIfTrue="1">
      <formula>$P27&gt;0</formula>
    </cfRule>
    <cfRule type="expression" dxfId="50" priority="39" stopIfTrue="1">
      <formula>$O27&gt;0</formula>
    </cfRule>
  </conditionalFormatting>
  <conditionalFormatting sqref="N28:Q28 S28">
    <cfRule type="expression" dxfId="49" priority="34" stopIfTrue="1">
      <formula>$P28&gt;0</formula>
    </cfRule>
    <cfRule type="expression" dxfId="48" priority="35" stopIfTrue="1">
      <formula>$O28&gt;0</formula>
    </cfRule>
  </conditionalFormatting>
  <conditionalFormatting sqref="R28">
    <cfRule type="expression" dxfId="47" priority="30" stopIfTrue="1">
      <formula>$P28&gt;0</formula>
    </cfRule>
    <cfRule type="expression" dxfId="46" priority="31" stopIfTrue="1">
      <formula>$O28&gt;0</formula>
    </cfRule>
  </conditionalFormatting>
  <conditionalFormatting sqref="N29:Q29 S29">
    <cfRule type="expression" dxfId="45" priority="26" stopIfTrue="1">
      <formula>$P29&gt;0</formula>
    </cfRule>
    <cfRule type="expression" dxfId="44" priority="27" stopIfTrue="1">
      <formula>$O29&gt;0</formula>
    </cfRule>
  </conditionalFormatting>
  <conditionalFormatting sqref="R29">
    <cfRule type="expression" dxfId="43" priority="22" stopIfTrue="1">
      <formula>$P29&gt;0</formula>
    </cfRule>
    <cfRule type="expression" dxfId="42" priority="23" stopIfTrue="1">
      <formula>$O29&gt;0</formula>
    </cfRule>
  </conditionalFormatting>
  <conditionalFormatting sqref="N30:O30 S30 Q30">
    <cfRule type="expression" dxfId="41" priority="18" stopIfTrue="1">
      <formula>$P30&gt;0</formula>
    </cfRule>
    <cfRule type="expression" dxfId="40" priority="19" stopIfTrue="1">
      <formula>$O30&gt;0</formula>
    </cfRule>
  </conditionalFormatting>
  <conditionalFormatting sqref="R30">
    <cfRule type="expression" dxfId="39" priority="14" stopIfTrue="1">
      <formula>$P30&gt;0</formula>
    </cfRule>
    <cfRule type="expression" dxfId="38" priority="15" stopIfTrue="1">
      <formula>$O30&gt;0</formula>
    </cfRule>
  </conditionalFormatting>
  <conditionalFormatting sqref="P30">
    <cfRule type="expression" dxfId="37" priority="10" stopIfTrue="1">
      <formula>$P30&gt;0</formula>
    </cfRule>
    <cfRule type="expression" dxfId="36" priority="11" stopIfTrue="1">
      <formula>$O30&gt;0</formula>
    </cfRule>
  </conditionalFormatting>
  <conditionalFormatting sqref="R33">
    <cfRule type="expression" dxfId="35" priority="6" stopIfTrue="1">
      <formula>$P33&gt;0</formula>
    </cfRule>
    <cfRule type="expression" dxfId="34" priority="7" stopIfTrue="1">
      <formula>$O33&gt;0</formula>
    </cfRule>
  </conditionalFormatting>
  <conditionalFormatting sqref="R35">
    <cfRule type="expression" dxfId="33" priority="2" stopIfTrue="1">
      <formula>$P35&gt;0</formula>
    </cfRule>
    <cfRule type="expression" dxfId="32" priority="3" stopIfTrue="1">
      <formula>$O35&gt;0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A13:S18 A19:Q19 S19 A20:S21 A22:Q22 S22 A23:S24 A25:Q25 S25 A26:S26 A27:Q27 S27 A28:M30 A31:S32 A33:Q33 S33 A34:S34 A35:Q35 S35 A36:S220</xm:sqref>
        </x14:conditionalFormatting>
        <x14:conditionalFormatting xmlns:xm="http://schemas.microsoft.com/office/excel/2006/main">
          <x14:cfRule type="expression" priority="5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A13:S18 A19:Q19 S19 A20:S21 A22:Q22 S22 A23:S24 A25:Q25 S25 A26:S26 A27:Q27 S27 A28:M30 A31:S32 A33:Q33 S33 A34:S34 A35:Q35 S35 A36:S220</xm:sqref>
        </x14:conditionalFormatting>
        <x14:conditionalFormatting xmlns:xm="http://schemas.microsoft.com/office/excel/2006/main">
          <x14:cfRule type="expression" priority="52" stopIfTrue="1" id="{4659A2F3-2965-4708-9523-39DCC14797E2}">
            <xm:f>IF($AG19="EC",OR($N19&gt;'[Train Runs and Enforcements 2016-12-17.xlsm]Variables'!#REF!,$N19&lt;'[Train Runs and Enforcements 2016-12-17.xlsm]Variables'!#REF!),OR($N19&gt;'[Train Runs and Enforcements 2016-12-17.xlsm]Variables'!#REF!,$N19&lt;'[Train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49" stopIfTrue="1" id="{641AD0FB-CA72-491A-94F6-2F9584A1D709}">
            <xm:f>IF($AG19="EC",OR($N19&gt;'[Train Runs and Enforcements 2016-12-17.xlsm]Variables'!#REF!,$N19&lt;'[Train Runs and Enforcements 2016-12-17.xlsm]Variables'!#REF!),OR($N19&gt;'[Train Runs and Enforcements 2016-12-17.xlsm]Variables'!#REF!,$N19&lt;'[Train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48" stopIfTrue="1" id="{24EB5595-5F18-4FE9-816C-CCBA2879662D}">
            <xm:f>IF($AG22="EC",OR($N22&gt;'[Train Runs and Enforcements 2016-12-17.xlsm]Variables'!#REF!,$N22&lt;'[Train Runs and Enforcements 2016-12-17.xlsm]Variables'!#REF!),OR($N22&gt;'[Train Runs and Enforcements 2016-12-17.xlsm]Variables'!#REF!,$N22&lt;'[Train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45" stopIfTrue="1" id="{70206B3B-547C-4EF0-881F-6199F37D4EB3}">
            <xm:f>IF($AG22="EC",OR($N22&gt;'[Train Runs and Enforcements 2016-12-17.xlsm]Variables'!#REF!,$N22&lt;'[Train Runs and Enforcements 2016-12-17.xlsm]Variables'!#REF!),OR($N22&gt;'[Train Runs and Enforcements 2016-12-17.xlsm]Variables'!#REF!,$N22&lt;'[Train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44" stopIfTrue="1" id="{B89A7D10-2CF6-41FF-BFEA-4F8E90BF645F}">
            <xm:f>IF($AG25="EC",OR($N25&gt;'[Train Runs and Enforcements 2016-12-17.xlsm]Variables'!#REF!,$N25&lt;'[Train Runs and Enforcements 2016-12-17.xlsm]Variables'!#REF!),OR($N25&gt;'[Train Runs and Enforcements 2016-12-17.xlsm]Variables'!#REF!,$N25&lt;'[Train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41" stopIfTrue="1" id="{37AB5383-A031-46CD-9706-329538DF0645}">
            <xm:f>IF($AG25="EC",OR($N25&gt;'[Train Runs and Enforcements 2016-12-17.xlsm]Variables'!#REF!,$N25&lt;'[Train Runs and Enforcements 2016-12-17.xlsm]Variables'!#REF!),OR($N25&gt;'[Train Runs and Enforcements 2016-12-17.xlsm]Variables'!#REF!,$N25&lt;'[Train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40" stopIfTrue="1" id="{44B35106-A49B-4430-8C43-DD6E6BA1AFFD}">
            <xm:f>IF($AG27="EC",OR($N27&gt;'[Train Runs and Enforcements 2016-12-17.xlsm]Variables'!#REF!,$N27&lt;'[Train Runs and Enforcements 2016-12-17.xlsm]Variables'!#REF!),OR($N27&gt;'[Train Runs and Enforcements 2016-12-17.xlsm]Variables'!#REF!,$N27&lt;'[Train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37" stopIfTrue="1" id="{11099D0A-29FD-47BE-835C-61A25A646AF4}">
            <xm:f>IF($AG27="EC",OR($N27&gt;'[Train Runs and Enforcements 2016-12-17.xlsm]Variables'!#REF!,$N27&lt;'[Train Runs and Enforcements 2016-12-17.xlsm]Variables'!#REF!),OR($N27&gt;'[Train Runs and Enforcements 2016-12-17.xlsm]Variables'!#REF!,$N27&lt;'[Train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36" stopIfTrue="1" id="{B9FD6CF8-4238-4263-ADB5-4E4CD924B314}">
            <xm:f>IF($AG28="EC",OR($N28&gt;Variables!$C$2,$N28&lt;Variables!$C$5),OR($N28&gt;Variables!$D$2,$N28&lt;Variables!$D$5))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N28:Q28 S28</xm:sqref>
        </x14:conditionalFormatting>
        <x14:conditionalFormatting xmlns:xm="http://schemas.microsoft.com/office/excel/2006/main">
          <x14:cfRule type="expression" priority="33" stopIfTrue="1" id="{8EC5DCB6-A716-4D50-8844-A1482A4C10EB}">
            <xm:f>IF($AG28="EC",OR($N28&gt;Variables!#REF!,$N28&lt;Variables!#REF!),OR($N28&gt;Variables!#REF!,$N28&lt;Variables!#REF!))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N28:Q28 S28</xm:sqref>
        </x14:conditionalFormatting>
        <x14:conditionalFormatting xmlns:xm="http://schemas.microsoft.com/office/excel/2006/main">
          <x14:cfRule type="expression" priority="32" stopIfTrue="1" id="{F0C7C26A-3011-41EA-9167-204360B9E98D}">
            <xm:f>IF($AG28="EC",OR($N28&gt;'[Train Runs and Enforcements 2016-12-17.xlsm]Variables'!#REF!,$N28&lt;'[Train Runs and Enforcements 2016-12-17.xlsm]Variables'!#REF!),OR($N28&gt;'[Train Runs and Enforcements 2016-12-17.xlsm]Variables'!#REF!,$N28&lt;'[Train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29" stopIfTrue="1" id="{44110C16-FA4C-4471-A03A-84F7D46AF602}">
            <xm:f>IF($AG28="EC",OR($N28&gt;'[Train Runs and Enforcements 2016-12-17.xlsm]Variables'!#REF!,$N28&lt;'[Train Runs and Enforcements 2016-12-17.xlsm]Variables'!#REF!),OR($N28&gt;'[Train Runs and Enforcements 2016-12-17.xlsm]Variables'!#REF!,$N28&lt;'[Train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28" stopIfTrue="1" id="{DD1BA9B9-AB7A-4F69-A125-5BA40F637F34}">
            <xm:f>IF($AG29="EC",OR($N29&gt;Variables!$C$2,$N29&lt;Variables!$C$5),OR($N29&gt;Variables!$D$2,$N29&lt;Variables!$D$5))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N29:Q29 S29</xm:sqref>
        </x14:conditionalFormatting>
        <x14:conditionalFormatting xmlns:xm="http://schemas.microsoft.com/office/excel/2006/main">
          <x14:cfRule type="expression" priority="25" stopIfTrue="1" id="{20A635D0-66A3-4E14-9F05-414710150A74}">
            <xm:f>IF($AG29="EC",OR($N29&gt;Variables!#REF!,$N29&lt;Variables!#REF!),OR($N29&gt;Variables!#REF!,$N29&lt;Variables!#REF!))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N29:Q29 S29</xm:sqref>
        </x14:conditionalFormatting>
        <x14:conditionalFormatting xmlns:xm="http://schemas.microsoft.com/office/excel/2006/main">
          <x14:cfRule type="expression" priority="24" stopIfTrue="1" id="{70C949C0-214E-4ABF-A7E5-0B85B5AAF41C}">
            <xm:f>IF($AG29="EC",OR($N29&gt;'[Train Runs and Enforcements 2016-12-17.xlsm]Variables'!#REF!,$N29&lt;'[Train Runs and Enforcements 2016-12-17.xlsm]Variables'!#REF!),OR($N29&gt;'[Train Runs and Enforcements 2016-12-17.xlsm]Variables'!#REF!,$N29&lt;'[Train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21" stopIfTrue="1" id="{87FE23BA-E8BF-4B92-87C8-6DED4ED2642C}">
            <xm:f>IF($AG29="EC",OR($N29&gt;'[Train Runs and Enforcements 2016-12-17.xlsm]Variables'!#REF!,$N29&lt;'[Train Runs and Enforcements 2016-12-17.xlsm]Variables'!#REF!),OR($N29&gt;'[Train Runs and Enforcements 2016-12-17.xlsm]Variables'!#REF!,$N29&lt;'[Train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20" stopIfTrue="1" id="{5DEC3D1A-28D8-44F7-AB54-44B26E16C069}">
            <xm:f>IF($AG30="EC",OR($N30&gt;Variables!$C$2,$N30&lt;Variables!$C$5),OR($N30&gt;Variables!$D$2,$N30&lt;Variables!$D$5))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N30:O30 S30 Q30</xm:sqref>
        </x14:conditionalFormatting>
        <x14:conditionalFormatting xmlns:xm="http://schemas.microsoft.com/office/excel/2006/main">
          <x14:cfRule type="expression" priority="17" stopIfTrue="1" id="{FD43B5E7-AA0F-493D-B2C0-383D630205A1}">
            <xm:f>IF($AG30="EC",OR($N30&gt;Variables!#REF!,$N30&lt;Variables!#REF!),OR($N30&gt;Variables!#REF!,$N30&lt;Variables!#REF!))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N30:O30 S30 Q30</xm:sqref>
        </x14:conditionalFormatting>
        <x14:conditionalFormatting xmlns:xm="http://schemas.microsoft.com/office/excel/2006/main">
          <x14:cfRule type="expression" priority="16" stopIfTrue="1" id="{D4D030BF-526A-4924-A480-F79DC575D656}">
            <xm:f>IF($AG30="EC",OR($N30&gt;'[Train Runs and Enforcements 2016-12-17.xlsm]Variables'!#REF!,$N30&lt;'[Train Runs and Enforcements 2016-12-17.xlsm]Variables'!#REF!),OR($N30&gt;'[Train Runs and Enforcements 2016-12-17.xlsm]Variables'!#REF!,$N30&lt;'[Train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13" stopIfTrue="1" id="{5B3FF2F6-9A2F-43F9-B843-5A5296DF3599}">
            <xm:f>IF($AG30="EC",OR($N30&gt;'[Train Runs and Enforcements 2016-12-17.xlsm]Variables'!#REF!,$N30&lt;'[Train Runs and Enforcements 2016-12-17.xlsm]Variables'!#REF!),OR($N30&gt;'[Train Runs and Enforcements 2016-12-17.xlsm]Variables'!#REF!,$N30&lt;'[Train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12" stopIfTrue="1" id="{20A6BBFE-7B71-4FC6-A666-FC3B02031933}">
            <xm:f>IF($AG30="EC",OR($N30&gt;Variables!$C$2,$N30&lt;Variables!$C$5),OR($N30&gt;Variables!$D$2,$N30&lt;Variables!$D$5))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P30</xm:sqref>
        </x14:conditionalFormatting>
        <x14:conditionalFormatting xmlns:xm="http://schemas.microsoft.com/office/excel/2006/main">
          <x14:cfRule type="expression" priority="9" stopIfTrue="1" id="{0141AACB-39C5-4F90-AE2D-5CDF2CA3A0A7}">
            <xm:f>IF($AG30="EC",OR($N30&gt;Variables!#REF!,$N30&lt;Variables!#REF!),OR($N30&gt;Variables!#REF!,$N30&lt;Variables!#REF!))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P30</xm:sqref>
        </x14:conditionalFormatting>
        <x14:conditionalFormatting xmlns:xm="http://schemas.microsoft.com/office/excel/2006/main">
          <x14:cfRule type="expression" priority="8" stopIfTrue="1" id="{5822217B-E358-4564-91CC-5A83CC570D4F}">
            <xm:f>IF($AG33="EC",OR($N33&gt;'[Train Runs and Enforcements 2016-12-17.xlsm]Variables'!#REF!,$N33&lt;'[Train Runs and Enforcements 2016-12-17.xlsm]Variables'!#REF!),OR($N33&gt;'[Train Runs and Enforcements 2016-12-17.xlsm]Variables'!#REF!,$N33&lt;'[Train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5" stopIfTrue="1" id="{3D765E8A-A33E-4692-B7CC-77DE5A0DC7D2}">
            <xm:f>IF($AG33="EC",OR($N33&gt;'[Train Runs and Enforcements 2016-12-17.xlsm]Variables'!#REF!,$N33&lt;'[Train Runs and Enforcements 2016-12-17.xlsm]Variables'!#REF!),OR($N33&gt;'[Train Runs and Enforcements 2016-12-17.xlsm]Variables'!#REF!,$N33&lt;'[Train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4" stopIfTrue="1" id="{1095C90B-5C0B-4A28-BAC8-2B954A17428C}">
            <xm:f>IF($AG35="EC",OR($N35&gt;'[Train Runs and Enforcements 2016-12-17.xlsm]Variables'!#REF!,$N35&lt;'[Train Runs and Enforcements 2016-12-17.xlsm]Variables'!#REF!),OR($N35&gt;'[Train Runs and Enforcements 2016-12-17.xlsm]Variables'!#REF!,$N35&lt;'[Train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1" stopIfTrue="1" id="{F25D498B-6F56-41C8-891D-C36F52F4F3F2}">
            <xm:f>IF($AG35="EC",OR($N35&gt;'[Train Runs and Enforcements 2016-12-17.xlsm]Variables'!#REF!,$N35&lt;'[Train Runs and Enforcements 2016-12-17.xlsm]Variables'!#REF!),OR($N35&gt;'[Train Runs and Enforcements 2016-12-17.xlsm]Variables'!#REF!,$N35&lt;'[Train Runs and Enforcements 2016-12-17.xlsm]Variables'!#REF!))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2"/>
  <sheetViews>
    <sheetView tabSelected="1" topLeftCell="A2" zoomScaleNormal="100" workbookViewId="0">
      <selection activeCell="P7" sqref="P7: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COUNTIF($O$7:$O$331,"=Y")</f>
        <v>4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COUNTA($O$7:$O$331)-O2</f>
        <v>27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- 2016-12-18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227</v>
      </c>
    </row>
    <row r="7" spans="1:30" s="1" customFormat="1" x14ac:dyDescent="0.25">
      <c r="A7" s="36">
        <v>42722.488229166665</v>
      </c>
      <c r="B7" s="31" t="s">
        <v>282</v>
      </c>
      <c r="C7" s="31" t="s">
        <v>520</v>
      </c>
      <c r="D7" s="31" t="s">
        <v>49</v>
      </c>
      <c r="E7" s="31" t="s">
        <v>249</v>
      </c>
      <c r="F7" s="47">
        <v>0</v>
      </c>
      <c r="G7" s="47">
        <v>151</v>
      </c>
      <c r="H7" s="47">
        <v>27429</v>
      </c>
      <c r="I7" s="47">
        <v>27274</v>
      </c>
      <c r="J7" s="31" t="s">
        <v>250</v>
      </c>
      <c r="K7" s="47">
        <v>27350</v>
      </c>
      <c r="L7" s="154" t="s">
        <v>51</v>
      </c>
      <c r="M7" s="155">
        <f t="shared" ref="M7:M37" si="0">CONVERT((I7-K7)/10000,"mi","ft")*IF(L7="Increasing Mileposts (1)",-1,1)</f>
        <v>-40.128</v>
      </c>
      <c r="N7" s="156" t="str">
        <f>VLOOKUP(C7,'Trips&amp;Operators'!$C$1:$G$99999,5,FALSE)</f>
        <v>ADANE ELSHADAY</v>
      </c>
      <c r="O7" s="182" t="s">
        <v>195</v>
      </c>
      <c r="P7" s="157" t="s">
        <v>961</v>
      </c>
      <c r="Q7" s="31"/>
      <c r="R7" s="100" t="str">
        <f>VLOOKUP(C7,'Train Runs'!$A$13:$AE$9968,31,0)</f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S7" s="103" t="str">
        <f>VLOOKUP(C7,'Train Runs'!$A$13:$AE$9968,22,0)</f>
        <v>https://search-rtdc-monitor-bjffxe2xuh6vdkpspy63sjmuny.us-east-1.es.amazonaws.com/_plugin/kibana/#/discover/Steve-Slow-Train-Analysis-(2080s-and-2083s)?_g=(refreshInterval:(display:Off,section:0,value:0),time:(from:'2016-12-18 10:04:14-700',mode:absolute,to:'2016-12-18 12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7" s="105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/stypes="*4013*201612181*" /stext=" 18:.+((SYSTEM_STATE.+slice.+state.+changed )|(ment ac)|(multiple cpu faults)|(system.+state.+changed )|(\[timeout)|(PRM\|1\|D)|(kpr)|(kdp)|(\|lc)|(penalty))" /e /r /s</v>
      </c>
      <c r="U7" s="9" t="str">
        <f t="shared" ref="U7:U37" si="2">MID(B7,13,4)</f>
        <v>4013</v>
      </c>
      <c r="V7" s="36">
        <f t="shared" ref="V7:V37" si="3">A7-utc_offset/24</f>
        <v>42722.77989583333</v>
      </c>
      <c r="W7" s="50" t="str">
        <f t="shared" ref="W7:W37" si="4">IF(VALUE(LEFT(IF(LEN(C7)=6,"0"&amp;C7,C7),2))&lt;=2,"EC",IF(OR(VALUE(LEFT(IF(LEN(C7)=6,"0"&amp;C7,C7),2))=8,VALUE(LEFT(IF(LEN(C7)=6,"0"&amp;C7,C7),2))=18),"NW","Other"))</f>
        <v>EC</v>
      </c>
      <c r="X7" s="50" t="str">
        <f t="shared" ref="X7:X37" si="5">IF(AND(E7="TRACK WARRANT AUTHORITY",G7&lt;10),"OMIT","KEEP")</f>
        <v>KEEP</v>
      </c>
      <c r="Y7" s="119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arrival","project_id":79,"tracker_id":40,"status_id":1,"priority_id":2,"assigned_to_id":23,"start_date":"2016-12-18","description":"","custom_fields":[{"id":1,"name":"Subdivision","value":"EC"},{"id":4,"name":"Milepost","value":"2.735"},{"id":17,"name":"Train ID","value":"154-18"},{"id":16,"name":"Locomotive ID","value":"4013"},{"id":130,"name":"Impact","value":""},{"id":150,"name":"Time of Event (Mountain Time)","value":"11:43:03"},{"id":151,"name":"Denver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"%USERPROFILE%\AppData\Local\Temp\OnboardLogs"\RTDC4013\*4013*201612181*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"%USERPROFILE%\AppData\Local\Temp\OnboardLogs"\RTDC4013\*4013*201612181* &gt;&gt; 42722-slicedisagreementcheck.txt</v>
      </c>
    </row>
    <row r="8" spans="1:30" s="1" customFormat="1" x14ac:dyDescent="0.25">
      <c r="A8" s="36">
        <v>42722.662430555552</v>
      </c>
      <c r="B8" s="31" t="s">
        <v>226</v>
      </c>
      <c r="C8" s="31" t="s">
        <v>525</v>
      </c>
      <c r="D8" s="31" t="s">
        <v>98</v>
      </c>
      <c r="E8" s="31" t="s">
        <v>249</v>
      </c>
      <c r="F8" s="47">
        <v>150</v>
      </c>
      <c r="G8" s="47">
        <v>214</v>
      </c>
      <c r="H8" s="47">
        <v>31007</v>
      </c>
      <c r="I8" s="47">
        <v>31616</v>
      </c>
      <c r="J8" s="31" t="s">
        <v>250</v>
      </c>
      <c r="K8" s="47">
        <v>30830</v>
      </c>
      <c r="L8" s="154" t="s">
        <v>50</v>
      </c>
      <c r="M8" s="155">
        <f t="shared" si="0"/>
        <v>-415.00799999999998</v>
      </c>
      <c r="N8" s="156" t="str">
        <f>VLOOKUP(C8,'Trips&amp;Operators'!$C$1:$G$99999,5,FALSE)</f>
        <v>ADANE ELSHADAY</v>
      </c>
      <c r="O8" s="182" t="s">
        <v>195</v>
      </c>
      <c r="P8" s="157" t="s">
        <v>961</v>
      </c>
      <c r="Q8" s="31"/>
      <c r="R8" s="100" t="str">
        <f>VLOOKUP(C8,'Train Runs'!$A$13:$AE$9968,31,0)</f>
        <v>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 &amp; aws s3 cp s3://rtdc.mdm.uploadarchive.raw/RTDC4014/ "%USERPROFILE%\AppData\Local\Temp\OnboardLogs"\RTDC4014\2016-12-19 --exclude "*" --recursive --include "*20161219*" &amp; "%USERPROFILE%\Documents\GitHub\mrs-test-scripts\Headless Mode &amp; Sideloading\WalkAndUnGZ.bat" "%USERPROFILE%\AppData\Local\Temp\OnboardLogs"\RTDC4014\2016-12-19</v>
      </c>
      <c r="S8" s="103" t="str">
        <f>VLOOKUP(C8,'Train Runs'!$A$13:$AE$9968,22,0)</f>
        <v>https://search-rtdc-monitor-bjffxe2xuh6vdkpspy63sjmuny.us-east-1.es.amazonaws.com/_plugin/kibana/#/discover/Steve-Slow-Train-Analysis-(2080s-and-2083s)?_g=(refreshInterval:(display:Off,section:0,value:0),time:(from:'2016-12-18 14:25:59-700',mode:absolute,to:'2016-12-18 17:15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8" s="105" t="str">
        <f t="shared" si="1"/>
        <v>"C:\Program Files (x86)\AstroGrep\AstroGrep.exe" /spath="%USERPROFILE%\AppData\Local\Temp\OnboardLogs" /stypes="*4014*201612182*" /stext=" 22:.+((SYSTEM_STATE.+slice.+state.+changed )|(ment ac)|(multiple cpu faults)|(system.+state.+changed )|(\[timeout)|(PRM\|1\|D)|(kpr)|(kdp)|(\|lc)|(penalty))" /e /r /s</v>
      </c>
      <c r="U8" s="9" t="str">
        <f t="shared" si="2"/>
        <v>4014</v>
      </c>
      <c r="V8" s="36">
        <f t="shared" si="3"/>
        <v>42722.954097222217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arrival","project_id":79,"tracker_id":40,"status_id":1,"priority_id":2,"assigned_to_id":23,"start_date":"2016-12-18","description":"","custom_fields":[{"id":1,"name":"Subdivision","value":"EC"},{"id":4,"name":"Milepost","value":"3.083"},{"id":17,"name":"Train ID","value":"197-18"},{"id":16,"name":"Locomotive ID","value":"4014"},{"id":130,"name":"Impact","value":""},{"id":150,"name":"Time of Event (Mountain Time)","value":"15:53:54"},{"id":151,"name":"Denver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"%USERPROFILE%\AppData\Local\Temp\OnboardLogs"\RTDC4014\*4014*201612182*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"%USERPROFILE%\AppData\Local\Temp\OnboardLogs"\RTDC4014\*4014*201612182* &gt;&gt; 42722-slicedisagreementcheck.txt</v>
      </c>
    </row>
    <row r="9" spans="1:30" s="1" customFormat="1" x14ac:dyDescent="0.25">
      <c r="A9" s="36">
        <v>42722.630925925929</v>
      </c>
      <c r="B9" s="31" t="s">
        <v>508</v>
      </c>
      <c r="C9" s="31" t="s">
        <v>524</v>
      </c>
      <c r="D9" s="31" t="s">
        <v>49</v>
      </c>
      <c r="E9" s="31" t="s">
        <v>249</v>
      </c>
      <c r="F9" s="47">
        <v>260</v>
      </c>
      <c r="G9" s="47">
        <v>322</v>
      </c>
      <c r="H9" s="47">
        <v>31950</v>
      </c>
      <c r="I9" s="47">
        <v>32571</v>
      </c>
      <c r="J9" s="31" t="s">
        <v>250</v>
      </c>
      <c r="K9" s="47">
        <v>33137</v>
      </c>
      <c r="L9" s="154" t="s">
        <v>50</v>
      </c>
      <c r="M9" s="155">
        <f t="shared" si="0"/>
        <v>298.84800000000001</v>
      </c>
      <c r="N9" s="156" t="str">
        <f>VLOOKUP(C9,'Trips&amp;Operators'!$C$1:$G$99999,5,FALSE)</f>
        <v>HOLCOMB KAMDEN</v>
      </c>
      <c r="O9" s="182" t="s">
        <v>195</v>
      </c>
      <c r="P9" s="157" t="s">
        <v>961</v>
      </c>
      <c r="Q9" s="31"/>
      <c r="R9" s="100" t="str">
        <f>VLOOKUP(C9,'Train Runs'!$A$13:$AE$9968,31,0)</f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S9" s="103" t="str">
        <f>VLOOKUP(C9,'Train Runs'!$A$13:$AE$9968,22,0)</f>
        <v>https://search-rtdc-monitor-bjffxe2xuh6vdkpspy63sjmuny.us-east-1.es.amazonaws.com/_plugin/kibana/#/discover/Steve-Slow-Train-Analysis-(2080s-and-2083s)?_g=(refreshInterval:(display:Off,section:0,value:0),time:(from:'2016-12-18 13:46:30-700',mode:absolute,to:'2016-12-18 16:31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9" s="105" t="str">
        <f t="shared" si="1"/>
        <v>"C:\Program Files (x86)\AstroGrep\AstroGrep.exe" /spath="%USERPROFILE%\AppData\Local\Temp\OnboardLogs" /stypes="*4027*201612182*" /stext=" 22:.+((SYSTEM_STATE.+slice.+state.+changed )|(ment ac)|(multiple cpu faults)|(system.+state.+changed )|(\[timeout)|(PRM\|1\|D)|(kpr)|(kdp)|(\|lc)|(penalty))" /e /r /s</v>
      </c>
      <c r="U9" s="9" t="str">
        <f t="shared" si="2"/>
        <v>4027</v>
      </c>
      <c r="V9" s="36">
        <f t="shared" si="3"/>
        <v>42722.922592592593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arrival","project_id":79,"tracker_id":40,"status_id":1,"priority_id":2,"assigned_to_id":23,"start_date":"2016-12-18","description":"","custom_fields":[{"id":1,"name":"Subdivision","value":"EC"},{"id":4,"name":"Milepost","value":"3.3137"},{"id":17,"name":"Train ID","value":"191-18"},{"id":16,"name":"Locomotive ID","value":"4027"},{"id":130,"name":"Impact","value":""},{"id":150,"name":"Time of Event (Mountain Time)","value":"15:08:32"},{"id":151,"name":"Denver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"%USERPROFILE%\AppData\Local\Temp\OnboardLogs"\RTDC4027\*4027*201612182*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"%USERPROFILE%\AppData\Local\Temp\OnboardLogs"\RTDC4027\*4027*201612182* &gt;&gt; 42722-slicedisagreementcheck.txt</v>
      </c>
    </row>
    <row r="10" spans="1:30" s="1" customFormat="1" x14ac:dyDescent="0.25">
      <c r="A10" s="36">
        <v>42722.454189814816</v>
      </c>
      <c r="B10" s="31" t="s">
        <v>506</v>
      </c>
      <c r="C10" s="31" t="s">
        <v>519</v>
      </c>
      <c r="D10" s="31" t="s">
        <v>49</v>
      </c>
      <c r="E10" s="31" t="s">
        <v>249</v>
      </c>
      <c r="F10" s="47">
        <v>470</v>
      </c>
      <c r="G10" s="47">
        <v>589</v>
      </c>
      <c r="H10" s="47">
        <v>48904</v>
      </c>
      <c r="I10" s="47">
        <v>46812</v>
      </c>
      <c r="J10" s="31" t="s">
        <v>250</v>
      </c>
      <c r="K10" s="47">
        <v>48048</v>
      </c>
      <c r="L10" s="154" t="s">
        <v>51</v>
      </c>
      <c r="M10" s="155">
        <f t="shared" si="0"/>
        <v>-652.60799999999995</v>
      </c>
      <c r="N10" s="156" t="str">
        <f>VLOOKUP(C10,'Trips&amp;Operators'!$C$1:$G$99999,5,FALSE)</f>
        <v>ROBINSON KADDIBA</v>
      </c>
      <c r="O10" s="182" t="s">
        <v>195</v>
      </c>
      <c r="P10" s="157" t="s">
        <v>961</v>
      </c>
      <c r="Q10" s="31"/>
      <c r="R10" s="100" t="str">
        <f>VLOOKUP(C10,'Train Runs'!$A$13:$AE$9968,31,0)</f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S10" s="103" t="str">
        <f>VLOOKUP(C10,'Train Runs'!$A$13:$AE$9968,22,0)</f>
        <v>https://search-rtdc-monitor-bjffxe2xuh6vdkpspy63sjmuny.us-east-1.es.amazonaws.com/_plugin/kibana/#/discover/Steve-Slow-Train-Analysis-(2080s-and-2083s)?_g=(refreshInterval:(display:Off,section:0,value:0),time:(from:'2016-12-18 09:15:11-700',mode:absolute,to:'2016-12-18 12:07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0" s="105" t="str">
        <f t="shared" si="1"/>
        <v>"C:\Program Files (x86)\AstroGrep\AstroGrep.exe" /spath="%USERPROFILE%\AppData\Local\Temp\OnboardLogs" /stypes="*4028*201612181*" /stext=" 17:.+((SYSTEM_STATE.+slice.+state.+changed )|(ment ac)|(multiple cpu faults)|(system.+state.+changed )|(\[timeout)|(PRM\|1\|D)|(kpr)|(kdp)|(\|lc)|(penalty))" /e /r /s</v>
      </c>
      <c r="U10" s="9" t="str">
        <f t="shared" si="2"/>
        <v>4028</v>
      </c>
      <c r="V10" s="36">
        <f t="shared" si="3"/>
        <v>42722.745856481481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arrival","project_id":79,"tracker_id":40,"status_id":1,"priority_id":2,"assigned_to_id":23,"start_date":"2016-12-18","description":"","custom_fields":[{"id":1,"name":"Subdivision","value":"EC"},{"id":4,"name":"Milepost","value":"4.8048"},{"id":17,"name":"Train ID","value":"148-18"},{"id":16,"name":"Locomotive ID","value":"4028"},{"id":130,"name":"Impact","value":""},{"id":150,"name":"Time of Event (Mountain Time)","value":"10:54:02"},{"id":151,"name":"Denver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"%USERPROFILE%\AppData\Local\Temp\OnboardLogs"\RTDC4028\*4028*201612181*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"%USERPROFILE%\AppData\Local\Temp\OnboardLogs"\RTDC4028\*4028*201612181* &gt;&gt; 42722-slicedisagreementcheck.txt</v>
      </c>
    </row>
    <row r="11" spans="1:30" s="1" customFormat="1" x14ac:dyDescent="0.25">
      <c r="A11" s="36">
        <v>42722.889745370368</v>
      </c>
      <c r="B11" s="31" t="s">
        <v>294</v>
      </c>
      <c r="C11" s="31" t="s">
        <v>538</v>
      </c>
      <c r="D11" s="31" t="s">
        <v>49</v>
      </c>
      <c r="E11" s="31" t="s">
        <v>196</v>
      </c>
      <c r="F11" s="47">
        <v>150</v>
      </c>
      <c r="G11" s="47">
        <v>200</v>
      </c>
      <c r="H11" s="47">
        <v>5351</v>
      </c>
      <c r="I11" s="47">
        <v>5065</v>
      </c>
      <c r="J11" s="31" t="s">
        <v>197</v>
      </c>
      <c r="K11" s="47">
        <v>4677</v>
      </c>
      <c r="L11" s="154" t="s">
        <v>51</v>
      </c>
      <c r="M11" s="155">
        <f t="shared" si="0"/>
        <v>204.864</v>
      </c>
      <c r="N11" s="156" t="str">
        <f>VLOOKUP(C11,'Trips&amp;Operators'!$C$1:$G$99999,5,FALSE)</f>
        <v>NEWELL JAMES</v>
      </c>
      <c r="O11" s="182" t="s">
        <v>195</v>
      </c>
      <c r="P11" s="157"/>
      <c r="Q11" s="31"/>
      <c r="R11" s="100" t="str">
        <f>VLOOKUP(C11,'Train Runs'!$A$13:$AE$9968,31,0)</f>
        <v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v>
      </c>
      <c r="S11" s="103" t="str">
        <f>VLOOKUP(C11,'Train Runs'!$A$13:$AE$9968,22,0)</f>
        <v>https://search-rtdc-monitor-bjffxe2xuh6vdkpspy63sjmuny.us-east-1.es.amazonaws.com/_plugin/kibana/#/discover/Steve-Slow-Train-Analysis-(2080s-and-2083s)?_g=(refreshInterval:(display:Off,section:0,value:0),time:(from:'2016-12-18 19:20:58-700',mode:absolute,to:'2016-12-18 21:52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5" t="str">
        <f t="shared" si="1"/>
        <v>"C:\Program Files (x86)\AstroGrep\AstroGrep.exe" /spath="%USERPROFILE%\AppData\Local\Temp\OnboardLogs" /stypes="*4004*201612190*" /stext=" 04:.+((SYSTEM_STATE.+slice.+state.+changed )|(ment ac)|(multiple cpu faults)|(system.+state.+changed )|(\[timeout)|(PRM\|1\|D)|(kpr)|(kdp)|(\|lc)|(penalty))" /e /r /s</v>
      </c>
      <c r="U11" s="9" t="str">
        <f t="shared" si="2"/>
        <v>4004</v>
      </c>
      <c r="V11" s="36">
        <f t="shared" si="3"/>
        <v>42723.181412037033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{"issue":{"subject":"","project_id":79,"tracker_id":40,"status_id":1,"priority_id":2,"assigned_to_id":23,"start_date":"2016-12-18","description":"","custom_fields":[{"id":1,"name":"Subdivision","value":"EC"},{"id":4,"name":"Milepost","value":"0.4677"},{"id":17,"name":"Train ID","value":"224-18"},{"id":16,"name":"Locomotive ID","value":"4004"},{"id":130,"name":"Impact","value":""},{"id":150,"name":"Time of Event (Mountain Time)","value":"21:21:14"},{"id":151,"name":"Denver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"%USERPROFILE%\AppData\Local\Temp\OnboardLogs"\RTDC4004\*4004*201612190*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"%USERPROFILE%\AppData\Local\Temp\OnboardLogs"\RTDC4004\*4004*201612190* &gt;&gt; 42722-slicedisagreementcheck.txt</v>
      </c>
    </row>
    <row r="12" spans="1:30" s="1" customFormat="1" x14ac:dyDescent="0.25">
      <c r="A12" s="36">
        <v>42722.206319444442</v>
      </c>
      <c r="B12" s="31" t="s">
        <v>508</v>
      </c>
      <c r="C12" s="31" t="s">
        <v>509</v>
      </c>
      <c r="D12" s="31" t="s">
        <v>98</v>
      </c>
      <c r="E12" s="31" t="s">
        <v>196</v>
      </c>
      <c r="F12" s="47">
        <v>200</v>
      </c>
      <c r="G12" s="47">
        <v>256</v>
      </c>
      <c r="H12" s="47">
        <v>27982</v>
      </c>
      <c r="I12" s="47">
        <v>28631</v>
      </c>
      <c r="J12" s="31" t="s">
        <v>197</v>
      </c>
      <c r="K12" s="47">
        <v>27333</v>
      </c>
      <c r="L12" s="154" t="s">
        <v>50</v>
      </c>
      <c r="M12" s="155">
        <f t="shared" si="0"/>
        <v>-685.34400000000005</v>
      </c>
      <c r="N12" s="156" t="str">
        <f>VLOOKUP(C12,'Trips&amp;Operators'!$C$1:$G$99999,5,FALSE)</f>
        <v>ROBINSON KADDIBA</v>
      </c>
      <c r="O12" s="182" t="s">
        <v>195</v>
      </c>
      <c r="P12" s="157"/>
      <c r="Q12" s="31"/>
      <c r="R12" s="100" t="str">
        <f>VLOOKUP(C12,'Train Runs'!$A$13:$AE$9968,31,0)</f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S12" s="103" t="str">
        <f>VLOOKUP(C12,'Train Runs'!$A$13:$AE$9968,22,0)</f>
        <v>https://search-rtdc-monitor-bjffxe2xuh6vdkpspy63sjmuny.us-east-1.es.amazonaws.com/_plugin/kibana/#/discover/Steve-Slow-Train-Analysis-(2080s-and-2083s)?_g=(refreshInterval:(display:Off,section:0,value:0),time:(from:'2016-12-18 03:43:44-700',mode:absolute,to:'2016-12-18 07:12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2" s="105" t="str">
        <f t="shared" si="1"/>
        <v>"C:\Program Files (x86)\AstroGrep\AstroGrep.exe" /spath="%USERPROFILE%\AppData\Local\Temp\OnboardLogs" /stypes="*4027*201612181*" /stext=" 11:.+((SYSTEM_STATE.+slice.+state.+changed )|(ment ac)|(multiple cpu faults)|(system.+state.+changed )|(\[timeout)|(PRM\|1\|D)|(kpr)|(kdp)|(\|lc)|(penalty))" /e /r /s</v>
      </c>
      <c r="U12" s="9" t="str">
        <f t="shared" si="2"/>
        <v>4027</v>
      </c>
      <c r="V12" s="36">
        <f t="shared" si="3"/>
        <v>42722.497986111106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{"issue":{"subject":"","project_id":79,"tracker_id":40,"status_id":1,"priority_id":2,"assigned_to_id":23,"start_date":"2016-12-18","description":"","custom_fields":[{"id":1,"name":"Subdivision","value":"EC"},{"id":4,"name":"Milepost","value":"2.7333"},{"id":17,"name":"Train ID","value":"109-18"},{"id":16,"name":"Locomotive ID","value":"4027"},{"id":130,"name":"Impact","value":""},{"id":150,"name":"Time of Event (Mountain Time)","value":"04:57:06"},{"id":151,"name":"Denver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"%USERPROFILE%\AppData\Local\Temp\OnboardLogs"\RTDC4027\*4027*201612181*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"%USERPROFILE%\AppData\Local\Temp\OnboardLogs"\RTDC4027\*4027*201612181* &gt;&gt; 42722-slicedisagreementcheck.txt</v>
      </c>
    </row>
    <row r="13" spans="1:30" s="1" customFormat="1" x14ac:dyDescent="0.25">
      <c r="A13" s="36">
        <v>42722.702592592592</v>
      </c>
      <c r="B13" s="31" t="s">
        <v>508</v>
      </c>
      <c r="C13" s="31" t="s">
        <v>527</v>
      </c>
      <c r="D13" s="31" t="s">
        <v>49</v>
      </c>
      <c r="E13" s="31" t="s">
        <v>196</v>
      </c>
      <c r="F13" s="47">
        <v>200</v>
      </c>
      <c r="G13" s="47">
        <v>284</v>
      </c>
      <c r="H13" s="47">
        <v>26723</v>
      </c>
      <c r="I13" s="47">
        <v>27189</v>
      </c>
      <c r="J13" s="31" t="s">
        <v>197</v>
      </c>
      <c r="K13" s="47">
        <v>27333</v>
      </c>
      <c r="L13" s="154" t="s">
        <v>50</v>
      </c>
      <c r="M13" s="155">
        <f t="shared" si="0"/>
        <v>76.031999999999996</v>
      </c>
      <c r="N13" s="156" t="str">
        <f>VLOOKUP(C13,'Trips&amp;Operators'!$C$1:$G$99999,5,FALSE)</f>
        <v>HOLCOMB KAMDEN</v>
      </c>
      <c r="O13" s="182" t="s">
        <v>195</v>
      </c>
      <c r="P13" s="157"/>
      <c r="Q13" s="31"/>
      <c r="R13" s="100" t="str">
        <f>VLOOKUP(C13,'Train Runs'!$A$13:$AE$9968,31,0)</f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S13" s="103" t="str">
        <f>VLOOKUP(C13,'Train Runs'!$A$13:$AE$9968,22,0)</f>
        <v>https://search-rtdc-monitor-bjffxe2xuh6vdkpspy63sjmuny.us-east-1.es.amazonaws.com/_plugin/kibana/#/discover/Steve-Slow-Train-Analysis-(2080s-and-2083s)?_g=(refreshInterval:(display:Off,section:0,value:0),time:(from:'2016-12-18 16:32:07-700',mode:absolute,to:'2016-12-18 18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3" s="105" t="str">
        <f t="shared" si="1"/>
        <v>"C:\Program Files (x86)\AstroGrep\AstroGrep.exe" /spath="%USERPROFILE%\AppData\Local\Temp\OnboardLogs" /stypes="*4027*201612182*" /stext=" 23:.+((SYSTEM_STATE.+slice.+state.+changed )|(ment ac)|(multiple cpu faults)|(system.+state.+changed )|(\[timeout)|(PRM\|1\|D)|(kpr)|(kdp)|(\|lc)|(penalty))" /e /r /s</v>
      </c>
      <c r="U13" s="9" t="str">
        <f t="shared" si="2"/>
        <v>4027</v>
      </c>
      <c r="V13" s="36">
        <f t="shared" si="3"/>
        <v>42722.994259259256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{"issue":{"subject":"","project_id":79,"tracker_id":40,"status_id":1,"priority_id":2,"assigned_to_id":23,"start_date":"2016-12-18","description":"","custom_fields":[{"id":1,"name":"Subdivision","value":"EC"},{"id":4,"name":"Milepost","value":"2.7333"},{"id":17,"name":"Train ID","value":"205-18"},{"id":16,"name":"Locomotive ID","value":"4027"},{"id":130,"name":"Impact","value":""},{"id":150,"name":"Time of Event (Mountain Time)","value":"16:51:44"},{"id":151,"name":"Denver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"%USERPROFILE%\AppData\Local\Temp\OnboardLogs"\RTDC4027\*4027*201612182*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"%USERPROFILE%\AppData\Local\Temp\OnboardLogs"\RTDC4027\*4027*201612182* &gt;&gt; 42722-slicedisagreementcheck.txt</v>
      </c>
    </row>
    <row r="14" spans="1:30" s="1" customFormat="1" x14ac:dyDescent="0.25">
      <c r="A14" s="36">
        <v>42722.509745370371</v>
      </c>
      <c r="B14" s="31" t="s">
        <v>263</v>
      </c>
      <c r="C14" s="31" t="s">
        <v>521</v>
      </c>
      <c r="D14" s="31" t="s">
        <v>49</v>
      </c>
      <c r="E14" s="31" t="s">
        <v>196</v>
      </c>
      <c r="F14" s="47">
        <v>200</v>
      </c>
      <c r="G14" s="47">
        <v>263</v>
      </c>
      <c r="H14" s="47">
        <v>31822</v>
      </c>
      <c r="I14" s="47">
        <v>31169</v>
      </c>
      <c r="J14" s="31" t="s">
        <v>197</v>
      </c>
      <c r="K14" s="47">
        <v>30562</v>
      </c>
      <c r="L14" s="154" t="s">
        <v>51</v>
      </c>
      <c r="M14" s="155">
        <f t="shared" si="0"/>
        <v>320.49599999999998</v>
      </c>
      <c r="N14" s="156" t="str">
        <f>VLOOKUP(C14,'Trips&amp;Operators'!$C$1:$G$99999,5,FALSE)</f>
        <v>STEWART MICHAEL</v>
      </c>
      <c r="O14" s="182" t="s">
        <v>195</v>
      </c>
      <c r="P14" s="157"/>
      <c r="Q14" s="31"/>
      <c r="R14" s="100" t="str">
        <f>VLOOKUP(C14,'Train Runs'!$A$13:$AE$9968,31,0)</f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S14" s="103" t="str">
        <f>VLOOKUP(C14,'Train Runs'!$A$13:$AE$9968,22,0)</f>
        <v>https://search-rtdc-monitor-bjffxe2xuh6vdkpspy63sjmuny.us-east-1.es.amazonaws.com/_plugin/kibana/#/discover/Steve-Slow-Train-Analysis-(2080s-and-2083s)?_g=(refreshInterval:(display:Off,section:0,value:0),time:(from:'2016-12-18 10:37:51-700',mode:absolute,to:'2016-12-18 13:24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4" s="105" t="str">
        <f t="shared" si="1"/>
        <v>"C:\Program Files (x86)\AstroGrep\AstroGrep.exe" /spath="%USERPROFILE%\AppData\Local\Temp\OnboardLogs" /stypes="*4045*201612181*" /stext=" 19:.+((SYSTEM_STATE.+slice.+state.+changed )|(ment ac)|(multiple cpu faults)|(system.+state.+changed )|(\[timeout)|(PRM\|1\|D)|(kpr)|(kdp)|(\|lc)|(penalty))" /e /r /s</v>
      </c>
      <c r="U14" s="9" t="str">
        <f t="shared" si="2"/>
        <v>4045</v>
      </c>
      <c r="V14" s="36">
        <f t="shared" si="3"/>
        <v>42722.801412037035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{"issue":{"subject":"","project_id":79,"tracker_id":40,"status_id":1,"priority_id":2,"assigned_to_id":23,"start_date":"2016-12-18","description":"","custom_fields":[{"id":1,"name":"Subdivision","value":"EC"},{"id":4,"name":"Milepost","value":"3.0562"},{"id":17,"name":"Train ID","value":"158-18"},{"id":16,"name":"Locomotive ID","value":"4045"},{"id":130,"name":"Impact","value":""},{"id":150,"name":"Time of Event (Mountain Time)","value":"12:14:02"},{"id":151,"name":"Denver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"%USERPROFILE%\AppData\Local\Temp\OnboardLogs"\RTDC4045\*4045*201612181*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"%USERPROFILE%\AppData\Local\Temp\OnboardLogs"\RTDC4045\*4045*201612181* &gt;&gt; 42722-slicedisagreementcheck.txt</v>
      </c>
    </row>
    <row r="15" spans="1:30" s="1" customFormat="1" x14ac:dyDescent="0.25">
      <c r="A15" s="36">
        <v>42722.591273148151</v>
      </c>
      <c r="B15" s="31" t="s">
        <v>506</v>
      </c>
      <c r="C15" s="31" t="s">
        <v>523</v>
      </c>
      <c r="D15" s="31" t="s">
        <v>49</v>
      </c>
      <c r="E15" s="31" t="s">
        <v>196</v>
      </c>
      <c r="F15" s="47">
        <v>400</v>
      </c>
      <c r="G15" s="47">
        <v>480</v>
      </c>
      <c r="H15" s="47">
        <v>120874</v>
      </c>
      <c r="I15" s="47">
        <v>119365</v>
      </c>
      <c r="J15" s="31" t="s">
        <v>197</v>
      </c>
      <c r="K15" s="47">
        <v>119716</v>
      </c>
      <c r="L15" s="154" t="s">
        <v>51</v>
      </c>
      <c r="M15" s="155">
        <f t="shared" si="0"/>
        <v>-185.328</v>
      </c>
      <c r="N15" s="156" t="str">
        <f>VLOOKUP(C15,'Trips&amp;Operators'!$C$1:$G$99999,5,FALSE)</f>
        <v>HOLCOMB KAMDEN</v>
      </c>
      <c r="O15" s="182" t="s">
        <v>195</v>
      </c>
      <c r="P15" s="157"/>
      <c r="Q15" s="31"/>
      <c r="R15" s="100" t="str">
        <f>VLOOKUP(C15,'Train Runs'!$A$13:$AE$9968,31,0)</f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S15" s="103" t="str">
        <f>VLOOKUP(C15,'Train Runs'!$A$13:$AE$9968,22,0)</f>
        <v>https://search-rtdc-monitor-bjffxe2xuh6vdkpspy63sjmuny.us-east-1.es.amazonaws.com/_plugin/kibana/#/discover/Steve-Slow-Train-Analysis-(2080s-and-2083s)?_g=(refreshInterval:(display:Off,section:0,value:0),time:(from:'2016-12-18 12:50:14-700',mode:absolute,to:'2016-12-18 15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5" s="105" t="str">
        <f t="shared" si="1"/>
        <v>"C:\Program Files (x86)\AstroGrep\AstroGrep.exe" /spath="%USERPROFILE%\AppData\Local\Temp\OnboardLogs" /stypes="*4028*201612182*" /stext=" 21:.+((SYSTEM_STATE.+slice.+state.+changed )|(ment ac)|(multiple cpu faults)|(system.+state.+changed )|(\[timeout)|(PRM\|1\|D)|(kpr)|(kdp)|(\|lc)|(penalty))" /e /r /s</v>
      </c>
      <c r="U15" s="9" t="str">
        <f t="shared" si="2"/>
        <v>4028</v>
      </c>
      <c r="V15" s="36">
        <f t="shared" si="3"/>
        <v>42722.882939814815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{"issue":{"subject":"","project_id":79,"tracker_id":40,"status_id":1,"priority_id":2,"assigned_to_id":23,"start_date":"2016-12-18","description":"","custom_fields":[{"id":1,"name":"Subdivision","value":"EC"},{"id":4,"name":"Milepost","value":"11.9716"},{"id":17,"name":"Train ID","value":"176-18"},{"id":16,"name":"Locomotive ID","value":"4028"},{"id":130,"name":"Impact","value":""},{"id":150,"name":"Time of Event (Mountain Time)","value":"14:11:26"},{"id":151,"name":"Denver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"%USERPROFILE%\AppData\Local\Temp\OnboardLogs"\RTDC4028\*4028*201612182*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"%USERPROFILE%\AppData\Local\Temp\OnboardLogs"\RTDC4028\*4028*201612182* &gt;&gt; 42722-slicedisagreementcheck.txt</v>
      </c>
    </row>
    <row r="16" spans="1:30" s="1" customFormat="1" x14ac:dyDescent="0.25">
      <c r="A16" s="36">
        <v>42722.759641203702</v>
      </c>
      <c r="B16" s="31" t="s">
        <v>294</v>
      </c>
      <c r="C16" s="31" t="s">
        <v>532</v>
      </c>
      <c r="D16" s="31" t="s">
        <v>49</v>
      </c>
      <c r="E16" s="31" t="s">
        <v>196</v>
      </c>
      <c r="F16" s="47">
        <v>150</v>
      </c>
      <c r="G16" s="47">
        <v>205</v>
      </c>
      <c r="H16" s="47">
        <v>229288</v>
      </c>
      <c r="I16" s="47">
        <v>228958</v>
      </c>
      <c r="J16" s="31" t="s">
        <v>197</v>
      </c>
      <c r="K16" s="47">
        <v>229055</v>
      </c>
      <c r="L16" s="154" t="s">
        <v>51</v>
      </c>
      <c r="M16" s="155">
        <f t="shared" si="0"/>
        <v>-51.216000000000001</v>
      </c>
      <c r="N16" s="156" t="str">
        <f>VLOOKUP(C16,'Trips&amp;Operators'!$C$1:$G$99999,5,FALSE)</f>
        <v>CHANDLER KELVIN</v>
      </c>
      <c r="O16" s="182" t="s">
        <v>195</v>
      </c>
      <c r="P16" s="157"/>
      <c r="Q16" s="31"/>
      <c r="R16" s="100" t="str">
        <f>VLOOKUP(C16,'Train Runs'!$A$13:$AE$9968,31,0)</f>
        <v>aws s3 cp s3://rtdc.mdm.uploadarchive.raw/RTDC4004/ "%USERPROFILE%\AppData\Local\Temp\OnboardLogs"\RTDC4004\2016-12-18 --exclude "*" --recursive --include "*20161218*" &amp; "%USERPROFILE%\Documents\GitHub\mrs-test-scripts\Headless Mode &amp; Sideloading\WalkAndUnGZ.bat" "%USERPROFILE%\AppData\Local\Temp\OnboardLogs"\RTDC4004\2016-12-18 &amp; aws s3 cp s3://rtdc.mdm.uploadarchive.raw/RTDC4004/ "%USERPROFILE%\AppData\Local\Temp\OnboardLogs"\RTDC4004\2016-12-19 --exclude "*" --recursive --include "*20161219*" &amp; "%USERPROFILE%\Documents\GitHub\mrs-test-scripts\Headless Mode &amp; Sideloading\WalkAndUnGZ.bat" "%USERPROFILE%\AppData\Local\Temp\OnboardLogs"\RTDC4004\2016-12-19</v>
      </c>
      <c r="S16" s="103" t="str">
        <f>VLOOKUP(C16,'Train Runs'!$A$13:$AE$9968,22,0)</f>
        <v>https://search-rtdc-monitor-bjffxe2xuh6vdkpspy63sjmuny.us-east-1.es.amazonaws.com/_plugin/kibana/#/discover/Steve-Slow-Train-Analysis-(2080s-and-2083s)?_g=(refreshInterval:(display:Off,section:0,value:0),time:(from:'2016-12-18 17:10:05-700',mode:absolute,to:'2016-12-18 21:14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6" s="105" t="str">
        <f t="shared" si="1"/>
        <v>"C:\Program Files (x86)\AstroGrep\AstroGrep.exe" /spath="%USERPROFILE%\AppData\Local\Temp\OnboardLogs" /stypes="*4004*201612190*" /stext=" 01:.+((SYSTEM_STATE.+slice.+state.+changed )|(ment ac)|(multiple cpu faults)|(system.+state.+changed )|(\[timeout)|(PRM\|1\|D)|(kpr)|(kdp)|(\|lc)|(penalty))" /e /r /s</v>
      </c>
      <c r="U16" s="9" t="str">
        <f t="shared" si="2"/>
        <v>4004</v>
      </c>
      <c r="V16" s="36">
        <f t="shared" si="3"/>
        <v>42723.051307870366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{"issue":{"subject":"","project_id":79,"tracker_id":40,"status_id":1,"priority_id":2,"assigned_to_id":23,"start_date":"2016-12-18","description":"","custom_fields":[{"id":1,"name":"Subdivision","value":"EC"},{"id":4,"name":"Milepost","value":"22.9055"},{"id":17,"name":"Train ID","value":"210-18"},{"id":16,"name":"Locomotive ID","value":"4004"},{"id":130,"name":"Impact","value":""},{"id":150,"name":"Time of Event (Mountain Time)","value":"18:13:53"},{"id":151,"name":"Denver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"%USERPROFILE%\AppData\Local\Temp\OnboardLogs"\RTDC4004\*4004*201612190*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"%USERPROFILE%\AppData\Local\Temp\OnboardLogs"\RTDC4004\*4004*201612190* &gt;&gt; 42722-slicedisagreementcheck.txt</v>
      </c>
    </row>
    <row r="17" spans="1:30" s="1" customFormat="1" x14ac:dyDescent="0.25">
      <c r="A17" s="36">
        <v>42722.956504629627</v>
      </c>
      <c r="B17" s="31" t="s">
        <v>282</v>
      </c>
      <c r="C17" s="31" t="s">
        <v>539</v>
      </c>
      <c r="D17" s="31" t="s">
        <v>98</v>
      </c>
      <c r="E17" s="31" t="s">
        <v>196</v>
      </c>
      <c r="F17" s="47">
        <v>150</v>
      </c>
      <c r="G17" s="47">
        <v>214</v>
      </c>
      <c r="H17" s="47">
        <v>231165</v>
      </c>
      <c r="I17" s="47">
        <v>230534</v>
      </c>
      <c r="J17" s="31" t="s">
        <v>197</v>
      </c>
      <c r="K17" s="47">
        <v>231269</v>
      </c>
      <c r="L17" s="154" t="s">
        <v>51</v>
      </c>
      <c r="M17" s="155">
        <f t="shared" si="0"/>
        <v>-388.08</v>
      </c>
      <c r="N17" s="156" t="str">
        <f>VLOOKUP(C17,'Trips&amp;Operators'!$C$1:$G$99999,5,FALSE)</f>
        <v>SMITH MICHAEL</v>
      </c>
      <c r="O17" s="182" t="s">
        <v>195</v>
      </c>
      <c r="P17" s="157"/>
      <c r="Q17" s="31"/>
      <c r="R17" s="100" t="str">
        <f>VLOOKUP(C17,'Train Runs'!$A$13:$AE$9968,31,0)</f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S17" s="103" t="str">
        <f>VLOOKUP(C17,'Train Runs'!$A$13:$AE$9968,22,0)</f>
        <v>https://search-rtdc-monitor-bjffxe2xuh6vdkpspy63sjmuny.us-east-1.es.amazonaws.com/_plugin/kibana/#/discover/Steve-Slow-Train-Analysis-(2080s-and-2083s)?_g=(refreshInterval:(display:Off,section:0,value:0),time:(from:'2016-12-18 21:41:31-700',mode:absolute,to:'2016-12-19 00:38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7" s="105" t="str">
        <f t="shared" si="1"/>
        <v>"C:\Program Files (x86)\AstroGrep\AstroGrep.exe" /spath="%USERPROFILE%\AppData\Local\Temp\OnboardLogs" /stypes="*4013*201612190*" /stext=" 05:.+((SYSTEM_STATE.+slice.+state.+changed )|(ment ac)|(multiple cpu faults)|(system.+state.+changed )|(\[timeout)|(PRM\|1\|D)|(kpr)|(kdp)|(\|lc)|(penalty))" /e /r /s</v>
      </c>
      <c r="U17" s="9" t="str">
        <f t="shared" si="2"/>
        <v>4013</v>
      </c>
      <c r="V17" s="36">
        <f t="shared" si="3"/>
        <v>42723.248171296291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{"issue":{"subject":"","project_id":79,"tracker_id":40,"status_id":1,"priority_id":2,"assigned_to_id":23,"start_date":"2016-12-18","description":"","custom_fields":[{"id":1,"name":"Subdivision","value":"EC"},{"id":4,"name":"Milepost","value":"23.1269"},{"id":17,"name":"Train ID","value":"234-18"},{"id":16,"name":"Locomotive ID","value":"4013"},{"id":130,"name":"Impact","value":""},{"id":150,"name":"Time of Event (Mountain Time)","value":"22:57:22"},{"id":151,"name":"Denver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"%USERPROFILE%\AppData\Local\Temp\OnboardLogs"\RTDC4013\*4013*201612190*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"%USERPROFILE%\AppData\Local\Temp\OnboardLogs"\RTDC4013\*4013*201612190* &gt;&gt; 42722-slicedisagreementcheck.txt</v>
      </c>
    </row>
    <row r="18" spans="1:30" s="1" customFormat="1" x14ac:dyDescent="0.25">
      <c r="A18" s="36">
        <v>42722.253692129627</v>
      </c>
      <c r="B18" s="31" t="s">
        <v>510</v>
      </c>
      <c r="C18" s="31" t="s">
        <v>511</v>
      </c>
      <c r="D18" s="31" t="s">
        <v>49</v>
      </c>
      <c r="E18" s="31" t="s">
        <v>198</v>
      </c>
      <c r="F18" s="47">
        <v>0</v>
      </c>
      <c r="G18" s="47">
        <v>291</v>
      </c>
      <c r="H18" s="47">
        <v>20294</v>
      </c>
      <c r="I18" s="47">
        <v>21171</v>
      </c>
      <c r="J18" s="31" t="s">
        <v>199</v>
      </c>
      <c r="K18" s="47">
        <v>20617</v>
      </c>
      <c r="L18" s="154" t="s">
        <v>50</v>
      </c>
      <c r="M18" s="155">
        <f t="shared" si="0"/>
        <v>-292.512</v>
      </c>
      <c r="N18" s="156" t="str">
        <f>VLOOKUP(C18,'Trips&amp;Operators'!$C$1:$G$99999,5,FALSE)</f>
        <v>MAELZER KURT</v>
      </c>
      <c r="O18" s="182" t="s">
        <v>228</v>
      </c>
      <c r="P18" s="157" t="s">
        <v>951</v>
      </c>
      <c r="Q18" s="31"/>
      <c r="R18" s="100" t="str">
        <f>VLOOKUP(C18,'Train Runs'!$A$13:$AE$9968,31,0)</f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S18" s="103" t="str">
        <f>VLOOKUP(C18,'Train Runs'!$A$13:$AE$9968,22,0)</f>
        <v>https://search-rtdc-monitor-bjffxe2xuh6vdkpspy63sjmuny.us-east-1.es.amazonaws.com/_plugin/kibana/#/discover/Steve-Slow-Train-Analysis-(2080s-and-2083s)?_g=(refreshInterval:(display:Off,section:0,value:0),time:(from:'2016-12-18 06:04:24-700',mode:absolute,to:'2016-12-18 08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8" s="105" t="str">
        <f t="shared" si="1"/>
        <v>"C:\Program Files (x86)\AstroGrep\AstroGrep.exe" /spath="%USERPROFILE%\AppData\Local\Temp\OnboardLogs" /stypes="*4044*201612181*" /stext=" 13:.+((SYSTEM_STATE.+slice.+state.+changed )|(ment ac)|(multiple cpu faults)|(system.+state.+changed )|(\[timeout)|(PRM\|1\|D)|(kpr)|(kdp)|(\|lc)|(penalty))" /e /r /s</v>
      </c>
      <c r="U18" s="9" t="str">
        <f t="shared" si="2"/>
        <v>4044</v>
      </c>
      <c r="V18" s="36">
        <f t="shared" si="3"/>
        <v>42722.545358796291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drop","project_id":79,"tracker_id":40,"status_id":1,"priority_id":2,"assigned_to_id":23,"start_date":"2016-12-18","description":"","custom_fields":[{"id":1,"name":"Subdivision","value":"EC"},{"id":4,"name":"Milepost","value":"2.0617"},{"id":17,"name":"Train ID","value":"117-18"},{"id":16,"name":"Locomotive ID","value":"4044"},{"id":130,"name":"Impact","value":""},{"id":150,"name":"Time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"%USERPROFILE%\AppData\Local\Temp\OnboardLogs"\RTDC4044\*4044*201612181*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"%USERPROFILE%\AppData\Local\Temp\OnboardLogs"\RTDC4044\*4044*201612181* &gt;&gt; 42722-slicedisagreementcheck.txt</v>
      </c>
    </row>
    <row r="19" spans="1:30" s="1" customFormat="1" x14ac:dyDescent="0.25">
      <c r="A19" s="36">
        <v>42722.256979166668</v>
      </c>
      <c r="B19" s="31" t="s">
        <v>510</v>
      </c>
      <c r="C19" s="31" t="s">
        <v>511</v>
      </c>
      <c r="D19" s="31" t="s">
        <v>98</v>
      </c>
      <c r="E19" s="31" t="s">
        <v>198</v>
      </c>
      <c r="F19" s="47">
        <v>200</v>
      </c>
      <c r="G19" s="47">
        <v>273</v>
      </c>
      <c r="H19" s="47">
        <v>22974</v>
      </c>
      <c r="I19" s="47">
        <v>23414</v>
      </c>
      <c r="J19" s="31" t="s">
        <v>199</v>
      </c>
      <c r="K19" s="47">
        <v>20617</v>
      </c>
      <c r="L19" s="154" t="s">
        <v>50</v>
      </c>
      <c r="M19" s="155">
        <f t="shared" si="0"/>
        <v>-1476.816</v>
      </c>
      <c r="N19" s="156" t="str">
        <f>VLOOKUP(C19,'Trips&amp;Operators'!$C$1:$G$99999,5,FALSE)</f>
        <v>MAELZER KURT</v>
      </c>
      <c r="O19" s="182" t="s">
        <v>195</v>
      </c>
      <c r="P19" s="157" t="s">
        <v>965</v>
      </c>
      <c r="Q19" s="31"/>
      <c r="R19" s="100" t="str">
        <f>VLOOKUP(C19,'Train Runs'!$A$13:$AE$9968,31,0)</f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S19" s="103" t="str">
        <f>VLOOKUP(C19,'Train Runs'!$A$13:$AE$9968,22,0)</f>
        <v>https://search-rtdc-monitor-bjffxe2xuh6vdkpspy63sjmuny.us-east-1.es.amazonaws.com/_plugin/kibana/#/discover/Steve-Slow-Train-Analysis-(2080s-and-2083s)?_g=(refreshInterval:(display:Off,section:0,value:0),time:(from:'2016-12-18 06:04:24-700',mode:absolute,to:'2016-12-18 08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9" s="105" t="str">
        <f t="shared" si="1"/>
        <v>"C:\Program Files (x86)\AstroGrep\AstroGrep.exe" /spath="%USERPROFILE%\AppData\Local\Temp\OnboardLogs" /stypes="*4044*201612181*" /stext=" 13:.+((SYSTEM_STATE.+slice.+state.+changed )|(ment ac)|(multiple cpu faults)|(system.+state.+changed )|(\[timeout)|(PRM\|1\|D)|(kpr)|(kdp)|(\|lc)|(penalty))" /e /r /s</v>
      </c>
      <c r="U19" s="9" t="str">
        <f t="shared" si="2"/>
        <v>4044</v>
      </c>
      <c r="V19" s="36">
        <f t="shared" si="3"/>
        <v>42722.548645833333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Overspeed","project_id":79,"tracker_id":40,"status_id":1,"priority_id":2,"assigned_to_id":23,"start_date":"2016-12-18","description":"","custom_fields":[{"id":1,"name":"Subdivision","value":"EC"},{"id":4,"name":"Milepost","value":"2.0617"},{"id":17,"name":"Train ID","value":"117-18"},{"id":16,"name":"Locomotive ID","value":"4044"},{"id":130,"name":"Impact","value":""},{"id":150,"name":"Time of Event (Mountain Time)","value":"06:10:03"},{"id":151,"name":"Denver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"%USERPROFILE%\AppData\Local\Temp\OnboardLogs"\RTDC4044\*4044*201612181*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"%USERPROFILE%\AppData\Local\Temp\OnboardLogs"\RTDC4044\*4044*201612181* &gt;&gt; 42722-slicedisagreementcheck.txt</v>
      </c>
    </row>
    <row r="20" spans="1:30" x14ac:dyDescent="0.25">
      <c r="A20" s="36">
        <v>42722.538229166668</v>
      </c>
      <c r="B20" s="31" t="s">
        <v>183</v>
      </c>
      <c r="C20" s="31" t="s">
        <v>522</v>
      </c>
      <c r="D20" s="31" t="s">
        <v>49</v>
      </c>
      <c r="E20" s="31" t="s">
        <v>198</v>
      </c>
      <c r="F20" s="47">
        <v>0</v>
      </c>
      <c r="G20" s="47">
        <v>421</v>
      </c>
      <c r="H20" s="47">
        <v>130116</v>
      </c>
      <c r="I20" s="47">
        <v>131889</v>
      </c>
      <c r="J20" s="31" t="s">
        <v>199</v>
      </c>
      <c r="K20" s="47">
        <v>133155</v>
      </c>
      <c r="L20" s="154" t="s">
        <v>50</v>
      </c>
      <c r="M20" s="155">
        <f t="shared" si="0"/>
        <v>668.44799999999987</v>
      </c>
      <c r="N20" s="156" t="str">
        <f>VLOOKUP(C20,'Trips&amp;Operators'!$C$1:$G$99999,5,FALSE)</f>
        <v>KILLION DAVID</v>
      </c>
      <c r="O20" s="182" t="s">
        <v>228</v>
      </c>
      <c r="P20" s="157" t="s">
        <v>951</v>
      </c>
      <c r="Q20" s="31"/>
      <c r="R20" s="100" t="str">
        <f>VLOOKUP(C20,'Train Runs'!$A$13:$AE$9968,31,0)</f>
        <v>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 &amp; aws s3 cp s3://rtdc.mdm.uploadarchive.raw/RTDC4009/ "%USERPROFILE%\AppData\Local\Temp\OnboardLogs"\RTDC4009\2016-12-19 --exclude "*" --recursive --include "*20161219*" &amp; "%USERPROFILE%\Documents\GitHub\mrs-test-scripts\Headless Mode &amp; Sideloading\WalkAndUnGZ.bat" "%USERPROFILE%\AppData\Local\Temp\OnboardLogs"\RTDC4009\2016-12-19</v>
      </c>
      <c r="S20" s="103" t="str">
        <f>VLOOKUP(C20,'Train Runs'!$A$13:$AE$9968,22,0)</f>
        <v>https://search-rtdc-monitor-bjffxe2xuh6vdkpspy63sjmuny.us-east-1.es.amazonaws.com/_plugin/kibana/#/discover/Steve-Slow-Train-Analysis-(2080s-and-2083s)?_g=(refreshInterval:(display:Off,section:0,value:0),time:(from:'2016-12-18 11:12:31-700',mode:absolute,to:'2016-12-18 14:02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0" s="105" t="str">
        <f t="shared" si="1"/>
        <v>"C:\Program Files (x86)\AstroGrep\AstroGrep.exe" /spath="%USERPROFILE%\AppData\Local\Temp\OnboardLogs" /stypes="*4009*201612181*" /stext=" 19:.+((SYSTEM_STATE.+slice.+state.+changed )|(ment ac)|(multiple cpu faults)|(system.+state.+changed )|(\[timeout)|(PRM\|1\|D)|(kpr)|(kdp)|(\|lc)|(penalty))" /e /r /s</v>
      </c>
      <c r="U20" s="9" t="str">
        <f t="shared" si="2"/>
        <v>4009</v>
      </c>
      <c r="V20" s="36">
        <f t="shared" si="3"/>
        <v>42722.829895833333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{"issue":{"subject":"Wi-MAX data drop","project_id":79,"tracker_id":40,"status_id":1,"priority_id":2,"assigned_to_id":23,"start_date":"2016-12-18","description":"","custom_fields":[{"id":1,"name":"Subdivision","value":"EC"},{"id":4,"name":"Milepost","value":"13.3155"},{"id":17,"name":"Train ID","value":"171-18"},{"id":16,"name":"Locomotive ID","value":"4009"},{"id":130,"name":"Impact","value":""},{"id":150,"name":"Time of Event (Mountain Time)","value":"12:55:03"},{"id":151,"name":"Denver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"%USERPROFILE%\AppData\Local\Temp\OnboardLogs"\RTDC4009\*4009*201612181*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"%USERPROFILE%\AppData\Local\Temp\OnboardLogs"\RTDC4009\*4009*201612181* &gt;&gt; 42722-slicedisagreementcheck.txt</v>
      </c>
    </row>
    <row r="21" spans="1:30" x14ac:dyDescent="0.25">
      <c r="A21" s="36">
        <v>42722.728252314817</v>
      </c>
      <c r="B21" s="31" t="s">
        <v>529</v>
      </c>
      <c r="C21" s="31" t="s">
        <v>530</v>
      </c>
      <c r="D21" s="31" t="s">
        <v>49</v>
      </c>
      <c r="E21" s="31" t="s">
        <v>198</v>
      </c>
      <c r="F21" s="47">
        <v>0</v>
      </c>
      <c r="G21" s="47">
        <v>32</v>
      </c>
      <c r="H21" s="47">
        <v>144342</v>
      </c>
      <c r="I21" s="47">
        <v>144279</v>
      </c>
      <c r="J21" s="31" t="s">
        <v>199</v>
      </c>
      <c r="K21" s="47">
        <v>144312</v>
      </c>
      <c r="L21" s="154" t="s">
        <v>51</v>
      </c>
      <c r="M21" s="155">
        <f t="shared" si="0"/>
        <v>-17.423999999999999</v>
      </c>
      <c r="N21" s="156" t="str">
        <f>VLOOKUP(C21,'Trips&amp;Operators'!$C$1:$G$99999,5,FALSE)</f>
        <v>DAVIS MICHAEL</v>
      </c>
      <c r="O21" s="182" t="s">
        <v>228</v>
      </c>
      <c r="P21" s="157" t="s">
        <v>956</v>
      </c>
      <c r="Q21" s="31"/>
      <c r="R21" s="100" t="str">
        <f>VLOOKUP(C21,'Train Runs'!$A$13:$AE$9968,31,0)</f>
        <v>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 &amp; aws s3 cp s3://rtdc.mdm.uploadarchive.raw/RTDC4043/ "%USERPROFILE%\AppData\Local\Temp\OnboardLogs"\RTDC4043\2016-12-19 --exclude "*" --recursive --include "*20161219*" &amp; "%USERPROFILE%\Documents\GitHub\mrs-test-scripts\Headless Mode &amp; Sideloading\WalkAndUnGZ.bat" "%USERPROFILE%\AppData\Local\Temp\OnboardLogs"\RTDC4043\2016-12-19</v>
      </c>
      <c r="S21" s="103" t="str">
        <f>VLOOKUP(C21,'Train Runs'!$A$13:$AE$9968,22,0)</f>
        <v>https://search-rtdc-monitor-bjffxe2xuh6vdkpspy63sjmuny.us-east-1.es.amazonaws.com/_plugin/kibana/#/discover/Steve-Slow-Train-Analysis-(2080s-and-2083s)?_g=(refreshInterval:(display:Off,section:0,value:0),time:(from:'2016-12-18 16:39:37-700',mode:absolute,to:'2016-12-18 19:11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1" s="105" t="str">
        <f t="shared" si="1"/>
        <v>"C:\Program Files (x86)\AstroGrep\AstroGrep.exe" /spath="%USERPROFILE%\AppData\Local\Temp\OnboardLogs" /stypes="*4043*201612190*" /stext=" 00:.+((SYSTEM_STATE.+slice.+state.+changed )|(ment ac)|(multiple cpu faults)|(system.+state.+changed )|(\[timeout)|(PRM\|1\|D)|(kpr)|(kdp)|(\|lc)|(penalty))" /e /r /s</v>
      </c>
      <c r="U21" s="9" t="str">
        <f t="shared" si="2"/>
        <v>4043</v>
      </c>
      <c r="V21" s="36">
        <f t="shared" si="3"/>
        <v>42723.019918981481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{"issue":{"subject":"EC1443RH 150-2T 2S &amp; EC1388RH 144-2T 2S stuck at STOP &amp; PROCEED","project_id":79,"tracker_id":40,"status_id":1,"priority_id":2,"assigned_to_id":23,"start_date":"2016-12-18","description":"","custom_fields":[{"id":1,"name":"Subdivision","value":"EC"},{"id":4,"name":"Milepost","value":"14.4312"},{"id":17,"name":"Train ID","value":"202-18"},{"id":16,"name":"Locomotive ID","value":"4043"},{"id":130,"name":"Impact","value":""},{"id":150,"name":"Time of Event (Mountain Time)","value":"17:28:41"},{"id":151,"name":"Denver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"%USERPROFILE%\AppData\Local\Temp\OnboardLogs"\RTDC4043\*4043*201612190*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"%USERPROFILE%\AppData\Local\Temp\OnboardLogs"\RTDC4043\*4043*201612190* &gt;&gt; 42722-slicedisagreementcheck.txt</v>
      </c>
    </row>
    <row r="22" spans="1:30" ht="15" customHeight="1" x14ac:dyDescent="0.25">
      <c r="A22" s="36">
        <v>42722.260798611111</v>
      </c>
      <c r="B22" s="31" t="s">
        <v>512</v>
      </c>
      <c r="C22" s="31" t="s">
        <v>513</v>
      </c>
      <c r="D22" s="31" t="s">
        <v>49</v>
      </c>
      <c r="E22" s="31" t="s">
        <v>198</v>
      </c>
      <c r="F22" s="47">
        <v>0</v>
      </c>
      <c r="G22" s="47">
        <v>507</v>
      </c>
      <c r="H22" s="47">
        <v>146993</v>
      </c>
      <c r="I22" s="47">
        <v>148756</v>
      </c>
      <c r="J22" s="31" t="s">
        <v>199</v>
      </c>
      <c r="K22" s="47">
        <v>149694</v>
      </c>
      <c r="L22" s="154" t="s">
        <v>50</v>
      </c>
      <c r="M22" s="155">
        <f t="shared" si="0"/>
        <v>495.26400000000001</v>
      </c>
      <c r="N22" s="156" t="str">
        <f>VLOOKUP(C22,'Trips&amp;Operators'!$C$1:$G$99999,5,FALSE)</f>
        <v>OUN ZACK</v>
      </c>
      <c r="O22" s="182" t="s">
        <v>195</v>
      </c>
      <c r="P22" s="157" t="s">
        <v>966</v>
      </c>
      <c r="Q22" s="31"/>
      <c r="R22" s="100" t="str">
        <f>VLOOKUP(C22,'Train Runs'!$A$13:$AE$9968,31,0)</f>
        <v>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 &amp; aws s3 cp s3://rtdc.mdm.uploadarchive.raw/RTDC4029/ "%USERPROFILE%\AppData\Local\Temp\OnboardLogs"\RTDC4029\2016-12-19 --exclude "*" --recursive --include "*20161219*" &amp; "%USERPROFILE%\Documents\GitHub\mrs-test-scripts\Headless Mode &amp; Sideloading\WalkAndUnGZ.bat" "%USERPROFILE%\AppData\Local\Temp\OnboardLogs"\RTDC4029\2016-12-19</v>
      </c>
      <c r="S22" s="103" t="str">
        <f>VLOOKUP(C22,'Train Runs'!$A$13:$AE$9968,22,0)</f>
        <v>https://search-rtdc-monitor-bjffxe2xuh6vdkpspy63sjmuny.us-east-1.es.amazonaws.com/_plugin/kibana/#/discover/Steve-Slow-Train-Analysis-(2080s-and-2083s)?_g=(refreshInterval:(display:Off,section:0,value:0),time:(from:'2016-12-18 04:10:06-700',mode:absolute,to:'2016-12-18 07:26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2" s="105" t="str">
        <f t="shared" si="1"/>
        <v>"C:\Program Files (x86)\AstroGrep\AstroGrep.exe" /spath="%USERPROFILE%\AppData\Local\Temp\OnboardLogs" /stypes="*4029*201612181*" /stext=" 13:.+((SYSTEM_STATE.+slice.+state.+changed )|(ment ac)|(multiple cpu faults)|(system.+state.+changed )|(\[timeout)|(PRM\|1\|D)|(kpr)|(kdp)|(\|lc)|(penalty))" /e /r /s</v>
      </c>
      <c r="U22" s="9" t="str">
        <f t="shared" si="2"/>
        <v>4029</v>
      </c>
      <c r="V22" s="36">
        <f t="shared" si="3"/>
        <v>42722.552465277775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{"issue":{"subject":"STOP aspect","project_id":79,"tracker_id":40,"status_id":1,"priority_id":2,"assigned_to_id":23,"start_date":"2016-12-18","description":"","custom_fields":[{"id":1,"name":"Subdivision","value":"EC"},{"id":4,"name":"Milepost","value":"14.9694"},{"id":17,"name":"Train ID","value":"113-18"},{"id":16,"name":"Locomotive ID","value":"4029"},{"id":130,"name":"Impact","value":""},{"id":150,"name":"Time of Event (Mountain Time)","value":"06:15:33"},{"id":151,"name":"Denver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"%USERPROFILE%\AppData\Local\Temp\OnboardLogs"\RTDC4029\*4029*201612181*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"%USERPROFILE%\AppData\Local\Temp\OnboardLogs"\RTDC4029\*4029*201612181* &gt;&gt; 42722-slicedisagreementcheck.txt</v>
      </c>
    </row>
    <row r="23" spans="1:30" x14ac:dyDescent="0.25">
      <c r="A23" s="36">
        <v>42722.331180555557</v>
      </c>
      <c r="B23" s="31" t="s">
        <v>515</v>
      </c>
      <c r="C23" s="31" t="s">
        <v>516</v>
      </c>
      <c r="D23" s="31" t="s">
        <v>49</v>
      </c>
      <c r="E23" s="31" t="s">
        <v>198</v>
      </c>
      <c r="F23" s="47">
        <v>0</v>
      </c>
      <c r="G23" s="47">
        <v>443</v>
      </c>
      <c r="H23" s="47">
        <v>146931</v>
      </c>
      <c r="I23" s="47">
        <v>148496</v>
      </c>
      <c r="J23" s="31" t="s">
        <v>199</v>
      </c>
      <c r="K23" s="47">
        <v>149694</v>
      </c>
      <c r="L23" s="154" t="s">
        <v>50</v>
      </c>
      <c r="M23" s="155">
        <f t="shared" si="0"/>
        <v>632.54399999999998</v>
      </c>
      <c r="N23" s="156" t="str">
        <f>VLOOKUP(C23,'Trips&amp;Operators'!$C$1:$G$99999,5,FALSE)</f>
        <v>HAITHCOX MICHAEL</v>
      </c>
      <c r="O23" s="182" t="s">
        <v>195</v>
      </c>
      <c r="P23" s="157" t="s">
        <v>966</v>
      </c>
      <c r="Q23" s="31"/>
      <c r="R23" s="100" t="str">
        <f>VLOOKUP(C23,'Train Runs'!$A$13:$AE$9968,31,0)</f>
        <v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v>
      </c>
      <c r="S23" s="103" t="str">
        <f>VLOOKUP(C23,'Train Runs'!$A$13:$AE$9968,22,0)</f>
        <v>https://search-rtdc-monitor-bjffxe2xuh6vdkpspy63sjmuny.us-east-1.es.amazonaws.com/_plugin/kibana/#/discover/Steve-Slow-Train-Analysis-(2080s-and-2083s)?_g=(refreshInterval:(display:Off,section:0,value:0),time:(from:'2016-12-18 06:18:54-700',mode:absolute,to:'2016-12-18 09:27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3" s="105" t="str">
        <f t="shared" si="1"/>
        <v>"C:\Program Files (x86)\AstroGrep\AstroGrep.exe" /spath="%USERPROFILE%\AppData\Local\Temp\OnboardLogs" /stypes="*4031*201612181*" /stext=" 14:.+((SYSTEM_STATE.+slice.+state.+changed )|(ment ac)|(multiple cpu faults)|(system.+state.+changed )|(\[timeout)|(PRM\|1\|D)|(kpr)|(kdp)|(\|lc)|(penalty))" /e /r /s</v>
      </c>
      <c r="U23" s="9" t="str">
        <f t="shared" si="2"/>
        <v>4031</v>
      </c>
      <c r="V23" s="36">
        <f t="shared" si="3"/>
        <v>42722.622847222221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{"issue":{"subject":"STOP aspect","project_id":79,"tracker_id":40,"status_id":1,"priority_id":2,"assigned_to_id":23,"start_date":"2016-12-18","description":"","custom_fields":[{"id":1,"name":"Subdivision","value":"EC"},{"id":4,"name":"Milepost","value":"14.9694"},{"id":17,"name":"Train ID","value":"131-18"},{"id":16,"name":"Locomotive ID","value":"4031"},{"id":130,"name":"Impact","value":""},{"id":150,"name":"Time of Event (Mountain Time)","value":"07:56:54"},{"id":151,"name":"Denver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"%USERPROFILE%\AppData\Local\Temp\OnboardLogs"\RTDC4031\*4031*201612181*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"%USERPROFILE%\AppData\Local\Temp\OnboardLogs"\RTDC4031\*4031*201612181* &gt;&gt; 42722-slicedisagreementcheck.txt</v>
      </c>
    </row>
    <row r="24" spans="1:30" x14ac:dyDescent="0.25">
      <c r="A24" s="36">
        <v>42722.2658912037</v>
      </c>
      <c r="B24" s="31" t="s">
        <v>154</v>
      </c>
      <c r="C24" s="31" t="s">
        <v>514</v>
      </c>
      <c r="D24" s="31" t="s">
        <v>98</v>
      </c>
      <c r="E24" s="31" t="s">
        <v>198</v>
      </c>
      <c r="F24" s="47">
        <v>200</v>
      </c>
      <c r="G24" s="47">
        <v>254</v>
      </c>
      <c r="H24" s="47">
        <v>155051</v>
      </c>
      <c r="I24" s="47">
        <v>155771</v>
      </c>
      <c r="J24" s="31" t="s">
        <v>199</v>
      </c>
      <c r="K24" s="47">
        <v>149694</v>
      </c>
      <c r="L24" s="154" t="s">
        <v>50</v>
      </c>
      <c r="M24" s="155">
        <f t="shared" si="0"/>
        <v>-3208.6559999999999</v>
      </c>
      <c r="N24" s="156" t="str">
        <f>VLOOKUP(C24,'Trips&amp;Operators'!$C$1:$G$99999,5,FALSE)</f>
        <v>SHOOK JOHN</v>
      </c>
      <c r="O24" s="182" t="s">
        <v>195</v>
      </c>
      <c r="P24" s="157" t="s">
        <v>965</v>
      </c>
      <c r="Q24" s="31"/>
      <c r="R24" s="100" t="str">
        <f>VLOOKUP(C24,'Train Runs'!$A$13:$AE$9968,31,0)</f>
        <v>aws s3 cp s3://rtdc.mdm.uploadarchive.raw/RTDC4051/ "%USERPROFILE%\AppData\Local\Temp\OnboardLogs"\RTDC4051\2016-12-18 --exclude "*" --recursive --include "*20161218*" &amp; "%USERPROFILE%\Documents\GitHub\mrs-test-scripts\Headless Mode &amp; Sideloading\WalkAndUnGZ.bat" "%USERPROFILE%\AppData\Local\Temp\OnboardLogs"\RTDC4051\2016-12-18 &amp; aws s3 cp s3://rtdc.mdm.uploadarchive.raw/RTDC4051/ "%USERPROFILE%\AppData\Local\Temp\OnboardLogs"\RTDC4051\2016-12-19 --exclude "*" --recursive --include "*20161219*" &amp; "%USERPROFILE%\Documents\GitHub\mrs-test-scripts\Headless Mode &amp; Sideloading\WalkAndUnGZ.bat" "%USERPROFILE%\AppData\Local\Temp\OnboardLogs"\RTDC4051\2016-12-19</v>
      </c>
      <c r="S24" s="103" t="str">
        <f>VLOOKUP(C24,'Train Runs'!$A$13:$AE$9968,22,0)</f>
        <v>https://search-rtdc-monitor-bjffxe2xuh6vdkpspy63sjmuny.us-east-1.es.amazonaws.com/_plugin/kibana/#/discover/Steve-Slow-Train-Analysis-(2080s-and-2083s)?_g=(refreshInterval:(display:Off,section:0,value:0),time:(from:'2016-12-18 04:33:36-700',mode:absolute,to:'2016-12-18 07:30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24" s="105" t="str">
        <f t="shared" si="1"/>
        <v>"C:\Program Files (x86)\AstroGrep\AstroGrep.exe" /spath="%USERPROFILE%\AppData\Local\Temp\OnboardLogs" /stypes="*4051*201612181*" /stext=" 13:.+((SYSTEM_STATE.+slice.+state.+changed )|(ment ac)|(multiple cpu faults)|(system.+state.+changed )|(\[timeout)|(PRM\|1\|D)|(kpr)|(kdp)|(\|lc)|(penalty))" /e /r /s</v>
      </c>
      <c r="U24" s="9" t="str">
        <f t="shared" si="2"/>
        <v>4051</v>
      </c>
      <c r="V24" s="36">
        <f t="shared" si="3"/>
        <v>42722.557557870365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Overspeed","project_id":79,"tracker_id":40,"status_id":1,"priority_id":2,"assigned_to_id":23,"start_date":"2016-12-18","description":"","custom_fields":[{"id":1,"name":"Subdivision","value":"EC"},{"id":4,"name":"Milepost","value":"14.9694"},{"id":17,"name":"Train ID","value":"115-18"},{"id":16,"name":"Locomotive ID","value":"4051"},{"id":130,"name":"Impact","value":""},{"id":150,"name":"Time of Event (Mountain Time)","value":"06:22:53"},{"id":151,"name":"Denver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"%USERPROFILE%\AppData\Local\Temp\OnboardLogs"\RTDC4051\*4051*201612181*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"%USERPROFILE%\AppData\Local\Temp\OnboardLogs"\RTDC4051\*4051*201612181* &gt;&gt; 42722-slicedisagreementcheck.txt</v>
      </c>
    </row>
    <row r="25" spans="1:30" x14ac:dyDescent="0.25">
      <c r="A25" s="36">
        <v>42722.369768518518</v>
      </c>
      <c r="B25" s="31" t="s">
        <v>506</v>
      </c>
      <c r="C25" s="31" t="s">
        <v>517</v>
      </c>
      <c r="D25" s="31" t="s">
        <v>98</v>
      </c>
      <c r="E25" s="31" t="s">
        <v>198</v>
      </c>
      <c r="F25" s="47">
        <v>0</v>
      </c>
      <c r="G25" s="47">
        <v>247</v>
      </c>
      <c r="H25" s="47">
        <v>154863</v>
      </c>
      <c r="I25" s="47">
        <v>154307</v>
      </c>
      <c r="J25" s="31" t="s">
        <v>199</v>
      </c>
      <c r="K25" s="47">
        <v>157300</v>
      </c>
      <c r="L25" s="154" t="s">
        <v>51</v>
      </c>
      <c r="M25" s="155">
        <f t="shared" si="0"/>
        <v>-1580.3040000000001</v>
      </c>
      <c r="N25" s="156" t="str">
        <f>VLOOKUP(C25,'Trips&amp;Operators'!$C$1:$G$99999,5,FALSE)</f>
        <v>ROBINSON KADDIBA</v>
      </c>
      <c r="O25" s="182" t="s">
        <v>228</v>
      </c>
      <c r="P25" s="157" t="s">
        <v>953</v>
      </c>
      <c r="Q25" s="31"/>
      <c r="R25" s="100" t="str">
        <f>VLOOKUP(C25,'Train Runs'!$A$13:$AE$9968,31,0)</f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S25" s="103" t="str">
        <f>VLOOKUP(C25,'Train Runs'!$A$13:$AE$9968,22,0)</f>
        <v>https://search-rtdc-monitor-bjffxe2xuh6vdkpspy63sjmuny.us-east-1.es.amazonaws.com/_plugin/kibana/#/discover/Steve-Slow-Train-Analysis-(2080s-and-2083s)?_g=(refreshInterval:(display:Off,section:0,value:0),time:(from:'2016-12-18 08:00:17-700',mode:absolute,to:'2016-12-18 10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5" s="105" t="str">
        <f t="shared" si="1"/>
        <v>"C:\Program Files (x86)\AstroGrep\AstroGrep.exe" /spath="%USERPROFILE%\AppData\Local\Temp\OnboardLogs" /stypes="*4028*201612181*" /stext=" 15:.+((SYSTEM_STATE.+slice.+state.+changed )|(ment ac)|(multiple cpu faults)|(system.+state.+changed )|(\[timeout)|(PRM\|1\|D)|(kpr)|(kdp)|(\|lc)|(penalty))" /e /r /s</v>
      </c>
      <c r="U25" s="9" t="str">
        <f t="shared" si="2"/>
        <v>4028</v>
      </c>
      <c r="V25" s="36">
        <f t="shared" si="3"/>
        <v>42722.661435185182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{"issue":{"subject":"Onboard in-route failure","project_id":79,"tracker_id":40,"status_id":1,"priority_id":2,"assigned_to_id":23,"start_date":"2016-12-18","description":"","custom_fields":[{"id":1,"name":"Subdivision","value":"EC"},{"id":4,"name":"Milepost","value":"15.73"},{"id":17,"name":"Train ID","value":"134-18"},{"id":16,"name":"Locomotive ID","value":"4028"},{"id":130,"name":"Impact","value":""},{"id":150,"name":"Time of Event (Mountain Time)","value":"08:52:28"},{"id":151,"name":"Denver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"%USERPROFILE%\AppData\Local\Temp\OnboardLogs"\RTDC4028\*4028*201612181*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"%USERPROFILE%\AppData\Local\Temp\OnboardLogs"\RTDC4028\*4028*201612181* &gt;&gt; 42722-slicedisagreementcheck.txt</v>
      </c>
    </row>
    <row r="26" spans="1:30" x14ac:dyDescent="0.25">
      <c r="A26" s="36">
        <v>42722.700856481482</v>
      </c>
      <c r="B26" s="31" t="s">
        <v>282</v>
      </c>
      <c r="C26" s="31" t="s">
        <v>526</v>
      </c>
      <c r="D26" s="31" t="s">
        <v>49</v>
      </c>
      <c r="E26" s="31" t="s">
        <v>262</v>
      </c>
      <c r="F26" s="47">
        <v>100</v>
      </c>
      <c r="G26" s="47">
        <v>238</v>
      </c>
      <c r="H26" s="47">
        <v>67260</v>
      </c>
      <c r="I26" s="47">
        <v>66780</v>
      </c>
      <c r="J26" s="31" t="s">
        <v>250</v>
      </c>
      <c r="K26" s="47">
        <v>66500</v>
      </c>
      <c r="L26" s="154" t="s">
        <v>51</v>
      </c>
      <c r="M26" s="155">
        <f t="shared" si="0"/>
        <v>147.84</v>
      </c>
      <c r="N26" s="156" t="str">
        <f>VLOOKUP(C26,'Trips&amp;Operators'!$C$1:$G$99999,5,FALSE)</f>
        <v>ADANE ELSHADAY</v>
      </c>
      <c r="O26" s="182" t="s">
        <v>195</v>
      </c>
      <c r="P26" s="157"/>
      <c r="Q26" s="31"/>
      <c r="R26" s="100" t="str">
        <f>VLOOKUP(C26,'Train Runs'!$A$13:$AE$9968,31,0)</f>
        <v>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 &amp; aws s3 cp s3://rtdc.mdm.uploadarchive.raw/RTDC4013/ "%USERPROFILE%\AppData\Local\Temp\OnboardLogs"\RTDC4013\2016-12-19 --exclude "*" --recursive --include "*20161219*" &amp; "%USERPROFILE%\Documents\GitHub\mrs-test-scripts\Headless Mode &amp; Sideloading\WalkAndUnGZ.bat" "%USERPROFILE%\AppData\Local\Temp\OnboardLogs"\RTDC4013\2016-12-19</v>
      </c>
      <c r="S26" s="103" t="str">
        <f>VLOOKUP(C26,'Train Runs'!$A$13:$AE$9968,22,0)</f>
        <v>https://search-rtdc-monitor-bjffxe2xuh6vdkpspy63sjmuny.us-east-1.es.amazonaws.com/_plugin/kibana/#/discover/Steve-Slow-Train-Analysis-(2080s-and-2083s)?_g=(refreshInterval:(display:Off,section:0,value:0),time:(from:'2016-12-18 15:17:30-700',mode:absolute,to:'2016-12-18 18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/stypes="*4013*201612182*" /stext=" 23:.+((SYSTEM_STATE.+slice.+state.+changed )|(ment ac)|(multiple cpu faults)|(system.+state.+changed )|(\[timeout)|(PRM\|1\|D)|(kpr)|(kdp)|(\|lc)|(penalty))" /e /r /s</v>
      </c>
      <c r="U26" s="9" t="str">
        <f t="shared" si="2"/>
        <v>4013</v>
      </c>
      <c r="V26" s="36">
        <f t="shared" si="3"/>
        <v>42722.992523148147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{"issue":{"subject":"","project_id":79,"tracker_id":40,"status_id":1,"priority_id":2,"assigned_to_id":23,"start_date":"2016-12-18","description":"","custom_fields":[{"id":1,"name":"Subdivision","value":"EC"},{"id":4,"name":"Milepost","value":"6.65"},{"id":17,"name":"Train ID","value":"196-18"},{"id":16,"name":"Locomotive ID","value":"4013"},{"id":130,"name":"Impact","value":""},{"id":150,"name":"Time of Event (Mountain Time)","value":"16:49:14"},{"id":151,"name":"Denver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"%USERPROFILE%\AppData\Local\Temp\OnboardLogs"\RTDC4013\*4013*201612182*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"%USERPROFILE%\AppData\Local\Temp\OnboardLogs"\RTDC4013\*4013*201612182* &gt;&gt; 42722-slicedisagreementcheck.txt</v>
      </c>
    </row>
    <row r="27" spans="1:30" ht="15" customHeight="1" x14ac:dyDescent="0.25">
      <c r="A27" s="36">
        <v>42722.794432870367</v>
      </c>
      <c r="B27" s="31" t="s">
        <v>450</v>
      </c>
      <c r="C27" s="31" t="s">
        <v>536</v>
      </c>
      <c r="D27" s="31" t="s">
        <v>49</v>
      </c>
      <c r="E27" s="31" t="s">
        <v>262</v>
      </c>
      <c r="F27" s="47">
        <v>100</v>
      </c>
      <c r="G27" s="47">
        <v>313</v>
      </c>
      <c r="H27" s="47">
        <v>67467</v>
      </c>
      <c r="I27" s="47">
        <v>66838</v>
      </c>
      <c r="J27" s="31" t="s">
        <v>250</v>
      </c>
      <c r="K27" s="47">
        <v>66500</v>
      </c>
      <c r="L27" s="154" t="s">
        <v>51</v>
      </c>
      <c r="M27" s="155">
        <f t="shared" si="0"/>
        <v>178.46399999999997</v>
      </c>
      <c r="N27" s="156" t="str">
        <f>VLOOKUP(C27,'Trips&amp;Operators'!$C$1:$G$99999,5,FALSE)</f>
        <v>NEWELL JAMES</v>
      </c>
      <c r="O27" s="182" t="s">
        <v>195</v>
      </c>
      <c r="P27" s="157"/>
      <c r="Q27" s="31"/>
      <c r="R27" s="100" t="str">
        <f>VLOOKUP(C27,'Train Runs'!$A$13:$AE$9968,31,0)</f>
        <v>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 &amp; aws s3 cp s3://rtdc.mdm.uploadarchive.raw/RTDC4010/ "%USERPROFILE%\AppData\Local\Temp\OnboardLogs"\RTDC4010\2016-12-19 --exclude "*" --recursive --include "*20161219*" &amp; "%USERPROFILE%\Documents\GitHub\mrs-test-scripts\Headless Mode &amp; Sideloading\WalkAndUnGZ.bat" "%USERPROFILE%\AppData\Local\Temp\OnboardLogs"\RTDC4010\2016-12-19</v>
      </c>
      <c r="S27" s="103" t="str">
        <f>VLOOKUP(C27,'Train Runs'!$A$13:$AE$9968,22,0)</f>
        <v>https://search-rtdc-monitor-bjffxe2xuh6vdkpspy63sjmuny.us-east-1.es.amazonaws.com/_plugin/kibana/#/discover/Steve-Slow-Train-Analysis-(2080s-and-2083s)?_g=(refreshInterval:(display:Off,section:0,value:0),time:(from:'2016-12-18 17:32:41-700',mode:absolute,to:'2016-12-18 20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7" s="105" t="str">
        <f t="shared" si="1"/>
        <v>"C:\Program Files (x86)\AstroGrep\AstroGrep.exe" /spath="%USERPROFILE%\AppData\Local\Temp\OnboardLogs" /stypes="*4010*201612190*" /stext=" 02:.+((SYSTEM_STATE.+slice.+state.+changed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6">
        <f t="shared" si="3"/>
        <v>42723.086099537031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{"issue":{"subject":"","project_id":79,"tracker_id":40,"status_id":1,"priority_id":2,"assigned_to_id":23,"start_date":"2016-12-18","description":"","custom_fields":[{"id":1,"name":"Subdivision","value":"EC"},{"id":4,"name":"Milepost","value":"6.65"},{"id":17,"name":"Train ID","value":"214-18"},{"id":16,"name":"Locomotive ID","value":"4010"},{"id":130,"name":"Impact","value":""},{"id":150,"name":"Time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"%USERPROFILE%\AppData\Local\Temp\OnboardLogs"\RTDC4010\*4010*201612190*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"%USERPROFILE%\AppData\Local\Temp\OnboardLogs"\RTDC4010\*4010*201612190* &gt;&gt; 42722-slicedisagreementcheck.txt</v>
      </c>
    </row>
    <row r="28" spans="1:30" ht="15" customHeight="1" x14ac:dyDescent="0.25">
      <c r="A28" s="36">
        <v>42722.609340277777</v>
      </c>
      <c r="B28" s="31" t="s">
        <v>506</v>
      </c>
      <c r="C28" s="31" t="s">
        <v>523</v>
      </c>
      <c r="D28" s="31" t="s">
        <v>49</v>
      </c>
      <c r="E28" s="31" t="s">
        <v>200</v>
      </c>
      <c r="F28" s="47">
        <v>0</v>
      </c>
      <c r="G28" s="47">
        <v>61</v>
      </c>
      <c r="H28" s="47">
        <v>187</v>
      </c>
      <c r="I28" s="47">
        <v>96</v>
      </c>
      <c r="J28" s="31" t="s">
        <v>201</v>
      </c>
      <c r="K28" s="47">
        <v>1</v>
      </c>
      <c r="L28" s="154" t="s">
        <v>51</v>
      </c>
      <c r="M28" s="155">
        <f t="shared" si="0"/>
        <v>50.16</v>
      </c>
      <c r="N28" s="156" t="str">
        <f>VLOOKUP(C28,'Trips&amp;Operators'!$C$1:$G$99999,5,FALSE)</f>
        <v>HOLCOMB KAMDEN</v>
      </c>
      <c r="O28" s="182" t="s">
        <v>195</v>
      </c>
      <c r="P28" s="157"/>
      <c r="Q28" s="31"/>
      <c r="R28" s="100" t="str">
        <f>VLOOKUP(C28,'Train Runs'!$A$13:$AE$9968,31,0)</f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S28" s="103" t="str">
        <f>VLOOKUP(C28,'Train Runs'!$A$13:$AE$9968,22,0)</f>
        <v>https://search-rtdc-monitor-bjffxe2xuh6vdkpspy63sjmuny.us-east-1.es.amazonaws.com/_plugin/kibana/#/discover/Steve-Slow-Train-Analysis-(2080s-and-2083s)?_g=(refreshInterval:(display:Off,section:0,value:0),time:(from:'2016-12-18 12:50:14-700',mode:absolute,to:'2016-12-18 15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8" s="105" t="str">
        <f t="shared" si="1"/>
        <v>"C:\Program Files (x86)\AstroGrep\AstroGrep.exe" /spath="%USERPROFILE%\AppData\Local\Temp\OnboardLogs" /stypes="*4028*201612182*" /stext=" 21:.+((SYSTEM_STATE.+slice.+state.+changed )|(ment ac)|(multiple cpu faults)|(system.+state.+changed )|(\[timeout)|(PRM\|1\|D)|(kpr)|(kdp)|(\|lc)|(penalty))" /e /r /s</v>
      </c>
      <c r="U28" s="9" t="str">
        <f t="shared" si="2"/>
        <v>4028</v>
      </c>
      <c r="V28" s="36">
        <f t="shared" si="3"/>
        <v>42722.901006944441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{"issue":{"subject":"","project_id":79,"tracker_id":40,"status_id":1,"priority_id":2,"assigned_to_id":23,"start_date":"2016-12-18","description":"","custom_fields":[{"id":1,"name":"Subdivision","value":"EC"},{"id":4,"name":"Milepost","value":"0.0001"},{"id":17,"name":"Train ID","value":"176-18"},{"id":16,"name":"Locomotive ID","value":"4028"},{"id":130,"name":"Impact","value":""},{"id":150,"name":"Time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"%USERPROFILE%\AppData\Local\Temp\OnboardLogs"\RTDC4028\*4028*201612182*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"%USERPROFILE%\AppData\Local\Temp\OnboardLogs"\RTDC4028\*4028*201612182* &gt;&gt; 42722-slicedisagreementcheck.txt</v>
      </c>
    </row>
    <row r="29" spans="1:30" x14ac:dyDescent="0.25">
      <c r="A29" s="36">
        <v>42722.382187499999</v>
      </c>
      <c r="B29" s="31" t="s">
        <v>237</v>
      </c>
      <c r="C29" s="31" t="s">
        <v>518</v>
      </c>
      <c r="D29" s="31" t="s">
        <v>98</v>
      </c>
      <c r="E29" s="31" t="s">
        <v>200</v>
      </c>
      <c r="F29" s="47">
        <v>0</v>
      </c>
      <c r="G29" s="47">
        <v>9</v>
      </c>
      <c r="H29" s="47">
        <v>839</v>
      </c>
      <c r="I29" s="47">
        <v>0</v>
      </c>
      <c r="J29" s="31" t="s">
        <v>201</v>
      </c>
      <c r="K29" s="47">
        <v>839</v>
      </c>
      <c r="L29" s="154" t="s">
        <v>51</v>
      </c>
      <c r="M29" s="155">
        <f t="shared" si="0"/>
        <v>-442.99200000000002</v>
      </c>
      <c r="N29" s="156" t="str">
        <f>VLOOKUP(C29,'Trips&amp;Operators'!$C$1:$G$99999,5,FALSE)</f>
        <v>DAVIS WENDY</v>
      </c>
      <c r="O29" s="182" t="s">
        <v>195</v>
      </c>
      <c r="P29" s="157"/>
      <c r="Q29" s="31"/>
      <c r="R29" s="100" t="str">
        <f>VLOOKUP(C29,'Train Runs'!$A$13:$AE$9968,31,0)</f>
        <v>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 &amp; aws s3 cp s3://rtdc.mdm.uploadarchive.raw/RTDC4032/ "%USERPROFILE%\AppData\Local\Temp\OnboardLogs"\RTDC4032\2016-12-19 --exclude "*" --recursive --include "*20161219*" &amp; "%USERPROFILE%\Documents\GitHub\mrs-test-scripts\Headless Mode &amp; Sideloading\WalkAndUnGZ.bat" "%USERPROFILE%\AppData\Local\Temp\OnboardLogs"\RTDC4032\2016-12-19</v>
      </c>
      <c r="S29" s="103" t="str">
        <f>VLOOKUP(C29,'Train Runs'!$A$13:$AE$9968,22,0)</f>
        <v>https://search-rtdc-monitor-bjffxe2xuh6vdkpspy63sjmuny.us-east-1.es.amazonaws.com/_plugin/kibana/#/discover/Steve-Slow-Train-Analysis-(2080s-and-2083s)?_g=(refreshInterval:(display:Off,section:0,value:0),time:(from:'2016-12-18 07:28:35-700',mode:absolute,to:'2016-12-18 10:10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9" s="105" t="str">
        <f t="shared" si="1"/>
        <v>"C:\Program Files (x86)\AstroGrep\AstroGrep.exe" /spath="%USERPROFILE%\AppData\Local\Temp\OnboardLogs" /stypes="*4032*201612181*" /stext=" 16:.+((SYSTEM_STATE.+slice.+state.+changed )|(ment ac)|(multiple cpu faults)|(system.+state.+changed )|(\[timeout)|(PRM\|1\|D)|(kpr)|(kdp)|(\|lc)|(penalty))" /e /r /s</v>
      </c>
      <c r="U29" s="9" t="str">
        <f t="shared" si="2"/>
        <v>4032</v>
      </c>
      <c r="V29" s="36">
        <f t="shared" si="3"/>
        <v>42722.673854166664</v>
      </c>
      <c r="W29" s="50" t="str">
        <f t="shared" si="4"/>
        <v>EC</v>
      </c>
      <c r="X29" s="50" t="str">
        <f t="shared" si="5"/>
        <v>OMIT</v>
      </c>
      <c r="Y29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{"issue":{"subject":"","project_id":79,"tracker_id":40,"status_id":1,"priority_id":2,"assigned_to_id":23,"start_date":"2016-12-18","description":"","custom_fields":[{"id":1,"name":"Subdivision","value":"EC"},{"id":4,"name":"Milepost","value":"0.0839"},{"id":17,"name":"Train ID","value":"132-18"},{"id":16,"name":"Locomotive ID","value":"4032"},{"id":130,"name":"Impact","value":""},{"id":150,"name":"Time of Event (Mountain Time)","value":"09:10:21"},{"id":151,"name":"Denver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"%USERPROFILE%\AppData\Local\Temp\OnboardLogs"\RTDC4032\*4032*201612181*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"%USERPROFILE%\AppData\Local\Temp\OnboardLogs"\RTDC4032\*4032*201612181* &gt;&gt; 42722-slicedisagreementcheck.txt</v>
      </c>
    </row>
    <row r="30" spans="1:30" x14ac:dyDescent="0.25">
      <c r="A30" s="36">
        <v>42722.745011574072</v>
      </c>
      <c r="B30" s="31" t="s">
        <v>263</v>
      </c>
      <c r="C30" s="31" t="s">
        <v>531</v>
      </c>
      <c r="D30" s="31" t="s">
        <v>49</v>
      </c>
      <c r="E30" s="31" t="s">
        <v>200</v>
      </c>
      <c r="F30" s="47">
        <v>0</v>
      </c>
      <c r="G30" s="47">
        <v>16</v>
      </c>
      <c r="H30" s="47">
        <v>881</v>
      </c>
      <c r="I30" s="47">
        <v>860</v>
      </c>
      <c r="J30" s="31" t="s">
        <v>201</v>
      </c>
      <c r="K30" s="47">
        <v>839</v>
      </c>
      <c r="L30" s="154" t="s">
        <v>51</v>
      </c>
      <c r="M30" s="155">
        <f t="shared" si="0"/>
        <v>11.087999999999999</v>
      </c>
      <c r="N30" s="156" t="str">
        <f>VLOOKUP(C30,'Trips&amp;Operators'!$C$1:$G$99999,5,FALSE)</f>
        <v>STEWART MICHAEL</v>
      </c>
      <c r="O30" s="182" t="s">
        <v>195</v>
      </c>
      <c r="P30" s="157"/>
      <c r="Q30" s="31"/>
      <c r="R30" s="100" t="str">
        <f>VLOOKUP(C30,'Train Runs'!$A$13:$AE$9968,31,0)</f>
        <v>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 &amp; aws s3 cp s3://rtdc.mdm.uploadarchive.raw/RTDC4045/ "%USERPROFILE%\AppData\Local\Temp\OnboardLogs"\RTDC4045\2016-12-19 --exclude "*" --recursive --include "*20161219*" &amp; "%USERPROFILE%\Documents\GitHub\mrs-test-scripts\Headless Mode &amp; Sideloading\WalkAndUnGZ.bat" "%USERPROFILE%\AppData\Local\Temp\OnboardLogs"\RTDC4045\2016-12-19</v>
      </c>
      <c r="S30" s="103" t="str">
        <f>VLOOKUP(C30,'Train Runs'!$A$13:$AE$9968,22,0)</f>
        <v>https://search-rtdc-monitor-bjffxe2xuh6vdkpspy63sjmuny.us-east-1.es.amazonaws.com/_plugin/kibana/#/discover/Steve-Slow-Train-Analysis-(2080s-and-2083s)?_g=(refreshInterval:(display:Off,section:0,value:0),time:(from:'2016-12-18 16:21:54-700',mode:absolute,to:'2016-12-18 18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0" s="105" t="str">
        <f t="shared" si="1"/>
        <v>"C:\Program Files (x86)\AstroGrep\AstroGrep.exe" /spath="%USERPROFILE%\AppData\Local\Temp\OnboardLogs" /stypes="*4045*201612190*" /stext=" 00:.+((SYSTEM_STATE.+slice.+state.+changed )|(ment ac)|(multiple cpu faults)|(system.+state.+changed )|(\[timeout)|(PRM\|1\|D)|(kpr)|(kdp)|(\|lc)|(penalty))" /e /r /s</v>
      </c>
      <c r="U30" s="9" t="str">
        <f t="shared" si="2"/>
        <v>4045</v>
      </c>
      <c r="V30" s="36">
        <f t="shared" si="3"/>
        <v>42723.036678240736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{"issue":{"subject":"","project_id":79,"tracker_id":40,"status_id":1,"priority_id":2,"assigned_to_id":23,"start_date":"2016-12-18","description":"","custom_fields":[{"id":1,"name":"Subdivision","value":"EC"},{"id":4,"name":"Milepost","value":"0.0839"},{"id":17,"name":"Train ID","value":"200-18"},{"id":16,"name":"Locomotive ID","value":"4045"},{"id":130,"name":"Impact","value":""},{"id":150,"name":"Time of Event (Mountain Time)","value":"17:52:49"},{"id":151,"name":"Denver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"%USERPROFILE%\AppData\Local\Temp\OnboardLogs"\RTDC4045\*4045*201612190*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"%USERPROFILE%\AppData\Local\Temp\OnboardLogs"\RTDC4045\*4045*201612190* &gt;&gt; 42722-slicedisagreementcheck.txt</v>
      </c>
    </row>
    <row r="31" spans="1:30" x14ac:dyDescent="0.25">
      <c r="A31" s="36">
        <v>42722.760509259257</v>
      </c>
      <c r="B31" s="31" t="s">
        <v>533</v>
      </c>
      <c r="C31" s="31" t="s">
        <v>534</v>
      </c>
      <c r="D31" s="31" t="s">
        <v>49</v>
      </c>
      <c r="E31" s="31" t="s">
        <v>200</v>
      </c>
      <c r="F31" s="47">
        <v>0</v>
      </c>
      <c r="G31" s="47">
        <v>57</v>
      </c>
      <c r="H31" s="47">
        <v>1035</v>
      </c>
      <c r="I31" s="47">
        <v>981</v>
      </c>
      <c r="J31" s="31" t="s">
        <v>201</v>
      </c>
      <c r="K31" s="47">
        <v>839</v>
      </c>
      <c r="L31" s="154" t="s">
        <v>51</v>
      </c>
      <c r="M31" s="155">
        <f t="shared" si="0"/>
        <v>74.975999999999999</v>
      </c>
      <c r="N31" s="156" t="str">
        <f>VLOOKUP(C31,'Trips&amp;Operators'!$C$1:$G$99999,5,FALSE)</f>
        <v>BARTLETT KIANDRA</v>
      </c>
      <c r="O31" s="182" t="s">
        <v>195</v>
      </c>
      <c r="P31" s="157"/>
      <c r="Q31" s="31"/>
      <c r="R31" s="100" t="str">
        <f>VLOOKUP(C31,'Train Runs'!$A$13:$AE$9968,31,0)</f>
        <v>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 &amp; aws s3 cp s3://rtdc.mdm.uploadarchive.raw/RTDC4030/ "%USERPROFILE%\AppData\Local\Temp\OnboardLogs"\RTDC4030\2016-12-19 --exclude "*" --recursive --include "*20161219*" &amp; "%USERPROFILE%\Documents\GitHub\mrs-test-scripts\Headless Mode &amp; Sideloading\WalkAndUnGZ.bat" "%USERPROFILE%\AppData\Local\Temp\OnboardLogs"\RTDC4030\2016-12-19</v>
      </c>
      <c r="S31" s="103" t="str">
        <f>VLOOKUP(C31,'Train Runs'!$A$13:$AE$9968,22,0)</f>
        <v>https://search-rtdc-monitor-bjffxe2xuh6vdkpspy63sjmuny.us-east-1.es.amazonaws.com/_plugin/kibana/#/discover/Steve-Slow-Train-Analysis-(2080s-and-2083s)?_g=(refreshInterval:(display:Off,section:0,value:0),time:(from:'2016-12-18 16:49:22-700',mode:absolute,to:'2016-12-18 19:15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1" s="105" t="str">
        <f t="shared" si="1"/>
        <v>"C:\Program Files (x86)\AstroGrep\AstroGrep.exe" /spath="%USERPROFILE%\AppData\Local\Temp\OnboardLogs" /stypes="*4030*201612190*" /stext=" 01:.+((SYSTEM_STATE.+slice.+state.+changed )|(ment ac)|(multiple cpu faults)|(system.+state.+changed )|(\[timeout)|(PRM\|1\|D)|(kpr)|(kdp)|(\|lc)|(penalty))" /e /r /s</v>
      </c>
      <c r="U31" s="9" t="str">
        <f t="shared" si="2"/>
        <v>4030</v>
      </c>
      <c r="V31" s="36">
        <f t="shared" si="3"/>
        <v>42723.052175925921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{"issue":{"subject":"","project_id":79,"tracker_id":40,"status_id":1,"priority_id":2,"assigned_to_id":23,"start_date":"2016-12-18","description":"","custom_fields":[{"id":1,"name":"Subdivision","value":"EC"},{"id":4,"name":"Milepost","value":"0.0839"},{"id":17,"name":"Train ID","value":"204-18"},{"id":16,"name":"Locomotive ID","value":"4030"},{"id":130,"name":"Impact","value":""},{"id":150,"name":"Time of Event (Mountain Time)","value":"18:15:08"},{"id":151,"name":"Denver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"%USERPROFILE%\AppData\Local\Temp\OnboardLogs"\RTDC4030\*4030*201612190*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"%USERPROFILE%\AppData\Local\Temp\OnboardLogs"\RTDC4030\*4030*201612190* &gt;&gt; 42722-slicedisagreementcheck.txt</v>
      </c>
    </row>
    <row r="32" spans="1:30" x14ac:dyDescent="0.25">
      <c r="A32" s="36">
        <v>42722.742418981485</v>
      </c>
      <c r="B32" s="31" t="s">
        <v>508</v>
      </c>
      <c r="C32" s="31" t="s">
        <v>527</v>
      </c>
      <c r="D32" s="31" t="s">
        <v>49</v>
      </c>
      <c r="E32" s="31" t="s">
        <v>200</v>
      </c>
      <c r="F32" s="47">
        <v>0</v>
      </c>
      <c r="G32" s="47">
        <v>92</v>
      </c>
      <c r="H32" s="47">
        <v>233132</v>
      </c>
      <c r="I32" s="47">
        <v>233251</v>
      </c>
      <c r="J32" s="31" t="s">
        <v>201</v>
      </c>
      <c r="K32" s="47">
        <v>233491</v>
      </c>
      <c r="L32" s="154" t="s">
        <v>50</v>
      </c>
      <c r="M32" s="155">
        <f t="shared" si="0"/>
        <v>126.72</v>
      </c>
      <c r="N32" s="156" t="str">
        <f>VLOOKUP(C32,'Trips&amp;Operators'!$C$1:$G$99999,5,FALSE)</f>
        <v>HOLCOMB KAMDEN</v>
      </c>
      <c r="O32" s="182" t="s">
        <v>195</v>
      </c>
      <c r="P32" s="157"/>
      <c r="Q32" s="31"/>
      <c r="R32" s="100" t="str">
        <f>VLOOKUP(C32,'Train Runs'!$A$13:$AE$9968,31,0)</f>
        <v>aws s3 cp s3://rtdc.mdm.uploadarchive.raw/RTDC4027/ "%USERPROFILE%\AppData\Local\Temp\OnboardLogs"\RTDC4027\2016-12-18 --exclude "*" --recursive --include "*20161218*" &amp; "%USERPROFILE%\Documents\GitHub\mrs-test-scripts\Headless Mode &amp; Sideloading\WalkAndUnGZ.bat" "%USERPROFILE%\AppData\Local\Temp\OnboardLogs"\RTDC4027\2016-12-18 &amp; aws s3 cp s3://rtdc.mdm.uploadarchive.raw/RTDC4027/ "%USERPROFILE%\AppData\Local\Temp\OnboardLogs"\RTDC4027\2016-12-19 --exclude "*" --recursive --include "*20161219*" &amp; "%USERPROFILE%\Documents\GitHub\mrs-test-scripts\Headless Mode &amp; Sideloading\WalkAndUnGZ.bat" "%USERPROFILE%\AppData\Local\Temp\OnboardLogs"\RTDC4027\2016-12-19</v>
      </c>
      <c r="S32" s="103" t="str">
        <f>VLOOKUP(C32,'Train Runs'!$A$13:$AE$9968,22,0)</f>
        <v>https://search-rtdc-monitor-bjffxe2xuh6vdkpspy63sjmuny.us-east-1.es.amazonaws.com/_plugin/kibana/#/discover/Steve-Slow-Train-Analysis-(2080s-and-2083s)?_g=(refreshInterval:(display:Off,section:0,value:0),time:(from:'2016-12-18 16:32:07-700',mode:absolute,to:'2016-12-18 18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2" s="105" t="str">
        <f t="shared" si="1"/>
        <v>"C:\Program Files (x86)\AstroGrep\AstroGrep.exe" /spath="%USERPROFILE%\AppData\Local\Temp\OnboardLogs" /stypes="*4027*201612190*" /stext=" 00:.+((SYSTEM_STATE.+slice.+state.+changed )|(ment ac)|(multiple cpu faults)|(system.+state.+changed )|(\[timeout)|(PRM\|1\|D)|(kpr)|(kdp)|(\|lc)|(penalty))" /e /r /s</v>
      </c>
      <c r="U32" s="9" t="str">
        <f t="shared" si="2"/>
        <v>4027</v>
      </c>
      <c r="V32" s="36">
        <f t="shared" si="3"/>
        <v>42723.034085648149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{"issue":{"subject":"","project_id":79,"tracker_id":40,"status_id":1,"priority_id":2,"assigned_to_id":23,"start_date":"2016-12-18","description":"","custom_fields":[{"id":1,"name":"Subdivision","value":"EC"},{"id":4,"name":"Milepost","value":"23.3491"},{"id":17,"name":"Train ID","value":"205-18"},{"id":16,"name":"Locomotive ID","value":"4027"},{"id":130,"name":"Impact","value":""},{"id":150,"name":"Time of Event (Mountain Time)","value":"17:49:05"},{"id":151,"name":"Denver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"%USERPROFILE%\AppData\Local\Temp\OnboardLogs"\RTDC4027\*4027*201612190*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"%USERPROFILE%\AppData\Local\Temp\OnboardLogs"\RTDC4027\*4027*201612190* &gt;&gt; 42722-slicedisagreementcheck.txt</v>
      </c>
    </row>
    <row r="33" spans="1:30" x14ac:dyDescent="0.25">
      <c r="A33" s="36">
        <v>42722.962465277778</v>
      </c>
      <c r="B33" s="31" t="s">
        <v>510</v>
      </c>
      <c r="C33" s="31" t="s">
        <v>540</v>
      </c>
      <c r="D33" s="31" t="s">
        <v>49</v>
      </c>
      <c r="E33" s="31" t="s">
        <v>200</v>
      </c>
      <c r="F33" s="47">
        <v>0</v>
      </c>
      <c r="G33" s="47">
        <v>132</v>
      </c>
      <c r="H33" s="47">
        <v>232809</v>
      </c>
      <c r="I33" s="47">
        <v>233317</v>
      </c>
      <c r="J33" s="31" t="s">
        <v>201</v>
      </c>
      <c r="K33" s="47">
        <v>233491</v>
      </c>
      <c r="L33" s="154" t="s">
        <v>50</v>
      </c>
      <c r="M33" s="155">
        <f t="shared" si="0"/>
        <v>91.872</v>
      </c>
      <c r="N33" s="156" t="str">
        <f>VLOOKUP(C33,'Trips&amp;Operators'!$C$1:$G$99999,5,FALSE)</f>
        <v>STAMBAUGH JAMES</v>
      </c>
      <c r="O33" s="182" t="s">
        <v>195</v>
      </c>
      <c r="P33" s="157"/>
      <c r="Q33" s="31"/>
      <c r="R33" s="100" t="str">
        <f>VLOOKUP(C33,'Train Runs'!$A$13:$AE$9968,31,0)</f>
        <v>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 &amp; aws s3 cp s3://rtdc.mdm.uploadarchive.raw/RTDC4044/ "%USERPROFILE%\AppData\Local\Temp\OnboardLogs"\RTDC4044\2016-12-19 --exclude "*" --recursive --include "*20161219*" &amp; "%USERPROFILE%\Documents\GitHub\mrs-test-scripts\Headless Mode &amp; Sideloading\WalkAndUnGZ.bat" "%USERPROFILE%\AppData\Local\Temp\OnboardLogs"\RTDC4044\2016-12-19</v>
      </c>
      <c r="S33" s="103" t="str">
        <f>VLOOKUP(C33,'Train Runs'!$A$13:$AE$9968,22,0)</f>
        <v>https://search-rtdc-monitor-bjffxe2xuh6vdkpspy63sjmuny.us-east-1.es.amazonaws.com/_plugin/kibana/#/discover/Steve-Slow-Train-Analysis-(2080s-and-2083s)?_g=(refreshInterval:(display:Off,section:0,value:0),time:(from:'2016-12-18 21:08:39-700',mode:absolute,to:'2016-12-19 00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3" s="105" t="str">
        <f t="shared" si="1"/>
        <v>"C:\Program Files (x86)\AstroGrep\AstroGrep.exe" /spath="%USERPROFILE%\AppData\Local\Temp\OnboardLogs" /stypes="*4044*201612190*" /stext=" 06:.+((SYSTEM_STATE.+slice.+state.+changed )|(ment ac)|(multiple cpu faults)|(system.+state.+changed )|(\[timeout)|(PRM\|1\|D)|(kpr)|(kdp)|(\|lc)|(penalty))" /e /r /s</v>
      </c>
      <c r="U33" s="9" t="str">
        <f t="shared" si="2"/>
        <v>4044</v>
      </c>
      <c r="V33" s="36">
        <f t="shared" si="3"/>
        <v>42723.254131944443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{"issue":{"subject":"","project_id":79,"tracker_id":40,"status_id":1,"priority_id":2,"assigned_to_id":23,"start_date":"2016-12-18","description":"","custom_fields":[{"id":1,"name":"Subdivision","value":"EC"},{"id":4,"name":"Milepost","value":"23.3491"},{"id":17,"name":"Train ID","value":"235-18"},{"id":16,"name":"Locomotive ID","value":"4044"},{"id":130,"name":"Impact","value":""},{"id":150,"name":"Time of Event (Mountain Time)","value":"23:05:57"},{"id":151,"name":"Denver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"%USERPROFILE%\AppData\Local\Temp\OnboardLogs"\RTDC4044\*4044*201612190*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"%USERPROFILE%\AppData\Local\Temp\OnboardLogs"\RTDC4044\*4044*201612190* &gt;&gt; 42722-slicedisagreementcheck.txt</v>
      </c>
    </row>
    <row r="34" spans="1:30" x14ac:dyDescent="0.25">
      <c r="A34" s="36">
        <v>42722.865624999999</v>
      </c>
      <c r="B34" s="31" t="s">
        <v>295</v>
      </c>
      <c r="C34" s="31" t="s">
        <v>537</v>
      </c>
      <c r="D34" s="31" t="s">
        <v>98</v>
      </c>
      <c r="E34" s="31" t="s">
        <v>196</v>
      </c>
      <c r="F34" s="47">
        <v>400</v>
      </c>
      <c r="G34" s="47">
        <v>453</v>
      </c>
      <c r="H34" s="47">
        <v>39369</v>
      </c>
      <c r="I34" s="47">
        <v>37694</v>
      </c>
      <c r="J34" s="31" t="s">
        <v>197</v>
      </c>
      <c r="K34" s="47">
        <v>40977</v>
      </c>
      <c r="L34" s="154" t="s">
        <v>51</v>
      </c>
      <c r="M34" s="155">
        <f t="shared" si="0"/>
        <v>-1733.424</v>
      </c>
      <c r="N34" s="156" t="str">
        <f>VLOOKUP(C34,'Trips&amp;Operators'!$C$1:$G$99999,5,FALSE)</f>
        <v>LALONDE GREGORY</v>
      </c>
      <c r="O34" s="182" t="s">
        <v>195</v>
      </c>
      <c r="P34" s="157"/>
      <c r="Q34" s="31"/>
      <c r="R34" s="100" t="str">
        <f>VLOOKUP(C34,'Train Runs'!$A$13:$AE$9968,31,0)</f>
        <v>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 &amp; aws s3 cp s3://rtdc.mdm.uploadarchive.raw/RTDC4021/ "%USERPROFILE%\AppData\Local\Temp\OnboardLogs"\RTDC4021\2016-12-19 --exclude "*" --recursive --include "*20161219*" &amp; "%USERPROFILE%\Documents\GitHub\mrs-test-scripts\Headless Mode &amp; Sideloading\WalkAndUnGZ.bat" "%USERPROFILE%\AppData\Local\Temp\OnboardLogs"\RTDC4021\2016-12-19</v>
      </c>
      <c r="S34" s="103" t="str">
        <f>VLOOKUP(C34,'Train Runs'!$A$13:$AE$9968,22,0)</f>
        <v>https://search-rtdc-monitor-bjffxe2xuh6vdkpspy63sjmuny.us-east-1.es.amazonaws.com/_plugin/kibana/#/discover/Steve-Slow-Train-Analysis-(2080s-and-2083s)?_g=(refreshInterval:(display:Off,section:0,value:0),time:(from:'2016-12-18 19:36:08-700',mode:absolute,to:'2016-12-18 21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4" s="105" t="str">
        <f t="shared" si="1"/>
        <v>"C:\Program Files (x86)\AstroGrep\AstroGrep.exe" /spath="%USERPROFILE%\AppData\Local\Temp\OnboardLogs" /stypes="*4021*201612190*" /stext=" 03:.+((SYSTEM_STATE.+slice.+state.+changed )|(ment ac)|(multiple cpu faults)|(system.+state.+changed )|(\[timeout)|(PRM\|1\|D)|(kpr)|(kdp)|(\|lc)|(penalty))" /e /r /s</v>
      </c>
      <c r="U34" s="9" t="str">
        <f t="shared" si="2"/>
        <v>4021</v>
      </c>
      <c r="V34" s="36">
        <f t="shared" si="3"/>
        <v>42723.157291666663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{"issue":{"subject":"","project_id":79,"tracker_id":40,"status_id":1,"priority_id":2,"assigned_to_id":23,"start_date":"2016-12-18","description":"","custom_fields":[{"id":1,"name":"Subdivision","value":"NW"},{"id":4,"name":"Milepost","value":"4.0977"},{"id":17,"name":"Train ID","value":"1830-18"},{"id":16,"name":"Locomotive ID","value":"4021"},{"id":130,"name":"Impact","value":""},{"id":150,"name":"Time of Event (Mountain Time)","value":"20:46:30"},{"id":151,"name":"Denver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"%USERPROFILE%\AppData\Local\Temp\OnboardLogs"\RTDC4021\*4021*201612190*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"%USERPROFILE%\AppData\Local\Temp\OnboardLogs"\RTDC4021\*4021*201612190* &gt;&gt; 42722-slicedisagreementcheck.txt</v>
      </c>
    </row>
    <row r="35" spans="1:30" x14ac:dyDescent="0.25">
      <c r="A35" s="36">
        <v>42722.790254629632</v>
      </c>
      <c r="B35" s="31" t="s">
        <v>154</v>
      </c>
      <c r="C35" s="31" t="s">
        <v>535</v>
      </c>
      <c r="D35" s="31" t="s">
        <v>98</v>
      </c>
      <c r="E35" s="31" t="s">
        <v>196</v>
      </c>
      <c r="F35" s="47">
        <v>150</v>
      </c>
      <c r="G35" s="47">
        <v>210</v>
      </c>
      <c r="H35" s="47">
        <v>5069</v>
      </c>
      <c r="I35" s="47">
        <v>5412</v>
      </c>
      <c r="J35" s="31" t="s">
        <v>197</v>
      </c>
      <c r="K35" s="47">
        <v>825</v>
      </c>
      <c r="L35" s="154" t="s">
        <v>50</v>
      </c>
      <c r="M35" s="155">
        <f t="shared" si="0"/>
        <v>-2421.9360000000001</v>
      </c>
      <c r="N35" s="156" t="str">
        <f>VLOOKUP(C35,'Trips&amp;Operators'!$C$1:$G$99999,5,FALSE)</f>
        <v>HOLCOMB KAMDEN</v>
      </c>
      <c r="O35" s="182" t="s">
        <v>195</v>
      </c>
      <c r="P35" s="157"/>
      <c r="Q35" s="31"/>
      <c r="R35" s="100" t="str">
        <f>VLOOKUP(C35,'Train Runs'!$A$13:$AE$9968,31,0)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S35" s="103" t="str">
        <f>VLOOKUP(C35,'Train Runs'!$A$13:$AE$9968,22,0)</f>
        <v>https://search-rtdc-monitor-bjffxe2xuh6vdkpspy63sjmuny.us-east-1.es.amazonaws.com/_plugin/kibana/#/discover/Steve-Slow-Train-Analysis-(2080s-and-2083s)?_g=(refreshInterval:(display:Off,section:0,value:0),time:(from:'2016-12-18 17:50:31-700',mode:absolute,to:'1969-12-31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35" s="105" t="str">
        <f t="shared" si="1"/>
        <v>"C:\Program Files (x86)\AstroGrep\AstroGrep.exe" /spath="%USERPROFILE%\AppData\Local\Temp\OnboardLogs" /stypes="*4051*201612190*" /stext=" 01:.+((SYSTEM_STATE.+slice.+state.+changed )|(ment ac)|(multiple cpu faults)|(system.+state.+changed )|(\[timeout)|(PRM\|1\|D)|(kpr)|(kdp)|(\|lc)|(penalty))" /e /r /s</v>
      </c>
      <c r="U35" s="9" t="str">
        <f t="shared" si="2"/>
        <v>4051</v>
      </c>
      <c r="V35" s="36">
        <f t="shared" si="3"/>
        <v>42723.081921296296</v>
      </c>
      <c r="W35" s="50" t="str">
        <f t="shared" si="4"/>
        <v>Other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{"issue":{"subject":"","project_id":79,"tracker_id":40,"status_id":1,"priority_id":2,"assigned_to_id":23,"start_date":"2016-12-18","description":"","custom_fields":[{"id":1,"name":"Subdivision","value":"Other"},{"id":4,"name":"Milepost","value":"0.0825"},{"id":17,"name":"Train ID","value":"53-18"},{"id":16,"name":"Locomotive ID","value":"4051"},{"id":130,"name":"Impact","value":""},{"id":150,"name":"Time of Event (Mountain Time)","value":"18:57:58"},{"id":151,"name":"Denver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"%USERPROFILE%\AppData\Local\Temp\OnboardLogs"\RTDC4051\*4051*201612190*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"%USERPROFILE%\AppData\Local\Temp\OnboardLogs"\RTDC4051\*4051*201612190* &gt;&gt; 42722-slicedisagreementcheck.txt</v>
      </c>
    </row>
    <row r="36" spans="1:30" x14ac:dyDescent="0.25">
      <c r="A36" s="36">
        <v>42722.191192129627</v>
      </c>
      <c r="B36" s="31" t="s">
        <v>506</v>
      </c>
      <c r="C36" s="31" t="s">
        <v>507</v>
      </c>
      <c r="D36" s="31" t="s">
        <v>49</v>
      </c>
      <c r="E36" s="31" t="s">
        <v>198</v>
      </c>
      <c r="F36" s="47">
        <v>0</v>
      </c>
      <c r="G36" s="47">
        <v>34</v>
      </c>
      <c r="H36" s="47">
        <v>11063</v>
      </c>
      <c r="I36" s="47">
        <v>10911</v>
      </c>
      <c r="J36" s="31" t="s">
        <v>199</v>
      </c>
      <c r="K36" s="47">
        <v>11016</v>
      </c>
      <c r="L36" s="154" t="s">
        <v>51</v>
      </c>
      <c r="M36" s="155">
        <f t="shared" si="0"/>
        <v>-55.44</v>
      </c>
      <c r="N36" s="156" t="str">
        <f>VLOOKUP(C36,'Trips&amp;Operators'!$C$1:$G$99999,5,FALSE)</f>
        <v>ROBINSON KADDIBA</v>
      </c>
      <c r="O36" s="182" t="s">
        <v>195</v>
      </c>
      <c r="P36" s="157"/>
      <c r="Q36" s="31"/>
      <c r="R36" s="100" t="str">
        <f>VLOOKUP(C36,'Train Runs'!$A$13:$AE$9968,31,0)</f>
        <v>aws s3 cp s3://rtdc.mdm.uploadarchive.raw/RTDC4028/ "%USERPROFILE%\AppData\Local\Temp\OnboardLogs"\RTDC4028\2016-12-18 --exclude "*" --recursive --include "*20161218*" &amp; "%USERPROFILE%\Documents\GitHub\mrs-test-scripts\Headless Mode &amp; Sideloading\WalkAndUnGZ.bat" "%USERPROFILE%\AppData\Local\Temp\OnboardLogs"\RTDC4028\2016-12-18 &amp; aws s3 cp s3://rtdc.mdm.uploadarchive.raw/RTDC4028/ "%USERPROFILE%\AppData\Local\Temp\OnboardLogs"\RTDC4028\2016-12-19 --exclude "*" --recursive --include "*20161219*" &amp; "%USERPROFILE%\Documents\GitHub\mrs-test-scripts\Headless Mode &amp; Sideloading\WalkAndUnGZ.bat" "%USERPROFILE%\AppData\Local\Temp\OnboardLogs"\RTDC4028\2016-12-19</v>
      </c>
      <c r="S36" s="103" t="str">
        <f>VLOOKUP(C36,'Train Runs'!$A$13:$AE$9968,22,0)</f>
        <v>https://search-rtdc-monitor-bjffxe2xuh6vdkpspy63sjmuny.us-east-1.es.amazonaws.com/_plugin/kibana/#/discover/Steve-Slow-Train-Analysis-(2080s-and-2083s)?_g=(refreshInterval:(display:Off,section:0,value:0),time:(from:'2016-12-18 03:25:58-700',mode:absolute,to:'2016-12-18 05:41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6" s="105" t="str">
        <f t="shared" si="1"/>
        <v>"C:\Program Files (x86)\AstroGrep\AstroGrep.exe" /spath="%USERPROFILE%\AppData\Local\Temp\OnboardLogs" /stypes="*4028*201612181*" /stext=" 11:.+((SYSTEM_STATE.+slice.+state.+changed )|(ment ac)|(multiple cpu faults)|(system.+state.+changed )|(\[timeout)|(PRM\|1\|D)|(kpr)|(kdp)|(\|lc)|(penalty))" /e /r /s</v>
      </c>
      <c r="U36" s="9" t="str">
        <f t="shared" si="2"/>
        <v>4028</v>
      </c>
      <c r="V36" s="36">
        <f t="shared" si="3"/>
        <v>42722.482858796291</v>
      </c>
      <c r="W36" s="50" t="str">
        <f t="shared" si="4"/>
        <v>Other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{"issue":{"subject":"","project_id":79,"tracker_id":40,"status_id":1,"priority_id":2,"assigned_to_id":23,"start_date":"2016-12-18","description":"","custom_fields":[{"id":1,"name":"Subdivision","value":"Other"},{"id":4,"name":"Milepost","value":"1.1016"},{"id":17,"name":"Train ID","value":"310-18"},{"id":16,"name":"Locomotive ID","value":"4028"},{"id":130,"name":"Impact","value":""},{"id":150,"name":"Time of Event (Mountain Time)","value":"04:35:19"},{"id":151,"name":"Denver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"%USERPROFILE%\AppData\Local\Temp\OnboardLogs"\RTDC4028\*4028*201612181*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"%USERPROFILE%\AppData\Local\Temp\OnboardLogs"\RTDC4028\*4028*201612181* &gt;&gt; 42722-slicedisagreementcheck.txt</v>
      </c>
    </row>
    <row r="37" spans="1:30" x14ac:dyDescent="0.25">
      <c r="A37" s="36">
        <v>42722.720763888887</v>
      </c>
      <c r="B37" s="31" t="s">
        <v>155</v>
      </c>
      <c r="C37" s="31" t="s">
        <v>528</v>
      </c>
      <c r="D37" s="31" t="s">
        <v>49</v>
      </c>
      <c r="E37" s="31" t="s">
        <v>200</v>
      </c>
      <c r="F37" s="47">
        <v>0</v>
      </c>
      <c r="G37" s="47">
        <v>5</v>
      </c>
      <c r="H37" s="47">
        <v>837</v>
      </c>
      <c r="I37" s="47">
        <v>835</v>
      </c>
      <c r="J37" s="31" t="s">
        <v>201</v>
      </c>
      <c r="K37" s="47">
        <v>826</v>
      </c>
      <c r="L37" s="154" t="s">
        <v>51</v>
      </c>
      <c r="M37" s="155">
        <f t="shared" si="0"/>
        <v>4.7519999999999998</v>
      </c>
      <c r="N37" s="156" t="str">
        <f>VLOOKUP(C37,'Trips&amp;Operators'!$C$1:$G$99999,5,FALSE)</f>
        <v>NEWELL JAMES</v>
      </c>
      <c r="O37" s="182" t="s">
        <v>195</v>
      </c>
      <c r="P37" s="157"/>
      <c r="Q37" s="31"/>
      <c r="R37" s="100" t="str">
        <f>VLOOKUP(C37,'Train Runs'!$A$13:$AE$9968,31,0)</f>
        <v>aws s3 cp s3://rtdc.mdm.uploadarchive.raw/RTDC4052/ "%USERPROFILE%\AppData\Local\Temp\OnboardLogs"\RTDC4052\2016-12-18 --exclude "*" --recursive --include "*20161218*" &amp; "%USERPROFILE%\Documents\GitHub\mrs-test-scripts\Headless Mode &amp; Sideloading\WalkAndUnGZ.bat" "%USERPROFILE%\AppData\Local\Temp\OnboardLogs"\RTDC4052\2016-12-18 &amp; aws s3 cp s3://rtdc.mdm.uploadarchive.raw/RTDC4052/ "%USERPROFILE%\AppData\Local\Temp\OnboardLogs"\RTDC4052\2016-12-19 --exclude "*" --recursive --include "*20161219*" &amp; "%USERPROFILE%\Documents\GitHub\mrs-test-scripts\Headless Mode &amp; Sideloading\WalkAndUnGZ.bat" "%USERPROFILE%\AppData\Local\Temp\OnboardLogs"\RTDC4052\2016-12-19</v>
      </c>
      <c r="S37" s="103" t="str">
        <f>VLOOKUP(C37,'Train Runs'!$A$13:$AE$9968,22,0)</f>
        <v>https://search-rtdc-monitor-bjffxe2xuh6vdkpspy63sjmuny.us-east-1.es.amazonaws.com/_plugin/kibana/#/discover/Steve-Slow-Train-Analysis-(2080s-and-2083s)?_g=(refreshInterval:(display:Off,section:0,value:0),time:(from:'2016-12-18 16:04:53-700',mode:absolute,to:'2016-12-18 18:16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7" s="105" t="str">
        <f t="shared" si="1"/>
        <v>"C:\Program Files (x86)\AstroGrep\AstroGrep.exe" /spath="%USERPROFILE%\AppData\Local\Temp\OnboardLogs" /stypes="*4052*201612190*" /stext=" 00:.+((SYSTEM_STATE.+slice.+state.+changed )|(ment ac)|(multiple cpu faults)|(system.+state.+changed )|(\[timeout)|(PRM\|1\|D)|(kpr)|(kdp)|(\|lc)|(penalty))" /e /r /s</v>
      </c>
      <c r="U37" s="9" t="str">
        <f t="shared" si="2"/>
        <v>4052</v>
      </c>
      <c r="V37" s="36">
        <f t="shared" si="3"/>
        <v>42723.012430555551</v>
      </c>
      <c r="W37" s="50" t="str">
        <f t="shared" si="4"/>
        <v>Other</v>
      </c>
      <c r="X37" s="50" t="str">
        <f t="shared" si="5"/>
        <v>OMIT</v>
      </c>
      <c r="Y37" s="119" t="str">
        <f t="shared" si="6"/>
        <v>echo {"issue":{"subject":"","project_id":79,"tracker_id":40,"status_id":1,"priority_id":2,"assigned_to_id":23,"start_date":"2016-12-18","description":"","custom_fields":[{"id":1,"name":"Subdivision","value":"Other"},{"id":4,"name":"Milepost","value":"0.0826"},{"id":17,"name":"Train ID","value":"51-18"},{"id":16,"name":"Locomotive ID","value":"4052"},{"id":130,"name":"Impact","value":""},{"id":150,"name":"Time of Event (Mountain Time)","value":"17:17:54"},{"id":151,"name":"Denver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"%USERPROFILE%\AppData\Local\Temp\OnboardLogs"\RTDC4052\*4052*201612190*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"%USERPROFILE%\AppData\Local\Temp\OnboardLogs"\RTDC4052\*4052*201612190* &gt;&gt; 42722-slicedisagreementcheck.txt</v>
      </c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</sheetData>
  <autoFilter ref="A6:AC43">
    <sortState ref="A7:AC44">
      <sortCondition ref="W7:W38"/>
      <sortCondition ref="E7:E38"/>
      <sortCondition ref="K7:K38"/>
      <sortCondition ref="F7:F38"/>
    </sortState>
  </autoFilter>
  <sortState ref="A7:AD48">
    <sortCondition ref="W7:W48"/>
    <sortCondition ref="E7:E48"/>
    <sortCondition ref="K7:K48"/>
    <sortCondition ref="C7:C48"/>
    <sortCondition ref="F7:F48"/>
  </sortState>
  <mergeCells count="1">
    <mergeCell ref="A5:O5"/>
  </mergeCells>
  <conditionalFormatting sqref="O6:P6 R6 O73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7"/>
  <sheetViews>
    <sheetView workbookViewId="0">
      <selection activeCell="G21" sqref="G21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2016-12-18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110</v>
      </c>
      <c r="B3" s="47" t="str">
        <f>A3&amp;"-"&amp;IF(DAY(Variables!$A$2)&lt;10,0,"")&amp;DAY(Variables!$A$2)</f>
        <v>110-18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22110-18%22)),sort:!(Time,asc))</v>
      </c>
      <c r="J3" s="31" t="e">
        <f>VLOOKUP(B3,'Train Runs'!$A$13:$A$99965,1,FALSE)</f>
        <v>#N/A</v>
      </c>
      <c r="K3" s="31" t="e">
        <f>VLOOKUP(B3,'Train Runs'!$A$13:$A$155,1,FALSE)</f>
        <v>#N/A</v>
      </c>
    </row>
    <row r="4" spans="1:11" x14ac:dyDescent="0.25">
      <c r="A4" s="171">
        <v>112</v>
      </c>
      <c r="B4" s="47" t="str">
        <f>A4&amp;"-"&amp;IF(DAY(Variables!$A$2)&lt;10,0,"")&amp;DAY(Variables!$A$2)</f>
        <v>112-18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:I19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22112-18%22)),sort:!(Time,asc))</v>
      </c>
      <c r="J4" s="31" t="e">
        <f>VLOOKUP(B4,'Train Runs'!$A$13:$A$99965,1,FALSE)</f>
        <v>#N/A</v>
      </c>
      <c r="K4" s="31" t="e">
        <f>VLOOKUP(B4,'Train Runs'!$A$13:$A$155,1,FALSE)</f>
        <v>#N/A</v>
      </c>
    </row>
    <row r="5" spans="1:11" x14ac:dyDescent="0.25">
      <c r="A5" s="171">
        <v>114</v>
      </c>
      <c r="B5" s="47" t="str">
        <f>A5&amp;"-"&amp;IF(DAY(Variables!$A$2)&lt;10,0,"")&amp;DAY(Variables!$A$2)</f>
        <v>114-18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-18%22)),sort:!(Time,asc))</v>
      </c>
      <c r="J5" s="31" t="e">
        <f>VLOOKUP(B5,'Train Runs'!$A$13:$A$99965,1,FALSE)</f>
        <v>#N/A</v>
      </c>
      <c r="K5" s="31" t="e">
        <f>VLOOKUP(B5,'Train Runs'!$A$13:$A$155,1,FALSE)</f>
        <v>#N/A</v>
      </c>
    </row>
    <row r="6" spans="1:11" x14ac:dyDescent="0.25">
      <c r="A6" s="171">
        <v>116</v>
      </c>
      <c r="B6" s="47" t="str">
        <f>A6&amp;"-"&amp;IF(DAY(Variables!$A$2)&lt;10,0,"")&amp;DAY(Variables!$A$2)</f>
        <v>116-18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22116-18%22)),sort:!(Time,asc))</v>
      </c>
      <c r="J6" s="31" t="e">
        <f>VLOOKUP(B6,'Train Runs'!$A$13:$A$99965,1,FALSE)</f>
        <v>#N/A</v>
      </c>
      <c r="K6" s="31" t="e">
        <f>VLOOKUP(B6,'Train Runs'!$A$13:$A$155,1,FALSE)</f>
        <v>#N/A</v>
      </c>
    </row>
    <row r="7" spans="1:11" x14ac:dyDescent="0.25">
      <c r="A7" s="171">
        <v>118</v>
      </c>
      <c r="B7" s="47" t="str">
        <f>A7&amp;"-"&amp;IF(DAY(Variables!$A$2)&lt;10,0,"")&amp;DAY(Variables!$A$2)</f>
        <v>118-18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22118-18%22)),sort:!(Time,asc))</v>
      </c>
      <c r="J7" s="31" t="e">
        <f>VLOOKUP(B7,'Train Runs'!$A$13:$A$99965,1,FALSE)</f>
        <v>#N/A</v>
      </c>
      <c r="K7" s="31" t="e">
        <f>VLOOKUP(B7,'Train Runs'!$A$13:$A$155,1,FALSE)</f>
        <v>#N/A</v>
      </c>
    </row>
    <row r="8" spans="1:11" x14ac:dyDescent="0.25">
      <c r="A8" s="171">
        <v>119</v>
      </c>
      <c r="B8" s="47" t="str">
        <f>A8&amp;"-"&amp;IF(DAY(Variables!$A$2)&lt;10,0,"")&amp;DAY(Variables!$A$2)</f>
        <v>119-18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-18%22)),sort:!(Time,asc))</v>
      </c>
      <c r="J8" s="31" t="e">
        <f>VLOOKUP(B8,'Train Runs'!$A$13:$A$99965,1,FALSE)</f>
        <v>#N/A</v>
      </c>
      <c r="K8" s="31" t="e">
        <f>VLOOKUP(B8,'Train Runs'!$A$13:$A$155,1,FALSE)</f>
        <v>#N/A</v>
      </c>
    </row>
    <row r="9" spans="1:11" x14ac:dyDescent="0.25">
      <c r="A9" s="171">
        <v>121</v>
      </c>
      <c r="B9" s="47" t="str">
        <f>A9&amp;"-"&amp;IF(DAY(Variables!$A$2)&lt;10,0,"")&amp;DAY(Variables!$A$2)</f>
        <v>121-18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22121-18%22)),sort:!(Time,asc))</v>
      </c>
      <c r="J9" s="31" t="e">
        <f>VLOOKUP(B9,'Train Runs'!$A$13:$A$99965,1,FALSE)</f>
        <v>#N/A</v>
      </c>
      <c r="K9" s="31" t="e">
        <f>VLOOKUP(B9,'Train Runs'!$A$13:$A$155,1,FALSE)</f>
        <v>#N/A</v>
      </c>
    </row>
    <row r="10" spans="1:11" x14ac:dyDescent="0.25">
      <c r="A10" s="171">
        <v>122</v>
      </c>
      <c r="B10" s="47" t="str">
        <f>A10&amp;"-"&amp;IF(DAY(Variables!$A$2)&lt;10,0,"")&amp;DAY(Variables!$A$2)</f>
        <v>122-18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22122-18%22)),sort:!(Time,asc))</v>
      </c>
      <c r="J10" s="31" t="e">
        <f>VLOOKUP(B10,'Train Runs'!$A$13:$A$99965,1,FALSE)</f>
        <v>#N/A</v>
      </c>
      <c r="K10" s="31" t="e">
        <f>VLOOKUP(B10,'Train Runs'!$A$13:$A$155,1,FALSE)</f>
        <v>#N/A</v>
      </c>
    </row>
    <row r="11" spans="1:11" x14ac:dyDescent="0.25">
      <c r="A11" s="171">
        <v>123</v>
      </c>
      <c r="B11" s="47" t="str">
        <f>A11&amp;"-"&amp;IF(DAY(Variables!$A$2)&lt;10,0,"")&amp;DAY(Variables!$A$2)</f>
        <v>123-18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22123-18%22)),sort:!(Time,asc))</v>
      </c>
      <c r="J11" s="31" t="e">
        <f>VLOOKUP(B11,'Train Runs'!$A$13:$A$99965,1,FALSE)</f>
        <v>#N/A</v>
      </c>
      <c r="K11" s="31" t="e">
        <f>VLOOKUP(B11,'Train Runs'!$A$13:$A$155,1,FALSE)</f>
        <v>#N/A</v>
      </c>
    </row>
    <row r="12" spans="1:11" x14ac:dyDescent="0.25">
      <c r="A12" s="171">
        <v>125</v>
      </c>
      <c r="B12" s="47" t="str">
        <f>A12&amp;"-"&amp;IF(DAY(Variables!$A$2)&lt;10,0,"")&amp;DAY(Variables!$A$2)</f>
        <v>125-18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22125-18%22)),sort:!(Time,asc))</v>
      </c>
      <c r="J12" s="31" t="e">
        <f>VLOOKUP(B12,'Train Runs'!$A$13:$A$99965,1,FALSE)</f>
        <v>#N/A</v>
      </c>
      <c r="K12" s="31" t="e">
        <f>VLOOKUP(B12,'Train Runs'!$A$13:$A$155,1,FALSE)</f>
        <v>#N/A</v>
      </c>
    </row>
    <row r="13" spans="1:11" x14ac:dyDescent="0.25">
      <c r="A13" s="171">
        <v>126</v>
      </c>
      <c r="B13" s="47" t="str">
        <f>A13&amp;"-"&amp;IF(DAY(Variables!$A$2)&lt;10,0,"")&amp;DAY(Variables!$A$2)</f>
        <v>126-18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22126-18%22)),sort:!(Time,asc))</v>
      </c>
      <c r="J13" s="31" t="e">
        <f>VLOOKUP(B13,'Train Runs'!$A$13:$A$99965,1,FALSE)</f>
        <v>#N/A</v>
      </c>
      <c r="K13" s="31" t="e">
        <f>VLOOKUP(B13,'Train Runs'!$A$13:$A$155,1,FALSE)</f>
        <v>#N/A</v>
      </c>
    </row>
    <row r="14" spans="1:11" x14ac:dyDescent="0.25">
      <c r="A14" s="171">
        <v>129</v>
      </c>
      <c r="B14" s="47" t="str">
        <f>A14&amp;"-"&amp;IF(DAY(Variables!$A$2)&lt;10,0,"")&amp;DAY(Variables!$A$2)</f>
        <v>129-18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22129-18%22)),sort:!(Time,asc))</v>
      </c>
      <c r="J14" s="31" t="e">
        <f>VLOOKUP(B14,'Train Runs'!$A$13:$A$99965,1,FALSE)</f>
        <v>#N/A</v>
      </c>
      <c r="K14" s="31" t="e">
        <f>VLOOKUP(B14,'Train Runs'!$A$13:$A$155,1,FALSE)</f>
        <v>#N/A</v>
      </c>
    </row>
    <row r="15" spans="1:11" x14ac:dyDescent="0.25">
      <c r="A15" s="171">
        <v>130</v>
      </c>
      <c r="B15" s="47" t="str">
        <f>A15&amp;"-"&amp;IF(DAY(Variables!$A$2)&lt;10,0,"")&amp;DAY(Variables!$A$2)</f>
        <v>130-18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22130-18%22)),sort:!(Time,asc))</v>
      </c>
      <c r="J15" s="31" t="e">
        <f>VLOOKUP(B15,'Train Runs'!$A$13:$A$99965,1,FALSE)</f>
        <v>#N/A</v>
      </c>
      <c r="K15" s="31" t="e">
        <f>VLOOKUP(B15,'Train Runs'!$A$13:$A$155,1,FALSE)</f>
        <v>#N/A</v>
      </c>
    </row>
    <row r="16" spans="1:11" x14ac:dyDescent="0.25">
      <c r="A16" s="171">
        <v>133</v>
      </c>
      <c r="B16" s="47" t="str">
        <f>A16&amp;"-"&amp;IF(DAY(Variables!$A$2)&lt;10,0,"")&amp;DAY(Variables!$A$2)</f>
        <v>133-18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22133-18%22)),sort:!(Time,asc))</v>
      </c>
      <c r="J16" s="31" t="e">
        <f>VLOOKUP(B16,'Train Runs'!$A$13:$A$99965,1,FALSE)</f>
        <v>#N/A</v>
      </c>
      <c r="K16" s="31" t="e">
        <f>VLOOKUP(B16,'Train Runs'!$A$13:$A$155,1,FALSE)</f>
        <v>#N/A</v>
      </c>
    </row>
    <row r="17" spans="1:11" x14ac:dyDescent="0.25">
      <c r="A17" s="171">
        <v>135</v>
      </c>
      <c r="B17" s="47" t="str">
        <f>A17&amp;"-"&amp;IF(DAY(Variables!$A$2)&lt;10,0,"")&amp;DAY(Variables!$A$2)</f>
        <v>135-18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22135-18%22)),sort:!(Time,asc))</v>
      </c>
      <c r="J17" s="31" t="e">
        <f>VLOOKUP(B17,'Train Runs'!$A$13:$A$99965,1,FALSE)</f>
        <v>#N/A</v>
      </c>
      <c r="K17" s="31" t="e">
        <f>VLOOKUP(B17,'Train Runs'!$A$13:$A$155,1,FALSE)</f>
        <v>#N/A</v>
      </c>
    </row>
    <row r="18" spans="1:11" x14ac:dyDescent="0.25">
      <c r="A18" s="171">
        <v>142</v>
      </c>
      <c r="B18" s="47" t="str">
        <f>A18&amp;"-"&amp;IF(DAY(Variables!$A$2)&lt;10,0,"")&amp;DAY(Variables!$A$2)</f>
        <v>142-18</v>
      </c>
      <c r="C18" s="158"/>
      <c r="D18" s="163"/>
      <c r="E18" s="31"/>
      <c r="F18" s="22" t="str">
        <f>VLOOKUP(B18,'Trips&amp;Operators'!$C$2:$E$10000,3,FALSE)</f>
        <v>ISHMAEL</v>
      </c>
      <c r="G18" s="22" t="str">
        <f>VLOOKUP(B18,'Trips&amp;Operators'!$C$1:$F$10000,4,FALSE)</f>
        <v>JOSEPH</v>
      </c>
      <c r="H18" s="30" t="str">
        <f>VLOOKUP(B18,'Trips&amp;Operators'!$C$1:$H$10000,5,FALSE)</f>
        <v>ISHMAEL JOSEPH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22142-18%22)),sort:!(Time,asc))</v>
      </c>
      <c r="J18" s="31" t="e">
        <f>VLOOKUP(B18,'Train Runs'!$A$13:$A$99965,1,FALSE)</f>
        <v>#N/A</v>
      </c>
      <c r="K18" s="31" t="e">
        <f>VLOOKUP(B18,'Train Runs'!$A$13:$A$155,1,FALSE)</f>
        <v>#N/A</v>
      </c>
    </row>
    <row r="19" spans="1:11" x14ac:dyDescent="0.25">
      <c r="A19" s="171">
        <v>194</v>
      </c>
      <c r="B19" s="47" t="str">
        <f>A19&amp;"-"&amp;IF(DAY(Variables!$A$2)&lt;10,0,"")&amp;DAY(Variables!$A$2)</f>
        <v>194-18</v>
      </c>
      <c r="C19" s="158"/>
      <c r="D19" s="163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22194-18%22)),sort:!(Time,asc))</v>
      </c>
      <c r="J19" s="31" t="e">
        <f>VLOOKUP(B19,'Train Runs'!$A$13:$A$99965,1,FALSE)</f>
        <v>#N/A</v>
      </c>
      <c r="K19" s="31" t="e">
        <f>VLOOKUP(B19,'Train Runs'!$A$13:$A$155,1,FALSE)</f>
        <v>#N/A</v>
      </c>
    </row>
    <row r="20" spans="1:11" x14ac:dyDescent="0.25">
      <c r="A20" s="171"/>
      <c r="B20" s="47"/>
      <c r="C20" s="158"/>
      <c r="D20" s="163"/>
      <c r="E20" s="31"/>
      <c r="F20" s="22"/>
      <c r="G20" s="22"/>
      <c r="H20" s="30"/>
      <c r="I20" s="50"/>
      <c r="J20" s="31"/>
      <c r="K20" s="31"/>
    </row>
    <row r="21" spans="1:11" x14ac:dyDescent="0.25">
      <c r="A21" s="171"/>
      <c r="B21" s="47"/>
      <c r="C21" s="158"/>
      <c r="D21" s="163"/>
      <c r="E21" s="31"/>
      <c r="F21" s="22"/>
      <c r="G21" s="22"/>
      <c r="H21" s="30"/>
      <c r="I21" s="50"/>
      <c r="J21" s="31"/>
      <c r="K21" s="31"/>
    </row>
    <row r="22" spans="1:11" x14ac:dyDescent="0.25">
      <c r="A22" s="171"/>
      <c r="B22" s="47"/>
      <c r="C22" s="158"/>
      <c r="D22" s="163"/>
      <c r="E22" s="31"/>
      <c r="F22" s="22"/>
      <c r="G22" s="22"/>
      <c r="H22" s="30"/>
      <c r="I22" s="50"/>
      <c r="J22" s="31"/>
      <c r="K22" s="31"/>
    </row>
    <row r="23" spans="1:11" x14ac:dyDescent="0.25">
      <c r="A23" s="171"/>
      <c r="B23" s="47"/>
      <c r="C23" s="158"/>
      <c r="D23" s="163"/>
      <c r="E23" s="31"/>
      <c r="F23" s="22"/>
      <c r="G23" s="22"/>
      <c r="H23" s="30"/>
      <c r="I23" s="50"/>
      <c r="J23" s="31"/>
      <c r="K23" s="31"/>
    </row>
    <row r="24" spans="1:11" x14ac:dyDescent="0.25">
      <c r="A24" s="171"/>
      <c r="B24" s="47"/>
      <c r="C24" s="158"/>
      <c r="D24" s="163"/>
      <c r="E24" s="31"/>
      <c r="F24" s="22"/>
      <c r="G24" s="22"/>
      <c r="H24" s="30"/>
      <c r="I24" s="50"/>
      <c r="J24" s="31"/>
      <c r="K24" s="31"/>
    </row>
    <row r="25" spans="1:11" x14ac:dyDescent="0.25">
      <c r="A25" s="171"/>
      <c r="B25" s="47"/>
      <c r="C25" s="158"/>
      <c r="D25" s="163"/>
      <c r="E25" s="31"/>
      <c r="F25" s="22"/>
      <c r="G25" s="22"/>
      <c r="H25" s="30"/>
      <c r="I25" s="50"/>
      <c r="J25" s="31"/>
      <c r="K25" s="31"/>
    </row>
    <row r="26" spans="1:11" x14ac:dyDescent="0.25">
      <c r="A26" s="171"/>
      <c r="B26" s="47"/>
      <c r="C26" s="158"/>
      <c r="D26" s="163"/>
      <c r="E26" s="31"/>
      <c r="F26" s="22"/>
      <c r="G26" s="22"/>
      <c r="H26" s="30"/>
      <c r="I26" s="50"/>
      <c r="J26" s="31"/>
      <c r="K26" s="31"/>
    </row>
    <row r="27" spans="1:11" x14ac:dyDescent="0.25">
      <c r="A27" s="171"/>
      <c r="B27" s="47"/>
      <c r="C27" s="158"/>
      <c r="D27" s="163"/>
      <c r="E27" s="31"/>
      <c r="F27" s="22"/>
      <c r="G27" s="22"/>
      <c r="H27" s="30"/>
      <c r="I27" s="50"/>
      <c r="J27" s="31"/>
      <c r="K27" s="31"/>
    </row>
    <row r="28" spans="1:11" x14ac:dyDescent="0.25">
      <c r="A28" s="171"/>
      <c r="B28" s="47"/>
      <c r="C28" s="158"/>
      <c r="D28" s="163"/>
      <c r="E28" s="31"/>
      <c r="F28" s="22"/>
      <c r="G28" s="22"/>
      <c r="H28" s="30"/>
      <c r="I28" s="50"/>
      <c r="J28" s="31"/>
      <c r="K28" s="31"/>
    </row>
    <row r="29" spans="1:11" x14ac:dyDescent="0.25">
      <c r="A29" s="171"/>
      <c r="B29" s="47"/>
      <c r="C29" s="158"/>
      <c r="D29" s="163"/>
      <c r="E29" s="31"/>
      <c r="F29" s="22"/>
      <c r="G29" s="22"/>
      <c r="H29" s="30"/>
      <c r="I29" s="50"/>
      <c r="J29" s="31"/>
      <c r="K29" s="31"/>
    </row>
    <row r="30" spans="1:11" x14ac:dyDescent="0.25">
      <c r="A30" s="171"/>
      <c r="B30" s="47"/>
      <c r="C30" s="158"/>
      <c r="D30" s="163"/>
      <c r="E30" s="31"/>
      <c r="F30" s="22"/>
      <c r="G30" s="22"/>
      <c r="H30" s="30"/>
      <c r="I30" s="50"/>
      <c r="J30" s="31"/>
      <c r="K30" s="31"/>
    </row>
    <row r="31" spans="1:11" x14ac:dyDescent="0.25">
      <c r="A31" s="171"/>
      <c r="B31" s="47"/>
      <c r="C31" s="158"/>
      <c r="D31" s="163"/>
      <c r="E31" s="31"/>
      <c r="F31" s="22"/>
      <c r="G31" s="22"/>
      <c r="H31" s="30"/>
      <c r="I31" s="50"/>
      <c r="J31" s="31"/>
      <c r="K31" s="31"/>
    </row>
    <row r="32" spans="1:11" x14ac:dyDescent="0.25">
      <c r="A32" s="171"/>
      <c r="B32" s="47"/>
      <c r="C32" s="158"/>
      <c r="D32" s="163"/>
      <c r="E32" s="31"/>
      <c r="F32" s="22"/>
      <c r="G32" s="22"/>
      <c r="H32" s="30"/>
      <c r="I32" s="50"/>
      <c r="J32" s="31"/>
      <c r="K32" s="31"/>
    </row>
    <row r="33" spans="1:11" x14ac:dyDescent="0.25">
      <c r="A33" s="171"/>
      <c r="B33" s="47"/>
      <c r="C33" s="158"/>
      <c r="D33" s="163"/>
      <c r="E33" s="31"/>
      <c r="F33" s="22"/>
      <c r="G33" s="22"/>
      <c r="H33" s="30"/>
      <c r="I33" s="50"/>
      <c r="J33" s="31"/>
      <c r="K33" s="31"/>
    </row>
    <row r="34" spans="1:11" x14ac:dyDescent="0.25">
      <c r="A34" s="171"/>
      <c r="B34" s="47"/>
      <c r="C34" s="158"/>
      <c r="D34" s="163"/>
      <c r="E34" s="31"/>
      <c r="F34" s="22"/>
      <c r="G34" s="22"/>
      <c r="H34" s="30"/>
      <c r="I34" s="50"/>
      <c r="J34" s="31"/>
      <c r="K34" s="31"/>
    </row>
    <row r="35" spans="1:11" x14ac:dyDescent="0.25">
      <c r="A35" s="171"/>
      <c r="B35" s="47"/>
      <c r="C35" s="158"/>
      <c r="D35" s="163"/>
      <c r="E35" s="31"/>
      <c r="F35" s="22"/>
      <c r="G35" s="22"/>
      <c r="H35" s="30"/>
      <c r="I35" s="50"/>
      <c r="J35" s="31"/>
      <c r="K35" s="31"/>
    </row>
    <row r="36" spans="1:11" x14ac:dyDescent="0.25">
      <c r="A36" s="171"/>
      <c r="B36" s="47"/>
      <c r="C36" s="158"/>
      <c r="D36" s="163"/>
      <c r="E36" s="31"/>
      <c r="F36" s="22"/>
      <c r="G36" s="22"/>
      <c r="H36" s="30"/>
      <c r="I36" s="50"/>
      <c r="J36" s="31"/>
      <c r="K36" s="31"/>
    </row>
    <row r="37" spans="1:11" x14ac:dyDescent="0.25">
      <c r="A37" s="171"/>
      <c r="B37" s="47"/>
      <c r="C37" s="158"/>
      <c r="D37" s="163"/>
      <c r="E37" s="31"/>
      <c r="F37" s="22"/>
      <c r="G37" s="22"/>
      <c r="H37" s="30"/>
      <c r="I37" s="50"/>
      <c r="J37" s="31"/>
      <c r="K37" s="31"/>
    </row>
    <row r="38" spans="1:11" x14ac:dyDescent="0.25">
      <c r="A38" s="171"/>
      <c r="B38" s="47"/>
      <c r="C38" s="158"/>
      <c r="D38" s="163"/>
      <c r="E38" s="31"/>
      <c r="F38" s="22"/>
      <c r="G38" s="22"/>
      <c r="H38" s="30"/>
      <c r="I38" s="50"/>
      <c r="J38" s="31"/>
      <c r="K38" s="31"/>
    </row>
    <row r="39" spans="1:11" x14ac:dyDescent="0.25">
      <c r="A39" s="171"/>
      <c r="B39" s="47"/>
      <c r="C39" s="158"/>
      <c r="D39" s="163"/>
      <c r="E39" s="31"/>
      <c r="F39" s="22"/>
      <c r="G39" s="22"/>
      <c r="H39" s="30"/>
      <c r="I39" s="50"/>
      <c r="J39" s="31"/>
      <c r="K39" s="31"/>
    </row>
    <row r="40" spans="1:11" x14ac:dyDescent="0.25">
      <c r="A40" s="171"/>
      <c r="B40" s="47"/>
      <c r="C40" s="158"/>
      <c r="D40" s="163"/>
      <c r="E40" s="31"/>
      <c r="F40" s="22"/>
      <c r="G40" s="22"/>
      <c r="H40" s="30"/>
      <c r="I40" s="50"/>
      <c r="J40" s="31"/>
      <c r="K40" s="31"/>
    </row>
    <row r="41" spans="1:11" x14ac:dyDescent="0.25">
      <c r="A41" s="171"/>
      <c r="B41" s="47"/>
      <c r="C41" s="158"/>
      <c r="D41" s="163"/>
      <c r="E41" s="31"/>
      <c r="F41" s="22"/>
      <c r="G41" s="22"/>
      <c r="H41" s="30"/>
      <c r="I41" s="50"/>
      <c r="J41" s="31"/>
      <c r="K41" s="31"/>
    </row>
    <row r="42" spans="1:11" x14ac:dyDescent="0.25">
      <c r="A42" s="171"/>
      <c r="B42" s="47"/>
      <c r="C42" s="158"/>
      <c r="D42" s="163"/>
      <c r="E42" s="31"/>
      <c r="F42" s="22"/>
      <c r="G42" s="22"/>
      <c r="H42" s="30"/>
      <c r="I42" s="50"/>
      <c r="J42" s="31"/>
      <c r="K42" s="31"/>
    </row>
    <row r="43" spans="1:11" x14ac:dyDescent="0.25">
      <c r="A43" s="171"/>
      <c r="B43" s="47"/>
      <c r="C43" s="158"/>
      <c r="D43" s="163"/>
      <c r="E43" s="31"/>
      <c r="F43" s="22"/>
      <c r="G43" s="22"/>
      <c r="H43" s="30"/>
      <c r="I43" s="50"/>
      <c r="J43" s="31"/>
      <c r="K43" s="31"/>
    </row>
    <row r="44" spans="1:11" x14ac:dyDescent="0.25">
      <c r="A44" s="171"/>
      <c r="B44" s="47"/>
      <c r="C44" s="158"/>
      <c r="D44" s="163"/>
      <c r="E44" s="31"/>
      <c r="F44" s="22"/>
      <c r="G44" s="22"/>
      <c r="H44" s="30"/>
      <c r="I44" s="50"/>
      <c r="J44" s="31"/>
      <c r="K44" s="31"/>
    </row>
    <row r="45" spans="1:11" x14ac:dyDescent="0.25">
      <c r="A45" s="171"/>
      <c r="B45" s="47"/>
      <c r="C45" s="158"/>
      <c r="D45" s="163"/>
      <c r="E45" s="31"/>
      <c r="F45" s="22"/>
      <c r="G45" s="22"/>
      <c r="H45" s="30"/>
      <c r="I45" s="50"/>
      <c r="J45" s="31"/>
      <c r="K45" s="31"/>
    </row>
    <row r="46" spans="1:11" x14ac:dyDescent="0.25">
      <c r="A46" s="171"/>
      <c r="B46" s="47"/>
      <c r="C46" s="158"/>
      <c r="D46" s="163"/>
      <c r="E46" s="31"/>
      <c r="F46" s="22"/>
      <c r="G46" s="22"/>
      <c r="H46" s="30"/>
      <c r="I46" s="50"/>
      <c r="J46" s="31"/>
      <c r="K46" s="31"/>
    </row>
    <row r="47" spans="1:11" x14ac:dyDescent="0.25">
      <c r="A47" s="171"/>
      <c r="B47" s="47"/>
      <c r="C47" s="158"/>
      <c r="D47" s="163"/>
      <c r="E47" s="31"/>
      <c r="F47" s="22"/>
      <c r="G47" s="22"/>
      <c r="H47" s="30"/>
      <c r="I47" s="50"/>
      <c r="J47" s="31"/>
      <c r="K47" s="31"/>
    </row>
    <row r="48" spans="1:11" x14ac:dyDescent="0.25">
      <c r="A48" s="171"/>
      <c r="B48" s="47"/>
      <c r="C48" s="158"/>
      <c r="D48" s="163"/>
      <c r="E48" s="31"/>
      <c r="F48" s="22"/>
      <c r="G48" s="22"/>
      <c r="H48" s="30"/>
      <c r="I48" s="50"/>
      <c r="J48" s="31"/>
      <c r="K48" s="31"/>
    </row>
    <row r="49" spans="1:11" x14ac:dyDescent="0.25">
      <c r="A49" s="171"/>
      <c r="B49" s="47"/>
      <c r="C49" s="158"/>
      <c r="D49" s="163"/>
      <c r="E49" s="31"/>
      <c r="F49" s="22"/>
      <c r="G49" s="22"/>
      <c r="H49" s="30"/>
      <c r="I49" s="50"/>
      <c r="J49" s="31"/>
      <c r="K49" s="31"/>
    </row>
    <row r="50" spans="1:11" x14ac:dyDescent="0.25">
      <c r="A50" s="171"/>
      <c r="B50" s="47"/>
      <c r="C50" s="158"/>
      <c r="D50" s="163"/>
      <c r="E50" s="31"/>
      <c r="F50" s="22"/>
      <c r="G50" s="22"/>
      <c r="H50" s="30"/>
      <c r="I50" s="50"/>
      <c r="J50" s="31"/>
      <c r="K50" s="31"/>
    </row>
    <row r="51" spans="1:11" x14ac:dyDescent="0.25">
      <c r="A51" s="171"/>
      <c r="B51" s="47"/>
      <c r="C51" s="158"/>
      <c r="D51" s="163"/>
      <c r="E51" s="31"/>
      <c r="F51" s="22"/>
      <c r="G51" s="22"/>
      <c r="H51" s="30"/>
      <c r="I51" s="50"/>
      <c r="J51" s="31"/>
      <c r="K51" s="31"/>
    </row>
    <row r="52" spans="1:11" x14ac:dyDescent="0.25">
      <c r="A52" s="171"/>
      <c r="B52" s="47"/>
      <c r="C52" s="158"/>
      <c r="D52" s="163"/>
      <c r="E52" s="31"/>
      <c r="F52" s="22"/>
      <c r="G52" s="22"/>
      <c r="H52" s="30"/>
      <c r="I52" s="50"/>
      <c r="J52" s="31"/>
      <c r="K52" s="31"/>
    </row>
    <row r="53" spans="1:11" x14ac:dyDescent="0.25">
      <c r="A53" s="171"/>
      <c r="B53" s="47"/>
      <c r="C53" s="158"/>
      <c r="D53" s="163"/>
      <c r="E53" s="31"/>
      <c r="F53" s="22"/>
      <c r="G53" s="22"/>
      <c r="H53" s="30"/>
      <c r="I53" s="50"/>
      <c r="J53" s="31"/>
      <c r="K53" s="31"/>
    </row>
    <row r="54" spans="1:11" x14ac:dyDescent="0.25">
      <c r="A54" s="171"/>
      <c r="B54" s="47"/>
      <c r="C54" s="158"/>
      <c r="D54" s="163"/>
      <c r="E54" s="31"/>
      <c r="F54" s="22"/>
      <c r="G54" s="22"/>
      <c r="H54" s="30"/>
      <c r="I54" s="50"/>
      <c r="J54" s="31"/>
      <c r="K54" s="31"/>
    </row>
    <row r="55" spans="1:11" x14ac:dyDescent="0.25">
      <c r="A55" s="171"/>
      <c r="B55" s="47"/>
      <c r="C55" s="158"/>
      <c r="D55" s="163"/>
      <c r="E55" s="31"/>
      <c r="F55" s="22"/>
      <c r="G55" s="22"/>
      <c r="H55" s="30"/>
      <c r="I55" s="50"/>
      <c r="J55" s="31"/>
      <c r="K55" s="31"/>
    </row>
    <row r="56" spans="1:11" x14ac:dyDescent="0.25">
      <c r="A56" s="171"/>
      <c r="B56" s="47"/>
      <c r="C56" s="158"/>
      <c r="D56" s="163"/>
      <c r="E56" s="31"/>
      <c r="F56" s="22"/>
      <c r="G56" s="22"/>
      <c r="H56" s="30"/>
      <c r="I56" s="50"/>
      <c r="J56" s="31"/>
      <c r="K56" s="31"/>
    </row>
    <row r="57" spans="1:11" x14ac:dyDescent="0.25">
      <c r="A57" s="171"/>
      <c r="B57" s="47"/>
      <c r="C57" s="158"/>
      <c r="D57" s="163"/>
      <c r="E57" s="31"/>
      <c r="F57" s="22"/>
      <c r="G57" s="22"/>
      <c r="H57" s="30"/>
      <c r="I57" s="50"/>
      <c r="J57" s="31"/>
      <c r="K57" s="31"/>
    </row>
    <row r="58" spans="1:11" x14ac:dyDescent="0.25">
      <c r="A58" s="171"/>
      <c r="B58" s="47"/>
      <c r="C58" s="158"/>
      <c r="D58" s="163"/>
      <c r="E58" s="31"/>
      <c r="F58" s="22"/>
      <c r="G58" s="22"/>
      <c r="H58" s="30"/>
      <c r="I58" s="50"/>
      <c r="J58" s="31"/>
      <c r="K58" s="31"/>
    </row>
    <row r="59" spans="1:11" x14ac:dyDescent="0.25">
      <c r="A59" s="171"/>
      <c r="B59" s="47"/>
      <c r="C59" s="158"/>
      <c r="D59" s="163"/>
      <c r="E59" s="31"/>
      <c r="F59" s="22"/>
      <c r="G59" s="22"/>
      <c r="H59" s="30"/>
      <c r="I59" s="50"/>
      <c r="J59" s="31"/>
      <c r="K59" s="31"/>
    </row>
    <row r="60" spans="1:11" x14ac:dyDescent="0.25">
      <c r="A60" s="171"/>
      <c r="B60" s="47"/>
      <c r="C60" s="158"/>
      <c r="D60" s="163"/>
      <c r="E60" s="31"/>
      <c r="F60" s="22"/>
      <c r="G60" s="22"/>
      <c r="H60" s="30"/>
      <c r="I60" s="50"/>
      <c r="J60" s="31"/>
      <c r="K60" s="31"/>
    </row>
    <row r="61" spans="1:11" x14ac:dyDescent="0.25">
      <c r="A61" s="171"/>
      <c r="B61" s="47"/>
      <c r="C61" s="158"/>
      <c r="D61" s="163"/>
      <c r="E61" s="31"/>
      <c r="F61" s="22"/>
      <c r="G61" s="22"/>
      <c r="H61" s="30"/>
      <c r="I61" s="50"/>
      <c r="J61" s="31"/>
      <c r="K61" s="31"/>
    </row>
    <row r="62" spans="1:11" x14ac:dyDescent="0.25">
      <c r="A62" s="171"/>
      <c r="B62" s="47"/>
      <c r="C62" s="158"/>
      <c r="D62" s="163"/>
      <c r="E62" s="31"/>
      <c r="F62" s="22"/>
      <c r="G62" s="22"/>
      <c r="H62" s="30"/>
      <c r="I62" s="50"/>
      <c r="J62" s="31"/>
      <c r="K62" s="31"/>
    </row>
    <row r="63" spans="1:11" x14ac:dyDescent="0.25">
      <c r="A63" s="171"/>
      <c r="B63" s="47"/>
      <c r="C63" s="158"/>
      <c r="D63" s="163"/>
      <c r="E63" s="31"/>
      <c r="F63" s="22"/>
      <c r="G63" s="22"/>
      <c r="H63" s="30"/>
      <c r="I63" s="50"/>
      <c r="J63" s="31"/>
      <c r="K63" s="31"/>
    </row>
    <row r="64" spans="1:11" x14ac:dyDescent="0.25">
      <c r="A64" s="171"/>
      <c r="B64" s="47"/>
      <c r="C64" s="158"/>
      <c r="D64" s="163"/>
      <c r="E64" s="31"/>
      <c r="F64" s="22"/>
      <c r="G64" s="22"/>
      <c r="H64" s="30"/>
      <c r="I64" s="50"/>
      <c r="J64" s="31"/>
      <c r="K64" s="31"/>
    </row>
    <row r="65" spans="1:11" x14ac:dyDescent="0.25">
      <c r="A65" s="171"/>
      <c r="B65" s="47"/>
      <c r="C65" s="158"/>
      <c r="D65" s="163"/>
      <c r="E65" s="31"/>
      <c r="F65" s="22"/>
      <c r="G65" s="22"/>
      <c r="H65" s="30"/>
      <c r="I65" s="50"/>
      <c r="J65" s="31"/>
      <c r="K65" s="31"/>
    </row>
    <row r="66" spans="1:11" x14ac:dyDescent="0.25">
      <c r="A66" s="171"/>
      <c r="B66" s="47"/>
      <c r="C66" s="158"/>
      <c r="D66" s="163"/>
      <c r="E66" s="31"/>
      <c r="F66" s="22"/>
      <c r="G66" s="22"/>
      <c r="H66" s="30"/>
      <c r="I66" s="50"/>
      <c r="J66" s="31"/>
      <c r="K66" s="31"/>
    </row>
    <row r="67" spans="1:11" x14ac:dyDescent="0.25">
      <c r="A67" s="171"/>
      <c r="B67" s="47"/>
      <c r="C67" s="158"/>
      <c r="D67" s="163"/>
      <c r="E67" s="31"/>
      <c r="F67" s="22"/>
      <c r="G67" s="22"/>
      <c r="H67" s="30"/>
      <c r="I67" s="50"/>
      <c r="J67" s="31"/>
      <c r="K67" s="31"/>
    </row>
    <row r="68" spans="1:11" x14ac:dyDescent="0.25">
      <c r="A68" s="171"/>
      <c r="B68" s="47"/>
      <c r="C68" s="158"/>
      <c r="D68" s="163"/>
      <c r="E68" s="31"/>
      <c r="F68" s="22"/>
      <c r="G68" s="22"/>
      <c r="H68" s="30"/>
      <c r="I68" s="50"/>
      <c r="J68" s="31"/>
      <c r="K68" s="31"/>
    </row>
    <row r="69" spans="1:11" x14ac:dyDescent="0.25">
      <c r="A69" s="171"/>
      <c r="B69" s="47"/>
      <c r="C69" s="158"/>
      <c r="D69" s="163"/>
      <c r="E69" s="31"/>
      <c r="F69" s="22"/>
      <c r="G69" s="22"/>
      <c r="H69" s="30"/>
      <c r="I69" s="50"/>
      <c r="J69" s="31"/>
      <c r="K69" s="31"/>
    </row>
    <row r="70" spans="1:11" x14ac:dyDescent="0.25">
      <c r="A70" s="171"/>
      <c r="B70" s="47"/>
      <c r="C70" s="158"/>
      <c r="D70" s="163"/>
      <c r="E70" s="31"/>
      <c r="F70" s="22"/>
      <c r="G70" s="22"/>
      <c r="H70" s="30"/>
      <c r="I70" s="50"/>
      <c r="J70" s="31"/>
      <c r="K70" s="31"/>
    </row>
    <row r="71" spans="1:11" x14ac:dyDescent="0.25">
      <c r="A71" s="171"/>
      <c r="B71" s="47"/>
      <c r="C71" s="158"/>
      <c r="D71" s="163"/>
      <c r="E71" s="31"/>
      <c r="F71" s="22"/>
      <c r="G71" s="22"/>
      <c r="H71" s="30"/>
      <c r="I71" s="50"/>
      <c r="J71" s="31"/>
      <c r="K71" s="31"/>
    </row>
    <row r="72" spans="1:11" x14ac:dyDescent="0.25">
      <c r="A72" s="171"/>
      <c r="B72" s="47"/>
      <c r="C72" s="158"/>
      <c r="D72" s="163"/>
      <c r="E72" s="31"/>
      <c r="F72" s="22"/>
      <c r="G72" s="22"/>
      <c r="H72" s="30"/>
      <c r="I72" s="50"/>
      <c r="J72" s="31"/>
      <c r="K72" s="31"/>
    </row>
    <row r="73" spans="1:11" x14ac:dyDescent="0.25">
      <c r="A73" s="171"/>
      <c r="B73" s="47"/>
      <c r="C73" s="158"/>
      <c r="D73" s="163"/>
      <c r="E73" s="31"/>
      <c r="F73" s="22"/>
      <c r="G73" s="22"/>
      <c r="H73" s="30"/>
      <c r="I73" s="50"/>
      <c r="J73" s="31"/>
      <c r="K73" s="31"/>
    </row>
    <row r="74" spans="1:11" x14ac:dyDescent="0.25">
      <c r="A74" s="171"/>
      <c r="B74" s="47"/>
      <c r="C74" s="158"/>
      <c r="D74" s="163"/>
      <c r="E74" s="31"/>
      <c r="F74" s="22"/>
      <c r="G74" s="22"/>
      <c r="H74" s="30"/>
      <c r="I74" s="50"/>
      <c r="J74" s="31"/>
      <c r="K74" s="31"/>
    </row>
    <row r="75" spans="1:11" x14ac:dyDescent="0.25">
      <c r="A75" s="171"/>
      <c r="B75" s="47"/>
      <c r="C75" s="158"/>
      <c r="D75" s="163"/>
      <c r="E75" s="31"/>
      <c r="F75" s="22"/>
      <c r="G75" s="22"/>
      <c r="H75" s="30"/>
      <c r="I75" s="50"/>
      <c r="J75" s="31"/>
      <c r="K75" s="31"/>
    </row>
    <row r="76" spans="1:11" x14ac:dyDescent="0.25">
      <c r="A76" s="171"/>
      <c r="B76" s="47"/>
      <c r="C76" s="158"/>
      <c r="D76" s="163"/>
      <c r="E76" s="31"/>
      <c r="F76" s="22"/>
      <c r="G76" s="22"/>
      <c r="H76" s="30"/>
      <c r="I76" s="50"/>
      <c r="J76" s="31"/>
      <c r="K76" s="31"/>
    </row>
    <row r="77" spans="1:11" x14ac:dyDescent="0.25">
      <c r="A77" s="171"/>
      <c r="B77" s="47"/>
      <c r="C77" s="158"/>
      <c r="D77" s="163"/>
      <c r="E77" s="31"/>
      <c r="F77" s="22"/>
      <c r="G77" s="22"/>
      <c r="H77" s="30"/>
      <c r="I77" s="50"/>
      <c r="J77" s="31"/>
      <c r="K77" s="31"/>
    </row>
    <row r="78" spans="1:11" x14ac:dyDescent="0.25">
      <c r="A78" s="171"/>
      <c r="B78" s="47"/>
      <c r="C78" s="158"/>
      <c r="D78" s="163"/>
      <c r="E78" s="31"/>
      <c r="F78" s="22"/>
      <c r="G78" s="22"/>
      <c r="H78" s="30"/>
      <c r="I78" s="50"/>
      <c r="J78" s="31"/>
      <c r="K78" s="31"/>
    </row>
    <row r="79" spans="1:11" x14ac:dyDescent="0.25">
      <c r="A79" s="171"/>
      <c r="B79" s="47"/>
      <c r="C79" s="158"/>
      <c r="D79" s="163"/>
      <c r="E79" s="31"/>
      <c r="F79" s="22"/>
      <c r="G79" s="22"/>
      <c r="H79" s="30"/>
      <c r="I79" s="50"/>
      <c r="J79" s="31"/>
      <c r="K79" s="31"/>
    </row>
    <row r="80" spans="1:11" x14ac:dyDescent="0.25">
      <c r="A80" s="171"/>
      <c r="B80" s="47"/>
      <c r="C80" s="158"/>
      <c r="D80" s="163"/>
      <c r="E80" s="31"/>
      <c r="F80" s="22"/>
      <c r="G80" s="22"/>
      <c r="H80" s="30"/>
      <c r="I80" s="50"/>
      <c r="J80" s="31"/>
      <c r="K80" s="31"/>
    </row>
    <row r="81" spans="1:11" x14ac:dyDescent="0.25">
      <c r="A81" s="171"/>
      <c r="B81" s="47"/>
      <c r="C81" s="158"/>
      <c r="D81" s="163"/>
      <c r="E81" s="31"/>
      <c r="F81" s="22"/>
      <c r="G81" s="22"/>
      <c r="H81" s="30"/>
      <c r="I81" s="50"/>
      <c r="J81" s="31"/>
      <c r="K81" s="31"/>
    </row>
    <row r="82" spans="1:11" x14ac:dyDescent="0.25">
      <c r="A82" s="171"/>
      <c r="B82" s="47"/>
      <c r="C82" s="158"/>
      <c r="D82" s="163"/>
      <c r="E82" s="31"/>
      <c r="F82" s="22"/>
      <c r="G82" s="22"/>
      <c r="H82" s="30"/>
      <c r="I82" s="50"/>
      <c r="J82" s="31"/>
      <c r="K82" s="31"/>
    </row>
    <row r="83" spans="1:11" x14ac:dyDescent="0.25">
      <c r="A83" s="171"/>
      <c r="B83" s="47"/>
      <c r="C83" s="158"/>
      <c r="D83" s="163"/>
      <c r="E83" s="31"/>
      <c r="F83" s="22"/>
      <c r="G83" s="22"/>
      <c r="H83" s="30"/>
      <c r="I83" s="50"/>
      <c r="J83" s="31"/>
      <c r="K83" s="31"/>
    </row>
    <row r="84" spans="1:11" x14ac:dyDescent="0.25">
      <c r="A84" s="171"/>
      <c r="B84" s="47"/>
      <c r="C84" s="158"/>
      <c r="D84" s="163"/>
      <c r="E84" s="31"/>
      <c r="F84" s="22"/>
      <c r="G84" s="22"/>
      <c r="H84" s="30"/>
      <c r="I84" s="50"/>
      <c r="J84" s="31"/>
      <c r="K84" s="31"/>
    </row>
    <row r="85" spans="1:11" x14ac:dyDescent="0.25">
      <c r="A85" s="171"/>
      <c r="B85" s="47"/>
      <c r="C85" s="158"/>
      <c r="D85" s="163"/>
      <c r="E85" s="31"/>
      <c r="F85" s="22"/>
      <c r="G85" s="22"/>
      <c r="H85" s="30"/>
      <c r="I85" s="50"/>
      <c r="J85" s="31"/>
      <c r="K85" s="31"/>
    </row>
    <row r="86" spans="1:11" x14ac:dyDescent="0.25">
      <c r="A86" s="171"/>
      <c r="B86" s="47"/>
      <c r="C86" s="158"/>
      <c r="D86" s="163"/>
      <c r="E86" s="31"/>
      <c r="F86" s="22"/>
      <c r="G86" s="22"/>
      <c r="H86" s="30"/>
      <c r="I86" s="50"/>
      <c r="J86" s="31"/>
      <c r="K86" s="31"/>
    </row>
    <row r="87" spans="1:11" x14ac:dyDescent="0.25">
      <c r="A87" s="171"/>
      <c r="B87" s="47"/>
      <c r="C87" s="158"/>
      <c r="D87" s="163"/>
      <c r="E87" s="31"/>
      <c r="F87" s="22"/>
      <c r="G87" s="22"/>
      <c r="H87" s="30"/>
      <c r="I87" s="50"/>
      <c r="J87" s="31"/>
      <c r="K87" s="31"/>
    </row>
    <row r="88" spans="1:11" x14ac:dyDescent="0.25">
      <c r="A88" s="171"/>
      <c r="B88" s="47"/>
      <c r="C88" s="158"/>
      <c r="D88" s="163"/>
      <c r="E88" s="31"/>
      <c r="F88" s="22"/>
      <c r="G88" s="22"/>
      <c r="H88" s="30"/>
      <c r="I88" s="50"/>
      <c r="J88" s="31"/>
      <c r="K88" s="31"/>
    </row>
    <row r="89" spans="1:11" x14ac:dyDescent="0.25">
      <c r="A89" s="171"/>
      <c r="B89" s="47"/>
      <c r="C89" s="158"/>
      <c r="D89" s="163"/>
      <c r="E89" s="31"/>
      <c r="F89" s="22"/>
      <c r="G89" s="22"/>
      <c r="H89" s="30"/>
      <c r="I89" s="50"/>
      <c r="J89" s="31"/>
      <c r="K89" s="31"/>
    </row>
    <row r="90" spans="1:11" x14ac:dyDescent="0.25">
      <c r="A90" s="171"/>
      <c r="B90" s="47"/>
      <c r="C90" s="158"/>
      <c r="D90" s="163"/>
      <c r="E90" s="31"/>
      <c r="F90" s="22"/>
      <c r="G90" s="22"/>
      <c r="H90" s="30"/>
      <c r="I90" s="50"/>
      <c r="J90" s="31"/>
      <c r="K90" s="31"/>
    </row>
    <row r="91" spans="1:11" x14ac:dyDescent="0.25">
      <c r="A91" s="171"/>
      <c r="B91" s="47"/>
      <c r="C91" s="158"/>
      <c r="D91" s="163"/>
      <c r="E91" s="31"/>
      <c r="F91" s="22"/>
      <c r="G91" s="22"/>
      <c r="H91" s="30"/>
      <c r="I91" s="50"/>
      <c r="J91" s="31"/>
      <c r="K91" s="31"/>
    </row>
    <row r="92" spans="1:11" x14ac:dyDescent="0.25">
      <c r="A92" s="171"/>
      <c r="B92" s="47"/>
      <c r="C92" s="158"/>
      <c r="D92" s="163"/>
      <c r="E92" s="31"/>
      <c r="F92" s="22"/>
      <c r="G92" s="22"/>
      <c r="H92" s="30"/>
      <c r="I92" s="50"/>
      <c r="J92" s="31"/>
      <c r="K92" s="31"/>
    </row>
    <row r="93" spans="1:11" x14ac:dyDescent="0.25">
      <c r="A93" s="171"/>
      <c r="B93" s="47"/>
      <c r="C93" s="158"/>
      <c r="D93" s="163"/>
      <c r="E93" s="31"/>
      <c r="F93" s="22"/>
      <c r="G93" s="22"/>
      <c r="H93" s="30"/>
      <c r="I93" s="50"/>
      <c r="J93" s="31"/>
      <c r="K93" s="31"/>
    </row>
    <row r="94" spans="1:11" x14ac:dyDescent="0.25">
      <c r="A94" s="171"/>
      <c r="B94" s="47"/>
      <c r="C94" s="158"/>
      <c r="D94" s="163"/>
      <c r="E94" s="31"/>
      <c r="F94" s="22"/>
      <c r="G94" s="22"/>
      <c r="H94" s="30"/>
      <c r="I94" s="50"/>
      <c r="J94" s="31"/>
      <c r="K94" s="31"/>
    </row>
    <row r="95" spans="1:11" x14ac:dyDescent="0.25">
      <c r="A95" s="171"/>
      <c r="B95" s="47"/>
      <c r="C95" s="158"/>
      <c r="D95" s="163"/>
      <c r="E95" s="31"/>
      <c r="F95" s="22"/>
      <c r="G95" s="22"/>
      <c r="H95" s="30"/>
      <c r="I95" s="50"/>
      <c r="J95" s="31"/>
      <c r="K95" s="31"/>
    </row>
    <row r="96" spans="1:11" x14ac:dyDescent="0.25">
      <c r="A96" s="171"/>
      <c r="B96" s="47"/>
      <c r="C96" s="158"/>
      <c r="D96" s="163"/>
      <c r="E96" s="31"/>
      <c r="F96" s="22"/>
      <c r="G96" s="22"/>
      <c r="H96" s="30"/>
      <c r="I96" s="50"/>
      <c r="J96" s="31"/>
      <c r="K96" s="31"/>
    </row>
    <row r="97" spans="1:11" x14ac:dyDescent="0.25">
      <c r="A97" s="171"/>
      <c r="B97" s="47"/>
      <c r="C97" s="158"/>
      <c r="D97" s="163"/>
      <c r="E97" s="31"/>
      <c r="F97" s="22"/>
      <c r="G97" s="22"/>
      <c r="H97" s="30"/>
      <c r="I97" s="50"/>
      <c r="J97" s="31"/>
      <c r="K97" s="31"/>
    </row>
    <row r="98" spans="1:11" x14ac:dyDescent="0.25">
      <c r="A98" s="171"/>
      <c r="B98" s="47"/>
      <c r="C98" s="158"/>
      <c r="D98" s="163"/>
      <c r="E98" s="31"/>
      <c r="F98" s="22"/>
      <c r="G98" s="22"/>
      <c r="H98" s="30"/>
      <c r="I98" s="50"/>
      <c r="J98" s="31"/>
      <c r="K98" s="31"/>
    </row>
    <row r="99" spans="1:11" x14ac:dyDescent="0.25">
      <c r="A99" s="171"/>
      <c r="B99" s="47"/>
      <c r="C99" s="158"/>
      <c r="D99" s="163"/>
      <c r="E99" s="31"/>
      <c r="F99" s="22"/>
      <c r="G99" s="22"/>
      <c r="H99" s="30"/>
      <c r="I99" s="50"/>
      <c r="J99" s="31"/>
      <c r="K99" s="31"/>
    </row>
    <row r="100" spans="1:11" x14ac:dyDescent="0.25">
      <c r="A100" s="171"/>
      <c r="B100" s="47"/>
      <c r="C100" s="158"/>
      <c r="D100" s="163"/>
      <c r="E100" s="31"/>
      <c r="F100" s="22"/>
      <c r="G100" s="22"/>
      <c r="H100" s="30"/>
      <c r="I100" s="50"/>
      <c r="J100" s="31"/>
      <c r="K100" s="31"/>
    </row>
    <row r="101" spans="1:11" x14ac:dyDescent="0.25">
      <c r="A101" s="171"/>
      <c r="B101" s="47"/>
      <c r="C101" s="158"/>
      <c r="D101" s="163"/>
      <c r="E101" s="31"/>
      <c r="F101" s="22"/>
      <c r="G101" s="22"/>
      <c r="H101" s="30"/>
      <c r="I101" s="50"/>
      <c r="J101" s="31"/>
      <c r="K101" s="31"/>
    </row>
    <row r="102" spans="1:11" x14ac:dyDescent="0.25">
      <c r="A102" s="171"/>
      <c r="B102" s="47"/>
      <c r="C102" s="158"/>
      <c r="D102" s="163"/>
      <c r="E102" s="31"/>
      <c r="F102" s="22"/>
      <c r="G102" s="22"/>
      <c r="H102" s="30"/>
      <c r="I102" s="50"/>
      <c r="J102" s="31"/>
      <c r="K102" s="31"/>
    </row>
    <row r="103" spans="1:11" x14ac:dyDescent="0.25">
      <c r="A103" s="171"/>
      <c r="B103" s="47"/>
      <c r="C103" s="158"/>
      <c r="D103" s="163"/>
      <c r="E103" s="31"/>
      <c r="F103" s="22"/>
      <c r="G103" s="22"/>
      <c r="H103" s="30"/>
      <c r="I103" s="50"/>
      <c r="J103" s="31"/>
      <c r="K103" s="31"/>
    </row>
    <row r="104" spans="1:11" x14ac:dyDescent="0.25">
      <c r="A104" s="171"/>
      <c r="B104" s="47"/>
      <c r="C104" s="158"/>
      <c r="D104" s="163"/>
      <c r="E104" s="31"/>
      <c r="F104" s="22"/>
      <c r="G104" s="22"/>
      <c r="H104" s="30"/>
      <c r="I104" s="50"/>
      <c r="J104" s="31"/>
      <c r="K104" s="31"/>
    </row>
    <row r="105" spans="1:11" x14ac:dyDescent="0.25">
      <c r="A105" s="171"/>
      <c r="B105" s="47"/>
      <c r="C105" s="158"/>
      <c r="D105" s="163"/>
      <c r="E105" s="31"/>
      <c r="F105" s="22"/>
      <c r="G105" s="22"/>
      <c r="H105" s="30"/>
      <c r="I105" s="50"/>
      <c r="J105" s="31"/>
      <c r="K105" s="31"/>
    </row>
    <row r="106" spans="1:11" x14ac:dyDescent="0.25">
      <c r="A106" s="171"/>
      <c r="B106" s="47"/>
      <c r="C106" s="158"/>
      <c r="D106" s="163"/>
      <c r="E106" s="31"/>
      <c r="F106" s="22"/>
      <c r="G106" s="22"/>
      <c r="H106" s="30"/>
      <c r="I106" s="50"/>
      <c r="J106" s="31"/>
      <c r="K106" s="31"/>
    </row>
    <row r="107" spans="1:11" x14ac:dyDescent="0.25">
      <c r="A107" s="171"/>
      <c r="B107" s="47"/>
      <c r="C107" s="158"/>
      <c r="D107" s="163"/>
      <c r="E107" s="31"/>
      <c r="F107" s="22"/>
      <c r="G107" s="22"/>
      <c r="H107" s="30"/>
      <c r="I107" s="50"/>
      <c r="J107" s="31"/>
      <c r="K107" s="31"/>
    </row>
    <row r="108" spans="1:11" x14ac:dyDescent="0.25">
      <c r="A108" s="171"/>
      <c r="B108" s="47"/>
      <c r="C108" s="158"/>
      <c r="D108" s="163"/>
      <c r="E108" s="31"/>
      <c r="F108" s="22"/>
      <c r="G108" s="22"/>
      <c r="H108" s="30"/>
      <c r="I108" s="50"/>
      <c r="J108" s="31"/>
      <c r="K108" s="31"/>
    </row>
    <row r="109" spans="1:11" x14ac:dyDescent="0.25">
      <c r="A109" s="171"/>
      <c r="B109" s="47"/>
      <c r="C109" s="158"/>
      <c r="D109" s="163"/>
      <c r="E109" s="31"/>
      <c r="F109" s="22"/>
      <c r="G109" s="22"/>
      <c r="H109" s="30"/>
      <c r="I109" s="50"/>
      <c r="J109" s="31"/>
      <c r="K109" s="31"/>
    </row>
    <row r="110" spans="1:11" x14ac:dyDescent="0.25">
      <c r="A110" s="171"/>
      <c r="B110" s="47"/>
      <c r="C110" s="158"/>
      <c r="D110" s="163"/>
      <c r="E110" s="31"/>
      <c r="F110" s="22"/>
      <c r="G110" s="22"/>
      <c r="H110" s="30"/>
      <c r="I110" s="50"/>
      <c r="J110" s="31"/>
      <c r="K110" s="31"/>
    </row>
    <row r="111" spans="1:11" x14ac:dyDescent="0.25">
      <c r="A111" s="171"/>
      <c r="B111" s="47"/>
      <c r="C111" s="158"/>
      <c r="D111" s="163"/>
      <c r="E111" s="31"/>
      <c r="F111" s="22"/>
      <c r="G111" s="22"/>
      <c r="H111" s="30"/>
      <c r="I111" s="50"/>
      <c r="J111" s="31"/>
      <c r="K111" s="31"/>
    </row>
    <row r="112" spans="1:11" x14ac:dyDescent="0.25">
      <c r="A112" s="171"/>
      <c r="B112" s="47"/>
      <c r="C112" s="158"/>
      <c r="D112" s="163"/>
      <c r="E112" s="31"/>
      <c r="F112" s="22"/>
      <c r="G112" s="22"/>
      <c r="H112" s="30"/>
      <c r="I112" s="50"/>
      <c r="J112" s="31"/>
      <c r="K112" s="31"/>
    </row>
    <row r="113" spans="1:11" x14ac:dyDescent="0.25">
      <c r="A113" s="171"/>
      <c r="B113" s="47"/>
      <c r="C113" s="158"/>
      <c r="D113" s="163"/>
      <c r="E113" s="31"/>
      <c r="F113" s="22"/>
      <c r="G113" s="22"/>
      <c r="H113" s="30"/>
      <c r="I113" s="50"/>
      <c r="J113" s="31"/>
      <c r="K113" s="31"/>
    </row>
    <row r="114" spans="1:11" x14ac:dyDescent="0.25">
      <c r="A114" s="171"/>
      <c r="B114" s="47"/>
      <c r="C114" s="158"/>
      <c r="D114" s="163"/>
      <c r="E114" s="31"/>
      <c r="F114" s="22"/>
      <c r="G114" s="22"/>
      <c r="H114" s="30"/>
      <c r="I114" s="50"/>
      <c r="J114" s="31"/>
      <c r="K114" s="31"/>
    </row>
    <row r="115" spans="1:11" x14ac:dyDescent="0.25">
      <c r="A115" s="171"/>
      <c r="B115" s="47"/>
      <c r="C115" s="158"/>
      <c r="D115" s="163"/>
      <c r="E115" s="31"/>
      <c r="F115" s="22"/>
      <c r="G115" s="22"/>
      <c r="H115" s="30"/>
      <c r="I115" s="50"/>
      <c r="J115" s="31"/>
      <c r="K115" s="31"/>
    </row>
    <row r="116" spans="1:11" x14ac:dyDescent="0.25">
      <c r="A116" s="171"/>
      <c r="B116" s="47"/>
      <c r="C116" s="158"/>
      <c r="D116" s="163"/>
      <c r="E116" s="31"/>
      <c r="F116" s="22"/>
      <c r="G116" s="22"/>
      <c r="H116" s="30"/>
      <c r="I116" s="50"/>
      <c r="J116" s="31"/>
      <c r="K116" s="31"/>
    </row>
    <row r="117" spans="1:11" x14ac:dyDescent="0.25">
      <c r="A117" s="171"/>
      <c r="B117" s="47"/>
      <c r="C117" s="158"/>
      <c r="D117" s="163"/>
      <c r="E117" s="31"/>
      <c r="F117" s="22"/>
      <c r="G117" s="22"/>
      <c r="H117" s="30"/>
      <c r="I117" s="50"/>
      <c r="J117" s="31"/>
      <c r="K117" s="31"/>
    </row>
    <row r="118" spans="1:11" x14ac:dyDescent="0.25">
      <c r="A118" s="171"/>
      <c r="B118" s="47"/>
      <c r="C118" s="158"/>
      <c r="D118" s="163"/>
      <c r="E118" s="31"/>
      <c r="F118" s="22"/>
      <c r="G118" s="22"/>
      <c r="H118" s="30"/>
      <c r="I118" s="50"/>
      <c r="J118" s="31"/>
      <c r="K118" s="31"/>
    </row>
    <row r="119" spans="1:11" x14ac:dyDescent="0.25">
      <c r="A119" s="171"/>
      <c r="B119" s="47"/>
      <c r="C119" s="158"/>
      <c r="D119" s="163"/>
      <c r="E119" s="31"/>
      <c r="F119" s="22"/>
      <c r="G119" s="22"/>
      <c r="H119" s="30"/>
      <c r="I119" s="50"/>
      <c r="J119" s="31"/>
      <c r="K119" s="31"/>
    </row>
    <row r="120" spans="1:11" x14ac:dyDescent="0.25">
      <c r="A120" s="171"/>
      <c r="B120" s="47"/>
      <c r="C120" s="158"/>
      <c r="D120" s="163"/>
      <c r="E120" s="31"/>
      <c r="F120" s="22"/>
      <c r="G120" s="22"/>
      <c r="H120" s="30"/>
      <c r="I120" s="50"/>
      <c r="J120" s="31"/>
      <c r="K120" s="31"/>
    </row>
    <row r="121" spans="1:11" x14ac:dyDescent="0.25">
      <c r="A121" s="171"/>
      <c r="B121" s="47"/>
      <c r="C121" s="158"/>
      <c r="D121" s="163"/>
      <c r="E121" s="31"/>
      <c r="F121" s="22"/>
      <c r="G121" s="22"/>
      <c r="H121" s="30"/>
      <c r="I121" s="50"/>
      <c r="J121" s="31"/>
      <c r="K121" s="31"/>
    </row>
    <row r="122" spans="1:11" x14ac:dyDescent="0.25">
      <c r="A122" s="171"/>
      <c r="B122" s="47"/>
      <c r="C122" s="158"/>
      <c r="D122" s="163"/>
      <c r="E122" s="31"/>
      <c r="F122" s="22"/>
      <c r="G122" s="22"/>
      <c r="H122" s="30"/>
      <c r="I122" s="50"/>
      <c r="J122" s="31"/>
      <c r="K122" s="31"/>
    </row>
    <row r="123" spans="1:11" x14ac:dyDescent="0.25">
      <c r="A123" s="171"/>
      <c r="B123" s="47"/>
      <c r="C123" s="158"/>
      <c r="D123" s="163"/>
      <c r="E123" s="31"/>
      <c r="F123" s="22"/>
      <c r="G123" s="22"/>
      <c r="H123" s="30"/>
      <c r="I123" s="50"/>
      <c r="J123" s="31"/>
      <c r="K123" s="31"/>
    </row>
    <row r="124" spans="1:11" x14ac:dyDescent="0.25">
      <c r="A124" s="171"/>
      <c r="B124" s="47"/>
      <c r="C124" s="158"/>
      <c r="D124" s="163"/>
      <c r="E124" s="31"/>
      <c r="F124" s="22"/>
      <c r="G124" s="22"/>
      <c r="H124" s="30"/>
      <c r="I124" s="50"/>
      <c r="J124" s="31"/>
      <c r="K124" s="31"/>
    </row>
    <row r="125" spans="1:11" x14ac:dyDescent="0.25">
      <c r="A125" s="171"/>
      <c r="B125" s="47"/>
      <c r="C125" s="158"/>
      <c r="D125" s="163"/>
      <c r="E125" s="31"/>
      <c r="F125" s="22"/>
      <c r="G125" s="22"/>
      <c r="H125" s="30"/>
      <c r="I125" s="50"/>
      <c r="J125" s="31"/>
      <c r="K125" s="31"/>
    </row>
    <row r="126" spans="1:11" x14ac:dyDescent="0.25">
      <c r="A126" s="171"/>
      <c r="B126" s="47"/>
      <c r="C126" s="158"/>
      <c r="D126" s="163"/>
      <c r="E126" s="31"/>
      <c r="F126" s="22"/>
      <c r="G126" s="22"/>
      <c r="H126" s="30"/>
      <c r="I126" s="50"/>
      <c r="J126" s="31"/>
      <c r="K126" s="31"/>
    </row>
    <row r="127" spans="1:11" x14ac:dyDescent="0.25">
      <c r="A127" s="171"/>
      <c r="B127" s="47"/>
      <c r="C127" s="158"/>
      <c r="D127" s="163"/>
      <c r="E127" s="31"/>
      <c r="F127" s="22"/>
      <c r="G127" s="22"/>
      <c r="H127" s="30"/>
      <c r="I127" s="50"/>
      <c r="J127" s="31"/>
      <c r="K127" s="31"/>
    </row>
    <row r="128" spans="1:11" x14ac:dyDescent="0.25">
      <c r="A128" s="171"/>
      <c r="B128" s="47"/>
      <c r="C128" s="158"/>
      <c r="D128" s="163"/>
      <c r="E128" s="31"/>
      <c r="F128" s="22"/>
      <c r="G128" s="22"/>
      <c r="H128" s="30"/>
      <c r="I128" s="50"/>
      <c r="J128" s="31"/>
      <c r="K128" s="31"/>
    </row>
    <row r="129" spans="1:11" x14ac:dyDescent="0.25">
      <c r="A129" s="171"/>
      <c r="B129" s="47"/>
      <c r="C129" s="158"/>
      <c r="D129" s="163"/>
      <c r="E129" s="31"/>
      <c r="F129" s="22"/>
      <c r="G129" s="22"/>
      <c r="H129" s="30"/>
      <c r="I129" s="50"/>
      <c r="J129" s="31"/>
      <c r="K129" s="31"/>
    </row>
    <row r="130" spans="1:11" x14ac:dyDescent="0.25">
      <c r="A130" s="171"/>
      <c r="B130" s="47"/>
      <c r="C130" s="158"/>
      <c r="D130" s="163"/>
      <c r="E130" s="31"/>
      <c r="F130" s="22"/>
      <c r="G130" s="22"/>
      <c r="H130" s="30"/>
      <c r="I130" s="50"/>
      <c r="J130" s="31"/>
      <c r="K130" s="31"/>
    </row>
    <row r="131" spans="1:11" x14ac:dyDescent="0.25">
      <c r="A131" s="171"/>
      <c r="B131" s="47"/>
      <c r="C131" s="158"/>
      <c r="D131" s="163"/>
      <c r="E131" s="31"/>
      <c r="F131" s="22"/>
      <c r="G131" s="22"/>
      <c r="H131" s="30"/>
      <c r="I131" s="50"/>
      <c r="J131" s="31"/>
      <c r="K131" s="31"/>
    </row>
    <row r="132" spans="1:11" x14ac:dyDescent="0.25">
      <c r="A132" s="171"/>
      <c r="B132" s="47"/>
      <c r="C132" s="158"/>
      <c r="D132" s="163"/>
      <c r="E132" s="31"/>
      <c r="F132" s="22"/>
      <c r="G132" s="22"/>
      <c r="H132" s="30"/>
      <c r="I132" s="50"/>
      <c r="J132" s="31"/>
      <c r="K132" s="31"/>
    </row>
    <row r="133" spans="1:11" x14ac:dyDescent="0.25">
      <c r="A133" s="171"/>
      <c r="B133" s="47"/>
      <c r="C133" s="158"/>
      <c r="D133" s="163"/>
      <c r="E133" s="31"/>
      <c r="F133" s="22"/>
      <c r="G133" s="22"/>
      <c r="H133" s="30"/>
      <c r="I133" s="50"/>
      <c r="J133" s="31"/>
      <c r="K133" s="31"/>
    </row>
    <row r="134" spans="1:11" x14ac:dyDescent="0.25">
      <c r="A134" s="171"/>
      <c r="B134" s="47"/>
      <c r="C134" s="158"/>
      <c r="D134" s="163"/>
      <c r="E134" s="31"/>
      <c r="F134" s="22"/>
      <c r="G134" s="22"/>
      <c r="H134" s="30"/>
      <c r="I134" s="50"/>
      <c r="J134" s="31"/>
      <c r="K134" s="31"/>
    </row>
    <row r="135" spans="1:11" x14ac:dyDescent="0.25">
      <c r="A135" s="171"/>
      <c r="B135" s="47"/>
      <c r="C135" s="158"/>
      <c r="D135" s="163"/>
      <c r="E135" s="31"/>
      <c r="F135" s="22"/>
      <c r="G135" s="22"/>
      <c r="H135" s="30"/>
      <c r="I135" s="50"/>
      <c r="J135" s="31"/>
      <c r="K135" s="31"/>
    </row>
    <row r="136" spans="1:11" x14ac:dyDescent="0.25">
      <c r="A136" s="171"/>
      <c r="B136" s="47"/>
      <c r="C136" s="158"/>
      <c r="D136" s="163"/>
      <c r="E136" s="31"/>
      <c r="F136" s="22"/>
      <c r="G136" s="22"/>
      <c r="H136" s="30"/>
      <c r="I136" s="50"/>
      <c r="J136" s="31"/>
      <c r="K136" s="31"/>
    </row>
    <row r="137" spans="1:11" x14ac:dyDescent="0.25">
      <c r="A137" s="171"/>
      <c r="B137" s="47"/>
      <c r="C137" s="158"/>
      <c r="D137" s="163"/>
      <c r="E137" s="31"/>
      <c r="F137" s="22"/>
      <c r="G137" s="22"/>
      <c r="H137" s="30"/>
      <c r="I137" s="50"/>
      <c r="J137" s="31"/>
      <c r="K137" s="31"/>
    </row>
    <row r="138" spans="1:11" x14ac:dyDescent="0.25">
      <c r="A138" s="171"/>
      <c r="B138" s="47"/>
      <c r="C138" s="158"/>
      <c r="D138" s="163"/>
      <c r="E138" s="31"/>
      <c r="F138" s="22"/>
      <c r="G138" s="22"/>
      <c r="H138" s="30"/>
      <c r="I138" s="50"/>
      <c r="J138" s="31"/>
      <c r="K138" s="31"/>
    </row>
    <row r="139" spans="1:11" x14ac:dyDescent="0.25">
      <c r="A139" s="171"/>
      <c r="B139" s="47"/>
      <c r="C139" s="158"/>
      <c r="D139" s="163"/>
      <c r="E139" s="31"/>
      <c r="F139" s="22"/>
      <c r="G139" s="22"/>
      <c r="H139" s="30"/>
      <c r="I139" s="50"/>
      <c r="J139" s="31"/>
      <c r="K139" s="31"/>
    </row>
    <row r="140" spans="1:11" x14ac:dyDescent="0.25">
      <c r="A140" s="171"/>
      <c r="B140" s="47"/>
      <c r="C140" s="158"/>
      <c r="D140" s="163"/>
      <c r="E140" s="31"/>
      <c r="F140" s="22"/>
      <c r="G140" s="22"/>
      <c r="H140" s="30"/>
      <c r="I140" s="50"/>
      <c r="J140" s="31"/>
      <c r="K140" s="31"/>
    </row>
    <row r="141" spans="1:11" x14ac:dyDescent="0.25">
      <c r="A141" s="171"/>
      <c r="B141" s="47"/>
      <c r="C141" s="158"/>
      <c r="D141" s="163"/>
      <c r="E141" s="31"/>
      <c r="F141" s="22"/>
      <c r="G141" s="22"/>
      <c r="H141" s="30"/>
      <c r="I141" s="50"/>
      <c r="J141" s="31"/>
      <c r="K141" s="31"/>
    </row>
    <row r="142" spans="1:11" x14ac:dyDescent="0.25">
      <c r="A142" s="171"/>
      <c r="B142" s="47"/>
      <c r="C142" s="158"/>
      <c r="D142" s="163"/>
      <c r="E142" s="31"/>
      <c r="F142" s="22"/>
      <c r="G142" s="22"/>
      <c r="H142" s="30"/>
      <c r="I142" s="50"/>
      <c r="J142" s="31"/>
      <c r="K142" s="31"/>
    </row>
    <row r="143" spans="1:11" x14ac:dyDescent="0.25">
      <c r="A143" s="171"/>
      <c r="B143" s="47"/>
      <c r="C143" s="158"/>
      <c r="D143" s="163"/>
      <c r="E143" s="31"/>
      <c r="F143" s="22"/>
      <c r="G143" s="22"/>
      <c r="H143" s="30"/>
      <c r="I143" s="50"/>
      <c r="J143" s="31"/>
      <c r="K143" s="31"/>
    </row>
    <row r="144" spans="1:11" x14ac:dyDescent="0.25">
      <c r="A144" s="171"/>
      <c r="B144" s="47"/>
      <c r="C144" s="158"/>
      <c r="D144" s="163"/>
      <c r="E144" s="31"/>
      <c r="F144" s="22"/>
      <c r="G144" s="22"/>
      <c r="H144" s="30"/>
      <c r="I144" s="50"/>
      <c r="J144" s="31"/>
      <c r="K144" s="31"/>
    </row>
    <row r="145" spans="1:11" x14ac:dyDescent="0.25">
      <c r="A145" s="171"/>
      <c r="B145" s="47"/>
      <c r="C145" s="158"/>
      <c r="D145" s="163"/>
      <c r="E145" s="31"/>
      <c r="F145" s="22"/>
      <c r="G145" s="22"/>
      <c r="H145" s="30"/>
      <c r="I145" s="50"/>
      <c r="J145" s="31"/>
      <c r="K145" s="31"/>
    </row>
    <row r="146" spans="1:11" x14ac:dyDescent="0.25">
      <c r="A146" s="171"/>
      <c r="B146" s="47"/>
      <c r="C146" s="158"/>
      <c r="D146" s="163"/>
      <c r="E146" s="31"/>
      <c r="F146" s="22"/>
      <c r="G146" s="22"/>
      <c r="H146" s="30"/>
      <c r="I146" s="50"/>
      <c r="J146" s="31"/>
      <c r="K146" s="31"/>
    </row>
    <row r="147" spans="1:11" x14ac:dyDescent="0.25">
      <c r="A147" s="171"/>
      <c r="B147" s="47"/>
      <c r="C147" s="158"/>
      <c r="D147" s="163"/>
      <c r="E147" s="31"/>
      <c r="F147" s="22"/>
      <c r="G147" s="22"/>
      <c r="H147" s="30"/>
      <c r="I147" s="50"/>
      <c r="J147" s="31"/>
      <c r="K147" s="31"/>
    </row>
    <row r="148" spans="1:11" x14ac:dyDescent="0.25">
      <c r="A148" s="171"/>
      <c r="B148" s="47"/>
      <c r="C148" s="158"/>
      <c r="D148" s="163"/>
      <c r="E148" s="31"/>
      <c r="F148" s="22"/>
      <c r="G148" s="22"/>
      <c r="H148" s="30"/>
      <c r="I148" s="50"/>
      <c r="J148" s="31"/>
      <c r="K148" s="31"/>
    </row>
    <row r="149" spans="1:11" x14ac:dyDescent="0.25">
      <c r="A149" s="171"/>
      <c r="B149" s="47"/>
      <c r="C149" s="158"/>
      <c r="D149" s="163"/>
      <c r="E149" s="31"/>
      <c r="F149" s="22"/>
      <c r="G149" s="22"/>
      <c r="H149" s="30"/>
      <c r="I149" s="50"/>
      <c r="J149" s="31"/>
      <c r="K149" s="31"/>
    </row>
    <row r="150" spans="1:11" x14ac:dyDescent="0.25">
      <c r="A150" s="171"/>
      <c r="B150" s="47"/>
      <c r="C150" s="158"/>
      <c r="D150" s="163"/>
      <c r="E150" s="31"/>
      <c r="F150" s="22"/>
      <c r="G150" s="22"/>
      <c r="H150" s="30"/>
      <c r="I150" s="50"/>
      <c r="J150" s="31"/>
      <c r="K150" s="31"/>
    </row>
    <row r="151" spans="1:11" x14ac:dyDescent="0.25">
      <c r="A151" s="171"/>
      <c r="B151" s="47"/>
      <c r="C151" s="158"/>
      <c r="D151" s="163"/>
      <c r="E151" s="31"/>
      <c r="F151" s="22"/>
      <c r="G151" s="22"/>
      <c r="H151" s="30"/>
      <c r="I151" s="50"/>
      <c r="J151" s="31"/>
      <c r="K151" s="31"/>
    </row>
    <row r="152" spans="1:11" x14ac:dyDescent="0.25">
      <c r="A152" s="171"/>
      <c r="B152" s="47"/>
      <c r="C152" s="158"/>
      <c r="D152" s="163"/>
      <c r="E152" s="31"/>
      <c r="F152" s="22"/>
      <c r="G152" s="22"/>
      <c r="H152" s="30"/>
      <c r="I152" s="50"/>
      <c r="J152" s="31"/>
      <c r="K152" s="31"/>
    </row>
    <row r="153" spans="1:11" x14ac:dyDescent="0.25">
      <c r="A153" s="171"/>
      <c r="B153" s="47"/>
      <c r="C153" s="158"/>
      <c r="D153" s="163"/>
      <c r="E153" s="31"/>
      <c r="F153" s="22"/>
      <c r="G153" s="22"/>
      <c r="H153" s="30"/>
      <c r="I153" s="50"/>
      <c r="J153" s="31"/>
      <c r="K153" s="31"/>
    </row>
    <row r="154" spans="1:11" x14ac:dyDescent="0.25">
      <c r="A154" s="171"/>
      <c r="B154" s="47"/>
      <c r="C154" s="158"/>
      <c r="D154" s="163"/>
      <c r="E154" s="31"/>
      <c r="F154" s="22"/>
      <c r="G154" s="22"/>
      <c r="H154" s="30"/>
      <c r="I154" s="50"/>
      <c r="J154" s="31"/>
      <c r="K154" s="31"/>
    </row>
    <row r="155" spans="1:11" x14ac:dyDescent="0.25">
      <c r="A155" s="171"/>
      <c r="B155" s="47"/>
      <c r="C155" s="158"/>
      <c r="D155" s="163"/>
      <c r="E155" s="31"/>
      <c r="F155" s="22"/>
      <c r="G155" s="22"/>
      <c r="H155" s="30"/>
      <c r="I155" s="50"/>
      <c r="J155" s="31"/>
      <c r="K155" s="31"/>
    </row>
    <row r="156" spans="1:11" x14ac:dyDescent="0.25">
      <c r="A156" s="171"/>
      <c r="B156" s="47"/>
      <c r="C156" s="158"/>
      <c r="D156" s="163"/>
      <c r="E156" s="31"/>
      <c r="F156" s="22"/>
      <c r="G156" s="22"/>
      <c r="H156" s="30"/>
      <c r="I156" s="50"/>
      <c r="J156" s="31"/>
      <c r="K156" s="31"/>
    </row>
    <row r="157" spans="1:11" x14ac:dyDescent="0.25">
      <c r="A157" s="171"/>
      <c r="B157" s="47"/>
      <c r="C157" s="158"/>
      <c r="D157" s="163"/>
      <c r="E157" s="31"/>
      <c r="F157" s="22"/>
      <c r="G157" s="22"/>
      <c r="H157" s="30"/>
      <c r="I157" s="50"/>
      <c r="J157" s="31"/>
      <c r="K157" s="31"/>
    </row>
  </sheetData>
  <autoFilter ref="A2:K146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256</v>
      </c>
      <c r="G1" s="8" t="s">
        <v>255</v>
      </c>
    </row>
    <row r="2" spans="1:7" x14ac:dyDescent="0.25">
      <c r="A2" s="8">
        <v>42722.033680555556</v>
      </c>
      <c r="B2" s="21" t="s">
        <v>234</v>
      </c>
      <c r="C2" s="21" t="s">
        <v>541</v>
      </c>
      <c r="D2" s="165">
        <v>1800000</v>
      </c>
      <c r="E2" s="21" t="s">
        <v>238</v>
      </c>
      <c r="F2" s="21" t="s">
        <v>257</v>
      </c>
      <c r="G2" s="8" t="str">
        <f>E2&amp;" "&amp;F2</f>
        <v>CHANDLER KELVIN</v>
      </c>
    </row>
    <row r="3" spans="1:7" x14ac:dyDescent="0.25">
      <c r="A3" s="8">
        <v>42722.054386574076</v>
      </c>
      <c r="B3" s="21" t="s">
        <v>261</v>
      </c>
      <c r="C3" s="21" t="s">
        <v>542</v>
      </c>
      <c r="D3" s="165">
        <v>1300000</v>
      </c>
      <c r="E3" s="21" t="s">
        <v>113</v>
      </c>
      <c r="F3" s="21" t="s">
        <v>296</v>
      </c>
      <c r="G3" s="8" t="str">
        <f t="shared" ref="G3:G66" si="0">E3&amp;" "&amp;F3</f>
        <v>LEVIN SCOTT</v>
      </c>
    </row>
    <row r="4" spans="1:7" x14ac:dyDescent="0.25">
      <c r="A4" s="8">
        <v>42722.055115740739</v>
      </c>
      <c r="B4" s="21" t="s">
        <v>458</v>
      </c>
      <c r="C4" s="21" t="s">
        <v>543</v>
      </c>
      <c r="D4" s="165">
        <v>2550000</v>
      </c>
      <c r="E4" s="21" t="s">
        <v>213</v>
      </c>
      <c r="F4" s="21" t="s">
        <v>313</v>
      </c>
      <c r="G4" s="8" t="str">
        <f t="shared" si="0"/>
        <v>BADERTSCHER DIANE</v>
      </c>
    </row>
    <row r="5" spans="1:7" x14ac:dyDescent="0.25">
      <c r="A5" s="8">
        <v>42722.057002314818</v>
      </c>
      <c r="B5" s="21" t="s">
        <v>306</v>
      </c>
      <c r="C5" s="21" t="s">
        <v>544</v>
      </c>
      <c r="D5" s="165">
        <v>2000000</v>
      </c>
      <c r="E5" s="21" t="s">
        <v>209</v>
      </c>
      <c r="F5" s="21" t="s">
        <v>254</v>
      </c>
      <c r="G5" s="8" t="str">
        <f t="shared" si="0"/>
        <v>STAMBAUGH JAMES</v>
      </c>
    </row>
    <row r="6" spans="1:7" x14ac:dyDescent="0.25">
      <c r="A6" s="8">
        <v>42722.060729166667</v>
      </c>
      <c r="B6" s="21" t="s">
        <v>233</v>
      </c>
      <c r="C6" s="21" t="s">
        <v>545</v>
      </c>
      <c r="D6" s="165">
        <v>1800000</v>
      </c>
      <c r="E6" s="21" t="s">
        <v>238</v>
      </c>
      <c r="F6" s="21" t="s">
        <v>257</v>
      </c>
      <c r="G6" s="8" t="str">
        <f t="shared" si="0"/>
        <v>CHANDLER KELVIN</v>
      </c>
    </row>
    <row r="7" spans="1:7" x14ac:dyDescent="0.25">
      <c r="A7" s="8">
        <v>42722.075856481482</v>
      </c>
      <c r="B7" s="21" t="s">
        <v>306</v>
      </c>
      <c r="C7" s="21" t="s">
        <v>546</v>
      </c>
      <c r="D7" s="165">
        <v>2000000</v>
      </c>
      <c r="E7" s="21" t="s">
        <v>209</v>
      </c>
      <c r="F7" s="21" t="s">
        <v>254</v>
      </c>
      <c r="G7" s="8" t="str">
        <f t="shared" si="0"/>
        <v>STAMBAUGH JAMES</v>
      </c>
    </row>
    <row r="8" spans="1:7" x14ac:dyDescent="0.25">
      <c r="A8" s="8">
        <v>42722.076585648145</v>
      </c>
      <c r="B8" s="21" t="s">
        <v>306</v>
      </c>
      <c r="C8" s="21" t="s">
        <v>546</v>
      </c>
      <c r="D8" s="165">
        <v>2000000</v>
      </c>
      <c r="E8" s="21" t="s">
        <v>209</v>
      </c>
      <c r="F8" s="21" t="s">
        <v>254</v>
      </c>
      <c r="G8" s="8" t="str">
        <f t="shared" si="0"/>
        <v>STAMBAUGH JAMES</v>
      </c>
    </row>
    <row r="9" spans="1:7" ht="15.75" thickBot="1" x14ac:dyDescent="0.3">
      <c r="A9" s="25">
        <v>42722.083680555559</v>
      </c>
      <c r="B9" s="21" t="s">
        <v>245</v>
      </c>
      <c r="C9" s="21" t="s">
        <v>547</v>
      </c>
      <c r="D9" s="165">
        <v>1300000</v>
      </c>
      <c r="E9" s="21" t="s">
        <v>113</v>
      </c>
      <c r="F9" s="21" t="s">
        <v>296</v>
      </c>
      <c r="G9" s="8" t="str">
        <f t="shared" si="0"/>
        <v>LEVIN SCOTT</v>
      </c>
    </row>
    <row r="10" spans="1:7" x14ac:dyDescent="0.25">
      <c r="A10" s="8">
        <v>42722.10083333333</v>
      </c>
      <c r="B10" s="21" t="s">
        <v>305</v>
      </c>
      <c r="C10" s="21" t="s">
        <v>548</v>
      </c>
      <c r="D10" s="165">
        <v>2000000</v>
      </c>
      <c r="E10" s="21" t="s">
        <v>209</v>
      </c>
      <c r="F10" s="21" t="s">
        <v>254</v>
      </c>
      <c r="G10" s="8" t="str">
        <f t="shared" si="0"/>
        <v>STAMBAUGH JAMES</v>
      </c>
    </row>
    <row r="11" spans="1:7" x14ac:dyDescent="0.25">
      <c r="A11" s="8">
        <v>42722.114502314813</v>
      </c>
      <c r="B11" s="21" t="s">
        <v>533</v>
      </c>
      <c r="C11" s="21" t="s">
        <v>549</v>
      </c>
      <c r="D11" s="165">
        <v>2110000</v>
      </c>
      <c r="E11" s="21" t="s">
        <v>550</v>
      </c>
      <c r="F11" s="21" t="s">
        <v>551</v>
      </c>
      <c r="G11" s="8" t="str">
        <f t="shared" si="0"/>
        <v>OUN ZACK</v>
      </c>
    </row>
    <row r="12" spans="1:7" x14ac:dyDescent="0.25">
      <c r="A12" s="8">
        <v>42722.115891203706</v>
      </c>
      <c r="B12" s="21" t="s">
        <v>455</v>
      </c>
      <c r="C12" s="21" t="s">
        <v>552</v>
      </c>
      <c r="D12" s="165">
        <v>2550000</v>
      </c>
      <c r="E12" s="21" t="s">
        <v>213</v>
      </c>
      <c r="F12" s="21" t="s">
        <v>313</v>
      </c>
      <c r="G12" s="8" t="str">
        <f t="shared" si="0"/>
        <v>BADERTSCHER DIANE</v>
      </c>
    </row>
    <row r="13" spans="1:7" x14ac:dyDescent="0.25">
      <c r="A13" s="8">
        <v>42722.117812500001</v>
      </c>
      <c r="B13" s="21" t="s">
        <v>533</v>
      </c>
      <c r="C13" s="21" t="s">
        <v>549</v>
      </c>
      <c r="D13" s="165">
        <v>2110000</v>
      </c>
      <c r="E13" s="21" t="s">
        <v>550</v>
      </c>
      <c r="F13" s="21" t="s">
        <v>551</v>
      </c>
      <c r="G13" s="8" t="str">
        <f t="shared" si="0"/>
        <v>OUN ZACK</v>
      </c>
    </row>
    <row r="14" spans="1:7" x14ac:dyDescent="0.25">
      <c r="A14" s="8">
        <v>42722.128217592595</v>
      </c>
      <c r="B14" s="21" t="s">
        <v>183</v>
      </c>
      <c r="C14" s="21" t="s">
        <v>553</v>
      </c>
      <c r="D14" s="165">
        <v>2110000</v>
      </c>
      <c r="E14" s="21" t="s">
        <v>550</v>
      </c>
      <c r="F14" s="21" t="s">
        <v>551</v>
      </c>
      <c r="G14" s="8" t="str">
        <f t="shared" si="0"/>
        <v>OUN ZACK</v>
      </c>
    </row>
    <row r="15" spans="1:7" x14ac:dyDescent="0.25">
      <c r="A15" s="8">
        <v>42722.139374999999</v>
      </c>
      <c r="B15" s="21" t="s">
        <v>529</v>
      </c>
      <c r="C15" s="21" t="s">
        <v>554</v>
      </c>
      <c r="D15" s="165">
        <v>2010000</v>
      </c>
      <c r="E15" s="21" t="s">
        <v>309</v>
      </c>
      <c r="F15" s="21" t="s">
        <v>310</v>
      </c>
      <c r="G15" s="8" t="str">
        <f t="shared" si="0"/>
        <v>MAELZER KURT</v>
      </c>
    </row>
    <row r="16" spans="1:7" x14ac:dyDescent="0.25">
      <c r="A16" s="8">
        <v>42722.139652777776</v>
      </c>
      <c r="B16" s="21" t="s">
        <v>183</v>
      </c>
      <c r="C16" s="21" t="s">
        <v>553</v>
      </c>
      <c r="D16" s="165">
        <v>2110000</v>
      </c>
      <c r="E16" s="21" t="s">
        <v>550</v>
      </c>
      <c r="F16" s="21" t="s">
        <v>551</v>
      </c>
      <c r="G16" s="8" t="str">
        <f t="shared" si="0"/>
        <v>OUN ZACK</v>
      </c>
    </row>
    <row r="17" spans="1:7" x14ac:dyDescent="0.25">
      <c r="A17" s="8">
        <v>42722.146377314813</v>
      </c>
      <c r="B17" s="21" t="s">
        <v>458</v>
      </c>
      <c r="C17" s="21" t="s">
        <v>552</v>
      </c>
      <c r="D17" s="165">
        <v>2550000</v>
      </c>
      <c r="E17" s="21" t="s">
        <v>213</v>
      </c>
      <c r="F17" s="21" t="s">
        <v>313</v>
      </c>
      <c r="G17" s="8" t="str">
        <f t="shared" si="0"/>
        <v>BADERTSCHER DIANE</v>
      </c>
    </row>
    <row r="18" spans="1:7" x14ac:dyDescent="0.25">
      <c r="A18" s="8">
        <v>42722.154293981483</v>
      </c>
      <c r="B18" s="21" t="s">
        <v>154</v>
      </c>
      <c r="C18" s="21" t="s">
        <v>555</v>
      </c>
      <c r="D18" s="165">
        <v>2010000</v>
      </c>
      <c r="E18" s="21" t="s">
        <v>309</v>
      </c>
      <c r="F18" s="21" t="s">
        <v>310</v>
      </c>
      <c r="G18" s="8" t="str">
        <f t="shared" si="0"/>
        <v>MAELZER KURT</v>
      </c>
    </row>
    <row r="19" spans="1:7" x14ac:dyDescent="0.25">
      <c r="A19" s="8">
        <v>42722.166388888887</v>
      </c>
      <c r="B19" s="21" t="s">
        <v>207</v>
      </c>
      <c r="C19" s="21" t="s">
        <v>556</v>
      </c>
      <c r="D19" s="165">
        <v>2100000</v>
      </c>
      <c r="E19" s="21" t="s">
        <v>557</v>
      </c>
      <c r="F19" s="21" t="s">
        <v>558</v>
      </c>
      <c r="G19" s="8" t="str">
        <f t="shared" si="0"/>
        <v>ISHMAEL JOSEPH</v>
      </c>
    </row>
    <row r="20" spans="1:7" x14ac:dyDescent="0.25">
      <c r="A20" s="8">
        <v>42722.1721412037</v>
      </c>
      <c r="B20" s="21" t="s">
        <v>533</v>
      </c>
      <c r="C20" s="21" t="s">
        <v>559</v>
      </c>
      <c r="D20" s="165">
        <v>2110000</v>
      </c>
      <c r="E20" s="21" t="s">
        <v>550</v>
      </c>
      <c r="F20" s="21" t="s">
        <v>551</v>
      </c>
      <c r="G20" s="8" t="str">
        <f t="shared" si="0"/>
        <v>OUN ZACK</v>
      </c>
    </row>
    <row r="21" spans="1:7" x14ac:dyDescent="0.25">
      <c r="A21" s="8">
        <v>42722.178310185183</v>
      </c>
      <c r="B21" s="21" t="s">
        <v>230</v>
      </c>
      <c r="C21" s="21" t="s">
        <v>560</v>
      </c>
      <c r="D21" s="165">
        <v>2100000</v>
      </c>
      <c r="E21" s="21" t="s">
        <v>557</v>
      </c>
      <c r="F21" s="21" t="s">
        <v>558</v>
      </c>
      <c r="G21" s="8" t="str">
        <f t="shared" si="0"/>
        <v>ISHMAEL JOSEPH</v>
      </c>
    </row>
    <row r="22" spans="1:7" x14ac:dyDescent="0.25">
      <c r="A22" s="27">
        <v>42722.18513888889</v>
      </c>
      <c r="B22" s="21" t="s">
        <v>506</v>
      </c>
      <c r="C22" s="21" t="s">
        <v>507</v>
      </c>
      <c r="D22" s="165">
        <v>2140000</v>
      </c>
      <c r="E22" s="21" t="s">
        <v>452</v>
      </c>
      <c r="F22" s="21" t="s">
        <v>453</v>
      </c>
      <c r="G22" s="8" t="str">
        <f t="shared" si="0"/>
        <v>ROBINSON KADDIBA</v>
      </c>
    </row>
    <row r="23" spans="1:7" x14ac:dyDescent="0.25">
      <c r="A23" s="8">
        <v>42722.185196759259</v>
      </c>
      <c r="B23" s="21" t="s">
        <v>515</v>
      </c>
      <c r="C23" s="21" t="s">
        <v>561</v>
      </c>
      <c r="D23" s="165">
        <v>2090000</v>
      </c>
      <c r="E23" s="21" t="s">
        <v>562</v>
      </c>
      <c r="F23" s="21" t="s">
        <v>266</v>
      </c>
      <c r="G23" s="8" t="str">
        <f t="shared" si="0"/>
        <v>HAITHCOX MICHAEL</v>
      </c>
    </row>
    <row r="24" spans="1:7" x14ac:dyDescent="0.25">
      <c r="A24" s="8">
        <v>42722.190995370373</v>
      </c>
      <c r="B24" s="21" t="s">
        <v>529</v>
      </c>
      <c r="C24" s="21" t="s">
        <v>563</v>
      </c>
      <c r="D24" s="165">
        <v>2010000</v>
      </c>
      <c r="E24" s="21" t="s">
        <v>309</v>
      </c>
      <c r="F24" s="21" t="s">
        <v>310</v>
      </c>
      <c r="G24" s="8" t="str">
        <f t="shared" si="0"/>
        <v>MAELZER KURT</v>
      </c>
    </row>
    <row r="25" spans="1:7" x14ac:dyDescent="0.25">
      <c r="A25" s="8">
        <v>42722.197534722225</v>
      </c>
      <c r="B25" s="21" t="s">
        <v>508</v>
      </c>
      <c r="C25" s="21" t="s">
        <v>509</v>
      </c>
      <c r="D25" s="165">
        <v>2140000</v>
      </c>
      <c r="E25" s="21" t="s">
        <v>452</v>
      </c>
      <c r="F25" s="21" t="s">
        <v>453</v>
      </c>
      <c r="G25" s="8" t="str">
        <f t="shared" si="0"/>
        <v>ROBINSON KADDIBA</v>
      </c>
    </row>
    <row r="26" spans="1:7" x14ac:dyDescent="0.25">
      <c r="A26" s="8">
        <v>42722.20107638889</v>
      </c>
      <c r="B26" s="21" t="s">
        <v>508</v>
      </c>
      <c r="C26" s="21" t="s">
        <v>509</v>
      </c>
      <c r="D26" s="165">
        <v>2140000</v>
      </c>
      <c r="E26" s="21" t="s">
        <v>452</v>
      </c>
      <c r="F26" s="21" t="s">
        <v>453</v>
      </c>
      <c r="G26" s="8" t="str">
        <f t="shared" si="0"/>
        <v>ROBINSON KADDIBA</v>
      </c>
    </row>
    <row r="27" spans="1:7" x14ac:dyDescent="0.25">
      <c r="A27" s="8">
        <v>42722.207233796296</v>
      </c>
      <c r="B27" s="21" t="s">
        <v>183</v>
      </c>
      <c r="C27" s="21" t="s">
        <v>564</v>
      </c>
      <c r="D27" s="165">
        <v>1100000</v>
      </c>
      <c r="E27" s="21" t="s">
        <v>307</v>
      </c>
      <c r="F27" s="21" t="s">
        <v>308</v>
      </c>
      <c r="G27" s="8" t="str">
        <f t="shared" si="0"/>
        <v>GEBRETEKLE DAGNEW</v>
      </c>
    </row>
    <row r="28" spans="1:7" x14ac:dyDescent="0.25">
      <c r="A28" s="8">
        <v>42722.211921296293</v>
      </c>
      <c r="B28" s="21" t="s">
        <v>207</v>
      </c>
      <c r="C28" s="21" t="s">
        <v>565</v>
      </c>
      <c r="D28" s="165">
        <v>2100000</v>
      </c>
      <c r="E28" s="21" t="s">
        <v>557</v>
      </c>
      <c r="F28" s="21" t="s">
        <v>558</v>
      </c>
      <c r="G28" s="8" t="str">
        <f t="shared" si="0"/>
        <v>ISHMAEL JOSEPH</v>
      </c>
    </row>
    <row r="29" spans="1:7" x14ac:dyDescent="0.25">
      <c r="A29" s="8">
        <v>42722.213946759257</v>
      </c>
      <c r="B29" s="21" t="s">
        <v>512</v>
      </c>
      <c r="C29" s="21" t="s">
        <v>513</v>
      </c>
      <c r="D29" s="165">
        <v>2110000</v>
      </c>
      <c r="E29" s="21" t="s">
        <v>550</v>
      </c>
      <c r="F29" s="21" t="s">
        <v>551</v>
      </c>
      <c r="G29" s="8" t="str">
        <f t="shared" si="0"/>
        <v>OUN ZACK</v>
      </c>
    </row>
    <row r="30" spans="1:7" x14ac:dyDescent="0.25">
      <c r="A30" s="8">
        <v>42722.214641203704</v>
      </c>
      <c r="B30" s="21" t="s">
        <v>512</v>
      </c>
      <c r="C30" s="21" t="s">
        <v>513</v>
      </c>
      <c r="D30" s="165">
        <v>2110000</v>
      </c>
      <c r="E30" s="21" t="s">
        <v>550</v>
      </c>
      <c r="F30" s="21" t="s">
        <v>551</v>
      </c>
      <c r="G30" s="8" t="str">
        <f t="shared" si="0"/>
        <v>OUN ZACK</v>
      </c>
    </row>
    <row r="31" spans="1:7" x14ac:dyDescent="0.25">
      <c r="A31" s="8">
        <v>42722.215671296297</v>
      </c>
      <c r="B31" s="21" t="s">
        <v>512</v>
      </c>
      <c r="C31" s="21" t="s">
        <v>513</v>
      </c>
      <c r="D31" s="165">
        <v>2110000</v>
      </c>
      <c r="E31" s="21" t="s">
        <v>550</v>
      </c>
      <c r="F31" s="21" t="s">
        <v>551</v>
      </c>
      <c r="G31" s="8" t="str">
        <f t="shared" si="0"/>
        <v>OUN ZACK</v>
      </c>
    </row>
    <row r="32" spans="1:7" x14ac:dyDescent="0.25">
      <c r="A32" s="8">
        <v>42722.22084490741</v>
      </c>
      <c r="B32" s="21" t="s">
        <v>237</v>
      </c>
      <c r="C32" s="21" t="s">
        <v>566</v>
      </c>
      <c r="D32" s="165">
        <v>2090000</v>
      </c>
      <c r="E32" s="21" t="s">
        <v>562</v>
      </c>
      <c r="F32" s="21" t="s">
        <v>266</v>
      </c>
      <c r="G32" s="8" t="str">
        <f t="shared" si="0"/>
        <v>HAITHCOX MICHAEL</v>
      </c>
    </row>
    <row r="33" spans="1:7" x14ac:dyDescent="0.25">
      <c r="A33" s="8">
        <v>42722.222094907411</v>
      </c>
      <c r="B33" s="21" t="s">
        <v>237</v>
      </c>
      <c r="C33" s="21" t="s">
        <v>566</v>
      </c>
      <c r="D33" s="165">
        <v>2090000</v>
      </c>
      <c r="E33" s="21" t="s">
        <v>562</v>
      </c>
      <c r="F33" s="21" t="s">
        <v>266</v>
      </c>
      <c r="G33" s="8" t="str">
        <f t="shared" si="0"/>
        <v>HAITHCOX MICHAEL</v>
      </c>
    </row>
    <row r="34" spans="1:7" x14ac:dyDescent="0.25">
      <c r="A34" s="8">
        <v>42722.224872685183</v>
      </c>
      <c r="B34" s="21" t="s">
        <v>214</v>
      </c>
      <c r="C34" s="21" t="s">
        <v>567</v>
      </c>
      <c r="D34" s="165">
        <v>1830000</v>
      </c>
      <c r="E34" s="21" t="s">
        <v>568</v>
      </c>
      <c r="F34" s="21" t="s">
        <v>569</v>
      </c>
      <c r="G34" s="8" t="str">
        <f t="shared" si="0"/>
        <v>YORK EDGAR</v>
      </c>
    </row>
    <row r="35" spans="1:7" x14ac:dyDescent="0.25">
      <c r="A35" s="8">
        <v>42722.229143518518</v>
      </c>
      <c r="B35" s="21" t="s">
        <v>237</v>
      </c>
      <c r="C35" s="21" t="s">
        <v>566</v>
      </c>
      <c r="D35" s="165">
        <v>2090000</v>
      </c>
      <c r="E35" s="21" t="s">
        <v>562</v>
      </c>
      <c r="F35" s="21" t="s">
        <v>266</v>
      </c>
      <c r="G35" s="8" t="str">
        <f t="shared" si="0"/>
        <v>HAITHCOX MICHAEL</v>
      </c>
    </row>
    <row r="36" spans="1:7" x14ac:dyDescent="0.25">
      <c r="A36" s="8">
        <v>42722.232581018521</v>
      </c>
      <c r="B36" s="21" t="s">
        <v>154</v>
      </c>
      <c r="C36" s="21" t="s">
        <v>514</v>
      </c>
      <c r="D36" s="165">
        <v>2020000</v>
      </c>
      <c r="E36" s="21" t="s">
        <v>459</v>
      </c>
      <c r="F36" s="21" t="s">
        <v>252</v>
      </c>
      <c r="G36" s="8" t="str">
        <f t="shared" si="0"/>
        <v>SHOOK JOHN</v>
      </c>
    </row>
    <row r="37" spans="1:7" x14ac:dyDescent="0.25">
      <c r="A37" s="8">
        <v>42722.233541666668</v>
      </c>
      <c r="B37" s="21" t="s">
        <v>295</v>
      </c>
      <c r="C37" s="21" t="s">
        <v>570</v>
      </c>
      <c r="D37" s="165">
        <v>1830000</v>
      </c>
      <c r="E37" s="21" t="s">
        <v>568</v>
      </c>
      <c r="F37" s="21" t="s">
        <v>569</v>
      </c>
      <c r="G37" s="8" t="str">
        <f t="shared" si="0"/>
        <v>YORK EDGAR</v>
      </c>
    </row>
    <row r="38" spans="1:7" x14ac:dyDescent="0.25">
      <c r="A38" s="8">
        <v>42722.234965277778</v>
      </c>
      <c r="B38" s="21" t="s">
        <v>510</v>
      </c>
      <c r="C38" s="21" t="s">
        <v>511</v>
      </c>
      <c r="D38" s="165">
        <v>2010000</v>
      </c>
      <c r="E38" s="21" t="s">
        <v>309</v>
      </c>
      <c r="F38" s="21" t="s">
        <v>310</v>
      </c>
      <c r="G38" s="8" t="str">
        <f t="shared" si="0"/>
        <v>MAELZER KURT</v>
      </c>
    </row>
    <row r="39" spans="1:7" x14ac:dyDescent="0.25">
      <c r="A39" s="8">
        <v>42722.250138888892</v>
      </c>
      <c r="B39" s="21" t="s">
        <v>214</v>
      </c>
      <c r="C39" s="21" t="s">
        <v>571</v>
      </c>
      <c r="D39" s="165">
        <v>1830000</v>
      </c>
      <c r="E39" s="21" t="s">
        <v>568</v>
      </c>
      <c r="F39" s="21" t="s">
        <v>569</v>
      </c>
      <c r="G39" s="8" t="str">
        <f t="shared" si="0"/>
        <v>YORK EDGAR</v>
      </c>
    </row>
    <row r="40" spans="1:7" x14ac:dyDescent="0.25">
      <c r="A40" s="8">
        <v>42722.254108796296</v>
      </c>
      <c r="B40" s="26" t="s">
        <v>207</v>
      </c>
      <c r="C40" s="21" t="s">
        <v>565</v>
      </c>
      <c r="D40" s="165">
        <v>2100000</v>
      </c>
      <c r="E40" s="21" t="s">
        <v>557</v>
      </c>
      <c r="F40" s="21" t="s">
        <v>558</v>
      </c>
      <c r="G40" s="8" t="str">
        <f t="shared" si="0"/>
        <v>ISHMAEL JOSEPH</v>
      </c>
    </row>
    <row r="41" spans="1:7" x14ac:dyDescent="0.25">
      <c r="A41" s="8">
        <v>42722.255173611113</v>
      </c>
      <c r="B41" s="21" t="s">
        <v>510</v>
      </c>
      <c r="C41" s="21" t="s">
        <v>511</v>
      </c>
      <c r="D41" s="165">
        <v>2010000</v>
      </c>
      <c r="E41" s="21" t="s">
        <v>309</v>
      </c>
      <c r="F41" s="21" t="s">
        <v>310</v>
      </c>
      <c r="G41" s="8" t="str">
        <f t="shared" si="0"/>
        <v>MAELZER KURT</v>
      </c>
    </row>
    <row r="42" spans="1:7" x14ac:dyDescent="0.25">
      <c r="A42" s="8">
        <v>42722.261608796296</v>
      </c>
      <c r="B42" s="21" t="s">
        <v>237</v>
      </c>
      <c r="C42" s="21" t="s">
        <v>566</v>
      </c>
      <c r="D42" s="165">
        <v>2090000</v>
      </c>
      <c r="E42" s="21" t="s">
        <v>562</v>
      </c>
      <c r="F42" s="21" t="s">
        <v>266</v>
      </c>
      <c r="G42" s="8" t="str">
        <f t="shared" si="0"/>
        <v>HAITHCOX MICHAEL</v>
      </c>
    </row>
    <row r="43" spans="1:7" x14ac:dyDescent="0.25">
      <c r="A43" s="8">
        <v>42722.276388888888</v>
      </c>
      <c r="B43" s="21" t="s">
        <v>295</v>
      </c>
      <c r="C43" s="21" t="s">
        <v>572</v>
      </c>
      <c r="D43" s="165">
        <v>1830000</v>
      </c>
      <c r="E43" s="21" t="s">
        <v>568</v>
      </c>
      <c r="F43" s="21" t="s">
        <v>569</v>
      </c>
      <c r="G43" s="8" t="str">
        <f t="shared" si="0"/>
        <v>YORK EDGAR</v>
      </c>
    </row>
    <row r="44" spans="1:7" x14ac:dyDescent="0.25">
      <c r="A44" s="8">
        <v>42722.280763888892</v>
      </c>
      <c r="B44" s="21" t="s">
        <v>533</v>
      </c>
      <c r="C44" s="21" t="s">
        <v>573</v>
      </c>
      <c r="D44" s="165">
        <v>2110000</v>
      </c>
      <c r="E44" s="21" t="s">
        <v>550</v>
      </c>
      <c r="F44" s="21" t="s">
        <v>551</v>
      </c>
      <c r="G44" s="8" t="str">
        <f t="shared" si="0"/>
        <v>OUN ZACK</v>
      </c>
    </row>
    <row r="45" spans="1:7" x14ac:dyDescent="0.25">
      <c r="A45" s="8">
        <v>42722.291516203702</v>
      </c>
      <c r="B45" s="21" t="s">
        <v>214</v>
      </c>
      <c r="C45" s="21" t="s">
        <v>574</v>
      </c>
      <c r="D45" s="165">
        <v>1830000</v>
      </c>
      <c r="E45" s="21" t="s">
        <v>568</v>
      </c>
      <c r="F45" s="21" t="s">
        <v>569</v>
      </c>
      <c r="G45" s="8" t="str">
        <f t="shared" si="0"/>
        <v>YORK EDGAR</v>
      </c>
    </row>
    <row r="46" spans="1:7" x14ac:dyDescent="0.25">
      <c r="A46" s="8">
        <v>42722.29179398148</v>
      </c>
      <c r="B46" s="21" t="s">
        <v>230</v>
      </c>
      <c r="C46" s="21" t="s">
        <v>575</v>
      </c>
      <c r="D46" s="165">
        <v>2100000</v>
      </c>
      <c r="E46" s="21" t="s">
        <v>557</v>
      </c>
      <c r="F46" s="21" t="s">
        <v>558</v>
      </c>
      <c r="G46" s="8" t="str">
        <f t="shared" si="0"/>
        <v>ISHMAEL JOSEPH</v>
      </c>
    </row>
    <row r="47" spans="1:7" x14ac:dyDescent="0.25">
      <c r="A47" s="8">
        <v>42722.295081018521</v>
      </c>
      <c r="B47" s="21" t="s">
        <v>510</v>
      </c>
      <c r="C47" s="21" t="s">
        <v>511</v>
      </c>
      <c r="D47" s="165">
        <v>2010000</v>
      </c>
      <c r="E47" s="21" t="s">
        <v>309</v>
      </c>
      <c r="F47" s="21" t="s">
        <v>310</v>
      </c>
      <c r="G47" s="8" t="str">
        <f t="shared" si="0"/>
        <v>MAELZER KURT</v>
      </c>
    </row>
    <row r="48" spans="1:7" x14ac:dyDescent="0.25">
      <c r="A48" s="8">
        <v>42722.295659722222</v>
      </c>
      <c r="B48" s="21" t="s">
        <v>515</v>
      </c>
      <c r="C48" s="21" t="s">
        <v>516</v>
      </c>
      <c r="D48" s="165">
        <v>2090000</v>
      </c>
      <c r="E48" s="21" t="s">
        <v>562</v>
      </c>
      <c r="F48" s="21" t="s">
        <v>266</v>
      </c>
      <c r="G48" s="8" t="str">
        <f t="shared" si="0"/>
        <v>HAITHCOX MICHAEL</v>
      </c>
    </row>
    <row r="49" spans="1:7" x14ac:dyDescent="0.25">
      <c r="A49" s="8">
        <v>42722.304803240739</v>
      </c>
      <c r="B49" s="21" t="s">
        <v>155</v>
      </c>
      <c r="C49" s="21" t="s">
        <v>576</v>
      </c>
      <c r="D49" s="165">
        <v>2020000</v>
      </c>
      <c r="E49" s="21" t="s">
        <v>459</v>
      </c>
      <c r="F49" s="21" t="s">
        <v>252</v>
      </c>
      <c r="G49" s="8" t="str">
        <f t="shared" si="0"/>
        <v>SHOOK JOHN</v>
      </c>
    </row>
    <row r="50" spans="1:7" x14ac:dyDescent="0.25">
      <c r="A50" s="8">
        <v>42722.305648148147</v>
      </c>
      <c r="B50" s="21" t="s">
        <v>515</v>
      </c>
      <c r="C50" s="21" t="s">
        <v>516</v>
      </c>
      <c r="D50" s="165">
        <v>1990000</v>
      </c>
      <c r="E50" s="21" t="s">
        <v>267</v>
      </c>
      <c r="F50" s="21" t="s">
        <v>451</v>
      </c>
      <c r="G50" s="8" t="str">
        <f t="shared" si="0"/>
        <v>DAVIS WENDY</v>
      </c>
    </row>
    <row r="51" spans="1:7" x14ac:dyDescent="0.25">
      <c r="A51" s="8">
        <v>42722.308564814812</v>
      </c>
      <c r="B51" s="21" t="s">
        <v>533</v>
      </c>
      <c r="C51" s="21" t="s">
        <v>573</v>
      </c>
      <c r="D51" s="165">
        <v>2110000</v>
      </c>
      <c r="E51" s="21" t="s">
        <v>550</v>
      </c>
      <c r="F51" s="21" t="s">
        <v>551</v>
      </c>
      <c r="G51" s="8" t="str">
        <f t="shared" si="0"/>
        <v>OUN ZACK</v>
      </c>
    </row>
    <row r="52" spans="1:7" x14ac:dyDescent="0.25">
      <c r="A52" s="8">
        <v>42722.318101851852</v>
      </c>
      <c r="B52" s="21" t="s">
        <v>295</v>
      </c>
      <c r="C52" s="21" t="s">
        <v>577</v>
      </c>
      <c r="D52" s="165">
        <v>1830000</v>
      </c>
      <c r="E52" s="21" t="s">
        <v>568</v>
      </c>
      <c r="F52" s="21" t="s">
        <v>569</v>
      </c>
      <c r="G52" s="8" t="str">
        <f t="shared" si="0"/>
        <v>YORK EDGAR</v>
      </c>
    </row>
    <row r="53" spans="1:7" x14ac:dyDescent="0.25">
      <c r="A53" s="8">
        <v>42722.335277777776</v>
      </c>
      <c r="B53" s="21" t="s">
        <v>508</v>
      </c>
      <c r="C53" s="21" t="s">
        <v>578</v>
      </c>
      <c r="D53" s="165">
        <v>2140000</v>
      </c>
      <c r="E53" s="21" t="s">
        <v>452</v>
      </c>
      <c r="F53" s="21" t="s">
        <v>453</v>
      </c>
      <c r="G53" s="8" t="str">
        <f t="shared" si="0"/>
        <v>ROBINSON KADDIBA</v>
      </c>
    </row>
    <row r="54" spans="1:7" x14ac:dyDescent="0.25">
      <c r="A54" s="8">
        <v>42722.337453703702</v>
      </c>
      <c r="B54" s="21" t="s">
        <v>207</v>
      </c>
      <c r="C54" s="21" t="s">
        <v>579</v>
      </c>
      <c r="D54" s="165">
        <v>2100000</v>
      </c>
      <c r="E54" s="21" t="s">
        <v>557</v>
      </c>
      <c r="F54" s="21" t="s">
        <v>558</v>
      </c>
      <c r="G54" s="8" t="str">
        <f t="shared" si="0"/>
        <v>ISHMAEL JOSEPH</v>
      </c>
    </row>
    <row r="55" spans="1:7" x14ac:dyDescent="0.25">
      <c r="A55" s="8">
        <v>42722.338136574072</v>
      </c>
      <c r="B55" s="21" t="s">
        <v>207</v>
      </c>
      <c r="C55" s="21" t="s">
        <v>579</v>
      </c>
      <c r="D55" s="165">
        <v>2100000</v>
      </c>
      <c r="E55" s="21" t="s">
        <v>557</v>
      </c>
      <c r="F55" s="21" t="s">
        <v>558</v>
      </c>
      <c r="G55" s="8" t="str">
        <f t="shared" si="0"/>
        <v>ISHMAEL JOSEPH</v>
      </c>
    </row>
    <row r="56" spans="1:7" x14ac:dyDescent="0.25">
      <c r="A56" s="8">
        <v>42722.338969907411</v>
      </c>
      <c r="B56" s="21" t="s">
        <v>207</v>
      </c>
      <c r="C56" s="21" t="s">
        <v>579</v>
      </c>
      <c r="D56" s="165">
        <v>2100000</v>
      </c>
      <c r="E56" s="21" t="s">
        <v>557</v>
      </c>
      <c r="F56" s="21" t="s">
        <v>558</v>
      </c>
      <c r="G56" s="8" t="str">
        <f t="shared" si="0"/>
        <v>ISHMAEL JOSEPH</v>
      </c>
    </row>
    <row r="57" spans="1:7" x14ac:dyDescent="0.25">
      <c r="A57" s="8">
        <v>42722.346215277779</v>
      </c>
      <c r="B57" s="21" t="s">
        <v>512</v>
      </c>
      <c r="C57" s="21" t="s">
        <v>580</v>
      </c>
      <c r="D57" s="165">
        <v>2110000</v>
      </c>
      <c r="E57" s="21" t="s">
        <v>550</v>
      </c>
      <c r="F57" s="21" t="s">
        <v>551</v>
      </c>
      <c r="G57" s="8" t="str">
        <f t="shared" si="0"/>
        <v>OUN ZACK</v>
      </c>
    </row>
    <row r="58" spans="1:7" x14ac:dyDescent="0.25">
      <c r="A58" s="8">
        <v>42722.34814814815</v>
      </c>
      <c r="B58" s="21" t="s">
        <v>214</v>
      </c>
      <c r="C58" s="21" t="s">
        <v>581</v>
      </c>
      <c r="D58" s="165">
        <v>1830000</v>
      </c>
      <c r="E58" s="21" t="s">
        <v>568</v>
      </c>
      <c r="F58" s="21" t="s">
        <v>569</v>
      </c>
      <c r="G58" s="8" t="str">
        <f t="shared" si="0"/>
        <v>YORK EDGAR</v>
      </c>
    </row>
    <row r="59" spans="1:7" x14ac:dyDescent="0.25">
      <c r="A59" s="8">
        <v>42722.353865740741</v>
      </c>
      <c r="B59" s="21" t="s">
        <v>237</v>
      </c>
      <c r="C59" s="21" t="s">
        <v>518</v>
      </c>
      <c r="D59" s="165">
        <v>1990000</v>
      </c>
      <c r="E59" s="21" t="s">
        <v>267</v>
      </c>
      <c r="F59" s="21" t="s">
        <v>451</v>
      </c>
      <c r="G59" s="8" t="str">
        <f t="shared" si="0"/>
        <v>DAVIS WENDY</v>
      </c>
    </row>
    <row r="60" spans="1:7" x14ac:dyDescent="0.25">
      <c r="A60" s="8">
        <v>42722.358310185184</v>
      </c>
      <c r="B60" s="21" t="s">
        <v>183</v>
      </c>
      <c r="C60" s="21" t="s">
        <v>582</v>
      </c>
      <c r="D60" s="165">
        <v>1100000</v>
      </c>
      <c r="E60" s="21" t="s">
        <v>307</v>
      </c>
      <c r="F60" s="21" t="s">
        <v>308</v>
      </c>
      <c r="G60" s="8" t="str">
        <f t="shared" si="0"/>
        <v>GEBRETEKLE DAGNEW</v>
      </c>
    </row>
    <row r="61" spans="1:7" x14ac:dyDescent="0.25">
      <c r="A61" s="8">
        <v>42722.362002314818</v>
      </c>
      <c r="B61" s="21" t="s">
        <v>295</v>
      </c>
      <c r="C61" s="21" t="s">
        <v>583</v>
      </c>
      <c r="D61" s="165">
        <v>1830000</v>
      </c>
      <c r="E61" s="21" t="s">
        <v>568</v>
      </c>
      <c r="F61" s="21" t="s">
        <v>569</v>
      </c>
      <c r="G61" s="8" t="str">
        <f t="shared" si="0"/>
        <v>YORK EDGAR</v>
      </c>
    </row>
    <row r="62" spans="1:7" x14ac:dyDescent="0.25">
      <c r="A62" s="8">
        <v>42722.36277777778</v>
      </c>
      <c r="B62" s="21" t="s">
        <v>226</v>
      </c>
      <c r="C62" s="21" t="s">
        <v>584</v>
      </c>
      <c r="D62" s="165">
        <v>2020000</v>
      </c>
      <c r="E62" s="21" t="s">
        <v>459</v>
      </c>
      <c r="F62" s="21" t="s">
        <v>252</v>
      </c>
      <c r="G62" s="8" t="str">
        <f t="shared" si="0"/>
        <v>SHOOK JOHN</v>
      </c>
    </row>
    <row r="63" spans="1:7" x14ac:dyDescent="0.25">
      <c r="A63" s="8">
        <v>42722.368206018517</v>
      </c>
      <c r="B63" s="21" t="s">
        <v>506</v>
      </c>
      <c r="C63" s="21" t="s">
        <v>517</v>
      </c>
      <c r="D63" s="165">
        <v>2140000</v>
      </c>
      <c r="E63" s="21" t="s">
        <v>452</v>
      </c>
      <c r="F63" s="21" t="s">
        <v>453</v>
      </c>
      <c r="G63" s="8" t="str">
        <f t="shared" si="0"/>
        <v>ROBINSON KADDIBA</v>
      </c>
    </row>
    <row r="64" spans="1:7" x14ac:dyDescent="0.25">
      <c r="A64" s="27">
        <v>42722.3749537037</v>
      </c>
      <c r="B64" s="21" t="s">
        <v>214</v>
      </c>
      <c r="C64" s="21" t="s">
        <v>585</v>
      </c>
      <c r="D64" s="165">
        <v>1830000</v>
      </c>
      <c r="E64" s="21" t="s">
        <v>568</v>
      </c>
      <c r="F64" s="21" t="s">
        <v>569</v>
      </c>
      <c r="G64" s="8" t="str">
        <f t="shared" si="0"/>
        <v>YORK EDGAR</v>
      </c>
    </row>
    <row r="65" spans="1:7" x14ac:dyDescent="0.25">
      <c r="A65" s="8">
        <v>42722.375324074077</v>
      </c>
      <c r="B65" s="21" t="s">
        <v>230</v>
      </c>
      <c r="C65" s="21" t="s">
        <v>586</v>
      </c>
      <c r="D65" s="165">
        <v>2100000</v>
      </c>
      <c r="E65" s="21" t="s">
        <v>557</v>
      </c>
      <c r="F65" s="21" t="s">
        <v>558</v>
      </c>
      <c r="G65" s="8" t="str">
        <f t="shared" si="0"/>
        <v>ISHMAEL JOSEPH</v>
      </c>
    </row>
    <row r="66" spans="1:7" x14ac:dyDescent="0.25">
      <c r="A66" s="8">
        <v>42722.375497685185</v>
      </c>
      <c r="B66" s="21" t="s">
        <v>506</v>
      </c>
      <c r="C66" s="21" t="s">
        <v>517</v>
      </c>
      <c r="D66" s="165">
        <v>2140000</v>
      </c>
      <c r="E66" s="21" t="s">
        <v>452</v>
      </c>
      <c r="F66" s="21" t="s">
        <v>453</v>
      </c>
      <c r="G66" s="8" t="str">
        <f t="shared" si="0"/>
        <v>ROBINSON KADDIBA</v>
      </c>
    </row>
    <row r="67" spans="1:7" x14ac:dyDescent="0.25">
      <c r="A67" s="8">
        <v>42722.378541666665</v>
      </c>
      <c r="B67" s="21" t="s">
        <v>533</v>
      </c>
      <c r="C67" s="21" t="s">
        <v>587</v>
      </c>
      <c r="D67" s="165">
        <v>2110000</v>
      </c>
      <c r="E67" s="21" t="s">
        <v>550</v>
      </c>
      <c r="F67" s="21" t="s">
        <v>551</v>
      </c>
      <c r="G67" s="8" t="str">
        <f t="shared" ref="G67:G130" si="1">E67&amp;" "&amp;F67</f>
        <v>OUN ZACK</v>
      </c>
    </row>
    <row r="68" spans="1:7" x14ac:dyDescent="0.25">
      <c r="A68" s="8">
        <v>42722.386493055557</v>
      </c>
      <c r="B68" s="21" t="s">
        <v>510</v>
      </c>
      <c r="C68" s="21" t="s">
        <v>588</v>
      </c>
      <c r="D68" s="165">
        <v>2010000</v>
      </c>
      <c r="E68" s="21" t="s">
        <v>309</v>
      </c>
      <c r="F68" s="21" t="s">
        <v>310</v>
      </c>
      <c r="G68" s="8" t="str">
        <f t="shared" si="1"/>
        <v>MAELZER KURT</v>
      </c>
    </row>
    <row r="69" spans="1:7" x14ac:dyDescent="0.25">
      <c r="A69" s="8">
        <v>42722.388043981482</v>
      </c>
      <c r="B69" s="21" t="s">
        <v>450</v>
      </c>
      <c r="C69" s="21" t="s">
        <v>589</v>
      </c>
      <c r="D69" s="165">
        <v>1100000</v>
      </c>
      <c r="E69" s="21" t="s">
        <v>307</v>
      </c>
      <c r="F69" s="21" t="s">
        <v>308</v>
      </c>
      <c r="G69" s="8" t="str">
        <f t="shared" si="1"/>
        <v>GEBRETEKLE DAGNEW</v>
      </c>
    </row>
    <row r="70" spans="1:7" x14ac:dyDescent="0.25">
      <c r="A70" s="8">
        <v>42722.398298611108</v>
      </c>
      <c r="B70" s="21" t="s">
        <v>282</v>
      </c>
      <c r="C70" s="21" t="s">
        <v>590</v>
      </c>
      <c r="D70" s="165">
        <v>2020000</v>
      </c>
      <c r="E70" s="21" t="s">
        <v>459</v>
      </c>
      <c r="F70" s="21" t="s">
        <v>252</v>
      </c>
      <c r="G70" s="8" t="str">
        <f t="shared" si="1"/>
        <v>SHOOK JOHN</v>
      </c>
    </row>
    <row r="71" spans="1:7" x14ac:dyDescent="0.25">
      <c r="A71" s="8">
        <v>42722.400324074071</v>
      </c>
      <c r="B71" s="21" t="s">
        <v>295</v>
      </c>
      <c r="C71" s="21" t="s">
        <v>591</v>
      </c>
      <c r="D71" s="165">
        <v>1830000</v>
      </c>
      <c r="E71" s="21" t="s">
        <v>568</v>
      </c>
      <c r="F71" s="21" t="s">
        <v>569</v>
      </c>
      <c r="G71" s="8" t="str">
        <f t="shared" si="1"/>
        <v>YORK EDGAR</v>
      </c>
    </row>
    <row r="72" spans="1:7" x14ac:dyDescent="0.25">
      <c r="A72" s="8">
        <v>42722.400682870371</v>
      </c>
      <c r="B72" s="21" t="s">
        <v>508</v>
      </c>
      <c r="C72" s="21" t="s">
        <v>592</v>
      </c>
      <c r="D72" s="165">
        <v>2140000</v>
      </c>
      <c r="E72" s="21" t="s">
        <v>452</v>
      </c>
      <c r="F72" s="21" t="s">
        <v>453</v>
      </c>
      <c r="G72" s="8" t="str">
        <f t="shared" si="1"/>
        <v>ROBINSON KADDIBA</v>
      </c>
    </row>
    <row r="73" spans="1:7" x14ac:dyDescent="0.25">
      <c r="A73" s="8">
        <v>42722.401469907411</v>
      </c>
      <c r="B73" s="21" t="s">
        <v>508</v>
      </c>
      <c r="C73" s="21" t="s">
        <v>592</v>
      </c>
      <c r="D73" s="165">
        <v>2140000</v>
      </c>
      <c r="E73" s="21" t="s">
        <v>452</v>
      </c>
      <c r="F73" s="21" t="s">
        <v>453</v>
      </c>
      <c r="G73" s="8" t="str">
        <f t="shared" si="1"/>
        <v>ROBINSON KADDIBA</v>
      </c>
    </row>
    <row r="74" spans="1:7" x14ac:dyDescent="0.25">
      <c r="A74" s="8">
        <v>42722.40761574074</v>
      </c>
      <c r="B74" s="21" t="s">
        <v>206</v>
      </c>
      <c r="C74" s="21" t="s">
        <v>593</v>
      </c>
      <c r="D74" s="165">
        <v>1990000</v>
      </c>
      <c r="E74" s="21" t="s">
        <v>267</v>
      </c>
      <c r="F74" s="21" t="s">
        <v>451</v>
      </c>
      <c r="G74" s="8" t="str">
        <f t="shared" si="1"/>
        <v>DAVIS WENDY</v>
      </c>
    </row>
    <row r="75" spans="1:7" x14ac:dyDescent="0.25">
      <c r="A75" s="8">
        <v>42722.409756944442</v>
      </c>
      <c r="B75" s="21" t="s">
        <v>263</v>
      </c>
      <c r="C75" s="21" t="s">
        <v>594</v>
      </c>
      <c r="D75" s="165">
        <v>2100000</v>
      </c>
      <c r="E75" s="21" t="s">
        <v>557</v>
      </c>
      <c r="F75" s="21" t="s">
        <v>558</v>
      </c>
      <c r="G75" s="8" t="str">
        <f t="shared" si="1"/>
        <v>ISHMAEL JOSEPH</v>
      </c>
    </row>
    <row r="76" spans="1:7" x14ac:dyDescent="0.25">
      <c r="A76" s="8">
        <v>42722.412743055553</v>
      </c>
      <c r="B76" s="21" t="s">
        <v>263</v>
      </c>
      <c r="C76" s="21" t="s">
        <v>595</v>
      </c>
      <c r="D76" s="165">
        <v>2100000</v>
      </c>
      <c r="E76" s="21" t="s">
        <v>557</v>
      </c>
      <c r="F76" s="21" t="s">
        <v>558</v>
      </c>
      <c r="G76" s="8" t="str">
        <f t="shared" si="1"/>
        <v>ISHMAEL JOSEPH</v>
      </c>
    </row>
    <row r="77" spans="1:7" x14ac:dyDescent="0.25">
      <c r="A77" s="8">
        <v>42722.414664351854</v>
      </c>
      <c r="B77" s="21" t="s">
        <v>214</v>
      </c>
      <c r="C77" s="21" t="s">
        <v>596</v>
      </c>
      <c r="D77" s="165">
        <v>1830000</v>
      </c>
      <c r="E77" s="21" t="s">
        <v>568</v>
      </c>
      <c r="F77" s="21" t="s">
        <v>569</v>
      </c>
      <c r="G77" s="8" t="str">
        <f t="shared" si="1"/>
        <v>YORK EDGAR</v>
      </c>
    </row>
    <row r="78" spans="1:7" x14ac:dyDescent="0.25">
      <c r="A78" s="8">
        <v>42722.417291666665</v>
      </c>
      <c r="B78" s="21" t="s">
        <v>512</v>
      </c>
      <c r="C78" s="21" t="s">
        <v>597</v>
      </c>
      <c r="D78" s="165">
        <v>1100000</v>
      </c>
      <c r="E78" s="21" t="s">
        <v>307</v>
      </c>
      <c r="F78" s="21" t="s">
        <v>308</v>
      </c>
      <c r="G78" s="8" t="str">
        <f t="shared" si="1"/>
        <v>GEBRETEKLE DAGNEW</v>
      </c>
    </row>
    <row r="79" spans="1:7" x14ac:dyDescent="0.25">
      <c r="A79" s="8">
        <v>42722.422199074077</v>
      </c>
      <c r="B79" s="21" t="s">
        <v>529</v>
      </c>
      <c r="C79" s="21" t="s">
        <v>598</v>
      </c>
      <c r="D79" s="165">
        <v>2010000</v>
      </c>
      <c r="E79" s="21" t="s">
        <v>309</v>
      </c>
      <c r="F79" s="21" t="s">
        <v>310</v>
      </c>
      <c r="G79" s="8" t="str">
        <f t="shared" si="1"/>
        <v>MAELZER KURT</v>
      </c>
    </row>
    <row r="80" spans="1:7" x14ac:dyDescent="0.25">
      <c r="A80" s="8">
        <v>42722.427916666667</v>
      </c>
      <c r="B80" s="21" t="s">
        <v>506</v>
      </c>
      <c r="C80" s="21" t="s">
        <v>519</v>
      </c>
      <c r="D80" s="165">
        <v>2140000</v>
      </c>
      <c r="E80" s="21" t="s">
        <v>452</v>
      </c>
      <c r="F80" s="21" t="s">
        <v>453</v>
      </c>
      <c r="G80" s="8" t="str">
        <f t="shared" si="1"/>
        <v>ROBINSON KADDIBA</v>
      </c>
    </row>
    <row r="81" spans="1:7" x14ac:dyDescent="0.25">
      <c r="A81" s="8">
        <v>42722.429386574076</v>
      </c>
      <c r="B81" s="21" t="s">
        <v>226</v>
      </c>
      <c r="C81" s="21" t="s">
        <v>599</v>
      </c>
      <c r="D81" s="165">
        <v>1820000</v>
      </c>
      <c r="E81" s="21" t="s">
        <v>311</v>
      </c>
      <c r="F81" s="21" t="s">
        <v>312</v>
      </c>
      <c r="G81" s="8" t="str">
        <f t="shared" si="1"/>
        <v>ADANE ELSHADAY</v>
      </c>
    </row>
    <row r="82" spans="1:7" x14ac:dyDescent="0.25">
      <c r="A82" s="8">
        <v>42722.432199074072</v>
      </c>
      <c r="B82" s="21" t="s">
        <v>183</v>
      </c>
      <c r="C82" s="21" t="s">
        <v>600</v>
      </c>
      <c r="D82" s="165">
        <v>2020000</v>
      </c>
      <c r="E82" s="21" t="s">
        <v>459</v>
      </c>
      <c r="F82" s="21" t="s">
        <v>252</v>
      </c>
      <c r="G82" s="8" t="str">
        <f t="shared" si="1"/>
        <v>SHOOK JOHN</v>
      </c>
    </row>
    <row r="83" spans="1:7" x14ac:dyDescent="0.25">
      <c r="A83" s="8">
        <v>42722.433009259257</v>
      </c>
      <c r="B83" s="21" t="s">
        <v>183</v>
      </c>
      <c r="C83" s="21" t="s">
        <v>600</v>
      </c>
      <c r="D83" s="165">
        <v>2020000</v>
      </c>
      <c r="E83" s="21" t="s">
        <v>459</v>
      </c>
      <c r="F83" s="21" t="s">
        <v>252</v>
      </c>
      <c r="G83" s="8" t="str">
        <f t="shared" si="1"/>
        <v>SHOOK JOHN</v>
      </c>
    </row>
    <row r="84" spans="1:7" x14ac:dyDescent="0.25">
      <c r="A84" s="8">
        <v>42722.440266203703</v>
      </c>
      <c r="B84" s="21" t="s">
        <v>183</v>
      </c>
      <c r="C84" s="21" t="s">
        <v>600</v>
      </c>
      <c r="D84" s="165">
        <v>2020000</v>
      </c>
      <c r="E84" s="21" t="s">
        <v>459</v>
      </c>
      <c r="F84" s="21" t="s">
        <v>252</v>
      </c>
      <c r="G84" s="8" t="str">
        <f t="shared" si="1"/>
        <v>SHOOK JOHN</v>
      </c>
    </row>
    <row r="85" spans="1:7" x14ac:dyDescent="0.25">
      <c r="A85" s="8">
        <v>42722.44122685185</v>
      </c>
      <c r="B85" s="21" t="s">
        <v>183</v>
      </c>
      <c r="C85" s="21" t="s">
        <v>600</v>
      </c>
      <c r="D85" s="165">
        <v>2020000</v>
      </c>
      <c r="E85" s="21" t="s">
        <v>459</v>
      </c>
      <c r="F85" s="21" t="s">
        <v>252</v>
      </c>
      <c r="G85" s="8" t="str">
        <f t="shared" si="1"/>
        <v>SHOOK JOHN</v>
      </c>
    </row>
    <row r="86" spans="1:7" x14ac:dyDescent="0.25">
      <c r="A86" s="8">
        <v>42722.442662037036</v>
      </c>
      <c r="B86" s="21" t="s">
        <v>294</v>
      </c>
      <c r="C86" s="21" t="s">
        <v>601</v>
      </c>
      <c r="D86" s="165">
        <v>2150000</v>
      </c>
      <c r="E86" s="21" t="s">
        <v>456</v>
      </c>
      <c r="F86" s="21" t="s">
        <v>457</v>
      </c>
      <c r="G86" s="8" t="str">
        <f t="shared" si="1"/>
        <v>SWANSON BRYCE</v>
      </c>
    </row>
    <row r="87" spans="1:7" x14ac:dyDescent="0.25">
      <c r="A87" s="8">
        <v>42722.443645833337</v>
      </c>
      <c r="B87" s="21" t="s">
        <v>295</v>
      </c>
      <c r="C87" s="21" t="s">
        <v>602</v>
      </c>
      <c r="D87" s="165">
        <v>1830000</v>
      </c>
      <c r="E87" s="21" t="s">
        <v>568</v>
      </c>
      <c r="F87" s="21" t="s">
        <v>569</v>
      </c>
      <c r="G87" s="8" t="str">
        <f t="shared" si="1"/>
        <v>YORK EDGAR</v>
      </c>
    </row>
    <row r="88" spans="1:7" x14ac:dyDescent="0.25">
      <c r="A88" s="8">
        <v>42722.444837962961</v>
      </c>
      <c r="B88" s="21" t="s">
        <v>207</v>
      </c>
      <c r="C88" s="21" t="s">
        <v>603</v>
      </c>
      <c r="D88" s="165">
        <v>1990000</v>
      </c>
      <c r="E88" s="21" t="s">
        <v>267</v>
      </c>
      <c r="F88" s="21" t="s">
        <v>451</v>
      </c>
      <c r="G88" s="8" t="str">
        <f t="shared" si="1"/>
        <v>DAVIS WENDY</v>
      </c>
    </row>
    <row r="89" spans="1:7" x14ac:dyDescent="0.25">
      <c r="A89" s="8">
        <v>42722.450636574074</v>
      </c>
      <c r="B89" s="21" t="s">
        <v>230</v>
      </c>
      <c r="C89" s="21" t="s">
        <v>604</v>
      </c>
      <c r="D89" s="165">
        <v>880000</v>
      </c>
      <c r="E89" s="21" t="s">
        <v>605</v>
      </c>
      <c r="F89" s="21" t="s">
        <v>266</v>
      </c>
      <c r="G89" s="8" t="str">
        <f t="shared" si="1"/>
        <v>STEWART MICHAEL</v>
      </c>
    </row>
    <row r="90" spans="1:7" x14ac:dyDescent="0.25">
      <c r="A90" s="8">
        <v>42722.451180555552</v>
      </c>
      <c r="B90" s="21" t="s">
        <v>533</v>
      </c>
      <c r="C90" s="21" t="s">
        <v>606</v>
      </c>
      <c r="D90" s="165">
        <v>1100000</v>
      </c>
      <c r="E90" s="21" t="s">
        <v>307</v>
      </c>
      <c r="F90" s="21" t="s">
        <v>308</v>
      </c>
      <c r="G90" s="8" t="str">
        <f t="shared" si="1"/>
        <v>GEBRETEKLE DAGNEW</v>
      </c>
    </row>
    <row r="91" spans="1:7" x14ac:dyDescent="0.25">
      <c r="A91" s="8">
        <v>42722.462476851855</v>
      </c>
      <c r="B91" s="21" t="s">
        <v>282</v>
      </c>
      <c r="C91" s="21" t="s">
        <v>520</v>
      </c>
      <c r="D91" s="165">
        <v>1820000</v>
      </c>
      <c r="E91" s="21" t="s">
        <v>311</v>
      </c>
      <c r="F91" s="21" t="s">
        <v>312</v>
      </c>
      <c r="G91" s="8" t="str">
        <f t="shared" si="1"/>
        <v>ADANE ELSHADAY</v>
      </c>
    </row>
    <row r="92" spans="1:7" x14ac:dyDescent="0.25">
      <c r="A92" s="8">
        <v>42722.46334490741</v>
      </c>
      <c r="B92" s="21" t="s">
        <v>214</v>
      </c>
      <c r="C92" s="21" t="s">
        <v>607</v>
      </c>
      <c r="D92" s="165">
        <v>1830000</v>
      </c>
      <c r="E92" s="21" t="s">
        <v>568</v>
      </c>
      <c r="F92" s="21" t="s">
        <v>569</v>
      </c>
      <c r="G92" s="8" t="str">
        <f t="shared" si="1"/>
        <v>YORK EDGAR</v>
      </c>
    </row>
    <row r="93" spans="1:7" x14ac:dyDescent="0.25">
      <c r="A93" s="8">
        <v>42722.46402777778</v>
      </c>
      <c r="B93" s="21" t="s">
        <v>510</v>
      </c>
      <c r="C93" s="21" t="s">
        <v>608</v>
      </c>
      <c r="D93" s="165">
        <v>920000</v>
      </c>
      <c r="E93" s="21" t="s">
        <v>267</v>
      </c>
      <c r="F93" s="21" t="s">
        <v>266</v>
      </c>
      <c r="G93" s="8" t="str">
        <f t="shared" si="1"/>
        <v>DAVIS MICHAEL</v>
      </c>
    </row>
    <row r="94" spans="1:7" x14ac:dyDescent="0.25">
      <c r="A94" s="8">
        <v>42722.471006944441</v>
      </c>
      <c r="B94" s="21" t="s">
        <v>450</v>
      </c>
      <c r="C94" s="21" t="s">
        <v>609</v>
      </c>
      <c r="D94" s="165">
        <v>2020000</v>
      </c>
      <c r="E94" s="21" t="s">
        <v>459</v>
      </c>
      <c r="F94" s="21" t="s">
        <v>252</v>
      </c>
      <c r="G94" s="8" t="str">
        <f t="shared" si="1"/>
        <v>SHOOK JOHN</v>
      </c>
    </row>
    <row r="95" spans="1:7" x14ac:dyDescent="0.25">
      <c r="A95" s="8">
        <v>42722.471770833334</v>
      </c>
      <c r="B95" s="21" t="s">
        <v>508</v>
      </c>
      <c r="C95" s="21" t="s">
        <v>610</v>
      </c>
      <c r="D95" s="165">
        <v>2420000</v>
      </c>
      <c r="E95" s="21" t="s">
        <v>215</v>
      </c>
      <c r="F95" s="21" t="s">
        <v>462</v>
      </c>
      <c r="G95" s="8" t="str">
        <f t="shared" si="1"/>
        <v>HOLCOMB KAMDEN</v>
      </c>
    </row>
    <row r="96" spans="1:7" x14ac:dyDescent="0.25">
      <c r="A96" s="8">
        <v>42722.483634259261</v>
      </c>
      <c r="B96" s="21" t="s">
        <v>295</v>
      </c>
      <c r="C96" s="21" t="s">
        <v>611</v>
      </c>
      <c r="D96" s="165">
        <v>1830000</v>
      </c>
      <c r="E96" s="21" t="s">
        <v>568</v>
      </c>
      <c r="F96" s="21" t="s">
        <v>569</v>
      </c>
      <c r="G96" s="8" t="str">
        <f t="shared" si="1"/>
        <v>YORK EDGAR</v>
      </c>
    </row>
    <row r="97" spans="1:7" x14ac:dyDescent="0.25">
      <c r="A97" s="8">
        <v>42722.48542824074</v>
      </c>
      <c r="B97" s="21" t="s">
        <v>263</v>
      </c>
      <c r="C97" s="21" t="s">
        <v>521</v>
      </c>
      <c r="D97" s="165">
        <v>880000</v>
      </c>
      <c r="E97" s="21" t="s">
        <v>605</v>
      </c>
      <c r="F97" s="21" t="s">
        <v>266</v>
      </c>
      <c r="G97" s="8" t="str">
        <f t="shared" si="1"/>
        <v>STEWART MICHAEL</v>
      </c>
    </row>
    <row r="98" spans="1:7" x14ac:dyDescent="0.25">
      <c r="A98" s="8">
        <v>42722.485925925925</v>
      </c>
      <c r="B98" s="21" t="s">
        <v>206</v>
      </c>
      <c r="C98" s="21" t="s">
        <v>612</v>
      </c>
      <c r="D98" s="165">
        <v>1770000</v>
      </c>
      <c r="E98" s="21" t="s">
        <v>613</v>
      </c>
      <c r="F98" s="21" t="s">
        <v>614</v>
      </c>
      <c r="G98" s="8" t="str">
        <f t="shared" si="1"/>
        <v>BRUDER RICHARD</v>
      </c>
    </row>
    <row r="99" spans="1:7" x14ac:dyDescent="0.25">
      <c r="A99" s="8">
        <v>42722.490648148145</v>
      </c>
      <c r="B99" s="21" t="s">
        <v>512</v>
      </c>
      <c r="C99" s="21" t="s">
        <v>615</v>
      </c>
      <c r="D99" s="165">
        <v>1280000</v>
      </c>
      <c r="E99" s="21" t="s">
        <v>616</v>
      </c>
      <c r="F99" s="21" t="s">
        <v>617</v>
      </c>
      <c r="G99" s="8" t="str">
        <f t="shared" si="1"/>
        <v>BARTLETT KIANDRA</v>
      </c>
    </row>
    <row r="100" spans="1:7" x14ac:dyDescent="0.25">
      <c r="A100" s="8">
        <v>42722.495428240742</v>
      </c>
      <c r="B100" s="21" t="s">
        <v>529</v>
      </c>
      <c r="C100" s="21" t="s">
        <v>618</v>
      </c>
      <c r="D100" s="165">
        <v>920000</v>
      </c>
      <c r="E100" s="21" t="s">
        <v>267</v>
      </c>
      <c r="F100" s="21" t="s">
        <v>266</v>
      </c>
      <c r="G100" s="8" t="str">
        <f t="shared" si="1"/>
        <v>DAVIS MICHAEL</v>
      </c>
    </row>
    <row r="101" spans="1:7" x14ac:dyDescent="0.25">
      <c r="A101" s="8">
        <v>42722.49827546296</v>
      </c>
      <c r="B101" s="21" t="s">
        <v>214</v>
      </c>
      <c r="C101" s="21" t="s">
        <v>619</v>
      </c>
      <c r="D101" s="165">
        <v>1830000</v>
      </c>
      <c r="E101" s="21" t="s">
        <v>568</v>
      </c>
      <c r="F101" s="21" t="s">
        <v>569</v>
      </c>
      <c r="G101" s="8" t="str">
        <f t="shared" si="1"/>
        <v>YORK EDGAR</v>
      </c>
    </row>
    <row r="102" spans="1:7" x14ac:dyDescent="0.25">
      <c r="A102" s="8">
        <v>42722.505497685182</v>
      </c>
      <c r="B102" s="21" t="s">
        <v>506</v>
      </c>
      <c r="C102" s="21" t="s">
        <v>620</v>
      </c>
      <c r="D102" s="165">
        <v>2420000</v>
      </c>
      <c r="E102" s="21" t="s">
        <v>215</v>
      </c>
      <c r="F102" s="21" t="s">
        <v>462</v>
      </c>
      <c r="G102" s="8" t="str">
        <f t="shared" si="1"/>
        <v>HOLCOMB KAMDEN</v>
      </c>
    </row>
    <row r="103" spans="1:7" x14ac:dyDescent="0.25">
      <c r="A103" s="8">
        <v>42722.507604166669</v>
      </c>
      <c r="B103" s="21" t="s">
        <v>226</v>
      </c>
      <c r="C103" s="21" t="s">
        <v>621</v>
      </c>
      <c r="D103" s="165">
        <v>1820000</v>
      </c>
      <c r="E103" s="21" t="s">
        <v>311</v>
      </c>
      <c r="F103" s="21" t="s">
        <v>312</v>
      </c>
      <c r="G103" s="8" t="str">
        <f t="shared" si="1"/>
        <v>ADANE ELSHADAY</v>
      </c>
    </row>
    <row r="104" spans="1:7" x14ac:dyDescent="0.25">
      <c r="A104" s="8">
        <v>42722.509212962963</v>
      </c>
      <c r="B104" s="21" t="s">
        <v>183</v>
      </c>
      <c r="C104" s="21" t="s">
        <v>522</v>
      </c>
      <c r="D104" s="165">
        <v>2030000</v>
      </c>
      <c r="E104" s="21" t="s">
        <v>622</v>
      </c>
      <c r="F104" s="21" t="s">
        <v>253</v>
      </c>
      <c r="G104" s="8" t="str">
        <f t="shared" si="1"/>
        <v>KILLION DAVID</v>
      </c>
    </row>
    <row r="105" spans="1:7" x14ac:dyDescent="0.25">
      <c r="A105" s="8">
        <v>42722.513437499998</v>
      </c>
      <c r="B105" s="21" t="s">
        <v>207</v>
      </c>
      <c r="C105" s="21" t="s">
        <v>623</v>
      </c>
      <c r="D105" s="165">
        <v>1770000</v>
      </c>
      <c r="E105" s="21" t="s">
        <v>613</v>
      </c>
      <c r="F105" s="21" t="s">
        <v>614</v>
      </c>
      <c r="G105" s="8" t="str">
        <f t="shared" si="1"/>
        <v>BRUDER RICHARD</v>
      </c>
    </row>
    <row r="106" spans="1:7" x14ac:dyDescent="0.25">
      <c r="A106" s="8">
        <v>42722.521134259259</v>
      </c>
      <c r="B106" s="21" t="s">
        <v>230</v>
      </c>
      <c r="C106" s="21" t="s">
        <v>624</v>
      </c>
      <c r="D106" s="165">
        <v>880000</v>
      </c>
      <c r="E106" s="21" t="s">
        <v>605</v>
      </c>
      <c r="F106" s="21" t="s">
        <v>266</v>
      </c>
      <c r="G106" s="8" t="str">
        <f t="shared" si="1"/>
        <v>STEWART MICHAEL</v>
      </c>
    </row>
    <row r="107" spans="1:7" x14ac:dyDescent="0.25">
      <c r="A107" s="8">
        <v>42722.523148148146</v>
      </c>
      <c r="B107" s="21" t="s">
        <v>533</v>
      </c>
      <c r="C107" s="21" t="s">
        <v>625</v>
      </c>
      <c r="D107" s="165">
        <v>1280000</v>
      </c>
      <c r="E107" s="21" t="s">
        <v>616</v>
      </c>
      <c r="F107" s="21" t="s">
        <v>617</v>
      </c>
      <c r="G107" s="8" t="str">
        <f t="shared" si="1"/>
        <v>BARTLETT KIANDRA</v>
      </c>
    </row>
    <row r="108" spans="1:7" x14ac:dyDescent="0.25">
      <c r="A108" s="8">
        <v>42722.525543981479</v>
      </c>
      <c r="B108" s="21" t="s">
        <v>295</v>
      </c>
      <c r="C108" s="21" t="s">
        <v>626</v>
      </c>
      <c r="D108" s="165">
        <v>1830000</v>
      </c>
      <c r="E108" s="21" t="s">
        <v>568</v>
      </c>
      <c r="F108" s="21" t="s">
        <v>569</v>
      </c>
      <c r="G108" s="8" t="str">
        <f t="shared" si="1"/>
        <v>YORK EDGAR</v>
      </c>
    </row>
    <row r="109" spans="1:7" x14ac:dyDescent="0.25">
      <c r="A109" s="8">
        <v>42722.534780092596</v>
      </c>
      <c r="B109" s="21" t="s">
        <v>282</v>
      </c>
      <c r="C109" s="21" t="s">
        <v>627</v>
      </c>
      <c r="D109" s="165">
        <v>1820000</v>
      </c>
      <c r="E109" s="21" t="s">
        <v>311</v>
      </c>
      <c r="F109" s="21" t="s">
        <v>312</v>
      </c>
      <c r="G109" s="8" t="str">
        <f t="shared" si="1"/>
        <v>ADANE ELSHADAY</v>
      </c>
    </row>
    <row r="110" spans="1:7" x14ac:dyDescent="0.25">
      <c r="A110" s="8">
        <v>42722.536851851852</v>
      </c>
      <c r="B110" s="21" t="s">
        <v>510</v>
      </c>
      <c r="C110" s="21" t="s">
        <v>628</v>
      </c>
      <c r="D110" s="165">
        <v>920000</v>
      </c>
      <c r="E110" s="21" t="s">
        <v>267</v>
      </c>
      <c r="F110" s="21" t="s">
        <v>266</v>
      </c>
      <c r="G110" s="8" t="str">
        <f t="shared" si="1"/>
        <v>DAVIS MICHAEL</v>
      </c>
    </row>
    <row r="111" spans="1:7" x14ac:dyDescent="0.25">
      <c r="A111" s="8">
        <v>42722.5387962963</v>
      </c>
      <c r="B111" s="21" t="s">
        <v>214</v>
      </c>
      <c r="C111" s="21" t="s">
        <v>629</v>
      </c>
      <c r="D111" s="165">
        <v>1830000</v>
      </c>
      <c r="E111" s="21" t="s">
        <v>568</v>
      </c>
      <c r="F111" s="21" t="s">
        <v>569</v>
      </c>
      <c r="G111" s="8" t="str">
        <f t="shared" si="1"/>
        <v>YORK EDGAR</v>
      </c>
    </row>
    <row r="112" spans="1:7" x14ac:dyDescent="0.25">
      <c r="A112" s="8">
        <v>42722.546238425923</v>
      </c>
      <c r="B112" s="21" t="s">
        <v>450</v>
      </c>
      <c r="C112" s="21" t="s">
        <v>630</v>
      </c>
      <c r="D112" s="165">
        <v>2030000</v>
      </c>
      <c r="E112" s="21" t="s">
        <v>622</v>
      </c>
      <c r="F112" s="21" t="s">
        <v>253</v>
      </c>
      <c r="G112" s="8" t="str">
        <f t="shared" si="1"/>
        <v>KILLION DAVID</v>
      </c>
    </row>
    <row r="113" spans="1:7" x14ac:dyDescent="0.25">
      <c r="A113" s="8">
        <v>42722.54650462963</v>
      </c>
      <c r="B113" s="21" t="s">
        <v>508</v>
      </c>
      <c r="C113" s="21" t="s">
        <v>631</v>
      </c>
      <c r="D113" s="165">
        <v>2420000</v>
      </c>
      <c r="E113" s="21" t="s">
        <v>215</v>
      </c>
      <c r="F113" s="21" t="s">
        <v>462</v>
      </c>
      <c r="G113" s="8" t="str">
        <f t="shared" si="1"/>
        <v>HOLCOMB KAMDEN</v>
      </c>
    </row>
    <row r="114" spans="1:7" x14ac:dyDescent="0.25">
      <c r="A114" s="8">
        <v>42722.555798611109</v>
      </c>
      <c r="B114" s="21" t="s">
        <v>263</v>
      </c>
      <c r="C114" s="21" t="s">
        <v>632</v>
      </c>
      <c r="D114" s="165">
        <v>880000</v>
      </c>
      <c r="E114" s="21" t="s">
        <v>605</v>
      </c>
      <c r="F114" s="21" t="s">
        <v>266</v>
      </c>
      <c r="G114" s="8" t="str">
        <f t="shared" si="1"/>
        <v>STEWART MICHAEL</v>
      </c>
    </row>
    <row r="115" spans="1:7" x14ac:dyDescent="0.25">
      <c r="A115" s="8">
        <v>42722.557453703703</v>
      </c>
      <c r="B115" s="21" t="s">
        <v>206</v>
      </c>
      <c r="C115" s="21" t="s">
        <v>633</v>
      </c>
      <c r="D115" s="165">
        <v>1770000</v>
      </c>
      <c r="E115" s="21" t="s">
        <v>613</v>
      </c>
      <c r="F115" s="21" t="s">
        <v>614</v>
      </c>
      <c r="G115" s="8" t="str">
        <f t="shared" si="1"/>
        <v>BRUDER RICHARD</v>
      </c>
    </row>
    <row r="116" spans="1:7" x14ac:dyDescent="0.25">
      <c r="A116" s="8">
        <v>42722.558703703704</v>
      </c>
      <c r="B116" s="21" t="s">
        <v>512</v>
      </c>
      <c r="C116" s="21" t="s">
        <v>634</v>
      </c>
      <c r="D116" s="165">
        <v>1280000</v>
      </c>
      <c r="E116" s="21" t="s">
        <v>616</v>
      </c>
      <c r="F116" s="21" t="s">
        <v>617</v>
      </c>
      <c r="G116" s="8" t="str">
        <f t="shared" si="1"/>
        <v>BARTLETT KIANDRA</v>
      </c>
    </row>
    <row r="117" spans="1:7" x14ac:dyDescent="0.25">
      <c r="A117" s="8">
        <v>42722.566782407404</v>
      </c>
      <c r="B117" s="21" t="s">
        <v>529</v>
      </c>
      <c r="C117" s="21" t="s">
        <v>635</v>
      </c>
      <c r="D117" s="165">
        <v>920000</v>
      </c>
      <c r="E117" s="21" t="s">
        <v>267</v>
      </c>
      <c r="F117" s="21" t="s">
        <v>266</v>
      </c>
      <c r="G117" s="8" t="str">
        <f t="shared" si="1"/>
        <v>DAVIS MICHAEL</v>
      </c>
    </row>
    <row r="118" spans="1:7" x14ac:dyDescent="0.25">
      <c r="A118" s="8">
        <v>42722.567280092589</v>
      </c>
      <c r="B118" s="21" t="s">
        <v>295</v>
      </c>
      <c r="C118" s="21" t="s">
        <v>636</v>
      </c>
      <c r="D118" s="165">
        <v>1830000</v>
      </c>
      <c r="E118" s="21" t="s">
        <v>568</v>
      </c>
      <c r="F118" s="21" t="s">
        <v>569</v>
      </c>
      <c r="G118" s="8" t="str">
        <f t="shared" si="1"/>
        <v>YORK EDGAR</v>
      </c>
    </row>
    <row r="119" spans="1:7" x14ac:dyDescent="0.25">
      <c r="A119" s="8">
        <v>42722.56890046296</v>
      </c>
      <c r="B119" s="21" t="s">
        <v>226</v>
      </c>
      <c r="C119" s="21" t="s">
        <v>637</v>
      </c>
      <c r="D119" s="165">
        <v>1820000</v>
      </c>
      <c r="E119" s="21" t="s">
        <v>311</v>
      </c>
      <c r="F119" s="21" t="s">
        <v>312</v>
      </c>
      <c r="G119" s="8" t="str">
        <f t="shared" si="1"/>
        <v>ADANE ELSHADAY</v>
      </c>
    </row>
    <row r="120" spans="1:7" x14ac:dyDescent="0.25">
      <c r="A120" s="8">
        <v>42722.576828703706</v>
      </c>
      <c r="B120" s="21" t="s">
        <v>506</v>
      </c>
      <c r="C120" s="21" t="s">
        <v>523</v>
      </c>
      <c r="D120" s="165">
        <v>2420000</v>
      </c>
      <c r="E120" s="21" t="s">
        <v>215</v>
      </c>
      <c r="F120" s="21" t="s">
        <v>462</v>
      </c>
      <c r="G120" s="8" t="str">
        <f t="shared" si="1"/>
        <v>HOLCOMB KAMDEN</v>
      </c>
    </row>
    <row r="121" spans="1:7" x14ac:dyDescent="0.25">
      <c r="A121" s="8">
        <v>42722.584837962961</v>
      </c>
      <c r="B121" s="21" t="s">
        <v>183</v>
      </c>
      <c r="C121" s="21" t="s">
        <v>638</v>
      </c>
      <c r="D121" s="165">
        <v>2030000</v>
      </c>
      <c r="E121" s="21" t="s">
        <v>622</v>
      </c>
      <c r="F121" s="21" t="s">
        <v>253</v>
      </c>
      <c r="G121" s="8" t="str">
        <f t="shared" si="1"/>
        <v>KILLION DAVID</v>
      </c>
    </row>
    <row r="122" spans="1:7" x14ac:dyDescent="0.25">
      <c r="A122" s="8">
        <v>42722.585590277777</v>
      </c>
      <c r="B122" s="26" t="s">
        <v>214</v>
      </c>
      <c r="C122" s="21" t="s">
        <v>639</v>
      </c>
      <c r="D122" s="165">
        <v>2530000</v>
      </c>
      <c r="E122" s="21" t="s">
        <v>239</v>
      </c>
      <c r="F122" s="21" t="s">
        <v>461</v>
      </c>
      <c r="G122" s="8" t="str">
        <f t="shared" si="1"/>
        <v>LALONDE GREGORY</v>
      </c>
    </row>
    <row r="123" spans="1:7" x14ac:dyDescent="0.25">
      <c r="A123" s="8">
        <v>42722.586863425924</v>
      </c>
      <c r="B123" s="21" t="s">
        <v>207</v>
      </c>
      <c r="C123" s="21" t="s">
        <v>640</v>
      </c>
      <c r="D123" s="165">
        <v>1770000</v>
      </c>
      <c r="E123" s="21" t="s">
        <v>613</v>
      </c>
      <c r="F123" s="21" t="s">
        <v>614</v>
      </c>
      <c r="G123" s="8" t="str">
        <f t="shared" si="1"/>
        <v>BRUDER RICHARD</v>
      </c>
    </row>
    <row r="124" spans="1:7" x14ac:dyDescent="0.25">
      <c r="A124" s="8">
        <v>42722.596805555557</v>
      </c>
      <c r="B124" s="21" t="s">
        <v>533</v>
      </c>
      <c r="C124" s="21" t="s">
        <v>641</v>
      </c>
      <c r="D124" s="165">
        <v>1280000</v>
      </c>
      <c r="E124" s="21" t="s">
        <v>616</v>
      </c>
      <c r="F124" s="21" t="s">
        <v>617</v>
      </c>
      <c r="G124" s="8" t="str">
        <f t="shared" si="1"/>
        <v>BARTLETT KIANDRA</v>
      </c>
    </row>
    <row r="125" spans="1:7" x14ac:dyDescent="0.25">
      <c r="A125" s="8">
        <v>42722.599895833337</v>
      </c>
      <c r="B125" s="21" t="s">
        <v>230</v>
      </c>
      <c r="C125" s="21" t="s">
        <v>642</v>
      </c>
      <c r="D125" s="165">
        <v>880000</v>
      </c>
      <c r="E125" s="21" t="s">
        <v>605</v>
      </c>
      <c r="F125" s="21" t="s">
        <v>266</v>
      </c>
      <c r="G125" s="8" t="str">
        <f t="shared" si="1"/>
        <v>STEWART MICHAEL</v>
      </c>
    </row>
    <row r="126" spans="1:7" x14ac:dyDescent="0.25">
      <c r="A126" s="8">
        <v>42722.60633101852</v>
      </c>
      <c r="B126" s="21" t="s">
        <v>282</v>
      </c>
      <c r="C126" s="21" t="s">
        <v>643</v>
      </c>
      <c r="D126" s="165">
        <v>1820000</v>
      </c>
      <c r="E126" s="21" t="s">
        <v>311</v>
      </c>
      <c r="F126" s="21" t="s">
        <v>312</v>
      </c>
      <c r="G126" s="8" t="str">
        <f t="shared" si="1"/>
        <v>ADANE ELSHADAY</v>
      </c>
    </row>
    <row r="127" spans="1:7" x14ac:dyDescent="0.25">
      <c r="A127" s="8">
        <v>42722.609432870369</v>
      </c>
      <c r="B127" s="21" t="s">
        <v>295</v>
      </c>
      <c r="C127" s="21" t="s">
        <v>644</v>
      </c>
      <c r="D127" s="165">
        <v>2530000</v>
      </c>
      <c r="E127" s="21" t="s">
        <v>239</v>
      </c>
      <c r="F127" s="21" t="s">
        <v>461</v>
      </c>
      <c r="G127" s="8" t="str">
        <f t="shared" si="1"/>
        <v>LALONDE GREGORY</v>
      </c>
    </row>
    <row r="128" spans="1:7" x14ac:dyDescent="0.25">
      <c r="A128" s="8">
        <v>42722.611018518517</v>
      </c>
      <c r="B128" s="21" t="s">
        <v>510</v>
      </c>
      <c r="C128" s="21" t="s">
        <v>645</v>
      </c>
      <c r="D128" s="165">
        <v>920000</v>
      </c>
      <c r="E128" s="21" t="s">
        <v>267</v>
      </c>
      <c r="F128" s="21" t="s">
        <v>266</v>
      </c>
      <c r="G128" s="8" t="str">
        <f t="shared" si="1"/>
        <v>DAVIS MICHAEL</v>
      </c>
    </row>
    <row r="129" spans="1:7" x14ac:dyDescent="0.25">
      <c r="A129" s="8">
        <v>42722.611342592594</v>
      </c>
      <c r="B129" s="21" t="s">
        <v>508</v>
      </c>
      <c r="C129" s="21" t="s">
        <v>524</v>
      </c>
      <c r="D129" s="165">
        <v>2420000</v>
      </c>
      <c r="E129" s="21" t="s">
        <v>215</v>
      </c>
      <c r="F129" s="21" t="s">
        <v>462</v>
      </c>
      <c r="G129" s="8" t="str">
        <f t="shared" si="1"/>
        <v>HOLCOMB KAMDEN</v>
      </c>
    </row>
    <row r="130" spans="1:7" x14ac:dyDescent="0.25">
      <c r="A130" s="8">
        <v>42722.612164351849</v>
      </c>
      <c r="B130" s="21" t="s">
        <v>510</v>
      </c>
      <c r="C130" s="21" t="s">
        <v>645</v>
      </c>
      <c r="D130" s="165">
        <v>920000</v>
      </c>
      <c r="E130" s="21" t="s">
        <v>267</v>
      </c>
      <c r="F130" s="21" t="s">
        <v>266</v>
      </c>
      <c r="G130" s="8" t="str">
        <f t="shared" si="1"/>
        <v>DAVIS MICHAEL</v>
      </c>
    </row>
    <row r="131" spans="1:7" x14ac:dyDescent="0.25">
      <c r="A131" s="8">
        <v>42722.612210648149</v>
      </c>
      <c r="B131" s="21" t="s">
        <v>508</v>
      </c>
      <c r="C131" s="21" t="s">
        <v>524</v>
      </c>
      <c r="D131" s="165">
        <v>2420000</v>
      </c>
      <c r="E131" s="21" t="s">
        <v>215</v>
      </c>
      <c r="F131" s="21" t="s">
        <v>462</v>
      </c>
      <c r="G131" s="8" t="str">
        <f t="shared" ref="G131:G194" si="2">E131&amp;" "&amp;F131</f>
        <v>HOLCOMB KAMDEN</v>
      </c>
    </row>
    <row r="132" spans="1:7" x14ac:dyDescent="0.25">
      <c r="A132" s="8">
        <v>42722.614305555559</v>
      </c>
      <c r="B132" s="21" t="s">
        <v>510</v>
      </c>
      <c r="C132" s="21" t="s">
        <v>645</v>
      </c>
      <c r="D132" s="165">
        <v>920000</v>
      </c>
      <c r="E132" s="21" t="s">
        <v>267</v>
      </c>
      <c r="F132" s="21" t="s">
        <v>266</v>
      </c>
      <c r="G132" s="8" t="str">
        <f t="shared" si="2"/>
        <v>DAVIS MICHAEL</v>
      </c>
    </row>
    <row r="133" spans="1:7" x14ac:dyDescent="0.25">
      <c r="A133" s="8">
        <v>42722.615949074076</v>
      </c>
      <c r="B133" s="21" t="s">
        <v>508</v>
      </c>
      <c r="C133" s="21" t="s">
        <v>524</v>
      </c>
      <c r="D133" s="165">
        <v>2420000</v>
      </c>
      <c r="E133" s="21" t="s">
        <v>215</v>
      </c>
      <c r="F133" s="21" t="s">
        <v>462</v>
      </c>
      <c r="G133" s="8" t="str">
        <f t="shared" si="2"/>
        <v>HOLCOMB KAMDEN</v>
      </c>
    </row>
    <row r="134" spans="1:7" x14ac:dyDescent="0.25">
      <c r="A134" s="8">
        <v>42722.617569444446</v>
      </c>
      <c r="B134" s="21" t="s">
        <v>450</v>
      </c>
      <c r="C134" s="21" t="s">
        <v>646</v>
      </c>
      <c r="D134" s="165">
        <v>2030000</v>
      </c>
      <c r="E134" s="21" t="s">
        <v>622</v>
      </c>
      <c r="F134" s="21" t="s">
        <v>253</v>
      </c>
      <c r="G134" s="8" t="str">
        <f t="shared" si="2"/>
        <v>KILLION DAVID</v>
      </c>
    </row>
    <row r="135" spans="1:7" x14ac:dyDescent="0.25">
      <c r="A135" s="8">
        <v>42722.623252314814</v>
      </c>
      <c r="B135" s="21" t="s">
        <v>214</v>
      </c>
      <c r="C135" s="21" t="s">
        <v>647</v>
      </c>
      <c r="D135" s="165">
        <v>2530000</v>
      </c>
      <c r="E135" s="21" t="s">
        <v>239</v>
      </c>
      <c r="F135" s="21" t="s">
        <v>461</v>
      </c>
      <c r="G135" s="8" t="str">
        <f t="shared" si="2"/>
        <v>LALONDE GREGORY</v>
      </c>
    </row>
    <row r="136" spans="1:7" x14ac:dyDescent="0.25">
      <c r="A136" s="8">
        <v>42722.627847222226</v>
      </c>
      <c r="B136" s="21" t="s">
        <v>206</v>
      </c>
      <c r="C136" s="21" t="s">
        <v>648</v>
      </c>
      <c r="D136" s="165">
        <v>1770000</v>
      </c>
      <c r="E136" s="21" t="s">
        <v>613</v>
      </c>
      <c r="F136" s="21" t="s">
        <v>614</v>
      </c>
      <c r="G136" s="8" t="str">
        <f t="shared" si="2"/>
        <v>BRUDER RICHARD</v>
      </c>
    </row>
    <row r="137" spans="1:7" x14ac:dyDescent="0.25">
      <c r="A137" s="8">
        <v>42722.628576388888</v>
      </c>
      <c r="B137" s="21" t="s">
        <v>263</v>
      </c>
      <c r="C137" s="21" t="s">
        <v>649</v>
      </c>
      <c r="D137" s="165">
        <v>880000</v>
      </c>
      <c r="E137" s="21" t="s">
        <v>605</v>
      </c>
      <c r="F137" s="21" t="s">
        <v>266</v>
      </c>
      <c r="G137" s="8" t="str">
        <f t="shared" si="2"/>
        <v>STEWART MICHAEL</v>
      </c>
    </row>
    <row r="138" spans="1:7" x14ac:dyDescent="0.25">
      <c r="A138" s="8">
        <v>42722.632523148146</v>
      </c>
      <c r="B138" s="21" t="s">
        <v>512</v>
      </c>
      <c r="C138" s="21" t="s">
        <v>650</v>
      </c>
      <c r="D138" s="165">
        <v>1280000</v>
      </c>
      <c r="E138" s="21" t="s">
        <v>616</v>
      </c>
      <c r="F138" s="21" t="s">
        <v>617</v>
      </c>
      <c r="G138" s="8" t="str">
        <f t="shared" si="2"/>
        <v>BARTLETT KIANDRA</v>
      </c>
    </row>
    <row r="139" spans="1:7" x14ac:dyDescent="0.25">
      <c r="A139" s="8">
        <v>42722.634189814817</v>
      </c>
      <c r="B139" s="21" t="s">
        <v>512</v>
      </c>
      <c r="C139" s="21" t="s">
        <v>650</v>
      </c>
      <c r="D139" s="165">
        <v>1280000</v>
      </c>
      <c r="E139" s="21" t="s">
        <v>616</v>
      </c>
      <c r="F139" s="21" t="s">
        <v>617</v>
      </c>
      <c r="G139" s="8" t="str">
        <f t="shared" si="2"/>
        <v>BARTLETT KIANDRA</v>
      </c>
    </row>
    <row r="140" spans="1:7" x14ac:dyDescent="0.25">
      <c r="A140" s="8">
        <v>42722.641643518517</v>
      </c>
      <c r="B140" s="21" t="s">
        <v>529</v>
      </c>
      <c r="C140" s="21" t="s">
        <v>651</v>
      </c>
      <c r="D140" s="165">
        <v>920000</v>
      </c>
      <c r="E140" s="21" t="s">
        <v>267</v>
      </c>
      <c r="F140" s="21" t="s">
        <v>266</v>
      </c>
      <c r="G140" s="8" t="str">
        <f t="shared" si="2"/>
        <v>DAVIS MICHAEL</v>
      </c>
    </row>
    <row r="141" spans="1:7" x14ac:dyDescent="0.25">
      <c r="A141" s="8">
        <v>42722.643530092595</v>
      </c>
      <c r="B141" s="21" t="s">
        <v>226</v>
      </c>
      <c r="C141" s="21" t="s">
        <v>525</v>
      </c>
      <c r="D141" s="165">
        <v>1820000</v>
      </c>
      <c r="E141" s="21" t="s">
        <v>311</v>
      </c>
      <c r="F141" s="21" t="s">
        <v>312</v>
      </c>
      <c r="G141" s="8" t="str">
        <f t="shared" si="2"/>
        <v>ADANE ELSHADAY</v>
      </c>
    </row>
    <row r="142" spans="1:7" x14ac:dyDescent="0.25">
      <c r="A142" s="8">
        <v>42722.648935185185</v>
      </c>
      <c r="B142" s="21" t="s">
        <v>506</v>
      </c>
      <c r="C142" s="21" t="s">
        <v>652</v>
      </c>
      <c r="D142" s="165">
        <v>2420000</v>
      </c>
      <c r="E142" s="21" t="s">
        <v>215</v>
      </c>
      <c r="F142" s="21" t="s">
        <v>462</v>
      </c>
      <c r="G142" s="8" t="str">
        <f t="shared" si="2"/>
        <v>HOLCOMB KAMDEN</v>
      </c>
    </row>
    <row r="143" spans="1:7" x14ac:dyDescent="0.25">
      <c r="A143" s="8">
        <v>42722.651365740741</v>
      </c>
      <c r="B143" s="21" t="s">
        <v>295</v>
      </c>
      <c r="C143" s="21" t="s">
        <v>653</v>
      </c>
      <c r="D143" s="165">
        <v>2530000</v>
      </c>
      <c r="E143" s="21" t="s">
        <v>239</v>
      </c>
      <c r="F143" s="21" t="s">
        <v>461</v>
      </c>
      <c r="G143" s="8" t="str">
        <f t="shared" si="2"/>
        <v>LALONDE GREGORY</v>
      </c>
    </row>
    <row r="144" spans="1:7" x14ac:dyDescent="0.25">
      <c r="A144" s="8">
        <v>42722.655787037038</v>
      </c>
      <c r="B144" s="21" t="s">
        <v>183</v>
      </c>
      <c r="C144" s="21" t="s">
        <v>654</v>
      </c>
      <c r="D144" s="165">
        <v>2030000</v>
      </c>
      <c r="E144" s="21" t="s">
        <v>622</v>
      </c>
      <c r="F144" s="21" t="s">
        <v>253</v>
      </c>
      <c r="G144" s="8" t="str">
        <f t="shared" si="2"/>
        <v>KILLION DAVID</v>
      </c>
    </row>
    <row r="145" spans="1:7" x14ac:dyDescent="0.25">
      <c r="A145" s="8">
        <v>42722.658275462964</v>
      </c>
      <c r="B145" s="21" t="s">
        <v>207</v>
      </c>
      <c r="C145" s="21" t="s">
        <v>655</v>
      </c>
      <c r="D145" s="165">
        <v>1770000</v>
      </c>
      <c r="E145" s="21" t="s">
        <v>613</v>
      </c>
      <c r="F145" s="21" t="s">
        <v>614</v>
      </c>
      <c r="G145" s="8" t="str">
        <f t="shared" si="2"/>
        <v>BRUDER RICHARD</v>
      </c>
    </row>
    <row r="146" spans="1:7" x14ac:dyDescent="0.25">
      <c r="A146" s="8">
        <v>42722.667407407411</v>
      </c>
      <c r="B146" s="21" t="s">
        <v>214</v>
      </c>
      <c r="C146" s="21" t="s">
        <v>656</v>
      </c>
      <c r="D146" s="165">
        <v>2530000</v>
      </c>
      <c r="E146" s="21" t="s">
        <v>239</v>
      </c>
      <c r="F146" s="21" t="s">
        <v>461</v>
      </c>
      <c r="G146" s="8" t="str">
        <f t="shared" si="2"/>
        <v>LALONDE GREGORY</v>
      </c>
    </row>
    <row r="147" spans="1:7" x14ac:dyDescent="0.25">
      <c r="A147" s="8">
        <v>42722.670555555553</v>
      </c>
      <c r="B147" s="21" t="s">
        <v>230</v>
      </c>
      <c r="C147" s="21" t="s">
        <v>657</v>
      </c>
      <c r="D147" s="165">
        <v>880000</v>
      </c>
      <c r="E147" s="21" t="s">
        <v>605</v>
      </c>
      <c r="F147" s="21" t="s">
        <v>266</v>
      </c>
      <c r="G147" s="8" t="str">
        <f t="shared" si="2"/>
        <v>STEWART MICHAEL</v>
      </c>
    </row>
    <row r="148" spans="1:7" x14ac:dyDescent="0.25">
      <c r="A148" s="8">
        <v>42722.679224537038</v>
      </c>
      <c r="B148" s="21" t="s">
        <v>282</v>
      </c>
      <c r="C148" s="21" t="s">
        <v>526</v>
      </c>
      <c r="D148" s="165">
        <v>1820000</v>
      </c>
      <c r="E148" s="21" t="s">
        <v>311</v>
      </c>
      <c r="F148" s="21" t="s">
        <v>312</v>
      </c>
      <c r="G148" s="8" t="str">
        <f t="shared" si="2"/>
        <v>ADANE ELSHADAY</v>
      </c>
    </row>
    <row r="149" spans="1:7" x14ac:dyDescent="0.25">
      <c r="A149" s="8">
        <v>42722.683449074073</v>
      </c>
      <c r="B149" s="21" t="s">
        <v>510</v>
      </c>
      <c r="C149" s="21" t="s">
        <v>658</v>
      </c>
      <c r="D149" s="165">
        <v>920000</v>
      </c>
      <c r="E149" s="21" t="s">
        <v>267</v>
      </c>
      <c r="F149" s="21" t="s">
        <v>266</v>
      </c>
      <c r="G149" s="8" t="str">
        <f t="shared" si="2"/>
        <v>DAVIS MICHAEL</v>
      </c>
    </row>
    <row r="150" spans="1:7" x14ac:dyDescent="0.25">
      <c r="A150" s="8">
        <v>42722.690636574072</v>
      </c>
      <c r="B150" s="21" t="s">
        <v>450</v>
      </c>
      <c r="C150" s="21" t="s">
        <v>659</v>
      </c>
      <c r="D150" s="165">
        <v>2030000</v>
      </c>
      <c r="E150" s="21" t="s">
        <v>622</v>
      </c>
      <c r="F150" s="21" t="s">
        <v>253</v>
      </c>
      <c r="G150" s="8" t="str">
        <f t="shared" si="2"/>
        <v>KILLION DAVID</v>
      </c>
    </row>
    <row r="151" spans="1:7" x14ac:dyDescent="0.25">
      <c r="A151" s="8">
        <v>42722.690729166665</v>
      </c>
      <c r="B151" s="21" t="s">
        <v>508</v>
      </c>
      <c r="C151" s="21" t="s">
        <v>527</v>
      </c>
      <c r="D151" s="165">
        <v>2420000</v>
      </c>
      <c r="E151" s="21" t="s">
        <v>215</v>
      </c>
      <c r="F151" s="21" t="s">
        <v>462</v>
      </c>
      <c r="G151" s="8" t="str">
        <f t="shared" si="2"/>
        <v>HOLCOMB KAMDEN</v>
      </c>
    </row>
    <row r="152" spans="1:7" x14ac:dyDescent="0.25">
      <c r="A152" s="8">
        <v>42722.692916666667</v>
      </c>
      <c r="B152" s="21" t="s">
        <v>295</v>
      </c>
      <c r="C152" s="21" t="s">
        <v>660</v>
      </c>
      <c r="D152" s="165">
        <v>2530000</v>
      </c>
      <c r="E152" s="21" t="s">
        <v>239</v>
      </c>
      <c r="F152" s="21" t="s">
        <v>461</v>
      </c>
      <c r="G152" s="8" t="str">
        <f t="shared" si="2"/>
        <v>LALONDE GREGORY</v>
      </c>
    </row>
    <row r="153" spans="1:7" x14ac:dyDescent="0.25">
      <c r="A153" s="8">
        <v>42722.700555555559</v>
      </c>
      <c r="B153" s="21" t="s">
        <v>206</v>
      </c>
      <c r="C153" s="21" t="s">
        <v>661</v>
      </c>
      <c r="D153" s="165">
        <v>1770000</v>
      </c>
      <c r="E153" s="21" t="s">
        <v>613</v>
      </c>
      <c r="F153" s="21" t="s">
        <v>614</v>
      </c>
      <c r="G153" s="8" t="str">
        <f t="shared" si="2"/>
        <v>BRUDER RICHARD</v>
      </c>
    </row>
    <row r="154" spans="1:7" x14ac:dyDescent="0.25">
      <c r="A154" s="8">
        <v>42722.701516203706</v>
      </c>
      <c r="B154" s="21" t="s">
        <v>206</v>
      </c>
      <c r="C154" s="21" t="s">
        <v>661</v>
      </c>
      <c r="D154" s="165">
        <v>1770000</v>
      </c>
      <c r="E154" s="21" t="s">
        <v>613</v>
      </c>
      <c r="F154" s="21" t="s">
        <v>614</v>
      </c>
      <c r="G154" s="8" t="str">
        <f t="shared" si="2"/>
        <v>BRUDER RICHARD</v>
      </c>
    </row>
    <row r="155" spans="1:7" x14ac:dyDescent="0.25">
      <c r="A155" s="8">
        <v>42722.702800925923</v>
      </c>
      <c r="B155" s="21" t="s">
        <v>206</v>
      </c>
      <c r="C155" s="21" t="s">
        <v>661</v>
      </c>
      <c r="D155" s="165">
        <v>1770000</v>
      </c>
      <c r="E155" s="21" t="s">
        <v>613</v>
      </c>
      <c r="F155" s="21" t="s">
        <v>614</v>
      </c>
      <c r="G155" s="8" t="str">
        <f t="shared" si="2"/>
        <v>BRUDER RICHARD</v>
      </c>
    </row>
    <row r="156" spans="1:7" x14ac:dyDescent="0.25">
      <c r="A156" s="8">
        <v>42722.704363425924</v>
      </c>
      <c r="B156" s="21" t="s">
        <v>263</v>
      </c>
      <c r="C156" s="21" t="s">
        <v>531</v>
      </c>
      <c r="D156" s="165">
        <v>880000</v>
      </c>
      <c r="E156" s="21" t="s">
        <v>605</v>
      </c>
      <c r="F156" s="21" t="s">
        <v>266</v>
      </c>
      <c r="G156" s="8" t="str">
        <f t="shared" si="2"/>
        <v>STEWART MICHAEL</v>
      </c>
    </row>
    <row r="157" spans="1:7" x14ac:dyDescent="0.25">
      <c r="A157" s="8">
        <v>42722.706655092596</v>
      </c>
      <c r="B157" s="21" t="s">
        <v>214</v>
      </c>
      <c r="C157" s="21" t="s">
        <v>662</v>
      </c>
      <c r="D157" s="165">
        <v>2530000</v>
      </c>
      <c r="E157" s="21" t="s">
        <v>239</v>
      </c>
      <c r="F157" s="21" t="s">
        <v>461</v>
      </c>
      <c r="G157" s="8" t="str">
        <f t="shared" si="2"/>
        <v>LALONDE GREGORY</v>
      </c>
    </row>
    <row r="158" spans="1:7" x14ac:dyDescent="0.25">
      <c r="A158" s="8">
        <v>42722.712766203702</v>
      </c>
      <c r="B158" s="21" t="s">
        <v>155</v>
      </c>
      <c r="C158" s="21" t="s">
        <v>528</v>
      </c>
      <c r="D158" s="165">
        <v>1810000</v>
      </c>
      <c r="E158" s="21" t="s">
        <v>460</v>
      </c>
      <c r="F158" s="21" t="s">
        <v>254</v>
      </c>
      <c r="G158" s="8" t="str">
        <f t="shared" si="2"/>
        <v>NEWELL JAMES</v>
      </c>
    </row>
    <row r="159" spans="1:7" x14ac:dyDescent="0.25">
      <c r="A159" s="8">
        <v>42722.716956018521</v>
      </c>
      <c r="B159" s="21" t="s">
        <v>297</v>
      </c>
      <c r="C159" s="21" t="s">
        <v>663</v>
      </c>
      <c r="D159" s="165">
        <v>1800000</v>
      </c>
      <c r="E159" s="21" t="s">
        <v>238</v>
      </c>
      <c r="F159" s="21" t="s">
        <v>257</v>
      </c>
      <c r="G159" s="8" t="str">
        <f t="shared" si="2"/>
        <v>CHANDLER KELVIN</v>
      </c>
    </row>
    <row r="160" spans="1:7" x14ac:dyDescent="0.25">
      <c r="A160" s="8">
        <v>42722.720405092594</v>
      </c>
      <c r="B160" s="21" t="s">
        <v>226</v>
      </c>
      <c r="C160" s="21" t="s">
        <v>664</v>
      </c>
      <c r="D160" s="165">
        <v>2540000</v>
      </c>
      <c r="E160" s="21" t="s">
        <v>665</v>
      </c>
      <c r="F160" s="21" t="s">
        <v>666</v>
      </c>
      <c r="G160" s="8" t="str">
        <f t="shared" si="2"/>
        <v>MCREYNOLDS KYLE</v>
      </c>
    </row>
    <row r="161" spans="1:7" x14ac:dyDescent="0.25">
      <c r="A161" s="8">
        <v>42722.721585648149</v>
      </c>
      <c r="B161" s="21" t="s">
        <v>226</v>
      </c>
      <c r="C161" s="21" t="s">
        <v>664</v>
      </c>
      <c r="D161" s="165">
        <v>2540000</v>
      </c>
      <c r="E161" s="21" t="s">
        <v>665</v>
      </c>
      <c r="F161" s="21" t="s">
        <v>666</v>
      </c>
      <c r="G161" s="8" t="str">
        <f t="shared" si="2"/>
        <v>MCREYNOLDS KYLE</v>
      </c>
    </row>
    <row r="162" spans="1:7" x14ac:dyDescent="0.25">
      <c r="A162" s="8">
        <v>42722.721921296295</v>
      </c>
      <c r="B162" s="21" t="s">
        <v>529</v>
      </c>
      <c r="C162" s="21" t="s">
        <v>530</v>
      </c>
      <c r="D162" s="165">
        <v>920000</v>
      </c>
      <c r="E162" s="21" t="s">
        <v>267</v>
      </c>
      <c r="F162" s="21" t="s">
        <v>266</v>
      </c>
      <c r="G162" s="8" t="str">
        <f t="shared" si="2"/>
        <v>DAVIS MICHAEL</v>
      </c>
    </row>
    <row r="163" spans="1:7" x14ac:dyDescent="0.25">
      <c r="A163" s="8">
        <v>42722.72378472222</v>
      </c>
      <c r="B163" s="21" t="s">
        <v>226</v>
      </c>
      <c r="C163" s="21" t="s">
        <v>664</v>
      </c>
      <c r="D163" s="165">
        <v>2540000</v>
      </c>
      <c r="E163" s="21" t="s">
        <v>665</v>
      </c>
      <c r="F163" s="21" t="s">
        <v>666</v>
      </c>
      <c r="G163" s="8" t="str">
        <f t="shared" si="2"/>
        <v>MCREYNOLDS KYLE</v>
      </c>
    </row>
    <row r="164" spans="1:7" x14ac:dyDescent="0.25">
      <c r="A164" s="8">
        <v>42722.72384259259</v>
      </c>
      <c r="B164" s="21" t="s">
        <v>263</v>
      </c>
      <c r="C164" s="21" t="s">
        <v>531</v>
      </c>
      <c r="D164" s="165">
        <v>880000</v>
      </c>
      <c r="E164" s="21" t="s">
        <v>605</v>
      </c>
      <c r="F164" s="21" t="s">
        <v>266</v>
      </c>
      <c r="G164" s="8" t="str">
        <f t="shared" si="2"/>
        <v>STEWART MICHAEL</v>
      </c>
    </row>
    <row r="165" spans="1:7" x14ac:dyDescent="0.25">
      <c r="A165" s="8">
        <v>42722.724687499998</v>
      </c>
      <c r="B165" s="21" t="s">
        <v>533</v>
      </c>
      <c r="C165" s="21" t="s">
        <v>650</v>
      </c>
      <c r="D165" s="165">
        <v>1280000</v>
      </c>
      <c r="E165" s="21" t="s">
        <v>616</v>
      </c>
      <c r="F165" s="21" t="s">
        <v>617</v>
      </c>
      <c r="G165" s="8" t="str">
        <f t="shared" si="2"/>
        <v>BARTLETT KIANDRA</v>
      </c>
    </row>
    <row r="166" spans="1:7" x14ac:dyDescent="0.25">
      <c r="A166" s="8">
        <v>42722.725069444445</v>
      </c>
      <c r="B166" s="21" t="s">
        <v>226</v>
      </c>
      <c r="C166" s="21" t="s">
        <v>664</v>
      </c>
      <c r="D166" s="165">
        <v>2540000</v>
      </c>
      <c r="E166" s="21" t="s">
        <v>665</v>
      </c>
      <c r="F166" s="21" t="s">
        <v>666</v>
      </c>
      <c r="G166" s="8" t="str">
        <f t="shared" si="2"/>
        <v>MCREYNOLDS KYLE</v>
      </c>
    </row>
    <row r="167" spans="1:7" x14ac:dyDescent="0.25">
      <c r="A167" s="8">
        <v>42722.725324074076</v>
      </c>
      <c r="B167" s="21" t="s">
        <v>533</v>
      </c>
      <c r="C167" s="21" t="s">
        <v>534</v>
      </c>
      <c r="D167" s="165">
        <v>1280000</v>
      </c>
      <c r="E167" s="21" t="s">
        <v>616</v>
      </c>
      <c r="F167" s="21" t="s">
        <v>617</v>
      </c>
      <c r="G167" s="8" t="str">
        <f t="shared" si="2"/>
        <v>BARTLETT KIANDRA</v>
      </c>
    </row>
    <row r="168" spans="1:7" x14ac:dyDescent="0.25">
      <c r="A168" s="8">
        <v>42722.730810185189</v>
      </c>
      <c r="B168" s="21" t="s">
        <v>508</v>
      </c>
      <c r="C168" s="21" t="s">
        <v>527</v>
      </c>
      <c r="D168" s="165">
        <v>2420000</v>
      </c>
      <c r="E168" s="21" t="s">
        <v>215</v>
      </c>
      <c r="F168" s="21" t="s">
        <v>462</v>
      </c>
      <c r="G168" s="8" t="str">
        <f t="shared" si="2"/>
        <v>HOLCOMB KAMDEN</v>
      </c>
    </row>
    <row r="169" spans="1:7" x14ac:dyDescent="0.25">
      <c r="A169" s="8">
        <v>42722.73333333333</v>
      </c>
      <c r="B169" s="21" t="s">
        <v>183</v>
      </c>
      <c r="C169" s="21" t="s">
        <v>667</v>
      </c>
      <c r="D169" s="165">
        <v>1810000</v>
      </c>
      <c r="E169" s="21" t="s">
        <v>460</v>
      </c>
      <c r="F169" s="21" t="s">
        <v>254</v>
      </c>
      <c r="G169" s="8" t="str">
        <f t="shared" si="2"/>
        <v>NEWELL JAMES</v>
      </c>
    </row>
    <row r="170" spans="1:7" x14ac:dyDescent="0.25">
      <c r="A170" s="8">
        <v>42722.734016203707</v>
      </c>
      <c r="B170" s="21" t="s">
        <v>295</v>
      </c>
      <c r="C170" s="21" t="s">
        <v>668</v>
      </c>
      <c r="D170" s="165">
        <v>2530000</v>
      </c>
      <c r="E170" s="21" t="s">
        <v>239</v>
      </c>
      <c r="F170" s="21" t="s">
        <v>461</v>
      </c>
      <c r="G170" s="8" t="str">
        <f t="shared" si="2"/>
        <v>LALONDE GREGORY</v>
      </c>
    </row>
    <row r="171" spans="1:7" x14ac:dyDescent="0.25">
      <c r="A171" s="8">
        <v>42722.734282407408</v>
      </c>
      <c r="B171" s="21" t="s">
        <v>206</v>
      </c>
      <c r="C171" s="21" t="s">
        <v>661</v>
      </c>
      <c r="D171" s="165">
        <v>1770000</v>
      </c>
      <c r="E171" s="21" t="s">
        <v>613</v>
      </c>
      <c r="F171" s="21" t="s">
        <v>614</v>
      </c>
      <c r="G171" s="8" t="str">
        <f t="shared" si="2"/>
        <v>BRUDER RICHARD</v>
      </c>
    </row>
    <row r="172" spans="1:7" x14ac:dyDescent="0.25">
      <c r="A172" s="8">
        <v>42722.734918981485</v>
      </c>
      <c r="B172" s="21" t="s">
        <v>533</v>
      </c>
      <c r="C172" s="21" t="s">
        <v>534</v>
      </c>
      <c r="D172" s="165">
        <v>1280000</v>
      </c>
      <c r="E172" s="21" t="s">
        <v>616</v>
      </c>
      <c r="F172" s="21" t="s">
        <v>617</v>
      </c>
      <c r="G172" s="8" t="str">
        <f t="shared" si="2"/>
        <v>BARTLETT KIANDRA</v>
      </c>
    </row>
    <row r="173" spans="1:7" x14ac:dyDescent="0.25">
      <c r="A173" s="8">
        <v>42722.735497685186</v>
      </c>
      <c r="B173" s="21" t="s">
        <v>183</v>
      </c>
      <c r="C173" s="21" t="s">
        <v>667</v>
      </c>
      <c r="D173" s="165">
        <v>1810000</v>
      </c>
      <c r="E173" s="21" t="s">
        <v>460</v>
      </c>
      <c r="F173" s="21" t="s">
        <v>254</v>
      </c>
      <c r="G173" s="8" t="str">
        <f t="shared" si="2"/>
        <v>NEWELL JAMES</v>
      </c>
    </row>
    <row r="174" spans="1:7" x14ac:dyDescent="0.25">
      <c r="A174" s="8">
        <v>42722.736180555556</v>
      </c>
      <c r="B174" s="21" t="s">
        <v>529</v>
      </c>
      <c r="C174" s="21" t="s">
        <v>530</v>
      </c>
      <c r="D174" s="165">
        <v>920000</v>
      </c>
      <c r="E174" s="21" t="s">
        <v>267</v>
      </c>
      <c r="F174" s="21" t="s">
        <v>266</v>
      </c>
      <c r="G174" s="8" t="str">
        <f t="shared" si="2"/>
        <v>DAVIS MICHAEL</v>
      </c>
    </row>
    <row r="175" spans="1:7" x14ac:dyDescent="0.25">
      <c r="A175" s="8">
        <v>42722.736331018517</v>
      </c>
      <c r="B175" s="21" t="s">
        <v>306</v>
      </c>
      <c r="C175" s="21" t="s">
        <v>669</v>
      </c>
      <c r="D175" s="165">
        <v>2630000</v>
      </c>
      <c r="E175" s="21" t="s">
        <v>314</v>
      </c>
      <c r="F175" s="21" t="s">
        <v>315</v>
      </c>
      <c r="G175" s="8" t="str">
        <f t="shared" si="2"/>
        <v>SAFIEF AEIMEN</v>
      </c>
    </row>
    <row r="176" spans="1:7" x14ac:dyDescent="0.25">
      <c r="A176" s="8">
        <v>42722.737337962964</v>
      </c>
      <c r="B176" s="21" t="s">
        <v>515</v>
      </c>
      <c r="C176" s="21" t="s">
        <v>670</v>
      </c>
      <c r="D176" s="165">
        <v>2030000</v>
      </c>
      <c r="E176" s="21" t="s">
        <v>622</v>
      </c>
      <c r="F176" s="21" t="s">
        <v>253</v>
      </c>
      <c r="G176" s="8" t="str">
        <f t="shared" si="2"/>
        <v>KILLION DAVID</v>
      </c>
    </row>
    <row r="177" spans="1:7" x14ac:dyDescent="0.25">
      <c r="A177" s="8">
        <v>42722.740127314813</v>
      </c>
      <c r="B177" s="21" t="s">
        <v>515</v>
      </c>
      <c r="C177" s="21" t="s">
        <v>670</v>
      </c>
      <c r="D177" s="165">
        <v>2030000</v>
      </c>
      <c r="E177" s="21" t="s">
        <v>622</v>
      </c>
      <c r="F177" s="21" t="s">
        <v>253</v>
      </c>
      <c r="G177" s="8" t="str">
        <f t="shared" si="2"/>
        <v>KILLION DAVID</v>
      </c>
    </row>
    <row r="178" spans="1:7" x14ac:dyDescent="0.25">
      <c r="A178" s="8">
        <v>42722.742789351854</v>
      </c>
      <c r="B178" s="21" t="s">
        <v>533</v>
      </c>
      <c r="C178" s="21" t="s">
        <v>534</v>
      </c>
      <c r="D178" s="165">
        <v>1280000</v>
      </c>
      <c r="E178" s="21" t="s">
        <v>616</v>
      </c>
      <c r="F178" s="21" t="s">
        <v>617</v>
      </c>
      <c r="G178" s="8" t="str">
        <f t="shared" si="2"/>
        <v>BARTLETT KIANDRA</v>
      </c>
    </row>
    <row r="179" spans="1:7" x14ac:dyDescent="0.25">
      <c r="A179" s="8">
        <v>42722.74287037037</v>
      </c>
      <c r="B179" s="21" t="s">
        <v>297</v>
      </c>
      <c r="C179" s="21" t="s">
        <v>663</v>
      </c>
      <c r="D179" s="165">
        <v>1800000</v>
      </c>
      <c r="E179" s="21" t="s">
        <v>238</v>
      </c>
      <c r="F179" s="21" t="s">
        <v>257</v>
      </c>
      <c r="G179" s="8" t="str">
        <f t="shared" si="2"/>
        <v>CHANDLER KELVIN</v>
      </c>
    </row>
    <row r="180" spans="1:7" x14ac:dyDescent="0.25">
      <c r="A180" s="8">
        <v>42722.746064814812</v>
      </c>
      <c r="B180" s="21" t="s">
        <v>506</v>
      </c>
      <c r="C180" s="21" t="s">
        <v>671</v>
      </c>
      <c r="D180" s="165">
        <v>2420000</v>
      </c>
      <c r="E180" s="21" t="s">
        <v>215</v>
      </c>
      <c r="F180" s="21" t="s">
        <v>462</v>
      </c>
      <c r="G180" s="8" t="str">
        <f t="shared" si="2"/>
        <v>HOLCOMB KAMDEN</v>
      </c>
    </row>
    <row r="181" spans="1:7" x14ac:dyDescent="0.25">
      <c r="A181" s="8">
        <v>42722.74690972222</v>
      </c>
      <c r="B181" s="21" t="s">
        <v>506</v>
      </c>
      <c r="C181" s="21" t="s">
        <v>671</v>
      </c>
      <c r="D181" s="165">
        <v>2420000</v>
      </c>
      <c r="E181" s="21" t="s">
        <v>215</v>
      </c>
      <c r="F181" s="21" t="s">
        <v>462</v>
      </c>
      <c r="G181" s="8" t="str">
        <f t="shared" si="2"/>
        <v>HOLCOMB KAMDEN</v>
      </c>
    </row>
    <row r="182" spans="1:7" x14ac:dyDescent="0.25">
      <c r="A182" s="8">
        <v>42722.748020833336</v>
      </c>
      <c r="B182" s="21" t="s">
        <v>207</v>
      </c>
      <c r="C182" s="21" t="s">
        <v>672</v>
      </c>
      <c r="D182" s="165">
        <v>1770000</v>
      </c>
      <c r="E182" s="21" t="s">
        <v>613</v>
      </c>
      <c r="F182" s="21" t="s">
        <v>614</v>
      </c>
      <c r="G182" s="8" t="str">
        <f t="shared" si="2"/>
        <v>BRUDER RICHARD</v>
      </c>
    </row>
    <row r="183" spans="1:7" x14ac:dyDescent="0.25">
      <c r="A183" s="8">
        <v>42722.749074074076</v>
      </c>
      <c r="B183" s="21" t="s">
        <v>207</v>
      </c>
      <c r="C183" s="21" t="s">
        <v>672</v>
      </c>
      <c r="D183" s="165">
        <v>1770000</v>
      </c>
      <c r="E183" s="21" t="s">
        <v>613</v>
      </c>
      <c r="F183" s="21" t="s">
        <v>614</v>
      </c>
      <c r="G183" s="8" t="str">
        <f t="shared" si="2"/>
        <v>BRUDER RICHARD</v>
      </c>
    </row>
    <row r="184" spans="1:7" x14ac:dyDescent="0.25">
      <c r="A184" s="8">
        <v>42722.749201388891</v>
      </c>
      <c r="B184" s="21" t="s">
        <v>214</v>
      </c>
      <c r="C184" s="21" t="s">
        <v>673</v>
      </c>
      <c r="D184" s="165">
        <v>2530000</v>
      </c>
      <c r="E184" s="21" t="s">
        <v>239</v>
      </c>
      <c r="F184" s="21" t="s">
        <v>461</v>
      </c>
      <c r="G184" s="8" t="str">
        <f t="shared" si="2"/>
        <v>LALONDE GREGORY</v>
      </c>
    </row>
    <row r="185" spans="1:7" x14ac:dyDescent="0.25">
      <c r="A185" s="8">
        <v>42722.757453703707</v>
      </c>
      <c r="B185" s="21" t="s">
        <v>294</v>
      </c>
      <c r="C185" s="21" t="s">
        <v>532</v>
      </c>
      <c r="D185" s="165">
        <v>1800000</v>
      </c>
      <c r="E185" s="21" t="s">
        <v>238</v>
      </c>
      <c r="F185" s="21" t="s">
        <v>257</v>
      </c>
      <c r="G185" s="8" t="str">
        <f t="shared" si="2"/>
        <v>CHANDLER KELVIN</v>
      </c>
    </row>
    <row r="186" spans="1:7" x14ac:dyDescent="0.25">
      <c r="A186" s="8">
        <v>42722.758819444447</v>
      </c>
      <c r="B186" s="21" t="s">
        <v>230</v>
      </c>
      <c r="C186" s="21" t="s">
        <v>674</v>
      </c>
      <c r="D186" s="165">
        <v>2230000</v>
      </c>
      <c r="E186" s="21" t="s">
        <v>454</v>
      </c>
      <c r="F186" s="21" t="s">
        <v>266</v>
      </c>
      <c r="G186" s="8" t="str">
        <f t="shared" si="2"/>
        <v>SMITH MICHAEL</v>
      </c>
    </row>
    <row r="187" spans="1:7" x14ac:dyDescent="0.25">
      <c r="A187" s="8">
        <v>42722.760092592594</v>
      </c>
      <c r="B187" s="21" t="s">
        <v>230</v>
      </c>
      <c r="C187" s="21" t="s">
        <v>674</v>
      </c>
      <c r="D187" s="165">
        <v>2230000</v>
      </c>
      <c r="E187" s="21" t="s">
        <v>454</v>
      </c>
      <c r="F187" s="21" t="s">
        <v>266</v>
      </c>
      <c r="G187" s="8" t="str">
        <f t="shared" si="2"/>
        <v>SMITH MICHAEL</v>
      </c>
    </row>
    <row r="188" spans="1:7" x14ac:dyDescent="0.25">
      <c r="A188" s="8">
        <v>42722.761446759258</v>
      </c>
      <c r="B188" s="21" t="s">
        <v>230</v>
      </c>
      <c r="C188" s="21" t="s">
        <v>674</v>
      </c>
      <c r="D188" s="165">
        <v>2230000</v>
      </c>
      <c r="E188" s="21" t="s">
        <v>454</v>
      </c>
      <c r="F188" s="21" t="s">
        <v>266</v>
      </c>
      <c r="G188" s="8" t="str">
        <f t="shared" si="2"/>
        <v>SMITH MICHAEL</v>
      </c>
    </row>
    <row r="189" spans="1:7" x14ac:dyDescent="0.25">
      <c r="A189" s="8">
        <v>42722.762731481482</v>
      </c>
      <c r="B189" s="21" t="s">
        <v>230</v>
      </c>
      <c r="C189" s="21" t="s">
        <v>674</v>
      </c>
      <c r="D189" s="165">
        <v>2230000</v>
      </c>
      <c r="E189" s="21" t="s">
        <v>454</v>
      </c>
      <c r="F189" s="21" t="s">
        <v>266</v>
      </c>
      <c r="G189" s="8" t="str">
        <f t="shared" si="2"/>
        <v>SMITH MICHAEL</v>
      </c>
    </row>
    <row r="190" spans="1:7" x14ac:dyDescent="0.25">
      <c r="A190" s="8">
        <v>42722.762881944444</v>
      </c>
      <c r="B190" s="21" t="s">
        <v>512</v>
      </c>
      <c r="C190" s="21" t="s">
        <v>675</v>
      </c>
      <c r="D190" s="165">
        <v>1280000</v>
      </c>
      <c r="E190" s="21" t="s">
        <v>616</v>
      </c>
      <c r="F190" s="21" t="s">
        <v>617</v>
      </c>
      <c r="G190" s="8" t="str">
        <f t="shared" si="2"/>
        <v>BARTLETT KIANDRA</v>
      </c>
    </row>
    <row r="191" spans="1:7" x14ac:dyDescent="0.25">
      <c r="A191" s="8">
        <v>42722.763518518521</v>
      </c>
      <c r="B191" s="21" t="s">
        <v>230</v>
      </c>
      <c r="C191" s="21" t="s">
        <v>674</v>
      </c>
      <c r="D191" s="165">
        <v>2230000</v>
      </c>
      <c r="E191" s="21" t="s">
        <v>454</v>
      </c>
      <c r="F191" s="21" t="s">
        <v>266</v>
      </c>
      <c r="G191" s="8" t="str">
        <f t="shared" si="2"/>
        <v>SMITH MICHAEL</v>
      </c>
    </row>
    <row r="192" spans="1:7" x14ac:dyDescent="0.25">
      <c r="A192" s="8">
        <v>42722.764398148145</v>
      </c>
      <c r="B192" s="21" t="s">
        <v>282</v>
      </c>
      <c r="C192" s="21" t="s">
        <v>676</v>
      </c>
      <c r="D192" s="165">
        <v>2540000</v>
      </c>
      <c r="E192" s="21" t="s">
        <v>665</v>
      </c>
      <c r="F192" s="21" t="s">
        <v>666</v>
      </c>
      <c r="G192" s="8" t="str">
        <f t="shared" si="2"/>
        <v>MCREYNOLDS KYLE</v>
      </c>
    </row>
    <row r="193" spans="1:7" x14ac:dyDescent="0.25">
      <c r="A193" s="8">
        <v>42722.766145833331</v>
      </c>
      <c r="B193" s="21" t="s">
        <v>510</v>
      </c>
      <c r="C193" s="21" t="s">
        <v>677</v>
      </c>
      <c r="D193" s="165">
        <v>2000000</v>
      </c>
      <c r="E193" s="21" t="s">
        <v>209</v>
      </c>
      <c r="F193" s="21" t="s">
        <v>254</v>
      </c>
      <c r="G193" s="8" t="str">
        <f t="shared" si="2"/>
        <v>STAMBAUGH JAMES</v>
      </c>
    </row>
    <row r="194" spans="1:7" x14ac:dyDescent="0.25">
      <c r="A194" s="8">
        <v>42722.767777777779</v>
      </c>
      <c r="B194" s="21" t="s">
        <v>282</v>
      </c>
      <c r="C194" s="21" t="s">
        <v>676</v>
      </c>
      <c r="D194" s="165">
        <v>2540000</v>
      </c>
      <c r="E194" s="21" t="s">
        <v>665</v>
      </c>
      <c r="F194" s="21" t="s">
        <v>666</v>
      </c>
      <c r="G194" s="8" t="str">
        <f t="shared" si="2"/>
        <v>MCREYNOLDS KYLE</v>
      </c>
    </row>
    <row r="195" spans="1:7" x14ac:dyDescent="0.25">
      <c r="A195" s="8">
        <v>42722.7734375</v>
      </c>
      <c r="B195" s="21" t="s">
        <v>450</v>
      </c>
      <c r="C195" s="21" t="s">
        <v>536</v>
      </c>
      <c r="D195" s="165">
        <v>1810000</v>
      </c>
      <c r="E195" s="21" t="s">
        <v>460</v>
      </c>
      <c r="F195" s="21" t="s">
        <v>254</v>
      </c>
      <c r="G195" s="8" t="str">
        <f t="shared" ref="G195:G258" si="3">E195&amp;" "&amp;F195</f>
        <v>NEWELL JAMES</v>
      </c>
    </row>
    <row r="196" spans="1:7" x14ac:dyDescent="0.25">
      <c r="A196" s="8">
        <v>42722.774386574078</v>
      </c>
      <c r="B196" s="21" t="s">
        <v>230</v>
      </c>
      <c r="C196" s="21" t="s">
        <v>674</v>
      </c>
      <c r="D196" s="165">
        <v>2230000</v>
      </c>
      <c r="E196" s="21" t="s">
        <v>454</v>
      </c>
      <c r="F196" s="21" t="s">
        <v>266</v>
      </c>
      <c r="G196" s="8" t="str">
        <f t="shared" si="3"/>
        <v>SMITH MICHAEL</v>
      </c>
    </row>
    <row r="197" spans="1:7" x14ac:dyDescent="0.25">
      <c r="A197" s="8">
        <v>42722.776655092595</v>
      </c>
      <c r="B197" s="21" t="s">
        <v>295</v>
      </c>
      <c r="C197" s="21" t="s">
        <v>678</v>
      </c>
      <c r="D197" s="165">
        <v>2530000</v>
      </c>
      <c r="E197" s="21" t="s">
        <v>239</v>
      </c>
      <c r="F197" s="21" t="s">
        <v>461</v>
      </c>
      <c r="G197" s="8" t="str">
        <f t="shared" si="3"/>
        <v>LALONDE GREGORY</v>
      </c>
    </row>
    <row r="198" spans="1:7" x14ac:dyDescent="0.25">
      <c r="A198" s="8">
        <v>42722.781724537039</v>
      </c>
      <c r="B198" s="21" t="s">
        <v>508</v>
      </c>
      <c r="C198" s="21" t="s">
        <v>679</v>
      </c>
      <c r="D198" s="165">
        <v>2450000</v>
      </c>
      <c r="E198" s="21" t="s">
        <v>680</v>
      </c>
      <c r="F198" s="21" t="s">
        <v>681</v>
      </c>
      <c r="G198" s="8" t="str">
        <f t="shared" si="3"/>
        <v>NELSON ARIANE</v>
      </c>
    </row>
    <row r="199" spans="1:7" x14ac:dyDescent="0.25">
      <c r="A199" s="8">
        <v>42722.785636574074</v>
      </c>
      <c r="B199" s="21" t="s">
        <v>237</v>
      </c>
      <c r="C199" s="21" t="s">
        <v>682</v>
      </c>
      <c r="D199" s="165">
        <v>2030000</v>
      </c>
      <c r="E199" s="21" t="s">
        <v>622</v>
      </c>
      <c r="F199" s="21" t="s">
        <v>253</v>
      </c>
      <c r="G199" s="8" t="str">
        <f t="shared" si="3"/>
        <v>KILLION DAVID</v>
      </c>
    </row>
    <row r="200" spans="1:7" x14ac:dyDescent="0.25">
      <c r="A200" s="8">
        <v>42722.785844907405</v>
      </c>
      <c r="B200" s="21" t="s">
        <v>154</v>
      </c>
      <c r="C200" s="21" t="s">
        <v>535</v>
      </c>
      <c r="D200" s="165">
        <v>2420000</v>
      </c>
      <c r="E200" s="21" t="s">
        <v>215</v>
      </c>
      <c r="F200" s="21" t="s">
        <v>462</v>
      </c>
      <c r="G200" s="8" t="str">
        <f t="shared" si="3"/>
        <v>HOLCOMB KAMDEN</v>
      </c>
    </row>
    <row r="201" spans="1:7" x14ac:dyDescent="0.25">
      <c r="A201" s="8">
        <v>42722.789097222223</v>
      </c>
      <c r="B201" s="21" t="s">
        <v>206</v>
      </c>
      <c r="C201" s="21" t="s">
        <v>683</v>
      </c>
      <c r="D201" s="165">
        <v>2630000</v>
      </c>
      <c r="E201" s="21" t="s">
        <v>314</v>
      </c>
      <c r="F201" s="21" t="s">
        <v>315</v>
      </c>
      <c r="G201" s="8" t="str">
        <f t="shared" si="3"/>
        <v>SAFIEF AEIMEN</v>
      </c>
    </row>
    <row r="202" spans="1:7" x14ac:dyDescent="0.25">
      <c r="A202" s="27">
        <v>42722.790613425925</v>
      </c>
      <c r="B202" s="21" t="s">
        <v>214</v>
      </c>
      <c r="C202" s="21" t="s">
        <v>684</v>
      </c>
      <c r="D202" s="165">
        <v>2530000</v>
      </c>
      <c r="E202" s="21" t="s">
        <v>239</v>
      </c>
      <c r="F202" s="21" t="s">
        <v>461</v>
      </c>
      <c r="G202" s="8" t="str">
        <f t="shared" si="3"/>
        <v>LALONDE GREGORY</v>
      </c>
    </row>
    <row r="203" spans="1:7" x14ac:dyDescent="0.25">
      <c r="A203" s="8">
        <v>42722.798472222225</v>
      </c>
      <c r="B203" s="21" t="s">
        <v>263</v>
      </c>
      <c r="C203" s="21" t="s">
        <v>685</v>
      </c>
      <c r="D203" s="165">
        <v>2230000</v>
      </c>
      <c r="E203" s="21" t="s">
        <v>454</v>
      </c>
      <c r="F203" s="21" t="s">
        <v>266</v>
      </c>
      <c r="G203" s="8" t="str">
        <f t="shared" si="3"/>
        <v>SMITH MICHAEL</v>
      </c>
    </row>
    <row r="204" spans="1:7" x14ac:dyDescent="0.25">
      <c r="A204" s="8">
        <v>42722.798518518517</v>
      </c>
      <c r="B204" s="21" t="s">
        <v>297</v>
      </c>
      <c r="C204" s="21" t="s">
        <v>532</v>
      </c>
      <c r="D204" s="165">
        <v>1800000</v>
      </c>
      <c r="E204" s="21" t="s">
        <v>238</v>
      </c>
      <c r="F204" s="21" t="s">
        <v>257</v>
      </c>
      <c r="G204" s="8" t="str">
        <f t="shared" si="3"/>
        <v>CHANDLER KELVIN</v>
      </c>
    </row>
    <row r="205" spans="1:7" x14ac:dyDescent="0.25">
      <c r="A205" s="8">
        <v>42722.800034722219</v>
      </c>
      <c r="B205" s="21" t="s">
        <v>226</v>
      </c>
      <c r="C205" s="21" t="s">
        <v>686</v>
      </c>
      <c r="D205" s="165">
        <v>2540000</v>
      </c>
      <c r="E205" s="21" t="s">
        <v>665</v>
      </c>
      <c r="F205" s="21" t="s">
        <v>666</v>
      </c>
      <c r="G205" s="8" t="str">
        <f t="shared" si="3"/>
        <v>MCREYNOLDS KYLE</v>
      </c>
    </row>
    <row r="206" spans="1:7" x14ac:dyDescent="0.25">
      <c r="A206" s="8">
        <v>42722.804409722223</v>
      </c>
      <c r="B206" s="21" t="s">
        <v>529</v>
      </c>
      <c r="C206" s="21" t="s">
        <v>687</v>
      </c>
      <c r="D206" s="165">
        <v>2000000</v>
      </c>
      <c r="E206" s="21" t="s">
        <v>209</v>
      </c>
      <c r="F206" s="21" t="s">
        <v>254</v>
      </c>
      <c r="G206" s="8" t="str">
        <f t="shared" si="3"/>
        <v>STAMBAUGH JAMES</v>
      </c>
    </row>
    <row r="207" spans="1:7" x14ac:dyDescent="0.25">
      <c r="A207" s="8">
        <v>42722.81386574074</v>
      </c>
      <c r="B207" s="21" t="s">
        <v>506</v>
      </c>
      <c r="C207" s="21" t="s">
        <v>688</v>
      </c>
      <c r="D207" s="165">
        <v>2450000</v>
      </c>
      <c r="E207" s="21" t="s">
        <v>680</v>
      </c>
      <c r="F207" s="21" t="s">
        <v>681</v>
      </c>
      <c r="G207" s="8" t="str">
        <f t="shared" si="3"/>
        <v>NELSON ARIANE</v>
      </c>
    </row>
    <row r="208" spans="1:7" x14ac:dyDescent="0.25">
      <c r="A208" s="8">
        <v>42722.814305555556</v>
      </c>
      <c r="B208" s="21" t="s">
        <v>297</v>
      </c>
      <c r="C208" s="21" t="s">
        <v>689</v>
      </c>
      <c r="D208" s="165">
        <v>1810000</v>
      </c>
      <c r="E208" s="21" t="s">
        <v>460</v>
      </c>
      <c r="F208" s="21" t="s">
        <v>254</v>
      </c>
      <c r="G208" s="8" t="str">
        <f t="shared" si="3"/>
        <v>NEWELL JAMES</v>
      </c>
    </row>
    <row r="209" spans="1:7" x14ac:dyDescent="0.25">
      <c r="A209" s="8">
        <v>42722.817615740743</v>
      </c>
      <c r="B209" s="21" t="s">
        <v>295</v>
      </c>
      <c r="C209" s="21" t="s">
        <v>690</v>
      </c>
      <c r="D209" s="165">
        <v>2530000</v>
      </c>
      <c r="E209" s="21" t="s">
        <v>239</v>
      </c>
      <c r="F209" s="21" t="s">
        <v>461</v>
      </c>
      <c r="G209" s="8" t="str">
        <f t="shared" si="3"/>
        <v>LALONDE GREGORY</v>
      </c>
    </row>
    <row r="210" spans="1:7" x14ac:dyDescent="0.25">
      <c r="A210" s="8">
        <v>42722.821886574071</v>
      </c>
      <c r="B210" s="21" t="s">
        <v>207</v>
      </c>
      <c r="C210" s="21" t="s">
        <v>691</v>
      </c>
      <c r="D210" s="165">
        <v>2630000</v>
      </c>
      <c r="E210" s="21" t="s">
        <v>314</v>
      </c>
      <c r="F210" s="21" t="s">
        <v>315</v>
      </c>
      <c r="G210" s="8" t="str">
        <f t="shared" si="3"/>
        <v>SAFIEF AEIMEN</v>
      </c>
    </row>
    <row r="211" spans="1:7" x14ac:dyDescent="0.25">
      <c r="A211" s="8">
        <v>42722.823472222219</v>
      </c>
      <c r="B211" s="21" t="s">
        <v>515</v>
      </c>
      <c r="C211" s="21" t="s">
        <v>692</v>
      </c>
      <c r="D211" s="165">
        <v>2560000</v>
      </c>
      <c r="E211" s="21" t="s">
        <v>463</v>
      </c>
      <c r="F211" s="21" t="s">
        <v>464</v>
      </c>
      <c r="G211" s="8" t="str">
        <f t="shared" si="3"/>
        <v>MACDONALD THOMAS</v>
      </c>
    </row>
    <row r="212" spans="1:7" x14ac:dyDescent="0.25">
      <c r="A212" s="8">
        <v>42722.833506944444</v>
      </c>
      <c r="B212" s="21" t="s">
        <v>230</v>
      </c>
      <c r="C212" s="21" t="s">
        <v>693</v>
      </c>
      <c r="D212" s="165">
        <v>2230000</v>
      </c>
      <c r="E212" s="21" t="s">
        <v>454</v>
      </c>
      <c r="F212" s="21" t="s">
        <v>266</v>
      </c>
      <c r="G212" s="8" t="str">
        <f t="shared" si="3"/>
        <v>SMITH MICHAEL</v>
      </c>
    </row>
    <row r="213" spans="1:7" x14ac:dyDescent="0.25">
      <c r="A213" s="8">
        <v>42722.834328703706</v>
      </c>
      <c r="B213" s="21" t="s">
        <v>282</v>
      </c>
      <c r="C213" s="21" t="s">
        <v>694</v>
      </c>
      <c r="D213" s="165">
        <v>2540000</v>
      </c>
      <c r="E213" s="21" t="s">
        <v>665</v>
      </c>
      <c r="F213" s="21" t="s">
        <v>666</v>
      </c>
      <c r="G213" s="8" t="str">
        <f t="shared" si="3"/>
        <v>MCREYNOLDS KYLE</v>
      </c>
    </row>
    <row r="214" spans="1:7" x14ac:dyDescent="0.25">
      <c r="A214" s="8">
        <v>42722.838969907411</v>
      </c>
      <c r="B214" s="21" t="s">
        <v>510</v>
      </c>
      <c r="C214" s="21" t="s">
        <v>695</v>
      </c>
      <c r="D214" s="165">
        <v>2000000</v>
      </c>
      <c r="E214" s="21" t="s">
        <v>209</v>
      </c>
      <c r="F214" s="21" t="s">
        <v>254</v>
      </c>
      <c r="G214" s="8" t="str">
        <f t="shared" si="3"/>
        <v>STAMBAUGH JAMES</v>
      </c>
    </row>
    <row r="215" spans="1:7" x14ac:dyDescent="0.25">
      <c r="A215" s="8">
        <v>42722.839178240742</v>
      </c>
      <c r="B215" s="21" t="s">
        <v>214</v>
      </c>
      <c r="C215" s="21" t="s">
        <v>696</v>
      </c>
      <c r="D215" s="165">
        <v>2530000</v>
      </c>
      <c r="E215" s="21" t="s">
        <v>239</v>
      </c>
      <c r="F215" s="21" t="s">
        <v>461</v>
      </c>
      <c r="G215" s="8" t="str">
        <f t="shared" si="3"/>
        <v>LALONDE GREGORY</v>
      </c>
    </row>
    <row r="216" spans="1:7" x14ac:dyDescent="0.25">
      <c r="A216" s="8">
        <v>42722.84003472222</v>
      </c>
      <c r="B216" s="21" t="s">
        <v>282</v>
      </c>
      <c r="C216" s="21" t="s">
        <v>694</v>
      </c>
      <c r="D216" s="165">
        <v>2540000</v>
      </c>
      <c r="E216" s="21" t="s">
        <v>665</v>
      </c>
      <c r="F216" s="21" t="s">
        <v>666</v>
      </c>
      <c r="G216" s="8" t="str">
        <f t="shared" si="3"/>
        <v>MCREYNOLDS KYLE</v>
      </c>
    </row>
    <row r="217" spans="1:7" x14ac:dyDescent="0.25">
      <c r="A217" s="8">
        <v>42722.841238425928</v>
      </c>
      <c r="B217" s="21" t="s">
        <v>282</v>
      </c>
      <c r="C217" s="21" t="s">
        <v>694</v>
      </c>
      <c r="D217" s="165">
        <v>2540000</v>
      </c>
      <c r="E217" s="21" t="s">
        <v>665</v>
      </c>
      <c r="F217" s="21" t="s">
        <v>666</v>
      </c>
      <c r="G217" s="8" t="str">
        <f t="shared" si="3"/>
        <v>MCREYNOLDS KYLE</v>
      </c>
    </row>
    <row r="218" spans="1:7" x14ac:dyDescent="0.25">
      <c r="A218" s="8">
        <v>42722.8437037037</v>
      </c>
      <c r="B218" s="21" t="s">
        <v>282</v>
      </c>
      <c r="C218" s="21" t="s">
        <v>694</v>
      </c>
      <c r="D218" s="165">
        <v>2540000</v>
      </c>
      <c r="E218" s="21" t="s">
        <v>665</v>
      </c>
      <c r="F218" s="21" t="s">
        <v>666</v>
      </c>
      <c r="G218" s="8" t="str">
        <f t="shared" si="3"/>
        <v>MCREYNOLDS KYLE</v>
      </c>
    </row>
    <row r="219" spans="1:7" x14ac:dyDescent="0.25">
      <c r="A219" s="8">
        <v>42722.848865740743</v>
      </c>
      <c r="B219" s="21" t="s">
        <v>294</v>
      </c>
      <c r="C219" s="21" t="s">
        <v>538</v>
      </c>
      <c r="D219" s="165">
        <v>1810000</v>
      </c>
      <c r="E219" s="21" t="s">
        <v>460</v>
      </c>
      <c r="F219" s="21" t="s">
        <v>254</v>
      </c>
      <c r="G219" s="8" t="str">
        <f t="shared" si="3"/>
        <v>NEWELL JAMES</v>
      </c>
    </row>
    <row r="220" spans="1:7" x14ac:dyDescent="0.25">
      <c r="A220" s="8">
        <v>42722.858229166668</v>
      </c>
      <c r="B220" s="21" t="s">
        <v>508</v>
      </c>
      <c r="C220" s="21" t="s">
        <v>697</v>
      </c>
      <c r="D220" s="165">
        <v>2450000</v>
      </c>
      <c r="E220" s="21" t="s">
        <v>680</v>
      </c>
      <c r="F220" s="21" t="s">
        <v>681</v>
      </c>
      <c r="G220" s="8" t="str">
        <f t="shared" si="3"/>
        <v>NELSON ARIANE</v>
      </c>
    </row>
    <row r="221" spans="1:7" x14ac:dyDescent="0.25">
      <c r="A221" s="8">
        <v>42722.858912037038</v>
      </c>
      <c r="B221" s="21" t="s">
        <v>295</v>
      </c>
      <c r="C221" s="21" t="s">
        <v>537</v>
      </c>
      <c r="D221" s="165">
        <v>2530000</v>
      </c>
      <c r="E221" s="21" t="s">
        <v>239</v>
      </c>
      <c r="F221" s="21" t="s">
        <v>461</v>
      </c>
      <c r="G221" s="8" t="str">
        <f t="shared" si="3"/>
        <v>LALONDE GREGORY</v>
      </c>
    </row>
    <row r="222" spans="1:7" x14ac:dyDescent="0.25">
      <c r="A222" s="8">
        <v>42722.859178240738</v>
      </c>
      <c r="B222" s="21" t="s">
        <v>237</v>
      </c>
      <c r="C222" s="21" t="s">
        <v>698</v>
      </c>
      <c r="D222" s="165">
        <v>2560000</v>
      </c>
      <c r="E222" s="21" t="s">
        <v>463</v>
      </c>
      <c r="F222" s="21" t="s">
        <v>464</v>
      </c>
      <c r="G222" s="8" t="str">
        <f t="shared" si="3"/>
        <v>MACDONALD THOMAS</v>
      </c>
    </row>
    <row r="223" spans="1:7" x14ac:dyDescent="0.25">
      <c r="A223" s="8">
        <v>42722.860300925924</v>
      </c>
      <c r="B223" s="21" t="s">
        <v>237</v>
      </c>
      <c r="C223" s="21" t="s">
        <v>698</v>
      </c>
      <c r="D223" s="165">
        <v>2560000</v>
      </c>
      <c r="E223" s="21" t="s">
        <v>463</v>
      </c>
      <c r="F223" s="21" t="s">
        <v>464</v>
      </c>
      <c r="G223" s="8" t="str">
        <f t="shared" si="3"/>
        <v>MACDONALD THOMAS</v>
      </c>
    </row>
    <row r="224" spans="1:7" x14ac:dyDescent="0.25">
      <c r="A224" s="8">
        <v>42722.861481481479</v>
      </c>
      <c r="B224" t="s">
        <v>237</v>
      </c>
      <c r="C224" t="s">
        <v>698</v>
      </c>
      <c r="D224" s="165">
        <v>2560000</v>
      </c>
      <c r="E224" t="s">
        <v>463</v>
      </c>
      <c r="F224" s="21" t="s">
        <v>464</v>
      </c>
      <c r="G224" s="8" t="str">
        <f t="shared" si="3"/>
        <v>MACDONALD THOMAS</v>
      </c>
    </row>
    <row r="225" spans="1:7" x14ac:dyDescent="0.25">
      <c r="A225" s="8">
        <v>42722.863437499997</v>
      </c>
      <c r="B225" t="s">
        <v>282</v>
      </c>
      <c r="C225" t="s">
        <v>694</v>
      </c>
      <c r="D225" s="165">
        <v>2540000</v>
      </c>
      <c r="E225" t="s">
        <v>665</v>
      </c>
      <c r="F225" s="21" t="s">
        <v>666</v>
      </c>
      <c r="G225" s="8" t="str">
        <f t="shared" si="3"/>
        <v>MCREYNOLDS KYLE</v>
      </c>
    </row>
    <row r="226" spans="1:7" x14ac:dyDescent="0.25">
      <c r="A226" s="8">
        <v>42722.863969907405</v>
      </c>
      <c r="B226" t="s">
        <v>206</v>
      </c>
      <c r="C226" t="s">
        <v>699</v>
      </c>
      <c r="D226" s="165">
        <v>1800000</v>
      </c>
      <c r="E226" t="s">
        <v>238</v>
      </c>
      <c r="F226" s="21" t="s">
        <v>257</v>
      </c>
      <c r="G226" s="8" t="str">
        <f t="shared" si="3"/>
        <v>CHANDLER KELVIN</v>
      </c>
    </row>
    <row r="227" spans="1:7" x14ac:dyDescent="0.25">
      <c r="A227" s="8">
        <v>42722.868807870371</v>
      </c>
      <c r="B227" t="s">
        <v>263</v>
      </c>
      <c r="C227" t="s">
        <v>700</v>
      </c>
      <c r="D227" s="165">
        <v>2230000</v>
      </c>
      <c r="E227" t="s">
        <v>454</v>
      </c>
      <c r="F227" s="21" t="s">
        <v>266</v>
      </c>
      <c r="G227" s="8" t="str">
        <f t="shared" si="3"/>
        <v>SMITH MICHAEL</v>
      </c>
    </row>
    <row r="228" spans="1:7" x14ac:dyDescent="0.25">
      <c r="A228" s="8">
        <v>42722.873229166667</v>
      </c>
      <c r="B228" t="s">
        <v>294</v>
      </c>
      <c r="C228" t="s">
        <v>538</v>
      </c>
      <c r="D228" s="165">
        <v>1810000</v>
      </c>
      <c r="E228" t="s">
        <v>460</v>
      </c>
      <c r="F228" s="21" t="s">
        <v>254</v>
      </c>
      <c r="G228" s="8" t="str">
        <f t="shared" si="3"/>
        <v>NEWELL JAMES</v>
      </c>
    </row>
    <row r="229" spans="1:7" x14ac:dyDescent="0.25">
      <c r="A229" s="8">
        <v>42722.875127314815</v>
      </c>
      <c r="B229" t="s">
        <v>214</v>
      </c>
      <c r="C229" t="s">
        <v>701</v>
      </c>
      <c r="D229" s="165">
        <v>2530000</v>
      </c>
      <c r="E229" t="s">
        <v>239</v>
      </c>
      <c r="F229" s="21" t="s">
        <v>461</v>
      </c>
      <c r="G229" s="8" t="str">
        <f t="shared" si="3"/>
        <v>LALONDE GREGORY</v>
      </c>
    </row>
    <row r="230" spans="1:7" x14ac:dyDescent="0.25">
      <c r="A230" s="8">
        <v>42722.890532407408</v>
      </c>
      <c r="B230" t="s">
        <v>529</v>
      </c>
      <c r="C230" t="s">
        <v>702</v>
      </c>
      <c r="D230" s="165">
        <v>2000000</v>
      </c>
      <c r="E230" t="s">
        <v>209</v>
      </c>
      <c r="F230" s="21" t="s">
        <v>254</v>
      </c>
      <c r="G230" s="8" t="str">
        <f t="shared" si="3"/>
        <v>STAMBAUGH JAMES</v>
      </c>
    </row>
    <row r="231" spans="1:7" x14ac:dyDescent="0.25">
      <c r="A231" s="8">
        <v>42722.890856481485</v>
      </c>
      <c r="B231" t="s">
        <v>226</v>
      </c>
      <c r="C231" t="s">
        <v>703</v>
      </c>
      <c r="D231" s="165">
        <v>2540000</v>
      </c>
      <c r="E231" t="s">
        <v>665</v>
      </c>
      <c r="F231" s="21" t="s">
        <v>666</v>
      </c>
      <c r="G231" s="8" t="str">
        <f t="shared" si="3"/>
        <v>MCREYNOLDS KYLE</v>
      </c>
    </row>
    <row r="232" spans="1:7" x14ac:dyDescent="0.25">
      <c r="A232" s="8">
        <v>42722.893888888888</v>
      </c>
      <c r="B232" t="s">
        <v>297</v>
      </c>
      <c r="C232" t="s">
        <v>704</v>
      </c>
      <c r="D232" s="165">
        <v>1810000</v>
      </c>
      <c r="E232" t="s">
        <v>460</v>
      </c>
      <c r="F232" s="21" t="s">
        <v>254</v>
      </c>
      <c r="G232" s="8" t="str">
        <f t="shared" si="3"/>
        <v>NEWELL JAMES</v>
      </c>
    </row>
    <row r="233" spans="1:7" x14ac:dyDescent="0.25">
      <c r="A233" s="8">
        <v>42722.896527777775</v>
      </c>
      <c r="B233" t="s">
        <v>515</v>
      </c>
      <c r="C233" t="s">
        <v>705</v>
      </c>
      <c r="D233" s="165">
        <v>2560000</v>
      </c>
      <c r="E233" t="s">
        <v>463</v>
      </c>
      <c r="F233" s="21" t="s">
        <v>464</v>
      </c>
      <c r="G233" s="8" t="str">
        <f t="shared" si="3"/>
        <v>MACDONALD THOMAS</v>
      </c>
    </row>
    <row r="234" spans="1:7" x14ac:dyDescent="0.25">
      <c r="A234" s="8">
        <v>42722.900891203702</v>
      </c>
      <c r="B234" t="s">
        <v>295</v>
      </c>
      <c r="C234" t="s">
        <v>706</v>
      </c>
      <c r="D234" s="165">
        <v>2530000</v>
      </c>
      <c r="E234" t="s">
        <v>239</v>
      </c>
      <c r="F234" s="21" t="s">
        <v>461</v>
      </c>
      <c r="G234" s="8" t="str">
        <f t="shared" si="3"/>
        <v>LALONDE GREGORY</v>
      </c>
    </row>
    <row r="235" spans="1:7" x14ac:dyDescent="0.25">
      <c r="A235" s="8">
        <v>42722.907824074071</v>
      </c>
      <c r="B235" t="s">
        <v>230</v>
      </c>
      <c r="C235" t="s">
        <v>703</v>
      </c>
      <c r="D235" s="165">
        <v>2540000</v>
      </c>
      <c r="E235" t="s">
        <v>665</v>
      </c>
      <c r="F235" s="21" t="s">
        <v>666</v>
      </c>
      <c r="G235" s="8" t="str">
        <f t="shared" si="3"/>
        <v>MCREYNOLDS KYLE</v>
      </c>
    </row>
    <row r="236" spans="1:7" x14ac:dyDescent="0.25">
      <c r="A236" s="8">
        <v>42722.908703703702</v>
      </c>
      <c r="B236" t="s">
        <v>230</v>
      </c>
      <c r="C236" t="s">
        <v>703</v>
      </c>
      <c r="D236" s="165">
        <v>2540000</v>
      </c>
      <c r="E236" t="s">
        <v>665</v>
      </c>
      <c r="F236" s="21" t="s">
        <v>666</v>
      </c>
      <c r="G236" s="8" t="str">
        <f t="shared" si="3"/>
        <v>MCREYNOLDS KYLE</v>
      </c>
    </row>
    <row r="237" spans="1:7" x14ac:dyDescent="0.25">
      <c r="A237" s="8">
        <v>42722.908842592595</v>
      </c>
      <c r="B237" t="s">
        <v>226</v>
      </c>
      <c r="C237" t="s">
        <v>707</v>
      </c>
      <c r="D237" s="165">
        <v>2230000</v>
      </c>
      <c r="E237" t="s">
        <v>454</v>
      </c>
      <c r="F237" s="21" t="s">
        <v>266</v>
      </c>
      <c r="G237" s="8" t="str">
        <f t="shared" si="3"/>
        <v>SMITH MICHAEL</v>
      </c>
    </row>
    <row r="238" spans="1:7" x14ac:dyDescent="0.25">
      <c r="A238" s="8">
        <v>42722.910370370373</v>
      </c>
      <c r="B238" t="s">
        <v>230</v>
      </c>
      <c r="C238" t="s">
        <v>703</v>
      </c>
      <c r="D238" s="165">
        <v>2540000</v>
      </c>
      <c r="E238" t="s">
        <v>665</v>
      </c>
      <c r="F238" s="21" t="s">
        <v>666</v>
      </c>
      <c r="G238" s="8" t="str">
        <f t="shared" si="3"/>
        <v>MCREYNOLDS KYLE</v>
      </c>
    </row>
    <row r="239" spans="1:7" x14ac:dyDescent="0.25">
      <c r="A239" s="8">
        <v>42722.910717592589</v>
      </c>
      <c r="B239" t="s">
        <v>207</v>
      </c>
      <c r="C239" t="s">
        <v>708</v>
      </c>
      <c r="D239" s="165">
        <v>1800000</v>
      </c>
      <c r="E239" t="s">
        <v>238</v>
      </c>
      <c r="F239" s="21" t="s">
        <v>257</v>
      </c>
      <c r="G239" s="8" t="str">
        <f t="shared" si="3"/>
        <v>CHANDLER KELVIN</v>
      </c>
    </row>
    <row r="240" spans="1:7" x14ac:dyDescent="0.25">
      <c r="A240" s="8">
        <v>42722.916539351849</v>
      </c>
      <c r="B240" t="s">
        <v>214</v>
      </c>
      <c r="C240" t="s">
        <v>709</v>
      </c>
      <c r="D240" s="165">
        <v>2530000</v>
      </c>
      <c r="E240" t="s">
        <v>239</v>
      </c>
      <c r="F240" s="21" t="s">
        <v>461</v>
      </c>
      <c r="G240" s="8" t="str">
        <f t="shared" si="3"/>
        <v>LALONDE GREGORY</v>
      </c>
    </row>
    <row r="241" spans="1:7" x14ac:dyDescent="0.25">
      <c r="A241" s="8">
        <v>42722.923055555555</v>
      </c>
      <c r="B241" t="s">
        <v>510</v>
      </c>
      <c r="C241" t="s">
        <v>540</v>
      </c>
      <c r="D241" s="165">
        <v>2000000</v>
      </c>
      <c r="E241" t="s">
        <v>209</v>
      </c>
      <c r="F241" s="21" t="s">
        <v>254</v>
      </c>
      <c r="G241" s="8" t="str">
        <f t="shared" si="3"/>
        <v>STAMBAUGH JAMES</v>
      </c>
    </row>
    <row r="242" spans="1:7" x14ac:dyDescent="0.25">
      <c r="A242" s="8">
        <v>42722.93068287037</v>
      </c>
      <c r="B242" t="s">
        <v>294</v>
      </c>
      <c r="C242" t="s">
        <v>710</v>
      </c>
      <c r="D242" s="165">
        <v>1810000</v>
      </c>
      <c r="E242" t="s">
        <v>460</v>
      </c>
      <c r="F242" s="21" t="s">
        <v>254</v>
      </c>
      <c r="G242" s="8" t="str">
        <f t="shared" si="3"/>
        <v>NEWELL JAMES</v>
      </c>
    </row>
    <row r="243" spans="1:7" x14ac:dyDescent="0.25">
      <c r="A243" s="8">
        <v>42722.942569444444</v>
      </c>
      <c r="B243" t="s">
        <v>295</v>
      </c>
      <c r="C243" t="s">
        <v>711</v>
      </c>
      <c r="D243" s="165">
        <v>2530000</v>
      </c>
      <c r="E243" t="s">
        <v>239</v>
      </c>
      <c r="F243" s="21" t="s">
        <v>461</v>
      </c>
      <c r="G243" s="8" t="str">
        <f t="shared" si="3"/>
        <v>LALONDE GREGORY</v>
      </c>
    </row>
    <row r="244" spans="1:7" x14ac:dyDescent="0.25">
      <c r="A244" s="8">
        <v>42722.946111111109</v>
      </c>
      <c r="B244" t="s">
        <v>282</v>
      </c>
      <c r="C244" t="s">
        <v>539</v>
      </c>
      <c r="D244" s="165">
        <v>2230000</v>
      </c>
      <c r="E244" t="s">
        <v>454</v>
      </c>
      <c r="F244" s="21" t="s">
        <v>266</v>
      </c>
      <c r="G244" s="8" t="str">
        <f t="shared" si="3"/>
        <v>SMITH MICHAEL</v>
      </c>
    </row>
    <row r="245" spans="1:7" x14ac:dyDescent="0.25">
      <c r="A245" s="8">
        <v>42722.957858796297</v>
      </c>
      <c r="B245" t="s">
        <v>206</v>
      </c>
      <c r="C245" t="s">
        <v>712</v>
      </c>
      <c r="D245" s="165">
        <v>1800000</v>
      </c>
      <c r="E245" t="s">
        <v>238</v>
      </c>
      <c r="F245" s="21" t="s">
        <v>257</v>
      </c>
      <c r="G245" s="8" t="str">
        <f t="shared" si="3"/>
        <v>CHANDLER KELVIN</v>
      </c>
    </row>
    <row r="246" spans="1:7" x14ac:dyDescent="0.25">
      <c r="A246" s="8">
        <v>42722.974085648151</v>
      </c>
      <c r="B246" t="s">
        <v>529</v>
      </c>
      <c r="C246" t="s">
        <v>713</v>
      </c>
      <c r="D246" s="165">
        <v>2000000</v>
      </c>
      <c r="E246" t="s">
        <v>209</v>
      </c>
      <c r="F246" s="21" t="s">
        <v>254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297</v>
      </c>
      <c r="C247" t="s">
        <v>714</v>
      </c>
      <c r="D247" s="165">
        <v>1810000</v>
      </c>
      <c r="E247" t="s">
        <v>460</v>
      </c>
      <c r="F247" s="21" t="s">
        <v>254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226</v>
      </c>
      <c r="C248" t="s">
        <v>715</v>
      </c>
      <c r="D248" s="165">
        <v>2230000</v>
      </c>
      <c r="E248" t="s">
        <v>454</v>
      </c>
      <c r="F248" s="21" t="s">
        <v>266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716</v>
      </c>
      <c r="D249" s="165">
        <v>1800000</v>
      </c>
      <c r="E249" t="s">
        <v>238</v>
      </c>
      <c r="F249" s="21" t="s">
        <v>257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294</v>
      </c>
      <c r="C250" t="s">
        <v>717</v>
      </c>
      <c r="D250" s="165">
        <v>1810000</v>
      </c>
      <c r="E250" t="s">
        <v>460</v>
      </c>
      <c r="F250" s="21" t="s">
        <v>254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510</v>
      </c>
      <c r="C251" t="s">
        <v>718</v>
      </c>
      <c r="D251" s="165">
        <v>2000000</v>
      </c>
      <c r="E251" t="s">
        <v>209</v>
      </c>
      <c r="F251" s="21" t="s">
        <v>254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719</v>
      </c>
      <c r="D252" s="165">
        <v>1800000</v>
      </c>
      <c r="E252" t="s">
        <v>238</v>
      </c>
      <c r="F252" s="21" t="s">
        <v>257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282</v>
      </c>
      <c r="C253" t="s">
        <v>720</v>
      </c>
      <c r="D253" s="165">
        <v>2230000</v>
      </c>
      <c r="E253" t="s">
        <v>454</v>
      </c>
      <c r="F253" s="21" t="s">
        <v>266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297</v>
      </c>
      <c r="C254" t="s">
        <v>721</v>
      </c>
      <c r="D254" s="165">
        <v>1810000</v>
      </c>
      <c r="E254" t="s">
        <v>460</v>
      </c>
      <c r="F254" s="21" t="s">
        <v>254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529</v>
      </c>
      <c r="C255" t="s">
        <v>722</v>
      </c>
      <c r="D255" s="165">
        <v>2000000</v>
      </c>
      <c r="E255" t="s">
        <v>209</v>
      </c>
      <c r="F255" s="21" t="s">
        <v>254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226</v>
      </c>
      <c r="C256" t="s">
        <v>723</v>
      </c>
      <c r="D256" s="165">
        <v>2230000</v>
      </c>
      <c r="E256" t="s">
        <v>454</v>
      </c>
      <c r="F256" s="21" t="s">
        <v>266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510</v>
      </c>
      <c r="C257" t="s">
        <v>724</v>
      </c>
      <c r="D257" s="165">
        <v>2000000</v>
      </c>
      <c r="E257" t="s">
        <v>209</v>
      </c>
      <c r="F257" s="21" t="s">
        <v>254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725</v>
      </c>
      <c r="D258" s="165">
        <v>2110000</v>
      </c>
      <c r="E258" t="s">
        <v>550</v>
      </c>
      <c r="F258" s="21" t="s">
        <v>551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725</v>
      </c>
      <c r="D259" s="165">
        <v>2110000</v>
      </c>
      <c r="E259" t="s">
        <v>550</v>
      </c>
      <c r="F259" s="21" t="s">
        <v>551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233</v>
      </c>
      <c r="C260" t="s">
        <v>241</v>
      </c>
      <c r="D260" s="165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240</v>
      </c>
      <c r="D261" s="165">
        <v>2530000</v>
      </c>
      <c r="E261" t="s">
        <v>239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242</v>
      </c>
      <c r="D262" s="165">
        <v>2600000</v>
      </c>
      <c r="E262" t="s">
        <v>235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5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5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5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5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5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0.01</v>
      </c>
      <c r="B2" s="165">
        <v>0.18</v>
      </c>
      <c r="C2" s="165">
        <v>-5.34</v>
      </c>
      <c r="D2" s="8">
        <v>42722</v>
      </c>
      <c r="E2" s="165">
        <v>0.77</v>
      </c>
      <c r="F2" s="165" t="s">
        <v>726</v>
      </c>
      <c r="G2" s="165">
        <v>317.73</v>
      </c>
      <c r="H2" s="165">
        <v>0</v>
      </c>
      <c r="I2" s="165">
        <v>0</v>
      </c>
      <c r="J2" s="165">
        <v>1033.3599999999999</v>
      </c>
      <c r="K2" s="165" t="s">
        <v>727</v>
      </c>
      <c r="L2" s="165">
        <v>0.01</v>
      </c>
      <c r="M2" s="165">
        <v>1482044400</v>
      </c>
      <c r="N2" s="165">
        <v>1.1000000000000001</v>
      </c>
      <c r="O2" s="165">
        <v>312</v>
      </c>
      <c r="P2" s="165">
        <v>0.87</v>
      </c>
      <c r="Q2"/>
      <c r="R2"/>
    </row>
    <row r="3" spans="1:18" x14ac:dyDescent="0.25">
      <c r="A3" s="165">
        <v>-0.76</v>
      </c>
      <c r="B3" s="165">
        <v>0.3</v>
      </c>
      <c r="C3" s="165">
        <v>-5.9</v>
      </c>
      <c r="D3" s="8">
        <v>42722.041666666664</v>
      </c>
      <c r="E3" s="165">
        <v>0.78</v>
      </c>
      <c r="F3" s="165" t="s">
        <v>726</v>
      </c>
      <c r="G3" s="165">
        <v>316.24</v>
      </c>
      <c r="H3" s="165">
        <v>0</v>
      </c>
      <c r="I3" s="165">
        <v>0</v>
      </c>
      <c r="J3" s="165">
        <v>1033.48</v>
      </c>
      <c r="K3" s="165" t="s">
        <v>727</v>
      </c>
      <c r="L3" s="165">
        <v>-0.76</v>
      </c>
      <c r="M3" s="165">
        <v>1482048000</v>
      </c>
      <c r="N3" s="165">
        <v>1.1000000000000001</v>
      </c>
      <c r="O3" s="165">
        <v>293</v>
      </c>
      <c r="P3" s="165">
        <v>0.5</v>
      </c>
      <c r="Q3"/>
      <c r="R3"/>
    </row>
    <row r="4" spans="1:18" x14ac:dyDescent="0.25">
      <c r="A4" s="165">
        <v>-1.28</v>
      </c>
      <c r="B4" s="165">
        <v>0.43</v>
      </c>
      <c r="C4" s="165">
        <v>-6.22</v>
      </c>
      <c r="D4" s="8">
        <v>42722.083333333336</v>
      </c>
      <c r="E4" s="165">
        <v>0.79</v>
      </c>
      <c r="F4" s="165" t="s">
        <v>726</v>
      </c>
      <c r="G4" s="165">
        <v>314.75</v>
      </c>
      <c r="H4" s="165">
        <v>0</v>
      </c>
      <c r="I4" s="165">
        <v>0</v>
      </c>
      <c r="J4" s="165">
        <v>1033.5999999999999</v>
      </c>
      <c r="K4" s="165" t="s">
        <v>727</v>
      </c>
      <c r="L4" s="165">
        <v>-1.28</v>
      </c>
      <c r="M4" s="165">
        <v>1482051600</v>
      </c>
      <c r="N4" s="165">
        <v>1.1000000000000001</v>
      </c>
      <c r="O4" s="165">
        <v>259</v>
      </c>
      <c r="P4" s="165">
        <v>1.21</v>
      </c>
      <c r="Q4"/>
      <c r="R4"/>
    </row>
    <row r="5" spans="1:18" x14ac:dyDescent="0.25">
      <c r="A5" s="165">
        <v>-0.27</v>
      </c>
      <c r="B5" s="165">
        <v>0.41</v>
      </c>
      <c r="C5" s="165">
        <v>-5.71</v>
      </c>
      <c r="D5" s="8">
        <v>42722.125</v>
      </c>
      <c r="E5" s="165">
        <v>0.77</v>
      </c>
      <c r="F5" s="165" t="s">
        <v>726</v>
      </c>
      <c r="G5" s="165">
        <v>314.89</v>
      </c>
      <c r="H5" s="165">
        <v>0</v>
      </c>
      <c r="I5" s="165">
        <v>0</v>
      </c>
      <c r="J5" s="165">
        <v>1032.8599999999999</v>
      </c>
      <c r="K5" s="165" t="s">
        <v>727</v>
      </c>
      <c r="L5" s="165">
        <v>-0.27</v>
      </c>
      <c r="M5" s="165">
        <v>1482055200</v>
      </c>
      <c r="N5" s="165">
        <v>0.53</v>
      </c>
      <c r="O5" s="165">
        <v>259</v>
      </c>
      <c r="P5" s="165">
        <v>2.2999999999999998</v>
      </c>
      <c r="Q5"/>
      <c r="R5"/>
    </row>
    <row r="6" spans="1:18" x14ac:dyDescent="0.25">
      <c r="A6" s="165">
        <v>1.19</v>
      </c>
      <c r="B6" s="165">
        <v>0.28000000000000003</v>
      </c>
      <c r="C6" s="165">
        <v>-5.03</v>
      </c>
      <c r="D6" s="8">
        <v>42722.166666666664</v>
      </c>
      <c r="E6" s="165">
        <v>0.74</v>
      </c>
      <c r="F6" s="165" t="s">
        <v>726</v>
      </c>
      <c r="G6" s="165">
        <v>315.45999999999998</v>
      </c>
      <c r="H6" s="165">
        <v>0</v>
      </c>
      <c r="I6" s="165">
        <v>0</v>
      </c>
      <c r="J6" s="165">
        <v>1031.81</v>
      </c>
      <c r="K6" s="165" t="s">
        <v>727</v>
      </c>
      <c r="L6" s="165">
        <v>1.19</v>
      </c>
      <c r="M6" s="165">
        <v>1482058800</v>
      </c>
      <c r="N6" s="165">
        <v>0.53</v>
      </c>
      <c r="O6" s="165">
        <v>214</v>
      </c>
      <c r="P6" s="165">
        <v>1.66</v>
      </c>
      <c r="Q6"/>
      <c r="R6"/>
    </row>
    <row r="7" spans="1:18" x14ac:dyDescent="0.25">
      <c r="A7" s="165">
        <v>1.92</v>
      </c>
      <c r="B7" s="165">
        <v>0.18</v>
      </c>
      <c r="C7" s="165">
        <v>-4.8600000000000003</v>
      </c>
      <c r="D7" s="8">
        <v>42722.208333333336</v>
      </c>
      <c r="E7" s="165">
        <v>0.72</v>
      </c>
      <c r="F7" s="165" t="s">
        <v>726</v>
      </c>
      <c r="G7" s="165">
        <v>314.25</v>
      </c>
      <c r="H7" s="165">
        <v>0</v>
      </c>
      <c r="I7" s="165">
        <v>0</v>
      </c>
      <c r="J7" s="165">
        <v>1031.33</v>
      </c>
      <c r="K7" s="165" t="s">
        <v>727</v>
      </c>
      <c r="L7" s="165">
        <v>1.92</v>
      </c>
      <c r="M7" s="165">
        <v>1482062400</v>
      </c>
      <c r="N7" s="165">
        <v>1.03</v>
      </c>
      <c r="O7" s="165">
        <v>173</v>
      </c>
      <c r="P7" s="165">
        <v>1.1399999999999999</v>
      </c>
      <c r="Q7"/>
      <c r="R7"/>
    </row>
    <row r="8" spans="1:18" x14ac:dyDescent="0.25">
      <c r="A8" s="165">
        <v>2.97</v>
      </c>
      <c r="B8" s="165">
        <v>0.13</v>
      </c>
      <c r="C8" s="165">
        <v>-3.83</v>
      </c>
      <c r="D8" s="8">
        <v>42722.25</v>
      </c>
      <c r="E8" s="165">
        <v>0.73</v>
      </c>
      <c r="F8" s="165" t="s">
        <v>726</v>
      </c>
      <c r="G8" s="165">
        <v>310.02999999999997</v>
      </c>
      <c r="H8" s="165">
        <v>0</v>
      </c>
      <c r="I8" s="165">
        <v>0</v>
      </c>
      <c r="J8" s="165">
        <v>1032.18</v>
      </c>
      <c r="K8" s="165" t="s">
        <v>727</v>
      </c>
      <c r="L8" s="165">
        <v>2.97</v>
      </c>
      <c r="M8" s="165">
        <v>1482066000</v>
      </c>
      <c r="N8" s="165">
        <v>1.1000000000000001</v>
      </c>
      <c r="O8" s="165">
        <v>225</v>
      </c>
      <c r="P8" s="165">
        <v>1.26</v>
      </c>
      <c r="Q8"/>
      <c r="R8"/>
    </row>
    <row r="9" spans="1:18" x14ac:dyDescent="0.25">
      <c r="A9" s="165">
        <v>2.1800000000000002</v>
      </c>
      <c r="B9" s="165">
        <v>0.15</v>
      </c>
      <c r="C9" s="165">
        <v>-4.34</v>
      </c>
      <c r="D9" s="8">
        <v>42722.291666666664</v>
      </c>
      <c r="E9" s="165">
        <v>0.73</v>
      </c>
      <c r="F9" s="165" t="s">
        <v>726</v>
      </c>
      <c r="G9" s="165">
        <v>304.02999999999997</v>
      </c>
      <c r="H9" s="165">
        <v>0</v>
      </c>
      <c r="I9" s="165">
        <v>0</v>
      </c>
      <c r="J9" s="165">
        <v>1033.57</v>
      </c>
      <c r="K9" s="165" t="s">
        <v>727</v>
      </c>
      <c r="L9" s="165">
        <v>2.1800000000000002</v>
      </c>
      <c r="M9" s="165">
        <v>1482069600</v>
      </c>
      <c r="N9" s="165">
        <v>1.1000000000000001</v>
      </c>
      <c r="O9" s="165">
        <v>232</v>
      </c>
      <c r="P9" s="165">
        <v>2.35</v>
      </c>
      <c r="Q9"/>
      <c r="R9"/>
    </row>
    <row r="10" spans="1:18" x14ac:dyDescent="0.25">
      <c r="A10" s="165">
        <v>2.7</v>
      </c>
      <c r="B10" s="165">
        <v>0.12</v>
      </c>
      <c r="C10" s="165">
        <v>-3.85</v>
      </c>
      <c r="D10" s="8">
        <v>42722.333333333336</v>
      </c>
      <c r="E10" s="165">
        <v>0.73</v>
      </c>
      <c r="F10" s="165" t="s">
        <v>726</v>
      </c>
      <c r="G10" s="165">
        <v>297.79000000000002</v>
      </c>
      <c r="H10" s="165">
        <v>0</v>
      </c>
      <c r="I10" s="165">
        <v>0</v>
      </c>
      <c r="J10" s="165">
        <v>1034.1099999999999</v>
      </c>
      <c r="K10" s="165" t="s">
        <v>727</v>
      </c>
      <c r="L10" s="165">
        <v>2.7</v>
      </c>
      <c r="M10" s="165">
        <v>1482073200</v>
      </c>
      <c r="N10" s="165">
        <v>1.1000000000000001</v>
      </c>
      <c r="O10" s="165">
        <v>301</v>
      </c>
      <c r="P10" s="165">
        <v>1.29</v>
      </c>
      <c r="Q10"/>
      <c r="R10"/>
    </row>
    <row r="11" spans="1:18" x14ac:dyDescent="0.25">
      <c r="A11" s="165">
        <v>6.71</v>
      </c>
      <c r="B11" s="165">
        <v>0.1</v>
      </c>
      <c r="C11" s="165">
        <v>-0.66</v>
      </c>
      <c r="D11" s="8">
        <v>42722.375</v>
      </c>
      <c r="E11" s="165">
        <v>0.71</v>
      </c>
      <c r="F11" s="165" t="s">
        <v>726</v>
      </c>
      <c r="G11" s="165">
        <v>291.27</v>
      </c>
      <c r="H11" s="165">
        <v>0</v>
      </c>
      <c r="I11" s="165">
        <v>0</v>
      </c>
      <c r="J11" s="165">
        <v>1033.77</v>
      </c>
      <c r="K11" s="165" t="s">
        <v>727</v>
      </c>
      <c r="L11" s="165">
        <v>6.71</v>
      </c>
      <c r="M11" s="165">
        <v>1482076800</v>
      </c>
      <c r="N11" s="165">
        <v>1.1000000000000001</v>
      </c>
      <c r="O11" s="165">
        <v>326</v>
      </c>
      <c r="P11" s="165">
        <v>2.2200000000000002</v>
      </c>
      <c r="Q11"/>
      <c r="R11"/>
    </row>
    <row r="12" spans="1:18" x14ac:dyDescent="0.25">
      <c r="A12" s="165">
        <v>11.44</v>
      </c>
      <c r="B12" s="165">
        <v>0.1</v>
      </c>
      <c r="C12" s="165">
        <v>2.88</v>
      </c>
      <c r="D12" s="8">
        <v>42722.416666666664</v>
      </c>
      <c r="E12" s="165">
        <v>0.68</v>
      </c>
      <c r="F12" s="165" t="s">
        <v>726</v>
      </c>
      <c r="G12" s="165">
        <v>284.5</v>
      </c>
      <c r="H12" s="165">
        <v>0</v>
      </c>
      <c r="I12" s="165">
        <v>0</v>
      </c>
      <c r="J12" s="165">
        <v>1032.0899999999999</v>
      </c>
      <c r="K12" s="165" t="s">
        <v>727</v>
      </c>
      <c r="L12" s="165">
        <v>11.44</v>
      </c>
      <c r="M12" s="165">
        <v>1482080400</v>
      </c>
      <c r="N12" s="165">
        <v>1.1000000000000001</v>
      </c>
      <c r="O12" s="165">
        <v>322</v>
      </c>
      <c r="P12" s="165">
        <v>0.96</v>
      </c>
      <c r="Q12"/>
      <c r="R12"/>
    </row>
    <row r="13" spans="1:18" x14ac:dyDescent="0.25">
      <c r="A13" s="165">
        <v>19.059999999999999</v>
      </c>
      <c r="B13" s="165">
        <v>0.09</v>
      </c>
      <c r="C13" s="165">
        <v>9.61</v>
      </c>
      <c r="D13" s="8">
        <v>42722.458333333336</v>
      </c>
      <c r="E13" s="165">
        <v>0.66</v>
      </c>
      <c r="F13" s="165" t="s">
        <v>726</v>
      </c>
      <c r="G13" s="165">
        <v>279.05</v>
      </c>
      <c r="H13" s="165">
        <v>0</v>
      </c>
      <c r="I13" s="165">
        <v>0</v>
      </c>
      <c r="J13" s="165">
        <v>1030.2</v>
      </c>
      <c r="K13" s="165" t="s">
        <v>727</v>
      </c>
      <c r="L13" s="165">
        <v>19.059999999999999</v>
      </c>
      <c r="M13" s="165">
        <v>1482084000</v>
      </c>
      <c r="N13" s="165">
        <v>1.1000000000000001</v>
      </c>
      <c r="O13" s="165">
        <v>330</v>
      </c>
      <c r="P13" s="165">
        <v>0.92</v>
      </c>
      <c r="Q13"/>
      <c r="R13"/>
    </row>
    <row r="14" spans="1:18" x14ac:dyDescent="0.25">
      <c r="A14" s="165">
        <v>23.21</v>
      </c>
      <c r="B14" s="165">
        <v>0.08</v>
      </c>
      <c r="C14" s="165">
        <v>14.09</v>
      </c>
      <c r="D14" s="8">
        <v>42722.5</v>
      </c>
      <c r="E14" s="165">
        <v>0.68</v>
      </c>
      <c r="F14" s="165" t="s">
        <v>726</v>
      </c>
      <c r="G14" s="165">
        <v>275.89</v>
      </c>
      <c r="H14" s="165">
        <v>0</v>
      </c>
      <c r="I14" s="165">
        <v>0</v>
      </c>
      <c r="J14" s="165">
        <v>1029.17</v>
      </c>
      <c r="K14" s="165" t="s">
        <v>727</v>
      </c>
      <c r="L14" s="165">
        <v>23.21</v>
      </c>
      <c r="M14" s="165">
        <v>1482087600</v>
      </c>
      <c r="N14" s="165">
        <v>1.1000000000000001</v>
      </c>
      <c r="O14" s="165">
        <v>35</v>
      </c>
      <c r="P14" s="165">
        <v>0.73</v>
      </c>
      <c r="Q14"/>
      <c r="R14"/>
    </row>
    <row r="15" spans="1:18" x14ac:dyDescent="0.25">
      <c r="A15" s="165">
        <v>26.57</v>
      </c>
      <c r="B15" s="165">
        <v>7.0000000000000007E-2</v>
      </c>
      <c r="C15" s="165">
        <v>18.36</v>
      </c>
      <c r="D15" s="8">
        <v>42722.541666666664</v>
      </c>
      <c r="E15" s="165">
        <v>0.71</v>
      </c>
      <c r="F15" s="165" t="s">
        <v>728</v>
      </c>
      <c r="G15" s="165">
        <v>274.04000000000002</v>
      </c>
      <c r="H15" s="165">
        <v>0</v>
      </c>
      <c r="I15" s="165">
        <v>0</v>
      </c>
      <c r="J15" s="165">
        <v>1028.6400000000001</v>
      </c>
      <c r="K15" s="165" t="s">
        <v>277</v>
      </c>
      <c r="L15" s="165">
        <v>26.57</v>
      </c>
      <c r="M15" s="165">
        <v>1482091200</v>
      </c>
      <c r="N15" s="165"/>
      <c r="O15" s="165">
        <v>359</v>
      </c>
      <c r="P15" s="165">
        <v>2.81</v>
      </c>
      <c r="Q15"/>
      <c r="R15"/>
    </row>
    <row r="16" spans="1:18" x14ac:dyDescent="0.25">
      <c r="A16" s="165">
        <v>20.190000000000001</v>
      </c>
      <c r="B16" s="165">
        <v>0.08</v>
      </c>
      <c r="C16" s="165">
        <v>15.13</v>
      </c>
      <c r="D16" s="8">
        <v>42722.583333333336</v>
      </c>
      <c r="E16" s="165">
        <v>0.65</v>
      </c>
      <c r="F16" s="165" t="s">
        <v>728</v>
      </c>
      <c r="G16" s="165">
        <v>272.10000000000002</v>
      </c>
      <c r="H16" s="165">
        <v>0</v>
      </c>
      <c r="I16" s="165">
        <v>0</v>
      </c>
      <c r="J16" s="165">
        <v>1028.57</v>
      </c>
      <c r="K16" s="165" t="s">
        <v>277</v>
      </c>
      <c r="L16" s="165">
        <v>25.36</v>
      </c>
      <c r="M16" s="165">
        <v>1482094800</v>
      </c>
      <c r="N16" s="165">
        <v>2.75</v>
      </c>
      <c r="O16" s="165">
        <v>21</v>
      </c>
      <c r="P16" s="165">
        <v>4.18</v>
      </c>
      <c r="Q16"/>
      <c r="R16"/>
    </row>
    <row r="17" spans="1:18" x14ac:dyDescent="0.25">
      <c r="A17" s="165">
        <v>14.88</v>
      </c>
      <c r="B17" s="165">
        <v>0.08</v>
      </c>
      <c r="C17" s="165">
        <v>11.84</v>
      </c>
      <c r="D17" s="8">
        <v>42722.625</v>
      </c>
      <c r="E17" s="165">
        <v>0.67</v>
      </c>
      <c r="F17" s="165" t="s">
        <v>728</v>
      </c>
      <c r="G17" s="165">
        <v>269.27</v>
      </c>
      <c r="H17" s="165">
        <v>0</v>
      </c>
      <c r="I17" s="165">
        <v>0</v>
      </c>
      <c r="J17" s="165">
        <v>1029.6300000000001</v>
      </c>
      <c r="K17" s="165" t="s">
        <v>277</v>
      </c>
      <c r="L17" s="165">
        <v>20.9</v>
      </c>
      <c r="M17" s="165">
        <v>1482098400</v>
      </c>
      <c r="N17" s="165">
        <v>2.81</v>
      </c>
      <c r="O17" s="165">
        <v>11</v>
      </c>
      <c r="P17" s="165">
        <v>4.29</v>
      </c>
      <c r="Q17"/>
      <c r="R17"/>
    </row>
    <row r="18" spans="1:18" x14ac:dyDescent="0.25">
      <c r="A18" s="165">
        <v>13.72</v>
      </c>
      <c r="B18" s="165">
        <v>0.09</v>
      </c>
      <c r="C18" s="165">
        <v>7.21</v>
      </c>
      <c r="D18" s="8">
        <v>42722.666666666664</v>
      </c>
      <c r="E18" s="165">
        <v>0.61</v>
      </c>
      <c r="F18" s="165" t="s">
        <v>728</v>
      </c>
      <c r="G18" s="165">
        <v>266.33999999999997</v>
      </c>
      <c r="H18" s="165">
        <v>0</v>
      </c>
      <c r="I18" s="165">
        <v>0</v>
      </c>
      <c r="J18" s="165">
        <v>1031.67</v>
      </c>
      <c r="K18" s="165" t="s">
        <v>277</v>
      </c>
      <c r="L18" s="165">
        <v>18.260000000000002</v>
      </c>
      <c r="M18" s="165">
        <v>1482102000</v>
      </c>
      <c r="N18" s="165">
        <v>5.0999999999999996</v>
      </c>
      <c r="O18" s="165">
        <v>13</v>
      </c>
      <c r="P18" s="165">
        <v>3.03</v>
      </c>
      <c r="Q18"/>
      <c r="R18"/>
    </row>
    <row r="19" spans="1:18" x14ac:dyDescent="0.25">
      <c r="A19" s="165">
        <v>16.899999999999999</v>
      </c>
      <c r="B19" s="165">
        <v>0.12</v>
      </c>
      <c r="C19" s="165">
        <v>6.56</v>
      </c>
      <c r="D19" s="8">
        <v>42722.708333333336</v>
      </c>
      <c r="E19" s="165">
        <v>0.63</v>
      </c>
      <c r="F19" s="165" t="s">
        <v>276</v>
      </c>
      <c r="G19" s="165">
        <v>264.25</v>
      </c>
      <c r="H19" s="165">
        <v>0</v>
      </c>
      <c r="I19" s="165">
        <v>0</v>
      </c>
      <c r="J19" s="165">
        <v>1033.49</v>
      </c>
      <c r="K19" s="165" t="s">
        <v>277</v>
      </c>
      <c r="L19" s="165">
        <v>16.899999999999999</v>
      </c>
      <c r="M19" s="165">
        <v>1482105600</v>
      </c>
      <c r="N19" s="165">
        <v>5.62</v>
      </c>
      <c r="O19" s="165">
        <v>5</v>
      </c>
      <c r="P19" s="165">
        <v>2.21</v>
      </c>
      <c r="Q19"/>
      <c r="R19"/>
    </row>
    <row r="20" spans="1:18" x14ac:dyDescent="0.25">
      <c r="A20" s="165">
        <v>13.55</v>
      </c>
      <c r="B20" s="165">
        <v>0.11</v>
      </c>
      <c r="C20" s="165">
        <v>3.35</v>
      </c>
      <c r="D20" s="8">
        <v>42722.75</v>
      </c>
      <c r="E20" s="165">
        <v>0.63</v>
      </c>
      <c r="F20" s="165" t="s">
        <v>276</v>
      </c>
      <c r="G20" s="165">
        <v>263.3</v>
      </c>
      <c r="H20" s="165">
        <v>0</v>
      </c>
      <c r="I20" s="165">
        <v>0</v>
      </c>
      <c r="J20" s="165">
        <v>1035.25</v>
      </c>
      <c r="K20" s="165" t="s">
        <v>277</v>
      </c>
      <c r="L20" s="165">
        <v>13.55</v>
      </c>
      <c r="M20" s="165">
        <v>1482109200</v>
      </c>
      <c r="N20" s="165">
        <v>6.32</v>
      </c>
      <c r="O20" s="165">
        <v>352</v>
      </c>
      <c r="P20" s="165">
        <v>1.77</v>
      </c>
      <c r="Q20"/>
      <c r="R20"/>
    </row>
    <row r="21" spans="1:18" x14ac:dyDescent="0.25">
      <c r="A21" s="165">
        <v>11.65</v>
      </c>
      <c r="B21" s="165">
        <v>0.12</v>
      </c>
      <c r="C21" s="165">
        <v>1.91</v>
      </c>
      <c r="D21" s="8">
        <v>42722.791666666664</v>
      </c>
      <c r="E21" s="165">
        <v>0.64</v>
      </c>
      <c r="F21" s="165" t="s">
        <v>276</v>
      </c>
      <c r="G21" s="165">
        <v>263.18</v>
      </c>
      <c r="H21" s="165">
        <v>0</v>
      </c>
      <c r="I21" s="165">
        <v>0</v>
      </c>
      <c r="J21" s="165">
        <v>1037.5899999999999</v>
      </c>
      <c r="K21" s="165" t="s">
        <v>277</v>
      </c>
      <c r="L21" s="165">
        <v>11.65</v>
      </c>
      <c r="M21" s="165">
        <v>1482112800</v>
      </c>
      <c r="N21" s="165">
        <v>7.48</v>
      </c>
      <c r="O21" s="165">
        <v>333</v>
      </c>
      <c r="P21" s="165">
        <v>1.1299999999999999</v>
      </c>
      <c r="Q21"/>
      <c r="R21"/>
    </row>
    <row r="22" spans="1:18" x14ac:dyDescent="0.25">
      <c r="A22" s="165">
        <v>10.029999999999999</v>
      </c>
      <c r="B22" s="165">
        <v>0.11</v>
      </c>
      <c r="C22" s="165">
        <v>0.08</v>
      </c>
      <c r="D22" s="8">
        <v>42722.833333333336</v>
      </c>
      <c r="E22" s="165">
        <v>0.63</v>
      </c>
      <c r="F22" s="165" t="s">
        <v>276</v>
      </c>
      <c r="G22" s="165">
        <v>263.98</v>
      </c>
      <c r="H22" s="165">
        <v>0</v>
      </c>
      <c r="I22" s="165">
        <v>0</v>
      </c>
      <c r="J22" s="165">
        <v>1039.18</v>
      </c>
      <c r="K22" s="165" t="s">
        <v>277</v>
      </c>
      <c r="L22" s="165">
        <v>10.029999999999999</v>
      </c>
      <c r="M22" s="165">
        <v>1482116400</v>
      </c>
      <c r="N22" s="165">
        <v>6.48</v>
      </c>
      <c r="O22" s="165">
        <v>266</v>
      </c>
      <c r="P22" s="165">
        <v>1.41</v>
      </c>
      <c r="Q22"/>
      <c r="R22"/>
    </row>
    <row r="23" spans="1:18" x14ac:dyDescent="0.25">
      <c r="A23" s="165">
        <v>9.4499999999999993</v>
      </c>
      <c r="B23" s="165">
        <v>0.14000000000000001</v>
      </c>
      <c r="C23" s="165">
        <v>0.13</v>
      </c>
      <c r="D23" s="8">
        <v>42722.875</v>
      </c>
      <c r="E23" s="165">
        <v>0.65</v>
      </c>
      <c r="F23" s="165" t="s">
        <v>276</v>
      </c>
      <c r="G23" s="165">
        <v>265.77999999999997</v>
      </c>
      <c r="H23" s="165">
        <v>0</v>
      </c>
      <c r="I23" s="165">
        <v>0</v>
      </c>
      <c r="J23" s="165">
        <v>1039.4100000000001</v>
      </c>
      <c r="K23" s="165" t="s">
        <v>277</v>
      </c>
      <c r="L23" s="165">
        <v>9.4499999999999993</v>
      </c>
      <c r="M23" s="165">
        <v>1482120000</v>
      </c>
      <c r="N23" s="165">
        <v>5.88</v>
      </c>
      <c r="O23" s="165">
        <v>252</v>
      </c>
      <c r="P23" s="165">
        <v>1.96</v>
      </c>
      <c r="Q23"/>
      <c r="R23"/>
    </row>
    <row r="24" spans="1:18" x14ac:dyDescent="0.25">
      <c r="A24" s="165">
        <v>9.02</v>
      </c>
      <c r="B24" s="165">
        <v>0.13</v>
      </c>
      <c r="C24" s="165">
        <v>-0.73</v>
      </c>
      <c r="D24" s="8">
        <v>42722.916666666664</v>
      </c>
      <c r="E24" s="165">
        <v>0.64</v>
      </c>
      <c r="F24" s="165" t="s">
        <v>276</v>
      </c>
      <c r="G24" s="165">
        <v>268.49</v>
      </c>
      <c r="H24" s="165">
        <v>0</v>
      </c>
      <c r="I24" s="165">
        <v>0</v>
      </c>
      <c r="J24" s="165">
        <v>1038.79</v>
      </c>
      <c r="K24" s="165" t="s">
        <v>277</v>
      </c>
      <c r="L24" s="165">
        <v>9.02</v>
      </c>
      <c r="M24" s="165">
        <v>1482123600</v>
      </c>
      <c r="N24" s="165">
        <v>5.93</v>
      </c>
      <c r="O24" s="165">
        <v>259</v>
      </c>
      <c r="P24" s="165">
        <v>1.83</v>
      </c>
      <c r="Q24"/>
      <c r="R24"/>
    </row>
    <row r="25" spans="1:18" x14ac:dyDescent="0.25">
      <c r="A25" s="165">
        <v>7.76</v>
      </c>
      <c r="B25" s="165">
        <v>0.09</v>
      </c>
      <c r="C25" s="165">
        <v>-1.47</v>
      </c>
      <c r="D25" s="8">
        <v>42722.958333333336</v>
      </c>
      <c r="E25" s="165">
        <v>0.65</v>
      </c>
      <c r="F25" s="165" t="s">
        <v>276</v>
      </c>
      <c r="G25" s="165">
        <v>271.85000000000002</v>
      </c>
      <c r="H25" s="165">
        <v>0</v>
      </c>
      <c r="I25" s="165">
        <v>0</v>
      </c>
      <c r="J25" s="165">
        <v>1038.2</v>
      </c>
      <c r="K25" s="165" t="s">
        <v>277</v>
      </c>
      <c r="L25" s="165">
        <v>7.76</v>
      </c>
      <c r="M25" s="165">
        <v>1482127200</v>
      </c>
      <c r="N25" s="165">
        <v>6.68</v>
      </c>
      <c r="O25" s="165">
        <v>267</v>
      </c>
      <c r="P25" s="165">
        <v>2.0099999999999998</v>
      </c>
      <c r="Q25"/>
      <c r="R25"/>
    </row>
    <row r="26" spans="1:18" x14ac:dyDescent="0.25">
      <c r="A26" s="165">
        <v>8.34</v>
      </c>
      <c r="B26" s="165">
        <v>7.0000000000000007E-2</v>
      </c>
      <c r="C26" s="165">
        <v>-2.57</v>
      </c>
      <c r="D26" s="8">
        <v>42723</v>
      </c>
      <c r="E26" s="165">
        <v>0.6</v>
      </c>
      <c r="F26" s="165" t="s">
        <v>276</v>
      </c>
      <c r="G26" s="165">
        <v>276.43</v>
      </c>
      <c r="H26" s="165">
        <v>0</v>
      </c>
      <c r="I26" s="165">
        <v>0</v>
      </c>
      <c r="J26" s="165">
        <v>1038.1199999999999</v>
      </c>
      <c r="K26" s="165" t="s">
        <v>277</v>
      </c>
      <c r="L26" s="165">
        <v>8.34</v>
      </c>
      <c r="M26" s="165">
        <v>1482130800</v>
      </c>
      <c r="N26" s="165">
        <v>6.86</v>
      </c>
      <c r="O26" s="165">
        <v>273</v>
      </c>
      <c r="P26" s="165">
        <v>1.77</v>
      </c>
      <c r="Q26"/>
      <c r="R26"/>
    </row>
    <row r="27" spans="1:18" x14ac:dyDescent="0.25">
      <c r="A27" s="165">
        <v>8.33</v>
      </c>
      <c r="B27" s="165">
        <v>0.31</v>
      </c>
      <c r="C27" s="165">
        <v>-3.1</v>
      </c>
      <c r="D27" s="8">
        <v>42723.041666666664</v>
      </c>
      <c r="E27" s="165">
        <v>0.59</v>
      </c>
      <c r="F27" s="165" t="s">
        <v>243</v>
      </c>
      <c r="G27" s="165">
        <v>281.02</v>
      </c>
      <c r="H27" s="165">
        <v>0</v>
      </c>
      <c r="I27" s="165">
        <v>0</v>
      </c>
      <c r="J27" s="165">
        <v>1038.02</v>
      </c>
      <c r="K27" s="165" t="s">
        <v>248</v>
      </c>
      <c r="L27" s="165">
        <v>8.33</v>
      </c>
      <c r="M27" s="165">
        <v>1482134400</v>
      </c>
      <c r="N27" s="165">
        <v>6.5</v>
      </c>
      <c r="O27" s="165">
        <v>245</v>
      </c>
      <c r="P27" s="165">
        <v>1.44</v>
      </c>
      <c r="Q27"/>
      <c r="R27"/>
    </row>
    <row r="28" spans="1:18" x14ac:dyDescent="0.25">
      <c r="A28" s="165">
        <v>7.79</v>
      </c>
      <c r="B28" s="165">
        <v>0.34</v>
      </c>
      <c r="C28" s="165">
        <v>-5.08</v>
      </c>
      <c r="D28" s="8">
        <v>42723.083333333336</v>
      </c>
      <c r="E28" s="165">
        <v>0.55000000000000004</v>
      </c>
      <c r="F28" s="165" t="s">
        <v>243</v>
      </c>
      <c r="G28" s="165">
        <v>285.60000000000002</v>
      </c>
      <c r="H28" s="165">
        <v>0</v>
      </c>
      <c r="I28" s="165">
        <v>0</v>
      </c>
      <c r="J28" s="165">
        <v>1037.9100000000001</v>
      </c>
      <c r="K28" s="165" t="s">
        <v>248</v>
      </c>
      <c r="L28" s="165">
        <v>7.79</v>
      </c>
      <c r="M28" s="165">
        <v>1482138000</v>
      </c>
      <c r="N28" s="165">
        <v>4.3</v>
      </c>
      <c r="O28" s="165">
        <v>243</v>
      </c>
      <c r="P28" s="165">
        <v>2.62</v>
      </c>
      <c r="Q28"/>
      <c r="R28"/>
    </row>
    <row r="29" spans="1:18" x14ac:dyDescent="0.25">
      <c r="A29" s="165">
        <v>2.4</v>
      </c>
      <c r="B29" s="165">
        <v>0.25</v>
      </c>
      <c r="C29" s="165">
        <v>-3.94</v>
      </c>
      <c r="D29" s="8">
        <v>42723.125</v>
      </c>
      <c r="E29" s="165">
        <v>0.53</v>
      </c>
      <c r="F29" s="165" t="s">
        <v>243</v>
      </c>
      <c r="G29" s="165">
        <v>286.18</v>
      </c>
      <c r="H29" s="165">
        <v>0</v>
      </c>
      <c r="I29" s="165">
        <v>0</v>
      </c>
      <c r="J29" s="165">
        <v>1037.9000000000001</v>
      </c>
      <c r="K29" s="165" t="s">
        <v>248</v>
      </c>
      <c r="L29" s="165">
        <v>9.5399999999999991</v>
      </c>
      <c r="M29" s="165">
        <v>1482141600</v>
      </c>
      <c r="N29" s="165">
        <v>6.62</v>
      </c>
      <c r="O29" s="165">
        <v>219</v>
      </c>
      <c r="P29" s="165">
        <v>3.84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202</v>
      </c>
    </row>
    <row r="33" spans="1:1" x14ac:dyDescent="0.25">
      <c r="A33" s="133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9"/>
  <sheetViews>
    <sheetView topLeftCell="A4"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42722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928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929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930</v>
      </c>
      <c r="J20" t="s">
        <v>87</v>
      </c>
      <c r="M20" s="165" t="s">
        <v>247</v>
      </c>
    </row>
    <row r="21" spans="3:13" x14ac:dyDescent="0.25">
      <c r="C21" t="s">
        <v>931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932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933</v>
      </c>
      <c r="J23" s="29" t="s">
        <v>95</v>
      </c>
      <c r="K23" s="21"/>
      <c r="M23" s="165">
        <v>-7</v>
      </c>
    </row>
    <row r="24" spans="3:13" x14ac:dyDescent="0.25">
      <c r="C24" t="s">
        <v>934</v>
      </c>
      <c r="J24" s="21" t="s">
        <v>108</v>
      </c>
      <c r="K24" s="21"/>
      <c r="M24" s="165" t="s">
        <v>110</v>
      </c>
    </row>
    <row r="25" spans="3:13" x14ac:dyDescent="0.25">
      <c r="C25" t="s">
        <v>935</v>
      </c>
      <c r="J25" t="s">
        <v>151</v>
      </c>
      <c r="M25" s="165" t="b">
        <v>1</v>
      </c>
    </row>
    <row r="26" spans="3:13" x14ac:dyDescent="0.25">
      <c r="C26" t="s">
        <v>936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C:\Users\stu\Documents\GitHub\eaglep3-reporting\EC\2016-12-18-refined-times.txt</v>
      </c>
    </row>
    <row r="27" spans="3:13" x14ac:dyDescent="0.25">
      <c r="C27" t="s">
        <v>937</v>
      </c>
      <c r="J27" t="s">
        <v>187</v>
      </c>
      <c r="M27" s="165" t="str">
        <f>"C:\Users\stu\Documents\GitHub\eaglep3-reporting\EC\"&amp;TEXT(A2,"YYYY-MM-DD")&amp;"-Enforcements.txt"</f>
        <v>C:\Users\stu\Documents\GitHub\eaglep3-reporting\EC\2016-12-18-Enforcements.txt</v>
      </c>
    </row>
    <row r="28" spans="3:13" x14ac:dyDescent="0.25">
      <c r="C28" t="s">
        <v>938</v>
      </c>
      <c r="J28" t="s">
        <v>188</v>
      </c>
      <c r="M28" s="165" t="str">
        <f>"C:\Users\stu\Documents\GitHub\eaglep3-reporting\EC\"&amp;TEXT(A2,"YYYY-MM-DD")&amp;"-Runs-refined.txt"</f>
        <v>C:\Users\stu\Documents\GitHub\eaglep3-reporting\EC\2016-12-18-Runs-refined.txt</v>
      </c>
    </row>
    <row r="29" spans="3:13" x14ac:dyDescent="0.25">
      <c r="C29" t="s">
        <v>939</v>
      </c>
      <c r="J29" t="s">
        <v>189</v>
      </c>
      <c r="M29" s="165" t="str">
        <f>"C:\Users\stu\Documents\GitHub\eaglep3-reporting\EC\"&amp;TEXT(A2,"YYYY-MM-DD")&amp;"-Trips.txt"</f>
        <v>C:\Users\stu\Documents\GitHub\eaglep3-reporting\EC\2016-12-18-Trips.txt</v>
      </c>
    </row>
    <row r="30" spans="3:13" x14ac:dyDescent="0.25">
      <c r="C30" t="s">
        <v>940</v>
      </c>
      <c r="J30" t="s">
        <v>190</v>
      </c>
      <c r="M30" s="165" t="str">
        <f>"C:\Users\stu\Documents\GitHub\eaglep3-reporting\EC\"&amp;TEXT(A2,"YYYY-MM-DD")&amp;"-Weather.txt"</f>
        <v>C:\Users\stu\Documents\GitHub\eaglep3-reporting\EC\2016-12-18-Weather.txt</v>
      </c>
    </row>
    <row r="31" spans="3:13" x14ac:dyDescent="0.25">
      <c r="C31" t="s">
        <v>941</v>
      </c>
    </row>
    <row r="32" spans="3:13" x14ac:dyDescent="0.25">
      <c r="C32" t="s">
        <v>942</v>
      </c>
    </row>
    <row r="33" spans="3:3" x14ac:dyDescent="0.25">
      <c r="C33" t="s">
        <v>943</v>
      </c>
    </row>
    <row r="34" spans="3:3" x14ac:dyDescent="0.25">
      <c r="C34" t="s">
        <v>944</v>
      </c>
    </row>
    <row r="35" spans="3:3" x14ac:dyDescent="0.25">
      <c r="C35" t="s">
        <v>945</v>
      </c>
    </row>
    <row r="36" spans="3:3" x14ac:dyDescent="0.25">
      <c r="C36" t="s">
        <v>946</v>
      </c>
    </row>
    <row r="37" spans="3:3" x14ac:dyDescent="0.25">
      <c r="C37" t="s">
        <v>947</v>
      </c>
    </row>
    <row r="38" spans="3:3" x14ac:dyDescent="0.25">
      <c r="C38" t="s">
        <v>948</v>
      </c>
    </row>
    <row r="39" spans="3:3" x14ac:dyDescent="0.25">
      <c r="C39" t="s">
        <v>949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3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3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J129" sqref="J12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339</v>
      </c>
      <c r="B1" t="str">
        <f t="shared" ref="B1:B52" si="0">MID(A1,6,23)</f>
        <v>2016/12/14 10:32:11.283</v>
      </c>
      <c r="C1" t="e">
        <f>ABS(B1-#REF!)</f>
        <v>#REF!</v>
      </c>
    </row>
    <row r="2" spans="1:3" x14ac:dyDescent="0.25">
      <c r="A2" t="s">
        <v>340</v>
      </c>
      <c r="B2" s="21" t="str">
        <f t="shared" si="0"/>
        <v>2016/12/14 12:39:29.984</v>
      </c>
      <c r="C2">
        <f>ABS(B2-B1)</f>
        <v>8.841089120687684E-2</v>
      </c>
    </row>
    <row r="3" spans="1:3" x14ac:dyDescent="0.25">
      <c r="A3" t="s">
        <v>341</v>
      </c>
      <c r="B3" s="21" t="str">
        <f t="shared" si="0"/>
        <v>2016/12/14 12:39:30.145</v>
      </c>
      <c r="C3" s="21">
        <f t="shared" ref="C3:C52" si="1">ABS(B3-B2)</f>
        <v>1.8634236766956747E-6</v>
      </c>
    </row>
    <row r="4" spans="1:3" x14ac:dyDescent="0.25">
      <c r="A4" t="s">
        <v>342</v>
      </c>
      <c r="B4" s="21" t="str">
        <f t="shared" si="0"/>
        <v>2016/12/14 12:39:30.815</v>
      </c>
      <c r="C4" s="21">
        <f t="shared" si="1"/>
        <v>7.7546355896629393E-6</v>
      </c>
    </row>
    <row r="5" spans="1:3" x14ac:dyDescent="0.25">
      <c r="A5" t="s">
        <v>343</v>
      </c>
      <c r="B5" s="21" t="str">
        <f t="shared" si="0"/>
        <v>2016/12/14 12:51:01.148</v>
      </c>
      <c r="C5" s="21">
        <f t="shared" si="1"/>
        <v>7.9899652773747221E-3</v>
      </c>
    </row>
    <row r="6" spans="1:3" x14ac:dyDescent="0.25">
      <c r="A6" t="s">
        <v>344</v>
      </c>
      <c r="B6" s="21" t="str">
        <f t="shared" si="0"/>
        <v>2016/12/14 12:51:01.990</v>
      </c>
      <c r="C6" s="21">
        <f t="shared" si="1"/>
        <v>9.7453666967339814E-6</v>
      </c>
    </row>
    <row r="7" spans="1:3" x14ac:dyDescent="0.25">
      <c r="A7" t="s">
        <v>345</v>
      </c>
      <c r="B7" s="21" t="str">
        <f t="shared" si="0"/>
        <v>2016/12/14 12:51:02.826</v>
      </c>
      <c r="C7" s="21">
        <f t="shared" si="1"/>
        <v>9.6759249572642148E-6</v>
      </c>
    </row>
    <row r="8" spans="1:3" x14ac:dyDescent="0.25">
      <c r="A8" t="s">
        <v>346</v>
      </c>
      <c r="B8" s="21" t="str">
        <f t="shared" si="0"/>
        <v>2016/12/14 12:52:28.631</v>
      </c>
      <c r="C8" s="21">
        <f t="shared" si="1"/>
        <v>9.9311342637520283E-4</v>
      </c>
    </row>
    <row r="9" spans="1:3" x14ac:dyDescent="0.25">
      <c r="A9" t="s">
        <v>347</v>
      </c>
      <c r="B9" s="21" t="str">
        <f t="shared" si="0"/>
        <v>2016/12/14 12:52:29.264</v>
      </c>
      <c r="C9" s="21">
        <f t="shared" si="1"/>
        <v>7.3263872764073312E-6</v>
      </c>
    </row>
    <row r="10" spans="1:3" x14ac:dyDescent="0.25">
      <c r="A10" t="s">
        <v>348</v>
      </c>
      <c r="B10" s="21" t="str">
        <f t="shared" si="0"/>
        <v>2016/12/14 12:52:29.472</v>
      </c>
      <c r="C10" s="21">
        <f t="shared" si="1"/>
        <v>2.4074106477200985E-6</v>
      </c>
    </row>
    <row r="11" spans="1:3" x14ac:dyDescent="0.25">
      <c r="A11" t="s">
        <v>349</v>
      </c>
      <c r="B11" s="21" t="str">
        <f t="shared" si="0"/>
        <v>2016/12/14 13:01:15.737</v>
      </c>
      <c r="C11" s="21">
        <f t="shared" si="1"/>
        <v>6.0910300890100189E-3</v>
      </c>
    </row>
    <row r="12" spans="1:3" x14ac:dyDescent="0.25">
      <c r="A12" t="s">
        <v>350</v>
      </c>
      <c r="B12" s="21" t="str">
        <f t="shared" si="0"/>
        <v>2016/12/14 14:41:17.411</v>
      </c>
      <c r="C12" s="21">
        <f t="shared" si="1"/>
        <v>6.9463819447264541E-2</v>
      </c>
    </row>
    <row r="13" spans="1:3" x14ac:dyDescent="0.25">
      <c r="A13" t="s">
        <v>351</v>
      </c>
      <c r="B13" s="21" t="str">
        <f t="shared" si="0"/>
        <v>2016/12/14 14:41:17.754</v>
      </c>
      <c r="C13" s="21">
        <f t="shared" si="1"/>
        <v>3.9699079934507608E-6</v>
      </c>
    </row>
    <row r="14" spans="1:3" x14ac:dyDescent="0.25">
      <c r="A14" t="s">
        <v>352</v>
      </c>
      <c r="B14" s="21" t="str">
        <f t="shared" si="0"/>
        <v>2016/12/14 14:41:18.047</v>
      </c>
      <c r="C14" s="21">
        <f t="shared" si="1"/>
        <v>3.3912001526914537E-6</v>
      </c>
    </row>
    <row r="15" spans="1:3" x14ac:dyDescent="0.25">
      <c r="A15" t="s">
        <v>353</v>
      </c>
      <c r="B15" s="21" t="str">
        <f t="shared" si="0"/>
        <v>2016/12/14 14:51:33.969</v>
      </c>
      <c r="C15" s="21">
        <f t="shared" si="1"/>
        <v>7.1287268583546393E-3</v>
      </c>
    </row>
    <row r="16" spans="1:3" x14ac:dyDescent="0.25">
      <c r="A16" t="s">
        <v>354</v>
      </c>
      <c r="B16" s="21" t="str">
        <f t="shared" si="0"/>
        <v>2016/12/14 14:51:34.128</v>
      </c>
      <c r="C16" s="21">
        <f t="shared" si="1"/>
        <v>1.840271579567343E-6</v>
      </c>
    </row>
    <row r="17" spans="1:3" x14ac:dyDescent="0.25">
      <c r="A17" t="s">
        <v>355</v>
      </c>
      <c r="B17" s="21" t="str">
        <f t="shared" si="0"/>
        <v>2016/12/14 14:57:19.018</v>
      </c>
      <c r="C17" s="21">
        <f t="shared" si="1"/>
        <v>3.9917824105941691E-3</v>
      </c>
    </row>
    <row r="18" spans="1:3" x14ac:dyDescent="0.25">
      <c r="A18" t="s">
        <v>356</v>
      </c>
      <c r="B18" s="21" t="str">
        <f t="shared" si="0"/>
        <v>2016/12/14 14:57:19.968</v>
      </c>
      <c r="C18" s="21">
        <f t="shared" si="1"/>
        <v>1.099536893889308E-5</v>
      </c>
    </row>
    <row r="19" spans="1:3" x14ac:dyDescent="0.25">
      <c r="A19" t="s">
        <v>357</v>
      </c>
      <c r="B19" s="21" t="str">
        <f t="shared" si="0"/>
        <v>2016/12/14 14:57:20.091</v>
      </c>
      <c r="C19" s="21">
        <f t="shared" si="1"/>
        <v>1.4236138667911291E-6</v>
      </c>
    </row>
    <row r="20" spans="1:3" x14ac:dyDescent="0.25">
      <c r="A20" t="s">
        <v>358</v>
      </c>
      <c r="B20" s="21" t="str">
        <f t="shared" si="0"/>
        <v>2016/12/14 15:02:26.052</v>
      </c>
      <c r="C20" s="21">
        <f t="shared" si="1"/>
        <v>3.5412152792559937E-3</v>
      </c>
    </row>
    <row r="21" spans="1:3" x14ac:dyDescent="0.25">
      <c r="A21" t="s">
        <v>359</v>
      </c>
      <c r="B21" s="21" t="str">
        <f t="shared" si="0"/>
        <v>2016/12/14 15:02:26.397</v>
      </c>
      <c r="C21" s="21">
        <f t="shared" si="1"/>
        <v>3.9930528146214783E-6</v>
      </c>
    </row>
    <row r="22" spans="1:3" x14ac:dyDescent="0.25">
      <c r="A22" t="s">
        <v>360</v>
      </c>
      <c r="B22" s="21" t="str">
        <f t="shared" si="0"/>
        <v>2016/12/14 15:02:26.763</v>
      </c>
      <c r="C22" s="21">
        <f t="shared" si="1"/>
        <v>4.2361134546808898E-6</v>
      </c>
    </row>
    <row r="23" spans="1:3" x14ac:dyDescent="0.25">
      <c r="A23" t="s">
        <v>361</v>
      </c>
      <c r="B23" s="21" t="str">
        <f t="shared" si="0"/>
        <v>2016/12/14 15:33:49.866</v>
      </c>
      <c r="C23" s="21">
        <f t="shared" si="1"/>
        <v>2.179517361219041E-2</v>
      </c>
    </row>
    <row r="24" spans="1:3" x14ac:dyDescent="0.25">
      <c r="A24" t="s">
        <v>362</v>
      </c>
      <c r="B24" s="21" t="str">
        <f t="shared" si="0"/>
        <v>2016/12/14 15:38:00.008</v>
      </c>
      <c r="C24" s="21">
        <f t="shared" si="1"/>
        <v>2.8951620333828032E-3</v>
      </c>
    </row>
    <row r="25" spans="1:3" x14ac:dyDescent="0.25">
      <c r="A25" t="s">
        <v>363</v>
      </c>
      <c r="B25" s="21" t="str">
        <f t="shared" si="0"/>
        <v>2016/12/14 15:38:00.075</v>
      </c>
      <c r="C25" s="21">
        <f t="shared" si="1"/>
        <v>7.7546428656205535E-7</v>
      </c>
    </row>
    <row r="26" spans="1:3" x14ac:dyDescent="0.25">
      <c r="A26" t="s">
        <v>364</v>
      </c>
      <c r="B26" s="21" t="str">
        <f t="shared" si="0"/>
        <v>2016/12/14 15:38:00.143</v>
      </c>
      <c r="C26" s="21">
        <f t="shared" si="1"/>
        <v>7.87033059168607E-7</v>
      </c>
    </row>
    <row r="27" spans="1:3" x14ac:dyDescent="0.25">
      <c r="A27" t="s">
        <v>365</v>
      </c>
      <c r="B27" s="21" t="str">
        <f t="shared" si="0"/>
        <v>2016/12/14 16:31:06.806</v>
      </c>
      <c r="C27" s="21">
        <f t="shared" si="1"/>
        <v>3.6882673615764361E-2</v>
      </c>
    </row>
    <row r="28" spans="1:3" x14ac:dyDescent="0.25">
      <c r="A28" t="s">
        <v>366</v>
      </c>
      <c r="B28" s="21" t="str">
        <f t="shared" si="0"/>
        <v>2016/12/14 16:31:07.049</v>
      </c>
      <c r="C28" s="21">
        <f t="shared" si="1"/>
        <v>2.8124995878897607E-6</v>
      </c>
    </row>
    <row r="29" spans="1:3" x14ac:dyDescent="0.25">
      <c r="A29" t="s">
        <v>367</v>
      </c>
      <c r="B29" s="21" t="str">
        <f t="shared" si="0"/>
        <v>2016/12/14 16:31:07.416</v>
      </c>
      <c r="C29" s="21">
        <f t="shared" si="1"/>
        <v>4.2476822272874415E-6</v>
      </c>
    </row>
    <row r="30" spans="1:3" x14ac:dyDescent="0.25">
      <c r="A30" t="s">
        <v>368</v>
      </c>
      <c r="B30" s="21" t="str">
        <f t="shared" si="0"/>
        <v>2016/12/14 16:31:44.840</v>
      </c>
      <c r="C30" s="21">
        <f t="shared" si="1"/>
        <v>4.331481468398124E-4</v>
      </c>
    </row>
    <row r="31" spans="1:3" x14ac:dyDescent="0.25">
      <c r="A31" t="s">
        <v>369</v>
      </c>
      <c r="B31" s="21" t="str">
        <f t="shared" si="0"/>
        <v>2016/12/14 16:37:12.664</v>
      </c>
      <c r="C31" s="21">
        <f t="shared" si="1"/>
        <v>3.7942592607578263E-3</v>
      </c>
    </row>
    <row r="32" spans="1:3" x14ac:dyDescent="0.25">
      <c r="A32" t="s">
        <v>370</v>
      </c>
      <c r="B32" s="21" t="str">
        <f t="shared" si="0"/>
        <v>2016/12/14 16:54:03.388</v>
      </c>
      <c r="C32" s="21">
        <f t="shared" si="1"/>
        <v>1.1698194444761612E-2</v>
      </c>
    </row>
    <row r="33" spans="1:3" x14ac:dyDescent="0.25">
      <c r="A33" t="s">
        <v>371</v>
      </c>
      <c r="B33" s="21" t="str">
        <f t="shared" si="0"/>
        <v>2016/12/14 17:27:14.441</v>
      </c>
      <c r="C33" s="21">
        <f t="shared" si="1"/>
        <v>2.3044594905513804E-2</v>
      </c>
    </row>
    <row r="34" spans="1:3" x14ac:dyDescent="0.25">
      <c r="A34" t="s">
        <v>372</v>
      </c>
      <c r="B34" s="21" t="str">
        <f t="shared" si="0"/>
        <v>2016/12/14 17:27:15.071</v>
      </c>
      <c r="C34" s="21">
        <f t="shared" si="1"/>
        <v>7.2916664066724479E-6</v>
      </c>
    </row>
    <row r="35" spans="1:3" x14ac:dyDescent="0.25">
      <c r="A35" t="s">
        <v>373</v>
      </c>
      <c r="B35" s="21" t="str">
        <f t="shared" si="0"/>
        <v>2016/12/14 17:27:15.462</v>
      </c>
      <c r="C35" s="21">
        <f t="shared" si="1"/>
        <v>4.5254637370817363E-6</v>
      </c>
    </row>
    <row r="36" spans="1:3" x14ac:dyDescent="0.25">
      <c r="A36" t="s">
        <v>374</v>
      </c>
      <c r="B36" s="21" t="str">
        <f t="shared" si="0"/>
        <v>2016/12/14 17:34:00.303</v>
      </c>
      <c r="C36" s="21">
        <f t="shared" si="1"/>
        <v>4.6856597255100496E-3</v>
      </c>
    </row>
    <row r="37" spans="1:3" x14ac:dyDescent="0.25">
      <c r="A37" t="s">
        <v>375</v>
      </c>
      <c r="B37" s="21" t="str">
        <f t="shared" si="0"/>
        <v>2016/12/14 17:34:00.386</v>
      </c>
      <c r="C37" s="21">
        <f t="shared" si="1"/>
        <v>9.6064468380063772E-7</v>
      </c>
    </row>
    <row r="38" spans="1:3" x14ac:dyDescent="0.25">
      <c r="A38" t="s">
        <v>376</v>
      </c>
      <c r="B38" s="21" t="str">
        <f t="shared" si="0"/>
        <v>2016/12/14 17:34:00.993</v>
      </c>
      <c r="C38" s="21">
        <f t="shared" si="1"/>
        <v>7.0254682213999331E-6</v>
      </c>
    </row>
    <row r="39" spans="1:3" x14ac:dyDescent="0.25">
      <c r="A39" t="s">
        <v>377</v>
      </c>
      <c r="B39" s="21" t="str">
        <f t="shared" si="0"/>
        <v>2016/12/14 17:36:14.708</v>
      </c>
      <c r="C39" s="21">
        <f t="shared" si="1"/>
        <v>1.5476273110834882E-3</v>
      </c>
    </row>
    <row r="40" spans="1:3" x14ac:dyDescent="0.25">
      <c r="A40" t="s">
        <v>378</v>
      </c>
      <c r="B40" s="21" t="str">
        <f t="shared" si="0"/>
        <v>2016/12/14 17:36:14.845</v>
      </c>
      <c r="C40" s="21">
        <f t="shared" si="1"/>
        <v>1.585649442858994E-6</v>
      </c>
    </row>
    <row r="41" spans="1:3" x14ac:dyDescent="0.25">
      <c r="A41" t="s">
        <v>379</v>
      </c>
      <c r="B41" s="21" t="str">
        <f t="shared" si="0"/>
        <v>2016/12/14 17:52:35.665</v>
      </c>
      <c r="C41" s="21">
        <f t="shared" si="1"/>
        <v>1.1352083332894836E-2</v>
      </c>
    </row>
    <row r="42" spans="1:3" x14ac:dyDescent="0.25">
      <c r="A42" t="s">
        <v>380</v>
      </c>
      <c r="B42" s="21" t="str">
        <f t="shared" si="0"/>
        <v>2016/12/14 17:52:36.716</v>
      </c>
      <c r="C42" s="21">
        <f t="shared" si="1"/>
        <v>1.2164353393018246E-5</v>
      </c>
    </row>
    <row r="43" spans="1:3" x14ac:dyDescent="0.25">
      <c r="A43" t="s">
        <v>381</v>
      </c>
      <c r="B43" s="21" t="str">
        <f t="shared" si="0"/>
        <v>2016/12/14 18:01:02.988</v>
      </c>
      <c r="C43" s="21">
        <f t="shared" si="1"/>
        <v>5.859629629412666E-3</v>
      </c>
    </row>
    <row r="44" spans="1:3" x14ac:dyDescent="0.25">
      <c r="A44" t="s">
        <v>382</v>
      </c>
      <c r="B44" s="21" t="str">
        <f t="shared" si="0"/>
        <v>2016/12/14 18:01:03.161</v>
      </c>
      <c r="C44" s="21">
        <f t="shared" si="1"/>
        <v>2.0023144315928221E-6</v>
      </c>
    </row>
    <row r="45" spans="1:3" x14ac:dyDescent="0.25">
      <c r="A45" t="s">
        <v>383</v>
      </c>
      <c r="B45" s="21" t="str">
        <f t="shared" si="0"/>
        <v>2016/12/14 18:01:03.821</v>
      </c>
      <c r="C45" s="21">
        <f t="shared" si="1"/>
        <v>7.6388896559365094E-6</v>
      </c>
    </row>
    <row r="46" spans="1:3" x14ac:dyDescent="0.25">
      <c r="A46" t="s">
        <v>384</v>
      </c>
      <c r="B46" s="21" t="str">
        <f t="shared" si="0"/>
        <v>2016/12/14 18:08:47.821</v>
      </c>
      <c r="C46" s="21">
        <f t="shared" si="1"/>
        <v>5.3703703670180403E-3</v>
      </c>
    </row>
    <row r="47" spans="1:3" x14ac:dyDescent="0.25">
      <c r="A47" t="s">
        <v>385</v>
      </c>
      <c r="B47" s="21" t="str">
        <f t="shared" si="0"/>
        <v>2016/12/14 18:08:47.981</v>
      </c>
      <c r="C47" s="21">
        <f t="shared" si="1"/>
        <v>1.851854904089123E-6</v>
      </c>
    </row>
    <row r="48" spans="1:3" x14ac:dyDescent="0.25">
      <c r="A48" t="s">
        <v>386</v>
      </c>
      <c r="B48" s="21" t="str">
        <f t="shared" si="0"/>
        <v>2016/12/14 18:08:48.151</v>
      </c>
      <c r="C48" s="21">
        <f t="shared" si="1"/>
        <v>1.9675935618579388E-6</v>
      </c>
    </row>
    <row r="49" spans="1:3" x14ac:dyDescent="0.25">
      <c r="A49" t="s">
        <v>387</v>
      </c>
      <c r="B49" s="21" t="str">
        <f t="shared" si="0"/>
        <v>2016/12/14 18:49:32.997</v>
      </c>
      <c r="C49" s="21">
        <f t="shared" si="1"/>
        <v>2.8296828699239995E-2</v>
      </c>
    </row>
    <row r="50" spans="1:3" x14ac:dyDescent="0.25">
      <c r="A50" t="s">
        <v>388</v>
      </c>
      <c r="B50" s="21" t="str">
        <f t="shared" si="0"/>
        <v>2016/12/14 18:51:08.610</v>
      </c>
      <c r="C50" s="21">
        <f t="shared" si="1"/>
        <v>1.10663194936933E-3</v>
      </c>
    </row>
    <row r="51" spans="1:3" x14ac:dyDescent="0.25">
      <c r="A51" t="s">
        <v>389</v>
      </c>
      <c r="B51" s="21" t="str">
        <f t="shared" si="0"/>
        <v>2016/12/14 18:53:47.083</v>
      </c>
      <c r="C51" s="21">
        <f t="shared" si="1"/>
        <v>1.8341782415518537E-3</v>
      </c>
    </row>
    <row r="52" spans="1:3" x14ac:dyDescent="0.25">
      <c r="A52" t="s">
        <v>390</v>
      </c>
      <c r="B52" s="21" t="str">
        <f t="shared" si="0"/>
        <v>2016/12/14 18:53:47.432</v>
      </c>
      <c r="C52" s="21">
        <f t="shared" si="1"/>
        <v>4.0393497329205275E-6</v>
      </c>
    </row>
    <row r="53" spans="1:3" x14ac:dyDescent="0.25">
      <c r="A53" t="s">
        <v>391</v>
      </c>
      <c r="B53" s="21" t="str">
        <f t="shared" ref="B53:B80" si="2">MID(A53,6,23)</f>
        <v>2016/12/14 18:53:47.463</v>
      </c>
      <c r="C53" s="21">
        <f t="shared" ref="C53:C80" si="3">ABS(B53-B52)</f>
        <v>3.587920218706131E-7</v>
      </c>
    </row>
    <row r="54" spans="1:3" x14ac:dyDescent="0.25">
      <c r="A54" t="s">
        <v>392</v>
      </c>
      <c r="B54" s="21" t="str">
        <f t="shared" si="2"/>
        <v>2016/12/14 18:56:13.431</v>
      </c>
      <c r="C54" s="21">
        <f t="shared" si="3"/>
        <v>1.6894444488571025E-3</v>
      </c>
    </row>
    <row r="55" spans="1:3" x14ac:dyDescent="0.25">
      <c r="A55" t="s">
        <v>393</v>
      </c>
      <c r="B55" s="21" t="str">
        <f t="shared" si="2"/>
        <v>2016/12/14 19:04:10.481</v>
      </c>
      <c r="C55" s="21">
        <f t="shared" si="3"/>
        <v>5.5214120366144925E-3</v>
      </c>
    </row>
    <row r="56" spans="1:3" x14ac:dyDescent="0.25">
      <c r="A56" t="s">
        <v>394</v>
      </c>
      <c r="B56" s="21" t="str">
        <f t="shared" si="2"/>
        <v>2016/12/14 19:20:19.060</v>
      </c>
      <c r="C56" s="21">
        <f t="shared" si="3"/>
        <v>1.1210405093152076E-2</v>
      </c>
    </row>
    <row r="57" spans="1:3" x14ac:dyDescent="0.25">
      <c r="A57" t="s">
        <v>395</v>
      </c>
      <c r="B57" s="21" t="str">
        <f t="shared" si="2"/>
        <v>2016/12/14 19:20:19.434</v>
      </c>
      <c r="C57" s="21">
        <f t="shared" si="3"/>
        <v>4.3287000153213739E-6</v>
      </c>
    </row>
    <row r="58" spans="1:3" x14ac:dyDescent="0.25">
      <c r="A58" t="s">
        <v>396</v>
      </c>
      <c r="B58" s="21" t="str">
        <f t="shared" si="2"/>
        <v>2016/12/14 19:20:21.373</v>
      </c>
      <c r="C58" s="21">
        <f t="shared" si="3"/>
        <v>2.2442131012212485E-5</v>
      </c>
    </row>
    <row r="59" spans="1:3" x14ac:dyDescent="0.25">
      <c r="A59" t="s">
        <v>397</v>
      </c>
      <c r="B59" s="21" t="str">
        <f t="shared" si="2"/>
        <v>2016/12/14 19:26:14.284</v>
      </c>
      <c r="C59" s="21">
        <f t="shared" si="3"/>
        <v>4.0846180563676171E-3</v>
      </c>
    </row>
    <row r="60" spans="1:3" x14ac:dyDescent="0.25">
      <c r="A60" t="s">
        <v>398</v>
      </c>
      <c r="B60" s="21" t="str">
        <f t="shared" si="2"/>
        <v>2016/12/14 19:26:14.954</v>
      </c>
      <c r="C60" s="21">
        <f t="shared" si="3"/>
        <v>7.7546283137053251E-6</v>
      </c>
    </row>
    <row r="61" spans="1:3" x14ac:dyDescent="0.25">
      <c r="A61" t="s">
        <v>399</v>
      </c>
      <c r="B61" s="21" t="str">
        <f t="shared" si="2"/>
        <v>2016/12/14 19:26:15.397</v>
      </c>
      <c r="C61" s="21">
        <f t="shared" si="3"/>
        <v>5.127316399011761E-6</v>
      </c>
    </row>
    <row r="62" spans="1:3" x14ac:dyDescent="0.25">
      <c r="A62" t="s">
        <v>400</v>
      </c>
      <c r="B62" s="21" t="str">
        <f t="shared" si="2"/>
        <v>2016/12/14 19:27:45.954</v>
      </c>
      <c r="C62" s="21">
        <f t="shared" si="3"/>
        <v>1.0481134231667966E-3</v>
      </c>
    </row>
    <row r="63" spans="1:3" x14ac:dyDescent="0.25">
      <c r="A63" t="s">
        <v>401</v>
      </c>
      <c r="B63" s="21" t="str">
        <f t="shared" si="2"/>
        <v>2016/12/14 19:27:46.275</v>
      </c>
      <c r="C63" s="21">
        <f t="shared" si="3"/>
        <v>3.7152785807847977E-6</v>
      </c>
    </row>
    <row r="64" spans="1:3" x14ac:dyDescent="0.25">
      <c r="A64" t="s">
        <v>402</v>
      </c>
      <c r="B64" s="21" t="str">
        <f t="shared" si="2"/>
        <v>2016/12/14 19:27:46.397</v>
      </c>
      <c r="C64" s="21">
        <f t="shared" si="3"/>
        <v>1.4120378182269633E-6</v>
      </c>
    </row>
    <row r="65" spans="1:3" x14ac:dyDescent="0.25">
      <c r="A65" t="s">
        <v>403</v>
      </c>
      <c r="B65" s="21" t="str">
        <f t="shared" si="2"/>
        <v>2016/12/14 20:03:30.075</v>
      </c>
      <c r="C65" s="21">
        <f t="shared" si="3"/>
        <v>2.481108796200715E-2</v>
      </c>
    </row>
    <row r="66" spans="1:3" x14ac:dyDescent="0.25">
      <c r="A66" t="s">
        <v>404</v>
      </c>
      <c r="B66" s="21" t="str">
        <f t="shared" si="2"/>
        <v>2016/12/14 20:03:34.474</v>
      </c>
      <c r="C66" s="21">
        <f t="shared" si="3"/>
        <v>5.0914350140374154E-5</v>
      </c>
    </row>
    <row r="67" spans="1:3" x14ac:dyDescent="0.25">
      <c r="A67" t="s">
        <v>405</v>
      </c>
      <c r="B67" s="21" t="str">
        <f t="shared" si="2"/>
        <v>2016/12/14 20:03:34.634</v>
      </c>
      <c r="C67" s="21">
        <f t="shared" si="3"/>
        <v>1.851854904089123E-6</v>
      </c>
    </row>
    <row r="68" spans="1:3" x14ac:dyDescent="0.25">
      <c r="A68" t="s">
        <v>406</v>
      </c>
      <c r="B68" s="21" t="str">
        <f t="shared" si="2"/>
        <v>2016/12/14 21:05:09.276</v>
      </c>
      <c r="C68" s="21">
        <f t="shared" si="3"/>
        <v>4.2762060184031725E-2</v>
      </c>
    </row>
    <row r="69" spans="1:3" x14ac:dyDescent="0.25">
      <c r="A69" t="s">
        <v>407</v>
      </c>
      <c r="B69" s="21" t="str">
        <f t="shared" si="2"/>
        <v>2016/12/14 21:48:54.478</v>
      </c>
      <c r="C69" s="21">
        <f t="shared" si="3"/>
        <v>3.0384282406885177E-2</v>
      </c>
    </row>
    <row r="70" spans="1:3" x14ac:dyDescent="0.25">
      <c r="A70" t="s">
        <v>408</v>
      </c>
      <c r="B70" s="21" t="str">
        <f t="shared" si="2"/>
        <v>2016/12/14 21:48:54.641</v>
      </c>
      <c r="C70" s="21">
        <f t="shared" si="3"/>
        <v>1.8865757738240063E-6</v>
      </c>
    </row>
    <row r="71" spans="1:3" x14ac:dyDescent="0.25">
      <c r="A71" t="s">
        <v>409</v>
      </c>
      <c r="B71" s="21" t="str">
        <f t="shared" si="2"/>
        <v>2016/12/14 21:48:55.069</v>
      </c>
      <c r="C71" s="21">
        <f t="shared" si="3"/>
        <v>4.9537047743797302E-6</v>
      </c>
    </row>
    <row r="72" spans="1:3" x14ac:dyDescent="0.25">
      <c r="A72" t="s">
        <v>410</v>
      </c>
      <c r="B72" s="21" t="str">
        <f t="shared" si="2"/>
        <v>2016/12/14 22:48:51.273</v>
      </c>
      <c r="C72" s="21">
        <f t="shared" si="3"/>
        <v>4.1622731478128117E-2</v>
      </c>
    </row>
    <row r="73" spans="1:3" x14ac:dyDescent="0.25">
      <c r="A73" t="s">
        <v>411</v>
      </c>
      <c r="B73" s="21" t="str">
        <f t="shared" si="2"/>
        <v>2016/12/14 22:48:51.958</v>
      </c>
      <c r="C73" s="21">
        <f t="shared" si="3"/>
        <v>7.9282399383373559E-6</v>
      </c>
    </row>
    <row r="74" spans="1:3" x14ac:dyDescent="0.25">
      <c r="A74" t="s">
        <v>412</v>
      </c>
      <c r="B74" s="21" t="str">
        <f t="shared" si="2"/>
        <v>2016/12/14 22:48:52.396</v>
      </c>
      <c r="C74" s="21">
        <f t="shared" si="3"/>
        <v>5.0694507081061602E-6</v>
      </c>
    </row>
    <row r="75" spans="1:3" x14ac:dyDescent="0.25">
      <c r="A75" t="s">
        <v>413</v>
      </c>
      <c r="B75" s="21" t="str">
        <f t="shared" si="2"/>
        <v>2016/12/14 23:41:59.135</v>
      </c>
      <c r="C75" s="21">
        <f t="shared" si="3"/>
        <v>3.688355323538417E-2</v>
      </c>
    </row>
    <row r="76" spans="1:3" x14ac:dyDescent="0.25">
      <c r="A76" t="s">
        <v>414</v>
      </c>
      <c r="B76" s="21" t="str">
        <f t="shared" si="2"/>
        <v>2016/12/14 23:41:59.475</v>
      </c>
      <c r="C76" s="21">
        <f t="shared" si="3"/>
        <v>3.9351871237158775E-6</v>
      </c>
    </row>
    <row r="77" spans="1:3" x14ac:dyDescent="0.25">
      <c r="A77" t="s">
        <v>415</v>
      </c>
      <c r="B77" s="21" t="str">
        <f t="shared" si="2"/>
        <v>2016/12/14 23:42:01.118</v>
      </c>
      <c r="C77" s="21">
        <f t="shared" si="3"/>
        <v>1.9016202713828534E-5</v>
      </c>
    </row>
    <row r="78" spans="1:3" x14ac:dyDescent="0.25">
      <c r="A78" t="s">
        <v>416</v>
      </c>
      <c r="B78" s="21" t="str">
        <f t="shared" si="2"/>
        <v>2016/12/14 23:42:41.456</v>
      </c>
      <c r="C78" s="21">
        <f t="shared" si="3"/>
        <v>4.6687500434927642E-4</v>
      </c>
    </row>
    <row r="79" spans="1:3" x14ac:dyDescent="0.25">
      <c r="A79" t="s">
        <v>417</v>
      </c>
      <c r="B79" s="21" t="str">
        <f t="shared" si="2"/>
        <v>2016/12/14 23:42:42.111</v>
      </c>
      <c r="C79" s="21">
        <f t="shared" si="3"/>
        <v>7.5810166890732944E-6</v>
      </c>
    </row>
    <row r="80" spans="1:3" x14ac:dyDescent="0.25">
      <c r="A80" t="s">
        <v>418</v>
      </c>
      <c r="B80" s="21" t="str">
        <f t="shared" si="2"/>
        <v>2016/12/14 23:42:42.124</v>
      </c>
      <c r="C80" s="21">
        <f t="shared" si="3"/>
        <v>1.5045952750369906E-7</v>
      </c>
    </row>
    <row r="81" spans="1:3" x14ac:dyDescent="0.25">
      <c r="A81" t="s">
        <v>419</v>
      </c>
      <c r="B81" s="21" t="str">
        <f t="shared" ref="B81:B85" si="4">MID(A81,6,23)</f>
        <v>2016/12/14 23:51:34.620</v>
      </c>
      <c r="C81" s="21">
        <f t="shared" ref="C81:C85" si="5">ABS(B81-B80)</f>
        <v>6.1631481512449682E-3</v>
      </c>
    </row>
    <row r="82" spans="1:3" x14ac:dyDescent="0.25">
      <c r="A82" t="s">
        <v>420</v>
      </c>
      <c r="B82" s="21" t="str">
        <f t="shared" si="4"/>
        <v>2016/12/14 23:52:14.619</v>
      </c>
      <c r="C82" s="21">
        <f t="shared" si="5"/>
        <v>4.629513859981671E-4</v>
      </c>
    </row>
    <row r="83" spans="1:3" x14ac:dyDescent="0.25">
      <c r="A83" t="s">
        <v>421</v>
      </c>
      <c r="B83" s="21" t="str">
        <f t="shared" si="4"/>
        <v>2016/12/15 00:19:51.666</v>
      </c>
      <c r="C83" s="21">
        <f t="shared" si="5"/>
        <v>1.9178784721589182E-2</v>
      </c>
    </row>
    <row r="84" spans="1:3" x14ac:dyDescent="0.25">
      <c r="A84" t="s">
        <v>422</v>
      </c>
      <c r="B84" s="21" t="str">
        <f t="shared" si="4"/>
        <v>2016/12/15 00:19:51.712</v>
      </c>
      <c r="C84" s="21">
        <f t="shared" si="5"/>
        <v>5.3241092246025801E-7</v>
      </c>
    </row>
    <row r="85" spans="1:3" x14ac:dyDescent="0.25">
      <c r="A85" t="s">
        <v>423</v>
      </c>
      <c r="B85" s="21" t="str">
        <f t="shared" si="4"/>
        <v>2016/12/15 00:19:52.465</v>
      </c>
      <c r="C85" s="21">
        <f t="shared" si="5"/>
        <v>8.715280273463577E-6</v>
      </c>
    </row>
    <row r="86" spans="1:3" x14ac:dyDescent="0.25">
      <c r="A86" t="s">
        <v>424</v>
      </c>
      <c r="B86" s="21" t="str">
        <f t="shared" ref="B86:B111" si="6">MID(A86,6,23)</f>
        <v>2016/12/15 01:03:25.592</v>
      </c>
      <c r="C86" s="21">
        <f t="shared" ref="C86:C111" si="7">ABS(B86-B85)</f>
        <v>3.0244525456510019E-2</v>
      </c>
    </row>
    <row r="87" spans="1:3" x14ac:dyDescent="0.25">
      <c r="A87" t="s">
        <v>425</v>
      </c>
      <c r="B87" s="21" t="str">
        <f t="shared" si="6"/>
        <v>2016/12/15 01:03:25.882</v>
      </c>
      <c r="C87" s="21">
        <f t="shared" si="7"/>
        <v>3.3564865589141846E-6</v>
      </c>
    </row>
    <row r="88" spans="1:3" x14ac:dyDescent="0.25">
      <c r="A88" t="s">
        <v>426</v>
      </c>
      <c r="B88" s="21" t="str">
        <f t="shared" si="6"/>
        <v>2016/12/15 01:03:26.126</v>
      </c>
      <c r="C88" s="21">
        <f t="shared" si="7"/>
        <v>2.8240756364539266E-6</v>
      </c>
    </row>
    <row r="89" spans="1:3" x14ac:dyDescent="0.25">
      <c r="A89" t="s">
        <v>427</v>
      </c>
      <c r="B89" s="21" t="str">
        <f t="shared" si="6"/>
        <v>2016/12/15 02:06:46.998</v>
      </c>
      <c r="C89" s="21">
        <f t="shared" si="7"/>
        <v>4.3991574071696959E-2</v>
      </c>
    </row>
    <row r="90" spans="1:3" x14ac:dyDescent="0.25">
      <c r="A90" t="s">
        <v>428</v>
      </c>
      <c r="B90" s="21" t="str">
        <f t="shared" si="6"/>
        <v>2016/12/15 02:33:01.023</v>
      </c>
      <c r="C90" s="21">
        <f t="shared" si="7"/>
        <v>1.8217881945020054E-2</v>
      </c>
    </row>
    <row r="91" spans="1:3" x14ac:dyDescent="0.25">
      <c r="A91" t="s">
        <v>429</v>
      </c>
      <c r="B91" s="21" t="str">
        <f t="shared" si="6"/>
        <v>2016/12/15 02:48:08.893</v>
      </c>
      <c r="C91" s="21">
        <f t="shared" si="7"/>
        <v>1.0507754624995869E-2</v>
      </c>
    </row>
    <row r="92" spans="1:3" x14ac:dyDescent="0.25">
      <c r="A92" t="s">
        <v>430</v>
      </c>
      <c r="B92" s="21" t="str">
        <f t="shared" si="6"/>
        <v>2016/12/15 02:48:09.133</v>
      </c>
      <c r="C92" s="21">
        <f t="shared" si="7"/>
        <v>2.7777787181548774E-6</v>
      </c>
    </row>
    <row r="93" spans="1:3" x14ac:dyDescent="0.25">
      <c r="A93" t="s">
        <v>431</v>
      </c>
      <c r="B93" s="21" t="str">
        <f t="shared" si="6"/>
        <v>2016/12/15 02:48:09.600</v>
      </c>
      <c r="C93" s="21">
        <f t="shared" si="7"/>
        <v>5.4050979088060558E-6</v>
      </c>
    </row>
    <row r="94" spans="1:3" x14ac:dyDescent="0.25">
      <c r="A94" t="s">
        <v>432</v>
      </c>
      <c r="B94" s="21" t="str">
        <f t="shared" si="6"/>
        <v>2016/12/15 03:33:30.993</v>
      </c>
      <c r="C94" s="21">
        <f t="shared" si="7"/>
        <v>3.1497604162723292E-2</v>
      </c>
    </row>
    <row r="95" spans="1:3" x14ac:dyDescent="0.25">
      <c r="A95" t="s">
        <v>433</v>
      </c>
      <c r="B95" s="21" t="str">
        <f t="shared" si="6"/>
        <v>2016/12/15 03:33:31.394</v>
      </c>
      <c r="C95" s="21">
        <f t="shared" si="7"/>
        <v>4.6412023948505521E-6</v>
      </c>
    </row>
    <row r="96" spans="1:3" x14ac:dyDescent="0.25">
      <c r="A96" t="s">
        <v>434</v>
      </c>
      <c r="B96" s="21" t="str">
        <f t="shared" si="6"/>
        <v>2016/12/15 03:55:06.113</v>
      </c>
      <c r="C96" s="21">
        <f t="shared" si="7"/>
        <v>1.4985173613240477E-2</v>
      </c>
    </row>
    <row r="97" spans="1:3" x14ac:dyDescent="0.25">
      <c r="A97" t="s">
        <v>435</v>
      </c>
      <c r="B97" s="21" t="str">
        <f t="shared" si="6"/>
        <v>2016/12/15 03:55:06.458</v>
      </c>
      <c r="C97" s="21">
        <f t="shared" si="7"/>
        <v>3.9930528146214783E-6</v>
      </c>
    </row>
    <row r="98" spans="1:3" x14ac:dyDescent="0.25">
      <c r="A98" t="s">
        <v>436</v>
      </c>
      <c r="B98" s="21" t="str">
        <f t="shared" si="6"/>
        <v>2016/12/15 04:10:06.205</v>
      </c>
      <c r="C98" s="21">
        <f t="shared" si="7"/>
        <v>1.0413738425995689E-2</v>
      </c>
    </row>
    <row r="99" spans="1:3" x14ac:dyDescent="0.25">
      <c r="A99" t="s">
        <v>437</v>
      </c>
      <c r="B99" s="21" t="str">
        <f t="shared" si="6"/>
        <v>2016/12/15 04:10:06.428</v>
      </c>
      <c r="C99" s="21">
        <f t="shared" si="7"/>
        <v>2.5810222723521292E-6</v>
      </c>
    </row>
    <row r="100" spans="1:3" x14ac:dyDescent="0.25">
      <c r="A100" t="s">
        <v>438</v>
      </c>
      <c r="B100" s="21" t="str">
        <f t="shared" si="6"/>
        <v>2016/12/15 04:36:28.698</v>
      </c>
      <c r="C100" s="21">
        <f t="shared" si="7"/>
        <v>1.831331018183846E-2</v>
      </c>
    </row>
    <row r="101" spans="1:3" x14ac:dyDescent="0.25">
      <c r="A101" t="s">
        <v>439</v>
      </c>
      <c r="B101" s="21" t="str">
        <f t="shared" si="6"/>
        <v>2016/12/15 04:36:28.792</v>
      </c>
      <c r="C101" s="21">
        <f t="shared" si="7"/>
        <v>1.0879666660912335E-6</v>
      </c>
    </row>
    <row r="102" spans="1:3" x14ac:dyDescent="0.25">
      <c r="A102" t="s">
        <v>440</v>
      </c>
      <c r="B102" s="21" t="str">
        <f t="shared" si="6"/>
        <v>2016/12/15 04:36:28.835</v>
      </c>
      <c r="C102" s="21">
        <f t="shared" si="7"/>
        <v>4.9768277676776052E-7</v>
      </c>
    </row>
    <row r="103" spans="1:3" x14ac:dyDescent="0.25">
      <c r="A103" t="s">
        <v>441</v>
      </c>
      <c r="B103" s="21" t="str">
        <f t="shared" si="6"/>
        <v>2016/12/15 05:30:06.715</v>
      </c>
      <c r="C103" s="21">
        <f t="shared" si="7"/>
        <v>3.7243981481879018E-2</v>
      </c>
    </row>
    <row r="104" spans="1:3" x14ac:dyDescent="0.25">
      <c r="A104" t="s">
        <v>442</v>
      </c>
      <c r="B104" s="21" t="str">
        <f t="shared" si="6"/>
        <v>2016/12/15 05:30:06.807</v>
      </c>
      <c r="C104" s="21">
        <f t="shared" si="7"/>
        <v>1.0648145689629018E-6</v>
      </c>
    </row>
    <row r="105" spans="1:3" x14ac:dyDescent="0.25">
      <c r="A105" t="s">
        <v>443</v>
      </c>
      <c r="B105" s="21" t="str">
        <f t="shared" si="6"/>
        <v>2016/12/15 05:30:06.852</v>
      </c>
      <c r="C105" s="21">
        <f t="shared" si="7"/>
        <v>5.2083487389609218E-7</v>
      </c>
    </row>
    <row r="106" spans="1:3" x14ac:dyDescent="0.25">
      <c r="A106" t="s">
        <v>444</v>
      </c>
      <c r="B106" s="21" t="str">
        <f t="shared" si="6"/>
        <v>2016/12/15 06:29:05.594</v>
      </c>
      <c r="C106" s="21">
        <f t="shared" si="7"/>
        <v>4.0957662036817055E-2</v>
      </c>
    </row>
    <row r="107" spans="1:3" x14ac:dyDescent="0.25">
      <c r="A107" t="s">
        <v>445</v>
      </c>
      <c r="B107" s="21" t="str">
        <f t="shared" si="6"/>
        <v>2016/12/15 06:29:05.877</v>
      </c>
      <c r="C107" s="21">
        <f t="shared" si="7"/>
        <v>3.2754614949226379E-6</v>
      </c>
    </row>
    <row r="108" spans="1:3" x14ac:dyDescent="0.25">
      <c r="A108" t="s">
        <v>446</v>
      </c>
      <c r="B108" s="21" t="str">
        <f t="shared" si="6"/>
        <v>2016/12/15 06:29:06.133</v>
      </c>
      <c r="C108" s="21">
        <f t="shared" si="7"/>
        <v>2.962966391351074E-6</v>
      </c>
    </row>
    <row r="109" spans="1:3" x14ac:dyDescent="0.25">
      <c r="A109" t="s">
        <v>447</v>
      </c>
      <c r="B109" s="21" t="str">
        <f t="shared" si="6"/>
        <v>2016/12/15 08:03:31.211</v>
      </c>
      <c r="C109" s="21">
        <f t="shared" si="7"/>
        <v>6.5568032405280974E-2</v>
      </c>
    </row>
    <row r="110" spans="1:3" x14ac:dyDescent="0.25">
      <c r="A110" t="s">
        <v>448</v>
      </c>
      <c r="B110" s="21" t="str">
        <f t="shared" si="6"/>
        <v>2016/12/15 08:03:31.442</v>
      </c>
      <c r="C110" s="21">
        <f t="shared" si="7"/>
        <v>2.6736088329926133E-6</v>
      </c>
    </row>
    <row r="111" spans="1:3" x14ac:dyDescent="0.25">
      <c r="A111" t="s">
        <v>449</v>
      </c>
      <c r="B111" s="21" t="str">
        <f t="shared" si="6"/>
        <v>2016/12/15 08:03:32.067</v>
      </c>
      <c r="C111" s="21">
        <f t="shared" si="7"/>
        <v>7.2338007157668471E-6</v>
      </c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2016-12-20T16:50:39Z</dcterms:modified>
</cp:coreProperties>
</file>