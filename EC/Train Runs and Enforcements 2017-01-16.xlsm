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Enforcements!$A$6:$AC$38</definedName>
    <definedName name="_xlnm._FilterDatabase" localSheetId="2" hidden="1">'Missing Trips'!$A$2:$J$137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4" i="1" l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S23" i="3" s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S28" i="3" s="1"/>
  <c r="V186" i="1"/>
  <c r="V187" i="1"/>
  <c r="V188" i="1"/>
  <c r="V189" i="1"/>
  <c r="V190" i="1"/>
  <c r="V191" i="1"/>
  <c r="V192" i="1"/>
  <c r="V193" i="1"/>
  <c r="S24" i="3" s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13" i="1"/>
  <c r="S10" i="3"/>
  <c r="S16" i="3"/>
  <c r="S22" i="3"/>
  <c r="S25" i="3"/>
  <c r="S34" i="3"/>
  <c r="M23" i="5"/>
  <c r="K14" i="1"/>
  <c r="L14" i="1"/>
  <c r="M14" i="1"/>
  <c r="N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Y15" i="1"/>
  <c r="AA15" i="1" s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Y18" i="1"/>
  <c r="Z18" i="1"/>
  <c r="AA18" i="1"/>
  <c r="W18" i="1" s="1"/>
  <c r="AB18" i="1"/>
  <c r="AC18" i="1"/>
  <c r="AD18" i="1"/>
  <c r="T18" i="1" s="1"/>
  <c r="AE18" i="1"/>
  <c r="AF18" i="1"/>
  <c r="AG18" i="1"/>
  <c r="AH18" i="1"/>
  <c r="AI18" i="1"/>
  <c r="AM18" i="1"/>
  <c r="AN18" i="1"/>
  <c r="K19" i="1"/>
  <c r="L19" i="1"/>
  <c r="M19" i="1"/>
  <c r="N19" i="1" s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Y21" i="1"/>
  <c r="Z21" i="1"/>
  <c r="AA21" i="1" s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T27" i="1"/>
  <c r="X27" i="1"/>
  <c r="Y27" i="1"/>
  <c r="Z27" i="1"/>
  <c r="AB27" i="1"/>
  <c r="AC27" i="1"/>
  <c r="AD27" i="1"/>
  <c r="AE27" i="1"/>
  <c r="AF27" i="1"/>
  <c r="AG27" i="1"/>
  <c r="AH27" i="1"/>
  <c r="AM27" i="1"/>
  <c r="AN27" i="1"/>
  <c r="K28" i="1"/>
  <c r="L28" i="1"/>
  <c r="M28" i="1"/>
  <c r="N28" i="1" s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Y31" i="1"/>
  <c r="Z31" i="1"/>
  <c r="AB31" i="1"/>
  <c r="AC31" i="1"/>
  <c r="AD31" i="1"/>
  <c r="T31" i="1" s="1"/>
  <c r="AE31" i="1"/>
  <c r="AF31" i="1"/>
  <c r="AG31" i="1"/>
  <c r="AH31" i="1"/>
  <c r="AM31" i="1"/>
  <c r="AN31" i="1"/>
  <c r="K32" i="1"/>
  <c r="L32" i="1"/>
  <c r="M32" i="1"/>
  <c r="N32" i="1" s="1"/>
  <c r="S11" i="3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Y34" i="1"/>
  <c r="AA34" i="1" s="1"/>
  <c r="W34" i="1" s="1"/>
  <c r="Z34" i="1"/>
  <c r="AB34" i="1"/>
  <c r="AC34" i="1"/>
  <c r="AD34" i="1"/>
  <c r="T34" i="1" s="1"/>
  <c r="AE34" i="1"/>
  <c r="AF34" i="1"/>
  <c r="AG34" i="1"/>
  <c r="AI34" i="1" s="1"/>
  <c r="AH34" i="1"/>
  <c r="AM34" i="1"/>
  <c r="AN34" i="1"/>
  <c r="K35" i="1"/>
  <c r="L35" i="1"/>
  <c r="M35" i="1"/>
  <c r="N35" i="1" s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Y42" i="1"/>
  <c r="Z42" i="1"/>
  <c r="AA42" i="1" s="1"/>
  <c r="W42" i="1" s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Y44" i="1"/>
  <c r="Z44" i="1"/>
  <c r="AA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/>
  <c r="Y45" i="1"/>
  <c r="Z45" i="1"/>
  <c r="AA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T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Y47" i="1"/>
  <c r="AA47" i="1" s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/>
  <c r="Y49" i="1"/>
  <c r="AA49" i="1" s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Y50" i="1"/>
  <c r="Z50" i="1"/>
  <c r="AB50" i="1"/>
  <c r="AC50" i="1"/>
  <c r="AD50" i="1"/>
  <c r="T50" i="1" s="1"/>
  <c r="AE50" i="1"/>
  <c r="AF50" i="1"/>
  <c r="AG50" i="1"/>
  <c r="AH50" i="1"/>
  <c r="AM50" i="1"/>
  <c r="AN50" i="1"/>
  <c r="K51" i="1"/>
  <c r="L51" i="1"/>
  <c r="M51" i="1"/>
  <c r="N51" i="1" s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T53" i="1"/>
  <c r="Y53" i="1"/>
  <c r="Z53" i="1"/>
  <c r="AA53" i="1"/>
  <c r="W53" i="1" s="1"/>
  <c r="AB53" i="1"/>
  <c r="AC53" i="1"/>
  <c r="AD53" i="1"/>
  <c r="AE53" i="1"/>
  <c r="AF53" i="1"/>
  <c r="AG53" i="1"/>
  <c r="AH53" i="1"/>
  <c r="AI53" i="1"/>
  <c r="AM53" i="1"/>
  <c r="AN53" i="1"/>
  <c r="K54" i="1"/>
  <c r="L54" i="1"/>
  <c r="M54" i="1"/>
  <c r="N54" i="1" s="1"/>
  <c r="T54" i="1"/>
  <c r="X54" i="1"/>
  <c r="Y54" i="1"/>
  <c r="Z54" i="1"/>
  <c r="AA54" i="1" s="1"/>
  <c r="AB54" i="1"/>
  <c r="AC54" i="1"/>
  <c r="AD54" i="1"/>
  <c r="AE54" i="1"/>
  <c r="AF54" i="1"/>
  <c r="AG54" i="1"/>
  <c r="U54" i="1" s="1"/>
  <c r="AH54" i="1"/>
  <c r="AM54" i="1"/>
  <c r="AN54" i="1"/>
  <c r="K55" i="1"/>
  <c r="L55" i="1"/>
  <c r="M55" i="1"/>
  <c r="N55" i="1" s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S21" i="3"/>
  <c r="Y57" i="1"/>
  <c r="Z57" i="1"/>
  <c r="AA57" i="1" s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Y58" i="1"/>
  <c r="Z58" i="1"/>
  <c r="AB58" i="1"/>
  <c r="AC58" i="1"/>
  <c r="AD58" i="1"/>
  <c r="T58" i="1" s="1"/>
  <c r="AE58" i="1"/>
  <c r="AF58" i="1"/>
  <c r="AG58" i="1"/>
  <c r="AH58" i="1"/>
  <c r="AM58" i="1"/>
  <c r="AN58" i="1"/>
  <c r="K59" i="1"/>
  <c r="L59" i="1"/>
  <c r="M59" i="1"/>
  <c r="N59" i="1" s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Y60" i="1"/>
  <c r="Z60" i="1"/>
  <c r="AA60" i="1" s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Y61" i="1"/>
  <c r="AA61" i="1" s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T62" i="1"/>
  <c r="Y62" i="1"/>
  <c r="Z62" i="1"/>
  <c r="AA62" i="1" s="1"/>
  <c r="AB62" i="1"/>
  <c r="AC62" i="1"/>
  <c r="AD62" i="1"/>
  <c r="AE62" i="1"/>
  <c r="AF62" i="1"/>
  <c r="AG62" i="1"/>
  <c r="AH62" i="1"/>
  <c r="AM62" i="1"/>
  <c r="AN62" i="1"/>
  <c r="K63" i="1"/>
  <c r="L63" i="1"/>
  <c r="M63" i="1"/>
  <c r="N63" i="1" s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Y65" i="1"/>
  <c r="Z65" i="1"/>
  <c r="AA65" i="1" s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Y67" i="1"/>
  <c r="Z67" i="1"/>
  <c r="AA67" i="1" s="1"/>
  <c r="AB67" i="1"/>
  <c r="AC67" i="1"/>
  <c r="AD67" i="1"/>
  <c r="T67" i="1" s="1"/>
  <c r="AE67" i="1"/>
  <c r="AF67" i="1"/>
  <c r="AG67" i="1"/>
  <c r="AH67" i="1"/>
  <c r="AM67" i="1"/>
  <c r="AN67" i="1"/>
  <c r="K68" i="1"/>
  <c r="L68" i="1"/>
  <c r="M68" i="1"/>
  <c r="N68" i="1" s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Y69" i="1"/>
  <c r="Z69" i="1"/>
  <c r="AA69" i="1" s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Y70" i="1"/>
  <c r="Z70" i="1"/>
  <c r="AB70" i="1"/>
  <c r="AC70" i="1"/>
  <c r="AD70" i="1"/>
  <c r="X70" i="1" s="1"/>
  <c r="AE70" i="1"/>
  <c r="AF70" i="1"/>
  <c r="AH70" i="1"/>
  <c r="AM70" i="1"/>
  <c r="AN70" i="1"/>
  <c r="K71" i="1"/>
  <c r="L71" i="1"/>
  <c r="M71" i="1"/>
  <c r="N71" i="1" s="1"/>
  <c r="S7" i="3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Y75" i="1"/>
  <c r="Z75" i="1"/>
  <c r="AA75" i="1" s="1"/>
  <c r="AB75" i="1"/>
  <c r="AC75" i="1"/>
  <c r="AD75" i="1"/>
  <c r="T75" i="1" s="1"/>
  <c r="AE75" i="1"/>
  <c r="AF75" i="1"/>
  <c r="AG75" i="1"/>
  <c r="AH75" i="1"/>
  <c r="AM75" i="1"/>
  <c r="AN75" i="1"/>
  <c r="K76" i="1"/>
  <c r="L76" i="1"/>
  <c r="M76" i="1"/>
  <c r="N76" i="1" s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Y77" i="1"/>
  <c r="Z77" i="1"/>
  <c r="AB77" i="1"/>
  <c r="AC77" i="1"/>
  <c r="AD77" i="1"/>
  <c r="T77" i="1" s="1"/>
  <c r="AE77" i="1"/>
  <c r="AF77" i="1"/>
  <c r="AG77" i="1"/>
  <c r="AH77" i="1"/>
  <c r="AM77" i="1"/>
  <c r="AN77" i="1"/>
  <c r="K78" i="1"/>
  <c r="L78" i="1"/>
  <c r="M78" i="1"/>
  <c r="N78" i="1" s="1"/>
  <c r="Y78" i="1"/>
  <c r="Z78" i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 s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Y84" i="1"/>
  <c r="Z84" i="1"/>
  <c r="AA84" i="1" s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T85" i="1"/>
  <c r="Y85" i="1"/>
  <c r="AA85" i="1" s="1"/>
  <c r="Z85" i="1"/>
  <c r="AB85" i="1"/>
  <c r="AC85" i="1"/>
  <c r="AD85" i="1"/>
  <c r="AE85" i="1"/>
  <c r="AF85" i="1"/>
  <c r="AG85" i="1"/>
  <c r="AI85" i="1" s="1"/>
  <c r="AH85" i="1"/>
  <c r="AM85" i="1"/>
  <c r="AN85" i="1"/>
  <c r="K86" i="1"/>
  <c r="L86" i="1"/>
  <c r="M86" i="1"/>
  <c r="N86" i="1" s="1"/>
  <c r="T86" i="1"/>
  <c r="X86" i="1"/>
  <c r="Y86" i="1"/>
  <c r="Z86" i="1"/>
  <c r="AA86" i="1" s="1"/>
  <c r="AB86" i="1"/>
  <c r="AC86" i="1"/>
  <c r="AD86" i="1"/>
  <c r="AE86" i="1"/>
  <c r="AF86" i="1"/>
  <c r="AG86" i="1"/>
  <c r="AH86" i="1"/>
  <c r="AM86" i="1"/>
  <c r="AN86" i="1"/>
  <c r="K87" i="1"/>
  <c r="L87" i="1"/>
  <c r="M87" i="1"/>
  <c r="N87" i="1" s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Y91" i="1"/>
  <c r="Z91" i="1"/>
  <c r="AB91" i="1"/>
  <c r="AC91" i="1"/>
  <c r="AD91" i="1"/>
  <c r="T91" i="1" s="1"/>
  <c r="AE91" i="1"/>
  <c r="AF91" i="1"/>
  <c r="AG91" i="1"/>
  <c r="AH91" i="1"/>
  <c r="AM91" i="1"/>
  <c r="AN91" i="1"/>
  <c r="K92" i="1"/>
  <c r="L92" i="1"/>
  <c r="M92" i="1"/>
  <c r="N92" i="1" s="1"/>
  <c r="Y92" i="1"/>
  <c r="Z92" i="1"/>
  <c r="AA92" i="1" s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T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Y94" i="1"/>
  <c r="Z94" i="1"/>
  <c r="AB94" i="1"/>
  <c r="AC94" i="1"/>
  <c r="AD94" i="1"/>
  <c r="T94" i="1" s="1"/>
  <c r="AE94" i="1"/>
  <c r="AF94" i="1"/>
  <c r="AG94" i="1"/>
  <c r="AH94" i="1"/>
  <c r="AM94" i="1"/>
  <c r="AN94" i="1"/>
  <c r="K95" i="1"/>
  <c r="L95" i="1"/>
  <c r="M95" i="1"/>
  <c r="N95" i="1" s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X97" i="1"/>
  <c r="Y97" i="1"/>
  <c r="Z97" i="1"/>
  <c r="AA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T98" i="1"/>
  <c r="X98" i="1"/>
  <c r="Y98" i="1"/>
  <c r="Z98" i="1"/>
  <c r="AB98" i="1"/>
  <c r="AC98" i="1"/>
  <c r="AD98" i="1"/>
  <c r="AE98" i="1"/>
  <c r="AF98" i="1"/>
  <c r="AG98" i="1"/>
  <c r="AH98" i="1"/>
  <c r="AM98" i="1"/>
  <c r="AN98" i="1"/>
  <c r="K99" i="1"/>
  <c r="L99" i="1"/>
  <c r="M99" i="1"/>
  <c r="N99" i="1" s="1"/>
  <c r="Y99" i="1"/>
  <c r="Z99" i="1"/>
  <c r="AA99" i="1" s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/>
  <c r="Y100" i="1"/>
  <c r="Z100" i="1"/>
  <c r="AA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X101" i="1"/>
  <c r="Y101" i="1"/>
  <c r="Z101" i="1"/>
  <c r="AA101" i="1"/>
  <c r="W101" i="1" s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T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T106" i="1"/>
  <c r="X106" i="1"/>
  <c r="Y106" i="1"/>
  <c r="Z106" i="1"/>
  <c r="AB106" i="1"/>
  <c r="AC106" i="1"/>
  <c r="AD106" i="1"/>
  <c r="AE106" i="1"/>
  <c r="AF106" i="1"/>
  <c r="AG106" i="1"/>
  <c r="AH106" i="1"/>
  <c r="AM106" i="1"/>
  <c r="AN106" i="1"/>
  <c r="K107" i="1"/>
  <c r="L107" i="1"/>
  <c r="M107" i="1"/>
  <c r="N107" i="1" s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Y108" i="1"/>
  <c r="Z108" i="1"/>
  <c r="AA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Y113" i="1"/>
  <c r="AA113" i="1" s="1"/>
  <c r="W113" i="1" s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Y114" i="1"/>
  <c r="AA114" i="1" s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Y116" i="1"/>
  <c r="Z116" i="1"/>
  <c r="AA116" i="1" s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Y118" i="1"/>
  <c r="AA118" i="1" s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Y122" i="1"/>
  <c r="AA122" i="1" s="1"/>
  <c r="Z122" i="1"/>
  <c r="AB122" i="1"/>
  <c r="AC122" i="1"/>
  <c r="AD122" i="1"/>
  <c r="X122" i="1" s="1"/>
  <c r="AE122" i="1"/>
  <c r="AF122" i="1"/>
  <c r="AH122" i="1"/>
  <c r="AM122" i="1"/>
  <c r="AN122" i="1"/>
  <c r="K123" i="1"/>
  <c r="L123" i="1"/>
  <c r="M123" i="1"/>
  <c r="N123" i="1" s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Y127" i="1"/>
  <c r="Z127" i="1"/>
  <c r="AA127" i="1" s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X129" i="1"/>
  <c r="Y129" i="1"/>
  <c r="Z129" i="1"/>
  <c r="AB129" i="1"/>
  <c r="AC129" i="1"/>
  <c r="AD129" i="1"/>
  <c r="T129" i="1" s="1"/>
  <c r="AE129" i="1"/>
  <c r="AF129" i="1"/>
  <c r="AG129" i="1"/>
  <c r="AI129" i="1" s="1"/>
  <c r="AH129" i="1"/>
  <c r="AM129" i="1"/>
  <c r="AN129" i="1"/>
  <c r="K130" i="1"/>
  <c r="L130" i="1"/>
  <c r="M130" i="1"/>
  <c r="N130" i="1" s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X131" i="1"/>
  <c r="Y131" i="1"/>
  <c r="Z131" i="1"/>
  <c r="AB131" i="1"/>
  <c r="AC131" i="1"/>
  <c r="AD131" i="1"/>
  <c r="T131" i="1" s="1"/>
  <c r="AE131" i="1"/>
  <c r="AF131" i="1"/>
  <c r="AG131" i="1"/>
  <c r="AI131" i="1" s="1"/>
  <c r="AH131" i="1"/>
  <c r="AM131" i="1"/>
  <c r="AN131" i="1"/>
  <c r="K132" i="1"/>
  <c r="L132" i="1"/>
  <c r="M132" i="1"/>
  <c r="N132" i="1" s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Y137" i="1"/>
  <c r="Z137" i="1"/>
  <c r="AA137" i="1" s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T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T140" i="1"/>
  <c r="X140" i="1"/>
  <c r="Y140" i="1"/>
  <c r="Z140" i="1"/>
  <c r="AA140" i="1" s="1"/>
  <c r="W140" i="1" s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X141" i="1"/>
  <c r="Y141" i="1"/>
  <c r="Z141" i="1"/>
  <c r="AA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T142" i="1"/>
  <c r="X142" i="1"/>
  <c r="Y142" i="1"/>
  <c r="Z142" i="1"/>
  <c r="AA142" i="1" s="1"/>
  <c r="W142" i="1" s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T143" i="1"/>
  <c r="X143" i="1"/>
  <c r="Y143" i="1"/>
  <c r="Z143" i="1"/>
  <c r="AB143" i="1"/>
  <c r="AC143" i="1"/>
  <c r="AD143" i="1"/>
  <c r="AE143" i="1"/>
  <c r="AF143" i="1"/>
  <c r="AG143" i="1"/>
  <c r="AH143" i="1"/>
  <c r="AM143" i="1"/>
  <c r="AN143" i="1"/>
  <c r="K144" i="1"/>
  <c r="L144" i="1"/>
  <c r="M144" i="1"/>
  <c r="N144" i="1" s="1"/>
  <c r="X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Y145" i="1"/>
  <c r="Z145" i="1"/>
  <c r="AA145" i="1" s="1"/>
  <c r="AB145" i="1"/>
  <c r="AC145" i="1"/>
  <c r="AD145" i="1"/>
  <c r="T145" i="1" s="1"/>
  <c r="AE145" i="1"/>
  <c r="AF145" i="1"/>
  <c r="AG145" i="1"/>
  <c r="AI145" i="1" s="1"/>
  <c r="AH145" i="1"/>
  <c r="AM145" i="1"/>
  <c r="AN145" i="1"/>
  <c r="K146" i="1"/>
  <c r="L146" i="1"/>
  <c r="M146" i="1"/>
  <c r="N146" i="1" s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Y149" i="1"/>
  <c r="Z149" i="1"/>
  <c r="AA149" i="1" s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X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Y151" i="1"/>
  <c r="Z151" i="1"/>
  <c r="AB151" i="1"/>
  <c r="AC151" i="1"/>
  <c r="AD151" i="1"/>
  <c r="T151" i="1" s="1"/>
  <c r="AE151" i="1"/>
  <c r="AF151" i="1"/>
  <c r="AG151" i="1"/>
  <c r="AH151" i="1"/>
  <c r="AM151" i="1"/>
  <c r="AN151" i="1"/>
  <c r="K152" i="1"/>
  <c r="L152" i="1"/>
  <c r="M152" i="1"/>
  <c r="N152" i="1" s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T153" i="1"/>
  <c r="Y153" i="1"/>
  <c r="Z153" i="1"/>
  <c r="AB153" i="1"/>
  <c r="AC153" i="1"/>
  <c r="AD153" i="1"/>
  <c r="AE153" i="1"/>
  <c r="AF153" i="1"/>
  <c r="AG153" i="1"/>
  <c r="AH153" i="1"/>
  <c r="AI153" i="1"/>
  <c r="AM153" i="1"/>
  <c r="AN153" i="1"/>
  <c r="K154" i="1"/>
  <c r="L154" i="1"/>
  <c r="M154" i="1"/>
  <c r="N154" i="1" s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Y155" i="1"/>
  <c r="AA155" i="1" s="1"/>
  <c r="Z155" i="1"/>
  <c r="AB155" i="1"/>
  <c r="AC155" i="1"/>
  <c r="AD155" i="1"/>
  <c r="AG155" i="1" s="1"/>
  <c r="AI155" i="1" s="1"/>
  <c r="AE155" i="1"/>
  <c r="AF155" i="1"/>
  <c r="AH155" i="1"/>
  <c r="AM155" i="1"/>
  <c r="AN155" i="1"/>
  <c r="K156" i="1"/>
  <c r="L156" i="1"/>
  <c r="M156" i="1"/>
  <c r="N156" i="1" s="1"/>
  <c r="T156" i="1"/>
  <c r="Y156" i="1"/>
  <c r="Z156" i="1"/>
  <c r="AB156" i="1"/>
  <c r="AC156" i="1"/>
  <c r="AD156" i="1"/>
  <c r="AG156" i="1" s="1"/>
  <c r="AE156" i="1"/>
  <c r="AF156" i="1"/>
  <c r="AH156" i="1"/>
  <c r="AM156" i="1"/>
  <c r="AN156" i="1"/>
  <c r="K204" i="1"/>
  <c r="L204" i="1"/>
  <c r="M204" i="1"/>
  <c r="N204" i="1" s="1"/>
  <c r="Y204" i="1"/>
  <c r="Z204" i="1"/>
  <c r="AA204" i="1" s="1"/>
  <c r="AB204" i="1"/>
  <c r="AC204" i="1"/>
  <c r="AD204" i="1"/>
  <c r="X205" i="1" s="1"/>
  <c r="AE204" i="1"/>
  <c r="AF204" i="1"/>
  <c r="AH157" i="1"/>
  <c r="AM157" i="1"/>
  <c r="AN157" i="1"/>
  <c r="K205" i="1"/>
  <c r="L205" i="1"/>
  <c r="M205" i="1"/>
  <c r="N205" i="1" s="1"/>
  <c r="Y205" i="1"/>
  <c r="Z205" i="1"/>
  <c r="AA205" i="1" s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Y206" i="1"/>
  <c r="AA206" i="1" s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T209" i="1"/>
  <c r="Y209" i="1"/>
  <c r="Z209" i="1"/>
  <c r="AB209" i="1"/>
  <c r="AC209" i="1"/>
  <c r="AD209" i="1"/>
  <c r="X210" i="1" s="1"/>
  <c r="AE209" i="1"/>
  <c r="AF209" i="1"/>
  <c r="AH162" i="1"/>
  <c r="AM162" i="1"/>
  <c r="AN162" i="1"/>
  <c r="K210" i="1"/>
  <c r="L210" i="1"/>
  <c r="M210" i="1"/>
  <c r="N210" i="1" s="1"/>
  <c r="Y210" i="1"/>
  <c r="Z210" i="1"/>
  <c r="AB210" i="1"/>
  <c r="AC210" i="1"/>
  <c r="AD210" i="1"/>
  <c r="T210" i="1" s="1"/>
  <c r="AE210" i="1"/>
  <c r="AF210" i="1"/>
  <c r="AG210" i="1"/>
  <c r="AH163" i="1"/>
  <c r="AM163" i="1"/>
  <c r="AN163" i="1"/>
  <c r="K211" i="1"/>
  <c r="L211" i="1"/>
  <c r="M211" i="1"/>
  <c r="N211" i="1" s="1"/>
  <c r="X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Y212" i="1"/>
  <c r="Z212" i="1"/>
  <c r="AA212" i="1" s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/>
  <c r="T213" i="1"/>
  <c r="Y213" i="1"/>
  <c r="Z213" i="1"/>
  <c r="AA213" i="1" s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T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Y215" i="1"/>
  <c r="Z215" i="1"/>
  <c r="AA215" i="1" s="1"/>
  <c r="AB215" i="1"/>
  <c r="AC215" i="1"/>
  <c r="AD215" i="1"/>
  <c r="AG215" i="1" s="1"/>
  <c r="AE215" i="1"/>
  <c r="AF215" i="1"/>
  <c r="AH168" i="1"/>
  <c r="AM168" i="1"/>
  <c r="AN168" i="1"/>
  <c r="K222" i="1"/>
  <c r="L222" i="1"/>
  <c r="M222" i="1"/>
  <c r="N222" i="1" s="1"/>
  <c r="Y222" i="1"/>
  <c r="Z222" i="1"/>
  <c r="AB222" i="1"/>
  <c r="AC222" i="1"/>
  <c r="AD222" i="1"/>
  <c r="T222" i="1" s="1"/>
  <c r="AE222" i="1"/>
  <c r="AF222" i="1"/>
  <c r="AG222" i="1"/>
  <c r="AH169" i="1"/>
  <c r="AM169" i="1"/>
  <c r="AN169" i="1"/>
  <c r="K223" i="1"/>
  <c r="L223" i="1"/>
  <c r="M223" i="1"/>
  <c r="N223" i="1" s="1"/>
  <c r="Y223" i="1"/>
  <c r="Z223" i="1"/>
  <c r="AB223" i="1"/>
  <c r="AC223" i="1"/>
  <c r="AD223" i="1"/>
  <c r="AG223" i="1" s="1"/>
  <c r="AE223" i="1"/>
  <c r="AF223" i="1"/>
  <c r="AH170" i="1"/>
  <c r="AM170" i="1"/>
  <c r="AN170" i="1"/>
  <c r="K224" i="1"/>
  <c r="L224" i="1"/>
  <c r="M224" i="1"/>
  <c r="N224" i="1" s="1"/>
  <c r="Y224" i="1"/>
  <c r="Z224" i="1"/>
  <c r="AB224" i="1"/>
  <c r="AC224" i="1"/>
  <c r="AD224" i="1"/>
  <c r="AG224" i="1" s="1"/>
  <c r="AE224" i="1"/>
  <c r="AF224" i="1"/>
  <c r="AH171" i="1"/>
  <c r="AM171" i="1"/>
  <c r="AN171" i="1"/>
  <c r="K225" i="1"/>
  <c r="L225" i="1"/>
  <c r="M225" i="1"/>
  <c r="N225" i="1" s="1"/>
  <c r="Y225" i="1"/>
  <c r="Z225" i="1"/>
  <c r="AA225" i="1" s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/>
  <c r="Y226" i="1"/>
  <c r="Z226" i="1"/>
  <c r="AA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Y227" i="1"/>
  <c r="Z227" i="1"/>
  <c r="AA227" i="1" s="1"/>
  <c r="W227" i="1" s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Y231" i="1"/>
  <c r="Z231" i="1"/>
  <c r="AA231" i="1" s="1"/>
  <c r="AB231" i="1"/>
  <c r="AC231" i="1"/>
  <c r="AD231" i="1"/>
  <c r="T231" i="1" s="1"/>
  <c r="AE231" i="1"/>
  <c r="AF231" i="1"/>
  <c r="AH178" i="1"/>
  <c r="AM178" i="1"/>
  <c r="AN178" i="1"/>
  <c r="K157" i="1"/>
  <c r="L157" i="1"/>
  <c r="M157" i="1"/>
  <c r="N157" i="1" s="1"/>
  <c r="X157" i="1"/>
  <c r="Y157" i="1"/>
  <c r="Z157" i="1"/>
  <c r="AB157" i="1"/>
  <c r="AC157" i="1"/>
  <c r="AD157" i="1"/>
  <c r="T157" i="1" s="1"/>
  <c r="AE157" i="1"/>
  <c r="AF157" i="1"/>
  <c r="AG157" i="1"/>
  <c r="AI157" i="1" s="1"/>
  <c r="AH179" i="1"/>
  <c r="AM179" i="1"/>
  <c r="AN179" i="1"/>
  <c r="K158" i="1"/>
  <c r="L158" i="1"/>
  <c r="M158" i="1"/>
  <c r="N158" i="1" s="1"/>
  <c r="Y158" i="1"/>
  <c r="Z158" i="1"/>
  <c r="AB158" i="1"/>
  <c r="AC158" i="1"/>
  <c r="AD158" i="1"/>
  <c r="T158" i="1" s="1"/>
  <c r="AE158" i="1"/>
  <c r="AF158" i="1"/>
  <c r="AH180" i="1"/>
  <c r="AM180" i="1"/>
  <c r="AN180" i="1"/>
  <c r="K159" i="1"/>
  <c r="L159" i="1"/>
  <c r="M159" i="1"/>
  <c r="N159" i="1" s="1"/>
  <c r="Y159" i="1"/>
  <c r="Z159" i="1"/>
  <c r="AA159" i="1" s="1"/>
  <c r="AB159" i="1"/>
  <c r="AC159" i="1"/>
  <c r="AD159" i="1"/>
  <c r="T159" i="1" s="1"/>
  <c r="AE159" i="1"/>
  <c r="AF159" i="1"/>
  <c r="AH181" i="1"/>
  <c r="AM181" i="1"/>
  <c r="AN181" i="1"/>
  <c r="K160" i="1"/>
  <c r="L160" i="1"/>
  <c r="M160" i="1"/>
  <c r="N160" i="1" s="1"/>
  <c r="X160" i="1"/>
  <c r="Y160" i="1"/>
  <c r="Z160" i="1"/>
  <c r="AA160" i="1"/>
  <c r="W160" i="1" s="1"/>
  <c r="AB160" i="1"/>
  <c r="AC160" i="1"/>
  <c r="AD160" i="1"/>
  <c r="T160" i="1" s="1"/>
  <c r="AE160" i="1"/>
  <c r="AF160" i="1"/>
  <c r="AG160" i="1"/>
  <c r="AH182" i="1"/>
  <c r="AM182" i="1"/>
  <c r="AN182" i="1"/>
  <c r="K161" i="1"/>
  <c r="L161" i="1"/>
  <c r="M161" i="1"/>
  <c r="N161" i="1" s="1"/>
  <c r="Y161" i="1"/>
  <c r="AA161" i="1" s="1"/>
  <c r="Z161" i="1"/>
  <c r="AB161" i="1"/>
  <c r="AC161" i="1"/>
  <c r="AD161" i="1"/>
  <c r="X161" i="1" s="1"/>
  <c r="AE161" i="1"/>
  <c r="AF161" i="1"/>
  <c r="AH183" i="1"/>
  <c r="AM183" i="1"/>
  <c r="AN183" i="1"/>
  <c r="K162" i="1"/>
  <c r="L162" i="1"/>
  <c r="M162" i="1"/>
  <c r="N162" i="1" s="1"/>
  <c r="Y162" i="1"/>
  <c r="Z162" i="1"/>
  <c r="AB162" i="1"/>
  <c r="AC162" i="1"/>
  <c r="AD162" i="1"/>
  <c r="T162" i="1" s="1"/>
  <c r="AE162" i="1"/>
  <c r="AF162" i="1"/>
  <c r="AH184" i="1"/>
  <c r="AM184" i="1"/>
  <c r="AN184" i="1"/>
  <c r="K163" i="1"/>
  <c r="L163" i="1"/>
  <c r="M163" i="1"/>
  <c r="N163" i="1" s="1"/>
  <c r="Y163" i="1"/>
  <c r="Z163" i="1"/>
  <c r="AA163" i="1" s="1"/>
  <c r="AB163" i="1"/>
  <c r="AC163" i="1"/>
  <c r="AD163" i="1"/>
  <c r="AE163" i="1"/>
  <c r="AF163" i="1"/>
  <c r="AH185" i="1"/>
  <c r="AM185" i="1"/>
  <c r="AN185" i="1"/>
  <c r="K164" i="1"/>
  <c r="L164" i="1"/>
  <c r="M164" i="1"/>
  <c r="N164" i="1" s="1"/>
  <c r="S29" i="3"/>
  <c r="Y164" i="1"/>
  <c r="Z164" i="1"/>
  <c r="AA164" i="1" s="1"/>
  <c r="AB164" i="1"/>
  <c r="AC164" i="1"/>
  <c r="AD164" i="1"/>
  <c r="T164" i="1" s="1"/>
  <c r="AE164" i="1"/>
  <c r="AF164" i="1"/>
  <c r="AG164" i="1"/>
  <c r="U164" i="1" s="1"/>
  <c r="S164" i="1" s="1"/>
  <c r="AH186" i="1"/>
  <c r="AM186" i="1"/>
  <c r="AN186" i="1"/>
  <c r="K165" i="1"/>
  <c r="L165" i="1"/>
  <c r="M165" i="1"/>
  <c r="N165" i="1" s="1"/>
  <c r="Y165" i="1"/>
  <c r="Z165" i="1"/>
  <c r="AB165" i="1"/>
  <c r="AC165" i="1"/>
  <c r="AD165" i="1"/>
  <c r="X165" i="1" s="1"/>
  <c r="AE165" i="1"/>
  <c r="AF165" i="1"/>
  <c r="AH187" i="1"/>
  <c r="AM187" i="1"/>
  <c r="AN187" i="1"/>
  <c r="K166" i="1"/>
  <c r="L166" i="1"/>
  <c r="M166" i="1"/>
  <c r="N166" i="1" s="1"/>
  <c r="Y166" i="1"/>
  <c r="Z166" i="1"/>
  <c r="AA166" i="1" s="1"/>
  <c r="AB166" i="1"/>
  <c r="AC166" i="1"/>
  <c r="AD166" i="1"/>
  <c r="T166" i="1" s="1"/>
  <c r="AE166" i="1"/>
  <c r="AF166" i="1"/>
  <c r="AH188" i="1"/>
  <c r="AM188" i="1"/>
  <c r="AN188" i="1"/>
  <c r="K167" i="1"/>
  <c r="L167" i="1"/>
  <c r="M167" i="1"/>
  <c r="N167" i="1"/>
  <c r="Y167" i="1"/>
  <c r="Z167" i="1"/>
  <c r="AA167" i="1"/>
  <c r="AB167" i="1"/>
  <c r="AC167" i="1"/>
  <c r="AD167" i="1"/>
  <c r="T167" i="1" s="1"/>
  <c r="AE167" i="1"/>
  <c r="AF167" i="1"/>
  <c r="AH189" i="1"/>
  <c r="AM189" i="1"/>
  <c r="AN189" i="1"/>
  <c r="K168" i="1"/>
  <c r="L168" i="1"/>
  <c r="M168" i="1"/>
  <c r="N168" i="1" s="1"/>
  <c r="T168" i="1"/>
  <c r="Y168" i="1"/>
  <c r="Z168" i="1"/>
  <c r="AB168" i="1"/>
  <c r="AC168" i="1"/>
  <c r="AD168" i="1"/>
  <c r="AE168" i="1"/>
  <c r="AF168" i="1"/>
  <c r="AH190" i="1"/>
  <c r="AM190" i="1"/>
  <c r="AN190" i="1"/>
  <c r="K169" i="1"/>
  <c r="L169" i="1"/>
  <c r="M169" i="1"/>
  <c r="N169" i="1" s="1"/>
  <c r="S26" i="3"/>
  <c r="Y169" i="1"/>
  <c r="Z169" i="1"/>
  <c r="AB169" i="1"/>
  <c r="AC169" i="1"/>
  <c r="AD169" i="1"/>
  <c r="T169" i="1" s="1"/>
  <c r="AE169" i="1"/>
  <c r="AF169" i="1"/>
  <c r="AG169" i="1"/>
  <c r="AH191" i="1"/>
  <c r="AM191" i="1"/>
  <c r="AN191" i="1"/>
  <c r="K170" i="1"/>
  <c r="L170" i="1"/>
  <c r="M170" i="1"/>
  <c r="N170" i="1" s="1"/>
  <c r="Y170" i="1"/>
  <c r="Z170" i="1"/>
  <c r="AB170" i="1"/>
  <c r="AC170" i="1"/>
  <c r="AD170" i="1"/>
  <c r="T170" i="1" s="1"/>
  <c r="AE170" i="1"/>
  <c r="AF170" i="1"/>
  <c r="AH192" i="1"/>
  <c r="AM192" i="1"/>
  <c r="AN192" i="1"/>
  <c r="K171" i="1"/>
  <c r="L171" i="1"/>
  <c r="M171" i="1"/>
  <c r="N171" i="1" s="1"/>
  <c r="Y171" i="1"/>
  <c r="Z171" i="1"/>
  <c r="AB171" i="1"/>
  <c r="AC171" i="1"/>
  <c r="AD171" i="1"/>
  <c r="T171" i="1" s="1"/>
  <c r="AE171" i="1"/>
  <c r="AF171" i="1"/>
  <c r="AH193" i="1"/>
  <c r="AM193" i="1"/>
  <c r="AN193" i="1"/>
  <c r="K172" i="1"/>
  <c r="L172" i="1"/>
  <c r="M172" i="1"/>
  <c r="N172" i="1" s="1"/>
  <c r="S30" i="3"/>
  <c r="Y172" i="1"/>
  <c r="Z172" i="1"/>
  <c r="AA172" i="1" s="1"/>
  <c r="W172" i="1" s="1"/>
  <c r="AB172" i="1"/>
  <c r="AC172" i="1"/>
  <c r="AD172" i="1"/>
  <c r="AG172" i="1" s="1"/>
  <c r="AE172" i="1"/>
  <c r="AF172" i="1"/>
  <c r="AH194" i="1"/>
  <c r="AM194" i="1"/>
  <c r="AN194" i="1"/>
  <c r="K173" i="1"/>
  <c r="L173" i="1"/>
  <c r="M173" i="1"/>
  <c r="N173" i="1" s="1"/>
  <c r="T173" i="1"/>
  <c r="X173" i="1"/>
  <c r="Y173" i="1"/>
  <c r="Z173" i="1"/>
  <c r="AB173" i="1"/>
  <c r="AC173" i="1"/>
  <c r="AD173" i="1"/>
  <c r="AE173" i="1"/>
  <c r="AF173" i="1"/>
  <c r="AG173" i="1"/>
  <c r="AH195" i="1"/>
  <c r="AM195" i="1"/>
  <c r="AN195" i="1"/>
  <c r="K174" i="1"/>
  <c r="L174" i="1"/>
  <c r="M174" i="1"/>
  <c r="N174" i="1" s="1"/>
  <c r="Y174" i="1"/>
  <c r="Z174" i="1"/>
  <c r="AB174" i="1"/>
  <c r="AC174" i="1"/>
  <c r="AD174" i="1"/>
  <c r="T174" i="1" s="1"/>
  <c r="AE174" i="1"/>
  <c r="AF174" i="1"/>
  <c r="AH196" i="1"/>
  <c r="AM196" i="1"/>
  <c r="AN196" i="1"/>
  <c r="K175" i="1"/>
  <c r="L175" i="1"/>
  <c r="M175" i="1"/>
  <c r="N175" i="1" s="1"/>
  <c r="Y175" i="1"/>
  <c r="Z175" i="1"/>
  <c r="AB175" i="1"/>
  <c r="AC175" i="1"/>
  <c r="AD175" i="1"/>
  <c r="T175" i="1" s="1"/>
  <c r="AE175" i="1"/>
  <c r="AF175" i="1"/>
  <c r="AH197" i="1"/>
  <c r="AM197" i="1"/>
  <c r="AN197" i="1"/>
  <c r="K176" i="1"/>
  <c r="L176" i="1"/>
  <c r="M176" i="1"/>
  <c r="N176" i="1" s="1"/>
  <c r="Y176" i="1"/>
  <c r="Z176" i="1"/>
  <c r="AA176" i="1" s="1"/>
  <c r="AB176" i="1"/>
  <c r="AC176" i="1"/>
  <c r="AD176" i="1"/>
  <c r="T176" i="1" s="1"/>
  <c r="AE176" i="1"/>
  <c r="AF176" i="1"/>
  <c r="AH198" i="1"/>
  <c r="AM198" i="1"/>
  <c r="AN198" i="1"/>
  <c r="K177" i="1"/>
  <c r="L177" i="1"/>
  <c r="M177" i="1"/>
  <c r="N177" i="1" s="1"/>
  <c r="Y177" i="1"/>
  <c r="Z177" i="1"/>
  <c r="AB177" i="1"/>
  <c r="AC177" i="1"/>
  <c r="AD177" i="1"/>
  <c r="AE177" i="1"/>
  <c r="AF177" i="1"/>
  <c r="AH199" i="1"/>
  <c r="AM199" i="1"/>
  <c r="AN199" i="1"/>
  <c r="K178" i="1"/>
  <c r="L178" i="1"/>
  <c r="M178" i="1"/>
  <c r="N178" i="1" s="1"/>
  <c r="Y178" i="1"/>
  <c r="Z178" i="1"/>
  <c r="AA178" i="1" s="1"/>
  <c r="AB178" i="1"/>
  <c r="AC178" i="1"/>
  <c r="AD178" i="1"/>
  <c r="T178" i="1" s="1"/>
  <c r="AE178" i="1"/>
  <c r="AF178" i="1"/>
  <c r="AH200" i="1"/>
  <c r="AM200" i="1"/>
  <c r="AN200" i="1"/>
  <c r="K179" i="1"/>
  <c r="L179" i="1"/>
  <c r="M179" i="1"/>
  <c r="N179" i="1" s="1"/>
  <c r="Y179" i="1"/>
  <c r="Z179" i="1"/>
  <c r="AA179" i="1" s="1"/>
  <c r="AB179" i="1"/>
  <c r="AC179" i="1"/>
  <c r="AD179" i="1"/>
  <c r="T179" i="1" s="1"/>
  <c r="AE179" i="1"/>
  <c r="AF179" i="1"/>
  <c r="AH201" i="1"/>
  <c r="AM201" i="1"/>
  <c r="AN201" i="1"/>
  <c r="K180" i="1"/>
  <c r="L180" i="1"/>
  <c r="M180" i="1"/>
  <c r="N180" i="1" s="1"/>
  <c r="Y180" i="1"/>
  <c r="AA180" i="1" s="1"/>
  <c r="Z180" i="1"/>
  <c r="AB180" i="1"/>
  <c r="AC180" i="1"/>
  <c r="AD180" i="1"/>
  <c r="X180" i="1" s="1"/>
  <c r="AE180" i="1"/>
  <c r="AF180" i="1"/>
  <c r="AH202" i="1"/>
  <c r="AM202" i="1"/>
  <c r="AN202" i="1"/>
  <c r="K181" i="1"/>
  <c r="L181" i="1"/>
  <c r="M181" i="1"/>
  <c r="N181" i="1" s="1"/>
  <c r="T181" i="1"/>
  <c r="X181" i="1"/>
  <c r="Y181" i="1"/>
  <c r="Z181" i="1"/>
  <c r="AB181" i="1"/>
  <c r="AC181" i="1"/>
  <c r="AD181" i="1"/>
  <c r="AE181" i="1"/>
  <c r="AF181" i="1"/>
  <c r="AG181" i="1"/>
  <c r="AH203" i="1"/>
  <c r="AM203" i="1"/>
  <c r="AN203" i="1"/>
  <c r="K182" i="1"/>
  <c r="L182" i="1"/>
  <c r="M182" i="1"/>
  <c r="N182" i="1" s="1"/>
  <c r="Y182" i="1"/>
  <c r="Z182" i="1"/>
  <c r="AB182" i="1"/>
  <c r="AC182" i="1"/>
  <c r="AD182" i="1"/>
  <c r="T182" i="1" s="1"/>
  <c r="AE182" i="1"/>
  <c r="AF182" i="1"/>
  <c r="AH204" i="1"/>
  <c r="AM204" i="1"/>
  <c r="AN204" i="1"/>
  <c r="K183" i="1"/>
  <c r="L183" i="1"/>
  <c r="M183" i="1"/>
  <c r="N183" i="1" s="1"/>
  <c r="Y183" i="1"/>
  <c r="Z183" i="1"/>
  <c r="AB183" i="1"/>
  <c r="AC183" i="1"/>
  <c r="AD183" i="1"/>
  <c r="T183" i="1" s="1"/>
  <c r="AE183" i="1"/>
  <c r="AF183" i="1"/>
  <c r="AH205" i="1"/>
  <c r="AM205" i="1"/>
  <c r="AN205" i="1"/>
  <c r="K184" i="1"/>
  <c r="L184" i="1"/>
  <c r="M184" i="1"/>
  <c r="N184" i="1" s="1"/>
  <c r="Y184" i="1"/>
  <c r="Z184" i="1"/>
  <c r="AA184" i="1" s="1"/>
  <c r="AB184" i="1"/>
  <c r="AC184" i="1"/>
  <c r="AD184" i="1"/>
  <c r="T184" i="1" s="1"/>
  <c r="AE184" i="1"/>
  <c r="AF184" i="1"/>
  <c r="AG184" i="1"/>
  <c r="AH206" i="1"/>
  <c r="AM206" i="1"/>
  <c r="AN206" i="1"/>
  <c r="K185" i="1"/>
  <c r="L185" i="1"/>
  <c r="M185" i="1"/>
  <c r="N185" i="1" s="1"/>
  <c r="Y185" i="1"/>
  <c r="Z185" i="1"/>
  <c r="AB185" i="1"/>
  <c r="AC185" i="1"/>
  <c r="AD185" i="1"/>
  <c r="X185" i="1" s="1"/>
  <c r="AE185" i="1"/>
  <c r="AF185" i="1"/>
  <c r="AH207" i="1"/>
  <c r="AM207" i="1"/>
  <c r="AN207" i="1"/>
  <c r="K186" i="1"/>
  <c r="L186" i="1"/>
  <c r="M186" i="1"/>
  <c r="N186" i="1" s="1"/>
  <c r="S33" i="3"/>
  <c r="Y186" i="1"/>
  <c r="Z186" i="1"/>
  <c r="AB186" i="1"/>
  <c r="AC186" i="1"/>
  <c r="AD186" i="1"/>
  <c r="T186" i="1" s="1"/>
  <c r="AE186" i="1"/>
  <c r="AF186" i="1"/>
  <c r="AH208" i="1"/>
  <c r="AM208" i="1"/>
  <c r="AN208" i="1"/>
  <c r="K187" i="1"/>
  <c r="L187" i="1"/>
  <c r="M187" i="1"/>
  <c r="N187" i="1"/>
  <c r="Y187" i="1"/>
  <c r="Z187" i="1"/>
  <c r="AB187" i="1"/>
  <c r="AC187" i="1"/>
  <c r="AD187" i="1"/>
  <c r="T187" i="1" s="1"/>
  <c r="AE187" i="1"/>
  <c r="AF187" i="1"/>
  <c r="AH209" i="1"/>
  <c r="AM209" i="1"/>
  <c r="AN209" i="1"/>
  <c r="K188" i="1"/>
  <c r="L188" i="1"/>
  <c r="M188" i="1"/>
  <c r="N188" i="1" s="1"/>
  <c r="Y188" i="1"/>
  <c r="Z188" i="1"/>
  <c r="AB188" i="1"/>
  <c r="AC188" i="1"/>
  <c r="AD188" i="1"/>
  <c r="X188" i="1" s="1"/>
  <c r="AE188" i="1"/>
  <c r="AF188" i="1"/>
  <c r="AH210" i="1"/>
  <c r="AI210" i="1"/>
  <c r="AM210" i="1"/>
  <c r="AN210" i="1"/>
  <c r="K189" i="1"/>
  <c r="L189" i="1"/>
  <c r="M189" i="1"/>
  <c r="N189" i="1" s="1"/>
  <c r="Y189" i="1"/>
  <c r="Z189" i="1"/>
  <c r="AB189" i="1"/>
  <c r="AC189" i="1"/>
  <c r="AD189" i="1"/>
  <c r="AE189" i="1"/>
  <c r="AF189" i="1"/>
  <c r="AH211" i="1"/>
  <c r="AM211" i="1"/>
  <c r="AN211" i="1"/>
  <c r="K190" i="1"/>
  <c r="L190" i="1"/>
  <c r="M190" i="1"/>
  <c r="N190" i="1" s="1"/>
  <c r="Y190" i="1"/>
  <c r="Z190" i="1"/>
  <c r="AB190" i="1"/>
  <c r="AC190" i="1"/>
  <c r="AD190" i="1"/>
  <c r="T190" i="1" s="1"/>
  <c r="AE190" i="1"/>
  <c r="AF190" i="1"/>
  <c r="AH212" i="1"/>
  <c r="AM212" i="1"/>
  <c r="AN212" i="1"/>
  <c r="K191" i="1"/>
  <c r="L191" i="1"/>
  <c r="M191" i="1"/>
  <c r="N191" i="1" s="1"/>
  <c r="Y191" i="1"/>
  <c r="Z191" i="1"/>
  <c r="AB191" i="1"/>
  <c r="AC191" i="1"/>
  <c r="AD191" i="1"/>
  <c r="T191" i="1" s="1"/>
  <c r="AE191" i="1"/>
  <c r="AF191" i="1"/>
  <c r="AH213" i="1"/>
  <c r="AM213" i="1"/>
  <c r="AN213" i="1"/>
  <c r="K192" i="1"/>
  <c r="L192" i="1"/>
  <c r="M192" i="1"/>
  <c r="N192" i="1" s="1"/>
  <c r="X192" i="1"/>
  <c r="Y192" i="1"/>
  <c r="Z192" i="1"/>
  <c r="AB192" i="1"/>
  <c r="AC192" i="1"/>
  <c r="AD192" i="1"/>
  <c r="AG192" i="1" s="1"/>
  <c r="AE192" i="1"/>
  <c r="AF192" i="1"/>
  <c r="AH214" i="1"/>
  <c r="AI214" i="1"/>
  <c r="AM214" i="1"/>
  <c r="AN214" i="1"/>
  <c r="K193" i="1"/>
  <c r="L193" i="1"/>
  <c r="M193" i="1"/>
  <c r="N193" i="1" s="1"/>
  <c r="Y193" i="1"/>
  <c r="Z193" i="1"/>
  <c r="AB193" i="1"/>
  <c r="AC193" i="1"/>
  <c r="AD193" i="1"/>
  <c r="T193" i="1" s="1"/>
  <c r="AE193" i="1"/>
  <c r="AF193" i="1"/>
  <c r="AH215" i="1"/>
  <c r="AM215" i="1"/>
  <c r="AN215" i="1"/>
  <c r="K194" i="1"/>
  <c r="L194" i="1"/>
  <c r="M194" i="1"/>
  <c r="N194" i="1" s="1"/>
  <c r="Y194" i="1"/>
  <c r="Z194" i="1"/>
  <c r="AA194" i="1" s="1"/>
  <c r="W194" i="1" s="1"/>
  <c r="AB194" i="1"/>
  <c r="AC194" i="1"/>
  <c r="AD194" i="1"/>
  <c r="T194" i="1" s="1"/>
  <c r="AE194" i="1"/>
  <c r="AF194" i="1"/>
  <c r="AG194" i="1"/>
  <c r="AH216" i="1"/>
  <c r="AM216" i="1"/>
  <c r="AN216" i="1"/>
  <c r="K195" i="1"/>
  <c r="L195" i="1"/>
  <c r="M195" i="1"/>
  <c r="N195" i="1" s="1"/>
  <c r="Y195" i="1"/>
  <c r="Z195" i="1"/>
  <c r="AB195" i="1"/>
  <c r="AC195" i="1"/>
  <c r="AD195" i="1"/>
  <c r="T195" i="1" s="1"/>
  <c r="AE195" i="1"/>
  <c r="AF195" i="1"/>
  <c r="AH217" i="1"/>
  <c r="AM217" i="1"/>
  <c r="AN217" i="1"/>
  <c r="K196" i="1"/>
  <c r="L196" i="1"/>
  <c r="M196" i="1"/>
  <c r="N196" i="1" s="1"/>
  <c r="Y196" i="1"/>
  <c r="Z196" i="1"/>
  <c r="AA196" i="1" s="1"/>
  <c r="AB196" i="1"/>
  <c r="AC196" i="1"/>
  <c r="AD196" i="1"/>
  <c r="X196" i="1" s="1"/>
  <c r="AE196" i="1"/>
  <c r="AF196" i="1"/>
  <c r="AH218" i="1"/>
  <c r="AM218" i="1"/>
  <c r="AN218" i="1"/>
  <c r="K197" i="1"/>
  <c r="L197" i="1"/>
  <c r="M197" i="1"/>
  <c r="N197" i="1" s="1"/>
  <c r="Y197" i="1"/>
  <c r="Z197" i="1"/>
  <c r="AB197" i="1"/>
  <c r="AC197" i="1"/>
  <c r="AD197" i="1"/>
  <c r="AE197" i="1"/>
  <c r="AF197" i="1"/>
  <c r="AH219" i="1"/>
  <c r="AM219" i="1"/>
  <c r="AN219" i="1"/>
  <c r="K198" i="1"/>
  <c r="L198" i="1"/>
  <c r="M198" i="1"/>
  <c r="N198" i="1" s="1"/>
  <c r="Y198" i="1"/>
  <c r="Z198" i="1"/>
  <c r="AA198" i="1" s="1"/>
  <c r="AB198" i="1"/>
  <c r="AC198" i="1"/>
  <c r="AD198" i="1"/>
  <c r="T198" i="1" s="1"/>
  <c r="AE198" i="1"/>
  <c r="AF198" i="1"/>
  <c r="AH220" i="1"/>
  <c r="AM220" i="1"/>
  <c r="AN220" i="1"/>
  <c r="K199" i="1"/>
  <c r="L199" i="1"/>
  <c r="M199" i="1"/>
  <c r="N199" i="1" s="1"/>
  <c r="Y199" i="1"/>
  <c r="Z199" i="1"/>
  <c r="AA199" i="1" s="1"/>
  <c r="AB199" i="1"/>
  <c r="AC199" i="1"/>
  <c r="AD199" i="1"/>
  <c r="T199" i="1" s="1"/>
  <c r="AE199" i="1"/>
  <c r="AF199" i="1"/>
  <c r="AH221" i="1"/>
  <c r="AM221" i="1"/>
  <c r="AN221" i="1"/>
  <c r="K200" i="1"/>
  <c r="L200" i="1"/>
  <c r="M200" i="1"/>
  <c r="N200" i="1" s="1"/>
  <c r="X200" i="1"/>
  <c r="Y200" i="1"/>
  <c r="Z200" i="1"/>
  <c r="AB200" i="1"/>
  <c r="AC200" i="1"/>
  <c r="AD200" i="1"/>
  <c r="AG200" i="1" s="1"/>
  <c r="AE200" i="1"/>
  <c r="AF200" i="1"/>
  <c r="AH222" i="1"/>
  <c r="AI222" i="1"/>
  <c r="AM222" i="1"/>
  <c r="AN222" i="1"/>
  <c r="K201" i="1"/>
  <c r="L201" i="1"/>
  <c r="M201" i="1"/>
  <c r="N201" i="1" s="1"/>
  <c r="Y201" i="1"/>
  <c r="Z201" i="1"/>
  <c r="AB201" i="1"/>
  <c r="AC201" i="1"/>
  <c r="AD201" i="1"/>
  <c r="T201" i="1" s="1"/>
  <c r="AE201" i="1"/>
  <c r="AF201" i="1"/>
  <c r="AH223" i="1"/>
  <c r="AM223" i="1"/>
  <c r="AN223" i="1"/>
  <c r="K202" i="1"/>
  <c r="L202" i="1"/>
  <c r="M202" i="1"/>
  <c r="N202" i="1" s="1"/>
  <c r="Y202" i="1"/>
  <c r="Z202" i="1"/>
  <c r="AA202" i="1" s="1"/>
  <c r="W202" i="1" s="1"/>
  <c r="AB202" i="1"/>
  <c r="AC202" i="1"/>
  <c r="AD202" i="1"/>
  <c r="T202" i="1" s="1"/>
  <c r="AE202" i="1"/>
  <c r="AF202" i="1"/>
  <c r="AG202" i="1"/>
  <c r="AH224" i="1"/>
  <c r="AM224" i="1"/>
  <c r="AN224" i="1"/>
  <c r="K203" i="1"/>
  <c r="L203" i="1"/>
  <c r="M203" i="1"/>
  <c r="N203" i="1" s="1"/>
  <c r="Y203" i="1"/>
  <c r="Z203" i="1"/>
  <c r="AB203" i="1"/>
  <c r="AC203" i="1"/>
  <c r="AD203" i="1"/>
  <c r="T203" i="1" s="1"/>
  <c r="AE203" i="1"/>
  <c r="AF203" i="1"/>
  <c r="AH225" i="1"/>
  <c r="AM225" i="1"/>
  <c r="AN225" i="1"/>
  <c r="K216" i="1"/>
  <c r="L216" i="1"/>
  <c r="M216" i="1"/>
  <c r="N216" i="1" s="1"/>
  <c r="Y216" i="1"/>
  <c r="Z216" i="1"/>
  <c r="AA216" i="1" s="1"/>
  <c r="W216" i="1" s="1"/>
  <c r="AB216" i="1"/>
  <c r="AC216" i="1"/>
  <c r="AD216" i="1"/>
  <c r="T216" i="1" s="1"/>
  <c r="AE216" i="1"/>
  <c r="AF216" i="1"/>
  <c r="AG216" i="1"/>
  <c r="AH226" i="1"/>
  <c r="AM226" i="1"/>
  <c r="AN226" i="1"/>
  <c r="K217" i="1"/>
  <c r="L217" i="1"/>
  <c r="M217" i="1"/>
  <c r="N217" i="1" s="1"/>
  <c r="T217" i="1"/>
  <c r="X217" i="1"/>
  <c r="Y217" i="1"/>
  <c r="Z217" i="1"/>
  <c r="AA217" i="1" s="1"/>
  <c r="AB217" i="1"/>
  <c r="AC217" i="1"/>
  <c r="AD217" i="1"/>
  <c r="AE217" i="1"/>
  <c r="AF217" i="1"/>
  <c r="AG217" i="1"/>
  <c r="AH227" i="1"/>
  <c r="AM227" i="1"/>
  <c r="AN227" i="1"/>
  <c r="K218" i="1"/>
  <c r="L218" i="1"/>
  <c r="M218" i="1"/>
  <c r="N218" i="1" s="1"/>
  <c r="Y218" i="1"/>
  <c r="Z218" i="1"/>
  <c r="AB218" i="1"/>
  <c r="AC218" i="1"/>
  <c r="AD218" i="1"/>
  <c r="T218" i="1" s="1"/>
  <c r="AE218" i="1"/>
  <c r="AF218" i="1"/>
  <c r="AH228" i="1"/>
  <c r="AM228" i="1"/>
  <c r="AN228" i="1"/>
  <c r="K219" i="1"/>
  <c r="L219" i="1"/>
  <c r="M219" i="1"/>
  <c r="N219" i="1"/>
  <c r="Y219" i="1"/>
  <c r="Z219" i="1"/>
  <c r="AB219" i="1"/>
  <c r="AC219" i="1"/>
  <c r="AD219" i="1"/>
  <c r="T219" i="1" s="1"/>
  <c r="AE219" i="1"/>
  <c r="AF219" i="1"/>
  <c r="AH229" i="1"/>
  <c r="AM229" i="1"/>
  <c r="AN229" i="1"/>
  <c r="K220" i="1"/>
  <c r="L220" i="1"/>
  <c r="M220" i="1"/>
  <c r="N220" i="1" s="1"/>
  <c r="Y220" i="1"/>
  <c r="Z220" i="1"/>
  <c r="AA220" i="1"/>
  <c r="AB220" i="1"/>
  <c r="AC220" i="1"/>
  <c r="AD220" i="1"/>
  <c r="T220" i="1" s="1"/>
  <c r="AE220" i="1"/>
  <c r="AF220" i="1"/>
  <c r="AH230" i="1"/>
  <c r="AM230" i="1"/>
  <c r="AN230" i="1"/>
  <c r="K221" i="1"/>
  <c r="L221" i="1"/>
  <c r="M221" i="1"/>
  <c r="N221" i="1" s="1"/>
  <c r="Y221" i="1"/>
  <c r="Z221" i="1"/>
  <c r="AB221" i="1"/>
  <c r="AC221" i="1"/>
  <c r="AD221" i="1"/>
  <c r="T221" i="1" s="1"/>
  <c r="AE221" i="1"/>
  <c r="AF221" i="1"/>
  <c r="AH231" i="1"/>
  <c r="AM231" i="1"/>
  <c r="AN231" i="1"/>
  <c r="M10" i="3"/>
  <c r="R10" i="3"/>
  <c r="U10" i="3"/>
  <c r="T10" i="3" s="1"/>
  <c r="V10" i="3"/>
  <c r="W10" i="3"/>
  <c r="Y10" i="3" s="1"/>
  <c r="X10" i="3"/>
  <c r="AC10" i="3"/>
  <c r="M11" i="3"/>
  <c r="R11" i="3"/>
  <c r="U11" i="3"/>
  <c r="AD9" i="3" s="1"/>
  <c r="V11" i="3"/>
  <c r="W11" i="3"/>
  <c r="X11" i="3"/>
  <c r="Y11" i="3"/>
  <c r="M18" i="3"/>
  <c r="R18" i="3"/>
  <c r="S18" i="3"/>
  <c r="U18" i="3"/>
  <c r="AC18" i="3" s="1"/>
  <c r="V18" i="3"/>
  <c r="W18" i="3"/>
  <c r="Y18" i="3" s="1"/>
  <c r="X18" i="3"/>
  <c r="M15" i="3"/>
  <c r="R15" i="3"/>
  <c r="S15" i="3"/>
  <c r="U15" i="3"/>
  <c r="AC15" i="3" s="1"/>
  <c r="V15" i="3"/>
  <c r="AE15" i="3" s="1"/>
  <c r="W15" i="3"/>
  <c r="Y15" i="3" s="1"/>
  <c r="X15" i="3"/>
  <c r="M29" i="3"/>
  <c r="R29" i="3"/>
  <c r="U29" i="3"/>
  <c r="T29" i="3" s="1"/>
  <c r="V29" i="3"/>
  <c r="W29" i="3"/>
  <c r="X29" i="3"/>
  <c r="M16" i="3"/>
  <c r="R16" i="3"/>
  <c r="U16" i="3"/>
  <c r="V16" i="3"/>
  <c r="W16" i="3"/>
  <c r="Y16" i="3" s="1"/>
  <c r="X16" i="3"/>
  <c r="M26" i="3"/>
  <c r="R26" i="3"/>
  <c r="U26" i="3"/>
  <c r="AC26" i="3" s="1"/>
  <c r="V26" i="3"/>
  <c r="W26" i="3"/>
  <c r="X26" i="3"/>
  <c r="Y26" i="3"/>
  <c r="M27" i="3"/>
  <c r="R27" i="3"/>
  <c r="U27" i="3"/>
  <c r="T27" i="3" s="1"/>
  <c r="V27" i="3"/>
  <c r="AE27" i="3" s="1"/>
  <c r="W27" i="3"/>
  <c r="Y27" i="3" s="1"/>
  <c r="X27" i="3"/>
  <c r="AC27" i="3"/>
  <c r="AD15" i="3"/>
  <c r="M23" i="3"/>
  <c r="R23" i="3"/>
  <c r="U23" i="3"/>
  <c r="T23" i="3" s="1"/>
  <c r="V23" i="3"/>
  <c r="W23" i="3"/>
  <c r="Y23" i="3" s="1"/>
  <c r="X23" i="3"/>
  <c r="AC23" i="3"/>
  <c r="M8" i="3"/>
  <c r="R8" i="3"/>
  <c r="S8" i="3"/>
  <c r="U8" i="3"/>
  <c r="AD8" i="3" s="1"/>
  <c r="V8" i="3"/>
  <c r="W8" i="3"/>
  <c r="Y8" i="3" s="1"/>
  <c r="X8" i="3"/>
  <c r="M21" i="3"/>
  <c r="R21" i="3"/>
  <c r="U21" i="3"/>
  <c r="AC21" i="3" s="1"/>
  <c r="V21" i="3"/>
  <c r="W21" i="3"/>
  <c r="X21" i="3"/>
  <c r="M12" i="3"/>
  <c r="R12" i="3"/>
  <c r="S12" i="3"/>
  <c r="U12" i="3"/>
  <c r="V12" i="3"/>
  <c r="W12" i="3"/>
  <c r="X12" i="3"/>
  <c r="AC12" i="3"/>
  <c r="M17" i="3"/>
  <c r="R17" i="3"/>
  <c r="S17" i="3"/>
  <c r="U17" i="3"/>
  <c r="T17" i="3" s="1"/>
  <c r="V17" i="3"/>
  <c r="W17" i="3"/>
  <c r="Y17" i="3" s="1"/>
  <c r="X17" i="3"/>
  <c r="AC17" i="3"/>
  <c r="M30" i="3"/>
  <c r="R30" i="3"/>
  <c r="U30" i="3"/>
  <c r="AD21" i="3" s="1"/>
  <c r="V30" i="3"/>
  <c r="W30" i="3"/>
  <c r="X30" i="3"/>
  <c r="Y30" i="3"/>
  <c r="M31" i="3"/>
  <c r="R31" i="3"/>
  <c r="U31" i="3"/>
  <c r="AC31" i="3" s="1"/>
  <c r="V31" i="3"/>
  <c r="W31" i="3"/>
  <c r="X31" i="3"/>
  <c r="Y31" i="3"/>
  <c r="M7" i="3"/>
  <c r="R7" i="3"/>
  <c r="U7" i="3"/>
  <c r="T7" i="3" s="1"/>
  <c r="V7" i="3"/>
  <c r="AE23" i="3" s="1"/>
  <c r="W7" i="3"/>
  <c r="Y7" i="3" s="1"/>
  <c r="X7" i="3"/>
  <c r="AC7" i="3"/>
  <c r="AD23" i="3"/>
  <c r="M19" i="3"/>
  <c r="R19" i="3"/>
  <c r="S19" i="3"/>
  <c r="U19" i="3"/>
  <c r="T19" i="3" s="1"/>
  <c r="V19" i="3"/>
  <c r="W19" i="3"/>
  <c r="X19" i="3"/>
  <c r="M9" i="3"/>
  <c r="R9" i="3"/>
  <c r="S9" i="3"/>
  <c r="U9" i="3"/>
  <c r="V9" i="3"/>
  <c r="W9" i="3"/>
  <c r="Y9" i="3" s="1"/>
  <c r="X9" i="3"/>
  <c r="M32" i="3"/>
  <c r="R32" i="3"/>
  <c r="S32" i="3"/>
  <c r="U32" i="3"/>
  <c r="AC32" i="3" s="1"/>
  <c r="V32" i="3"/>
  <c r="W32" i="3"/>
  <c r="Y32" i="3" s="1"/>
  <c r="X32" i="3"/>
  <c r="M13" i="3"/>
  <c r="R13" i="3"/>
  <c r="S13" i="3"/>
  <c r="U13" i="3"/>
  <c r="T13" i="3" s="1"/>
  <c r="V13" i="3"/>
  <c r="W13" i="3"/>
  <c r="Y13" i="3" s="1"/>
  <c r="X13" i="3"/>
  <c r="M28" i="3"/>
  <c r="R28" i="3"/>
  <c r="U28" i="3"/>
  <c r="T28" i="3" s="1"/>
  <c r="V28" i="3"/>
  <c r="W28" i="3"/>
  <c r="X28" i="3"/>
  <c r="AD28" i="3"/>
  <c r="M33" i="3"/>
  <c r="R33" i="3"/>
  <c r="U33" i="3"/>
  <c r="V33" i="3"/>
  <c r="W33" i="3"/>
  <c r="Y33" i="3" s="1"/>
  <c r="X33" i="3"/>
  <c r="AC33" i="3"/>
  <c r="M34" i="3"/>
  <c r="R34" i="3"/>
  <c r="U34" i="3"/>
  <c r="AC34" i="3" s="1"/>
  <c r="V34" i="3"/>
  <c r="W34" i="3"/>
  <c r="X34" i="3"/>
  <c r="M24" i="3"/>
  <c r="R24" i="3"/>
  <c r="U24" i="3"/>
  <c r="V24" i="3"/>
  <c r="W24" i="3"/>
  <c r="X24" i="3"/>
  <c r="M22" i="3"/>
  <c r="R22" i="3"/>
  <c r="U22" i="3"/>
  <c r="T22" i="3" s="1"/>
  <c r="V22" i="3"/>
  <c r="W22" i="3"/>
  <c r="Y22" i="3" s="1"/>
  <c r="X22" i="3"/>
  <c r="AC22" i="3"/>
  <c r="M20" i="3"/>
  <c r="R20" i="3"/>
  <c r="S20" i="3"/>
  <c r="U20" i="3"/>
  <c r="AD33" i="3" s="1"/>
  <c r="V20" i="3"/>
  <c r="W20" i="3"/>
  <c r="X20" i="3"/>
  <c r="Y20" i="3"/>
  <c r="M25" i="3"/>
  <c r="R25" i="3"/>
  <c r="U25" i="3"/>
  <c r="AC25" i="3" s="1"/>
  <c r="V25" i="3"/>
  <c r="W25" i="3"/>
  <c r="X25" i="3"/>
  <c r="AE31" i="3" l="1"/>
  <c r="S31" i="3"/>
  <c r="S27" i="3"/>
  <c r="AG220" i="1"/>
  <c r="AA203" i="1"/>
  <c r="AA200" i="1"/>
  <c r="W200" i="1" s="1"/>
  <c r="AG198" i="1"/>
  <c r="AI198" i="1" s="1"/>
  <c r="AA195" i="1"/>
  <c r="AA192" i="1"/>
  <c r="AG190" i="1"/>
  <c r="AI190" i="1" s="1"/>
  <c r="AA188" i="1"/>
  <c r="AG186" i="1"/>
  <c r="AI186" i="1" s="1"/>
  <c r="AA185" i="1"/>
  <c r="AG178" i="1"/>
  <c r="AI178" i="1" s="1"/>
  <c r="X176" i="1"/>
  <c r="T228" i="1"/>
  <c r="AG228" i="1"/>
  <c r="AG152" i="1"/>
  <c r="T152" i="1"/>
  <c r="T149" i="1"/>
  <c r="AG149" i="1"/>
  <c r="AI149" i="1" s="1"/>
  <c r="AG147" i="1"/>
  <c r="AI147" i="1" s="1"/>
  <c r="T147" i="1"/>
  <c r="T135" i="1"/>
  <c r="X135" i="1"/>
  <c r="AG135" i="1"/>
  <c r="AI135" i="1" s="1"/>
  <c r="T133" i="1"/>
  <c r="X133" i="1"/>
  <c r="AG133" i="1"/>
  <c r="AI133" i="1" s="1"/>
  <c r="T69" i="1"/>
  <c r="AG69" i="1"/>
  <c r="AI69" i="1" s="1"/>
  <c r="T61" i="1"/>
  <c r="AG61" i="1"/>
  <c r="T51" i="1"/>
  <c r="X51" i="1"/>
  <c r="AG51" i="1"/>
  <c r="AG221" i="1"/>
  <c r="X221" i="1"/>
  <c r="AA221" i="1"/>
  <c r="AI202" i="1"/>
  <c r="X197" i="1"/>
  <c r="AI194" i="1"/>
  <c r="W184" i="1"/>
  <c r="T154" i="1"/>
  <c r="X154" i="1"/>
  <c r="AG117" i="1"/>
  <c r="X117" i="1"/>
  <c r="T90" i="1"/>
  <c r="AG90" i="1"/>
  <c r="T74" i="1"/>
  <c r="AG74" i="1"/>
  <c r="X62" i="1"/>
  <c r="T19" i="1"/>
  <c r="X19" i="1"/>
  <c r="AG19" i="1"/>
  <c r="W220" i="1"/>
  <c r="T189" i="1"/>
  <c r="X189" i="1"/>
  <c r="T206" i="1"/>
  <c r="AG206" i="1"/>
  <c r="AI206" i="1" s="1"/>
  <c r="AG148" i="1"/>
  <c r="T148" i="1"/>
  <c r="X148" i="1"/>
  <c r="AG138" i="1"/>
  <c r="T138" i="1"/>
  <c r="AG134" i="1"/>
  <c r="X134" i="1"/>
  <c r="T124" i="1"/>
  <c r="X125" i="1"/>
  <c r="T43" i="1"/>
  <c r="X43" i="1"/>
  <c r="AG43" i="1"/>
  <c r="AG189" i="1"/>
  <c r="T185" i="1"/>
  <c r="AG180" i="1"/>
  <c r="W180" i="1" s="1"/>
  <c r="AI169" i="1"/>
  <c r="W149" i="1"/>
  <c r="W85" i="1"/>
  <c r="W69" i="1"/>
  <c r="T47" i="1"/>
  <c r="AG47" i="1"/>
  <c r="T22" i="1"/>
  <c r="X22" i="1"/>
  <c r="AG22" i="1"/>
  <c r="AI22" i="1" s="1"/>
  <c r="AA187" i="1"/>
  <c r="AA186" i="1"/>
  <c r="X177" i="1"/>
  <c r="AA177" i="1"/>
  <c r="AA175" i="1"/>
  <c r="AA171" i="1"/>
  <c r="AA168" i="1"/>
  <c r="T165" i="1"/>
  <c r="AA230" i="1"/>
  <c r="T224" i="1"/>
  <c r="AA223" i="1"/>
  <c r="W223" i="1" s="1"/>
  <c r="AA222" i="1"/>
  <c r="W222" i="1" s="1"/>
  <c r="X214" i="1"/>
  <c r="AA209" i="1"/>
  <c r="AA208" i="1"/>
  <c r="T204" i="1"/>
  <c r="AA156" i="1"/>
  <c r="W156" i="1" s="1"/>
  <c r="AA151" i="1"/>
  <c r="X139" i="1"/>
  <c r="AA125" i="1"/>
  <c r="W125" i="1" s="1"/>
  <c r="AA121" i="1"/>
  <c r="X113" i="1"/>
  <c r="AA89" i="1"/>
  <c r="AA83" i="1"/>
  <c r="W83" i="1" s="1"/>
  <c r="AA81" i="1"/>
  <c r="W81" i="1" s="1"/>
  <c r="AA78" i="1"/>
  <c r="T78" i="1"/>
  <c r="AA76" i="1"/>
  <c r="AA73" i="1"/>
  <c r="AA70" i="1"/>
  <c r="T70" i="1"/>
  <c r="AA59" i="1"/>
  <c r="X57" i="1"/>
  <c r="AA50" i="1"/>
  <c r="W50" i="1" s="1"/>
  <c r="AA46" i="1"/>
  <c r="AA38" i="1"/>
  <c r="X34" i="1"/>
  <c r="AA31" i="1"/>
  <c r="AA28" i="1"/>
  <c r="AI151" i="1"/>
  <c r="W145" i="1"/>
  <c r="AI143" i="1"/>
  <c r="U86" i="1"/>
  <c r="W67" i="1"/>
  <c r="W62" i="1"/>
  <c r="AA157" i="1"/>
  <c r="AA229" i="1"/>
  <c r="AA152" i="1"/>
  <c r="W152" i="1" s="1"/>
  <c r="AA148" i="1"/>
  <c r="W148" i="1" s="1"/>
  <c r="X147" i="1"/>
  <c r="AA138" i="1"/>
  <c r="AA133" i="1"/>
  <c r="W133" i="1" s="1"/>
  <c r="AA131" i="1"/>
  <c r="X130" i="1"/>
  <c r="AA129" i="1"/>
  <c r="W129" i="1" s="1"/>
  <c r="X128" i="1"/>
  <c r="AA124" i="1"/>
  <c r="AA94" i="1"/>
  <c r="AG83" i="1"/>
  <c r="AG78" i="1"/>
  <c r="AA77" i="1"/>
  <c r="W77" i="1" s="1"/>
  <c r="AG70" i="1"/>
  <c r="U70" i="1" s="1"/>
  <c r="AA68" i="1"/>
  <c r="AG59" i="1"/>
  <c r="X38" i="1"/>
  <c r="AG35" i="1"/>
  <c r="X35" i="1"/>
  <c r="AG26" i="1"/>
  <c r="AA25" i="1"/>
  <c r="AA22" i="1"/>
  <c r="W22" i="1" s="1"/>
  <c r="AA17" i="1"/>
  <c r="W192" i="1"/>
  <c r="W221" i="1"/>
  <c r="U220" i="1"/>
  <c r="S220" i="1" s="1"/>
  <c r="T196" i="1"/>
  <c r="T188" i="1"/>
  <c r="W186" i="1"/>
  <c r="X184" i="1"/>
  <c r="AG182" i="1"/>
  <c r="AI182" i="1" s="1"/>
  <c r="T180" i="1"/>
  <c r="U180" i="1" s="1"/>
  <c r="S180" i="1" s="1"/>
  <c r="T177" i="1"/>
  <c r="AG176" i="1"/>
  <c r="U176" i="1" s="1"/>
  <c r="S176" i="1" s="1"/>
  <c r="T172" i="1"/>
  <c r="U172" i="1" s="1"/>
  <c r="S172" i="1" s="1"/>
  <c r="AI137" i="1"/>
  <c r="X220" i="1"/>
  <c r="AG218" i="1"/>
  <c r="AI218" i="1" s="1"/>
  <c r="AG201" i="1"/>
  <c r="X201" i="1"/>
  <c r="AA197" i="1"/>
  <c r="T197" i="1"/>
  <c r="AG196" i="1"/>
  <c r="U196" i="1" s="1"/>
  <c r="S196" i="1" s="1"/>
  <c r="AG193" i="1"/>
  <c r="X193" i="1"/>
  <c r="AA189" i="1"/>
  <c r="W189" i="1" s="1"/>
  <c r="AG188" i="1"/>
  <c r="U188" i="1" s="1"/>
  <c r="S188" i="1" s="1"/>
  <c r="AG185" i="1"/>
  <c r="W185" i="1" s="1"/>
  <c r="W178" i="1"/>
  <c r="T163" i="1"/>
  <c r="X164" i="1"/>
  <c r="W208" i="1"/>
  <c r="W217" i="1"/>
  <c r="U216" i="1"/>
  <c r="S216" i="1" s="1"/>
  <c r="T200" i="1"/>
  <c r="U200" i="1" s="1"/>
  <c r="S200" i="1" s="1"/>
  <c r="W198" i="1"/>
  <c r="T192" i="1"/>
  <c r="U192" i="1" s="1"/>
  <c r="S192" i="1" s="1"/>
  <c r="AA191" i="1"/>
  <c r="AA190" i="1"/>
  <c r="W190" i="1" s="1"/>
  <c r="AA183" i="1"/>
  <c r="AA182" i="1"/>
  <c r="W182" i="1" s="1"/>
  <c r="AA181" i="1"/>
  <c r="W181" i="1" s="1"/>
  <c r="AG177" i="1"/>
  <c r="W177" i="1" s="1"/>
  <c r="X172" i="1"/>
  <c r="AG168" i="1"/>
  <c r="U168" i="1" s="1"/>
  <c r="S168" i="1" s="1"/>
  <c r="X169" i="1"/>
  <c r="X168" i="1"/>
  <c r="W164" i="1"/>
  <c r="AA219" i="1"/>
  <c r="AA218" i="1"/>
  <c r="W218" i="1" s="1"/>
  <c r="AA201" i="1"/>
  <c r="AG197" i="1"/>
  <c r="AA193" i="1"/>
  <c r="U184" i="1"/>
  <c r="S184" i="1" s="1"/>
  <c r="AA174" i="1"/>
  <c r="AA173" i="1"/>
  <c r="W173" i="1" s="1"/>
  <c r="AA170" i="1"/>
  <c r="AA169" i="1"/>
  <c r="W169" i="1" s="1"/>
  <c r="AG165" i="1"/>
  <c r="AI165" i="1" s="1"/>
  <c r="AA158" i="1"/>
  <c r="AG231" i="1"/>
  <c r="U231" i="1" s="1"/>
  <c r="S231" i="1" s="1"/>
  <c r="AA228" i="1"/>
  <c r="W228" i="1" s="1"/>
  <c r="X227" i="1"/>
  <c r="U222" i="1"/>
  <c r="AA214" i="1"/>
  <c r="W214" i="1" s="1"/>
  <c r="X213" i="1"/>
  <c r="AA211" i="1"/>
  <c r="T211" i="1"/>
  <c r="AA210" i="1"/>
  <c r="W210" i="1" s="1"/>
  <c r="X209" i="1"/>
  <c r="X206" i="1"/>
  <c r="AG204" i="1"/>
  <c r="U204" i="1" s="1"/>
  <c r="X156" i="1"/>
  <c r="T155" i="1"/>
  <c r="AA154" i="1"/>
  <c r="AA153" i="1"/>
  <c r="W153" i="1" s="1"/>
  <c r="X152" i="1"/>
  <c r="AA150" i="1"/>
  <c r="AA144" i="1"/>
  <c r="T144" i="1"/>
  <c r="AA143" i="1"/>
  <c r="W143" i="1" s="1"/>
  <c r="AG141" i="1"/>
  <c r="AG139" i="1"/>
  <c r="AI139" i="1" s="1"/>
  <c r="X138" i="1"/>
  <c r="X137" i="1"/>
  <c r="X136" i="1"/>
  <c r="AA130" i="1"/>
  <c r="T130" i="1"/>
  <c r="AA128" i="1"/>
  <c r="T128" i="1"/>
  <c r="AG126" i="1"/>
  <c r="U126" i="1" s="1"/>
  <c r="X126" i="1"/>
  <c r="T125" i="1"/>
  <c r="X121" i="1"/>
  <c r="AA117" i="1"/>
  <c r="W117" i="1" s="1"/>
  <c r="T117" i="1"/>
  <c r="T113" i="1"/>
  <c r="AA112" i="1"/>
  <c r="AG110" i="1"/>
  <c r="X110" i="1"/>
  <c r="AA103" i="1"/>
  <c r="X102" i="1"/>
  <c r="AG102" i="1"/>
  <c r="AA102" i="1"/>
  <c r="X94" i="1"/>
  <c r="X93" i="1"/>
  <c r="AG93" i="1"/>
  <c r="T66" i="1"/>
  <c r="X66" i="1"/>
  <c r="AG66" i="1"/>
  <c r="U61" i="1"/>
  <c r="S61" i="1" s="1"/>
  <c r="AI61" i="1"/>
  <c r="T39" i="1"/>
  <c r="X39" i="1"/>
  <c r="AG39" i="1"/>
  <c r="T17" i="1"/>
  <c r="X18" i="1"/>
  <c r="AG17" i="1"/>
  <c r="T15" i="1"/>
  <c r="X15" i="1"/>
  <c r="AG15" i="1"/>
  <c r="AA162" i="1"/>
  <c r="T161" i="1"/>
  <c r="U160" i="1"/>
  <c r="S160" i="1" s="1"/>
  <c r="W157" i="1"/>
  <c r="X231" i="1"/>
  <c r="X228" i="1"/>
  <c r="T208" i="1"/>
  <c r="U208" i="1" s="1"/>
  <c r="S208" i="1" s="1"/>
  <c r="AA207" i="1"/>
  <c r="W207" i="1" s="1"/>
  <c r="T207" i="1"/>
  <c r="W206" i="1"/>
  <c r="X155" i="1"/>
  <c r="U153" i="1"/>
  <c r="X151" i="1"/>
  <c r="U149" i="1"/>
  <c r="S149" i="1" s="1"/>
  <c r="AA146" i="1"/>
  <c r="T146" i="1"/>
  <c r="W137" i="1"/>
  <c r="AA134" i="1"/>
  <c r="W134" i="1" s="1"/>
  <c r="T134" i="1"/>
  <c r="AA132" i="1"/>
  <c r="W132" i="1" s="1"/>
  <c r="T132" i="1"/>
  <c r="W131" i="1"/>
  <c r="U129" i="1"/>
  <c r="S129" i="1" s="1"/>
  <c r="AA123" i="1"/>
  <c r="T122" i="1"/>
  <c r="AA115" i="1"/>
  <c r="X114" i="1"/>
  <c r="AG114" i="1"/>
  <c r="W114" i="1" s="1"/>
  <c r="AA109" i="1"/>
  <c r="W109" i="1" s="1"/>
  <c r="T109" i="1"/>
  <c r="AA107" i="1"/>
  <c r="AA106" i="1"/>
  <c r="W106" i="1" s="1"/>
  <c r="AG105" i="1"/>
  <c r="X105" i="1"/>
  <c r="T89" i="1"/>
  <c r="X90" i="1"/>
  <c r="AG89" i="1"/>
  <c r="W89" i="1" s="1"/>
  <c r="T87" i="1"/>
  <c r="AG87" i="1"/>
  <c r="AI81" i="1"/>
  <c r="T73" i="1"/>
  <c r="X74" i="1"/>
  <c r="AG73" i="1"/>
  <c r="W65" i="1"/>
  <c r="U50" i="1"/>
  <c r="S50" i="1" s="1"/>
  <c r="AI50" i="1"/>
  <c r="W38" i="1"/>
  <c r="AA26" i="1"/>
  <c r="W26" i="1" s="1"/>
  <c r="T23" i="1"/>
  <c r="X23" i="1"/>
  <c r="AG23" i="1"/>
  <c r="W231" i="1"/>
  <c r="T227" i="1"/>
  <c r="U227" i="1" s="1"/>
  <c r="S227" i="1" s="1"/>
  <c r="W204" i="1"/>
  <c r="W155" i="1"/>
  <c r="W151" i="1"/>
  <c r="U145" i="1"/>
  <c r="S145" i="1" s="1"/>
  <c r="W141" i="1"/>
  <c r="T137" i="1"/>
  <c r="U137" i="1" s="1"/>
  <c r="S137" i="1" s="1"/>
  <c r="AA136" i="1"/>
  <c r="W136" i="1" s="1"/>
  <c r="T136" i="1"/>
  <c r="AA135" i="1"/>
  <c r="W135" i="1" s="1"/>
  <c r="U133" i="1"/>
  <c r="S133" i="1" s="1"/>
  <c r="T121" i="1"/>
  <c r="T71" i="1"/>
  <c r="AG71" i="1"/>
  <c r="AI65" i="1"/>
  <c r="T57" i="1"/>
  <c r="X58" i="1"/>
  <c r="AG57" i="1"/>
  <c r="W57" i="1" s="1"/>
  <c r="X47" i="1"/>
  <c r="X46" i="1"/>
  <c r="AG46" i="1"/>
  <c r="W46" i="1" s="1"/>
  <c r="U42" i="1"/>
  <c r="S42" i="1" s="1"/>
  <c r="AI42" i="1"/>
  <c r="AI38" i="1"/>
  <c r="AG14" i="1"/>
  <c r="T14" i="1"/>
  <c r="AA165" i="1"/>
  <c r="W165" i="1" s="1"/>
  <c r="AG161" i="1"/>
  <c r="AI161" i="1" s="1"/>
  <c r="AA224" i="1"/>
  <c r="W224" i="1" s="1"/>
  <c r="AG212" i="1"/>
  <c r="W212" i="1" s="1"/>
  <c r="X207" i="1"/>
  <c r="AA147" i="1"/>
  <c r="W147" i="1" s="1"/>
  <c r="X146" i="1"/>
  <c r="AA139" i="1"/>
  <c r="W139" i="1" s="1"/>
  <c r="X132" i="1"/>
  <c r="AA126" i="1"/>
  <c r="AG122" i="1"/>
  <c r="W122" i="1" s="1"/>
  <c r="AG118" i="1"/>
  <c r="W118" i="1" s="1"/>
  <c r="X118" i="1"/>
  <c r="W110" i="1"/>
  <c r="X109" i="1"/>
  <c r="T101" i="1"/>
  <c r="W93" i="1"/>
  <c r="T82" i="1"/>
  <c r="X82" i="1"/>
  <c r="AG82" i="1"/>
  <c r="U77" i="1"/>
  <c r="S77" i="1" s="1"/>
  <c r="AI77" i="1"/>
  <c r="X73" i="1"/>
  <c r="W61" i="1"/>
  <c r="T55" i="1"/>
  <c r="AG55" i="1"/>
  <c r="U35" i="1"/>
  <c r="X31" i="1"/>
  <c r="X30" i="1"/>
  <c r="AG30" i="1"/>
  <c r="U26" i="1"/>
  <c r="S26" i="1" s="1"/>
  <c r="AI26" i="1"/>
  <c r="W17" i="1"/>
  <c r="AA119" i="1"/>
  <c r="AA111" i="1"/>
  <c r="AA98" i="1"/>
  <c r="W98" i="1" s="1"/>
  <c r="T97" i="1"/>
  <c r="AA95" i="1"/>
  <c r="AA90" i="1"/>
  <c r="W90" i="1" s="1"/>
  <c r="X85" i="1"/>
  <c r="T81" i="1"/>
  <c r="U81" i="1" s="1"/>
  <c r="S81" i="1" s="1"/>
  <c r="AA80" i="1"/>
  <c r="AA79" i="1"/>
  <c r="AA74" i="1"/>
  <c r="W74" i="1" s="1"/>
  <c r="X69" i="1"/>
  <c r="T65" i="1"/>
  <c r="U65" i="1" s="1"/>
  <c r="S65" i="1" s="1"/>
  <c r="AA64" i="1"/>
  <c r="AA63" i="1"/>
  <c r="AA58" i="1"/>
  <c r="W58" i="1" s="1"/>
  <c r="AA51" i="1"/>
  <c r="X50" i="1"/>
  <c r="AA48" i="1"/>
  <c r="W48" i="1" s="1"/>
  <c r="AA43" i="1"/>
  <c r="W43" i="1" s="1"/>
  <c r="X42" i="1"/>
  <c r="AA32" i="1"/>
  <c r="W32" i="1" s="1"/>
  <c r="AA27" i="1"/>
  <c r="W27" i="1" s="1"/>
  <c r="X26" i="1"/>
  <c r="W94" i="1"/>
  <c r="AA91" i="1"/>
  <c r="W86" i="1"/>
  <c r="U85" i="1"/>
  <c r="S85" i="1" s="1"/>
  <c r="U83" i="1"/>
  <c r="X81" i="1"/>
  <c r="U78" i="1"/>
  <c r="W75" i="1"/>
  <c r="W70" i="1"/>
  <c r="U69" i="1"/>
  <c r="S69" i="1" s="1"/>
  <c r="U67" i="1"/>
  <c r="X65" i="1"/>
  <c r="U62" i="1"/>
  <c r="W59" i="1"/>
  <c r="W54" i="1"/>
  <c r="U53" i="1"/>
  <c r="S53" i="1" s="1"/>
  <c r="U51" i="1"/>
  <c r="U43" i="1"/>
  <c r="T38" i="1"/>
  <c r="U38" i="1" s="1"/>
  <c r="S38" i="1" s="1"/>
  <c r="AA36" i="1"/>
  <c r="W36" i="1" s="1"/>
  <c r="AA35" i="1"/>
  <c r="W35" i="1" s="1"/>
  <c r="U34" i="1"/>
  <c r="S34" i="1" s="1"/>
  <c r="W31" i="1"/>
  <c r="U27" i="1"/>
  <c r="AA20" i="1"/>
  <c r="W20" i="1" s="1"/>
  <c r="AA19" i="1"/>
  <c r="W19" i="1" s="1"/>
  <c r="U18" i="1"/>
  <c r="S18" i="1" s="1"/>
  <c r="U90" i="1"/>
  <c r="AA88" i="1"/>
  <c r="AA87" i="1"/>
  <c r="W87" i="1" s="1"/>
  <c r="AA82" i="1"/>
  <c r="W82" i="1" s="1"/>
  <c r="AG79" i="1"/>
  <c r="X77" i="1"/>
  <c r="U74" i="1"/>
  <c r="AA72" i="1"/>
  <c r="AA71" i="1"/>
  <c r="W71" i="1" s="1"/>
  <c r="AA66" i="1"/>
  <c r="W66" i="1" s="1"/>
  <c r="AG63" i="1"/>
  <c r="X61" i="1"/>
  <c r="U58" i="1"/>
  <c r="AA56" i="1"/>
  <c r="AA55" i="1"/>
  <c r="AA40" i="1"/>
  <c r="W40" i="1" s="1"/>
  <c r="AA39" i="1"/>
  <c r="W39" i="1" s="1"/>
  <c r="U31" i="1"/>
  <c r="AA24" i="1"/>
  <c r="W24" i="1" s="1"/>
  <c r="AA23" i="1"/>
  <c r="W23" i="1" s="1"/>
  <c r="U22" i="1"/>
  <c r="S22" i="1" s="1"/>
  <c r="AA16" i="1"/>
  <c r="AA14" i="1"/>
  <c r="S222" i="1"/>
  <c r="U221" i="1"/>
  <c r="S221" i="1" s="1"/>
  <c r="U217" i="1"/>
  <c r="S217" i="1" s="1"/>
  <c r="X216" i="1"/>
  <c r="U201" i="1"/>
  <c r="S201" i="1" s="1"/>
  <c r="U197" i="1"/>
  <c r="S197" i="1" s="1"/>
  <c r="U193" i="1"/>
  <c r="S193" i="1" s="1"/>
  <c r="U189" i="1"/>
  <c r="S189" i="1" s="1"/>
  <c r="U185" i="1"/>
  <c r="S185" i="1" s="1"/>
  <c r="U181" i="1"/>
  <c r="S181" i="1" s="1"/>
  <c r="U177" i="1"/>
  <c r="S177" i="1" s="1"/>
  <c r="U173" i="1"/>
  <c r="S173" i="1" s="1"/>
  <c r="U169" i="1"/>
  <c r="S169" i="1" s="1"/>
  <c r="U165" i="1"/>
  <c r="S165" i="1" s="1"/>
  <c r="U161" i="1"/>
  <c r="S161" i="1" s="1"/>
  <c r="U157" i="1"/>
  <c r="S157" i="1" s="1"/>
  <c r="U228" i="1"/>
  <c r="S228" i="1" s="1"/>
  <c r="U224" i="1"/>
  <c r="S224" i="1" s="1"/>
  <c r="X215" i="1"/>
  <c r="U207" i="1"/>
  <c r="S207" i="1" s="1"/>
  <c r="AI160" i="1"/>
  <c r="AI134" i="1"/>
  <c r="U134" i="1"/>
  <c r="S134" i="1" s="1"/>
  <c r="U132" i="1"/>
  <c r="S132" i="1" s="1"/>
  <c r="AI132" i="1"/>
  <c r="U202" i="1"/>
  <c r="S202" i="1" s="1"/>
  <c r="U198" i="1"/>
  <c r="S198" i="1" s="1"/>
  <c r="U194" i="1"/>
  <c r="S194" i="1" s="1"/>
  <c r="U190" i="1"/>
  <c r="S190" i="1" s="1"/>
  <c r="U186" i="1"/>
  <c r="S186" i="1" s="1"/>
  <c r="U182" i="1"/>
  <c r="S182" i="1" s="1"/>
  <c r="U178" i="1"/>
  <c r="S178" i="1" s="1"/>
  <c r="AG174" i="1"/>
  <c r="AI174" i="1" s="1"/>
  <c r="AG170" i="1"/>
  <c r="AI170" i="1" s="1"/>
  <c r="AG166" i="1"/>
  <c r="AG162" i="1"/>
  <c r="AG158" i="1"/>
  <c r="AG229" i="1"/>
  <c r="W229" i="1" s="1"/>
  <c r="AG225" i="1"/>
  <c r="W225" i="1" s="1"/>
  <c r="X224" i="1"/>
  <c r="T223" i="1"/>
  <c r="U223" i="1" s="1"/>
  <c r="S223" i="1" s="1"/>
  <c r="U212" i="1"/>
  <c r="S212" i="1" s="1"/>
  <c r="U156" i="1"/>
  <c r="S156" i="1" s="1"/>
  <c r="AI156" i="1"/>
  <c r="U152" i="1"/>
  <c r="S152" i="1" s="1"/>
  <c r="AI152" i="1"/>
  <c r="AI138" i="1"/>
  <c r="U138" i="1"/>
  <c r="S138" i="1" s="1"/>
  <c r="U136" i="1"/>
  <c r="S136" i="1" s="1"/>
  <c r="AI136" i="1"/>
  <c r="U218" i="1"/>
  <c r="S218" i="1" s="1"/>
  <c r="AI231" i="1"/>
  <c r="AG219" i="1"/>
  <c r="X218" i="1"/>
  <c r="AI227" i="1"/>
  <c r="AG203" i="1"/>
  <c r="AI203" i="1" s="1"/>
  <c r="X202" i="1"/>
  <c r="AI223" i="1"/>
  <c r="AG199" i="1"/>
  <c r="X198" i="1"/>
  <c r="AI219" i="1"/>
  <c r="AG195" i="1"/>
  <c r="W195" i="1" s="1"/>
  <c r="X194" i="1"/>
  <c r="AI215" i="1"/>
  <c r="AG191" i="1"/>
  <c r="AI191" i="1" s="1"/>
  <c r="X190" i="1"/>
  <c r="AI211" i="1"/>
  <c r="AG187" i="1"/>
  <c r="AI187" i="1" s="1"/>
  <c r="X186" i="1"/>
  <c r="AI207" i="1"/>
  <c r="AG183" i="1"/>
  <c r="AI183" i="1" s="1"/>
  <c r="X182" i="1"/>
  <c r="AG179" i="1"/>
  <c r="W179" i="1" s="1"/>
  <c r="X178" i="1"/>
  <c r="AI199" i="1"/>
  <c r="AG175" i="1"/>
  <c r="AI175" i="1" s="1"/>
  <c r="X174" i="1"/>
  <c r="AI195" i="1"/>
  <c r="AG171" i="1"/>
  <c r="W171" i="1" s="1"/>
  <c r="X170" i="1"/>
  <c r="AG167" i="1"/>
  <c r="X166" i="1"/>
  <c r="AG163" i="1"/>
  <c r="X162" i="1"/>
  <c r="AG159" i="1"/>
  <c r="AI159" i="1" s="1"/>
  <c r="X158" i="1"/>
  <c r="AI179" i="1"/>
  <c r="AG230" i="1"/>
  <c r="AI230" i="1" s="1"/>
  <c r="X229" i="1"/>
  <c r="AG226" i="1"/>
  <c r="X225" i="1"/>
  <c r="X223" i="1"/>
  <c r="W215" i="1"/>
  <c r="T215" i="1"/>
  <c r="W211" i="1"/>
  <c r="U148" i="1"/>
  <c r="S148" i="1"/>
  <c r="AI148" i="1"/>
  <c r="W144" i="1"/>
  <c r="AI142" i="1"/>
  <c r="U142" i="1"/>
  <c r="S142" i="1" s="1"/>
  <c r="U140" i="1"/>
  <c r="S140" i="1" s="1"/>
  <c r="AI140" i="1"/>
  <c r="W130" i="1"/>
  <c r="W128" i="1"/>
  <c r="X219" i="1"/>
  <c r="AI228" i="1"/>
  <c r="X203" i="1"/>
  <c r="AI224" i="1"/>
  <c r="X199" i="1"/>
  <c r="AI220" i="1"/>
  <c r="X195" i="1"/>
  <c r="AI216" i="1"/>
  <c r="X191" i="1"/>
  <c r="AI212" i="1"/>
  <c r="X187" i="1"/>
  <c r="AI208" i="1"/>
  <c r="X183" i="1"/>
  <c r="AI204" i="1"/>
  <c r="X179" i="1"/>
  <c r="AI200" i="1"/>
  <c r="X175" i="1"/>
  <c r="X171" i="1"/>
  <c r="X167" i="1"/>
  <c r="X163" i="1"/>
  <c r="X159" i="1"/>
  <c r="X230" i="1"/>
  <c r="X226" i="1"/>
  <c r="U215" i="1"/>
  <c r="S215" i="1" s="1"/>
  <c r="AI168" i="1"/>
  <c r="U211" i="1"/>
  <c r="S211" i="1" s="1"/>
  <c r="AI164" i="1"/>
  <c r="U144" i="1"/>
  <c r="S144" i="1" s="1"/>
  <c r="AI144" i="1"/>
  <c r="S130" i="1"/>
  <c r="AI130" i="1"/>
  <c r="U130" i="1"/>
  <c r="U128" i="1"/>
  <c r="S128" i="1" s="1"/>
  <c r="AI128" i="1"/>
  <c r="X222" i="1"/>
  <c r="AG213" i="1"/>
  <c r="X212" i="1"/>
  <c r="AG209" i="1"/>
  <c r="X208" i="1"/>
  <c r="AG205" i="1"/>
  <c r="X204" i="1"/>
  <c r="AG154" i="1"/>
  <c r="X153" i="1"/>
  <c r="AG150" i="1"/>
  <c r="X149" i="1"/>
  <c r="AG146" i="1"/>
  <c r="W146" i="1" s="1"/>
  <c r="X145" i="1"/>
  <c r="AI127" i="1"/>
  <c r="W126" i="1"/>
  <c r="U121" i="1"/>
  <c r="S121" i="1" s="1"/>
  <c r="AI121" i="1"/>
  <c r="U113" i="1"/>
  <c r="S113" i="1" s="1"/>
  <c r="AI113" i="1"/>
  <c r="U101" i="1"/>
  <c r="S101" i="1" s="1"/>
  <c r="AI101" i="1"/>
  <c r="W97" i="1"/>
  <c r="U214" i="1"/>
  <c r="S214" i="1" s="1"/>
  <c r="U210" i="1"/>
  <c r="S210" i="1" s="1"/>
  <c r="U206" i="1"/>
  <c r="S206" i="1" s="1"/>
  <c r="S204" i="1"/>
  <c r="U155" i="1"/>
  <c r="S155" i="1" s="1"/>
  <c r="S153" i="1"/>
  <c r="U151" i="1"/>
  <c r="S151" i="1" s="1"/>
  <c r="U147" i="1"/>
  <c r="S147" i="1" s="1"/>
  <c r="U143" i="1"/>
  <c r="S143" i="1" s="1"/>
  <c r="U139" i="1"/>
  <c r="S139" i="1" s="1"/>
  <c r="U135" i="1"/>
  <c r="S135" i="1" s="1"/>
  <c r="U131" i="1"/>
  <c r="S131" i="1" s="1"/>
  <c r="S126" i="1"/>
  <c r="AI126" i="1"/>
  <c r="U125" i="1"/>
  <c r="S125" i="1" s="1"/>
  <c r="AI125" i="1"/>
  <c r="U97" i="1"/>
  <c r="S97" i="1" s="1"/>
  <c r="AI97" i="1"/>
  <c r="W127" i="1"/>
  <c r="U117" i="1"/>
  <c r="S117" i="1" s="1"/>
  <c r="AI117" i="1"/>
  <c r="U109" i="1"/>
  <c r="S109" i="1" s="1"/>
  <c r="AI109" i="1"/>
  <c r="W105" i="1"/>
  <c r="S98" i="1"/>
  <c r="T127" i="1"/>
  <c r="U127" i="1" s="1"/>
  <c r="S127" i="1" s="1"/>
  <c r="X127" i="1"/>
  <c r="W121" i="1"/>
  <c r="W108" i="1"/>
  <c r="U105" i="1"/>
  <c r="S105" i="1" s="1"/>
  <c r="AI105" i="1"/>
  <c r="U122" i="1"/>
  <c r="S122" i="1" s="1"/>
  <c r="U118" i="1"/>
  <c r="S118" i="1" s="1"/>
  <c r="U114" i="1"/>
  <c r="S114" i="1" s="1"/>
  <c r="U110" i="1"/>
  <c r="S110" i="1" s="1"/>
  <c r="U106" i="1"/>
  <c r="S106" i="1" s="1"/>
  <c r="U102" i="1"/>
  <c r="S102" i="1" s="1"/>
  <c r="U98" i="1"/>
  <c r="U94" i="1"/>
  <c r="S94" i="1" s="1"/>
  <c r="AI91" i="1"/>
  <c r="AI87" i="1"/>
  <c r="U75" i="1"/>
  <c r="S75" i="1" s="1"/>
  <c r="U59" i="1"/>
  <c r="S59" i="1" s="1"/>
  <c r="AG123" i="1"/>
  <c r="W123" i="1" s="1"/>
  <c r="AG119" i="1"/>
  <c r="AG115" i="1"/>
  <c r="W115" i="1" s="1"/>
  <c r="AG111" i="1"/>
  <c r="AG107" i="1"/>
  <c r="W107" i="1" s="1"/>
  <c r="AG103" i="1"/>
  <c r="W103" i="1" s="1"/>
  <c r="AG99" i="1"/>
  <c r="W99" i="1" s="1"/>
  <c r="AG95" i="1"/>
  <c r="U91" i="1"/>
  <c r="S91" i="1" s="1"/>
  <c r="U87" i="1"/>
  <c r="S87" i="1" s="1"/>
  <c r="U71" i="1"/>
  <c r="S71" i="1" s="1"/>
  <c r="U55" i="1"/>
  <c r="AG124" i="1"/>
  <c r="X123" i="1"/>
  <c r="AI122" i="1"/>
  <c r="AG120" i="1"/>
  <c r="W120" i="1" s="1"/>
  <c r="X119" i="1"/>
  <c r="AI118" i="1"/>
  <c r="AG116" i="1"/>
  <c r="W116" i="1" s="1"/>
  <c r="X115" i="1"/>
  <c r="AI114" i="1"/>
  <c r="AG112" i="1"/>
  <c r="X111" i="1"/>
  <c r="AI110" i="1"/>
  <c r="AG108" i="1"/>
  <c r="X107" i="1"/>
  <c r="AI106" i="1"/>
  <c r="AG104" i="1"/>
  <c r="X103" i="1"/>
  <c r="AI102" i="1"/>
  <c r="AG100" i="1"/>
  <c r="X99" i="1"/>
  <c r="AI98" i="1"/>
  <c r="AG96" i="1"/>
  <c r="X95" i="1"/>
  <c r="AI94" i="1"/>
  <c r="W91" i="1"/>
  <c r="X124" i="1"/>
  <c r="X120" i="1"/>
  <c r="X116" i="1"/>
  <c r="X112" i="1"/>
  <c r="X108" i="1"/>
  <c r="X104" i="1"/>
  <c r="X100" i="1"/>
  <c r="X96" i="1"/>
  <c r="T92" i="1"/>
  <c r="AG92" i="1"/>
  <c r="X89" i="1"/>
  <c r="T88" i="1"/>
  <c r="X88" i="1"/>
  <c r="AG88" i="1"/>
  <c r="U79" i="1"/>
  <c r="S79" i="1" s="1"/>
  <c r="U63" i="1"/>
  <c r="S63" i="1" s="1"/>
  <c r="X91" i="1"/>
  <c r="AI90" i="1"/>
  <c r="S90" i="1"/>
  <c r="X87" i="1"/>
  <c r="AI86" i="1"/>
  <c r="S86" i="1"/>
  <c r="AG84" i="1"/>
  <c r="W84" i="1" s="1"/>
  <c r="X83" i="1"/>
  <c r="AI82" i="1"/>
  <c r="AG80" i="1"/>
  <c r="X79" i="1"/>
  <c r="AI78" i="1"/>
  <c r="S78" i="1"/>
  <c r="AG76" i="1"/>
  <c r="W76" i="1" s="1"/>
  <c r="X75" i="1"/>
  <c r="AI74" i="1"/>
  <c r="S74" i="1"/>
  <c r="AG72" i="1"/>
  <c r="W72" i="1" s="1"/>
  <c r="X71" i="1"/>
  <c r="AI70" i="1"/>
  <c r="S70" i="1"/>
  <c r="AG68" i="1"/>
  <c r="X67" i="1"/>
  <c r="AI66" i="1"/>
  <c r="AG64" i="1"/>
  <c r="W64" i="1" s="1"/>
  <c r="X63" i="1"/>
  <c r="AI62" i="1"/>
  <c r="S62" i="1"/>
  <c r="AG60" i="1"/>
  <c r="W60" i="1" s="1"/>
  <c r="X59" i="1"/>
  <c r="AI58" i="1"/>
  <c r="S58" i="1"/>
  <c r="AG56" i="1"/>
  <c r="W56" i="1" s="1"/>
  <c r="X55" i="1"/>
  <c r="AI54" i="1"/>
  <c r="S54" i="1"/>
  <c r="AG52" i="1"/>
  <c r="X52" i="1"/>
  <c r="T49" i="1"/>
  <c r="X49" i="1"/>
  <c r="AG49" i="1"/>
  <c r="AI48" i="1"/>
  <c r="W47" i="1"/>
  <c r="W44" i="1"/>
  <c r="AI40" i="1"/>
  <c r="W28" i="1"/>
  <c r="AI24" i="1"/>
  <c r="AI16" i="1"/>
  <c r="AI14" i="1"/>
  <c r="U14" i="1"/>
  <c r="S14" i="1" s="1"/>
  <c r="X84" i="1"/>
  <c r="T84" i="1"/>
  <c r="AI83" i="1"/>
  <c r="S83" i="1"/>
  <c r="X80" i="1"/>
  <c r="T80" i="1"/>
  <c r="AI79" i="1"/>
  <c r="X76" i="1"/>
  <c r="T76" i="1"/>
  <c r="AI75" i="1"/>
  <c r="X72" i="1"/>
  <c r="T72" i="1"/>
  <c r="AI71" i="1"/>
  <c r="X68" i="1"/>
  <c r="T68" i="1"/>
  <c r="AI67" i="1"/>
  <c r="S67" i="1"/>
  <c r="X64" i="1"/>
  <c r="T64" i="1"/>
  <c r="AI63" i="1"/>
  <c r="X60" i="1"/>
  <c r="T60" i="1"/>
  <c r="AI59" i="1"/>
  <c r="X56" i="1"/>
  <c r="T56" i="1"/>
  <c r="AI55" i="1"/>
  <c r="S55" i="1"/>
  <c r="W51" i="1"/>
  <c r="AI47" i="1"/>
  <c r="AI44" i="1"/>
  <c r="AI28" i="1"/>
  <c r="X53" i="1"/>
  <c r="AA52" i="1"/>
  <c r="S51" i="1"/>
  <c r="AI51" i="1"/>
  <c r="AI32" i="1"/>
  <c r="T48" i="1"/>
  <c r="U48" i="1" s="1"/>
  <c r="S48" i="1" s="1"/>
  <c r="X48" i="1"/>
  <c r="U47" i="1"/>
  <c r="S47" i="1" s="1"/>
  <c r="U36" i="1"/>
  <c r="S36" i="1" s="1"/>
  <c r="AI36" i="1"/>
  <c r="AI20" i="1"/>
  <c r="W16" i="1"/>
  <c r="W14" i="1"/>
  <c r="AG45" i="1"/>
  <c r="X44" i="1"/>
  <c r="T44" i="1"/>
  <c r="U44" i="1" s="1"/>
  <c r="S44" i="1" s="1"/>
  <c r="AI43" i="1"/>
  <c r="S43" i="1"/>
  <c r="AG41" i="1"/>
  <c r="W41" i="1" s="1"/>
  <c r="X40" i="1"/>
  <c r="T40" i="1"/>
  <c r="U40" i="1" s="1"/>
  <c r="S40" i="1" s="1"/>
  <c r="AI39" i="1"/>
  <c r="AG37" i="1"/>
  <c r="X36" i="1"/>
  <c r="T36" i="1"/>
  <c r="AI35" i="1"/>
  <c r="S35" i="1"/>
  <c r="AG33" i="1"/>
  <c r="W33" i="1" s="1"/>
  <c r="X32" i="1"/>
  <c r="T32" i="1"/>
  <c r="U32" i="1" s="1"/>
  <c r="S32" i="1" s="1"/>
  <c r="AI31" i="1"/>
  <c r="S31" i="1"/>
  <c r="AG29" i="1"/>
  <c r="W29" i="1" s="1"/>
  <c r="X28" i="1"/>
  <c r="T28" i="1"/>
  <c r="U28" i="1" s="1"/>
  <c r="S28" i="1" s="1"/>
  <c r="AI27" i="1"/>
  <c r="S27" i="1"/>
  <c r="AG25" i="1"/>
  <c r="W25" i="1" s="1"/>
  <c r="X24" i="1"/>
  <c r="T24" i="1"/>
  <c r="U24" i="1" s="1"/>
  <c r="S24" i="1" s="1"/>
  <c r="AI23" i="1"/>
  <c r="AG21" i="1"/>
  <c r="X20" i="1"/>
  <c r="T20" i="1"/>
  <c r="U20" i="1" s="1"/>
  <c r="S20" i="1" s="1"/>
  <c r="AI19" i="1"/>
  <c r="X16" i="1"/>
  <c r="T16" i="1"/>
  <c r="U16" i="1" s="1"/>
  <c r="S16" i="1" s="1"/>
  <c r="AI15" i="1"/>
  <c r="X45" i="1"/>
  <c r="X41" i="1"/>
  <c r="X37" i="1"/>
  <c r="X33" i="1"/>
  <c r="X29" i="1"/>
  <c r="X25" i="1"/>
  <c r="X21" i="1"/>
  <c r="X17" i="1"/>
  <c r="AE19" i="3"/>
  <c r="AD31" i="3"/>
  <c r="Y34" i="3"/>
  <c r="AD29" i="3"/>
  <c r="Y28" i="3"/>
  <c r="AD25" i="3"/>
  <c r="AD19" i="3"/>
  <c r="Y21" i="3"/>
  <c r="AD12" i="3"/>
  <c r="T15" i="3"/>
  <c r="AC29" i="3"/>
  <c r="T24" i="3"/>
  <c r="T12" i="3"/>
  <c r="AE11" i="3"/>
  <c r="AC24" i="3"/>
  <c r="AC19" i="3"/>
  <c r="AC28" i="3"/>
  <c r="Y25" i="3"/>
  <c r="Y19" i="3"/>
  <c r="AD17" i="3"/>
  <c r="AD13" i="3"/>
  <c r="Y29" i="3"/>
  <c r="AD11" i="3"/>
  <c r="T18" i="3"/>
  <c r="AD32" i="3"/>
  <c r="AD27" i="3"/>
  <c r="AC9" i="3"/>
  <c r="AE22" i="3"/>
  <c r="AD20" i="3"/>
  <c r="T21" i="3"/>
  <c r="AC13" i="3"/>
  <c r="AE10" i="3"/>
  <c r="AC20" i="3"/>
  <c r="Y24" i="3"/>
  <c r="AD24" i="3"/>
  <c r="T31" i="3"/>
  <c r="Y12" i="3"/>
  <c r="AE18" i="3"/>
  <c r="AD16" i="3"/>
  <c r="T26" i="3"/>
  <c r="AC30" i="3"/>
  <c r="AC8" i="3"/>
  <c r="AC16" i="3"/>
  <c r="AC11" i="3"/>
  <c r="AD34" i="3"/>
  <c r="AD30" i="3"/>
  <c r="AE25" i="3"/>
  <c r="T9" i="3"/>
  <c r="AD22" i="3"/>
  <c r="AE21" i="3"/>
  <c r="T30" i="3"/>
  <c r="AD18" i="3"/>
  <c r="AE17" i="3"/>
  <c r="T8" i="3"/>
  <c r="AE13" i="3"/>
  <c r="T16" i="3"/>
  <c r="AD10" i="3"/>
  <c r="AE9" i="3"/>
  <c r="T11" i="3"/>
  <c r="AE34" i="3"/>
  <c r="T25" i="3"/>
  <c r="AE30" i="3"/>
  <c r="T34" i="3"/>
  <c r="AE26" i="3"/>
  <c r="T32" i="3"/>
  <c r="AE33" i="3"/>
  <c r="T20" i="3"/>
  <c r="AE29" i="3"/>
  <c r="T33" i="3"/>
  <c r="AD26" i="3"/>
  <c r="AE32" i="3"/>
  <c r="AE28" i="3"/>
  <c r="AE24" i="3"/>
  <c r="AE20" i="3"/>
  <c r="AE16" i="3"/>
  <c r="AE12" i="3"/>
  <c r="AE8" i="3"/>
  <c r="W63" i="1" l="1"/>
  <c r="W78" i="1"/>
  <c r="W201" i="1"/>
  <c r="U23" i="1"/>
  <c r="S23" i="1" s="1"/>
  <c r="U15" i="1"/>
  <c r="S15" i="1" s="1"/>
  <c r="W138" i="1"/>
  <c r="U19" i="1"/>
  <c r="S19" i="1" s="1"/>
  <c r="W226" i="1"/>
  <c r="AI226" i="1"/>
  <c r="W167" i="1"/>
  <c r="AI167" i="1"/>
  <c r="U82" i="1"/>
  <c r="S82" i="1" s="1"/>
  <c r="U46" i="1"/>
  <c r="S46" i="1" s="1"/>
  <c r="AI46" i="1"/>
  <c r="U73" i="1"/>
  <c r="S73" i="1" s="1"/>
  <c r="AI73" i="1"/>
  <c r="U39" i="1"/>
  <c r="S39" i="1" s="1"/>
  <c r="W73" i="1"/>
  <c r="W176" i="1"/>
  <c r="W52" i="1"/>
  <c r="W163" i="1"/>
  <c r="AI163" i="1"/>
  <c r="W55" i="1"/>
  <c r="W79" i="1"/>
  <c r="W161" i="1"/>
  <c r="W15" i="1"/>
  <c r="U17" i="1"/>
  <c r="S17" i="1" s="1"/>
  <c r="AI17" i="1"/>
  <c r="U66" i="1"/>
  <c r="S66" i="1" s="1"/>
  <c r="W102" i="1"/>
  <c r="AI171" i="1"/>
  <c r="U30" i="1"/>
  <c r="S30" i="1" s="1"/>
  <c r="AI30" i="1"/>
  <c r="U93" i="1"/>
  <c r="S93" i="1" s="1"/>
  <c r="AI93" i="1"/>
  <c r="W193" i="1"/>
  <c r="W197" i="1"/>
  <c r="W188" i="1"/>
  <c r="W196" i="1"/>
  <c r="W30" i="1"/>
  <c r="U57" i="1"/>
  <c r="S57" i="1" s="1"/>
  <c r="AI57" i="1"/>
  <c r="U89" i="1"/>
  <c r="S89" i="1" s="1"/>
  <c r="AI89" i="1"/>
  <c r="U141" i="1"/>
  <c r="S141" i="1" s="1"/>
  <c r="AI141" i="1"/>
  <c r="W168" i="1"/>
  <c r="AI88" i="1"/>
  <c r="U88" i="1"/>
  <c r="S88" i="1" s="1"/>
  <c r="U92" i="1"/>
  <c r="AI92" i="1"/>
  <c r="S92" i="1"/>
  <c r="W88" i="1"/>
  <c r="U96" i="1"/>
  <c r="S96" i="1"/>
  <c r="AI96" i="1"/>
  <c r="U112" i="1"/>
  <c r="S112" i="1" s="1"/>
  <c r="AI112" i="1"/>
  <c r="AI95" i="1"/>
  <c r="U95" i="1"/>
  <c r="S95" i="1" s="1"/>
  <c r="AI111" i="1"/>
  <c r="U111" i="1"/>
  <c r="S111" i="1" s="1"/>
  <c r="W111" i="1"/>
  <c r="W92" i="1"/>
  <c r="AI150" i="1"/>
  <c r="U150" i="1"/>
  <c r="S150" i="1" s="1"/>
  <c r="AI158" i="1"/>
  <c r="U205" i="1"/>
  <c r="S205" i="1" s="1"/>
  <c r="AI166" i="1"/>
  <c r="U213" i="1"/>
  <c r="S213" i="1" s="1"/>
  <c r="U159" i="1"/>
  <c r="S159" i="1" s="1"/>
  <c r="AI181" i="1"/>
  <c r="U175" i="1"/>
  <c r="S175" i="1" s="1"/>
  <c r="AI197" i="1"/>
  <c r="U191" i="1"/>
  <c r="S191" i="1" s="1"/>
  <c r="AI213" i="1"/>
  <c r="U219" i="1"/>
  <c r="S219" i="1" s="1"/>
  <c r="AI229" i="1"/>
  <c r="AI180" i="1"/>
  <c r="U158" i="1"/>
  <c r="S158" i="1" s="1"/>
  <c r="AI196" i="1"/>
  <c r="U174" i="1"/>
  <c r="S174" i="1" s="1"/>
  <c r="W213" i="1"/>
  <c r="W158" i="1"/>
  <c r="AI21" i="1"/>
  <c r="U21" i="1"/>
  <c r="S21" i="1" s="1"/>
  <c r="AI25" i="1"/>
  <c r="U25" i="1"/>
  <c r="S25" i="1" s="1"/>
  <c r="S41" i="1"/>
  <c r="AI41" i="1"/>
  <c r="U41" i="1"/>
  <c r="U49" i="1"/>
  <c r="S49" i="1" s="1"/>
  <c r="W49" i="1"/>
  <c r="AI49" i="1"/>
  <c r="U52" i="1"/>
  <c r="S52" i="1" s="1"/>
  <c r="AI52" i="1"/>
  <c r="AI56" i="1"/>
  <c r="U56" i="1"/>
  <c r="S56" i="1" s="1"/>
  <c r="AI60" i="1"/>
  <c r="U60" i="1"/>
  <c r="S60" i="1" s="1"/>
  <c r="AI64" i="1"/>
  <c r="U64" i="1"/>
  <c r="S64" i="1" s="1"/>
  <c r="AI68" i="1"/>
  <c r="U68" i="1"/>
  <c r="S68" i="1" s="1"/>
  <c r="AI72" i="1"/>
  <c r="U72" i="1"/>
  <c r="S72" i="1" s="1"/>
  <c r="AI76" i="1"/>
  <c r="U76" i="1"/>
  <c r="S76" i="1" s="1"/>
  <c r="S80" i="1"/>
  <c r="AI80" i="1"/>
  <c r="U80" i="1"/>
  <c r="AI84" i="1"/>
  <c r="U84" i="1"/>
  <c r="S84" i="1" s="1"/>
  <c r="U108" i="1"/>
  <c r="S108" i="1" s="1"/>
  <c r="AI108" i="1"/>
  <c r="U124" i="1"/>
  <c r="S124" i="1" s="1"/>
  <c r="AI124" i="1"/>
  <c r="W80" i="1"/>
  <c r="AI99" i="1"/>
  <c r="U99" i="1"/>
  <c r="S99" i="1" s="1"/>
  <c r="AI115" i="1"/>
  <c r="U115" i="1"/>
  <c r="S115" i="1" s="1"/>
  <c r="W68" i="1"/>
  <c r="W124" i="1"/>
  <c r="W112" i="1"/>
  <c r="U230" i="1"/>
  <c r="S230" i="1" s="1"/>
  <c r="AI177" i="1"/>
  <c r="U171" i="1"/>
  <c r="S171" i="1" s="1"/>
  <c r="AI193" i="1"/>
  <c r="U187" i="1"/>
  <c r="S187" i="1" s="1"/>
  <c r="AI209" i="1"/>
  <c r="U203" i="1"/>
  <c r="S203" i="1"/>
  <c r="AI225" i="1"/>
  <c r="AI184" i="1"/>
  <c r="U162" i="1"/>
  <c r="S162" i="1" s="1"/>
  <c r="W191" i="1"/>
  <c r="W159" i="1"/>
  <c r="W230" i="1"/>
  <c r="W174" i="1"/>
  <c r="AI37" i="1"/>
  <c r="U37" i="1"/>
  <c r="S37" i="1" s="1"/>
  <c r="W21" i="1"/>
  <c r="W37" i="1"/>
  <c r="AI29" i="1"/>
  <c r="U29" i="1"/>
  <c r="S29" i="1" s="1"/>
  <c r="U45" i="1"/>
  <c r="S45" i="1" s="1"/>
  <c r="AI45" i="1"/>
  <c r="W45" i="1"/>
  <c r="U104" i="1"/>
  <c r="S104" i="1" s="1"/>
  <c r="AI104" i="1"/>
  <c r="U120" i="1"/>
  <c r="S120" i="1" s="1"/>
  <c r="AI120" i="1"/>
  <c r="AI103" i="1"/>
  <c r="U103" i="1"/>
  <c r="S103" i="1" s="1"/>
  <c r="AI119" i="1"/>
  <c r="U119" i="1"/>
  <c r="S119" i="1" s="1"/>
  <c r="W104" i="1"/>
  <c r="W95" i="1"/>
  <c r="S146" i="1"/>
  <c r="AI146" i="1"/>
  <c r="U146" i="1"/>
  <c r="AI154" i="1"/>
  <c r="U154" i="1"/>
  <c r="S154" i="1" s="1"/>
  <c r="AI162" i="1"/>
  <c r="U209" i="1"/>
  <c r="S209" i="1" s="1"/>
  <c r="W150" i="1"/>
  <c r="U226" i="1"/>
  <c r="S226" i="1" s="1"/>
  <c r="AI173" i="1"/>
  <c r="U167" i="1"/>
  <c r="S167" i="1" s="1"/>
  <c r="AI189" i="1"/>
  <c r="U183" i="1"/>
  <c r="S183" i="1" s="1"/>
  <c r="AI205" i="1"/>
  <c r="U199" i="1"/>
  <c r="S199" i="1" s="1"/>
  <c r="AI221" i="1"/>
  <c r="W205" i="1"/>
  <c r="AI172" i="1"/>
  <c r="U225" i="1"/>
  <c r="S225" i="1" s="1"/>
  <c r="AI188" i="1"/>
  <c r="U166" i="1"/>
  <c r="S166" i="1" s="1"/>
  <c r="W187" i="1"/>
  <c r="W203" i="1"/>
  <c r="W175" i="1"/>
  <c r="S33" i="1"/>
  <c r="AI33" i="1"/>
  <c r="U33" i="1"/>
  <c r="U100" i="1"/>
  <c r="S100" i="1" s="1"/>
  <c r="AI100" i="1"/>
  <c r="U116" i="1"/>
  <c r="S116" i="1" s="1"/>
  <c r="AI116" i="1"/>
  <c r="S107" i="1"/>
  <c r="AI107" i="1"/>
  <c r="U107" i="1"/>
  <c r="AI123" i="1"/>
  <c r="U123" i="1"/>
  <c r="S123" i="1" s="1"/>
  <c r="W96" i="1"/>
  <c r="W119" i="1"/>
  <c r="W100" i="1"/>
  <c r="W154" i="1"/>
  <c r="U163" i="1"/>
  <c r="S163" i="1"/>
  <c r="AI185" i="1"/>
  <c r="U179" i="1"/>
  <c r="S179" i="1" s="1"/>
  <c r="AI201" i="1"/>
  <c r="U195" i="1"/>
  <c r="S195" i="1" s="1"/>
  <c r="AI217" i="1"/>
  <c r="AI176" i="1"/>
  <c r="U229" i="1"/>
  <c r="S229" i="1" s="1"/>
  <c r="AI192" i="1"/>
  <c r="U170" i="1"/>
  <c r="S170" i="1" s="1"/>
  <c r="W209" i="1"/>
  <c r="W162" i="1"/>
  <c r="W183" i="1"/>
  <c r="W199" i="1"/>
  <c r="W170" i="1"/>
  <c r="W166" i="1"/>
  <c r="W219" i="1"/>
  <c r="M14" i="3"/>
  <c r="R14" i="3"/>
  <c r="S14" i="3"/>
  <c r="U14" i="3"/>
  <c r="V14" i="3"/>
  <c r="W14" i="3"/>
  <c r="X14" i="3"/>
  <c r="AE14" i="3" l="1"/>
  <c r="AD14" i="3"/>
  <c r="Y14" i="3"/>
  <c r="AD7" i="3"/>
  <c r="AC14" i="3"/>
  <c r="AE7" i="3"/>
  <c r="T14" i="3"/>
  <c r="M28" i="5"/>
  <c r="AN13" i="1" l="1"/>
  <c r="B31" i="9" l="1"/>
  <c r="B32" i="9"/>
  <c r="C32" i="9"/>
  <c r="B33" i="9"/>
  <c r="B34" i="9"/>
  <c r="C34" i="9" s="1"/>
  <c r="B35" i="9"/>
  <c r="B36" i="9"/>
  <c r="B37" i="9"/>
  <c r="B38" i="9"/>
  <c r="C39" i="9" s="1"/>
  <c r="B39" i="9"/>
  <c r="B40" i="9"/>
  <c r="C41" i="9" s="1"/>
  <c r="B41" i="9"/>
  <c r="B42" i="9"/>
  <c r="C42" i="9"/>
  <c r="B43" i="9"/>
  <c r="B44" i="9"/>
  <c r="B45" i="9"/>
  <c r="B46" i="9"/>
  <c r="C47" i="9" s="1"/>
  <c r="B47" i="9"/>
  <c r="B48" i="9"/>
  <c r="B49" i="9"/>
  <c r="C50" i="9" s="1"/>
  <c r="B50" i="9"/>
  <c r="B51" i="9"/>
  <c r="B52" i="9"/>
  <c r="B53" i="9"/>
  <c r="B54" i="9"/>
  <c r="C55" i="9" s="1"/>
  <c r="B55" i="9"/>
  <c r="B56" i="9"/>
  <c r="C57" i="9" s="1"/>
  <c r="B57" i="9"/>
  <c r="C49" i="9" l="1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Z13" i="1" l="1"/>
  <c r="Y13" i="1"/>
  <c r="AM13" i="1" l="1"/>
  <c r="B3" i="6" l="1"/>
  <c r="I3" i="6" s="1"/>
  <c r="G3" i="6" l="1"/>
  <c r="J3" i="6"/>
  <c r="F3" i="6"/>
  <c r="H3" i="6"/>
  <c r="B4" i="6"/>
  <c r="I4" i="6" s="1"/>
  <c r="B5" i="6" l="1"/>
  <c r="I5" i="6" s="1"/>
  <c r="G4" i="6"/>
  <c r="H4" i="6"/>
  <c r="F4" i="6"/>
  <c r="J4" i="6"/>
  <c r="B6" i="6" l="1"/>
  <c r="I6" i="6" s="1"/>
  <c r="G5" i="6"/>
  <c r="F5" i="6"/>
  <c r="J5" i="6"/>
  <c r="H5" i="6"/>
  <c r="B7" i="6" l="1"/>
  <c r="I7" i="6" s="1"/>
  <c r="F6" i="6"/>
  <c r="J6" i="6"/>
  <c r="G6" i="6"/>
  <c r="H6" i="6"/>
  <c r="G7" i="6" l="1"/>
  <c r="J7" i="6"/>
  <c r="F7" i="6"/>
  <c r="H7" i="6"/>
  <c r="B8" i="6"/>
  <c r="I8" i="6" s="1"/>
  <c r="G8" i="6" l="1"/>
  <c r="H8" i="6"/>
  <c r="J8" i="6"/>
  <c r="F8" i="6"/>
  <c r="B9" i="6"/>
  <c r="I9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10" i="3" s="1"/>
  <c r="G38" i="4"/>
  <c r="G39" i="4"/>
  <c r="G40" i="4"/>
  <c r="G41" i="4"/>
  <c r="G42" i="4"/>
  <c r="G43" i="4"/>
  <c r="G44" i="4"/>
  <c r="G45" i="4"/>
  <c r="N18" i="3" s="1"/>
  <c r="G46" i="4"/>
  <c r="G47" i="4"/>
  <c r="G48" i="4"/>
  <c r="G49" i="4"/>
  <c r="G50" i="4"/>
  <c r="N11" i="3" s="1"/>
  <c r="G51" i="4"/>
  <c r="G52" i="4"/>
  <c r="G53" i="4"/>
  <c r="N29" i="3" s="1"/>
  <c r="G54" i="4"/>
  <c r="G55" i="4"/>
  <c r="G56" i="4"/>
  <c r="G57" i="4"/>
  <c r="N15" i="3" s="1"/>
  <c r="G58" i="4"/>
  <c r="G59" i="4"/>
  <c r="G60" i="4"/>
  <c r="G61" i="4"/>
  <c r="G62" i="4"/>
  <c r="N16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21" i="3" s="1"/>
  <c r="G78" i="4"/>
  <c r="N8" i="3" s="1"/>
  <c r="G79" i="4"/>
  <c r="G80" i="4"/>
  <c r="G81" i="4"/>
  <c r="N23" i="3" s="1"/>
  <c r="G82" i="4"/>
  <c r="G83" i="4"/>
  <c r="N12" i="3" s="1"/>
  <c r="G84" i="4"/>
  <c r="G85" i="4"/>
  <c r="N17" i="3" s="1"/>
  <c r="G86" i="4"/>
  <c r="G87" i="4"/>
  <c r="G88" i="4"/>
  <c r="G89" i="4"/>
  <c r="G90" i="4"/>
  <c r="G91" i="4"/>
  <c r="G92" i="4"/>
  <c r="G93" i="4"/>
  <c r="G94" i="4"/>
  <c r="G95" i="4"/>
  <c r="N19" i="3" s="1"/>
  <c r="G96" i="4"/>
  <c r="N7" i="3" s="1"/>
  <c r="G97" i="4"/>
  <c r="G98" i="4"/>
  <c r="G99" i="4"/>
  <c r="G100" i="4"/>
  <c r="G101" i="4"/>
  <c r="G102" i="4"/>
  <c r="G103" i="4"/>
  <c r="G104" i="4"/>
  <c r="G105" i="4"/>
  <c r="G106" i="4"/>
  <c r="N9" i="3" s="1"/>
  <c r="G107" i="4"/>
  <c r="G108" i="4"/>
  <c r="G109" i="4"/>
  <c r="G110" i="4"/>
  <c r="G111" i="4"/>
  <c r="N32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13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N28" i="3" s="1"/>
  <c r="G156" i="4"/>
  <c r="G157" i="4"/>
  <c r="N33" i="3" s="1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34" i="3" s="1"/>
  <c r="G181" i="4"/>
  <c r="G182" i="4"/>
  <c r="G183" i="4"/>
  <c r="G184" i="4"/>
  <c r="G185" i="4"/>
  <c r="G186" i="4"/>
  <c r="G187" i="4"/>
  <c r="G188" i="4"/>
  <c r="G189" i="4"/>
  <c r="N24" i="3" s="1"/>
  <c r="G190" i="4"/>
  <c r="G191" i="4"/>
  <c r="G192" i="4"/>
  <c r="G193" i="4"/>
  <c r="G194" i="4"/>
  <c r="N22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20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N25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0" i="3" l="1"/>
  <c r="N31" i="3"/>
  <c r="N27" i="3"/>
  <c r="N26" i="3"/>
  <c r="N14" i="3"/>
  <c r="B10" i="6"/>
  <c r="I10" i="6" s="1"/>
  <c r="G9" i="6"/>
  <c r="F9" i="6"/>
  <c r="J9" i="6"/>
  <c r="H9" i="6"/>
  <c r="L13" i="1"/>
  <c r="F10" i="6" l="1"/>
  <c r="J10" i="6"/>
  <c r="G10" i="6"/>
  <c r="H10" i="6"/>
  <c r="B11" i="6"/>
  <c r="I11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1" i="6" l="1"/>
  <c r="J11" i="6"/>
  <c r="F11" i="6"/>
  <c r="H11" i="6"/>
  <c r="B12" i="6"/>
  <c r="I12" i="6" s="1"/>
  <c r="K13" i="1"/>
  <c r="M13" i="1"/>
  <c r="N13" i="1" s="1"/>
  <c r="AB13" i="1"/>
  <c r="AC13" i="1"/>
  <c r="AD13" i="1"/>
  <c r="X14" i="1" s="1"/>
  <c r="AE13" i="1"/>
  <c r="G12" i="6" l="1"/>
  <c r="H12" i="6"/>
  <c r="F12" i="6"/>
  <c r="J12" i="6"/>
  <c r="B13" i="6"/>
  <c r="I13" i="6" s="1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4" i="6" l="1"/>
  <c r="I14" i="6" s="1"/>
  <c r="G13" i="6"/>
  <c r="F13" i="6"/>
  <c r="J13" i="6"/>
  <c r="H1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15" i="6" l="1"/>
  <c r="I15" i="6" s="1"/>
  <c r="F14" i="6"/>
  <c r="J14" i="6"/>
  <c r="G14" i="6"/>
  <c r="H14" i="6"/>
  <c r="M30" i="5"/>
  <c r="M29" i="5"/>
  <c r="M27" i="5"/>
  <c r="G15" i="6" l="1"/>
  <c r="J15" i="6"/>
  <c r="F15" i="6"/>
  <c r="H15" i="6"/>
  <c r="B16" i="6"/>
  <c r="I16" i="6" s="1"/>
  <c r="M26" i="5"/>
  <c r="G16" i="6" l="1"/>
  <c r="H16" i="6"/>
  <c r="F16" i="6"/>
  <c r="J16" i="6"/>
  <c r="B17" i="6"/>
  <c r="I17" i="6" s="1"/>
  <c r="AH13" i="1"/>
  <c r="J7" i="1"/>
  <c r="B18" i="6" l="1"/>
  <c r="I18" i="6" s="1"/>
  <c r="G17" i="6"/>
  <c r="F17" i="6"/>
  <c r="J17" i="6"/>
  <c r="H17" i="6"/>
  <c r="X6" i="1"/>
  <c r="W6" i="1"/>
  <c r="V6" i="1"/>
  <c r="S6" i="1"/>
  <c r="R2" i="1"/>
  <c r="I2" i="1"/>
  <c r="O6" i="1"/>
  <c r="N6" i="1"/>
  <c r="M6" i="1"/>
  <c r="J6" i="1"/>
  <c r="F18" i="6" l="1"/>
  <c r="J18" i="6"/>
  <c r="G18" i="6"/>
  <c r="H18" i="6"/>
  <c r="B19" i="6"/>
  <c r="I19" i="6" s="1"/>
  <c r="P3" i="5"/>
  <c r="G19" i="6" l="1"/>
  <c r="J19" i="6"/>
  <c r="F19" i="6"/>
  <c r="H19" i="6"/>
  <c r="B20" i="6"/>
  <c r="I20" i="6" s="1"/>
  <c r="M18" i="5"/>
  <c r="G20" i="6" l="1"/>
  <c r="H20" i="6"/>
  <c r="F20" i="6"/>
  <c r="J20" i="6"/>
  <c r="B21" i="6"/>
  <c r="I21" i="6" s="1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2" i="6" l="1"/>
  <c r="I22" i="6" s="1"/>
  <c r="G21" i="6"/>
  <c r="F21" i="6"/>
  <c r="J21" i="6"/>
  <c r="H21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3" i="6" l="1"/>
  <c r="I23" i="6" s="1"/>
  <c r="F22" i="6"/>
  <c r="J22" i="6"/>
  <c r="G22" i="6"/>
  <c r="H22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3" i="6" l="1"/>
  <c r="J23" i="6"/>
  <c r="G23" i="6"/>
  <c r="H23" i="6"/>
  <c r="B24" i="6"/>
  <c r="I24" i="6" s="1"/>
  <c r="M14" i="5"/>
  <c r="M13" i="5"/>
  <c r="M12" i="5"/>
  <c r="M11" i="5"/>
  <c r="M10" i="5"/>
  <c r="M9" i="5"/>
  <c r="M8" i="5"/>
  <c r="M7" i="5"/>
  <c r="M6" i="5"/>
  <c r="M5" i="5"/>
  <c r="M4" i="5"/>
  <c r="M3" i="5"/>
  <c r="F24" i="6" l="1"/>
  <c r="H24" i="6"/>
  <c r="J24" i="6"/>
  <c r="G24" i="6"/>
  <c r="B25" i="6"/>
  <c r="I25" i="6" s="1"/>
  <c r="U13" i="1"/>
  <c r="S13" i="1" s="1"/>
  <c r="O2" i="3"/>
  <c r="O3" i="3" s="1"/>
  <c r="F25" i="6" l="1"/>
  <c r="J25" i="6"/>
  <c r="G25" i="6"/>
  <c r="H25" i="6"/>
  <c r="B26" i="6"/>
  <c r="I26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6" i="6" l="1"/>
  <c r="F26" i="6"/>
  <c r="G26" i="6"/>
  <c r="H26" i="6"/>
  <c r="B27" i="6"/>
  <c r="I27" i="6" s="1"/>
  <c r="J8" i="1"/>
  <c r="J4" i="1"/>
  <c r="S8" i="1"/>
  <c r="S4" i="1"/>
  <c r="F27" i="6" l="1"/>
  <c r="J27" i="6"/>
  <c r="H27" i="6"/>
  <c r="G27" i="6"/>
  <c r="B28" i="6"/>
  <c r="I28" i="6" s="1"/>
  <c r="S9" i="1"/>
  <c r="J9" i="1"/>
  <c r="B29" i="6" l="1"/>
  <c r="I29" i="6" s="1"/>
  <c r="F28" i="6"/>
  <c r="G28" i="6"/>
  <c r="J28" i="6"/>
  <c r="H28" i="6"/>
  <c r="S11" i="1"/>
  <c r="A11" i="1"/>
  <c r="B30" i="6" l="1"/>
  <c r="I30" i="6" s="1"/>
  <c r="G29" i="6"/>
  <c r="H29" i="6"/>
  <c r="J29" i="6"/>
  <c r="F29" i="6"/>
  <c r="B1" i="6"/>
  <c r="A5" i="3"/>
  <c r="G30" i="6" l="1"/>
  <c r="F30" i="6"/>
  <c r="J30" i="6"/>
  <c r="H30" i="6"/>
  <c r="B31" i="6"/>
  <c r="I31" i="6" s="1"/>
  <c r="F31" i="6" l="1"/>
  <c r="J31" i="6"/>
  <c r="G31" i="6"/>
  <c r="H31" i="6"/>
  <c r="B32" i="6"/>
  <c r="I32" i="6" s="1"/>
  <c r="B33" i="6" l="1"/>
  <c r="I33" i="6" s="1"/>
  <c r="J32" i="6"/>
  <c r="G32" i="6"/>
  <c r="F32" i="6"/>
  <c r="H32" i="6"/>
  <c r="F33" i="6" l="1"/>
  <c r="G33" i="6"/>
  <c r="H33" i="6"/>
  <c r="J33" i="6"/>
  <c r="B34" i="6"/>
  <c r="I34" i="6" s="1"/>
  <c r="J34" i="6" l="1"/>
  <c r="H34" i="6"/>
  <c r="F34" i="6"/>
  <c r="G34" i="6"/>
  <c r="B35" i="6"/>
  <c r="I35" i="6" s="1"/>
  <c r="B36" i="6" l="1"/>
  <c r="I36" i="6" s="1"/>
  <c r="J35" i="6"/>
  <c r="F35" i="6"/>
  <c r="H35" i="6"/>
  <c r="G35" i="6"/>
  <c r="F36" i="6" l="1"/>
  <c r="G36" i="6"/>
  <c r="H36" i="6"/>
  <c r="J36" i="6"/>
  <c r="B37" i="6"/>
  <c r="I37" i="6" s="1"/>
  <c r="G37" i="6" l="1"/>
  <c r="H37" i="6"/>
  <c r="J37" i="6"/>
  <c r="F37" i="6"/>
  <c r="B38" i="6"/>
  <c r="I38" i="6" s="1"/>
  <c r="F38" i="6" l="1"/>
  <c r="H38" i="6"/>
  <c r="J38" i="6"/>
  <c r="G38" i="6"/>
  <c r="B39" i="6"/>
  <c r="I39" i="6" s="1"/>
  <c r="F39" i="6" l="1"/>
  <c r="J39" i="6"/>
  <c r="G39" i="6"/>
  <c r="H39" i="6"/>
  <c r="B40" i="6"/>
  <c r="I40" i="6" s="1"/>
  <c r="B41" i="6" l="1"/>
  <c r="I41" i="6" s="1"/>
  <c r="F40" i="6"/>
  <c r="H40" i="6"/>
  <c r="J40" i="6"/>
  <c r="G40" i="6"/>
  <c r="F41" i="6" l="1"/>
  <c r="H41" i="6"/>
  <c r="J41" i="6"/>
  <c r="G41" i="6"/>
  <c r="B42" i="6"/>
  <c r="I42" i="6" s="1"/>
  <c r="J42" i="6" l="1"/>
  <c r="H42" i="6"/>
  <c r="F42" i="6"/>
  <c r="G42" i="6"/>
  <c r="B43" i="6"/>
  <c r="I43" i="6" s="1"/>
  <c r="B44" i="6" l="1"/>
  <c r="I44" i="6" s="1"/>
  <c r="F43" i="6"/>
  <c r="G43" i="6"/>
  <c r="H43" i="6"/>
  <c r="J43" i="6"/>
  <c r="B45" i="6" l="1"/>
  <c r="I45" i="6" s="1"/>
  <c r="H44" i="6"/>
  <c r="F44" i="6"/>
  <c r="J44" i="6"/>
  <c r="G44" i="6"/>
  <c r="B46" i="6" l="1"/>
  <c r="I46" i="6" s="1"/>
  <c r="F45" i="6"/>
  <c r="H45" i="6"/>
  <c r="J45" i="6"/>
  <c r="G45" i="6"/>
  <c r="F46" i="6" l="1"/>
  <c r="G46" i="6"/>
  <c r="J46" i="6"/>
  <c r="H46" i="6"/>
  <c r="B47" i="6"/>
  <c r="I47" i="6" s="1"/>
  <c r="F47" i="6" l="1"/>
  <c r="J47" i="6"/>
  <c r="H47" i="6"/>
  <c r="G47" i="6"/>
  <c r="B48" i="6"/>
  <c r="I48" i="6" s="1"/>
  <c r="F48" i="6" l="1"/>
  <c r="H48" i="6"/>
  <c r="G48" i="6"/>
  <c r="J48" i="6"/>
  <c r="B49" i="6"/>
  <c r="I49" i="6" s="1"/>
  <c r="B50" i="6" l="1"/>
  <c r="I50" i="6" s="1"/>
  <c r="G49" i="6"/>
  <c r="F49" i="6"/>
  <c r="H49" i="6"/>
  <c r="J49" i="6"/>
  <c r="J50" i="6" l="1"/>
  <c r="H50" i="6"/>
  <c r="F50" i="6"/>
  <c r="G50" i="6"/>
  <c r="B51" i="6"/>
  <c r="I51" i="6" s="1"/>
  <c r="H51" i="6" l="1"/>
  <c r="J51" i="6"/>
  <c r="F51" i="6"/>
  <c r="G51" i="6"/>
  <c r="B52" i="6"/>
  <c r="I52" i="6" s="1"/>
  <c r="H52" i="6" l="1"/>
  <c r="J52" i="6"/>
  <c r="F52" i="6"/>
  <c r="G52" i="6"/>
  <c r="B53" i="6"/>
  <c r="I53" i="6" s="1"/>
  <c r="H53" i="6" l="1"/>
  <c r="J53" i="6"/>
  <c r="F53" i="6"/>
  <c r="G53" i="6"/>
  <c r="B54" i="6"/>
  <c r="I54" i="6" s="1"/>
  <c r="G54" i="6" l="1"/>
  <c r="F54" i="6"/>
  <c r="H54" i="6"/>
  <c r="J54" i="6"/>
  <c r="B55" i="6"/>
  <c r="I55" i="6" s="1"/>
  <c r="B56" i="6" l="1"/>
  <c r="I56" i="6" s="1"/>
  <c r="J55" i="6"/>
  <c r="G55" i="6"/>
  <c r="F55" i="6"/>
  <c r="H55" i="6"/>
  <c r="B57" i="6" l="1"/>
  <c r="I57" i="6" s="1"/>
  <c r="J56" i="6"/>
  <c r="G56" i="6"/>
  <c r="F56" i="6"/>
  <c r="H56" i="6"/>
  <c r="F57" i="6" l="1"/>
  <c r="H57" i="6"/>
  <c r="J57" i="6"/>
  <c r="G57" i="6"/>
  <c r="B58" i="6"/>
  <c r="I58" i="6" s="1"/>
  <c r="B59" i="6" l="1"/>
  <c r="I59" i="6" s="1"/>
  <c r="F58" i="6"/>
  <c r="G58" i="6"/>
  <c r="J58" i="6"/>
  <c r="H58" i="6"/>
  <c r="G59" i="6" l="1"/>
  <c r="F59" i="6"/>
  <c r="H59" i="6"/>
  <c r="J59" i="6"/>
  <c r="B60" i="6"/>
  <c r="I60" i="6" s="1"/>
  <c r="F60" i="6" l="1"/>
  <c r="J60" i="6"/>
  <c r="G60" i="6"/>
  <c r="H60" i="6"/>
  <c r="B61" i="6"/>
  <c r="I61" i="6" s="1"/>
  <c r="G61" i="6" l="1"/>
  <c r="H61" i="6"/>
  <c r="J61" i="6"/>
  <c r="F61" i="6"/>
  <c r="B62" i="6"/>
  <c r="I62" i="6" s="1"/>
  <c r="B63" i="6" l="1"/>
  <c r="I63" i="6" s="1"/>
  <c r="J62" i="6"/>
  <c r="H62" i="6"/>
  <c r="F62" i="6"/>
  <c r="G62" i="6"/>
  <c r="J63" i="6" l="1"/>
  <c r="G63" i="6"/>
  <c r="F63" i="6"/>
  <c r="H63" i="6"/>
  <c r="B64" i="6"/>
  <c r="I64" i="6" s="1"/>
  <c r="B65" i="6" l="1"/>
  <c r="I65" i="6" s="1"/>
  <c r="G64" i="6"/>
  <c r="J64" i="6"/>
  <c r="F64" i="6"/>
  <c r="H64" i="6"/>
  <c r="F65" i="6" l="1"/>
  <c r="G65" i="6"/>
  <c r="J65" i="6"/>
  <c r="H65" i="6"/>
  <c r="B66" i="6"/>
  <c r="I66" i="6" s="1"/>
  <c r="B67" i="6" l="1"/>
  <c r="I67" i="6" s="1"/>
  <c r="F66" i="6"/>
  <c r="G66" i="6"/>
  <c r="J66" i="6"/>
  <c r="H66" i="6"/>
  <c r="G67" i="6" l="1"/>
  <c r="H67" i="6"/>
  <c r="J67" i="6"/>
  <c r="F67" i="6"/>
  <c r="B68" i="6"/>
  <c r="I68" i="6" s="1"/>
  <c r="B69" i="6" l="1"/>
  <c r="I69" i="6" s="1"/>
  <c r="G68" i="6"/>
  <c r="H68" i="6"/>
  <c r="J68" i="6"/>
  <c r="F68" i="6"/>
  <c r="F69" i="6" l="1"/>
  <c r="G69" i="6"/>
  <c r="H69" i="6"/>
  <c r="J69" i="6"/>
  <c r="B70" i="6"/>
  <c r="I70" i="6" s="1"/>
  <c r="G70" i="6" l="1"/>
  <c r="F70" i="6"/>
  <c r="H70" i="6"/>
  <c r="J70" i="6"/>
  <c r="B71" i="6"/>
  <c r="I71" i="6" s="1"/>
  <c r="B72" i="6" l="1"/>
  <c r="I72" i="6" s="1"/>
  <c r="J71" i="6"/>
  <c r="G71" i="6"/>
  <c r="F71" i="6"/>
  <c r="H71" i="6"/>
  <c r="B73" i="6" l="1"/>
  <c r="I73" i="6" s="1"/>
  <c r="J72" i="6"/>
  <c r="G72" i="6"/>
  <c r="F72" i="6"/>
  <c r="H72" i="6"/>
  <c r="H73" i="6" l="1"/>
  <c r="F73" i="6"/>
  <c r="G73" i="6"/>
  <c r="J73" i="6"/>
  <c r="B74" i="6"/>
  <c r="I74" i="6" s="1"/>
  <c r="B75" i="6" l="1"/>
  <c r="I75" i="6" s="1"/>
  <c r="F74" i="6"/>
  <c r="G74" i="6"/>
  <c r="J74" i="6"/>
  <c r="H74" i="6"/>
  <c r="B76" i="6" l="1"/>
  <c r="I76" i="6" s="1"/>
  <c r="J75" i="6"/>
  <c r="F75" i="6"/>
  <c r="G75" i="6"/>
  <c r="H75" i="6"/>
  <c r="F76" i="6" l="1"/>
  <c r="J76" i="6"/>
  <c r="G76" i="6"/>
  <c r="H76" i="6"/>
  <c r="B77" i="6"/>
  <c r="I77" i="6" s="1"/>
  <c r="H77" i="6" l="1"/>
  <c r="J77" i="6"/>
  <c r="G77" i="6"/>
  <c r="F77" i="6"/>
  <c r="B78" i="6"/>
  <c r="I78" i="6" s="1"/>
  <c r="B79" i="6" l="1"/>
  <c r="I79" i="6" s="1"/>
  <c r="J78" i="6"/>
  <c r="H78" i="6"/>
  <c r="F78" i="6"/>
  <c r="G78" i="6"/>
  <c r="J79" i="6" l="1"/>
  <c r="G79" i="6"/>
  <c r="F79" i="6"/>
  <c r="H79" i="6"/>
  <c r="B80" i="6"/>
  <c r="I80" i="6" s="1"/>
  <c r="G80" i="6" l="1"/>
  <c r="H80" i="6"/>
  <c r="J80" i="6"/>
  <c r="F80" i="6"/>
  <c r="B81" i="6"/>
  <c r="I81" i="6" s="1"/>
  <c r="G81" i="6" l="1"/>
  <c r="F81" i="6"/>
  <c r="H81" i="6"/>
  <c r="J81" i="6"/>
  <c r="B82" i="6"/>
  <c r="I82" i="6" s="1"/>
  <c r="B83" i="6" l="1"/>
  <c r="I83" i="6" s="1"/>
  <c r="J82" i="6"/>
  <c r="F82" i="6"/>
  <c r="H82" i="6"/>
  <c r="G82" i="6"/>
  <c r="B84" i="6" l="1"/>
  <c r="I84" i="6" s="1"/>
  <c r="J83" i="6"/>
  <c r="F83" i="6"/>
  <c r="G83" i="6"/>
  <c r="H83" i="6"/>
  <c r="H84" i="6" l="1"/>
  <c r="G84" i="6"/>
  <c r="F84" i="6"/>
  <c r="J84" i="6"/>
  <c r="B85" i="6"/>
  <c r="I85" i="6" s="1"/>
  <c r="G85" i="6" l="1"/>
  <c r="H85" i="6"/>
  <c r="J85" i="6"/>
  <c r="F85" i="6"/>
  <c r="B86" i="6"/>
  <c r="I86" i="6" s="1"/>
  <c r="B87" i="6" l="1"/>
  <c r="I87" i="6" s="1"/>
  <c r="J86" i="6"/>
  <c r="F86" i="6"/>
  <c r="H86" i="6"/>
  <c r="G86" i="6"/>
  <c r="B88" i="6" l="1"/>
  <c r="I88" i="6" s="1"/>
  <c r="J87" i="6"/>
  <c r="F87" i="6"/>
  <c r="G87" i="6"/>
  <c r="H87" i="6"/>
  <c r="B89" i="6" l="1"/>
  <c r="I89" i="6" s="1"/>
  <c r="J88" i="6"/>
  <c r="F88" i="6"/>
  <c r="G88" i="6"/>
  <c r="H88" i="6"/>
  <c r="J89" i="6" l="1"/>
  <c r="F89" i="6"/>
  <c r="H89" i="6"/>
  <c r="G89" i="6"/>
  <c r="B90" i="6"/>
  <c r="I90" i="6" s="1"/>
  <c r="F90" i="6" l="1"/>
  <c r="J90" i="6"/>
  <c r="H90" i="6"/>
  <c r="G90" i="6"/>
  <c r="B91" i="6"/>
  <c r="I91" i="6" s="1"/>
  <c r="J91" i="6" l="1"/>
  <c r="G91" i="6"/>
  <c r="F91" i="6"/>
  <c r="H91" i="6"/>
  <c r="B92" i="6"/>
  <c r="I92" i="6" s="1"/>
  <c r="B93" i="6" l="1"/>
  <c r="I93" i="6" s="1"/>
  <c r="F92" i="6"/>
  <c r="G92" i="6"/>
  <c r="H92" i="6"/>
  <c r="J92" i="6"/>
  <c r="F93" i="6" l="1"/>
  <c r="G93" i="6"/>
  <c r="H93" i="6"/>
  <c r="J93" i="6"/>
  <c r="B94" i="6"/>
  <c r="I94" i="6" s="1"/>
  <c r="B95" i="6" l="1"/>
  <c r="I95" i="6" s="1"/>
  <c r="J94" i="6"/>
  <c r="F94" i="6"/>
  <c r="G94" i="6"/>
  <c r="H94" i="6"/>
  <c r="F95" i="6" l="1"/>
  <c r="H95" i="6"/>
  <c r="G95" i="6"/>
  <c r="J95" i="6"/>
  <c r="B96" i="6"/>
  <c r="I96" i="6" s="1"/>
  <c r="B97" i="6" l="1"/>
  <c r="I97" i="6" s="1"/>
  <c r="H96" i="6"/>
  <c r="G96" i="6"/>
  <c r="F96" i="6"/>
  <c r="J96" i="6"/>
  <c r="B98" i="6" l="1"/>
  <c r="I98" i="6" s="1"/>
  <c r="J97" i="6"/>
  <c r="H97" i="6"/>
  <c r="F97" i="6"/>
  <c r="G97" i="6"/>
  <c r="J98" i="6" l="1"/>
  <c r="H98" i="6"/>
  <c r="F98" i="6"/>
  <c r="G98" i="6"/>
  <c r="B99" i="6"/>
  <c r="I99" i="6" s="1"/>
  <c r="J99" i="6" l="1"/>
  <c r="F99" i="6"/>
  <c r="H99" i="6"/>
  <c r="G99" i="6"/>
  <c r="B100" i="6"/>
  <c r="I100" i="6" s="1"/>
  <c r="B101" i="6" l="1"/>
  <c r="I101" i="6" s="1"/>
  <c r="F100" i="6"/>
  <c r="J100" i="6"/>
  <c r="G100" i="6"/>
  <c r="H100" i="6"/>
  <c r="B102" i="6" l="1"/>
  <c r="I102" i="6" s="1"/>
  <c r="F101" i="6"/>
  <c r="G101" i="6"/>
  <c r="H101" i="6"/>
  <c r="J101" i="6"/>
  <c r="B103" i="6" l="1"/>
  <c r="I103" i="6" s="1"/>
  <c r="J102" i="6"/>
  <c r="H102" i="6"/>
  <c r="G102" i="6"/>
  <c r="F102" i="6"/>
  <c r="B104" i="6" l="1"/>
  <c r="I104" i="6" s="1"/>
  <c r="H103" i="6"/>
  <c r="J103" i="6"/>
  <c r="F103" i="6"/>
  <c r="G103" i="6"/>
  <c r="G104" i="6" l="1"/>
  <c r="H104" i="6"/>
  <c r="J104" i="6"/>
  <c r="F104" i="6"/>
  <c r="B105" i="6"/>
  <c r="I105" i="6" s="1"/>
  <c r="B106" i="6" l="1"/>
  <c r="I106" i="6" s="1"/>
  <c r="G105" i="6"/>
  <c r="J105" i="6"/>
  <c r="H105" i="6"/>
  <c r="F105" i="6"/>
  <c r="F106" i="6" l="1"/>
  <c r="H106" i="6"/>
  <c r="J106" i="6"/>
  <c r="G106" i="6"/>
  <c r="B107" i="6"/>
  <c r="I107" i="6" s="1"/>
  <c r="H107" i="6" l="1"/>
  <c r="F107" i="6"/>
  <c r="G107" i="6"/>
  <c r="J107" i="6"/>
  <c r="B108" i="6"/>
  <c r="I108" i="6" s="1"/>
  <c r="H108" i="6" l="1"/>
  <c r="G108" i="6"/>
  <c r="F108" i="6"/>
  <c r="J108" i="6"/>
  <c r="B109" i="6"/>
  <c r="I109" i="6" s="1"/>
  <c r="H109" i="6" l="1"/>
  <c r="J109" i="6"/>
  <c r="G109" i="6"/>
  <c r="F109" i="6"/>
  <c r="B110" i="6"/>
  <c r="I110" i="6" s="1"/>
  <c r="J110" i="6" l="1"/>
  <c r="G110" i="6"/>
  <c r="F110" i="6"/>
  <c r="H110" i="6"/>
  <c r="B111" i="6"/>
  <c r="I111" i="6" s="1"/>
  <c r="J111" i="6" l="1"/>
  <c r="F111" i="6"/>
  <c r="H111" i="6"/>
  <c r="G111" i="6"/>
  <c r="B112" i="6"/>
  <c r="I112" i="6" s="1"/>
  <c r="G112" i="6" l="1"/>
  <c r="H112" i="6"/>
  <c r="F112" i="6"/>
  <c r="J112" i="6"/>
  <c r="B113" i="6"/>
  <c r="I113" i="6" s="1"/>
  <c r="B114" i="6" l="1"/>
  <c r="I114" i="6" s="1"/>
  <c r="J113" i="6"/>
  <c r="G113" i="6"/>
  <c r="H113" i="6"/>
  <c r="F113" i="6"/>
  <c r="J114" i="6" l="1"/>
  <c r="F114" i="6"/>
  <c r="H114" i="6"/>
  <c r="G114" i="6"/>
  <c r="B115" i="6"/>
  <c r="I115" i="6" s="1"/>
  <c r="B116" i="6" l="1"/>
  <c r="I116" i="6" s="1"/>
  <c r="J115" i="6"/>
  <c r="G115" i="6"/>
  <c r="H115" i="6"/>
  <c r="F115" i="6"/>
  <c r="B117" i="6" l="1"/>
  <c r="I117" i="6" s="1"/>
  <c r="F116" i="6"/>
  <c r="H116" i="6"/>
  <c r="G116" i="6"/>
  <c r="J116" i="6"/>
  <c r="B118" i="6" l="1"/>
  <c r="I118" i="6" s="1"/>
  <c r="J117" i="6"/>
  <c r="F117" i="6"/>
  <c r="G117" i="6"/>
  <c r="H117" i="6"/>
  <c r="B119" i="6" l="1"/>
  <c r="I119" i="6" s="1"/>
  <c r="J118" i="6"/>
  <c r="H118" i="6"/>
  <c r="G118" i="6"/>
  <c r="F118" i="6"/>
  <c r="G119" i="6" l="1"/>
  <c r="H119" i="6"/>
  <c r="J119" i="6"/>
  <c r="F119" i="6"/>
  <c r="B120" i="6"/>
  <c r="I120" i="6" s="1"/>
  <c r="B121" i="6" l="1"/>
  <c r="I121" i="6" s="1"/>
  <c r="J120" i="6"/>
  <c r="F120" i="6"/>
  <c r="G120" i="6"/>
  <c r="H120" i="6"/>
  <c r="F121" i="6" l="1"/>
  <c r="G121" i="6"/>
  <c r="H121" i="6"/>
  <c r="J121" i="6"/>
  <c r="B122" i="6"/>
  <c r="I122" i="6" s="1"/>
  <c r="F122" i="6" l="1"/>
  <c r="H122" i="6"/>
  <c r="G122" i="6"/>
  <c r="J122" i="6"/>
  <c r="B123" i="6"/>
  <c r="I123" i="6" s="1"/>
  <c r="J123" i="6" l="1"/>
  <c r="H123" i="6"/>
  <c r="F123" i="6"/>
  <c r="G123" i="6"/>
  <c r="B124" i="6"/>
  <c r="I124" i="6" s="1"/>
  <c r="F124" i="6" l="1"/>
  <c r="H124" i="6"/>
  <c r="G124" i="6"/>
  <c r="J124" i="6"/>
  <c r="B125" i="6"/>
  <c r="I125" i="6" s="1"/>
  <c r="F125" i="6" l="1"/>
  <c r="H125" i="6"/>
  <c r="G125" i="6"/>
  <c r="J125" i="6"/>
  <c r="B126" i="6"/>
  <c r="I126" i="6" s="1"/>
  <c r="J126" i="6" l="1"/>
  <c r="F126" i="6"/>
  <c r="G126" i="6"/>
  <c r="H126" i="6"/>
  <c r="B127" i="6"/>
  <c r="I127" i="6" s="1"/>
  <c r="G127" i="6" l="1"/>
  <c r="H127" i="6"/>
  <c r="J127" i="6"/>
  <c r="F127" i="6"/>
  <c r="B128" i="6"/>
  <c r="I128" i="6" s="1"/>
  <c r="B129" i="6" l="1"/>
  <c r="I129" i="6" s="1"/>
  <c r="H128" i="6"/>
  <c r="G128" i="6"/>
  <c r="J128" i="6"/>
  <c r="F128" i="6"/>
  <c r="B130" i="6" l="1"/>
  <c r="I130" i="6" s="1"/>
  <c r="J129" i="6"/>
  <c r="G129" i="6"/>
  <c r="H129" i="6"/>
  <c r="F129" i="6"/>
  <c r="H130" i="6" l="1"/>
  <c r="F130" i="6"/>
  <c r="G130" i="6"/>
  <c r="J130" i="6"/>
  <c r="B131" i="6"/>
  <c r="I131" i="6" s="1"/>
  <c r="F131" i="6" l="1"/>
  <c r="H131" i="6"/>
  <c r="J131" i="6"/>
  <c r="G131" i="6"/>
  <c r="B132" i="6"/>
  <c r="I132" i="6" s="1"/>
  <c r="F132" i="6" l="1"/>
  <c r="G132" i="6"/>
  <c r="J132" i="6"/>
  <c r="H132" i="6"/>
  <c r="B133" i="6"/>
  <c r="I133" i="6" s="1"/>
  <c r="B134" i="6" l="1"/>
  <c r="I134" i="6" s="1"/>
  <c r="H133" i="6"/>
  <c r="J133" i="6"/>
  <c r="F133" i="6"/>
  <c r="G133" i="6"/>
  <c r="B135" i="6" l="1"/>
  <c r="I135" i="6" s="1"/>
  <c r="J134" i="6"/>
  <c r="H134" i="6"/>
  <c r="G134" i="6"/>
  <c r="F134" i="6"/>
  <c r="B137" i="6" l="1"/>
  <c r="I137" i="6" s="1"/>
  <c r="B136" i="6"/>
  <c r="I136" i="6" s="1"/>
  <c r="F135" i="6"/>
  <c r="G135" i="6"/>
  <c r="H135" i="6"/>
  <c r="J135" i="6"/>
  <c r="G136" i="6" l="1"/>
  <c r="H136" i="6"/>
  <c r="J136" i="6"/>
  <c r="F136" i="6"/>
  <c r="J137" i="6"/>
  <c r="F137" i="6"/>
  <c r="G137" i="6"/>
  <c r="H13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<sst xmlns="http://schemas.openxmlformats.org/spreadsheetml/2006/main" count="2539" uniqueCount="917">
  <si>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</si>
  <si>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</si>
  <si>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</si>
  <si>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</si>
  <si>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</si>
  <si>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</si>
  <si>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</si>
  <si>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</si>
  <si>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</si>
  <si>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</si>
  <si>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</si>
  <si>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</si>
  <si>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</si>
  <si>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</si>
  <si>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</si>
  <si>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</si>
  <si>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</si>
  <si>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</si>
  <si>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</si>
  <si>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</si>
  <si>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</si>
  <si>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</si>
  <si>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</si>
  <si>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</si>
  <si>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</si>
  <si>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</si>
  <si>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</si>
  <si>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</si>
  <si>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</si>
  <si>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</si>
  <si>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</si>
  <si>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</si>
  <si>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</si>
  <si>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</si>
  <si>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</si>
  <si>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</si>
  <si>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</si>
  <si>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</si>
  <si>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</si>
  <si>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</si>
  <si>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</si>
  <si>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</si>
  <si>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</si>
  <si>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</si>
  <si>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</si>
  <si>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</si>
  <si>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</si>
  <si>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</si>
  <si>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</si>
  <si>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</si>
  <si>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</si>
  <si>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</si>
  <si>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</si>
  <si>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</si>
  <si>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</si>
  <si>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</si>
  <si>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</si>
  <si>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</si>
  <si>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</si>
  <si>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</si>
  <si>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</si>
  <si>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</si>
  <si>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</si>
  <si>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</si>
  <si>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</si>
  <si>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</si>
  <si>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</si>
  <si>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</si>
  <si>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</si>
  <si>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</si>
  <si>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</si>
  <si>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</si>
  <si>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</si>
  <si>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</si>
  <si>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</si>
  <si>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</si>
  <si>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</si>
  <si>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</si>
  <si>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</si>
  <si>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</si>
  <si>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</si>
  <si>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</si>
  <si>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</si>
  <si>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</si>
  <si>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</si>
  <si>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</si>
  <si>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</si>
  <si>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</si>
  <si>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</si>
  <si>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</si>
  <si>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</si>
  <si>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</si>
  <si>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</si>
  <si>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</si>
  <si>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</si>
  <si>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</si>
  <si>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</si>
  <si>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</si>
  <si>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</si>
  <si>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</si>
  <si>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</si>
  <si>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</si>
  <si>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</si>
  <si>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</si>
  <si>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</si>
  <si>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</si>
  <si>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</si>
  <si>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</si>
  <si>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</si>
  <si>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</si>
  <si>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</si>
  <si>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</si>
  <si>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</si>
  <si>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</si>
  <si>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</si>
  <si>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</si>
  <si>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</si>
  <si>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</si>
  <si>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</si>
  <si>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</si>
  <si>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</si>
  <si>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</si>
  <si>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</si>
  <si>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</si>
  <si>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</si>
  <si>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</si>
  <si>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</si>
  <si>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</si>
  <si>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</si>
  <si>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</si>
  <si>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</si>
  <si>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</si>
  <si>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</si>
  <si>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</si>
  <si>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</si>
  <si>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</si>
  <si>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</si>
  <si>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</si>
  <si>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</si>
  <si>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</si>
  <si>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</si>
  <si>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</si>
  <si>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</si>
  <si>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</si>
  <si>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</si>
  <si>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</si>
  <si>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</si>
  <si>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</si>
  <si>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</si>
  <si>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</si>
  <si>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</si>
  <si>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</si>
  <si>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</si>
  <si>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</si>
  <si>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</si>
  <si>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</si>
  <si>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</si>
  <si>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</si>
  <si>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</si>
  <si>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</si>
  <si>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</si>
  <si>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</si>
  <si>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</si>
  <si>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</si>
  <si>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</si>
  <si>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</si>
  <si>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</si>
  <si>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</si>
  <si>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</si>
  <si>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</si>
  <si>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</si>
  <si>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</si>
  <si>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</si>
  <si>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</si>
  <si>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</si>
  <si>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</si>
  <si>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</si>
  <si>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</si>
  <si>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</si>
  <si>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</si>
  <si>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</si>
  <si>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</si>
  <si>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</si>
  <si>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</si>
  <si>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</si>
  <si>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</si>
  <si>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</si>
  <si>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</si>
  <si>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</si>
  <si>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</si>
  <si>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</si>
  <si>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</si>
  <si>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</si>
  <si>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</si>
  <si>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</si>
  <si>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</si>
  <si>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</si>
  <si>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</si>
  <si>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</si>
  <si>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</si>
  <si>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</si>
  <si>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</si>
  <si>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</si>
  <si>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</si>
  <si>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</si>
  <si>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</si>
  <si>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</si>
  <si>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</si>
  <si>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</si>
  <si>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</si>
  <si>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</si>
  <si>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</si>
  <si>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</si>
  <si>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</si>
  <si>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</si>
  <si>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</si>
  <si>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</si>
  <si>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</si>
  <si>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</si>
  <si>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</si>
  <si>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</si>
  <si>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</si>
  <si>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</si>
  <si>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</si>
  <si>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</si>
  <si>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</si>
  <si>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</si>
  <si>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</si>
  <si>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</si>
  <si>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</si>
  <si>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</si>
  <si>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</si>
  <si>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</si>
  <si>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</si>
  <si>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</si>
  <si>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</si>
  <si>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</si>
  <si>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</si>
  <si>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</si>
  <si>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</si>
  <si>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</si>
  <si>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</si>
  <si>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</si>
  <si>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</si>
  <si>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</si>
  <si>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</si>
  <si>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</si>
  <si>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</si>
  <si>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</si>
  <si>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</si>
  <si>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</si>
  <si>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</si>
  <si>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</si>
  <si>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OUN</t>
  </si>
  <si>
    <t>ZACK</t>
  </si>
  <si>
    <t>302-19</t>
  </si>
  <si>
    <t>204:152</t>
  </si>
  <si>
    <t>204:158</t>
  </si>
  <si>
    <t>204:232971</t>
  </si>
  <si>
    <t>204:156</t>
  </si>
  <si>
    <t>204:232989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</si>
  <si>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</si>
  <si>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</si>
  <si>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</si>
  <si>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</si>
  <si>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</si>
  <si>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rtdc.l.rtdc.4031:itc</t>
  </si>
  <si>
    <t>204:232983</t>
  </si>
  <si>
    <t>204:233298</t>
  </si>
  <si>
    <t>204:446</t>
  </si>
  <si>
    <t>rtdc.l.rtdc.4032:itc</t>
  </si>
  <si>
    <t>PERMANENT SPEED RESTRICTION</t>
  </si>
  <si>
    <t>Speed (6)</t>
  </si>
  <si>
    <t>Y</t>
  </si>
  <si>
    <t>precipType</t>
  </si>
  <si>
    <t>204:469</t>
  </si>
  <si>
    <t>rtdc.l.rtdc.4001:itc</t>
  </si>
  <si>
    <t>204:232987</t>
  </si>
  <si>
    <t>204:233301</t>
  </si>
  <si>
    <t>204:233299</t>
  </si>
  <si>
    <t>204:233006</t>
  </si>
  <si>
    <t>rtdc.l.rtdc.4020:itc</t>
  </si>
  <si>
    <t>204:233293</t>
  </si>
  <si>
    <t>204:232969</t>
  </si>
  <si>
    <t>204:232994</t>
  </si>
  <si>
    <t>204:232984</t>
  </si>
  <si>
    <t>204:438</t>
  </si>
  <si>
    <t>rtdc.l.rtdc.4026:itc</t>
  </si>
  <si>
    <t>partly-cloudy-day</t>
  </si>
  <si>
    <t>204:138</t>
  </si>
  <si>
    <t>204:233317</t>
  </si>
  <si>
    <t>204:233304</t>
  </si>
  <si>
    <t>204:233306</t>
  </si>
  <si>
    <t>204:163</t>
  </si>
  <si>
    <t>204:154</t>
  </si>
  <si>
    <t>204:477</t>
  </si>
  <si>
    <t>204:233297</t>
  </si>
  <si>
    <t>204:233300</t>
  </si>
  <si>
    <t>204:233312</t>
  </si>
  <si>
    <t>204:442</t>
  </si>
  <si>
    <t>204:458</t>
  </si>
  <si>
    <t>204:167</t>
  </si>
  <si>
    <t>204:232991</t>
  </si>
  <si>
    <t>rtdc.l.rtdc.4008:itc</t>
  </si>
  <si>
    <t>rtdc.l.rtdc.4025:itc</t>
  </si>
  <si>
    <t>HILLS</t>
  </si>
  <si>
    <t>DUSTIN</t>
  </si>
  <si>
    <t>204:232979</t>
  </si>
  <si>
    <t>204:232981</t>
  </si>
  <si>
    <t>204:233291</t>
  </si>
  <si>
    <t>300:58933</t>
  </si>
  <si>
    <t>rtdc.l.rtdc.4046:itc</t>
  </si>
  <si>
    <t>rtdc.l.rtdc.4045:itc</t>
  </si>
  <si>
    <t>GREGORY</t>
  </si>
  <si>
    <t>precipAccumulation</t>
  </si>
  <si>
    <t>snow</t>
  </si>
  <si>
    <t>204:130</t>
  </si>
  <si>
    <t>204:488</t>
  </si>
  <si>
    <t>204:232967</t>
  </si>
  <si>
    <t>204:735</t>
  </si>
  <si>
    <t>204:971</t>
  </si>
  <si>
    <t>300:58638</t>
  </si>
  <si>
    <t>204:694</t>
  </si>
  <si>
    <t>rtdc.l.rtdc.4021:itc</t>
  </si>
  <si>
    <t>Uncaught Wi-MAX GREP</t>
  </si>
  <si>
    <t>rtdc.l.rtdc.4028:itc</t>
  </si>
  <si>
    <t>ROBINSON</t>
  </si>
  <si>
    <t>KADDIBA</t>
  </si>
  <si>
    <t>rtdc.l.rtdc.4027:itc</t>
  </si>
  <si>
    <t>KILLION</t>
  </si>
  <si>
    <t>DAVID</t>
  </si>
  <si>
    <t>WHITED</t>
  </si>
  <si>
    <t>65-12</t>
  </si>
  <si>
    <t>240-12</t>
  </si>
  <si>
    <t>88-12</t>
  </si>
  <si>
    <t>MCREYNOLDS</t>
  </si>
  <si>
    <t>KYLE</t>
  </si>
  <si>
    <t>309-12</t>
  </si>
  <si>
    <t>242-12</t>
  </si>
  <si>
    <t>311-12</t>
  </si>
  <si>
    <t>244-12</t>
  </si>
  <si>
    <t>313-12</t>
  </si>
  <si>
    <t>315-12</t>
  </si>
  <si>
    <t>Mostly Cloudy</t>
  </si>
  <si>
    <t>rain</t>
  </si>
  <si>
    <t>Snow</t>
  </si>
  <si>
    <t>204:143</t>
  </si>
  <si>
    <t>204:466</t>
  </si>
  <si>
    <t>204:233295</t>
  </si>
  <si>
    <t>204:132</t>
  </si>
  <si>
    <t>204:233302</t>
  </si>
  <si>
    <t>204:233318</t>
  </si>
  <si>
    <t>204:473</t>
  </si>
  <si>
    <t>204:232990</t>
  </si>
  <si>
    <t>204:169</t>
  </si>
  <si>
    <t>204:232988</t>
  </si>
  <si>
    <t>204:471</t>
  </si>
  <si>
    <t>204:440</t>
  </si>
  <si>
    <t>204:233311</t>
  </si>
  <si>
    <t>300:58662</t>
  </si>
  <si>
    <t>300:58937</t>
  </si>
  <si>
    <t>300:58960</t>
  </si>
  <si>
    <t>rtdc.l.rtdc.4015:itc</t>
  </si>
  <si>
    <t>rtdc.l.rtdc.4041:itc</t>
  </si>
  <si>
    <t>SAFIEF</t>
  </si>
  <si>
    <t>AEIMEN</t>
  </si>
  <si>
    <t>MAELZER</t>
  </si>
  <si>
    <t>KURT</t>
  </si>
  <si>
    <t>MAHAN</t>
  </si>
  <si>
    <t>DUANE</t>
  </si>
  <si>
    <t>DAVIS</t>
  </si>
  <si>
    <t>rtdc.l.rtdc.4016:itc</t>
  </si>
  <si>
    <t>BERLING</t>
  </si>
  <si>
    <t>GARY</t>
  </si>
  <si>
    <t>ROMERO</t>
  </si>
  <si>
    <t>CHAD</t>
  </si>
  <si>
    <t>STEWART</t>
  </si>
  <si>
    <t>SCOTT</t>
  </si>
  <si>
    <t>rtdc.l.rtdc.4029:itc</t>
  </si>
  <si>
    <t>311-15</t>
  </si>
  <si>
    <t>244-15</t>
  </si>
  <si>
    <t>313-15</t>
  </si>
  <si>
    <t>315-15</t>
  </si>
  <si>
    <t>sleet</t>
  </si>
  <si>
    <t>Light Sleet</t>
  </si>
  <si>
    <t>204:233339</t>
  </si>
  <si>
    <t>204:741</t>
  </si>
  <si>
    <t>204:233286</t>
  </si>
  <si>
    <t>204:232982</t>
  </si>
  <si>
    <t>204:484</t>
  </si>
  <si>
    <t>204:232978</t>
  </si>
  <si>
    <t>204:233002</t>
  </si>
  <si>
    <t>204:233320</t>
  </si>
  <si>
    <t>204:426</t>
  </si>
  <si>
    <t>204:962</t>
  </si>
  <si>
    <t>300:58632</t>
  </si>
  <si>
    <t>204:680</t>
  </si>
  <si>
    <t>204:659</t>
  </si>
  <si>
    <t>300:58935</t>
  </si>
  <si>
    <t>300:58623</t>
  </si>
  <si>
    <t>300:58630</t>
  </si>
  <si>
    <t>204:740</t>
  </si>
  <si>
    <t>204:1044</t>
  </si>
  <si>
    <t>300:58941</t>
  </si>
  <si>
    <t>204:451</t>
  </si>
  <si>
    <t>204:424</t>
  </si>
  <si>
    <t>204:127</t>
  </si>
  <si>
    <t>204:495</t>
  </si>
  <si>
    <t>204:232970</t>
  </si>
  <si>
    <t>204:475</t>
  </si>
  <si>
    <t>204:233308</t>
  </si>
  <si>
    <t>204:489</t>
  </si>
  <si>
    <t>204:232985</t>
  </si>
  <si>
    <t>204:233285</t>
  </si>
  <si>
    <t>204:457</t>
  </si>
  <si>
    <t>204:233025</t>
  </si>
  <si>
    <t>300:23346</t>
  </si>
  <si>
    <t>300:23304</t>
  </si>
  <si>
    <t>Early arrival</t>
  </si>
  <si>
    <t>Wi-MAX data drop</t>
  </si>
  <si>
    <t>SYS :2017/01/15 12:31:00.852:ENFORCEMENT:Predictive Enforcement Action:  Target Number: 0000628B  Target Speed:   0.0  Current Speed:  12.2</t>
  </si>
  <si>
    <t>SYS :2017/01/15 12:31:00.862:ENFORCEMENT:Predictive Enforcement Action:  Target Number: 000061E6  Target Speed:   0.0  Current Speed:  12.2</t>
  </si>
  <si>
    <t>SYS :2017/01/15 12:31:00.873:ENFORCEMENT:Predictive Enforcement Action:  Target Number: 00004104  Target Speed:   0.0  Current Speed:  12.2</t>
  </si>
  <si>
    <t>SYS :2017/01/15 12:31:00.881:ENFORCEMENT:Predictive Enforcement Action:  Target Number: 0000408D  Target Speed:   0.0  Current Speed:  12.2</t>
  </si>
  <si>
    <t>SYS :2017/01/15 15:22:20.279:ENFORCEMENT:Predictive Enforcement Action:  Target Number: 000060BD  Target Speed:   0.0  Current Speed:  55.2</t>
  </si>
  <si>
    <t>SYS :2017/01/15 15:22:20.894:ENFORCEMENT:Predictive Enforcement Action:  Target Number: 0000601C  Target Speed:   0.0  Current Speed:  55.2</t>
  </si>
  <si>
    <t>SYS :2017/01/15 15:22:20.997:ENFORCEMENT:Predictive Enforcement Action:  Target Number: 000060B9  Target Speed:   0.0  Current Speed:  55.2</t>
  </si>
  <si>
    <t>SYS :2017/01/15 16:06:22.298:ENFORCEMENT:Predictive Enforcement Action:  Target Number: 00001009  Target Speed:   0.0  Current Speed:  14.2</t>
  </si>
  <si>
    <t>SYS :2017/01/15 16:06:24.894:ENFORCEMENT:Predictive Enforcement Action:  Target Number: 00001009  Target Speed:   0.0  Current Speed:  14.9</t>
  </si>
  <si>
    <t>SYS :2017/01/15 16:06:25.021:ENFORCEMENT:Predictive Enforcement Action:  Target Number: 00001009  Target Speed:   0.0  Current Speed:  14.9</t>
  </si>
  <si>
    <t>SYS :2017/01/15 16:35:13.922:ENFORCEMENT:Predictive Enforcement Action:  Target Number: 00001006  Target Speed:   0.0  Current Speed:   6.5</t>
  </si>
  <si>
    <t>SYS :2017/01/15 16:35:14.705:ENFORCEMENT:Predictive Enforcement Action:  Target Number: 00001006  Target Speed:   0.0  Current Speed:   6.5</t>
  </si>
  <si>
    <t>SYS :2017/01/15 17:20:34.633:ENFORCEMENT:Predictive Enforcement Action:  Target Number: 00001006  Target Speed:   0.0  Current Speed:   4.2</t>
  </si>
  <si>
    <t>SYS :2017/01/15 17:20:34.637:ENFORCEMENT:Predictive Enforcement Action:  Target Number: 00001006  Target Speed:   0.0  Current Speed:   4.1</t>
  </si>
  <si>
    <t>SYS :2017/01/15 17:20:34.818:ENFORCEMENT:Predictive Enforcement Action:  Target Number: 00001006  Target Speed:   0.0  Current Speed:   4.1</t>
  </si>
  <si>
    <t>SYS :2017/01/15 17:27:42.907:ENFORCEMENT:Reactive Enforcement Action:  Target Number: 0001705B  Target Speed:   0.0  Current Speed:  15.3</t>
  </si>
  <si>
    <t>SYS :2017/01/15 17:27:43.036:ENFORCEMENT:Reactive Enforcement Action:  Target Number: 0001705B  Target Speed:   0.0  Current Speed:  15.3</t>
  </si>
  <si>
    <t>SYS :2017/01/15 17:27:43.327:ENFORCEMENT:Reactive Enforcement Action:  Target Number: 0001705B  Target Speed:   0.0  Current Speed:  13.4</t>
  </si>
  <si>
    <t>SYS :2017/01/15 18:36:40.270:ENFORCEMENT:Predictive Enforcement Action:  Target Number: 00017066  Target Speed:   0.0  Current Speed:  22.4</t>
  </si>
  <si>
    <t>SYS :2017/01/15 18:36:40.887:ENFORCEMENT:Predictive Enforcement Action:  Target Number: 00017032  Target Speed:   0.0  Current Speed:  22.4</t>
  </si>
  <si>
    <t>SYS :2017/01/15 18:36:41.000:ENFORCEMENT:Predictive Enforcement Action:  Target Number: 00017066  Target Speed:   0.0  Current Speed:  22.0</t>
  </si>
  <si>
    <t>SYS :2017/01/15 18:37:16.758:ENFORCEMENT:Predictive Enforcement Action:  Target Number: 0000100C  Target Speed:   0.0  Current Speed:   5.4</t>
  </si>
  <si>
    <t>SYS :2017/01/15 18:37:16.850:ENFORCEMENT:Predictive Enforcement Action:  Target Number: 0000100C  Target Speed:   0.0  Current Speed:   5.4</t>
  </si>
  <si>
    <t>SYS :2017/01/15 18:37:16.879:ENFORCEMENT:Predictive Enforcement Action:  Target Number: 0000100C  Target Speed:   0.0  Current Speed:   5.4</t>
  </si>
  <si>
    <t>SYS :2017/01/15 19:07:05.858:ENFORCEMENT:Predictive Enforcement Action:  Target Number: 00001006  Target Speed:   0.0  Current Speed:   4.0</t>
  </si>
  <si>
    <t>SYS :2017/01/15 19:07:06.249:ENFORCEMENT:Predictive Enforcement Action:  Target Number: 0000100B  Target Speed:   0.0  Current Speed:   3.9</t>
  </si>
  <si>
    <t>SYS :2017/01/15 20:23:36.712:ENFORCEMENT:Reactive Enforcement Action:  Target Number: 0001009A  Target Speed:  20.0  Current Speed:  25.5</t>
  </si>
  <si>
    <t>SYS :2017/01/15 20:23:36.936:ENFORCEMENT:Reactive Enforcement Action:  Target Number: 0001009A  Target Speed:  20.0  Current Speed:  25.5</t>
  </si>
  <si>
    <t>SYS :2017/01/15 20:23:37.038:ENFORCEMENT:Reactive Enforcement Action:  Target Number: 0001009A  Target Speed:  20.0  Current Speed:  25.5</t>
  </si>
  <si>
    <t>SYS :2017/01/15 21:58:38.659:ENFORCEMENT:Reactive Enforcement Action:  Target Number: 000100AE  Target Speed:  35.0  Current Speed:  40.0</t>
  </si>
  <si>
    <t>SYS :2017/01/15 21:58:38.678:ENFORCEMENT:Reactive Enforcement Action:  Target Number: 000100AE  Target Speed:  35.0  Current Speed:  40.0</t>
  </si>
  <si>
    <t>SYS :2017/01/15 21:58:38.832:ENFORCEMENT:Reactive Enforcement Action:  Target Number: 000100AE  Target Speed:  35.0  Current Speed:  40.0</t>
  </si>
  <si>
    <t>SYS :2017/01/15 22:27:04.796:ENFORCEMENT:Predictive Enforcement Action:  Target Number: 000100C4  Target Speed:  15.0  Current Speed:  20.8</t>
  </si>
  <si>
    <t>SYS :2017/01/15 22:27:05.653:ENFORCEMENT:Predictive Enforcement Action:  Target Number: 000100C4  Target Speed:  15.0  Current Speed:  20.8</t>
  </si>
  <si>
    <t>SYS :2017/01/15 22:27:05.808:ENFORCEMENT:Reactive Enforcement Action:  Target Number: 000100C4  Target Speed:  15.0  Current Speed:  20.8</t>
  </si>
  <si>
    <t>SYS :2017/01/15 22:27:56.937:ENFORCEMENT:Predictive Enforcement Action:  Target Number: 00006118  Target Speed:   0.0  Current Speed:  40.8</t>
  </si>
  <si>
    <t>SYS :2017/01/15 22:27:57.484:ENFORCEMENT:Predictive Enforcement Action:  Target Number: 0000610B  Target Speed:   0.0  Current Speed:  40.2</t>
  </si>
  <si>
    <t>SYS :2017/01/15 22:27:57.742:ENFORCEMENT:Predictive Enforcement Action:  Target Number: 0000611B  Target Speed:   0.0  Current Speed:  40.8</t>
  </si>
  <si>
    <t>SYS :2017/01/15 23:07:50.786:ENFORCEMENT:Predictive Enforcement Action:  Target Number: 00001010  Target Speed:   0.0  Current Speed:  15.2</t>
  </si>
  <si>
    <t>SYS :2017/01/15 23:16:19.645:ENFORCEMENT:Predictive Enforcement Action:  Target Number: 0000E003  Target Speed:   0.0  Current Speed:   5.5</t>
  </si>
  <si>
    <t>SYS :2017/01/15 23:16:20.230:ENFORCEMENT:Predictive Enforcement Action:  Target Number: 0000E003  Target Speed:   0.0  Current Speed:   5.5</t>
  </si>
  <si>
    <t>SYS :2017/01/15 23:16:20.269:ENFORCEMENT:Predictive Enforcement Action:  Target Number: 0000E003  Target Speed:   0.0  Current Speed:   5.5</t>
  </si>
  <si>
    <t>SYS :2017/01/15 23:26:50.433:ENFORCEMENT:Predictive Enforcement Action:  Target Number: 000100E5  Target Speed:  15.0  Current Speed:  20.2</t>
  </si>
  <si>
    <t>SYS :2017/01/15 23:26:50.435:ENFORCEMENT:Predictive Enforcement Action:  Target Number: 000100E5  Target Speed:  15.0  Current Speed:  20.2</t>
  </si>
  <si>
    <t>SYS :2017/01/15 23:26:50.763:ENFORCEMENT:Predictive Enforcement Action:  Target Number: 000100E5  Target Speed:  15.0  Current Speed:  20.2</t>
  </si>
  <si>
    <t>SYS :2017/01/15 23:45:32.997:ENFORCEMENT:Predictive Enforcement Action:  Target Number: 0000E008  Target Speed:   0.0  Current Speed:   2.8</t>
  </si>
  <si>
    <t>SYS :2017/01/15 23:45:33.392:ENFORCEMENT:Predictive Enforcement Action:  Target Number: 0000E008  Target Speed:   0.0  Current Speed:   2.8</t>
  </si>
  <si>
    <t>SYS :2017/01/16 00:59:37.644:ENFORCEMENT:Predictive Enforcement Action:  Target Number: 0000E004  Target Speed:   0.0  Current Speed:   3.8</t>
  </si>
  <si>
    <t>SYS :2017/01/16 00:59:38.230:ENFORCEMENT:Predictive Enforcement Action:  Target Number: 0000E004  Target Speed:   0.0  Current Speed:   3.8</t>
  </si>
  <si>
    <t>SYS :2017/01/16 00:59:38.257:ENFORCEMENT:Predictive Enforcement Action:  Target Number: 0000E004  Target Speed:   0.0  Current Speed:   3.8</t>
  </si>
  <si>
    <t>SYS :2017/01/16 01:22:12.441:ENFORCEMENT:Predictive Enforcement Action:  Target Number: 00001018  Target Speed:   0.0  Current Speed:   3.3</t>
  </si>
  <si>
    <t>SYS :2017/01/16 01:22:12.535:ENFORCEMENT:Predictive Enforcement Action:  Target Number: 00001018  Target Speed:   0.0  Current Speed:   3.3</t>
  </si>
  <si>
    <t>SYS :2017/01/16 01:22:12.945:ENFORCEMENT:Predictive Enforcement Action:  Target Number: 00001018  Target Speed:   0.0  Current Speed:   3.3</t>
  </si>
  <si>
    <t>SYS :2017/01/16 02:06:31.251:ENFORCEMENT:Predictive Enforcement Action:  Target Number: 00001014  Target Speed:   0.0  Current Speed:  16.4</t>
  </si>
  <si>
    <t>SYS :2017/01/16 02:06:31.990:ENFORCEMENT:Predictive Enforcement Action:  Target Number: 00001014  Target Speed:   0.0  Current Speed:  16.4</t>
  </si>
  <si>
    <t>SYS :2017/01/16 03:37:50.988:ENFORCEMENT:Reactive Enforcement Action:  Target Number: 000170D1  Target Speed:  14.0  Current Speed:  19.0</t>
  </si>
  <si>
    <t>SYS :2017/01/16 03:37:51.256:ENFORCEMENT:Reactive Enforcement Action:  Target Number: 000170D1  Target Speed:  14.0  Current Speed:  19.0</t>
  </si>
  <si>
    <t>119-16</t>
  </si>
  <si>
    <t>120-16</t>
  </si>
  <si>
    <t>118-16</t>
  </si>
  <si>
    <t>131-16</t>
  </si>
  <si>
    <t>807-16</t>
  </si>
  <si>
    <t>135-16</t>
  </si>
  <si>
    <t>812-16</t>
  </si>
  <si>
    <t>814-16</t>
  </si>
  <si>
    <t>140-16</t>
  </si>
  <si>
    <t>145-16</t>
  </si>
  <si>
    <t>144-16</t>
  </si>
  <si>
    <t>146-16</t>
  </si>
  <si>
    <t>815-16</t>
  </si>
  <si>
    <t>159-16</t>
  </si>
  <si>
    <t>154-16</t>
  </si>
  <si>
    <t>167-16</t>
  </si>
  <si>
    <t>819-16</t>
  </si>
  <si>
    <t>172-16</t>
  </si>
  <si>
    <t>828-16</t>
  </si>
  <si>
    <t>829-16</t>
  </si>
  <si>
    <t>67-16</t>
  </si>
  <si>
    <t>836-16</t>
  </si>
  <si>
    <t>219-16</t>
  </si>
  <si>
    <t>222-16</t>
  </si>
  <si>
    <t>847-16</t>
  </si>
  <si>
    <t>302-16</t>
  </si>
  <si>
    <t>101-16</t>
  </si>
  <si>
    <t>304-16</t>
  </si>
  <si>
    <t>103-16</t>
  </si>
  <si>
    <t>105-16</t>
  </si>
  <si>
    <t>STARKS</t>
  </si>
  <si>
    <t>ANGELINA</t>
  </si>
  <si>
    <t>306-16</t>
  </si>
  <si>
    <t>102-16</t>
  </si>
  <si>
    <t>308-16</t>
  </si>
  <si>
    <t>SIMMONS</t>
  </si>
  <si>
    <t>SHYHESHA</t>
  </si>
  <si>
    <t>310-16</t>
  </si>
  <si>
    <t>SWANSON</t>
  </si>
  <si>
    <t>BRYCE</t>
  </si>
  <si>
    <t>107-16</t>
  </si>
  <si>
    <t>104-16</t>
  </si>
  <si>
    <t>109-16</t>
  </si>
  <si>
    <t>111-16</t>
  </si>
  <si>
    <t>DUNCAN</t>
  </si>
  <si>
    <t>SHEILA</t>
  </si>
  <si>
    <t>901-16</t>
  </si>
  <si>
    <t>HAITHCOX</t>
  </si>
  <si>
    <t>113-16</t>
  </si>
  <si>
    <t>800-16</t>
  </si>
  <si>
    <t>106-16</t>
  </si>
  <si>
    <t>108-16</t>
  </si>
  <si>
    <t>117-16</t>
  </si>
  <si>
    <t>115-16</t>
  </si>
  <si>
    <t>110-16</t>
  </si>
  <si>
    <t>112-16</t>
  </si>
  <si>
    <t>801-16</t>
  </si>
  <si>
    <t>902-16</t>
  </si>
  <si>
    <t>114-16</t>
  </si>
  <si>
    <t>802-16</t>
  </si>
  <si>
    <t>121-16</t>
  </si>
  <si>
    <t>116-16</t>
  </si>
  <si>
    <t>803-16</t>
  </si>
  <si>
    <t>123-16</t>
  </si>
  <si>
    <t>805-16</t>
  </si>
  <si>
    <t>125-16</t>
  </si>
  <si>
    <t>804-16</t>
  </si>
  <si>
    <t>127-16</t>
  </si>
  <si>
    <t>122-16</t>
  </si>
  <si>
    <t>806-16</t>
  </si>
  <si>
    <t>124-16</t>
  </si>
  <si>
    <t>129-16</t>
  </si>
  <si>
    <t>126-16</t>
  </si>
  <si>
    <t>809-16</t>
  </si>
  <si>
    <t>808-16</t>
  </si>
  <si>
    <t>133-16</t>
  </si>
  <si>
    <t>SPECTOR</t>
  </si>
  <si>
    <t>128-16</t>
  </si>
  <si>
    <t>130-16</t>
  </si>
  <si>
    <t>811-16</t>
  </si>
  <si>
    <t>810-16</t>
  </si>
  <si>
    <t>137-16</t>
  </si>
  <si>
    <t>132-16</t>
  </si>
  <si>
    <t>139-16</t>
  </si>
  <si>
    <t>903-16</t>
  </si>
  <si>
    <t>134-16</t>
  </si>
  <si>
    <t>141-16</t>
  </si>
  <si>
    <t>136-16</t>
  </si>
  <si>
    <t>143-16</t>
  </si>
  <si>
    <t>813-16</t>
  </si>
  <si>
    <t>138-16</t>
  </si>
  <si>
    <t>147-16</t>
  </si>
  <si>
    <t>142-16</t>
  </si>
  <si>
    <t>149-16</t>
  </si>
  <si>
    <t>YANAI</t>
  </si>
  <si>
    <t>IAN</t>
  </si>
  <si>
    <t>151-16</t>
  </si>
  <si>
    <t>153-16</t>
  </si>
  <si>
    <t>155-16</t>
  </si>
  <si>
    <t>148-16</t>
  </si>
  <si>
    <t>150-16</t>
  </si>
  <si>
    <t>816-16</t>
  </si>
  <si>
    <t>157-16</t>
  </si>
  <si>
    <t>152-16</t>
  </si>
  <si>
    <t>rtdc.l.rtdc.4043:itc</t>
  </si>
  <si>
    <t>50-16</t>
  </si>
  <si>
    <t>817-16</t>
  </si>
  <si>
    <t>161-16</t>
  </si>
  <si>
    <t>156-16</t>
  </si>
  <si>
    <t>163-16</t>
  </si>
  <si>
    <t>CLARK</t>
  </si>
  <si>
    <t>KATHLEEN</t>
  </si>
  <si>
    <t>52-16</t>
  </si>
  <si>
    <t>YANG</t>
  </si>
  <si>
    <t>JAN</t>
  </si>
  <si>
    <t>rtdc.l.rtdc.4044:itc</t>
  </si>
  <si>
    <t>51-16</t>
  </si>
  <si>
    <t>158-16</t>
  </si>
  <si>
    <t>818-16</t>
  </si>
  <si>
    <t>165-16</t>
  </si>
  <si>
    <t>CRAYTON</t>
  </si>
  <si>
    <t>QUNTRELL</t>
  </si>
  <si>
    <t>160-16</t>
  </si>
  <si>
    <t>162-16</t>
  </si>
  <si>
    <t>53-16</t>
  </si>
  <si>
    <t>YORK</t>
  </si>
  <si>
    <t>EDGAR</t>
  </si>
  <si>
    <t>169-16</t>
  </si>
  <si>
    <t>164-16</t>
  </si>
  <si>
    <t>171-16</t>
  </si>
  <si>
    <t>166-16</t>
  </si>
  <si>
    <t>821-16</t>
  </si>
  <si>
    <t>173-16</t>
  </si>
  <si>
    <t>820-16</t>
  </si>
  <si>
    <t>168-16</t>
  </si>
  <si>
    <t>175-16</t>
  </si>
  <si>
    <t>170-16</t>
  </si>
  <si>
    <t>177-16</t>
  </si>
  <si>
    <t>179-16</t>
  </si>
  <si>
    <t>174-16</t>
  </si>
  <si>
    <t>822-16</t>
  </si>
  <si>
    <t>181-16</t>
  </si>
  <si>
    <t>176-16</t>
  </si>
  <si>
    <t>183-16</t>
  </si>
  <si>
    <t>178-16</t>
  </si>
  <si>
    <t>823-16</t>
  </si>
  <si>
    <t>BRANDNER</t>
  </si>
  <si>
    <t>MELINDA</t>
  </si>
  <si>
    <t>180-16</t>
  </si>
  <si>
    <t>185-16</t>
  </si>
  <si>
    <t>187-16</t>
  </si>
  <si>
    <t>182-16</t>
  </si>
  <si>
    <t>824-16</t>
  </si>
  <si>
    <t>189-16</t>
  </si>
  <si>
    <t>184-16</t>
  </si>
  <si>
    <t>191-16</t>
  </si>
  <si>
    <t>186-16</t>
  </si>
  <si>
    <t>193-16</t>
  </si>
  <si>
    <t>825-16</t>
  </si>
  <si>
    <t>904-16</t>
  </si>
  <si>
    <t>188-16</t>
  </si>
  <si>
    <t>195-16</t>
  </si>
  <si>
    <t>827-16</t>
  </si>
  <si>
    <t>190-16</t>
  </si>
  <si>
    <t>197-16</t>
  </si>
  <si>
    <t>826-16</t>
  </si>
  <si>
    <t>192-16</t>
  </si>
  <si>
    <t>194-16</t>
  </si>
  <si>
    <t>199-16</t>
  </si>
  <si>
    <t>201-16</t>
  </si>
  <si>
    <t>196-16</t>
  </si>
  <si>
    <t>203-16</t>
  </si>
  <si>
    <t>831-16</t>
  </si>
  <si>
    <t>198-16</t>
  </si>
  <si>
    <t>830-16</t>
  </si>
  <si>
    <t>205-16</t>
  </si>
  <si>
    <t>54-16</t>
  </si>
  <si>
    <t>207-16</t>
  </si>
  <si>
    <t>200-16</t>
  </si>
  <si>
    <t>832-16</t>
  </si>
  <si>
    <t>202-16</t>
  </si>
  <si>
    <t>56-16</t>
  </si>
  <si>
    <t>69-16</t>
  </si>
  <si>
    <t>833-16</t>
  </si>
  <si>
    <t>209-16</t>
  </si>
  <si>
    <t>204-16</t>
  </si>
  <si>
    <t>835-16</t>
  </si>
  <si>
    <t>211-16</t>
  </si>
  <si>
    <t>206-16</t>
  </si>
  <si>
    <t>834-16</t>
  </si>
  <si>
    <t>208-16</t>
  </si>
  <si>
    <t>213-16</t>
  </si>
  <si>
    <t>215-16</t>
  </si>
  <si>
    <t>210-16</t>
  </si>
  <si>
    <t>55-16</t>
  </si>
  <si>
    <t>217-16</t>
  </si>
  <si>
    <t>212-16</t>
  </si>
  <si>
    <t>837-16</t>
  </si>
  <si>
    <t>58-16</t>
  </si>
  <si>
    <t>STORY</t>
  </si>
  <si>
    <t>SAMANTHA</t>
  </si>
  <si>
    <t>839-16</t>
  </si>
  <si>
    <t>214-16</t>
  </si>
  <si>
    <t>838-16</t>
  </si>
  <si>
    <t>303-16</t>
  </si>
  <si>
    <t>216-16</t>
  </si>
  <si>
    <t>218-16</t>
  </si>
  <si>
    <t>221-16</t>
  </si>
  <si>
    <t>906-16</t>
  </si>
  <si>
    <t>305-16</t>
  </si>
  <si>
    <t>841-16</t>
  </si>
  <si>
    <t>220-16</t>
  </si>
  <si>
    <t>223-16</t>
  </si>
  <si>
    <t>840-16</t>
  </si>
  <si>
    <t>307-16</t>
  </si>
  <si>
    <t>225-16</t>
  </si>
  <si>
    <t>843-16</t>
  </si>
  <si>
    <t>224-16</t>
  </si>
  <si>
    <t>227-16</t>
  </si>
  <si>
    <t>842-16</t>
  </si>
  <si>
    <t>226-16</t>
  </si>
  <si>
    <t>229-16</t>
  </si>
  <si>
    <t>845-16</t>
  </si>
  <si>
    <t>231-16</t>
  </si>
  <si>
    <t>228-16</t>
  </si>
  <si>
    <t>233-16</t>
  </si>
  <si>
    <t>844-16</t>
  </si>
  <si>
    <t>230-16</t>
  </si>
  <si>
    <t>232-16</t>
  </si>
  <si>
    <t>235-16</t>
  </si>
  <si>
    <t>908-16</t>
  </si>
  <si>
    <t>234-16</t>
  </si>
  <si>
    <t>237-16</t>
  </si>
  <si>
    <t>239-16</t>
  </si>
  <si>
    <t>236-16</t>
  </si>
  <si>
    <t>241-16</t>
  </si>
  <si>
    <t>238-16</t>
  </si>
  <si>
    <t>243-16</t>
  </si>
  <si>
    <t>240-16</t>
  </si>
  <si>
    <t>309-16</t>
  </si>
  <si>
    <t>242-16</t>
  </si>
  <si>
    <t>311-16</t>
  </si>
  <si>
    <t>244-16</t>
  </si>
  <si>
    <t>313-16</t>
  </si>
  <si>
    <t>315-16</t>
  </si>
  <si>
    <t>Drizzle</t>
  </si>
  <si>
    <t>Partly Cloudy</t>
  </si>
  <si>
    <t>partly-cloudy-night</t>
  </si>
  <si>
    <t>204:775</t>
  </si>
  <si>
    <t>204:233344</t>
  </si>
  <si>
    <t>204:232683</t>
  </si>
  <si>
    <t>204:755</t>
  </si>
  <si>
    <t>204:233374</t>
  </si>
  <si>
    <t>204:232738</t>
  </si>
  <si>
    <t>204:724</t>
  </si>
  <si>
    <t>204:232672</t>
  </si>
  <si>
    <t>204:460</t>
  </si>
  <si>
    <t>204:233303</t>
  </si>
  <si>
    <t>204:233357</t>
  </si>
  <si>
    <t>204:233055</t>
  </si>
  <si>
    <t>204:141</t>
  </si>
  <si>
    <t>204:805</t>
  </si>
  <si>
    <t>204:233305</t>
  </si>
  <si>
    <t>204:233342</t>
  </si>
  <si>
    <t>204:233013</t>
  </si>
  <si>
    <t>204:233284</t>
  </si>
  <si>
    <t>204:233319</t>
  </si>
  <si>
    <t>204:232996</t>
  </si>
  <si>
    <t>204:690</t>
  </si>
  <si>
    <t>204:233276</t>
  </si>
  <si>
    <t>204:1919</t>
  </si>
  <si>
    <t>204:233314</t>
  </si>
  <si>
    <t>204:233046</t>
  </si>
  <si>
    <t>204:233000</t>
  </si>
  <si>
    <t>204:233323</t>
  </si>
  <si>
    <t>204:233009</t>
  </si>
  <si>
    <t>204:233347</t>
  </si>
  <si>
    <t>204:233322</t>
  </si>
  <si>
    <t>204:413</t>
  </si>
  <si>
    <t>204:26679</t>
  </si>
  <si>
    <t>204:233068</t>
  </si>
  <si>
    <t>204:233282</t>
  </si>
  <si>
    <t>204:232992</t>
  </si>
  <si>
    <t>204:467</t>
  </si>
  <si>
    <t>204:233021</t>
  </si>
  <si>
    <t>204:176</t>
  </si>
  <si>
    <t>204:233321</t>
  </si>
  <si>
    <t>204:165</t>
  </si>
  <si>
    <t>204:233272</t>
  </si>
  <si>
    <t>204:232975</t>
  </si>
  <si>
    <t>204:233307</t>
  </si>
  <si>
    <t>204:233315</t>
  </si>
  <si>
    <t>204:119</t>
  </si>
  <si>
    <t>204:232964</t>
  </si>
  <si>
    <t>204:170</t>
  </si>
  <si>
    <t>204:232963</t>
  </si>
  <si>
    <t>204:85</t>
  </si>
  <si>
    <t>204:232993</t>
  </si>
  <si>
    <t>204:161</t>
  </si>
  <si>
    <t>204:387</t>
  </si>
  <si>
    <t>204:232998</t>
  </si>
  <si>
    <t>204:1175</t>
  </si>
  <si>
    <t>204:174</t>
  </si>
  <si>
    <t>204:427</t>
  </si>
  <si>
    <t>204:233389</t>
  </si>
  <si>
    <t>204:233091</t>
  </si>
  <si>
    <t>204:233003</t>
  </si>
  <si>
    <t>204:896</t>
  </si>
  <si>
    <t>204:233004</t>
  </si>
  <si>
    <t>204:233429</t>
  </si>
  <si>
    <t>204:233104</t>
  </si>
  <si>
    <t>204:233363</t>
  </si>
  <si>
    <t>204:233023</t>
  </si>
  <si>
    <t>204:437</t>
  </si>
  <si>
    <t>204:233370</t>
  </si>
  <si>
    <t>204:233074</t>
  </si>
  <si>
    <t>204:232968</t>
  </si>
  <si>
    <t>204:233400</t>
  </si>
  <si>
    <t>204:233106</t>
  </si>
  <si>
    <t>204:196</t>
  </si>
  <si>
    <t>300:23165</t>
  </si>
  <si>
    <t>300:23295</t>
  </si>
  <si>
    <t>300:19442</t>
  </si>
  <si>
    <t>204:125</t>
  </si>
  <si>
    <t>300:23245</t>
  </si>
  <si>
    <t>300:22185</t>
  </si>
  <si>
    <t>300:22187</t>
  </si>
  <si>
    <t>204:1222</t>
  </si>
  <si>
    <t>300:22465</t>
  </si>
  <si>
    <t>300:23158</t>
  </si>
  <si>
    <t>204:486</t>
  </si>
  <si>
    <t>300:22708</t>
  </si>
  <si>
    <t>204:504</t>
  </si>
  <si>
    <t>300:23312</t>
  </si>
  <si>
    <t>300:21886</t>
  </si>
  <si>
    <t>204:871</t>
  </si>
  <si>
    <t>204:1179</t>
  </si>
  <si>
    <t>300:24072</t>
  </si>
  <si>
    <t>300:21835</t>
  </si>
  <si>
    <t>204:148</t>
  </si>
  <si>
    <t>204:450</t>
  </si>
  <si>
    <t>300:24224</t>
  </si>
  <si>
    <t>300:23349</t>
  </si>
  <si>
    <t>204:61</t>
  </si>
  <si>
    <t>204:365</t>
  </si>
  <si>
    <t>300:23341</t>
  </si>
  <si>
    <t>204:361</t>
  </si>
  <si>
    <t>300:21890</t>
  </si>
  <si>
    <t>204:1024</t>
  </si>
  <si>
    <t>204:1484</t>
  </si>
  <si>
    <t>204:1941</t>
  </si>
  <si>
    <t>204:1492</t>
  </si>
  <si>
    <t>204:1471</t>
  </si>
  <si>
    <t>204:972</t>
  </si>
  <si>
    <t>300:58611</t>
  </si>
  <si>
    <t>204:685</t>
  </si>
  <si>
    <t>204:1028</t>
  </si>
  <si>
    <t>300:58967</t>
  </si>
  <si>
    <t>300:58656</t>
  </si>
  <si>
    <t>204:747</t>
  </si>
  <si>
    <t>300:58922</t>
  </si>
  <si>
    <t>300:58608</t>
  </si>
  <si>
    <t>204:650</t>
  </si>
  <si>
    <t>204:1030</t>
  </si>
  <si>
    <t>300:58984</t>
  </si>
  <si>
    <t>300:58673</t>
  </si>
  <si>
    <t>204:727</t>
  </si>
  <si>
    <t>204:965</t>
  </si>
  <si>
    <t>300:58931</t>
  </si>
  <si>
    <t>300:58613</t>
  </si>
  <si>
    <t>204:692</t>
  </si>
  <si>
    <t>204:1013</t>
  </si>
  <si>
    <t>300:58988</t>
  </si>
  <si>
    <t>300:58664</t>
  </si>
  <si>
    <t>300:58990</t>
  </si>
  <si>
    <t>300:58679</t>
  </si>
  <si>
    <t>204:1032</t>
  </si>
  <si>
    <t>204:743</t>
  </si>
  <si>
    <t>204:1056</t>
  </si>
  <si>
    <t>204:757</t>
  </si>
  <si>
    <t>204:1048</t>
  </si>
  <si>
    <t>300:58976</t>
  </si>
  <si>
    <t>204:769</t>
  </si>
  <si>
    <t>204:1034</t>
  </si>
  <si>
    <t>300:58929</t>
  </si>
  <si>
    <t>300:58609</t>
  </si>
  <si>
    <t>204:687</t>
  </si>
  <si>
    <t>204:752</t>
  </si>
  <si>
    <t>204:950</t>
  </si>
  <si>
    <t>300:58920</t>
  </si>
  <si>
    <t>204:698</t>
  </si>
  <si>
    <t>300:58626</t>
  </si>
  <si>
    <t>204:983</t>
  </si>
  <si>
    <t>300:58911</t>
  </si>
  <si>
    <t>300:58589</t>
  </si>
  <si>
    <t>204:981</t>
  </si>
  <si>
    <t>204:663</t>
  </si>
  <si>
    <t>204:955</t>
  </si>
  <si>
    <t>300:58924</t>
  </si>
  <si>
    <t>204:678</t>
  </si>
  <si>
    <t>300:58928</t>
  </si>
  <si>
    <t>300:58621</t>
  </si>
  <si>
    <t>204:671</t>
  </si>
  <si>
    <t>204:944</t>
  </si>
  <si>
    <t>204:656</t>
  </si>
  <si>
    <t>300:58926</t>
  </si>
  <si>
    <t>204:957</t>
  </si>
  <si>
    <t>300:58903</t>
  </si>
  <si>
    <t>300:29665</t>
  </si>
  <si>
    <t>300:58948</t>
  </si>
  <si>
    <t>300:23161</t>
  </si>
  <si>
    <t>300:24197</t>
  </si>
  <si>
    <t>300:22946</t>
  </si>
  <si>
    <t>204:670</t>
  </si>
  <si>
    <t>300:28778</t>
  </si>
  <si>
    <t>300:58592</t>
  </si>
  <si>
    <t>300:21714</t>
  </si>
  <si>
    <t>start /low /b %USERPROFILE%\Documents\GitHub\eaglep3\Utilities\DownloadLogsFromS3.py --loco 4022 --day 2017-01-16</t>
  </si>
  <si>
    <t>start /low /b %USERPROFILE%\Documents\GitHub\eaglep3\Utilities\DownloadLogsFromS3.py --loco 4031 --day 2017-01-16</t>
  </si>
  <si>
    <t>start /low /b %USERPROFILE%\Documents\GitHub\eaglep3\Utilities\DownloadLogsFromS3.py --loco 4004 --day 2017-01-16</t>
  </si>
  <si>
    <t>start /low /b %USERPROFILE%\Documents\GitHub\eaglep3\Utilities\DownloadLogsFromS3.py --loco 4003 --day 2017-01-16</t>
  </si>
  <si>
    <t>start /low /b %USERPROFILE%\Documents\GitHub\eaglep3\Utilities\DownloadLogsFromS3.py --loco 4002 --day 2017-01-16</t>
  </si>
  <si>
    <t>start /low /b %USERPROFILE%\Documents\GitHub\eaglep3\Utilities\DownloadLogsFromS3.py --loco 4001 --day 2017-01-16</t>
  </si>
  <si>
    <t>start /low /b %USERPROFILE%\Documents\GitHub\eaglep3\Utilities\DownloadLogsFromS3.py --loco 4030 --day 2017-01-16</t>
  </si>
  <si>
    <t>start /low /b %USERPROFILE%\Documents\GitHub\eaglep3\Utilities\DownloadLogsFromS3.py --loco 4046 --day 2017-01-16</t>
  </si>
  <si>
    <t>start /low /b %USERPROFILE%\Documents\GitHub\eaglep3\Utilities\DownloadLogsFromS3.py --loco 4032 --day 2017-01-16</t>
  </si>
  <si>
    <t>start /low /b %USERPROFILE%\Documents\GitHub\eaglep3\Utilities\DownloadLogsFromS3.py --loco 4004 --day 2017-01-17</t>
  </si>
  <si>
    <t>start /low /b %USERPROFILE%\Documents\GitHub\eaglep3\Utilities\DownloadLogsFromS3.py --loco 4046 --day 2017-01-17</t>
  </si>
  <si>
    <t>start /low /b %USERPROFILE%\Documents\GitHub\eaglep3\Utilities\DownloadLogsFromS3.py --loco 4041 --day 2017-01-16</t>
  </si>
  <si>
    <t>start /low /b %USERPROFILE%\Documents\GitHub\eaglep3\Utilities\DownloadLogsFromS3.py --loco 4028 --day 2017-01-17</t>
  </si>
  <si>
    <t>start /low /b %USERPROFILE%\Documents\GitHub\eaglep3\Utilities\DownloadLogsFromS3.py --loco 4042 --day 2017-01-17</t>
  </si>
  <si>
    <t>start /low /b %USERPROFILE%\Documents\GitHub\eaglep3\Utilities\DownloadLogsFromS3.py --loco 4028 --day 2017-01-16</t>
  </si>
  <si>
    <t>start /low /b %USERPROFILE%\Documents\GitHub\eaglep3\Utilities\DownloadLogsFromS3.py --loco 4042 --day 2017-01-16</t>
  </si>
  <si>
    <t>Operator selected wrong track</t>
  </si>
  <si>
    <t>DUS 4N STOP, cleared shortly afterward</t>
  </si>
  <si>
    <t>40th 4S STOP</t>
  </si>
  <si>
    <t>RESTRICTING aspect</t>
  </si>
  <si>
    <t>http://stevetu21.github.io/eaglep3/load_kml.html?kml=http://rtdc.gmaps-snips.s3.amazonaws.com/3c400545-fde3-40e7-a74e-88083fdcb1bb.kml</t>
  </si>
  <si>
    <t>http://stevetu21.github.io/eaglep3/load_kml.html?kml=http://rtdc.gmaps-snips.s3.amazonaws.com/36e30954-f8a0-4415-8c77-b3bca58db0e9.kml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</si>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</sst>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9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3c400545-fde3-40e7-a74e-88083fdcb1bb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opLeftCell="A194" workbookViewId="0">
      <selection activeCell="R124" sqref="R124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42751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42751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COUNTIFS($N$13:$N$9372,"&gt;0",$AG$13:$AG$9372,I1)</f>
        <v>144</v>
      </c>
      <c r="K5" s="41"/>
      <c r="L5" s="41"/>
      <c r="M5" s="42">
        <f>AVERAGEIFS($N$13:$N$9372,$AG$13:$AG$9372,I1)</f>
        <v>39.136226852278924</v>
      </c>
      <c r="N5" s="40">
        <f t="array" ref="N5">MIN(IF($AG$13:$AG$9372=I1,IF(ISNUMBER($N$13:$N$9372),IF($N$13:$N$9372&gt;0,$N$13:$N$9372))))</f>
        <v>34.850000005681068</v>
      </c>
      <c r="O5" s="3">
        <f t="array" ref="O5">MAX(IF($AG$13:$AG$9372=I1,IF(ISNUMBER($N$13:$N$9372),IF($N$13:$N$9372&gt;0,$N$13:$N$9372))))</f>
        <v>48.183333333581686</v>
      </c>
      <c r="P5" s="2"/>
      <c r="R5" s="76" t="s">
        <v>17</v>
      </c>
      <c r="S5" s="52">
        <f>COUNTIFS($N$13:$N$9372,"&gt;0",$AG$13:$AG$9372,R1)</f>
        <v>47</v>
      </c>
      <c r="T5" s="41"/>
      <c r="U5" s="164"/>
      <c r="V5" s="42">
        <f>AVERAGEIFS($N$13:$N$9372,$AG$13:$AG$9372,R1)</f>
        <v>15.418085105880659</v>
      </c>
      <c r="W5" s="40">
        <f t="array" ref="W5">MIN(IF($AG$13:$AG$9372=R1,IF(ISNUMBER($N$13:$N$9372),IF($N$13:$N$9372&gt;0,$N$13:$N$9372))))</f>
        <v>13.266666666604578</v>
      </c>
      <c r="X5" s="169">
        <f t="array" ref="X5">MAX(IF($AG$13:$AG$9372=R1,IF(ISNUMBER($N$13:$N$9372),IF($N$13:$N$9372&gt;0,$N$13:$N$9372))))</f>
        <v>19.449999999487773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COUNT($O$13:$O$130)</f>
        <v>0</v>
      </c>
      <c r="K6" s="41"/>
      <c r="L6" s="41"/>
      <c r="M6" s="42">
        <f>IFERROR(AVERAGE($O$13:$O$130),0)</f>
        <v>0</v>
      </c>
      <c r="N6" s="40">
        <f>MIN($O$13:$O$130)</f>
        <v>0</v>
      </c>
      <c r="O6" s="3">
        <f>MAX($O$13:$O$130)</f>
        <v>0</v>
      </c>
      <c r="P6" s="2"/>
      <c r="R6" s="77" t="s">
        <v>43</v>
      </c>
      <c r="S6" s="52">
        <f>COUNT($O$13:$O$130)</f>
        <v>0</v>
      </c>
      <c r="T6" s="41"/>
      <c r="U6" s="164"/>
      <c r="V6" s="42">
        <f>IFERROR(AVERAGE($O$13:$O$130),0)</f>
        <v>0</v>
      </c>
      <c r="W6" s="40">
        <f>MIN($O$13:$O$130)</f>
        <v>0</v>
      </c>
      <c r="X6" s="169">
        <f>MAX($O$13:$O$130)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COUNTIFS($P$13:$P$9372,"&gt;0",$AG$13:$AG$9372,I1)</f>
        <v>0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COUNTIFS($P$13:$P$9372,"&gt;0",$AG$13:$AG$9372,R1)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144</v>
      </c>
      <c r="K8" s="41"/>
      <c r="L8" s="41"/>
      <c r="M8" s="42">
        <f>M5</f>
        <v>39.136226852278924</v>
      </c>
      <c r="N8" s="40">
        <f>N5</f>
        <v>34.850000005681068</v>
      </c>
      <c r="O8" s="3">
        <f>O5</f>
        <v>48.183333333581686</v>
      </c>
      <c r="P8" s="2"/>
      <c r="R8" s="76" t="s">
        <v>16</v>
      </c>
      <c r="S8" s="52">
        <f>S5</f>
        <v>47</v>
      </c>
      <c r="T8" s="41"/>
      <c r="U8" s="164"/>
      <c r="V8" s="42">
        <f>V5</f>
        <v>15.418085105880659</v>
      </c>
      <c r="W8" s="40">
        <f>W5</f>
        <v>13.266666666604578</v>
      </c>
      <c r="X8" s="169">
        <f>X5</f>
        <v>19.449999999487773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1" t="str">
        <f>"Eagle P3 System Performance - "&amp;TEXT(Variables!A2,"yyyy-mm-dd")</f>
        <v>Eagle P3 System Performance - 2017-01-16</v>
      </c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S11" s="66">
        <f>AVERAGE(S13:S94)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262</v>
      </c>
      <c r="AN12" s="48" t="s">
        <v>324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503</v>
      </c>
      <c r="B13" s="7">
        <v>4003</v>
      </c>
      <c r="C13" s="22" t="s">
        <v>201</v>
      </c>
      <c r="D13" s="22" t="s">
        <v>725</v>
      </c>
      <c r="E13" s="13">
        <v>42751.128506944442</v>
      </c>
      <c r="F13" s="13">
        <v>42751.135960648149</v>
      </c>
      <c r="G13" s="7">
        <v>1</v>
      </c>
      <c r="H13" s="22" t="s">
        <v>726</v>
      </c>
      <c r="I13" s="13">
        <v>42751.162141203706</v>
      </c>
      <c r="J13" s="7">
        <v>0</v>
      </c>
      <c r="K13" s="105" t="str">
        <f t="shared" ref="K13:K76" si="0">IF(ISEVEN(B13),(B13-1)&amp;"/"&amp;B13,B13&amp;"/"&amp;(B13+1))</f>
        <v>4003/4004</v>
      </c>
      <c r="L13" s="22" t="str">
        <f>VLOOKUP(A13,'Trips&amp;Operators'!$C$1:$G$99999,5,FALSE)</f>
        <v>OUN ZACK</v>
      </c>
      <c r="M13" s="6">
        <f t="shared" ref="M13:M76" si="1">I13-F13</f>
        <v>2.6180555556493346E-2</v>
      </c>
      <c r="N13" s="7">
        <f t="shared" ref="N13:N76" si="2">24*60*SUM($M13:$M13)</f>
        <v>37.700000001350418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-16T02:05:03-0700',mode:absolute,to:'2017-01-16T04:53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49" t="str">
        <f t="shared" ref="W13:W76" si="6">IF(AA13&lt;IF(AG13="EC",23,5.65),"Y","N")</f>
        <v>N</v>
      </c>
      <c r="X13" s="173" t="e">
        <f t="shared" ref="X13:X76" si="7">VALUE(LEFT(AD13,4))-VALUE(LEFT(AD12,4))</f>
        <v>#VALUE!</v>
      </c>
      <c r="Y13" s="64">
        <f t="shared" ref="Y13:Y76" si="8">RIGHT(D13,LEN(D13)-4)/10000</f>
        <v>7.7499999999999999E-2</v>
      </c>
      <c r="Z13" s="64">
        <f t="shared" ref="Z13:Z48" si="9">RIGHT(H13,LEN(H13)-4)/10000</f>
        <v>23.334399999999999</v>
      </c>
      <c r="AA13" s="64">
        <f t="shared" ref="AA13:AA76" si="10">ABS(Z13-Y13)</f>
        <v>23.256899999999998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0101-16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/stypes="app*4003*20170116*"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4003 --swversion DE.1.0.8.0 --startMP 204:775 --initTime 2017-01-16T03:05:03 --startdatetime 2017-01-16T03:15:47 --delay 1 --endMP 204:233344 --enddatetime 2017-01-16T03:53:29 --enforcementcount 0 &gt;&gt;C:\Users\stu\Documents\GitHub\eaglep3-reporting\EC\2017-01-16-refined-times.txt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{"issue":{"subject":"","project_id":79,"tracker_id":40,"status_id":1,"priority_id":2,"assigned_to_id":23,"start_date":"2017-01-16","description":"","custom_fields":[{"id":1,"name":"Subdivision","value":"EC"},{"id":4,"name":"Milepost","value":"23.3344"},{"id":17,"name":"Train ID","value":"101-16"},{"id":16,"name":"Locomotive ID","value":"4003"},{"id":130,"name":"Impact","value":""},{"id":150,"name":"Time of Event (Mountain Time)","value":"03:53:29"},{"id":151,"name":"Denver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4003 --day 2017-01-16</v>
      </c>
      <c r="AN13" s="18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"%USERPROFILE%\AppData\Local\Temp\OnboardLogs"\RTDC4003\*4003*20170116* | grep -SE "(Enforcement Action)|(\[TIMEOUT)|(CHR.+\|PRM\|1\|D.+(SWITCH|SIGNAL).+UNKNOWN)" - &gt;&gt; 2017-01-16-UncaughtWiMAX.txt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510</v>
      </c>
      <c r="B14" s="7">
        <v>4037</v>
      </c>
      <c r="C14" s="22" t="s">
        <v>201</v>
      </c>
      <c r="D14" s="22" t="s">
        <v>727</v>
      </c>
      <c r="E14" s="13">
        <v>42751.168854166666</v>
      </c>
      <c r="F14" s="13">
        <v>42751.174537037034</v>
      </c>
      <c r="G14" s="7">
        <v>1</v>
      </c>
      <c r="H14" s="22" t="s">
        <v>259</v>
      </c>
      <c r="I14" s="13">
        <v>42751.202060185184</v>
      </c>
      <c r="J14" s="7">
        <v>0</v>
      </c>
      <c r="K14" s="105" t="str">
        <f t="shared" si="0"/>
        <v>4037/4038</v>
      </c>
      <c r="L14" s="22" t="str">
        <f>VLOOKUP(A14,'Trips&amp;Operators'!$C$1:$G$99999,5,FALSE)</f>
        <v>OUN ZACK</v>
      </c>
      <c r="M14" s="6">
        <f t="shared" si="1"/>
        <v>2.7523148150066845E-2</v>
      </c>
      <c r="N14" s="7">
        <f t="shared" si="2"/>
        <v>39.633333336096257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-16T03:03:09-0700',mode:absolute,to:'2017-01-16T05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" s="49" t="str">
        <f t="shared" si="6"/>
        <v>N</v>
      </c>
      <c r="X14" s="173">
        <f t="shared" si="7"/>
        <v>1</v>
      </c>
      <c r="Y14" s="64">
        <f t="shared" si="8"/>
        <v>23.2683</v>
      </c>
      <c r="Z14" s="64">
        <f t="shared" si="9"/>
        <v>1.5599999999999999E-2</v>
      </c>
      <c r="AA14" s="64">
        <f t="shared" si="10"/>
        <v>23.252700000000001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0102-16</v>
      </c>
      <c r="AE14" s="87" t="str">
        <f t="shared" si="12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14" s="84" t="str">
        <f t="shared" si="13"/>
        <v>"C:\Program Files (x86)\AstroGrep\AstroGrep.exe" /spath="%USERPROFILE%\AppData\Local\Temp\OnboardLogs" /stypes="app*4037*20170116*"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4037 --swversion DE.1.0.8.0 --startMP 204:232683 --initTime 2017-01-16T04:03:09 --startdatetime 2017-01-16T04:11:20 --delay 1 --endMP 204:156 --enddatetime 2017-01-16T04:50:58 --enforcementcount 0 &gt;&gt;C:\Users\stu\Documents\GitHub\eaglep3-reporting\EC\2017-01-16-refined-times.txt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ID","value":"102-16"},{"id":16,"name":"Locomotive ID","value":"4037"},{"id":130,"name":"Impact","value":""},{"id":150,"name":"Time of Event (Mountain Time)","value":"04:50:58"},{"id":151,"name":"Denver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7" si="20">"start /low /b "&amp;dls3logs&amp;" --loco "&amp;B14&amp;" --day "&amp;TEXT(F14,"YYYY-MM-DD")</f>
        <v>start /low /b %USERPROFILE%\Documents\GitHub\eaglep3\Utilities\DownloadLogsFromS3.py --loco 4037 --day 2017-01-16</v>
      </c>
      <c r="AN14" s="18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505</v>
      </c>
      <c r="B15" s="7">
        <v>4029</v>
      </c>
      <c r="C15" s="22" t="s">
        <v>201</v>
      </c>
      <c r="D15" s="22" t="s">
        <v>728</v>
      </c>
      <c r="E15" s="13">
        <v>42751.149826388886</v>
      </c>
      <c r="F15" s="13">
        <v>42751.156527777777</v>
      </c>
      <c r="G15" s="7">
        <v>1</v>
      </c>
      <c r="H15" s="22" t="s">
        <v>729</v>
      </c>
      <c r="I15" s="13">
        <v>42751.182673611111</v>
      </c>
      <c r="J15" s="7">
        <v>0</v>
      </c>
      <c r="K15" s="105" t="str">
        <f t="shared" si="0"/>
        <v>4029/4030</v>
      </c>
      <c r="L15" s="22" t="str">
        <f>VLOOKUP(A15,'Trips&amp;Operators'!$C$1:$G$99999,5,FALSE)</f>
        <v>MAELZER KURT</v>
      </c>
      <c r="M15" s="6">
        <f t="shared" si="1"/>
        <v>2.6145833333430346E-2</v>
      </c>
      <c r="N15" s="7">
        <f t="shared" si="2"/>
        <v>37.650000000139698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-16T02:35:45-0700',mode:absolute,to:'2017-01-16T05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" s="49" t="str">
        <f t="shared" si="6"/>
        <v>N</v>
      </c>
      <c r="X15" s="173">
        <f t="shared" si="7"/>
        <v>1</v>
      </c>
      <c r="Y15" s="64">
        <f t="shared" si="8"/>
        <v>7.5499999999999998E-2</v>
      </c>
      <c r="Z15" s="64">
        <f t="shared" si="9"/>
        <v>23.337399999999999</v>
      </c>
      <c r="AA15" s="64">
        <f t="shared" si="10"/>
        <v>23.261899999999997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0103-16</v>
      </c>
      <c r="AE15" s="87" t="str">
        <f t="shared" si="12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15" s="84" t="str">
        <f t="shared" si="13"/>
        <v>"C:\Program Files (x86)\AstroGrep\AstroGrep.exe" /spath="%USERPROFILE%\AppData\Local\Temp\OnboardLogs" /stypes="app*4029*20170116*"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103-16 --locoid 4029 --swversion DE.1.0.8.0 --startMP 204:755 --initTime 2017-01-16T03:35:45 --startdatetime 2017-01-16T03:45:24 --delay 1 --endMP 204:233374 --enddatetime 2017-01-16T04:23:03 --enforcementcount 0 &gt;&gt;C:\Users\stu\Documents\GitHub\eaglep3-reporting\EC\2017-01-16-refined-times.txt</v>
      </c>
      <c r="AI15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{"issue":{"subject":"","project_id":79,"tracker_id":40,"status_id":1,"priority_id":2,"assigned_to_id":23,"start_date":"2017-01-16","description":"","custom_fields":[{"id":1,"name":"Subdivision","value":"EC"},{"id":4,"name":"Milepost","value":"23.3374"},{"id":17,"name":"Train ID","value":"103-16"},{"id":16,"name":"Locomotive ID","value":"4029"},{"id":130,"name":"Impact","value":""},{"id":150,"name":"Time of Event (Mountain Time)","value":"04:23:03"},{"id":151,"name":"Denver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4029 --day 2017-01-16</v>
      </c>
      <c r="AN15" s="18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"%USERPROFILE%\AppData\Local\Temp\OnboardLogs"\RTDC4029\*4029*20170116* | grep -SE "(Enforcement Action)|(\[TIMEOUT)|(CHR.+\|PRM\|1\|D.+(SWITCH|SIGNAL).+UNKNOWN)" - &gt;&gt; 2017-01-16-UncaughtWiMAX.txt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518</v>
      </c>
      <c r="B16" s="7">
        <v>4032</v>
      </c>
      <c r="C16" s="22" t="s">
        <v>201</v>
      </c>
      <c r="D16" s="22" t="s">
        <v>730</v>
      </c>
      <c r="E16" s="13">
        <v>42751.188958333332</v>
      </c>
      <c r="F16" s="13">
        <v>42751.195428240739</v>
      </c>
      <c r="G16" s="7">
        <v>1</v>
      </c>
      <c r="H16" s="22" t="s">
        <v>406</v>
      </c>
      <c r="I16" s="13">
        <v>42751.223553240743</v>
      </c>
      <c r="J16" s="7">
        <v>0</v>
      </c>
      <c r="K16" s="105" t="str">
        <f t="shared" si="0"/>
        <v>4031/4032</v>
      </c>
      <c r="L16" s="22" t="str">
        <f>VLOOKUP(A16,'Trips&amp;Operators'!$C$1:$G$99999,5,FALSE)</f>
        <v>MAELZER KURT</v>
      </c>
      <c r="M16" s="6">
        <f t="shared" si="1"/>
        <v>2.8125000004365575E-2</v>
      </c>
      <c r="N16" s="7">
        <f t="shared" si="2"/>
        <v>40.500000006286427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-16T03:32:06-0700',mode:absolute,to:'2017-01-16T06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" s="49" t="str">
        <f t="shared" si="6"/>
        <v>N</v>
      </c>
      <c r="X16" s="173">
        <f t="shared" si="7"/>
        <v>1</v>
      </c>
      <c r="Y16" s="64">
        <f t="shared" si="8"/>
        <v>23.273800000000001</v>
      </c>
      <c r="Z16" s="64">
        <f t="shared" si="9"/>
        <v>1.2699999999999999E-2</v>
      </c>
      <c r="AA16" s="64">
        <f t="shared" si="10"/>
        <v>23.261100000000003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0104-16</v>
      </c>
      <c r="AE16" s="87" t="str">
        <f t="shared" si="12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16" s="84" t="str">
        <f t="shared" si="13"/>
        <v>"C:\Program Files (x86)\AstroGrep\AstroGrep.exe" /spath="%USERPROFILE%\AppData\Local\Temp\OnboardLogs" /stypes="app*4032*20170116*"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104-16 --locoid 4032 --swversion DE.1.0.8.0 --startMP 204:232738 --initTime 2017-01-16T04:32:06 --startdatetime 2017-01-16T04:41:25 --delay 1 --endMP 204:127 --enddatetime 2017-01-16T05:21:55 --enforcementcount 0 &gt;&gt;C:\Users\stu\Documents\GitHub\eaglep3-reporting\EC\2017-01-16-refined-times.txt</v>
      </c>
      <c r="AI16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{"issue":{"subject":"","project_id":79,"tracker_id":40,"status_id":1,"priority_id":2,"assigned_to_id":23,"start_date":"2017-01-16","description":"","custom_fields":[{"id":1,"name":"Subdivision","value":"EC"},{"id":4,"name":"Milepost","value":"0.0127"},{"id":17,"name":"Train ID","value":"104-16"},{"id":16,"name":"Locomotive ID","value":"4032"},{"id":130,"name":"Impact","value":""},{"id":150,"name":"Time of Event (Mountain Time)","value":"05:21:55"},{"id":151,"name":"Denver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4032 --day 2017-01-16</v>
      </c>
      <c r="AN16" s="189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"%USERPROFILE%\AppData\Local\Temp\OnboardLogs"\RTDC4032\*4032*20170116* | grep -SE "(Enforcement Action)|(\[TIMEOUT)|(CHR.+\|PRM\|1\|D.+(SWITCH|SIGNAL).+UNKNOWN)" - &gt;&gt; 2017-01-16-UncaughtWiMAX.txt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506</v>
      </c>
      <c r="B17" s="7">
        <v>4002</v>
      </c>
      <c r="C17" s="22" t="s">
        <v>201</v>
      </c>
      <c r="D17" s="22" t="s">
        <v>731</v>
      </c>
      <c r="E17" s="13">
        <v>42751.174756944441</v>
      </c>
      <c r="F17" s="13">
        <v>42751.177291666667</v>
      </c>
      <c r="G17" s="7">
        <v>1</v>
      </c>
      <c r="H17" s="22" t="s">
        <v>298</v>
      </c>
      <c r="I17" s="13">
        <v>42751.203506944446</v>
      </c>
      <c r="J17" s="7">
        <v>0</v>
      </c>
      <c r="K17" s="105" t="str">
        <f t="shared" si="0"/>
        <v>4001/4002</v>
      </c>
      <c r="L17" s="22" t="str">
        <f>VLOOKUP(A17,'Trips&amp;Operators'!$C$1:$G$99999,5,FALSE)</f>
        <v>STARKS ANGELINA</v>
      </c>
      <c r="M17" s="6">
        <f t="shared" si="1"/>
        <v>2.6215277779556345E-2</v>
      </c>
      <c r="N17" s="7">
        <f t="shared" si="2"/>
        <v>37.750000002561137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-16T03:11:39-0700',mode:absolute,to:'2017-01-16T05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49" t="str">
        <f t="shared" si="6"/>
        <v>N</v>
      </c>
      <c r="X17" s="173">
        <f t="shared" si="7"/>
        <v>1</v>
      </c>
      <c r="Y17" s="64">
        <f t="shared" si="8"/>
        <v>7.2400000000000006E-2</v>
      </c>
      <c r="Z17" s="64">
        <f t="shared" si="9"/>
        <v>23.331199999999999</v>
      </c>
      <c r="AA17" s="64">
        <f t="shared" si="10"/>
        <v>23.258800000000001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0105-16</v>
      </c>
      <c r="AE17" s="87" t="str">
        <f t="shared" si="12"/>
        <v>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 &amp; 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</v>
      </c>
      <c r="AF17" s="84" t="str">
        <f t="shared" si="13"/>
        <v>"C:\Program Files (x86)\AstroGrep\AstroGrep.exe" /spath="%USERPROFILE%\AppData\Local\Temp\OnboardLogs" /stypes="app*4002*20170116*"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105-16 --locoid 4002 --swversion DE.1.0.8.0 --startMP 204:724 --initTime 2017-01-16T04:11:39 --startdatetime 2017-01-16T04:15:18 --delay 1 --endMP 204:233312 --enddatetime 2017-01-16T04:53:03 --enforcementcount 0 &gt;&gt;C:\Users\stu\Documents\GitHub\eaglep3-reporting\EC\2017-01-16-refined-times.txt</v>
      </c>
      <c r="AI17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{"issue":{"subject":"","project_id":79,"tracker_id":40,"status_id":1,"priority_id":2,"assigned_to_id":23,"start_date":"2017-01-16","description":"","custom_fields":[{"id":1,"name":"Subdivision","value":"EC"},{"id":4,"name":"Milepost","value":"23.3312"},{"id":17,"name":"Train ID","value":"105-16"},{"id":16,"name":"Locomotive ID","value":"4002"},{"id":130,"name":"Impact","value":""},{"id":150,"name":"Time of Event (Mountain Time)","value":"04:53:03"},{"id":151,"name":"Denver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4002 --day 2017-01-16</v>
      </c>
      <c r="AN17" s="18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"%USERPROFILE%\AppData\Local\Temp\OnboardLogs"\RTDC4002\*4002*20170116* | grep -SE "(Enforcement Action)|(\[TIMEOUT)|(CHR.+\|PRM\|1\|D.+(SWITCH|SIGNAL).+UNKNOWN)" - &gt;&gt; 2017-01-16-UncaughtWiMAX.txt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527</v>
      </c>
      <c r="B18" s="7">
        <v>4015</v>
      </c>
      <c r="C18" s="22" t="s">
        <v>201</v>
      </c>
      <c r="D18" s="22" t="s">
        <v>732</v>
      </c>
      <c r="E18" s="13">
        <v>42751.216192129628</v>
      </c>
      <c r="F18" s="13">
        <v>42751.217418981483</v>
      </c>
      <c r="G18" s="7">
        <v>0</v>
      </c>
      <c r="H18" s="22" t="s">
        <v>257</v>
      </c>
      <c r="I18" s="13">
        <v>42751.244768518518</v>
      </c>
      <c r="J18" s="7">
        <v>0</v>
      </c>
      <c r="K18" s="105" t="str">
        <f t="shared" si="0"/>
        <v>4015/4016</v>
      </c>
      <c r="L18" s="22" t="str">
        <f>VLOOKUP(A18,'Trips&amp;Operators'!$C$1:$G$99999,5,FALSE)</f>
        <v>STARKS ANGELINA</v>
      </c>
      <c r="M18" s="6">
        <f t="shared" si="1"/>
        <v>2.7349537034751847E-2</v>
      </c>
      <c r="N18" s="7">
        <f t="shared" si="2"/>
        <v>39.38333333004266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-16T04:11:19-0700',mode:absolute,to:'2017-01-16T06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49" t="str">
        <f t="shared" si="6"/>
        <v>N</v>
      </c>
      <c r="X18" s="173">
        <f t="shared" si="7"/>
        <v>1</v>
      </c>
      <c r="Y18" s="64">
        <f t="shared" si="8"/>
        <v>23.267199999999999</v>
      </c>
      <c r="Z18" s="64">
        <f t="shared" si="9"/>
        <v>1.5800000000000002E-2</v>
      </c>
      <c r="AA18" s="64">
        <f t="shared" si="10"/>
        <v>23.2514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11"/>
        <v>0106-16</v>
      </c>
      <c r="AE18" s="87" t="str">
        <f t="shared" si="12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18" s="84" t="str">
        <f t="shared" si="13"/>
        <v>"C:\Program Files (x86)\AstroGrep\AstroGrep.exe" /spath="%USERPROFILE%\AppData\Local\Temp\OnboardLogs" /stypes="app*4015*20170116*"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106-16 --locoid 4015 --swversion DE.1.0.8.0 --startMP 204:232672 --initTime 2017-01-16T05:11:19 --startdatetime 2017-01-16T05:13:05 --delay 0 --endMP 204:158 --enddatetime 2017-01-16T05:52:28 --enforcementcount 0 &gt;&gt;C:\Users\stu\Documents\GitHub\eaglep3-reporting\EC\2017-01-16-refined-times.txt</v>
      </c>
      <c r="AI18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{"issue":{"subject":"","project_id":79,"tracker_id":40,"status_id":1,"priority_id":2,"assigned_to_id":23,"start_date":"2017-01-16","description":"","custom_fields":[{"id":1,"name":"Subdivision","value":"EC"},{"id":4,"name":"Milepost","value":"0.0158"},{"id":17,"name":"Train ID","value":"106-16"},{"id":16,"name":"Locomotive ID","value":"4015"},{"id":130,"name":"Impact","value":""},{"id":150,"name":"Time of Event (Mountain Time)","value":"05:52:28"},{"id":151,"name":"Denver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4015 --day 2017-01-16</v>
      </c>
      <c r="AN18" s="18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517</v>
      </c>
      <c r="B19" s="7">
        <v>4046</v>
      </c>
      <c r="C19" s="22" t="s">
        <v>201</v>
      </c>
      <c r="D19" s="22" t="s">
        <v>733</v>
      </c>
      <c r="E19" s="13">
        <v>42751.182916666665</v>
      </c>
      <c r="F19" s="13">
        <v>42751.187696759262</v>
      </c>
      <c r="G19" s="7">
        <v>1</v>
      </c>
      <c r="H19" s="22" t="s">
        <v>734</v>
      </c>
      <c r="I19" s="13">
        <v>42751.21402777778</v>
      </c>
      <c r="J19" s="7">
        <v>0</v>
      </c>
      <c r="K19" s="105" t="str">
        <f t="shared" si="0"/>
        <v>4045/4046</v>
      </c>
      <c r="L19" s="22" t="str">
        <f>VLOOKUP(A19,'Trips&amp;Operators'!$C$1:$G$99999,5,FALSE)</f>
        <v>SIMMONS SHYHESHA</v>
      </c>
      <c r="M19" s="6">
        <f t="shared" si="1"/>
        <v>2.6331018518249039E-2</v>
      </c>
      <c r="N19" s="7">
        <f t="shared" si="2"/>
        <v>37.916666666278616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-16T03:23:24-0700',mode:absolute,to:'2017-01-16T06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49" t="str">
        <f t="shared" si="6"/>
        <v>N</v>
      </c>
      <c r="X19" s="173">
        <f t="shared" si="7"/>
        <v>1</v>
      </c>
      <c r="Y19" s="64">
        <f t="shared" si="8"/>
        <v>4.5999999999999999E-2</v>
      </c>
      <c r="Z19" s="64">
        <f t="shared" si="9"/>
        <v>23.330300000000001</v>
      </c>
      <c r="AA19" s="64">
        <f t="shared" si="10"/>
        <v>23.284300000000002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0107-16</v>
      </c>
      <c r="AE19" s="87" t="str">
        <f t="shared" si="12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19" s="84" t="str">
        <f t="shared" si="13"/>
        <v>"C:\Program Files (x86)\AstroGrep\AstroGrep.exe" /spath="%USERPROFILE%\AppData\Local\Temp\OnboardLogs" /stypes="app*4046*20170116*"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107-16 --locoid 4046 --swversion DE.1.0.8.0 --startMP 204:460 --initTime 2017-01-16T04:23:24 --startdatetime 2017-01-16T04:30:17 --delay 1 --endMP 204:233303 --enddatetime 2017-01-16T05:08:12 --enforcementcount 0 &gt;&gt;C:\Users\stu\Documents\GitHub\eaglep3-reporting\EC\2017-01-16-refined-times.txt</v>
      </c>
      <c r="AI19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{"issue":{"subject":"","project_id":79,"tracker_id":40,"status_id":1,"priority_id":2,"assigned_to_id":23,"start_date":"2017-01-16","description":"","custom_fields":[{"id":1,"name":"Subdivision","value":"EC"},{"id":4,"name":"Milepost","value":"23.3303"},{"id":17,"name":"Train ID","value":"107-16"},{"id":16,"name":"Locomotive ID","value":"4046"},{"id":130,"name":"Impact","value":""},{"id":150,"name":"Time of Event (Mountain Time)","value":"05:08:12"},{"id":151,"name":"Denver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4046 --day 2017-01-16</v>
      </c>
      <c r="AN19" s="18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"%USERPROFILE%\AppData\Local\Temp\OnboardLogs"\RTDC4046\*4046*20170116* | grep -SE "(Enforcement Action)|(\[TIMEOUT)|(CHR.+\|PRM\|1\|D.+(SWITCH|SIGNAL).+UNKNOWN)" - &gt;&gt; 2017-01-16-UncaughtWiMAX.txt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528</v>
      </c>
      <c r="B20" s="7">
        <v>4045</v>
      </c>
      <c r="C20" s="22" t="s">
        <v>201</v>
      </c>
      <c r="D20" s="22" t="s">
        <v>388</v>
      </c>
      <c r="E20" s="13">
        <v>42751.222615740742</v>
      </c>
      <c r="F20" s="13">
        <v>42751.226863425924</v>
      </c>
      <c r="G20" s="7">
        <v>1</v>
      </c>
      <c r="H20" s="22" t="s">
        <v>259</v>
      </c>
      <c r="I20" s="13">
        <v>42751.254537037035</v>
      </c>
      <c r="J20" s="7">
        <v>0</v>
      </c>
      <c r="K20" s="105" t="str">
        <f t="shared" si="0"/>
        <v>4045/4046</v>
      </c>
      <c r="L20" s="22" t="str">
        <f>VLOOKUP(A20,'Trips&amp;Operators'!$C$1:$G$99999,5,FALSE)</f>
        <v>SIMMONS SHYHESHA</v>
      </c>
      <c r="M20" s="6">
        <f t="shared" si="1"/>
        <v>2.7673611111822538E-2</v>
      </c>
      <c r="N20" s="7">
        <f t="shared" si="2"/>
        <v>39.850000001024455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-16T04:20:34-0700',mode:absolute,to:'2017-01-16T07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49" t="str">
        <f t="shared" si="6"/>
        <v>N</v>
      </c>
      <c r="X20" s="173">
        <f t="shared" si="7"/>
        <v>1</v>
      </c>
      <c r="Y20" s="64">
        <f t="shared" si="8"/>
        <v>23.298200000000001</v>
      </c>
      <c r="Z20" s="64">
        <f t="shared" si="9"/>
        <v>1.5599999999999999E-2</v>
      </c>
      <c r="AA20" s="64">
        <f t="shared" si="10"/>
        <v>23.282600000000002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0108-16</v>
      </c>
      <c r="AE20" s="87" t="str">
        <f t="shared" si="12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20" s="84" t="str">
        <f t="shared" si="13"/>
        <v>"C:\Program Files (x86)\AstroGrep\AstroGrep.exe" /spath="%USERPROFILE%\AppData\Local\Temp\OnboardLogs" /stypes="app*4045*20170116*"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108-16 --locoid 4045 --swversion DE.1.0.8.0 --startMP 204:232982 --initTime 2017-01-16T05:20:34 --startdatetime 2017-01-16T05:26:41 --delay 1 --endMP 204:156 --enddatetime 2017-01-16T06:06:32 --enforcementcount 0 &gt;&gt;C:\Users\stu\Documents\GitHub\eaglep3-reporting\EC\2017-01-16-refined-times.txt</v>
      </c>
      <c r="AI20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ID","value":"108-16"},{"id":16,"name":"Locomotive ID","value":"4045"},{"id":130,"name":"Impact","value":""},{"id":150,"name":"Time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4045 --day 2017-01-16</v>
      </c>
      <c r="AN20" s="18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519</v>
      </c>
      <c r="B21" s="7">
        <v>4022</v>
      </c>
      <c r="C21" s="22" t="s">
        <v>201</v>
      </c>
      <c r="D21" s="22" t="s">
        <v>286</v>
      </c>
      <c r="E21" s="13">
        <v>42751.192523148151</v>
      </c>
      <c r="F21" s="13">
        <v>42751.198148148149</v>
      </c>
      <c r="G21" s="7">
        <v>1</v>
      </c>
      <c r="H21" s="22" t="s">
        <v>735</v>
      </c>
      <c r="I21" s="13">
        <v>42751.225462962961</v>
      </c>
      <c r="J21" s="7">
        <v>0</v>
      </c>
      <c r="K21" s="105" t="str">
        <f t="shared" si="0"/>
        <v>4021/4022</v>
      </c>
      <c r="L21" s="22" t="str">
        <f>VLOOKUP(A21,'Trips&amp;Operators'!$C$1:$G$99999,5,FALSE)</f>
        <v>SWANSON BRYCE</v>
      </c>
      <c r="M21" s="6">
        <f t="shared" si="1"/>
        <v>2.7314814811688848E-2</v>
      </c>
      <c r="N21" s="7">
        <f t="shared" si="2"/>
        <v>39.333333328831941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-16T03:37:14-0700',mode:absolute,to:'2017-01-16T06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49" t="str">
        <f t="shared" si="6"/>
        <v>N</v>
      </c>
      <c r="X21" s="173">
        <f t="shared" si="7"/>
        <v>1</v>
      </c>
      <c r="Y21" s="64">
        <f t="shared" si="8"/>
        <v>4.3799999999999999E-2</v>
      </c>
      <c r="Z21" s="64">
        <f t="shared" si="9"/>
        <v>23.335699999999999</v>
      </c>
      <c r="AA21" s="64">
        <f t="shared" si="10"/>
        <v>23.291899999999998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0109-16</v>
      </c>
      <c r="AE21" s="87" t="str">
        <f t="shared" si="12"/>
        <v>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 &amp; 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</v>
      </c>
      <c r="AF21" s="84" t="str">
        <f t="shared" si="13"/>
        <v>"C:\Program Files (x86)\AstroGrep\AstroGrep.exe" /spath="%USERPROFILE%\AppData\Local\Temp\OnboardLogs" /stypes="app*4022*20170116*"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109-16 --locoid 4022 --swversion DE.1.0.8.0 --startMP 204:438 --initTime 2017-01-16T04:37:14 --startdatetime 2017-01-16T04:45:20 --delay 1 --endMP 204:233357 --enddatetime 2017-01-16T05:24:40 --enforcementcount 0 &gt;&gt;C:\Users\stu\Documents\GitHub\eaglep3-reporting\EC\2017-01-16-refined-times.txt</v>
      </c>
      <c r="AI21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{"issue":{"subject":"","project_id":79,"tracker_id":40,"status_id":1,"priority_id":2,"assigned_to_id":23,"start_date":"2017-01-16","description":"","custom_fields":[{"id":1,"name":"Subdivision","value":"EC"},{"id":4,"name":"Milepost","value":"23.3357"},{"id":17,"name":"Train ID","value":"109-16"},{"id":16,"name":"Locomotive ID","value":"4022"},{"id":130,"name":"Impact","value":""},{"id":150,"name":"Time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4022 --day 2017-01-16</v>
      </c>
      <c r="AN21" s="18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531</v>
      </c>
      <c r="B22" s="7">
        <v>4021</v>
      </c>
      <c r="C22" s="22" t="s">
        <v>201</v>
      </c>
      <c r="D22" s="22" t="s">
        <v>736</v>
      </c>
      <c r="E22" s="13">
        <v>42751.227754629632</v>
      </c>
      <c r="F22" s="13">
        <v>42751.23710648148</v>
      </c>
      <c r="G22" s="7">
        <v>1</v>
      </c>
      <c r="H22" s="22" t="s">
        <v>737</v>
      </c>
      <c r="I22" s="13">
        <v>42751.265439814815</v>
      </c>
      <c r="J22" s="7">
        <v>0</v>
      </c>
      <c r="K22" s="105" t="str">
        <f t="shared" si="0"/>
        <v>4021/4022</v>
      </c>
      <c r="L22" s="22" t="str">
        <f>VLOOKUP(A22,'Trips&amp;Operators'!$C$1:$G$99999,5,FALSE)</f>
        <v>SWANSON BRYCE</v>
      </c>
      <c r="M22" s="6">
        <f t="shared" si="1"/>
        <v>2.8333333335467614E-2</v>
      </c>
      <c r="N22" s="7">
        <f t="shared" si="2"/>
        <v>40.800000003073364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-16T04:27:58-0700',mode:absolute,to:'2017-01-16T07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49" t="str">
        <f t="shared" si="6"/>
        <v>N</v>
      </c>
      <c r="X22" s="173">
        <f t="shared" si="7"/>
        <v>1</v>
      </c>
      <c r="Y22" s="64">
        <f t="shared" si="8"/>
        <v>23.305499999999999</v>
      </c>
      <c r="Z22" s="64">
        <f t="shared" si="9"/>
        <v>1.41E-2</v>
      </c>
      <c r="AA22" s="64">
        <f t="shared" si="10"/>
        <v>23.291399999999999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0110-16</v>
      </c>
      <c r="AE22" s="87" t="str">
        <f t="shared" si="12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22" s="84" t="str">
        <f t="shared" si="13"/>
        <v>"C:\Program Files (x86)\AstroGrep\AstroGrep.exe" /spath="%USERPROFILE%\AppData\Local\Temp\OnboardLogs" /stypes="app*4021*20170116*"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110-16 --locoid 4021 --swversion DE.1.0.8.0 --startMP 204:233055 --initTime 2017-01-16T05:27:58 --startdatetime 2017-01-16T05:41:26 --delay 1 --endMP 204:141 --enddatetime 2017-01-16T06:22:14 --enforcementcount 0 &gt;&gt;C:\Users\stu\Documents\GitHub\eaglep3-reporting\EC\2017-01-16-refined-times.txt</v>
      </c>
      <c r="AI22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{"issue":{"subject":"","project_id":79,"tracker_id":40,"status_id":1,"priority_id":2,"assigned_to_id":23,"start_date":"2017-01-16","description":"","custom_fields":[{"id":1,"name":"Subdivision","value":"EC"},{"id":4,"name":"Milepost","value":"0.0141"},{"id":17,"name":"Train ID","value":"110-16"},{"id":16,"name":"Locomotive ID","value":"4021"},{"id":130,"name":"Impact","value":""},{"id":150,"name":"Time of Event (Mountain Time)","value":"06:22:14"},{"id":151,"name":"Denver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4021 --day 2017-01-16</v>
      </c>
      <c r="AN22" s="18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520</v>
      </c>
      <c r="B23" s="7">
        <v>4003</v>
      </c>
      <c r="C23" s="22" t="s">
        <v>201</v>
      </c>
      <c r="D23" s="22" t="s">
        <v>738</v>
      </c>
      <c r="E23" s="13">
        <v>42751.204594907409</v>
      </c>
      <c r="F23" s="13">
        <v>42751.209652777776</v>
      </c>
      <c r="G23" s="7">
        <v>1</v>
      </c>
      <c r="H23" s="22" t="s">
        <v>739</v>
      </c>
      <c r="I23" s="13">
        <v>42751.2341087963</v>
      </c>
      <c r="J23" s="7">
        <v>0</v>
      </c>
      <c r="K23" s="105" t="str">
        <f t="shared" si="0"/>
        <v>4003/4004</v>
      </c>
      <c r="L23" s="22" t="str">
        <f>VLOOKUP(A23,'Trips&amp;Operators'!$C$1:$G$99999,5,FALSE)</f>
        <v>DUNCAN SHEILA</v>
      </c>
      <c r="M23" s="6">
        <f t="shared" si="1"/>
        <v>2.4456018523778766E-2</v>
      </c>
      <c r="N23" s="7">
        <f t="shared" si="2"/>
        <v>35.216666674241424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-16T03:54:37-0700',mode:absolute,to:'2017-01-16T06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" s="49" t="str">
        <f t="shared" si="6"/>
        <v>N</v>
      </c>
      <c r="X23" s="173">
        <f t="shared" si="7"/>
        <v>1</v>
      </c>
      <c r="Y23" s="64">
        <f t="shared" si="8"/>
        <v>8.0500000000000002E-2</v>
      </c>
      <c r="Z23" s="64">
        <f t="shared" si="9"/>
        <v>23.330500000000001</v>
      </c>
      <c r="AA23" s="64">
        <f t="shared" si="10"/>
        <v>23.25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0111-16</v>
      </c>
      <c r="AE23" s="87" t="str">
        <f t="shared" si="12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23" s="84" t="str">
        <f t="shared" si="13"/>
        <v>"C:\Program Files (x86)\AstroGrep\AstroGrep.exe" /spath="%USERPROFILE%\AppData\Local\Temp\OnboardLogs" /stypes="app*4003*20170116*"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111-16 --locoid 4003 --swversion DE.1.0.8.0 --startMP 204:805 --initTime 2017-01-16T04:54:37 --startdatetime 2017-01-16T05:01:54 --delay 1 --endMP 204:233305 --enddatetime 2017-01-16T05:37:07 --enforcementcount 0 &gt;&gt;C:\Users\stu\Documents\GitHub\eaglep3-reporting\EC\2017-01-16-refined-times.txt</v>
      </c>
      <c r="AI23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{"issue":{"subject":"","project_id":79,"tracker_id":40,"status_id":1,"priority_id":2,"assigned_to_id":23,"start_date":"2017-01-16","description":"","custom_fields":[{"id":1,"name":"Subdivision","value":"EC"},{"id":4,"name":"Milepost","value":"23.3305"},{"id":17,"name":"Train ID","value":"111-16"},{"id":16,"name":"Locomotive ID","value":"4003"},{"id":130,"name":"Impact","value":""},{"id":150,"name":"Time of Event (Mountain Time)","value":"05:37:07"},{"id":151,"name":"Denver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4003 --day 2017-01-16</v>
      </c>
      <c r="AN23" s="18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"%USERPROFILE%\AppData\Local\Temp\OnboardLogs"\RTDC4003\*4003*20170116* | grep -SE "(Enforcement Action)|(\[TIMEOUT)|(CHR.+\|PRM\|1\|D.+(SWITCH|SIGNAL).+UNKNOWN)" - &gt;&gt; 2017-01-16-UncaughtWiMAX.txt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532</v>
      </c>
      <c r="B24" s="7">
        <v>4004</v>
      </c>
      <c r="C24" s="22" t="s">
        <v>201</v>
      </c>
      <c r="D24" s="22" t="s">
        <v>355</v>
      </c>
      <c r="E24" s="13">
        <v>42751.235949074071</v>
      </c>
      <c r="F24" s="13">
        <v>42751.247453703705</v>
      </c>
      <c r="G24" s="7">
        <v>1</v>
      </c>
      <c r="H24" s="22" t="s">
        <v>191</v>
      </c>
      <c r="I24" s="13">
        <v>42751.274386574078</v>
      </c>
      <c r="J24" s="7">
        <v>0</v>
      </c>
      <c r="K24" s="105" t="str">
        <f t="shared" si="0"/>
        <v>4003/4004</v>
      </c>
      <c r="L24" s="22" t="str">
        <f>VLOOKUP(A24,'Trips&amp;Operators'!$C$1:$G$99999,5,FALSE)</f>
        <v>DUNCAN SHEILA</v>
      </c>
      <c r="M24" s="6">
        <f t="shared" si="1"/>
        <v>2.6932870372547768E-2</v>
      </c>
      <c r="N24" s="7">
        <f t="shared" si="2"/>
        <v>38.783333336468786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-16T04:39:46-0700',mode:absolute,to:'2017-01-16T07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49" t="str">
        <f t="shared" si="6"/>
        <v>N</v>
      </c>
      <c r="X24" s="173">
        <f t="shared" si="7"/>
        <v>1</v>
      </c>
      <c r="Y24" s="64">
        <f t="shared" si="8"/>
        <v>23.2988</v>
      </c>
      <c r="Z24" s="64">
        <f t="shared" si="9"/>
        <v>1.49E-2</v>
      </c>
      <c r="AA24" s="64">
        <f t="shared" si="10"/>
        <v>23.283899999999999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0112-16</v>
      </c>
      <c r="AE24" s="87" t="str">
        <f t="shared" si="12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24" s="84" t="str">
        <f t="shared" si="13"/>
        <v>"C:\Program Files (x86)\AstroGrep\AstroGrep.exe" /spath="%USERPROFILE%\AppData\Local\Temp\OnboardLogs" /stypes="app*4004*20170116*"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112-16 --locoid 4004 --swversion DE.1.0.8.0 --startMP 204:232988 --initTime 2017-01-16T05:39:46 --startdatetime 2017-01-16T05:56:20 --delay 1 --endMP 204:149 --enddatetime 2017-01-16T06:35:07 --enforcementcount 0 &gt;&gt;C:\Users\stu\Documents\GitHub\eaglep3-reporting\EC\2017-01-16-refined-times.txt</v>
      </c>
      <c r="AI24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{"issue":{"subject":"","project_id":79,"tracker_id":40,"status_id":1,"priority_id":2,"assigned_to_id":23,"start_date":"2017-01-16","description":"","custom_fields":[{"id":1,"name":"Subdivision","value":"EC"},{"id":4,"name":"Milepost","value":"0.0149"},{"id":17,"name":"Train ID","value":"112-16"},{"id":16,"name":"Locomotive ID","value":"4004"},{"id":130,"name":"Impact","value":""},{"id":150,"name":"Time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4004 --day 2017-01-16</v>
      </c>
      <c r="AN24" s="18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"%USERPROFILE%\AppData\Local\Temp\OnboardLogs"\RTDC4004\*4004*20170116* | grep -SE "(Enforcement Action)|(\[TIMEOUT)|(CHR.+\|PRM\|1\|D.+(SWITCH|SIGNAL).+UNKNOWN)" - &gt;&gt; 2017-01-16-UncaughtWiMAX.txt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525</v>
      </c>
      <c r="B25" s="7">
        <v>4038</v>
      </c>
      <c r="C25" s="22" t="s">
        <v>201</v>
      </c>
      <c r="D25" s="22" t="s">
        <v>299</v>
      </c>
      <c r="E25" s="13">
        <v>42751.210648148146</v>
      </c>
      <c r="F25" s="13">
        <v>42751.219074074077</v>
      </c>
      <c r="G25" s="7">
        <v>1</v>
      </c>
      <c r="H25" s="22" t="s">
        <v>740</v>
      </c>
      <c r="I25" s="13">
        <v>42751.245787037034</v>
      </c>
      <c r="J25" s="7">
        <v>0</v>
      </c>
      <c r="K25" s="105" t="str">
        <f t="shared" si="0"/>
        <v>4037/4038</v>
      </c>
      <c r="L25" s="22" t="str">
        <f>VLOOKUP(A25,'Trips&amp;Operators'!$C$1:$G$99999,5,FALSE)</f>
        <v>OUN ZACK</v>
      </c>
      <c r="M25" s="6">
        <f t="shared" si="1"/>
        <v>2.6712962957390118E-2</v>
      </c>
      <c r="N25" s="7">
        <f t="shared" si="2"/>
        <v>38.46666665864177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-16T04:03:20-0700',mode:absolute,to:'2017-01-16T06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5" s="49" t="str">
        <f t="shared" si="6"/>
        <v>N</v>
      </c>
      <c r="X25" s="173">
        <f t="shared" si="7"/>
        <v>1</v>
      </c>
      <c r="Y25" s="64">
        <f t="shared" si="8"/>
        <v>4.4200000000000003E-2</v>
      </c>
      <c r="Z25" s="64">
        <f t="shared" si="9"/>
        <v>23.334199999999999</v>
      </c>
      <c r="AA25" s="64">
        <f t="shared" si="10"/>
        <v>23.29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0113-16</v>
      </c>
      <c r="AE25" s="87" t="str">
        <f t="shared" si="12"/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AF25" s="84" t="str">
        <f t="shared" si="13"/>
        <v>"C:\Program Files (x86)\AstroGrep\AstroGrep.exe" /spath="%USERPROFILE%\AppData\Local\Temp\OnboardLogs" /stypes="app*4038*20170116*"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113-16 --locoid 4038 --swversion DE.1.0.8.0 --startMP 204:442 --initTime 2017-01-16T05:03:20 --startdatetime 2017-01-16T05:15:28 --delay 1 --endMP 204:233342 --enddatetime 2017-01-16T05:53:56 --enforcementcount 0 &gt;&gt;C:\Users\stu\Documents\GitHub\eaglep3-reporting\EC\2017-01-16-refined-times.txt</v>
      </c>
      <c r="AI25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{"issue":{"subject":"","project_id":79,"tracker_id":40,"status_id":1,"priority_id":2,"assigned_to_id":23,"start_date":"2017-01-16","description":"","custom_fields":[{"id":1,"name":"Subdivision","value":"EC"},{"id":4,"name":"Milepost","value":"23.3342"},{"id":17,"name":"Train ID","value":"113-16"},{"id":16,"name":"Locomotive ID","value":"4038"},{"id":130,"name":"Impact","value":""},{"id":150,"name":"Time of Event (Mountain Time)","value":"05:53:56"},{"id":151,"name":"Denver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4038 --day 2017-01-16</v>
      </c>
      <c r="AN25" s="18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"%USERPROFILE%\AppData\Local\Temp\OnboardLogs"\RTDC4038\*4038*20170116* | grep -SE "(Enforcement Action)|(\[TIMEOUT)|(CHR.+\|PRM\|1\|D.+(SWITCH|SIGNAL).+UNKNOWN)" - &gt;&gt; 2017-01-16-UncaughtWiMAX.txt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535</v>
      </c>
      <c r="B26" s="7">
        <v>4037</v>
      </c>
      <c r="C26" s="22" t="s">
        <v>201</v>
      </c>
      <c r="D26" s="22" t="s">
        <v>741</v>
      </c>
      <c r="E26" s="13">
        <v>42751.253738425927</v>
      </c>
      <c r="F26" s="13">
        <v>42751.257881944446</v>
      </c>
      <c r="G26" s="7">
        <v>1</v>
      </c>
      <c r="H26" s="22" t="s">
        <v>289</v>
      </c>
      <c r="I26" s="13">
        <v>42751.284722222219</v>
      </c>
      <c r="J26" s="7">
        <v>0</v>
      </c>
      <c r="K26" s="105" t="str">
        <f t="shared" si="0"/>
        <v>4037/4038</v>
      </c>
      <c r="L26" s="22" t="str">
        <f>VLOOKUP(A26,'Trips&amp;Operators'!$C$1:$G$99999,5,FALSE)</f>
        <v>OUN ZACK</v>
      </c>
      <c r="M26" s="6">
        <f t="shared" si="1"/>
        <v>2.6840277772862464E-2</v>
      </c>
      <c r="N26" s="7">
        <f t="shared" si="2"/>
        <v>38.649999992921948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-16T05:05:23-0700',mode:absolute,to:'2017-01-16T07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6" s="49" t="str">
        <f t="shared" si="6"/>
        <v>N</v>
      </c>
      <c r="X26" s="173">
        <f t="shared" si="7"/>
        <v>1</v>
      </c>
      <c r="Y26" s="64">
        <f t="shared" si="8"/>
        <v>23.301300000000001</v>
      </c>
      <c r="Z26" s="64">
        <f t="shared" si="9"/>
        <v>1.38E-2</v>
      </c>
      <c r="AA26" s="64">
        <f t="shared" si="10"/>
        <v>23.287500000000001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0114-16</v>
      </c>
      <c r="AE26" s="87" t="str">
        <f t="shared" si="12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26" s="84" t="str">
        <f t="shared" si="13"/>
        <v>"C:\Program Files (x86)\AstroGrep\AstroGrep.exe" /spath="%USERPROFILE%\AppData\Local\Temp\OnboardLogs" /stypes="app*4037*20170116*"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114-16 --locoid 4037 --swversion DE.1.0.8.0 --startMP 204:233013 --initTime 2017-01-16T06:05:23 --startdatetime 2017-01-16T06:11:21 --delay 1 --endMP 204:138 --enddatetime 2017-01-16T06:50:00 --enforcementcount 0 &gt;&gt;C:\Users\stu\Documents\GitHub\eaglep3-reporting\EC\2017-01-16-refined-times.txt</v>
      </c>
      <c r="AI26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{"issue":{"subject":"","project_id":79,"tracker_id":40,"status_id":1,"priority_id":2,"assigned_to_id":23,"start_date":"2017-01-16","description":"","custom_fields":[{"id":1,"name":"Subdivision","value":"EC"},{"id":4,"name":"Milepost","value":"0.0138"},{"id":17,"name":"Train ID","value":"114-16"},{"id":16,"name":"Locomotive ID","value":"4037"},{"id":130,"name":"Impact","value":""},{"id":150,"name":"Time of Event (Mountain Time)","value":"06:50:00"},{"id":151,"name":"Denver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4037 --day 2017-01-16</v>
      </c>
      <c r="AN26" s="18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530</v>
      </c>
      <c r="B27" s="7">
        <v>4029</v>
      </c>
      <c r="C27" s="22" t="s">
        <v>201</v>
      </c>
      <c r="D27" s="22" t="s">
        <v>319</v>
      </c>
      <c r="E27" s="13">
        <v>42751.227476851855</v>
      </c>
      <c r="F27" s="13">
        <v>42751.229386574072</v>
      </c>
      <c r="G27" s="7">
        <v>1</v>
      </c>
      <c r="H27" s="22" t="s">
        <v>742</v>
      </c>
      <c r="I27" s="13">
        <v>42751.254131944443</v>
      </c>
      <c r="J27" s="7">
        <v>0</v>
      </c>
      <c r="K27" s="105" t="str">
        <f t="shared" si="0"/>
        <v>4029/4030</v>
      </c>
      <c r="L27" s="22" t="str">
        <f>VLOOKUP(A27,'Trips&amp;Operators'!$C$1:$G$99999,5,FALSE)</f>
        <v>ROBINSON KADDIBA</v>
      </c>
      <c r="M27" s="6">
        <f t="shared" si="1"/>
        <v>2.47453703705105E-2</v>
      </c>
      <c r="N27" s="7">
        <f t="shared" si="2"/>
        <v>35.63333333353512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-16T04:27:34-0700',mode:absolute,to:'2017-01-16T07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7" s="49" t="str">
        <f t="shared" si="6"/>
        <v>N</v>
      </c>
      <c r="X27" s="173">
        <f t="shared" si="7"/>
        <v>1</v>
      </c>
      <c r="Y27" s="64">
        <f t="shared" si="8"/>
        <v>7.3499999999999996E-2</v>
      </c>
      <c r="Z27" s="64">
        <f t="shared" si="9"/>
        <v>23.328399999999998</v>
      </c>
      <c r="AA27" s="64">
        <f t="shared" si="10"/>
        <v>23.254899999999999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0115-16</v>
      </c>
      <c r="AE27" s="87" t="str">
        <f t="shared" si="12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27" s="84" t="str">
        <f t="shared" si="13"/>
        <v>"C:\Program Files (x86)\AstroGrep\AstroGrep.exe" /spath="%USERPROFILE%\AppData\Local\Temp\OnboardLogs" /stypes="app*4029*20170116*"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115-16 --locoid 4029 --swversion DE.1.0.8.0 --startMP 204:735 --initTime 2017-01-16T05:27:34 --startdatetime 2017-01-16T05:30:19 --delay 1 --endMP 204:233284 --enddatetime 2017-01-16T06:05:57 --enforcementcount 0 &gt;&gt;C:\Users\stu\Documents\GitHub\eaglep3-reporting\EC\2017-01-16-refined-times.txt</v>
      </c>
      <c r="AI27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{"issue":{"subject":"","project_id":79,"tracker_id":40,"status_id":1,"priority_id":2,"assigned_to_id":23,"start_date":"2017-01-16","description":"","custom_fields":[{"id":1,"name":"Subdivision","value":"EC"},{"id":4,"name":"Milepost","value":"23.3284"},{"id":17,"name":"Train ID","value":"115-16"},{"id":16,"name":"Locomotive ID","value":"4029"},{"id":130,"name":"Impact","value":""},{"id":150,"name":"Time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4029 --day 2017-01-16</v>
      </c>
      <c r="AN27" s="18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"%USERPROFILE%\AppData\Local\Temp\OnboardLogs"\RTDC4029\*4029*20170116* | grep -SE "(Enforcement Action)|(\[TIMEOUT)|(CHR.+\|PRM\|1\|D.+(SWITCH|SIGNAL).+UNKNOWN)" - &gt;&gt; 2017-01-16-UncaughtWiMAX.txt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538</v>
      </c>
      <c r="B28" s="7">
        <v>4030</v>
      </c>
      <c r="C28" s="22" t="s">
        <v>201</v>
      </c>
      <c r="D28" s="22" t="s">
        <v>283</v>
      </c>
      <c r="E28" s="13">
        <v>42751.261250000003</v>
      </c>
      <c r="F28" s="13">
        <v>42751.268217592595</v>
      </c>
      <c r="G28" s="7">
        <v>1</v>
      </c>
      <c r="H28" s="22" t="s">
        <v>354</v>
      </c>
      <c r="I28" s="13">
        <v>42751.299988425926</v>
      </c>
      <c r="J28" s="7">
        <v>0</v>
      </c>
      <c r="K28" s="105" t="str">
        <f t="shared" si="0"/>
        <v>4029/4030</v>
      </c>
      <c r="L28" s="22" t="str">
        <f>VLOOKUP(A28,'Trips&amp;Operators'!$C$1:$G$99999,5,FALSE)</f>
        <v>ROBINSON KADDIBA</v>
      </c>
      <c r="M28" s="6">
        <f t="shared" si="1"/>
        <v>3.1770833331393078E-2</v>
      </c>
      <c r="N28" s="7">
        <f t="shared" si="2"/>
        <v>45.749999997206032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-16T05:16:12-0700',mode:absolute,to:'2017-01-16T08:11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8" s="49" t="str">
        <f t="shared" si="6"/>
        <v>N</v>
      </c>
      <c r="X28" s="173">
        <f t="shared" si="7"/>
        <v>1</v>
      </c>
      <c r="Y28" s="64">
        <f t="shared" si="8"/>
        <v>23.296900000000001</v>
      </c>
      <c r="Z28" s="64">
        <f t="shared" si="9"/>
        <v>1.6899999999999998E-2</v>
      </c>
      <c r="AA28" s="64">
        <f t="shared" si="10"/>
        <v>23.28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0116-16</v>
      </c>
      <c r="AE28" s="87" t="str">
        <f t="shared" si="12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28" s="84" t="str">
        <f t="shared" si="13"/>
        <v>"C:\Program Files (x86)\AstroGrep\AstroGrep.exe" /spath="%USERPROFILE%\AppData\Local\Temp\OnboardLogs" /stypes="app*4030*20170116*"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116-16 --locoid 4030 --swversion DE.1.0.8.0 --startMP 204:232969 --initTime 2017-01-16T06:16:12 --startdatetime 2017-01-16T06:26:14 --delay 1 --endMP 204:169 --enddatetime 2017-01-16T07:11:59 --enforcementcount 0 &gt;&gt;C:\Users\stu\Documents\GitHub\eaglep3-reporting\EC\2017-01-16-refined-times.txt</v>
      </c>
      <c r="AI28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{"issue":{"subject":"","project_id":79,"tracker_id":40,"status_id":1,"priority_id":2,"assigned_to_id":23,"start_date":"2017-01-16","description":"","custom_fields":[{"id":1,"name":"Subdivision","value":"EC"},{"id":4,"name":"Milepost","value":"0.0169"},{"id":17,"name":"Train ID","value":"116-16"},{"id":16,"name":"Locomotive ID","value":"4030"},{"id":130,"name":"Impact","value":""},{"id":150,"name":"Time of Event (Mountain Time)","value":"07:11:59"},{"id":151,"name":"Denver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4030 --day 2017-01-16</v>
      </c>
      <c r="AN28" s="189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"%USERPROFILE%\AppData\Local\Temp\OnboardLogs"\RTDC4030\*4030*20170116* | grep -SE "(Enforcement Action)|(\[TIMEOUT)|(CHR.+\|PRM\|1\|D.+(SWITCH|SIGNAL).+UNKNOWN)" - &gt;&gt; 2017-01-16-UncaughtWiMAX.txt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529</v>
      </c>
      <c r="B29" s="7">
        <v>4031</v>
      </c>
      <c r="C29" s="22" t="s">
        <v>201</v>
      </c>
      <c r="D29" s="22" t="s">
        <v>192</v>
      </c>
      <c r="E29" s="13">
        <v>42751.2265625</v>
      </c>
      <c r="F29" s="13">
        <v>42751.239861111113</v>
      </c>
      <c r="G29" s="7">
        <v>1</v>
      </c>
      <c r="H29" s="22" t="s">
        <v>743</v>
      </c>
      <c r="I29" s="13">
        <v>42751.265439814815</v>
      </c>
      <c r="J29" s="7">
        <v>0</v>
      </c>
      <c r="K29" s="105" t="str">
        <f t="shared" si="0"/>
        <v>4031/4032</v>
      </c>
      <c r="L29" s="22" t="str">
        <f>VLOOKUP(A29,'Trips&amp;Operators'!$C$1:$G$99999,5,FALSE)</f>
        <v>MAELZER KURT</v>
      </c>
      <c r="M29" s="6">
        <f t="shared" si="1"/>
        <v>2.5578703702194616E-2</v>
      </c>
      <c r="N29" s="7">
        <f t="shared" si="2"/>
        <v>36.833333331160247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-16T04:26:15-0700',mode:absolute,to:'2017-01-16T07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9" s="49" t="str">
        <f t="shared" si="6"/>
        <v>N</v>
      </c>
      <c r="X29" s="173">
        <f t="shared" si="7"/>
        <v>1</v>
      </c>
      <c r="Y29" s="64">
        <f t="shared" si="8"/>
        <v>4.4699999999999997E-2</v>
      </c>
      <c r="Z29" s="64">
        <f t="shared" si="9"/>
        <v>23.331900000000001</v>
      </c>
      <c r="AA29" s="64">
        <f t="shared" si="10"/>
        <v>23.287200000000002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0117-16</v>
      </c>
      <c r="AE29" s="87" t="str">
        <f t="shared" si="12"/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AF29" s="84" t="str">
        <f t="shared" si="13"/>
        <v>"C:\Program Files (x86)\AstroGrep\AstroGrep.exe" /spath="%USERPROFILE%\AppData\Local\Temp\OnboardLogs" /stypes="app*4031*20170116*"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117-16 --locoid 4031 --swversion DE.1.0.8.0 --startMP 204:447 --initTime 2017-01-16T05:26:15 --startdatetime 2017-01-16T05:45:24 --delay 1 --endMP 204:233319 --enddatetime 2017-01-16T06:22:14 --enforcementcount 0 &gt;&gt;C:\Users\stu\Documents\GitHub\eaglep3-reporting\EC\2017-01-16-refined-times.txt</v>
      </c>
      <c r="AI29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{"issue":{"subject":"","project_id":79,"tracker_id":40,"status_id":1,"priority_id":2,"assigned_to_id":23,"start_date":"2017-01-16","description":"","custom_fields":[{"id":1,"name":"Subdivision","value":"EC"},{"id":4,"name":"Milepost","value":"23.3319"},{"id":17,"name":"Train ID","value":"117-16"},{"id":16,"name":"Locomotive ID","value":"4031"},{"id":130,"name":"Impact","value":""},{"id":150,"name":"Time of Event (Mountain Time)","value":"06:22:14"},{"id":151,"name":"Denver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4031 --day 2017-01-16</v>
      </c>
      <c r="AN29" s="18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"%USERPROFILE%\AppData\Local\Temp\OnboardLogs"\RTDC4031\*4031*20170116* | grep -SE "(Enforcement Action)|(\[TIMEOUT)|(CHR.+\|PRM\|1\|D.+(SWITCH|SIGNAL).+UNKNOWN)" - &gt;&gt; 2017-01-16-UncaughtWiMAX.txt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479</v>
      </c>
      <c r="B30" s="7">
        <v>4032</v>
      </c>
      <c r="C30" s="22" t="s">
        <v>201</v>
      </c>
      <c r="D30" s="22" t="s">
        <v>744</v>
      </c>
      <c r="E30" s="13">
        <v>42751.274560185186</v>
      </c>
      <c r="F30" s="13">
        <v>42751.278761574074</v>
      </c>
      <c r="G30" s="7">
        <v>1</v>
      </c>
      <c r="H30" s="22" t="s">
        <v>224</v>
      </c>
      <c r="I30" s="13">
        <v>42751.308553240742</v>
      </c>
      <c r="J30" s="7">
        <v>0</v>
      </c>
      <c r="K30" s="105" t="str">
        <f t="shared" si="0"/>
        <v>4031/4032</v>
      </c>
      <c r="L30" s="22" t="str">
        <f>VLOOKUP(A30,'Trips&amp;Operators'!$C$1:$G$99999,5,FALSE)</f>
        <v>MAELZER KURT</v>
      </c>
      <c r="M30" s="6">
        <f t="shared" si="1"/>
        <v>2.9791666667733807E-2</v>
      </c>
      <c r="N30" s="7">
        <f t="shared" si="2"/>
        <v>42.900000001536682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-16T05:35:22-0700',mode:absolute,to:'2017-01-16T08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0" s="49" t="str">
        <f t="shared" si="6"/>
        <v>N</v>
      </c>
      <c r="X30" s="173">
        <f t="shared" si="7"/>
        <v>1</v>
      </c>
      <c r="Y30" s="64">
        <f t="shared" si="8"/>
        <v>23.299600000000002</v>
      </c>
      <c r="Z30" s="64">
        <f t="shared" si="9"/>
        <v>1.4500000000000001E-2</v>
      </c>
      <c r="AA30" s="64">
        <f t="shared" si="10"/>
        <v>23.2851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0118-16</v>
      </c>
      <c r="AE30" s="87" t="str">
        <f t="shared" si="12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30" s="84" t="str">
        <f t="shared" si="13"/>
        <v>"C:\Program Files (x86)\AstroGrep\AstroGrep.exe" /spath="%USERPROFILE%\AppData\Local\Temp\OnboardLogs" /stypes="app*4032*20170116*"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118-16 --locoid 4032 --swversion DE.1.0.8.0 --startMP 204:232996 --initTime 2017-01-16T06:35:22 --startdatetime 2017-01-16T06:41:25 --delay 1 --endMP 204:145 --enddatetime 2017-01-16T07:24:19 --enforcementcount 0 &gt;&gt;C:\Users\stu\Documents\GitHub\eaglep3-reporting\EC\2017-01-16-refined-times.txt</v>
      </c>
      <c r="AI30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{"issue":{"subject":"","project_id":79,"tracker_id":40,"status_id":1,"priority_id":2,"assigned_to_id":23,"start_date":"2017-01-16","description":"","custom_fields":[{"id":1,"name":"Subdivision","value":"EC"},{"id":4,"name":"Milepost","value":"0.0145"},{"id":17,"name":"Train ID","value":"118-16"},{"id":16,"name":"Locomotive ID","value":"4032"},{"id":130,"name":"Impact","value":""},{"id":150,"name":"Time of Event (Mountain Time)","value":"07:24:19"},{"id":151,"name":"Denver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4032 --day 2017-01-16</v>
      </c>
      <c r="AN30" s="18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"%USERPROFILE%\AppData\Local\Temp\OnboardLogs"\RTDC4032\*4032*20170116* | grep -SE "(Enforcement Action)|(\[TIMEOUT)|(CHR.+\|PRM\|1\|D.+(SWITCH|SIGNAL).+UNKNOWN)" - &gt;&gt; 2017-01-16-UncaughtWiMAX.txt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477</v>
      </c>
      <c r="B31" s="7">
        <v>4002</v>
      </c>
      <c r="C31" s="22" t="s">
        <v>201</v>
      </c>
      <c r="D31" s="22" t="s">
        <v>745</v>
      </c>
      <c r="E31" s="13">
        <v>42751.246944444443</v>
      </c>
      <c r="F31" s="13">
        <v>42751.250254629631</v>
      </c>
      <c r="G31" s="7">
        <v>2</v>
      </c>
      <c r="H31" s="22" t="s">
        <v>746</v>
      </c>
      <c r="I31" s="13">
        <v>42751.276585648149</v>
      </c>
      <c r="J31" s="7">
        <v>0</v>
      </c>
      <c r="K31" s="105" t="str">
        <f t="shared" si="0"/>
        <v>4001/4002</v>
      </c>
      <c r="L31" s="22" t="str">
        <f>VLOOKUP(A31,'Trips&amp;Operators'!$C$1:$G$99999,5,FALSE)</f>
        <v>STARKS ANGELINA</v>
      </c>
      <c r="M31" s="6">
        <f t="shared" si="1"/>
        <v>2.6331018518249039E-2</v>
      </c>
      <c r="N31" s="7">
        <f t="shared" si="2"/>
        <v>37.916666666278616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-16T04:55:36-0700',mode:absolute,to:'2017-01-16T07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49" t="str">
        <f t="shared" si="6"/>
        <v>N</v>
      </c>
      <c r="X31" s="173">
        <f t="shared" si="7"/>
        <v>1</v>
      </c>
      <c r="Y31" s="64">
        <f t="shared" si="8"/>
        <v>6.9000000000000006E-2</v>
      </c>
      <c r="Z31" s="64">
        <f t="shared" si="9"/>
        <v>23.3276</v>
      </c>
      <c r="AA31" s="64">
        <f t="shared" si="10"/>
        <v>23.258600000000001</v>
      </c>
      <c r="AB31" s="61" t="str">
        <f>VLOOKUP(A31,Enforcements!$C$7:$K$16,8,0)</f>
        <v>Speed (6)</v>
      </c>
      <c r="AC31" s="57" t="str">
        <f>VLOOKUP(A31,Enforcements!$C$7:$E$16,3,0)</f>
        <v>PERMANENT SPEED RESTRICTION</v>
      </c>
      <c r="AD31" s="58" t="str">
        <f t="shared" si="11"/>
        <v>0119-16</v>
      </c>
      <c r="AE31" s="87" t="str">
        <f t="shared" si="12"/>
        <v>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 &amp; 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</v>
      </c>
      <c r="AF31" s="84" t="str">
        <f t="shared" si="13"/>
        <v>"C:\Program Files (x86)\AstroGrep\AstroGrep.exe" /spath="%USERPROFILE%\AppData\Local\Temp\OnboardLogs" /stypes="app*4002*20170116*"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119-16 --locoid 4002 --swversion DE.1.0.8.0 --startMP 204:690 --initTime 2017-01-16T05:55:36 --startdatetime 2017-01-16T06:00:22 --delay 2 --endMP 204:233276 --enddatetime 2017-01-16T06:38:17 --enforcementcount 0 &gt;&gt;C:\Users\stu\Documents\GitHub\eaglep3-reporting\EC\2017-01-16-refined-times.txt</v>
      </c>
      <c r="AI31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{"issue":{"subject":"","project_id":79,"tracker_id":40,"status_id":1,"priority_id":2,"assigned_to_id":23,"start_date":"2017-01-16","description":"","custom_fields":[{"id":1,"name":"Subdivision","value":"EC"},{"id":4,"name":"Milepost","value":"23.3276"},{"id":17,"name":"Train ID","value":"119-16"},{"id":16,"name":"Locomotive ID","value":"4002"},{"id":130,"name":"Impact","value":""},{"id":150,"name":"Time of Event (Mountain Time)","value":"06:38:17"},{"id":151,"name":"Denver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4002 --day 2017-01-16</v>
      </c>
      <c r="AN31" s="18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"%USERPROFILE%\AppData\Local\Temp\OnboardLogs"\RTDC4002\*4002*20170116* | grep -SE "(Enforcement Action)|(\[TIMEOUT)|(CHR.+\|PRM\|1\|D.+(SWITCH|SIGNAL).+UNKNOWN)" - &gt;&gt; 2017-01-16-UncaughtWiMAX.txt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478</v>
      </c>
      <c r="B32" s="7">
        <v>4001</v>
      </c>
      <c r="C32" s="22" t="s">
        <v>201</v>
      </c>
      <c r="D32" s="22" t="s">
        <v>318</v>
      </c>
      <c r="E32" s="13">
        <v>42751.287222222221</v>
      </c>
      <c r="F32" s="13">
        <v>42751.289074074077</v>
      </c>
      <c r="G32" s="7">
        <v>1</v>
      </c>
      <c r="H32" s="22" t="s">
        <v>747</v>
      </c>
      <c r="I32" s="13">
        <v>42751.319074074076</v>
      </c>
      <c r="J32" s="7">
        <v>0</v>
      </c>
      <c r="K32" s="105" t="str">
        <f t="shared" si="0"/>
        <v>4001/4002</v>
      </c>
      <c r="L32" s="22" t="str">
        <f>VLOOKUP(A32,'Trips&amp;Operators'!$C$1:$G$99999,5,FALSE)</f>
        <v>STARKS ANGELINA</v>
      </c>
      <c r="M32" s="6">
        <f t="shared" si="1"/>
        <v>2.9999999998835847E-2</v>
      </c>
      <c r="N32" s="7">
        <f t="shared" si="2"/>
        <v>43.199999998323619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-16T05:53:36-0700',mode:absolute,to:'2017-01-16T08:39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49" t="str">
        <f t="shared" si="6"/>
        <v>N</v>
      </c>
      <c r="X32" s="173">
        <f t="shared" si="7"/>
        <v>1</v>
      </c>
      <c r="Y32" s="64">
        <f t="shared" si="8"/>
        <v>23.296700000000001</v>
      </c>
      <c r="Z32" s="64">
        <f t="shared" si="9"/>
        <v>0.19189999999999999</v>
      </c>
      <c r="AA32" s="64">
        <f t="shared" si="10"/>
        <v>23.104800000000001</v>
      </c>
      <c r="AB32" s="61" t="str">
        <f>VLOOKUP(A32,Enforcements!$C$7:$K$16,8,0)</f>
        <v>Speed (6)</v>
      </c>
      <c r="AC32" s="57" t="str">
        <f>VLOOKUP(A32,Enforcements!$C$7:$E$16,3,0)</f>
        <v>PERMANENT SPEED RESTRICTION</v>
      </c>
      <c r="AD32" s="58" t="str">
        <f t="shared" si="11"/>
        <v>0120-16</v>
      </c>
      <c r="AE32" s="87" t="str">
        <f t="shared" si="12"/>
        <v>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 &amp; 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</v>
      </c>
      <c r="AF32" s="84" t="str">
        <f t="shared" si="13"/>
        <v>"C:\Program Files (x86)\AstroGrep\AstroGrep.exe" /spath="%USERPROFILE%\AppData\Local\Temp\OnboardLogs" /stypes="app*4001*20170116*"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120-16 --locoid 4001 --swversion DE.1.0.8.0 --startMP 204:232967 --initTime 2017-01-16T06:53:36 --startdatetime 2017-01-16T06:56:16 --delay 1 --endMP 204:1919 --enddatetime 2017-01-16T07:39:28 --enforcementcount 0 &gt;&gt;C:\Users\stu\Documents\GitHub\eaglep3-reporting\EC\2017-01-16-refined-times.txt</v>
      </c>
      <c r="AI32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{"issue":{"subject":"","project_id":79,"tracker_id":40,"status_id":1,"priority_id":2,"assigned_to_id":23,"start_date":"2017-01-16","description":"","custom_fields":[{"id":1,"name":"Subdivision","value":"EC"},{"id":4,"name":"Milepost","value":"0.1919"},{"id":17,"name":"Train ID","value":"120-16"},{"id":16,"name":"Locomotive ID","value":"4001"},{"id":130,"name":"Impact","value":""},{"id":150,"name":"Time of Event (Mountain Time)","value":"07:39:28"},{"id":151,"name":"Denver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4001 --day 2017-01-16</v>
      </c>
      <c r="AN32" s="18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"%USERPROFILE%\AppData\Local\Temp\OnboardLogs"\RTDC4001\*4001*20170116* | grep -SE "(Enforcement Action)|(\[TIMEOUT)|(CHR.+\|PRM\|1\|D.+(SWITCH|SIGNAL).+UNKNOWN)" - &gt;&gt; 2017-01-16-UncaughtWiMAX.txt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537</v>
      </c>
      <c r="B33" s="7">
        <v>4046</v>
      </c>
      <c r="C33" s="22" t="s">
        <v>201</v>
      </c>
      <c r="D33" s="22" t="s">
        <v>221</v>
      </c>
      <c r="E33" s="13">
        <v>42751.256550925929</v>
      </c>
      <c r="F33" s="13">
        <v>42751.260740740741</v>
      </c>
      <c r="G33" s="7">
        <v>1</v>
      </c>
      <c r="H33" s="22" t="s">
        <v>748</v>
      </c>
      <c r="I33" s="13">
        <v>42751.287824074076</v>
      </c>
      <c r="J33" s="7">
        <v>0</v>
      </c>
      <c r="K33" s="105" t="str">
        <f t="shared" si="0"/>
        <v>4045/4046</v>
      </c>
      <c r="L33" s="22" t="str">
        <f>VLOOKUP(A33,'Trips&amp;Operators'!$C$1:$G$99999,5,FALSE)</f>
        <v>SIMMONS SHYHESHA</v>
      </c>
      <c r="M33" s="6">
        <f t="shared" si="1"/>
        <v>2.7083333334303461E-2</v>
      </c>
      <c r="N33" s="7">
        <f t="shared" si="2"/>
        <v>39.000000001396984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-16T05:09:26-0700',mode:absolute,to:'2017-01-16T07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49" t="str">
        <f t="shared" si="6"/>
        <v>N</v>
      </c>
      <c r="X33" s="173">
        <f t="shared" si="7"/>
        <v>1</v>
      </c>
      <c r="Y33" s="64">
        <f t="shared" si="8"/>
        <v>4.5499999999999999E-2</v>
      </c>
      <c r="Z33" s="64">
        <f t="shared" si="9"/>
        <v>23.331399999999999</v>
      </c>
      <c r="AA33" s="64">
        <f t="shared" si="10"/>
        <v>23.285899999999998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0121-16</v>
      </c>
      <c r="AE33" s="87" t="str">
        <f t="shared" si="12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33" s="84" t="str">
        <f t="shared" si="13"/>
        <v>"C:\Program Files (x86)\AstroGrep\AstroGrep.exe" /spath="%USERPROFILE%\AppData\Local\Temp\OnboardLogs" /stypes="app*4046*20170116*"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121-16 --locoid 4046 --swversion DE.1.0.8.0 --startMP 204:455 --initTime 2017-01-16T06:09:26 --startdatetime 2017-01-16T06:15:28 --delay 1 --endMP 204:233314 --enddatetime 2017-01-16T06:54:28 --enforcementcount 0 &gt;&gt;C:\Users\stu\Documents\GitHub\eaglep3-reporting\EC\2017-01-16-refined-times.txt</v>
      </c>
      <c r="AI33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{"issue":{"subject":"","project_id":79,"tracker_id":40,"status_id":1,"priority_id":2,"assigned_to_id":23,"start_date":"2017-01-16","description":"","custom_fields":[{"id":1,"name":"Subdivision","value":"EC"},{"id":4,"name":"Milepost","value":"23.3314"},{"id":17,"name":"Train ID","value":"121-16"},{"id":16,"name":"Locomotive ID","value":"4046"},{"id":130,"name":"Impact","value":""},{"id":150,"name":"Time of Event (Mountain Time)","value":"06:54:28"},{"id":151,"name":"Denver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4046 --day 2017-01-16</v>
      </c>
      <c r="AN33" s="18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"%USERPROFILE%\AppData\Local\Temp\OnboardLogs"\RTDC4046\*4046*20170116* | grep -SE "(Enforcement Action)|(\[TIMEOUT)|(CHR.+\|PRM\|1\|D.+(SWITCH|SIGNAL).+UNKNOWN)" - &gt;&gt; 2017-01-16-UncaughtWiMAX.txt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545</v>
      </c>
      <c r="B34" s="7">
        <v>4045</v>
      </c>
      <c r="C34" s="22" t="s">
        <v>201</v>
      </c>
      <c r="D34" s="22" t="s">
        <v>391</v>
      </c>
      <c r="E34" s="13">
        <v>42751.292615740742</v>
      </c>
      <c r="F34" s="13">
        <v>42751.29965277778</v>
      </c>
      <c r="G34" s="7">
        <v>1</v>
      </c>
      <c r="H34" s="22" t="s">
        <v>294</v>
      </c>
      <c r="I34" s="13">
        <v>42751.329780092594</v>
      </c>
      <c r="J34" s="7">
        <v>0</v>
      </c>
      <c r="K34" s="105" t="str">
        <f t="shared" si="0"/>
        <v>4045/4046</v>
      </c>
      <c r="L34" s="22" t="str">
        <f>VLOOKUP(A34,'Trips&amp;Operators'!$C$1:$G$99999,5,FALSE)</f>
        <v>SIMMONS SHYHESHA</v>
      </c>
      <c r="M34" s="6">
        <f t="shared" si="1"/>
        <v>3.0127314814308193E-2</v>
      </c>
      <c r="N34" s="7">
        <f t="shared" si="2"/>
        <v>43.383333332603797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-16T06:01:22-0700',mode:absolute,to:'2017-01-16T08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49" t="str">
        <f t="shared" si="6"/>
        <v>N</v>
      </c>
      <c r="X34" s="173">
        <f t="shared" si="7"/>
        <v>1</v>
      </c>
      <c r="Y34" s="64">
        <f t="shared" si="8"/>
        <v>23.3002</v>
      </c>
      <c r="Z34" s="64">
        <f t="shared" si="9"/>
        <v>1.54E-2</v>
      </c>
      <c r="AA34" s="64">
        <f t="shared" si="10"/>
        <v>23.284800000000001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0122-16</v>
      </c>
      <c r="AE34" s="87" t="str">
        <f t="shared" si="12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34" s="84" t="str">
        <f t="shared" si="13"/>
        <v>"C:\Program Files (x86)\AstroGrep\AstroGrep.exe" /spath="%USERPROFILE%\AppData\Local\Temp\OnboardLogs" /stypes="app*4045*20170116*"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122-16 --locoid 4045 --swversion DE.1.0.8.0 --startMP 204:233002 --initTime 2017-01-16T07:01:22 --startdatetime 2017-01-16T07:11:30 --delay 1 --endMP 204:154 --enddatetime 2017-01-16T07:54:53 --enforcementcount 0 &gt;&gt;C:\Users\stu\Documents\GitHub\eaglep3-reporting\EC\2017-01-16-refined-times.txt</v>
      </c>
      <c r="AI34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{"issue":{"subject":"","project_id":79,"tracker_id":40,"status_id":1,"priority_id":2,"assigned_to_id":23,"start_date":"2017-01-16","description":"","custom_fields":[{"id":1,"name":"Subdivision","value":"EC"},{"id":4,"name":"Milepost","value":"0.0154"},{"id":17,"name":"Train ID","value":"122-16"},{"id":16,"name":"Locomotive ID","value":"4045"},{"id":130,"name":"Impact","value":""},{"id":150,"name":"Time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4045 --day 2017-01-16</v>
      </c>
      <c r="AN34" s="18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540</v>
      </c>
      <c r="B35" s="7">
        <v>4022</v>
      </c>
      <c r="C35" s="22" t="s">
        <v>201</v>
      </c>
      <c r="D35" s="22" t="s">
        <v>221</v>
      </c>
      <c r="E35" s="13">
        <v>42751.267337962963</v>
      </c>
      <c r="F35" s="13">
        <v>42751.271134259259</v>
      </c>
      <c r="G35" s="7">
        <v>1</v>
      </c>
      <c r="H35" s="22" t="s">
        <v>735</v>
      </c>
      <c r="I35" s="13">
        <v>42751.297986111109</v>
      </c>
      <c r="J35" s="7">
        <v>0</v>
      </c>
      <c r="K35" s="105" t="str">
        <f t="shared" si="0"/>
        <v>4021/4022</v>
      </c>
      <c r="L35" s="22" t="str">
        <f>VLOOKUP(A35,'Trips&amp;Operators'!$C$1:$G$99999,5,FALSE)</f>
        <v>SWANSON BRYCE</v>
      </c>
      <c r="M35" s="6">
        <f t="shared" si="1"/>
        <v>2.6851851849642117E-2</v>
      </c>
      <c r="N35" s="7">
        <f t="shared" si="2"/>
        <v>38.666666663484648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-16T05:24:58-0700',mode:absolute,to:'2017-01-16T08:09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49" t="str">
        <f t="shared" si="6"/>
        <v>N</v>
      </c>
      <c r="X35" s="173">
        <f t="shared" si="7"/>
        <v>1</v>
      </c>
      <c r="Y35" s="64">
        <f t="shared" si="8"/>
        <v>4.5499999999999999E-2</v>
      </c>
      <c r="Z35" s="64">
        <f t="shared" si="9"/>
        <v>23.335699999999999</v>
      </c>
      <c r="AA35" s="64">
        <f t="shared" si="10"/>
        <v>23.290199999999999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0123-16</v>
      </c>
      <c r="AE35" s="87" t="str">
        <f t="shared" si="12"/>
        <v>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 &amp; 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</v>
      </c>
      <c r="AF35" s="84" t="str">
        <f t="shared" si="13"/>
        <v>"C:\Program Files (x86)\AstroGrep\AstroGrep.exe" /spath="%USERPROFILE%\AppData\Local\Temp\OnboardLogs" /stypes="app*4022*20170116*"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123-16 --locoid 4022 --swversion DE.1.0.8.0 --startMP 204:455 --initTime 2017-01-16T06:24:58 --startdatetime 2017-01-16T06:30:26 --delay 1 --endMP 204:233357 --enddatetime 2017-01-16T07:09:06 --enforcementcount 0 &gt;&gt;C:\Users\stu\Documents\GitHub\eaglep3-reporting\EC\2017-01-16-refined-times.txt</v>
      </c>
      <c r="AI35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{"issue":{"subject":"","project_id":79,"tracker_id":40,"status_id":1,"priority_id":2,"assigned_to_id":23,"start_date":"2017-01-16","description":"","custom_fields":[{"id":1,"name":"Subdivision","value":"EC"},{"id":4,"name":"Milepost","value":"23.3357"},{"id":17,"name":"Train ID","value":"123-16"},{"id":16,"name":"Locomotive ID","value":"4022"},{"id":130,"name":"Impact","value":""},{"id":150,"name":"Time of Event (Mountain Time)","value":"07:09:06"},{"id":151,"name":"Denver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4022 --day 2017-01-16</v>
      </c>
      <c r="AN35" s="18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547</v>
      </c>
      <c r="B36" s="7">
        <v>4021</v>
      </c>
      <c r="C36" s="22" t="s">
        <v>201</v>
      </c>
      <c r="D36" s="22" t="s">
        <v>749</v>
      </c>
      <c r="E36" s="13">
        <v>42751.300706018519</v>
      </c>
      <c r="F36" s="13">
        <v>42751.31</v>
      </c>
      <c r="G36" s="7">
        <v>1</v>
      </c>
      <c r="H36" s="22" t="s">
        <v>239</v>
      </c>
      <c r="I36" s="13">
        <v>42751.341087962966</v>
      </c>
      <c r="J36" s="7">
        <v>0</v>
      </c>
      <c r="K36" s="105" t="str">
        <f t="shared" si="0"/>
        <v>4021/4022</v>
      </c>
      <c r="L36" s="22" t="str">
        <f>VLOOKUP(A36,'Trips&amp;Operators'!$C$1:$G$99999,5,FALSE)</f>
        <v>SWANSON BRYCE</v>
      </c>
      <c r="M36" s="6">
        <f t="shared" si="1"/>
        <v>3.1087962968740612E-2</v>
      </c>
      <c r="N36" s="7">
        <f t="shared" si="2"/>
        <v>44.766666674986482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-16T06:13:01-0700',mode:absolute,to:'2017-01-16T09:11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49" t="str">
        <f t="shared" si="6"/>
        <v>N</v>
      </c>
      <c r="X36" s="173">
        <f t="shared" si="7"/>
        <v>1</v>
      </c>
      <c r="Y36" s="64">
        <f t="shared" si="8"/>
        <v>23.304600000000001</v>
      </c>
      <c r="Z36" s="64">
        <f t="shared" si="9"/>
        <v>1.3899999999999999E-2</v>
      </c>
      <c r="AA36" s="64">
        <f t="shared" si="10"/>
        <v>23.290700000000001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0124-16</v>
      </c>
      <c r="AE36" s="87" t="str">
        <f t="shared" si="12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36" s="84" t="str">
        <f t="shared" si="13"/>
        <v>"C:\Program Files (x86)\AstroGrep\AstroGrep.exe" /spath="%USERPROFILE%\AppData\Local\Temp\OnboardLogs" /stypes="app*4021*20170116*"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124-16 --locoid 4021 --swversion DE.1.0.8.0 --startMP 204:233046 --initTime 2017-01-16T07:13:01 --startdatetime 2017-01-16T07:26:24 --delay 1 --endMP 204:139 --enddatetime 2017-01-16T08:11:10 --enforcementcount 0 &gt;&gt;C:\Users\stu\Documents\GitHub\eaglep3-reporting\EC\2017-01-16-refined-times.txt</v>
      </c>
      <c r="AI36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{"issue":{"subject":"","project_id":79,"tracker_id":40,"status_id":1,"priority_id":2,"assigned_to_id":23,"start_date":"2017-01-16","description":"","custom_fields":[{"id":1,"name":"Subdivision","value":"EC"},{"id":4,"name":"Milepost","value":"0.0139"},{"id":17,"name":"Train ID","value":"124-16"},{"id":16,"name":"Locomotive ID","value":"4021"},{"id":130,"name":"Impact","value":""},{"id":150,"name":"Time of Event (Mountain Time)","value":"08:11:10"},{"id":151,"name":"Denver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4021 --day 2017-01-16</v>
      </c>
      <c r="AN36" s="18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542</v>
      </c>
      <c r="B37" s="7">
        <v>4003</v>
      </c>
      <c r="C37" s="22" t="s">
        <v>201</v>
      </c>
      <c r="D37" s="22" t="s">
        <v>269</v>
      </c>
      <c r="E37" s="13">
        <v>42751.275914351849</v>
      </c>
      <c r="F37" s="13">
        <v>42751.281608796293</v>
      </c>
      <c r="G37" s="7">
        <v>1</v>
      </c>
      <c r="H37" s="22" t="s">
        <v>291</v>
      </c>
      <c r="I37" s="13">
        <v>42751.306574074071</v>
      </c>
      <c r="J37" s="7">
        <v>0</v>
      </c>
      <c r="K37" s="105" t="str">
        <f t="shared" si="0"/>
        <v>4003/4004</v>
      </c>
      <c r="L37" s="22" t="str">
        <f>VLOOKUP(A37,'Trips&amp;Operators'!$C$1:$G$99999,5,FALSE)</f>
        <v>DUNCAN SHEILA</v>
      </c>
      <c r="M37" s="6">
        <f t="shared" si="1"/>
        <v>2.4965277778392192E-2</v>
      </c>
      <c r="N37" s="7">
        <f t="shared" si="2"/>
        <v>35.950000000884756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-16T05:37:19-0700',mode:absolute,to:'2017-01-16T08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49" t="str">
        <f t="shared" si="6"/>
        <v>N</v>
      </c>
      <c r="X37" s="173">
        <f t="shared" si="7"/>
        <v>1</v>
      </c>
      <c r="Y37" s="64">
        <f t="shared" si="8"/>
        <v>4.4600000000000001E-2</v>
      </c>
      <c r="Z37" s="64">
        <f t="shared" si="9"/>
        <v>23.330400000000001</v>
      </c>
      <c r="AA37" s="64">
        <f t="shared" si="10"/>
        <v>23.285800000000002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0125-16</v>
      </c>
      <c r="AE37" s="87" t="str">
        <f t="shared" si="12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37" s="84" t="str">
        <f t="shared" si="13"/>
        <v>"C:\Program Files (x86)\AstroGrep\AstroGrep.exe" /spath="%USERPROFILE%\AppData\Local\Temp\OnboardLogs" /stypes="app*4003*20170116*"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125-16 --locoid 4003 --swversion DE.1.0.8.0 --startMP 204:446 --initTime 2017-01-16T06:37:19 --startdatetime 2017-01-16T06:45:31 --delay 1 --endMP 204:233304 --enddatetime 2017-01-16T07:21:28 --enforcementcount 0 &gt;&gt;C:\Users\stu\Documents\GitHub\eaglep3-reporting\EC\2017-01-16-refined-times.txt</v>
      </c>
      <c r="AI37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{"issue":{"subject":"","project_id":79,"tracker_id":40,"status_id":1,"priority_id":2,"assigned_to_id":23,"start_date":"2017-01-16","description":"","custom_fields":[{"id":1,"name":"Subdivision","value":"EC"},{"id":4,"name":"Milepost","value":"23.3304"},{"id":17,"name":"Train ID","value":"125-16"},{"id":16,"name":"Locomotive ID","value":"4003"},{"id":130,"name":"Impact","value":""},{"id":150,"name":"Time of Event (Mountain Time)","value":"07:21:28"},{"id":151,"name":"Denver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4003 --day 2017-01-16</v>
      </c>
      <c r="AN37" s="18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"%USERPROFILE%\AppData\Local\Temp\OnboardLogs"\RTDC4003\*4003*20170116* | grep -SE "(Enforcement Action)|(\[TIMEOUT)|(CHR.+\|PRM\|1\|D.+(SWITCH|SIGNAL).+UNKNOWN)" - &gt;&gt; 2017-01-16-UncaughtWiMAX.txt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549</v>
      </c>
      <c r="B38" s="7">
        <v>4004</v>
      </c>
      <c r="C38" s="22" t="s">
        <v>201</v>
      </c>
      <c r="D38" s="22" t="s">
        <v>750</v>
      </c>
      <c r="E38" s="13">
        <v>42751.307974537034</v>
      </c>
      <c r="F38" s="13">
        <v>42751.320497685185</v>
      </c>
      <c r="G38" s="7">
        <v>1</v>
      </c>
      <c r="H38" s="22" t="s">
        <v>191</v>
      </c>
      <c r="I38" s="13">
        <v>42751.35083333333</v>
      </c>
      <c r="J38" s="7">
        <v>0</v>
      </c>
      <c r="K38" s="105" t="str">
        <f t="shared" si="0"/>
        <v>4003/4004</v>
      </c>
      <c r="L38" s="22" t="str">
        <f>VLOOKUP(A38,'Trips&amp;Operators'!$C$1:$G$99999,5,FALSE)</f>
        <v>DUNCAN SHEILA</v>
      </c>
      <c r="M38" s="6">
        <f t="shared" si="1"/>
        <v>3.0335648145410232E-2</v>
      </c>
      <c r="N38" s="7">
        <f t="shared" si="2"/>
        <v>43.683333329390734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-16T06:23:29-0700',mode:absolute,to:'2017-01-16T09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49" t="str">
        <f t="shared" si="6"/>
        <v>N</v>
      </c>
      <c r="X38" s="173">
        <f t="shared" si="7"/>
        <v>1</v>
      </c>
      <c r="Y38" s="64">
        <f t="shared" si="8"/>
        <v>23.3</v>
      </c>
      <c r="Z38" s="64">
        <f t="shared" si="9"/>
        <v>1.49E-2</v>
      </c>
      <c r="AA38" s="64">
        <f t="shared" si="10"/>
        <v>23.2851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0126-16</v>
      </c>
      <c r="AE38" s="87" t="str">
        <f t="shared" si="12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38" s="84" t="str">
        <f t="shared" si="13"/>
        <v>"C:\Program Files (x86)\AstroGrep\AstroGrep.exe" /spath="%USERPROFILE%\AppData\Local\Temp\OnboardLogs" /stypes="app*4004*20170116*"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126-16 --locoid 4004 --swversion DE.1.0.8.0 --startMP 204:233000 --initTime 2017-01-16T07:23:29 --startdatetime 2017-01-16T07:41:31 --delay 1 --endMP 204:149 --enddatetime 2017-01-16T08:25:12 --enforcementcount 0 &gt;&gt;C:\Users\stu\Documents\GitHub\eaglep3-reporting\EC\2017-01-16-refined-times.txt</v>
      </c>
      <c r="AI38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{"issue":{"subject":"","project_id":79,"tracker_id":40,"status_id":1,"priority_id":2,"assigned_to_id":23,"start_date":"2017-01-16","description":"","custom_fields":[{"id":1,"name":"Subdivision","value":"EC"},{"id":4,"name":"Milepost","value":"0.0149"},{"id":17,"name":"Train ID","value":"126-16"},{"id":16,"name":"Locomotive ID","value":"4004"},{"id":130,"name":"Impact","value":""},{"id":150,"name":"Time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4004 --day 2017-01-16</v>
      </c>
      <c r="AN38" s="18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"%USERPROFILE%\AppData\Local\Temp\OnboardLogs"\RTDC4004\*4004*20170116* | grep -SE "(Enforcement Action)|(\[TIMEOUT)|(CHR.+\|PRM\|1\|D.+(SWITCH|SIGNAL).+UNKNOWN)" - &gt;&gt; 2017-01-16-UncaughtWiMAX.txt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544</v>
      </c>
      <c r="B39" s="7">
        <v>4038</v>
      </c>
      <c r="C39" s="22" t="s">
        <v>201</v>
      </c>
      <c r="D39" s="22" t="s">
        <v>286</v>
      </c>
      <c r="E39" s="13">
        <v>42751.28633101852</v>
      </c>
      <c r="F39" s="13">
        <v>42751.291851851849</v>
      </c>
      <c r="G39" s="7">
        <v>1</v>
      </c>
      <c r="H39" s="22" t="s">
        <v>298</v>
      </c>
      <c r="I39" s="13">
        <v>42751.320405092592</v>
      </c>
      <c r="J39" s="7">
        <v>0</v>
      </c>
      <c r="K39" s="105" t="str">
        <f t="shared" si="0"/>
        <v>4037/4038</v>
      </c>
      <c r="L39" s="22" t="str">
        <f>VLOOKUP(A39,'Trips&amp;Operators'!$C$1:$G$99999,5,FALSE)</f>
        <v>OUN ZACK</v>
      </c>
      <c r="M39" s="6">
        <f t="shared" si="1"/>
        <v>2.8553240743349306E-2</v>
      </c>
      <c r="N39" s="7">
        <f t="shared" si="2"/>
        <v>41.116666670423001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-16T05:52:19-0700',mode:absolute,to:'2017-01-16T08:41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39" s="49" t="str">
        <f t="shared" si="6"/>
        <v>N</v>
      </c>
      <c r="X39" s="173">
        <f t="shared" si="7"/>
        <v>1</v>
      </c>
      <c r="Y39" s="64">
        <f t="shared" si="8"/>
        <v>4.3799999999999999E-2</v>
      </c>
      <c r="Z39" s="64">
        <f t="shared" si="9"/>
        <v>23.331199999999999</v>
      </c>
      <c r="AA39" s="64">
        <f t="shared" si="10"/>
        <v>23.287399999999998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0127-16</v>
      </c>
      <c r="AE39" s="87" t="str">
        <f t="shared" si="12"/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AF39" s="84" t="str">
        <f t="shared" si="13"/>
        <v>"C:\Program Files (x86)\AstroGrep\AstroGrep.exe" /spath="%USERPROFILE%\AppData\Local\Temp\OnboardLogs" /stypes="app*4038*20170116*"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127-16 --locoid 4038 --swversion DE.1.0.8.0 --startMP 204:438 --initTime 2017-01-16T06:52:19 --startdatetime 2017-01-16T07:00:16 --delay 1 --endMP 204:233312 --enddatetime 2017-01-16T07:41:23 --enforcementcount 0 &gt;&gt;C:\Users\stu\Documents\GitHub\eaglep3-reporting\EC\2017-01-16-refined-times.txt</v>
      </c>
      <c r="AI39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{"issue":{"subject":"","project_id":79,"tracker_id":40,"status_id":1,"priority_id":2,"assigned_to_id":23,"start_date":"2017-01-16","description":"","custom_fields":[{"id":1,"name":"Subdivision","value":"EC"},{"id":4,"name":"Milepost","value":"23.3312"},{"id":17,"name":"Train ID","value":"127-16"},{"id":16,"name":"Locomotive ID","value":"4038"},{"id":130,"name":"Impact","value":""},{"id":150,"name":"Time of Event (Mountain Time)","value":"07:41:23"},{"id":151,"name":"Denver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4038 --day 2017-01-16</v>
      </c>
      <c r="AN39" s="18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"%USERPROFILE%\AppData\Local\Temp\OnboardLogs"\RTDC4038\*4038*20170116* | grep -SE "(Enforcement Action)|(\[TIMEOUT)|(CHR.+\|PRM\|1\|D.+(SWITCH|SIGNAL).+UNKNOWN)" - &gt;&gt; 2017-01-16-UncaughtWiMAX.txt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554</v>
      </c>
      <c r="B40" s="7">
        <v>4037</v>
      </c>
      <c r="C40" s="22" t="s">
        <v>201</v>
      </c>
      <c r="D40" s="22" t="s">
        <v>284</v>
      </c>
      <c r="E40" s="13">
        <v>42751.325208333335</v>
      </c>
      <c r="F40" s="13">
        <v>42751.330752314818</v>
      </c>
      <c r="G40" s="7">
        <v>1</v>
      </c>
      <c r="H40" s="22" t="s">
        <v>294</v>
      </c>
      <c r="I40" s="13">
        <v>42751.359409722223</v>
      </c>
      <c r="J40" s="7">
        <v>0</v>
      </c>
      <c r="K40" s="105" t="str">
        <f t="shared" si="0"/>
        <v>4037/4038</v>
      </c>
      <c r="L40" s="22" t="str">
        <f>VLOOKUP(A40,'Trips&amp;Operators'!$C$1:$G$99999,5,FALSE)</f>
        <v>OUN ZACK</v>
      </c>
      <c r="M40" s="6">
        <f t="shared" si="1"/>
        <v>2.8657407405262347E-2</v>
      </c>
      <c r="N40" s="7">
        <f t="shared" si="2"/>
        <v>41.26666666357778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-16T06:48:18-0700',mode:absolute,to:'2017-01-16T09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0" s="49" t="str">
        <f t="shared" si="6"/>
        <v>N</v>
      </c>
      <c r="X40" s="173">
        <f t="shared" si="7"/>
        <v>1</v>
      </c>
      <c r="Y40" s="64">
        <f t="shared" si="8"/>
        <v>23.299399999999999</v>
      </c>
      <c r="Z40" s="64">
        <f t="shared" si="9"/>
        <v>1.54E-2</v>
      </c>
      <c r="AA40" s="64">
        <f t="shared" si="10"/>
        <v>23.283999999999999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0128-16</v>
      </c>
      <c r="AE40" s="87" t="str">
        <f t="shared" si="12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40" s="84" t="str">
        <f t="shared" si="13"/>
        <v>"C:\Program Files (x86)\AstroGrep\AstroGrep.exe" /spath="%USERPROFILE%\AppData\Local\Temp\OnboardLogs" /stypes="app*4037*20170116*"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128-16 --locoid 4037 --swversion DE.1.0.8.0 --startMP 204:232994 --initTime 2017-01-16T07:48:18 --startdatetime 2017-01-16T07:56:17 --delay 1 --endMP 204:154 --enddatetime 2017-01-16T08:37:33 --enforcementcount 0 &gt;&gt;C:\Users\stu\Documents\GitHub\eaglep3-reporting\EC\2017-01-16-refined-times.txt</v>
      </c>
      <c r="AI40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{"issue":{"subject":"","project_id":79,"tracker_id":40,"status_id":1,"priority_id":2,"assigned_to_id":23,"start_date":"2017-01-16","description":"","custom_fields":[{"id":1,"name":"Subdivision","value":"EC"},{"id":4,"name":"Milepost","value":"0.0154"},{"id":17,"name":"Train ID","value":"128-16"},{"id":16,"name":"Locomotive ID","value":"4037"},{"id":130,"name":"Impact","value":""},{"id":150,"name":"Time of Event (Mountain Time)","value":"08:37:33"},{"id":151,"name":"Denver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4037 --day 2017-01-16</v>
      </c>
      <c r="AN40" s="18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2017-01-16-UncaughtWiMAX.txt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548</v>
      </c>
      <c r="B41" s="7">
        <v>4029</v>
      </c>
      <c r="C41" s="22" t="s">
        <v>201</v>
      </c>
      <c r="D41" s="22" t="s">
        <v>733</v>
      </c>
      <c r="E41" s="13">
        <v>42751.300821759258</v>
      </c>
      <c r="F41" s="13">
        <v>42751.302268518521</v>
      </c>
      <c r="G41" s="7">
        <v>1</v>
      </c>
      <c r="H41" s="22" t="s">
        <v>751</v>
      </c>
      <c r="I41" s="13">
        <v>42751.328738425924</v>
      </c>
      <c r="J41" s="7">
        <v>0</v>
      </c>
      <c r="K41" s="105" t="str">
        <f t="shared" si="0"/>
        <v>4029/4030</v>
      </c>
      <c r="L41" s="22" t="str">
        <f>VLOOKUP(A41,'Trips&amp;Operators'!$C$1:$G$99999,5,FALSE)</f>
        <v>ROBINSON KADDIBA</v>
      </c>
      <c r="M41" s="6">
        <f t="shared" si="1"/>
        <v>2.6469907403225079E-2</v>
      </c>
      <c r="N41" s="7">
        <f t="shared" si="2"/>
        <v>38.116666660644114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-16T06:13:11-0700',mode:absolute,to:'2017-01-16T08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1" s="49" t="str">
        <f t="shared" si="6"/>
        <v>N</v>
      </c>
      <c r="X41" s="173">
        <f t="shared" si="7"/>
        <v>1</v>
      </c>
      <c r="Y41" s="64">
        <f t="shared" si="8"/>
        <v>4.5999999999999999E-2</v>
      </c>
      <c r="Z41" s="64">
        <f t="shared" si="9"/>
        <v>23.3323</v>
      </c>
      <c r="AA41" s="64">
        <f t="shared" si="10"/>
        <v>23.286300000000001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0129-16</v>
      </c>
      <c r="AE41" s="87" t="str">
        <f t="shared" si="12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41" s="84" t="str">
        <f t="shared" si="13"/>
        <v>"C:\Program Files (x86)\AstroGrep\AstroGrep.exe" /spath="%USERPROFILE%\AppData\Local\Temp\OnboardLogs" /stypes="app*4029*20170116*"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129-16 --locoid 4029 --swversion DE.1.0.8.0 --startMP 204:460 --initTime 2017-01-16T07:13:11 --startdatetime 2017-01-16T07:15:16 --delay 1 --endMP 204:233323 --enddatetime 2017-01-16T07:53:23 --enforcementcount 0 &gt;&gt;C:\Users\stu\Documents\GitHub\eaglep3-reporting\EC\2017-01-16-refined-times.txt</v>
      </c>
      <c r="AI41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{"issue":{"subject":"","project_id":79,"tracker_id":40,"status_id":1,"priority_id":2,"assigned_to_id":23,"start_date":"2017-01-16","description":"","custom_fields":[{"id":1,"name":"Subdivision","value":"EC"},{"id":4,"name":"Milepost","value":"23.3323"},{"id":17,"name":"Train ID","value":"129-16"},{"id":16,"name":"Locomotive ID","value":"4029"},{"id":130,"name":"Impact","value":""},{"id":150,"name":"Time of Event (Mountain Time)","value":"07:53:23"},{"id":151,"name":"Denver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4029 --day 2017-01-16</v>
      </c>
      <c r="AN41" s="18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"%USERPROFILE%\AppData\Local\Temp\OnboardLogs"\RTDC4029\*4029*20170116* | grep -SE "(Enforcement Action)|(\[TIMEOUT)|(CHR.+\|PRM\|1\|D.+(SWITCH|SIGNAL).+UNKNOWN)" - &gt;&gt; 2017-01-16-UncaughtWiMAX.txt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555</v>
      </c>
      <c r="B42" s="7">
        <v>4030</v>
      </c>
      <c r="C42" s="22" t="s">
        <v>201</v>
      </c>
      <c r="D42" s="22" t="s">
        <v>280</v>
      </c>
      <c r="E42" s="13">
        <v>42751.334560185183</v>
      </c>
      <c r="F42" s="13">
        <v>42751.341134259259</v>
      </c>
      <c r="G42" s="7">
        <v>1</v>
      </c>
      <c r="H42" s="22" t="s">
        <v>294</v>
      </c>
      <c r="I42" s="13">
        <v>42751.368703703702</v>
      </c>
      <c r="J42" s="7">
        <v>0</v>
      </c>
      <c r="K42" s="105" t="str">
        <f t="shared" si="0"/>
        <v>4029/4030</v>
      </c>
      <c r="L42" s="22" t="str">
        <f>VLOOKUP(A42,'Trips&amp;Operators'!$C$1:$G$99999,5,FALSE)</f>
        <v>ROBINSON KADDIBA</v>
      </c>
      <c r="M42" s="6">
        <f t="shared" si="1"/>
        <v>2.7569444442633539E-2</v>
      </c>
      <c r="N42" s="7">
        <f t="shared" si="2"/>
        <v>39.699999997392297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-16T07:01:46-0700',mode:absolute,to:'2017-01-16T09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2" s="49" t="str">
        <f t="shared" si="6"/>
        <v>N</v>
      </c>
      <c r="X42" s="173">
        <f t="shared" si="7"/>
        <v>1</v>
      </c>
      <c r="Y42" s="64">
        <f t="shared" si="8"/>
        <v>23.300599999999999</v>
      </c>
      <c r="Z42" s="64">
        <f t="shared" si="9"/>
        <v>1.54E-2</v>
      </c>
      <c r="AA42" s="64">
        <f t="shared" si="10"/>
        <v>23.2852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0130-16</v>
      </c>
      <c r="AE42" s="87" t="str">
        <f t="shared" si="12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42" s="84" t="str">
        <f t="shared" si="13"/>
        <v>"C:\Program Files (x86)\AstroGrep\AstroGrep.exe" /spath="%USERPROFILE%\AppData\Local\Temp\OnboardLogs" /stypes="app*4030*20170116*"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130-16 --locoid 4030 --swversion DE.1.0.8.0 --startMP 204:233006 --initTime 2017-01-16T08:01:46 --startdatetime 2017-01-16T08:11:14 --delay 1 --endMP 204:154 --enddatetime 2017-01-16T08:50:56 --enforcementcount 0 &gt;&gt;C:\Users\stu\Documents\GitHub\eaglep3-reporting\EC\2017-01-16-refined-times.txt</v>
      </c>
      <c r="AI42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{"issue":{"subject":"","project_id":79,"tracker_id":40,"status_id":1,"priority_id":2,"assigned_to_id":23,"start_date":"2017-01-16","description":"","custom_fields":[{"id":1,"name":"Subdivision","value":"EC"},{"id":4,"name":"Milepost","value":"0.0154"},{"id":17,"name":"Train ID","value":"130-16"},{"id":16,"name":"Locomotive ID","value":"4030"},{"id":130,"name":"Impact","value":""},{"id":150,"name":"Time of Event (Mountain Time)","value":"08:50:56"},{"id":151,"name":"Denver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4030 --day 2017-01-16</v>
      </c>
      <c r="AN42" s="18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"%USERPROFILE%\AppData\Local\Temp\OnboardLogs"\RTDC4030\*4030*20170116* | grep -SE "(Enforcement Action)|(\[TIMEOUT)|(CHR.+\|PRM\|1\|D.+(SWITCH|SIGNAL).+UNKNOWN)" - &gt;&gt; 2017-01-16-UncaughtWiMAX.txt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480</v>
      </c>
      <c r="B43" s="7">
        <v>4031</v>
      </c>
      <c r="C43" s="22" t="s">
        <v>201</v>
      </c>
      <c r="D43" s="22" t="s">
        <v>356</v>
      </c>
      <c r="E43" s="13">
        <v>42751.310381944444</v>
      </c>
      <c r="F43" s="13">
        <v>42751.312719907408</v>
      </c>
      <c r="G43" s="7">
        <v>0</v>
      </c>
      <c r="H43" s="22" t="s">
        <v>385</v>
      </c>
      <c r="I43" s="13">
        <v>42751.340428240743</v>
      </c>
      <c r="J43" s="7">
        <v>0</v>
      </c>
      <c r="K43" s="105" t="str">
        <f t="shared" si="0"/>
        <v>4031/4032</v>
      </c>
      <c r="L43" s="22" t="str">
        <f>VLOOKUP(A43,'Trips&amp;Operators'!$C$1:$G$99999,5,FALSE)</f>
        <v>MAELZER KURT</v>
      </c>
      <c r="M43" s="6">
        <f t="shared" si="1"/>
        <v>2.7708333334885538E-2</v>
      </c>
      <c r="N43" s="7">
        <f t="shared" si="2"/>
        <v>39.900000002235174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-16T06:26:57-0700',mode:absolute,to:'2017-01-16T09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3" s="49" t="str">
        <f t="shared" si="6"/>
        <v>N</v>
      </c>
      <c r="X43" s="173">
        <f t="shared" si="7"/>
        <v>1</v>
      </c>
      <c r="Y43" s="64">
        <f t="shared" si="8"/>
        <v>4.7100000000000003E-2</v>
      </c>
      <c r="Z43" s="64">
        <f t="shared" si="9"/>
        <v>23.3339</v>
      </c>
      <c r="AA43" s="64">
        <f t="shared" si="10"/>
        <v>23.286799999999999</v>
      </c>
      <c r="AB43" s="61" t="str">
        <f>VLOOKUP(A43,Enforcements!$C$7:$K$16,8,0)</f>
        <v>Signal based authority (5)</v>
      </c>
      <c r="AC43" s="57" t="str">
        <f>VLOOKUP(A43,Enforcements!$C$7:$E$16,3,0)</f>
        <v>SIGNAL</v>
      </c>
      <c r="AD43" s="58" t="str">
        <f t="shared" si="11"/>
        <v>0131-16</v>
      </c>
      <c r="AE43" s="87" t="str">
        <f t="shared" si="12"/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AF43" s="84" t="str">
        <f t="shared" si="13"/>
        <v>"C:\Program Files (x86)\AstroGrep\AstroGrep.exe" /spath="%USERPROFILE%\AppData\Local\Temp\OnboardLogs" /stypes="app*4031*20170116*"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131-16 --locoid 4031 --swversion DE.1.0.8.0 --startMP 204:471 --initTime 2017-01-16T07:26:57 --startdatetime 2017-01-16T07:30:19 --delay 0 --endMP 204:233339 --enddatetime 2017-01-16T08:10:13 --enforcementcount 0 &gt;&gt;C:\Users\stu\Documents\GitHub\eaglep3-reporting\EC\2017-01-16-refined-times.txt</v>
      </c>
      <c r="AI43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{"issue":{"subject":"","project_id":79,"tracker_id":40,"status_id":1,"priority_id":2,"assigned_to_id":23,"start_date":"2017-01-16","description":"","custom_fields":[{"id":1,"name":"Subdivision","value":"EC"},{"id":4,"name":"Milepost","value":"23.3339"},{"id":17,"name":"Train ID","value":"131-16"},{"id":16,"name":"Locomotive ID","value":"4031"},{"id":130,"name":"Impact","value":""},{"id":150,"name":"Time of Event (Mountain Time)","value":"08:10:13"},{"id":151,"name":"Denver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4031 --day 2017-01-16</v>
      </c>
      <c r="AN43" s="18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"%USERPROFILE%\AppData\Local\Temp\OnboardLogs"\RTDC4031\*4031*20170116* | grep -SE "(Enforcement Action)|(\[TIMEOUT)|(CHR.+\|PRM\|1\|D.+(SWITCH|SIGNAL).+UNKNOWN)" - &gt;&gt; 2017-01-16-UncaughtWiMAX.txt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559</v>
      </c>
      <c r="B44" s="7">
        <v>4032</v>
      </c>
      <c r="C44" s="22" t="s">
        <v>201</v>
      </c>
      <c r="D44" s="22" t="s">
        <v>752</v>
      </c>
      <c r="E44" s="13">
        <v>42751.348449074074</v>
      </c>
      <c r="F44" s="13">
        <v>42751.351585648146</v>
      </c>
      <c r="G44" s="7">
        <v>0</v>
      </c>
      <c r="H44" s="22" t="s">
        <v>349</v>
      </c>
      <c r="I44" s="13">
        <v>42751.378425925926</v>
      </c>
      <c r="J44" s="7">
        <v>0</v>
      </c>
      <c r="K44" s="105" t="str">
        <f t="shared" si="0"/>
        <v>4031/4032</v>
      </c>
      <c r="L44" s="22" t="str">
        <f>VLOOKUP(A44,'Trips&amp;Operators'!$C$1:$G$99999,5,FALSE)</f>
        <v>MAELZER KURT</v>
      </c>
      <c r="M44" s="6">
        <f t="shared" si="1"/>
        <v>2.6840277780138422E-2</v>
      </c>
      <c r="N44" s="7">
        <f t="shared" si="2"/>
        <v>38.650000003399327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-16T07:21:46-0700',mode:absolute,to:'2017-01-16T10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4" s="49" t="str">
        <f t="shared" si="6"/>
        <v>N</v>
      </c>
      <c r="X44" s="173">
        <f t="shared" si="7"/>
        <v>1</v>
      </c>
      <c r="Y44" s="64">
        <f t="shared" si="8"/>
        <v>23.300899999999999</v>
      </c>
      <c r="Z44" s="64">
        <f t="shared" si="9"/>
        <v>1.32E-2</v>
      </c>
      <c r="AA44" s="64">
        <f t="shared" si="10"/>
        <v>23.287699999999997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0132-16</v>
      </c>
      <c r="AE44" s="87" t="str">
        <f t="shared" si="12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44" s="84" t="str">
        <f t="shared" si="13"/>
        <v>"C:\Program Files (x86)\AstroGrep\AstroGrep.exe" /spath="%USERPROFILE%\AppData\Local\Temp\OnboardLogs" /stypes="app*4032*20170116*"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132-16 --locoid 4032 --swversion DE.1.0.8.0 --startMP 204:233009 --initTime 2017-01-16T08:21:46 --startdatetime 2017-01-16T08:26:17 --delay 0 --endMP 204:132 --enddatetime 2017-01-16T09:04:56 --enforcementcount 0 &gt;&gt;C:\Users\stu\Documents\GitHub\eaglep3-reporting\EC\2017-01-16-refined-times.txt</v>
      </c>
      <c r="AI44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{"issue":{"subject":"","project_id":79,"tracker_id":40,"status_id":1,"priority_id":2,"assigned_to_id":23,"start_date":"2017-01-16","description":"","custom_fields":[{"id":1,"name":"Subdivision","value":"EC"},{"id":4,"name":"Milepost","value":"0.0132"},{"id":17,"name":"Train ID","value":"132-16"},{"id":16,"name":"Locomotive ID","value":"4032"},{"id":130,"name":"Impact","value":""},{"id":150,"name":"Time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4032 --day 2017-01-16</v>
      </c>
      <c r="AN44" s="18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"%USERPROFILE%\AppData\Local\Temp\OnboardLogs"\RTDC4032\*4032*20170116* | grep -SE "(Enforcement Action)|(\[TIMEOUT)|(CHR.+\|PRM\|1\|D.+(SWITCH|SIGNAL).+UNKNOWN)" - &gt;&gt; 2017-01-16-UncaughtWiMAX.txt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552</v>
      </c>
      <c r="B45" s="7">
        <v>4016</v>
      </c>
      <c r="C45" s="22" t="s">
        <v>201</v>
      </c>
      <c r="D45" s="22" t="s">
        <v>407</v>
      </c>
      <c r="E45" s="13">
        <v>42751.319166666668</v>
      </c>
      <c r="F45" s="13">
        <v>42751.32309027778</v>
      </c>
      <c r="G45" s="7">
        <v>1</v>
      </c>
      <c r="H45" s="22" t="s">
        <v>753</v>
      </c>
      <c r="I45" s="13">
        <v>42751.35</v>
      </c>
      <c r="J45" s="7">
        <v>0</v>
      </c>
      <c r="K45" s="105" t="str">
        <f t="shared" si="0"/>
        <v>4015/4016</v>
      </c>
      <c r="L45" s="22" t="str">
        <f>VLOOKUP(A45,'Trips&amp;Operators'!$C$1:$G$99999,5,FALSE)</f>
        <v>SPECTOR MICHAEL</v>
      </c>
      <c r="M45" s="6">
        <f t="shared" si="1"/>
        <v>2.6909722218988463E-2</v>
      </c>
      <c r="N45" s="7">
        <f t="shared" si="2"/>
        <v>38.749999995343387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-16T06:39:36-0700',mode:absolute,to:'2017-01-16T09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49" t="str">
        <f t="shared" si="6"/>
        <v>N</v>
      </c>
      <c r="X45" s="173">
        <f t="shared" si="7"/>
        <v>1</v>
      </c>
      <c r="Y45" s="64">
        <f t="shared" si="8"/>
        <v>4.9500000000000002E-2</v>
      </c>
      <c r="Z45" s="64">
        <f t="shared" si="9"/>
        <v>23.334700000000002</v>
      </c>
      <c r="AA45" s="64">
        <f t="shared" si="10"/>
        <v>23.285200000000003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1"/>
        <v>0133-16</v>
      </c>
      <c r="AE45" s="87" t="str">
        <f t="shared" si="12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45" s="84" t="str">
        <f t="shared" si="13"/>
        <v>"C:\Program Files (x86)\AstroGrep\AstroGrep.exe" /spath="%USERPROFILE%\AppData\Local\Temp\OnboardLogs" /stypes="app*4016*20170116*"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133-16 --locoid 4016 --swversion DE.1.0.8.0 --startMP 204:495 --initTime 2017-01-16T07:39:36 --startdatetime 2017-01-16T07:45:15 --delay 1 --endMP 204:233347 --enddatetime 2017-01-16T08:24:00 --enforcementcount 0 &gt;&gt;C:\Users\stu\Documents\GitHub\eaglep3-reporting\EC\2017-01-16-refined-times.txt</v>
      </c>
      <c r="AI45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{"issue":{"subject":"","project_id":79,"tracker_id":40,"status_id":1,"priority_id":2,"assigned_to_id":23,"start_date":"2017-01-16","description":"","custom_fields":[{"id":1,"name":"Subdivision","value":"EC"},{"id":4,"name":"Milepost","value":"23.3347"},{"id":17,"name":"Train ID","value":"133-16"},{"id":16,"name":"Locomotive ID","value":"4016"},{"id":130,"name":"Impact","value":""},{"id":150,"name":"Time of Event (Mountain Time)","value":"08:24:00"},{"id":151,"name":"Denver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4016 --day 2017-01-16</v>
      </c>
      <c r="AN45" s="18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"%USERPROFILE%\AppData\Local\Temp\OnboardLogs"\RTDC4016\*4016*20170116* | grep -SE "(Enforcement Action)|(\[TIMEOUT)|(CHR.+\|PRM\|1\|D.+(SWITCH|SIGNAL).+UNKNOWN)" - &gt;&gt; 2017-01-16-UncaughtWiMAX.txt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562</v>
      </c>
      <c r="B46" s="7">
        <v>4015</v>
      </c>
      <c r="C46" s="22" t="s">
        <v>201</v>
      </c>
      <c r="D46" s="22" t="s">
        <v>415</v>
      </c>
      <c r="E46" s="13">
        <v>42751.357071759259</v>
      </c>
      <c r="F46" s="13">
        <v>42751.361979166664</v>
      </c>
      <c r="G46" s="7">
        <v>1</v>
      </c>
      <c r="H46" s="22" t="s">
        <v>256</v>
      </c>
      <c r="I46" s="13">
        <v>42751.389594907407</v>
      </c>
      <c r="J46" s="7">
        <v>0</v>
      </c>
      <c r="K46" s="105" t="str">
        <f t="shared" si="0"/>
        <v>4015/4016</v>
      </c>
      <c r="L46" s="22" t="str">
        <f>VLOOKUP(A46,'Trips&amp;Operators'!$C$1:$G$99999,5,FALSE)</f>
        <v>SPECTOR MICHAEL</v>
      </c>
      <c r="M46" s="6">
        <f t="shared" si="1"/>
        <v>2.7615740742476191E-2</v>
      </c>
      <c r="N46" s="7">
        <f t="shared" si="2"/>
        <v>39.766666669165716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-16T07:34:11-0700',mode:absolute,to:'2017-01-16T10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49" t="str">
        <f t="shared" si="6"/>
        <v>N</v>
      </c>
      <c r="X46" s="173">
        <f t="shared" si="7"/>
        <v>1</v>
      </c>
      <c r="Y46" s="64">
        <f t="shared" si="8"/>
        <v>23.302499999999998</v>
      </c>
      <c r="Z46" s="64">
        <f t="shared" si="9"/>
        <v>1.52E-2</v>
      </c>
      <c r="AA46" s="64">
        <f t="shared" si="10"/>
        <v>23.287299999999998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0134-16</v>
      </c>
      <c r="AE46" s="87" t="str">
        <f t="shared" si="12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46" s="84" t="str">
        <f t="shared" si="13"/>
        <v>"C:\Program Files (x86)\AstroGrep\AstroGrep.exe" /spath="%USERPROFILE%\AppData\Local\Temp\OnboardLogs" /stypes="app*4015*20170116*"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134-16 --locoid 4015 --swversion DE.1.0.8.0 --startMP 204:233025 --initTime 2017-01-16T08:34:11 --startdatetime 2017-01-16T08:41:15 --delay 1 --endMP 204:152 --enddatetime 2017-01-16T09:21:01 --enforcementcount 0 &gt;&gt;C:\Users\stu\Documents\GitHub\eaglep3-reporting\EC\2017-01-16-refined-times.txt</v>
      </c>
      <c r="AI46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{"issue":{"subject":"","project_id":79,"tracker_id":40,"status_id":1,"priority_id":2,"assigned_to_id":23,"start_date":"2017-01-16","description":"","custom_fields":[{"id":1,"name":"Subdivision","value":"EC"},{"id":4,"name":"Milepost","value":"0.0152"},{"id":17,"name":"Train ID","value":"134-16"},{"id":16,"name":"Locomotive ID","value":"4015"},{"id":130,"name":"Impact","value":""},{"id":150,"name":"Time of Event (Mountain Time)","value":"09:21:01"},{"id":151,"name":"Denver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4015 --day 2017-01-16</v>
      </c>
      <c r="AN46" s="18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2017-01-16-UncaughtWiMAX.txt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482</v>
      </c>
      <c r="B47" s="7">
        <v>4046</v>
      </c>
      <c r="C47" s="22" t="s">
        <v>201</v>
      </c>
      <c r="D47" s="22" t="s">
        <v>237</v>
      </c>
      <c r="E47" s="13">
        <v>42751.331793981481</v>
      </c>
      <c r="F47" s="13">
        <v>42751.334236111114</v>
      </c>
      <c r="G47" s="7">
        <v>1</v>
      </c>
      <c r="H47" s="22" t="s">
        <v>754</v>
      </c>
      <c r="I47" s="13">
        <v>42751.367002314815</v>
      </c>
      <c r="J47" s="7">
        <v>0</v>
      </c>
      <c r="K47" s="105" t="str">
        <f t="shared" si="0"/>
        <v>4045/4046</v>
      </c>
      <c r="L47" s="22" t="str">
        <f>VLOOKUP(A47,'Trips&amp;Operators'!$C$1:$G$99999,5,FALSE)</f>
        <v>SIMMONS SHYHESHA</v>
      </c>
      <c r="M47" s="6">
        <f t="shared" si="1"/>
        <v>3.276620370161254E-2</v>
      </c>
      <c r="N47" s="7">
        <f t="shared" si="2"/>
        <v>47.183333330322057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-16T06:57:47-0700',mode:absolute,to:'2017-01-16T09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49" t="str">
        <f t="shared" si="6"/>
        <v>N</v>
      </c>
      <c r="X47" s="173">
        <f t="shared" si="7"/>
        <v>1</v>
      </c>
      <c r="Y47" s="64">
        <f t="shared" si="8"/>
        <v>4.6399999999999997E-2</v>
      </c>
      <c r="Z47" s="64">
        <f t="shared" si="9"/>
        <v>23.3322</v>
      </c>
      <c r="AA47" s="64">
        <f t="shared" si="10"/>
        <v>23.285800000000002</v>
      </c>
      <c r="AB47" s="61" t="str">
        <f>VLOOKUP(A47,Enforcements!$C$7:$K$16,8,0)</f>
        <v>Signal based authority (5)</v>
      </c>
      <c r="AC47" s="57" t="str">
        <f>VLOOKUP(A47,Enforcements!$C$7:$E$16,3,0)</f>
        <v>SIGNAL</v>
      </c>
      <c r="AD47" s="58" t="str">
        <f t="shared" si="11"/>
        <v>0135-16</v>
      </c>
      <c r="AE47" s="87" t="str">
        <f t="shared" si="12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47" s="84" t="str">
        <f t="shared" si="13"/>
        <v>"C:\Program Files (x86)\AstroGrep\AstroGrep.exe" /spath="%USERPROFILE%\AppData\Local\Temp\OnboardLogs" /stypes="app*4046*20170116*"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135-16 --locoid 4046 --swversion DE.1.0.8.0 --startMP 204:464 --initTime 2017-01-16T07:57:47 --startdatetime 2017-01-16T08:01:18 --delay 1 --endMP 204:233322 --enddatetime 2017-01-16T08:48:29 --enforcementcount 0 &gt;&gt;C:\Users\stu\Documents\GitHub\eaglep3-reporting\EC\2017-01-16-refined-times.txt</v>
      </c>
      <c r="AI47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{"issue":{"subject":"","project_id":79,"tracker_id":40,"status_id":1,"priority_id":2,"assigned_to_id":23,"start_date":"2017-01-16","description":"","custom_fields":[{"id":1,"name":"Subdivision","value":"EC"},{"id":4,"name":"Milepost","value":"23.3322"},{"id":17,"name":"Train ID","value":"135-16"},{"id":16,"name":"Locomotive ID","value":"4046"},{"id":130,"name":"Impact","value":""},{"id":150,"name":"Time of Event (Mountain Time)","value":"08:48:29"},{"id":151,"name":"Denver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4046 --day 2017-01-16</v>
      </c>
      <c r="AN47" s="18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"%USERPROFILE%\AppData\Local\Temp\OnboardLogs"\RTDC4046\*4046*20170116* | grep -SE "(Enforcement Action)|(\[TIMEOUT)|(CHR.+\|PRM\|1\|D.+(SWITCH|SIGNAL).+UNKNOWN)" - &gt;&gt; 2017-01-16-UncaughtWiMAX.txt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564</v>
      </c>
      <c r="B48" s="7">
        <v>4045</v>
      </c>
      <c r="C48" s="22" t="s">
        <v>201</v>
      </c>
      <c r="D48" s="22" t="s">
        <v>744</v>
      </c>
      <c r="E48" s="13">
        <v>42751.368761574071</v>
      </c>
      <c r="F48" s="13">
        <v>42751.372615740744</v>
      </c>
      <c r="G48" s="7">
        <v>2</v>
      </c>
      <c r="H48" s="22" t="s">
        <v>224</v>
      </c>
      <c r="I48" s="13">
        <v>42751.401365740741</v>
      </c>
      <c r="J48" s="7">
        <v>0</v>
      </c>
      <c r="K48" s="105" t="str">
        <f t="shared" si="0"/>
        <v>4045/4046</v>
      </c>
      <c r="L48" s="22" t="str">
        <f>VLOOKUP(A48,'Trips&amp;Operators'!$C$1:$G$99999,5,FALSE)</f>
        <v>SIMMONS SHYHESHA</v>
      </c>
      <c r="M48" s="6">
        <f t="shared" si="1"/>
        <v>2.8749999997671694E-2</v>
      </c>
      <c r="N48" s="7">
        <f t="shared" si="2"/>
        <v>41.399999996647239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-16T07:51:01-0700',mode:absolute,to:'2017-01-16T10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49" t="str">
        <f t="shared" si="6"/>
        <v>N</v>
      </c>
      <c r="X48" s="173">
        <f t="shared" si="7"/>
        <v>1</v>
      </c>
      <c r="Y48" s="64">
        <f t="shared" si="8"/>
        <v>23.299600000000002</v>
      </c>
      <c r="Z48" s="64">
        <f t="shared" si="9"/>
        <v>1.4500000000000001E-2</v>
      </c>
      <c r="AA48" s="64">
        <f t="shared" si="10"/>
        <v>23.2851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0136-16</v>
      </c>
      <c r="AE48" s="87" t="str">
        <f t="shared" si="12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48" s="84" t="str">
        <f t="shared" si="13"/>
        <v>"C:\Program Files (x86)\AstroGrep\AstroGrep.exe" /spath="%USERPROFILE%\AppData\Local\Temp\OnboardLogs" /stypes="app*4045*20170116*"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136-16 --locoid 4045 --swversion DE.1.0.8.0 --startMP 204:232996 --initTime 2017-01-16T08:51:01 --startdatetime 2017-01-16T08:56:34 --delay 2 --endMP 204:145 --enddatetime 2017-01-16T09:37:58 --enforcementcount 0 &gt;&gt;C:\Users\stu\Documents\GitHub\eaglep3-reporting\EC\2017-01-16-refined-times.txt</v>
      </c>
      <c r="AI48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{"issue":{"subject":"","project_id":79,"tracker_id":40,"status_id":1,"priority_id":2,"assigned_to_id":23,"start_date":"2017-01-16","description":"","custom_fields":[{"id":1,"name":"Subdivision","value":"EC"},{"id":4,"name":"Milepost","value":"0.0145"},{"id":17,"name":"Train ID","value":"136-16"},{"id":16,"name":"Locomotive ID","value":"4045"},{"id":130,"name":"Impact","value":""},{"id":150,"name":"Time of Event (Mountain Time)","value":"09:37:58"},{"id":151,"name":"Denver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4045 --day 2017-01-16</v>
      </c>
      <c r="AN48" s="18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558</v>
      </c>
      <c r="B49" s="7">
        <v>4022</v>
      </c>
      <c r="C49" s="22" t="s">
        <v>201</v>
      </c>
      <c r="D49" s="22" t="s">
        <v>755</v>
      </c>
      <c r="E49" s="13">
        <v>42751.342824074076</v>
      </c>
      <c r="F49" s="13">
        <v>42751.344340277778</v>
      </c>
      <c r="G49" s="7">
        <v>1</v>
      </c>
      <c r="H49" s="22" t="s">
        <v>756</v>
      </c>
      <c r="I49" s="13">
        <v>42751.377800925926</v>
      </c>
      <c r="J49" s="7">
        <v>0</v>
      </c>
      <c r="K49" s="105" t="str">
        <f t="shared" si="0"/>
        <v>4021/4022</v>
      </c>
      <c r="L49" s="22" t="str">
        <f>VLOOKUP(A49,'Trips&amp;Operators'!$C$1:$G$99999,5,FALSE)</f>
        <v>SWANSON BRYCE</v>
      </c>
      <c r="M49" s="6">
        <f t="shared" si="1"/>
        <v>3.3460648148320615E-2</v>
      </c>
      <c r="N49" s="7">
        <f t="shared" si="2"/>
        <v>48.183333333581686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-16T07:13:40-0700',mode:absolute,to:'2017-01-16T10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49" t="str">
        <f t="shared" si="6"/>
        <v>N</v>
      </c>
      <c r="X49" s="173">
        <f t="shared" si="7"/>
        <v>1</v>
      </c>
      <c r="Y49" s="64">
        <f t="shared" si="8"/>
        <v>4.1300000000000003E-2</v>
      </c>
      <c r="Z49" s="64">
        <v>23.3</v>
      </c>
      <c r="AA49" s="64">
        <f t="shared" si="10"/>
        <v>23.258700000000001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1"/>
        <v>0137-16</v>
      </c>
      <c r="AE49" s="87" t="str">
        <f t="shared" si="12"/>
        <v>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 &amp; 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</v>
      </c>
      <c r="AF49" s="84" t="str">
        <f t="shared" si="13"/>
        <v>"C:\Program Files (x86)\AstroGrep\AstroGrep.exe" /spath="%USERPROFILE%\AppData\Local\Temp\OnboardLogs" /stypes="app*4022*20170116*"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137-16 --locoid 4022 --swversion DE.1.0.8.0 --startMP 204:413 --initTime 2017-01-16T08:13:40 --startdatetime 2017-01-16T08:15:51 --delay 1 --endMP 204:26679 --enddatetime 2017-01-16T09:04:02 --enforcementcount 0 &gt;&gt;C:\Users\stu\Documents\GitHub\eaglep3-reporting\EC\2017-01-16-refined-times.txt</v>
      </c>
      <c r="AI49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{"issue":{"subject":"","project_id":79,"tracker_id":40,"status_id":1,"priority_id":2,"assigned_to_id":23,"start_date":"2017-01-16","description":"","custom_fields":[{"id":1,"name":"Subdivision","value":"EC"},{"id":4,"name":"Milepost","value":"23.3"},{"id":17,"name":"Train ID","value":"137-16"},{"id":16,"name":"Locomotive ID","value":"4022"},{"id":130,"name":"Impact","value":""},{"id":150,"name":"Time of Event (Mountain Time)","value":"09:04:02"},{"id":151,"name":"Denver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4022 --day 2017-01-16</v>
      </c>
      <c r="AN49" s="18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2017-01-16-UncaughtWiMAX.txt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567</v>
      </c>
      <c r="B50" s="7">
        <v>4021</v>
      </c>
      <c r="C50" s="22" t="s">
        <v>201</v>
      </c>
      <c r="D50" s="22" t="s">
        <v>757</v>
      </c>
      <c r="E50" s="13">
        <v>42751.379745370374</v>
      </c>
      <c r="F50" s="13">
        <v>42751.382905092592</v>
      </c>
      <c r="G50" s="7">
        <v>1</v>
      </c>
      <c r="H50" s="22" t="s">
        <v>259</v>
      </c>
      <c r="I50" s="13">
        <v>42751.41265046296</v>
      </c>
      <c r="J50" s="7">
        <v>0</v>
      </c>
      <c r="K50" s="105" t="str">
        <f t="shared" si="0"/>
        <v>4021/4022</v>
      </c>
      <c r="L50" s="22" t="str">
        <f>VLOOKUP(A50,'Trips&amp;Operators'!$C$1:$G$99999,5,FALSE)</f>
        <v>SWANSON BRYCE</v>
      </c>
      <c r="M50" s="6">
        <f t="shared" si="1"/>
        <v>2.9745370367891155E-2</v>
      </c>
      <c r="N50" s="7">
        <f t="shared" si="2"/>
        <v>42.833333329763263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-16T08:06:50-0700',mode:absolute,to:'2017-01-16T10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49" t="str">
        <f t="shared" si="6"/>
        <v>N</v>
      </c>
      <c r="X50" s="173">
        <f t="shared" si="7"/>
        <v>1</v>
      </c>
      <c r="Y50" s="64">
        <f t="shared" si="8"/>
        <v>23.306799999999999</v>
      </c>
      <c r="Z50" s="64">
        <f t="shared" ref="Z50:Z81" si="21">RIGHT(H50,LEN(H50)-4)/10000</f>
        <v>1.5599999999999999E-2</v>
      </c>
      <c r="AA50" s="64">
        <f t="shared" si="10"/>
        <v>23.2912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0138-16</v>
      </c>
      <c r="AE50" s="87" t="str">
        <f t="shared" si="12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50" s="84" t="str">
        <f t="shared" si="13"/>
        <v>"C:\Program Files (x86)\AstroGrep\AstroGrep.exe" /spath="%USERPROFILE%\AppData\Local\Temp\OnboardLogs" /stypes="app*4021*20170116*"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138-16 --locoid 4021 --swversion DE.1.0.8.0 --startMP 204:233068 --initTime 2017-01-16T09:06:50 --startdatetime 2017-01-16T09:11:23 --delay 1 --endMP 204:156 --enddatetime 2017-01-16T09:54:13 --enforcementcount 0 &gt;&gt;C:\Users\stu\Documents\GitHub\eaglep3-reporting\EC\2017-01-16-refined-times.txt</v>
      </c>
      <c r="AI50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ID","value":"138-16"},{"id":16,"name":"Locomotive ID","value":"4021"},{"id":130,"name":"Impact","value":""},{"id":150,"name":"Time of Event (Mountain Time)","value":"09:54:13"},{"id":151,"name":"Denver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4021 --day 2017-01-16</v>
      </c>
      <c r="AN50" s="18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2017-01-16-UncaughtWiMAX.txt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560</v>
      </c>
      <c r="B51" s="7">
        <v>4003</v>
      </c>
      <c r="C51" s="22" t="s">
        <v>201</v>
      </c>
      <c r="D51" s="22" t="s">
        <v>251</v>
      </c>
      <c r="E51" s="13">
        <v>42751.352060185185</v>
      </c>
      <c r="F51" s="13">
        <v>42751.355706018519</v>
      </c>
      <c r="G51" s="7">
        <v>0</v>
      </c>
      <c r="H51" s="22" t="s">
        <v>279</v>
      </c>
      <c r="I51" s="13">
        <v>42751.38144675926</v>
      </c>
      <c r="J51" s="7">
        <v>0</v>
      </c>
      <c r="K51" s="105" t="str">
        <f t="shared" si="0"/>
        <v>4003/4004</v>
      </c>
      <c r="L51" s="22" t="str">
        <f>VLOOKUP(A51,'Trips&amp;Operators'!$C$1:$G$99999,5,FALSE)</f>
        <v>DUNCAN SHEILA</v>
      </c>
      <c r="M51" s="6">
        <f t="shared" si="1"/>
        <v>2.5740740740729962E-2</v>
      </c>
      <c r="N51" s="7">
        <f t="shared" si="2"/>
        <v>37.066666666651145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-16T07:26:58-0700',mode:absolute,to:'2017-01-16T10:09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49" t="str">
        <f t="shared" si="6"/>
        <v>N</v>
      </c>
      <c r="X51" s="173">
        <f t="shared" si="7"/>
        <v>1</v>
      </c>
      <c r="Y51" s="64">
        <f t="shared" si="8"/>
        <v>4.4900000000000002E-2</v>
      </c>
      <c r="Z51" s="64">
        <f t="shared" si="21"/>
        <v>23.329899999999999</v>
      </c>
      <c r="AA51" s="64">
        <f t="shared" si="10"/>
        <v>23.285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1"/>
        <v>0139-16</v>
      </c>
      <c r="AE51" s="87" t="str">
        <f t="shared" si="12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51" s="84" t="str">
        <f t="shared" si="13"/>
        <v>"C:\Program Files (x86)\AstroGrep\AstroGrep.exe" /spath="%USERPROFILE%\AppData\Local\Temp\OnboardLogs" /stypes="app*4003*20170116*"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139-16 --locoid 4003 --swversion DE.1.0.8.0 --startMP 204:449 --initTime 2017-01-16T08:26:58 --startdatetime 2017-01-16T08:32:13 --delay 0 --endMP 204:233299 --enddatetime 2017-01-16T09:09:17 --enforcementcount 0 &gt;&gt;C:\Users\stu\Documents\GitHub\eaglep3-reporting\EC\2017-01-16-refined-times.txt</v>
      </c>
      <c r="AI51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{"issue":{"subject":"","project_id":79,"tracker_id":40,"status_id":1,"priority_id":2,"assigned_to_id":23,"start_date":"2017-01-16","description":"","custom_fields":[{"id":1,"name":"Subdivision","value":"EC"},{"id":4,"name":"Milepost","value":"23.3299"},{"id":17,"name":"Train ID","value":"139-16"},{"id":16,"name":"Locomotive ID","value":"4003"},{"id":130,"name":"Impact","value":""},{"id":150,"name":"Time of Event (Mountain Time)","value":"09:09:17"},{"id":151,"name":"Denver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4003 --day 2017-01-16</v>
      </c>
      <c r="AN51" s="18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"%USERPROFILE%\AppData\Local\Temp\OnboardLogs"\RTDC4003\*4003*20170116* | grep -SE "(Enforcement Action)|(\[TIMEOUT)|(CHR.+\|PRM\|1\|D.+(SWITCH|SIGNAL).+UNKNOWN)" - &gt;&gt; 2017-01-16-UncaughtWiMAX.txt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485</v>
      </c>
      <c r="B52" s="7">
        <v>4004</v>
      </c>
      <c r="C52" s="22" t="s">
        <v>201</v>
      </c>
      <c r="D52" s="22" t="s">
        <v>390</v>
      </c>
      <c r="E52" s="13">
        <v>42751.383321759262</v>
      </c>
      <c r="F52" s="13">
        <v>42751.393541666665</v>
      </c>
      <c r="G52" s="7">
        <v>3</v>
      </c>
      <c r="H52" s="22" t="s">
        <v>259</v>
      </c>
      <c r="I52" s="13">
        <v>42751.419849537036</v>
      </c>
      <c r="J52" s="7">
        <v>0</v>
      </c>
      <c r="K52" s="105" t="str">
        <f t="shared" si="0"/>
        <v>4003/4004</v>
      </c>
      <c r="L52" s="22" t="str">
        <f>VLOOKUP(A52,'Trips&amp;Operators'!$C$1:$G$99999,5,FALSE)</f>
        <v>DUNCAN SHEILA</v>
      </c>
      <c r="M52" s="6">
        <f t="shared" si="1"/>
        <v>2.6307870371965691E-2</v>
      </c>
      <c r="N52" s="7">
        <f t="shared" si="2"/>
        <v>37.883333335630596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-16T08:11:59-0700',mode:absolute,to:'2017-01-16T11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49" t="str">
        <f t="shared" si="6"/>
        <v>N</v>
      </c>
      <c r="X52" s="173">
        <f t="shared" si="7"/>
        <v>1</v>
      </c>
      <c r="Y52" s="64">
        <f t="shared" si="8"/>
        <v>23.297799999999999</v>
      </c>
      <c r="Z52" s="64">
        <f t="shared" si="21"/>
        <v>1.5599999999999999E-2</v>
      </c>
      <c r="AA52" s="64">
        <f t="shared" si="10"/>
        <v>23.2822</v>
      </c>
      <c r="AB52" s="61" t="str">
        <f>VLOOKUP(A52,Enforcements!$C$7:$K$16,8,0)</f>
        <v>Bulletin (2)</v>
      </c>
      <c r="AC52" s="57" t="str">
        <f>VLOOKUP(A52,Enforcements!$C$7:$E$16,3,0)</f>
        <v>GRADE CROSSING</v>
      </c>
      <c r="AD52" s="58" t="str">
        <f t="shared" si="11"/>
        <v>0140-16</v>
      </c>
      <c r="AE52" s="87" t="str">
        <f t="shared" si="12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52" s="84" t="str">
        <f t="shared" si="13"/>
        <v>"C:\Program Files (x86)\AstroGrep\AstroGrep.exe" /spath="%USERPROFILE%\AppData\Local\Temp\OnboardLogs" /stypes="app*4004*20170116*"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140-16 --locoid 4004 --swversion DE.1.0.8.0 --startMP 204:232978 --initTime 2017-01-16T09:11:59 --startdatetime 2017-01-16T09:26:42 --delay 3 --endMP 204:156 --enddatetime 2017-01-16T10:04:35 --enforcementcount 0 &gt;&gt;C:\Users\stu\Documents\GitHub\eaglep3-reporting\EC\2017-01-16-refined-times.txt</v>
      </c>
      <c r="AI52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ID","value":"140-16"},{"id":16,"name":"Locomotive ID","value":"4004"},{"id":130,"name":"Impact","value":""},{"id":150,"name":"Time of Event (Mountain Time)","value":"10:04:35"},{"id":151,"name":"Denver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4004 --day 2017-01-16</v>
      </c>
      <c r="AN52" s="18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"%USERPROFILE%\AppData\Local\Temp\OnboardLogs"\RTDC4004\*4004*20170116* | grep -SE "(Enforcement Action)|(\[TIMEOUT)|(CHR.+\|PRM\|1\|D.+(SWITCH|SIGNAL).+UNKNOWN)" - &gt;&gt; 2017-01-16-UncaughtWiMAX.txt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563</v>
      </c>
      <c r="B53" s="7">
        <v>4038</v>
      </c>
      <c r="C53" s="22" t="s">
        <v>201</v>
      </c>
      <c r="D53" s="22" t="s">
        <v>269</v>
      </c>
      <c r="E53" s="13">
        <v>42751.36109953704</v>
      </c>
      <c r="F53" s="13">
        <v>42751.364756944444</v>
      </c>
      <c r="G53" s="7">
        <v>1</v>
      </c>
      <c r="H53" s="22" t="s">
        <v>751</v>
      </c>
      <c r="I53" s="13">
        <v>42751.389351851853</v>
      </c>
      <c r="J53" s="7">
        <v>0</v>
      </c>
      <c r="K53" s="105" t="str">
        <f t="shared" si="0"/>
        <v>4037/4038</v>
      </c>
      <c r="L53" s="22" t="str">
        <f>VLOOKUP(A53,'Trips&amp;Operators'!$C$1:$G$99999,5,FALSE)</f>
        <v>OUN ZACK</v>
      </c>
      <c r="M53" s="6">
        <f t="shared" si="1"/>
        <v>2.4594907408754807E-2</v>
      </c>
      <c r="N53" s="7">
        <f t="shared" si="2"/>
        <v>35.416666668606922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-16T07:39:59-0700',mode:absolute,to:'2017-01-16T10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3" s="49" t="str">
        <f t="shared" si="6"/>
        <v>N</v>
      </c>
      <c r="X53" s="173">
        <f t="shared" si="7"/>
        <v>1</v>
      </c>
      <c r="Y53" s="64">
        <f t="shared" si="8"/>
        <v>4.4600000000000001E-2</v>
      </c>
      <c r="Z53" s="64">
        <f t="shared" si="21"/>
        <v>23.3323</v>
      </c>
      <c r="AA53" s="64">
        <f t="shared" si="10"/>
        <v>23.287700000000001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0141-16</v>
      </c>
      <c r="AE53" s="87" t="str">
        <f t="shared" si="12"/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AF53" s="84" t="str">
        <f t="shared" si="13"/>
        <v>"C:\Program Files (x86)\AstroGrep\AstroGrep.exe" /spath="%USERPROFILE%\AppData\Local\Temp\OnboardLogs" /stypes="app*4038*20170116*"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141-16 --locoid 4038 --swversion DE.1.0.8.0 --startMP 204:446 --initTime 2017-01-16T08:39:59 --startdatetime 2017-01-16T08:45:15 --delay 1 --endMP 204:233323 --enddatetime 2017-01-16T09:20:40 --enforcementcount 0 &gt;&gt;C:\Users\stu\Documents\GitHub\eaglep3-reporting\EC\2017-01-16-refined-times.txt</v>
      </c>
      <c r="AI53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{"issue":{"subject":"","project_id":79,"tracker_id":40,"status_id":1,"priority_id":2,"assigned_to_id":23,"start_date":"2017-01-16","description":"","custom_fields":[{"id":1,"name":"Subdivision","value":"EC"},{"id":4,"name":"Milepost","value":"23.3323"},{"id":17,"name":"Train ID","value":"141-16"},{"id":16,"name":"Locomotive ID","value":"4038"},{"id":130,"name":"Impact","value":""},{"id":150,"name":"Time of Event (Mountain Time)","value":"09:20:40"},{"id":151,"name":"Denver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4038 --day 2017-01-16</v>
      </c>
      <c r="AN53" s="18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"%USERPROFILE%\AppData\Local\Temp\OnboardLogs"\RTDC4038\*4038*20170116* | grep -SE "(Enforcement Action)|(\[TIMEOUT)|(CHR.+\|PRM\|1\|D.+(SWITCH|SIGNAL).+UNKNOWN)" - &gt;&gt; 2017-01-16-UncaughtWiMAX.txt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569</v>
      </c>
      <c r="B54" s="7">
        <v>4037</v>
      </c>
      <c r="C54" s="22" t="s">
        <v>201</v>
      </c>
      <c r="D54" s="22" t="s">
        <v>750</v>
      </c>
      <c r="E54" s="13">
        <v>42751.398657407408</v>
      </c>
      <c r="F54" s="13">
        <v>42751.403668981482</v>
      </c>
      <c r="G54" s="7">
        <v>1</v>
      </c>
      <c r="H54" s="22" t="s">
        <v>239</v>
      </c>
      <c r="I54" s="13">
        <v>42751.430717592593</v>
      </c>
      <c r="J54" s="7">
        <v>0</v>
      </c>
      <c r="K54" s="105" t="str">
        <f t="shared" si="0"/>
        <v>4037/4038</v>
      </c>
      <c r="L54" s="22" t="str">
        <f>VLOOKUP(A54,'Trips&amp;Operators'!$C$1:$G$99999,5,FALSE)</f>
        <v>OUN ZACK</v>
      </c>
      <c r="M54" s="6">
        <f t="shared" si="1"/>
        <v>2.7048611111240461E-2</v>
      </c>
      <c r="N54" s="7">
        <f t="shared" si="2"/>
        <v>38.950000000186265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-16T08:34:04-0700',mode:absolute,to:'2017-01-16T11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4" s="49" t="str">
        <f t="shared" si="6"/>
        <v>N</v>
      </c>
      <c r="X54" s="173">
        <f t="shared" si="7"/>
        <v>1</v>
      </c>
      <c r="Y54" s="64">
        <f t="shared" si="8"/>
        <v>23.3</v>
      </c>
      <c r="Z54" s="64">
        <f t="shared" si="21"/>
        <v>1.3899999999999999E-2</v>
      </c>
      <c r="AA54" s="64">
        <f t="shared" si="10"/>
        <v>23.286100000000001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0142-16</v>
      </c>
      <c r="AE54" s="87" t="str">
        <f t="shared" si="12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54" s="84" t="str">
        <f t="shared" si="13"/>
        <v>"C:\Program Files (x86)\AstroGrep\AstroGrep.exe" /spath="%USERPROFILE%\AppData\Local\Temp\OnboardLogs" /stypes="app*4037*20170116*"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142-16 --locoid 4037 --swversion DE.1.0.8.0 --startMP 204:233000 --initTime 2017-01-16T09:34:04 --startdatetime 2017-01-16T09:41:17 --delay 1 --endMP 204:139 --enddatetime 2017-01-16T10:20:14 --enforcementcount 0 &gt;&gt;C:\Users\stu\Documents\GitHub\eaglep3-reporting\EC\2017-01-16-refined-times.txt</v>
      </c>
      <c r="AI54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{"issue":{"subject":"","project_id":79,"tracker_id":40,"status_id":1,"priority_id":2,"assigned_to_id":23,"start_date":"2017-01-16","description":"","custom_fields":[{"id":1,"name":"Subdivision","value":"EC"},{"id":4,"name":"Milepost","value":"0.0139"},{"id":17,"name":"Train ID","value":"142-16"},{"id":16,"name":"Locomotive ID","value":"4037"},{"id":130,"name":"Impact","value":""},{"id":150,"name":"Time of Event (Mountain Time)","value":"10:20:14"},{"id":151,"name":"Denver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4037 --day 2017-01-16</v>
      </c>
      <c r="AN54" s="18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565</v>
      </c>
      <c r="B55" s="7">
        <v>4029</v>
      </c>
      <c r="C55" s="22" t="s">
        <v>201</v>
      </c>
      <c r="D55" s="22" t="s">
        <v>300</v>
      </c>
      <c r="E55" s="13">
        <v>42751.371400462966</v>
      </c>
      <c r="F55" s="13">
        <v>42751.375173611108</v>
      </c>
      <c r="G55" s="7">
        <v>1</v>
      </c>
      <c r="H55" s="22" t="s">
        <v>282</v>
      </c>
      <c r="I55" s="13">
        <v>42751.400023148148</v>
      </c>
      <c r="J55" s="7">
        <v>0</v>
      </c>
      <c r="K55" s="105" t="str">
        <f t="shared" si="0"/>
        <v>4029/4030</v>
      </c>
      <c r="L55" s="22" t="str">
        <f>VLOOKUP(A55,'Trips&amp;Operators'!$C$1:$G$99999,5,FALSE)</f>
        <v>ROBINSON KADDIBA</v>
      </c>
      <c r="M55" s="6">
        <f t="shared" si="1"/>
        <v>2.4849537039699499E-2</v>
      </c>
      <c r="N55" s="7">
        <f t="shared" si="2"/>
        <v>35.783333337167278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-16T07:54:49-0700',mode:absolute,to:'2017-01-16T10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5" s="49" t="str">
        <f t="shared" si="6"/>
        <v>N</v>
      </c>
      <c r="X55" s="173">
        <f t="shared" si="7"/>
        <v>1</v>
      </c>
      <c r="Y55" s="64">
        <f t="shared" si="8"/>
        <v>4.58E-2</v>
      </c>
      <c r="Z55" s="64">
        <f t="shared" si="21"/>
        <v>23.3293</v>
      </c>
      <c r="AA55" s="64">
        <f t="shared" si="10"/>
        <v>23.2835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0143-16</v>
      </c>
      <c r="AE55" s="87" t="str">
        <f t="shared" si="12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55" s="84" t="str">
        <f t="shared" si="13"/>
        <v>"C:\Program Files (x86)\AstroGrep\AstroGrep.exe" /spath="%USERPROFILE%\AppData\Local\Temp\OnboardLogs" /stypes="app*4029*20170116*"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143-16 --locoid 4029 --swversion DE.1.0.8.0 --startMP 204:458 --initTime 2017-01-16T08:54:49 --startdatetime 2017-01-16T09:00:15 --delay 1 --endMP 204:233293 --enddatetime 2017-01-16T09:36:02 --enforcementcount 0 &gt;&gt;C:\Users\stu\Documents\GitHub\eaglep3-reporting\EC\2017-01-16-refined-times.txt</v>
      </c>
      <c r="AI55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{"issue":{"subject":"","project_id":79,"tracker_id":40,"status_id":1,"priority_id":2,"assigned_to_id":23,"start_date":"2017-01-16","description":"","custom_fields":[{"id":1,"name":"Subdivision","value":"EC"},{"id":4,"name":"Milepost","value":"23.3293"},{"id":17,"name":"Train ID","value":"143-16"},{"id":16,"name":"Locomotive ID","value":"4029"},{"id":130,"name":"Impact","value":""},{"id":150,"name":"Time of Event (Mountain Time)","value":"09:36:02"},{"id":151,"name":"Denver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4029 --day 2017-01-16</v>
      </c>
      <c r="AN55" s="18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"%USERPROFILE%\AppData\Local\Temp\OnboardLogs"\RTDC4029\*4029*20170116* | grep -SE "(Enforcement Action)|(\[TIMEOUT)|(CHR.+\|PRM\|1\|D.+(SWITCH|SIGNAL).+UNKNOWN)" - &gt;&gt; 2017-01-16-UncaughtWiMAX.txt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487</v>
      </c>
      <c r="B56" s="7">
        <v>4030</v>
      </c>
      <c r="C56" s="22" t="s">
        <v>201</v>
      </c>
      <c r="D56" s="22" t="s">
        <v>241</v>
      </c>
      <c r="E56" s="13">
        <v>42751.407372685186</v>
      </c>
      <c r="F56" s="13">
        <v>42751.4140625</v>
      </c>
      <c r="G56" s="7">
        <v>1</v>
      </c>
      <c r="H56" s="22" t="s">
        <v>256</v>
      </c>
      <c r="I56" s="13">
        <v>42751.443692129629</v>
      </c>
      <c r="J56" s="7">
        <v>0</v>
      </c>
      <c r="K56" s="105" t="str">
        <f t="shared" si="0"/>
        <v>4029/4030</v>
      </c>
      <c r="L56" s="22" t="str">
        <f>VLOOKUP(A56,'Trips&amp;Operators'!$C$1:$G$99999,5,FALSE)</f>
        <v>ROBINSON KADDIBA</v>
      </c>
      <c r="M56" s="6">
        <f t="shared" si="1"/>
        <v>2.9629629629198462E-2</v>
      </c>
      <c r="N56" s="7">
        <f t="shared" si="2"/>
        <v>42.666666666045785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-16T08:46:37-0700',mode:absolute,to:'2017-01-16T11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6" s="49" t="str">
        <f t="shared" si="6"/>
        <v>N</v>
      </c>
      <c r="X56" s="173">
        <f t="shared" si="7"/>
        <v>1</v>
      </c>
      <c r="Y56" s="64">
        <f t="shared" si="8"/>
        <v>23.297699999999999</v>
      </c>
      <c r="Z56" s="64">
        <f t="shared" si="21"/>
        <v>1.52E-2</v>
      </c>
      <c r="AA56" s="64">
        <f t="shared" si="10"/>
        <v>23.282499999999999</v>
      </c>
      <c r="AB56" s="61" t="str">
        <f>VLOOKUP(A56,Enforcements!$C$7:$K$16,8,0)</f>
        <v>Speed (6)</v>
      </c>
      <c r="AC56" s="57" t="str">
        <f>VLOOKUP(A56,Enforcements!$C$7:$E$16,3,0)</f>
        <v>PERMANENT SPEED RESTRICTION</v>
      </c>
      <c r="AD56" s="58" t="str">
        <f t="shared" si="11"/>
        <v>0144-16</v>
      </c>
      <c r="AE56" s="87" t="str">
        <f t="shared" si="12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56" s="84" t="str">
        <f t="shared" si="13"/>
        <v>"C:\Program Files (x86)\AstroGrep\AstroGrep.exe" /spath="%USERPROFILE%\AppData\Local\Temp\OnboardLogs" /stypes="app*4030*20170116*"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144-16 --locoid 4030 --swversion DE.1.0.8.0 --startMP 204:232977 --initTime 2017-01-16T09:46:37 --startdatetime 2017-01-16T09:56:15 --delay 1 --endMP 204:152 --enddatetime 2017-01-16T10:38:55 --enforcementcount 0 &gt;&gt;C:\Users\stu\Documents\GitHub\eaglep3-reporting\EC\2017-01-16-refined-times.txt</v>
      </c>
      <c r="AI56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{"issue":{"subject":"","project_id":79,"tracker_id":40,"status_id":1,"priority_id":2,"assigned_to_id":23,"start_date":"2017-01-16","description":"","custom_fields":[{"id":1,"name":"Subdivision","value":"EC"},{"id":4,"name":"Milepost","value":"0.0152"},{"id":17,"name":"Train ID","value":"144-16"},{"id":16,"name":"Locomotive ID","value":"4030"},{"id":130,"name":"Impact","value":""},{"id":150,"name":"Time of Event (Mountain Time)","value":"10:38:55"},{"id":151,"name":"Denver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4030 --day 2017-01-16</v>
      </c>
      <c r="AN56" s="18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"%USERPROFILE%\AppData\Local\Temp\OnboardLogs"\RTDC4030\*4030*20170116* | grep -SE "(Enforcement Action)|(\[TIMEOUT)|(CHR.+\|PRM\|1\|D.+(SWITCH|SIGNAL).+UNKNOWN)" - &gt;&gt; 2017-01-16-UncaughtWiMAX.txt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486</v>
      </c>
      <c r="B57" s="7">
        <v>4031</v>
      </c>
      <c r="C57" s="22" t="s">
        <v>201</v>
      </c>
      <c r="D57" s="22" t="s">
        <v>356</v>
      </c>
      <c r="E57" s="13">
        <v>42751.38040509259</v>
      </c>
      <c r="F57" s="13">
        <v>42751.385844907411</v>
      </c>
      <c r="G57" s="7">
        <v>0</v>
      </c>
      <c r="H57" s="22" t="s">
        <v>298</v>
      </c>
      <c r="I57" s="13">
        <v>42751.41306712963</v>
      </c>
      <c r="J57" s="7">
        <v>0</v>
      </c>
      <c r="K57" s="105" t="str">
        <f t="shared" si="0"/>
        <v>4031/4032</v>
      </c>
      <c r="L57" s="22" t="str">
        <f>VLOOKUP(A57,'Trips&amp;Operators'!$C$1:$G$99999,5,FALSE)</f>
        <v>MAELZER KURT</v>
      </c>
      <c r="M57" s="6">
        <f t="shared" si="1"/>
        <v>2.7222222219279502E-2</v>
      </c>
      <c r="N57" s="7">
        <f t="shared" si="2"/>
        <v>39.199999995762482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-16T08:07:47-0700',mode:absolute,to:'2017-01-16T10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7" s="49" t="str">
        <f t="shared" si="6"/>
        <v>N</v>
      </c>
      <c r="X57" s="173">
        <f t="shared" si="7"/>
        <v>1</v>
      </c>
      <c r="Y57" s="64">
        <f t="shared" si="8"/>
        <v>4.7100000000000003E-2</v>
      </c>
      <c r="Z57" s="64">
        <f t="shared" si="21"/>
        <v>23.331199999999999</v>
      </c>
      <c r="AA57" s="64">
        <f t="shared" si="10"/>
        <v>23.284099999999999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1"/>
        <v>0145-16</v>
      </c>
      <c r="AE57" s="87" t="str">
        <f t="shared" si="12"/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AF57" s="84" t="str">
        <f t="shared" si="13"/>
        <v>"C:\Program Files (x86)\AstroGrep\AstroGrep.exe" /spath="%USERPROFILE%\AppData\Local\Temp\OnboardLogs" /stypes="app*4031*20170116*"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145-16 --locoid 4031 --swversion DE.1.0.8.0 --startMP 204:471 --initTime 2017-01-16T09:07:47 --startdatetime 2017-01-16T09:15:37 --delay 0 --endMP 204:233312 --enddatetime 2017-01-16T09:54:49 --enforcementcount 0 &gt;&gt;C:\Users\stu\Documents\GitHub\eaglep3-reporting\EC\2017-01-16-refined-times.txt</v>
      </c>
      <c r="AI57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{"issue":{"subject":"","project_id":79,"tracker_id":40,"status_id":1,"priority_id":2,"assigned_to_id":23,"start_date":"2017-01-16","description":"","custom_fields":[{"id":1,"name":"Subdivision","value":"EC"},{"id":4,"name":"Milepost","value":"23.3312"},{"id":17,"name":"Train ID","value":"145-16"},{"id":16,"name":"Locomotive ID","value":"4031"},{"id":130,"name":"Impact","value":""},{"id":150,"name":"Time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4031 --day 2017-01-16</v>
      </c>
      <c r="AN57" s="18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"%USERPROFILE%\AppData\Local\Temp\OnboardLogs"\RTDC4031\*4031*20170116* | grep -SE "(Enforcement Action)|(\[TIMEOUT)|(CHR.+\|PRM\|1\|D.+(SWITCH|SIGNAL).+UNKNOWN)" - &gt;&gt; 2017-01-16-UncaughtWiMAX.txt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488</v>
      </c>
      <c r="B58" s="7">
        <v>4032</v>
      </c>
      <c r="C58" s="22" t="s">
        <v>201</v>
      </c>
      <c r="D58" s="22" t="s">
        <v>750</v>
      </c>
      <c r="E58" s="13">
        <v>42751.418032407404</v>
      </c>
      <c r="F58" s="13">
        <v>42751.424675925926</v>
      </c>
      <c r="G58" s="7">
        <v>0</v>
      </c>
      <c r="H58" s="22" t="s">
        <v>737</v>
      </c>
      <c r="I58" s="13">
        <v>42751.452418981484</v>
      </c>
      <c r="J58" s="7">
        <v>0</v>
      </c>
      <c r="K58" s="105" t="str">
        <f t="shared" si="0"/>
        <v>4031/4032</v>
      </c>
      <c r="L58" s="22" t="str">
        <f>VLOOKUP(A58,'Trips&amp;Operators'!$C$1:$G$99999,5,FALSE)</f>
        <v>MAELZER KURT</v>
      </c>
      <c r="M58" s="6">
        <f t="shared" si="1"/>
        <v>2.7743055557948537E-2</v>
      </c>
      <c r="N58" s="7">
        <f t="shared" si="2"/>
        <v>39.950000003445894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-16T09:01:58-0700',mode:absolute,to:'2017-01-16T11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8" s="49" t="str">
        <f t="shared" si="6"/>
        <v>N</v>
      </c>
      <c r="X58" s="173">
        <f t="shared" si="7"/>
        <v>1</v>
      </c>
      <c r="Y58" s="64">
        <f t="shared" si="8"/>
        <v>23.3</v>
      </c>
      <c r="Z58" s="64">
        <f t="shared" si="21"/>
        <v>1.41E-2</v>
      </c>
      <c r="AA58" s="64">
        <f t="shared" si="10"/>
        <v>23.285900000000002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0146-16</v>
      </c>
      <c r="AE58" s="87" t="str">
        <f t="shared" si="12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58" s="84" t="str">
        <f t="shared" si="13"/>
        <v>"C:\Program Files (x86)\AstroGrep\AstroGrep.exe" /spath="%USERPROFILE%\AppData\Local\Temp\OnboardLogs" /stypes="app*4032*20170116*"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146-16 --locoid 4032 --swversion DE.1.0.8.0 --startMP 204:233000 --initTime 2017-01-16T10:01:58 --startdatetime 2017-01-16T10:11:32 --delay 0 --endMP 204:141 --enddatetime 2017-01-16T10:51:29 --enforcementcount 0 &gt;&gt;C:\Users\stu\Documents\GitHub\eaglep3-reporting\EC\2017-01-16-refined-times.txt</v>
      </c>
      <c r="AI58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{"issue":{"subject":"","project_id":79,"tracker_id":40,"status_id":1,"priority_id":2,"assigned_to_id":23,"start_date":"2017-01-16","description":"","custom_fields":[{"id":1,"name":"Subdivision","value":"EC"},{"id":4,"name":"Milepost","value":"0.0141"},{"id":17,"name":"Train ID","value":"146-16"},{"id":16,"name":"Locomotive ID","value":"4032"},{"id":130,"name":"Impact","value":""},{"id":150,"name":"Time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4032 --day 2017-01-16</v>
      </c>
      <c r="AN58" s="18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"%USERPROFILE%\AppData\Local\Temp\OnboardLogs"\RTDC4032\*4032*20170116* | grep -SE "(Enforcement Action)|(\[TIMEOUT)|(CHR.+\|PRM\|1\|D.+(SWITCH|SIGNAL).+UNKNOWN)" - &gt;&gt; 2017-01-16-UncaughtWiMAX.txt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568</v>
      </c>
      <c r="B59" s="7">
        <v>4016</v>
      </c>
      <c r="C59" s="22" t="s">
        <v>201</v>
      </c>
      <c r="D59" s="22" t="s">
        <v>286</v>
      </c>
      <c r="E59" s="13">
        <v>42751.392754629633</v>
      </c>
      <c r="F59" s="13">
        <v>42751.395995370367</v>
      </c>
      <c r="G59" s="7">
        <v>1</v>
      </c>
      <c r="H59" s="22" t="s">
        <v>758</v>
      </c>
      <c r="I59" s="13">
        <v>42751.42255787037</v>
      </c>
      <c r="J59" s="7">
        <v>0</v>
      </c>
      <c r="K59" s="105" t="str">
        <f t="shared" si="0"/>
        <v>4015/4016</v>
      </c>
      <c r="L59" s="22" t="str">
        <f>VLOOKUP(A59,'Trips&amp;Operators'!$C$1:$G$99999,5,FALSE)</f>
        <v>STARKS ANGELINA</v>
      </c>
      <c r="M59" s="6">
        <f t="shared" si="1"/>
        <v>2.6562500002910383E-2</v>
      </c>
      <c r="N59" s="7">
        <f t="shared" si="2"/>
        <v>38.250000004190952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-16T08:25:34-0700',mode:absolute,to:'2017-01-16T11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49" t="str">
        <f t="shared" si="6"/>
        <v>N</v>
      </c>
      <c r="X59" s="173">
        <f t="shared" si="7"/>
        <v>1</v>
      </c>
      <c r="Y59" s="64">
        <f t="shared" si="8"/>
        <v>4.3799999999999999E-2</v>
      </c>
      <c r="Z59" s="64">
        <f t="shared" si="21"/>
        <v>23.328199999999999</v>
      </c>
      <c r="AA59" s="64">
        <f t="shared" si="10"/>
        <v>23.284399999999998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1"/>
        <v>0147-16</v>
      </c>
      <c r="AE59" s="87" t="str">
        <f t="shared" si="12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59" s="84" t="str">
        <f t="shared" si="13"/>
        <v>"C:\Program Files (x86)\AstroGrep\AstroGrep.exe" /spath="%USERPROFILE%\AppData\Local\Temp\OnboardLogs" /stypes="app*4016*20170116*"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147-16 --locoid 4016 --swversion DE.1.0.8.0 --startMP 204:438 --initTime 2017-01-16T09:25:34 --startdatetime 2017-01-16T09:30:14 --delay 1 --endMP 204:233282 --enddatetime 2017-01-16T10:08:29 --enforcementcount 0 &gt;&gt;C:\Users\stu\Documents\GitHub\eaglep3-reporting\EC\2017-01-16-refined-times.txt</v>
      </c>
      <c r="AI59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{"issue":{"subject":"","project_id":79,"tracker_id":40,"status_id":1,"priority_id":2,"assigned_to_id":23,"start_date":"2017-01-16","description":"","custom_fields":[{"id":1,"name":"Subdivision","value":"EC"},{"id":4,"name":"Milepost","value":"23.3282"},{"id":17,"name":"Train ID","value":"147-16"},{"id":16,"name":"Locomotive ID","value":"4016"},{"id":130,"name":"Impact","value":""},{"id":150,"name":"Time of Event (Mountain Time)","value":"10:08:29"},{"id":151,"name":"Denver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4016 --day 2017-01-16</v>
      </c>
      <c r="AN59" s="18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"%USERPROFILE%\AppData\Local\Temp\OnboardLogs"\RTDC4016\*4016*20170116* | grep -SE "(Enforcement Action)|(\[TIMEOUT)|(CHR.+\|PRM\|1\|D.+(SWITCH|SIGNAL).+UNKNOWN)" - &gt;&gt; 2017-01-16-UncaughtWiMAX.txt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576</v>
      </c>
      <c r="B60" s="7">
        <v>4015</v>
      </c>
      <c r="C60" s="22" t="s">
        <v>201</v>
      </c>
      <c r="D60" s="22" t="s">
        <v>759</v>
      </c>
      <c r="E60" s="13">
        <v>42751.432893518519</v>
      </c>
      <c r="F60" s="13">
        <v>42751.434942129628</v>
      </c>
      <c r="G60" s="7">
        <v>1</v>
      </c>
      <c r="H60" s="22" t="s">
        <v>294</v>
      </c>
      <c r="I60" s="13">
        <v>42751.463391203702</v>
      </c>
      <c r="J60" s="7">
        <v>0</v>
      </c>
      <c r="K60" s="105" t="str">
        <f t="shared" si="0"/>
        <v>4015/4016</v>
      </c>
      <c r="L60" s="22" t="str">
        <f>VLOOKUP(A60,'Trips&amp;Operators'!$C$1:$G$99999,5,FALSE)</f>
        <v>STARKS ANGELINA</v>
      </c>
      <c r="M60" s="6">
        <f t="shared" si="1"/>
        <v>2.8449074074160308E-2</v>
      </c>
      <c r="N60" s="7">
        <f t="shared" si="2"/>
        <v>40.966666666790843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-16T09:23:22-0700',mode:absolute,to:'2017-01-16T12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49" t="str">
        <f t="shared" si="6"/>
        <v>N</v>
      </c>
      <c r="X60" s="173">
        <f t="shared" si="7"/>
        <v>1</v>
      </c>
      <c r="Y60" s="64">
        <f t="shared" si="8"/>
        <v>23.299199999999999</v>
      </c>
      <c r="Z60" s="64">
        <f t="shared" si="21"/>
        <v>1.54E-2</v>
      </c>
      <c r="AA60" s="64">
        <f t="shared" si="10"/>
        <v>23.283799999999999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0148-16</v>
      </c>
      <c r="AE60" s="87" t="str">
        <f t="shared" si="12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60" s="84" t="str">
        <f t="shared" si="13"/>
        <v>"C:\Program Files (x86)\AstroGrep\AstroGrep.exe" /spath="%USERPROFILE%\AppData\Local\Temp\OnboardLogs" /stypes="app*4015*20170116*"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148-16 --locoid 4015 --swversion DE.1.0.8.0 --startMP 204:232992 --initTime 2017-01-16T10:23:22 --startdatetime 2017-01-16T10:26:19 --delay 1 --endMP 204:154 --enddatetime 2017-01-16T11:07:17 --enforcementcount 0 &gt;&gt;C:\Users\stu\Documents\GitHub\eaglep3-reporting\EC\2017-01-16-refined-times.txt</v>
      </c>
      <c r="AI60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{"issue":{"subject":"","project_id":79,"tracker_id":40,"status_id":1,"priority_id":2,"assigned_to_id":23,"start_date":"2017-01-16","description":"","custom_fields":[{"id":1,"name":"Subdivision","value":"EC"},{"id":4,"name":"Milepost","value":"0.0154"},{"id":17,"name":"Train ID","value":"148-16"},{"id":16,"name":"Locomotive ID","value":"4015"},{"id":130,"name":"Impact","value":""},{"id":150,"name":"Time of Event (Mountain Time)","value":"11:07:17"},{"id":151,"name":"Denver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4015 --day 2017-01-16</v>
      </c>
      <c r="AN60" s="18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570</v>
      </c>
      <c r="B61" s="7">
        <v>4046</v>
      </c>
      <c r="C61" s="22" t="s">
        <v>201</v>
      </c>
      <c r="D61" s="22" t="s">
        <v>760</v>
      </c>
      <c r="E61" s="13">
        <v>42751.403460648151</v>
      </c>
      <c r="F61" s="13">
        <v>42751.406423611108</v>
      </c>
      <c r="G61" s="7">
        <v>1</v>
      </c>
      <c r="H61" s="22" t="s">
        <v>748</v>
      </c>
      <c r="I61" s="13">
        <v>42751.430972222224</v>
      </c>
      <c r="J61" s="7">
        <v>0</v>
      </c>
      <c r="K61" s="105" t="str">
        <f t="shared" si="0"/>
        <v>4045/4046</v>
      </c>
      <c r="L61" s="22" t="str">
        <f>VLOOKUP(A61,'Trips&amp;Operators'!$C$1:$G$99999,5,FALSE)</f>
        <v>YANAI IAN</v>
      </c>
      <c r="M61" s="6">
        <f t="shared" si="1"/>
        <v>2.4548611116188113E-2</v>
      </c>
      <c r="N61" s="7">
        <f t="shared" si="2"/>
        <v>35.350000007310882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-16T08:40:59-0700',mode:absolute,to:'2017-01-16T11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49" t="str">
        <f t="shared" si="6"/>
        <v>N</v>
      </c>
      <c r="X61" s="173">
        <f t="shared" si="7"/>
        <v>1</v>
      </c>
      <c r="Y61" s="64">
        <f t="shared" si="8"/>
        <v>4.6699999999999998E-2</v>
      </c>
      <c r="Z61" s="64">
        <f t="shared" si="21"/>
        <v>23.331399999999999</v>
      </c>
      <c r="AA61" s="64">
        <f t="shared" si="10"/>
        <v>23.284699999999997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1"/>
        <v>0149-16</v>
      </c>
      <c r="AE61" s="87" t="str">
        <f t="shared" si="12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61" s="84" t="str">
        <f t="shared" si="13"/>
        <v>"C:\Program Files (x86)\AstroGrep\AstroGrep.exe" /spath="%USERPROFILE%\AppData\Local\Temp\OnboardLogs" /stypes="app*4046*20170116*"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149-16 --locoid 4046 --swversion DE.1.0.8.0 --startMP 204:467 --initTime 2017-01-16T09:40:59 --startdatetime 2017-01-16T09:45:15 --delay 1 --endMP 204:233314 --enddatetime 2017-01-16T10:20:36 --enforcementcount 0 &gt;&gt;C:\Users\stu\Documents\GitHub\eaglep3-reporting\EC\2017-01-16-refined-times.txt</v>
      </c>
      <c r="AI61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{"issue":{"subject":"","project_id":79,"tracker_id":40,"status_id":1,"priority_id":2,"assigned_to_id":23,"start_date":"2017-01-16","description":"","custom_fields":[{"id":1,"name":"Subdivision","value":"EC"},{"id":4,"name":"Milepost","value":"23.3314"},{"id":17,"name":"Train ID","value":"149-16"},{"id":16,"name":"Locomotive ID","value":"4046"},{"id":130,"name":"Impact","value":""},{"id":150,"name":"Time of Event (Mountain Time)","value":"10:20:36"},{"id":151,"name":"Denver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4046 --day 2017-01-16</v>
      </c>
      <c r="AN61" s="18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"%USERPROFILE%\AppData\Local\Temp\OnboardLogs"\RTDC4046\*4046*20170116* | grep -SE "(Enforcement Action)|(\[TIMEOUT)|(CHR.+\|PRM\|1\|D.+(SWITCH|SIGNAL).+UNKNOWN)" - &gt;&gt; 2017-01-16-UncaughtWiMAX.txt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577</v>
      </c>
      <c r="B62" s="7">
        <v>4045</v>
      </c>
      <c r="C62" s="22" t="s">
        <v>201</v>
      </c>
      <c r="D62" s="22" t="s">
        <v>280</v>
      </c>
      <c r="E62" s="13">
        <v>42751.433310185188</v>
      </c>
      <c r="F62" s="13">
        <v>42751.445370370369</v>
      </c>
      <c r="G62" s="7">
        <v>1</v>
      </c>
      <c r="H62" s="22" t="s">
        <v>256</v>
      </c>
      <c r="I62" s="13">
        <v>42751.471875000003</v>
      </c>
      <c r="J62" s="7">
        <v>0</v>
      </c>
      <c r="K62" s="105" t="str">
        <f t="shared" si="0"/>
        <v>4045/4046</v>
      </c>
      <c r="L62" s="22" t="str">
        <f>VLOOKUP(A62,'Trips&amp;Operators'!$C$1:$G$99999,5,FALSE)</f>
        <v>YANAI IAN</v>
      </c>
      <c r="M62" s="6">
        <f t="shared" si="1"/>
        <v>2.6504629633564036E-2</v>
      </c>
      <c r="N62" s="7">
        <f t="shared" si="2"/>
        <v>38.166666672332212</v>
      </c>
      <c r="O62" s="7"/>
      <c r="P62" s="7"/>
      <c r="Q62" s="23"/>
      <c r="R62" s="23"/>
      <c r="S62" s="32">
        <f t="shared" si="3"/>
        <v>1</v>
      </c>
      <c r="T62" s="47" t="str">
        <f t="shared" si="4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-16T09:23:58-0700',mode:absolute,to:'2017-01-16T12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49" t="str">
        <f t="shared" si="6"/>
        <v>N</v>
      </c>
      <c r="X62" s="173">
        <f t="shared" si="7"/>
        <v>1</v>
      </c>
      <c r="Y62" s="64">
        <f t="shared" si="8"/>
        <v>23.300599999999999</v>
      </c>
      <c r="Z62" s="64">
        <f t="shared" si="21"/>
        <v>1.52E-2</v>
      </c>
      <c r="AA62" s="64">
        <f t="shared" si="10"/>
        <v>23.285399999999999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0150-16</v>
      </c>
      <c r="AE62" s="87" t="str">
        <f t="shared" si="12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62" s="84" t="str">
        <f t="shared" si="13"/>
        <v>"C:\Program Files (x86)\AstroGrep\AstroGrep.exe" /spath="%USERPROFILE%\AppData\Local\Temp\OnboardLogs" /stypes="app*4045*20170116*"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150-16 --locoid 4045 --swversion DE.1.0.8.0 --startMP 204:233006 --initTime 2017-01-16T10:23:58 --startdatetime 2017-01-16T10:41:20 --delay 1 --endMP 204:152 --enddatetime 2017-01-16T11:19:30 --enforcementcount 0 &gt;&gt;C:\Users\stu\Documents\GitHub\eaglep3-reporting\EC\2017-01-16-refined-times.txt</v>
      </c>
      <c r="AI62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{"issue":{"subject":"","project_id":79,"tracker_id":40,"status_id":1,"priority_id":2,"assigned_to_id":23,"start_date":"2017-01-16","description":"","custom_fields":[{"id":1,"name":"Subdivision","value":"EC"},{"id":4,"name":"Milepost","value":"0.0152"},{"id":17,"name":"Train ID","value":"150-16"},{"id":16,"name":"Locomotive ID","value":"4045"},{"id":130,"name":"Impact","value":""},{"id":150,"name":"Time of Event (Mountain Time)","value":"11:19:30"},{"id":151,"name":"Denver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4045 --day 2017-01-16</v>
      </c>
      <c r="AN62" s="18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573</v>
      </c>
      <c r="B63" s="7">
        <v>4022</v>
      </c>
      <c r="C63" s="22" t="s">
        <v>201</v>
      </c>
      <c r="D63" s="22" t="s">
        <v>251</v>
      </c>
      <c r="E63" s="13">
        <v>42751.414097222223</v>
      </c>
      <c r="F63" s="13">
        <v>42751.416921296295</v>
      </c>
      <c r="G63" s="7">
        <v>1</v>
      </c>
      <c r="H63" s="22" t="s">
        <v>735</v>
      </c>
      <c r="I63" s="13">
        <v>42751.443715277775</v>
      </c>
      <c r="J63" s="7">
        <v>0</v>
      </c>
      <c r="K63" s="105" t="str">
        <f t="shared" si="0"/>
        <v>4021/4022</v>
      </c>
      <c r="L63" s="22" t="str">
        <f>VLOOKUP(A63,'Trips&amp;Operators'!$C$1:$G$99999,5,FALSE)</f>
        <v>SWANSON BRYCE</v>
      </c>
      <c r="M63" s="6">
        <f t="shared" si="1"/>
        <v>2.679398148029577E-2</v>
      </c>
      <c r="N63" s="7">
        <f t="shared" si="2"/>
        <v>38.583333331625909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-16T08:56:18-0700',mode:absolute,to:'2017-01-16T11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49" t="str">
        <f t="shared" si="6"/>
        <v>N</v>
      </c>
      <c r="X63" s="173">
        <f t="shared" si="7"/>
        <v>1</v>
      </c>
      <c r="Y63" s="64">
        <f t="shared" si="8"/>
        <v>4.4900000000000002E-2</v>
      </c>
      <c r="Z63" s="64">
        <f t="shared" si="21"/>
        <v>23.335699999999999</v>
      </c>
      <c r="AA63" s="64">
        <f t="shared" si="10"/>
        <v>23.290800000000001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0151-16</v>
      </c>
      <c r="AE63" s="87" t="str">
        <f t="shared" si="12"/>
        <v>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 &amp; 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</v>
      </c>
      <c r="AF63" s="84" t="str">
        <f t="shared" si="13"/>
        <v>"C:\Program Files (x86)\AstroGrep\AstroGrep.exe" /spath="%USERPROFILE%\AppData\Local\Temp\OnboardLogs" /stypes="app*4022*20170116*"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151-16 --locoid 4022 --swversion DE.1.0.8.0 --startMP 204:449 --initTime 2017-01-16T09:56:18 --startdatetime 2017-01-16T10:00:22 --delay 1 --endMP 204:233357 --enddatetime 2017-01-16T10:38:57 --enforcementcount 0 &gt;&gt;C:\Users\stu\Documents\GitHub\eaglep3-reporting\EC\2017-01-16-refined-times.txt</v>
      </c>
      <c r="AI63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{"issue":{"subject":"","project_id":79,"tracker_id":40,"status_id":1,"priority_id":2,"assigned_to_id":23,"start_date":"2017-01-16","description":"","custom_fields":[{"id":1,"name":"Subdivision","value":"EC"},{"id":4,"name":"Milepost","value":"23.3357"},{"id":17,"name":"Train ID","value":"151-16"},{"id":16,"name":"Locomotive ID","value":"4022"},{"id":130,"name":"Impact","value":""},{"id":150,"name":"Time of Event (Mountain Time)","value":"10:38:57"},{"id":151,"name":"Denver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4022 --day 2017-01-16</v>
      </c>
      <c r="AN63" s="18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580</v>
      </c>
      <c r="B64" s="7">
        <v>4021</v>
      </c>
      <c r="C64" s="22" t="s">
        <v>201</v>
      </c>
      <c r="D64" s="22" t="s">
        <v>761</v>
      </c>
      <c r="E64" s="13">
        <v>42751.445856481485</v>
      </c>
      <c r="F64" s="13">
        <v>42751.455925925926</v>
      </c>
      <c r="G64" s="7">
        <v>2</v>
      </c>
      <c r="H64" s="22" t="s">
        <v>762</v>
      </c>
      <c r="I64" s="13">
        <v>42751.484432870369</v>
      </c>
      <c r="J64" s="7">
        <v>0</v>
      </c>
      <c r="K64" s="105" t="str">
        <f t="shared" si="0"/>
        <v>4021/4022</v>
      </c>
      <c r="L64" s="22" t="str">
        <f>VLOOKUP(A64,'Trips&amp;Operators'!$C$1:$G$99999,5,FALSE)</f>
        <v>SWANSON BRYCE</v>
      </c>
      <c r="M64" s="6">
        <f t="shared" si="1"/>
        <v>2.8506944443506654E-2</v>
      </c>
      <c r="N64" s="7">
        <f t="shared" si="2"/>
        <v>41.049999998649582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-16T09:42:02-0700',mode:absolute,to:'2017-01-16T12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49" t="str">
        <f t="shared" si="6"/>
        <v>N</v>
      </c>
      <c r="X64" s="173">
        <f t="shared" si="7"/>
        <v>1</v>
      </c>
      <c r="Y64" s="64">
        <f t="shared" si="8"/>
        <v>23.302099999999999</v>
      </c>
      <c r="Z64" s="64">
        <f t="shared" si="21"/>
        <v>1.7600000000000001E-2</v>
      </c>
      <c r="AA64" s="64">
        <f t="shared" si="10"/>
        <v>23.284499999999998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1"/>
        <v>0152-16</v>
      </c>
      <c r="AE64" s="87" t="str">
        <f t="shared" si="12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64" s="84" t="str">
        <f t="shared" si="13"/>
        <v>"C:\Program Files (x86)\AstroGrep\AstroGrep.exe" /spath="%USERPROFILE%\AppData\Local\Temp\OnboardLogs" /stypes="app*4021*20170116*"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152-16 --locoid 4021 --swversion DE.1.0.8.0 --startMP 204:233021 --initTime 2017-01-16T10:42:02 --startdatetime 2017-01-16T10:56:32 --delay 2 --endMP 204:176 --enddatetime 2017-01-16T11:37:35 --enforcementcount 0 &gt;&gt;C:\Users\stu\Documents\GitHub\eaglep3-reporting\EC\2017-01-16-refined-times.txt</v>
      </c>
      <c r="AI64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{"issue":{"subject":"","project_id":79,"tracker_id":40,"status_id":1,"priority_id":2,"assigned_to_id":23,"start_date":"2017-01-16","description":"","custom_fields":[{"id":1,"name":"Subdivision","value":"EC"},{"id":4,"name":"Milepost","value":"0.0176"},{"id":17,"name":"Train ID","value":"152-16"},{"id":16,"name":"Locomotive ID","value":"4021"},{"id":130,"name":"Impact","value":""},{"id":150,"name":"Time of Event (Mountain Time)","value":"11:37:35"},{"id":151,"name":"Denver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4021 --day 2017-01-16</v>
      </c>
      <c r="AN64" s="18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574</v>
      </c>
      <c r="B65" s="7">
        <v>4003</v>
      </c>
      <c r="C65" s="22" t="s">
        <v>201</v>
      </c>
      <c r="D65" s="22" t="s">
        <v>236</v>
      </c>
      <c r="E65" s="13">
        <v>42751.421273148146</v>
      </c>
      <c r="F65" s="13">
        <v>42751.427291666667</v>
      </c>
      <c r="G65" s="7">
        <v>1</v>
      </c>
      <c r="H65" s="22" t="s">
        <v>763</v>
      </c>
      <c r="I65" s="13">
        <v>42751.451666666668</v>
      </c>
      <c r="J65" s="7">
        <v>0</v>
      </c>
      <c r="K65" s="105" t="str">
        <f t="shared" si="0"/>
        <v>4003/4004</v>
      </c>
      <c r="L65" s="22" t="str">
        <f>VLOOKUP(A65,'Trips&amp;Operators'!$C$1:$G$99999,5,FALSE)</f>
        <v>DUNCAN SHEILA</v>
      </c>
      <c r="M65" s="6">
        <f t="shared" si="1"/>
        <v>2.4375000000873115E-2</v>
      </c>
      <c r="N65" s="7">
        <f t="shared" si="2"/>
        <v>35.100000001257285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-16T09:06:38-0700',mode:absolute,to:'2017-01-16T11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5" s="49" t="str">
        <f t="shared" si="6"/>
        <v>N</v>
      </c>
      <c r="X65" s="173">
        <f t="shared" si="7"/>
        <v>1</v>
      </c>
      <c r="Y65" s="64">
        <f t="shared" si="8"/>
        <v>4.53E-2</v>
      </c>
      <c r="Z65" s="64">
        <f t="shared" si="21"/>
        <v>23.332100000000001</v>
      </c>
      <c r="AA65" s="64">
        <f t="shared" si="10"/>
        <v>23.286799999999999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0153-16</v>
      </c>
      <c r="AE65" s="87" t="str">
        <f t="shared" si="12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65" s="84" t="str">
        <f t="shared" si="13"/>
        <v>"C:\Program Files (x86)\AstroGrep\AstroGrep.exe" /spath="%USERPROFILE%\AppData\Local\Temp\OnboardLogs" /stypes="app*4003*20170116*"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153-16 --locoid 4003 --swversion DE.1.0.8.0 --startMP 204:453 --initTime 2017-01-16T10:06:38 --startdatetime 2017-01-16T10:15:18 --delay 1 --endMP 204:233321 --enddatetime 2017-01-16T10:50:24 --enforcementcount 0 &gt;&gt;C:\Users\stu\Documents\GitHub\eaglep3-reporting\EC\2017-01-16-refined-times.txt</v>
      </c>
      <c r="AI65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{"issue":{"subject":"","project_id":79,"tracker_id":40,"status_id":1,"priority_id":2,"assigned_to_id":23,"start_date":"2017-01-16","description":"","custom_fields":[{"id":1,"name":"Subdivision","value":"EC"},{"id":4,"name":"Milepost","value":"23.3321"},{"id":17,"name":"Train ID","value":"153-16"},{"id":16,"name":"Locomotive ID","value":"4003"},{"id":130,"name":"Impact","value":""},{"id":150,"name":"Time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4003 --day 2017-01-16</v>
      </c>
      <c r="AN65" s="18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"%USERPROFILE%\AppData\Local\Temp\OnboardLogs"\RTDC4003\*4003*20170116* | grep -SE "(Enforcement Action)|(\[TIMEOUT)|(CHR.+\|PRM\|1\|D.+(SWITCH|SIGNAL).+UNKNOWN)" - &gt;&gt; 2017-01-16-UncaughtWiMAX.txt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491</v>
      </c>
      <c r="B66" s="7">
        <v>4004</v>
      </c>
      <c r="C66" s="22" t="s">
        <v>201</v>
      </c>
      <c r="D66" s="22" t="s">
        <v>302</v>
      </c>
      <c r="E66" s="13">
        <v>42751.453958333332</v>
      </c>
      <c r="F66" s="13">
        <v>42751.466157407405</v>
      </c>
      <c r="G66" s="7">
        <v>1</v>
      </c>
      <c r="H66" s="22" t="s">
        <v>764</v>
      </c>
      <c r="I66" s="13">
        <v>42751.492638888885</v>
      </c>
      <c r="J66" s="7">
        <v>0</v>
      </c>
      <c r="K66" s="105" t="str">
        <f t="shared" si="0"/>
        <v>4003/4004</v>
      </c>
      <c r="L66" s="22" t="str">
        <f>VLOOKUP(A66,'Trips&amp;Operators'!$C$1:$G$99999,5,FALSE)</f>
        <v>DUNCAN SHEILA</v>
      </c>
      <c r="M66" s="6">
        <f t="shared" si="1"/>
        <v>2.6481481480004732E-2</v>
      </c>
      <c r="N66" s="7">
        <f t="shared" si="2"/>
        <v>38.133333331206813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-16T09:53:42-0700',mode:absolute,to:'2017-01-16T12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6" s="49" t="str">
        <f t="shared" si="6"/>
        <v>N</v>
      </c>
      <c r="X66" s="173">
        <f t="shared" si="7"/>
        <v>1</v>
      </c>
      <c r="Y66" s="64">
        <f t="shared" si="8"/>
        <v>23.299099999999999</v>
      </c>
      <c r="Z66" s="64">
        <f t="shared" si="21"/>
        <v>1.6500000000000001E-2</v>
      </c>
      <c r="AA66" s="64">
        <f t="shared" si="10"/>
        <v>23.282599999999999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0154-16</v>
      </c>
      <c r="AE66" s="87" t="str">
        <f t="shared" si="12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66" s="84" t="str">
        <f t="shared" si="13"/>
        <v>"C:\Program Files (x86)\AstroGrep\AstroGrep.exe" /spath="%USERPROFILE%\AppData\Local\Temp\OnboardLogs" /stypes="app*4004*20170116*"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154-16 --locoid 4004 --swversion DE.1.0.8.0 --startMP 204:232991 --initTime 2017-01-16T10:53:42 --startdatetime 2017-01-16T11:11:16 --delay 1 --endMP 204:165 --enddatetime 2017-01-16T11:49:24 --enforcementcount 0 &gt;&gt;C:\Users\stu\Documents\GitHub\eaglep3-reporting\EC\2017-01-16-refined-times.txt</v>
      </c>
      <c r="AI66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{"issue":{"subject":"","project_id":79,"tracker_id":40,"status_id":1,"priority_id":2,"assigned_to_id":23,"start_date":"2017-01-16","description":"","custom_fields":[{"id":1,"name":"Subdivision","value":"EC"},{"id":4,"name":"Milepost","value":"0.0165"},{"id":17,"name":"Train ID","value":"154-16"},{"id":16,"name":"Locomotive ID","value":"4004"},{"id":130,"name":"Impact","value":""},{"id":150,"name":"Time of Event (Mountain Time)","value":"11:49:24"},{"id":151,"name":"Denver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4004 --day 2017-01-16</v>
      </c>
      <c r="AN66" s="18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"%USERPROFILE%\AppData\Local\Temp\OnboardLogs"\RTDC4004\*4004*20170116* | grep -SE "(Enforcement Action)|(\[TIMEOUT)|(CHR.+\|PRM\|1\|D.+(SWITCH|SIGNAL).+UNKNOWN)" - &gt;&gt; 2017-01-16-UncaughtWiMAX.txt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575</v>
      </c>
      <c r="B67" s="7">
        <v>4038</v>
      </c>
      <c r="C67" s="22" t="s">
        <v>201</v>
      </c>
      <c r="D67" s="22" t="s">
        <v>251</v>
      </c>
      <c r="E67" s="13">
        <v>42751.432789351849</v>
      </c>
      <c r="F67" s="13">
        <v>42751.4378125</v>
      </c>
      <c r="G67" s="7">
        <v>2</v>
      </c>
      <c r="H67" s="22" t="s">
        <v>765</v>
      </c>
      <c r="I67" s="13">
        <v>42751.46398148148</v>
      </c>
      <c r="J67" s="7">
        <v>0</v>
      </c>
      <c r="K67" s="105" t="str">
        <f t="shared" si="0"/>
        <v>4037/4038</v>
      </c>
      <c r="L67" s="22" t="str">
        <f>VLOOKUP(A67,'Trips&amp;Operators'!$C$1:$G$99999,5,FALSE)</f>
        <v>HAITHCOX MICHAEL</v>
      </c>
      <c r="M67" s="6">
        <f t="shared" si="1"/>
        <v>2.6168981479713693E-2</v>
      </c>
      <c r="N67" s="7">
        <f t="shared" si="2"/>
        <v>37.683333330787718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-16T09:23:13-0700',mode:absolute,to:'2017-01-16T12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7" s="49" t="str">
        <f t="shared" si="6"/>
        <v>N</v>
      </c>
      <c r="X67" s="173">
        <f t="shared" si="7"/>
        <v>1</v>
      </c>
      <c r="Y67" s="64">
        <f t="shared" si="8"/>
        <v>4.4900000000000002E-2</v>
      </c>
      <c r="Z67" s="64">
        <f t="shared" si="21"/>
        <v>23.327200000000001</v>
      </c>
      <c r="AA67" s="64">
        <f t="shared" si="10"/>
        <v>23.282300000000003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0155-16</v>
      </c>
      <c r="AE67" s="87" t="str">
        <f t="shared" si="12"/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AF67" s="84" t="str">
        <f t="shared" si="13"/>
        <v>"C:\Program Files (x86)\AstroGrep\AstroGrep.exe" /spath="%USERPROFILE%\AppData\Local\Temp\OnboardLogs" /stypes="app*4038*20170116*"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155-16 --locoid 4038 --swversion DE.1.0.8.0 --startMP 204:449 --initTime 2017-01-16T10:23:13 --startdatetime 2017-01-16T10:30:27 --delay 2 --endMP 204:233272 --enddatetime 2017-01-16T11:08:08 --enforcementcount 0 &gt;&gt;C:\Users\stu\Documents\GitHub\eaglep3-reporting\EC\2017-01-16-refined-times.txt</v>
      </c>
      <c r="AI67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{"issue":{"subject":"","project_id":79,"tracker_id":40,"status_id":1,"priority_id":2,"assigned_to_id":23,"start_date":"2017-01-16","description":"","custom_fields":[{"id":1,"name":"Subdivision","value":"EC"},{"id":4,"name":"Milepost","value":"23.3272"},{"id":17,"name":"Train ID","value":"155-16"},{"id":16,"name":"Locomotive ID","value":"4038"},{"id":130,"name":"Impact","value":""},{"id":150,"name":"Time of Event (Mountain Time)","value":"11:08:08"},{"id":151,"name":"Denver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4038 --day 2017-01-16</v>
      </c>
      <c r="AN67" s="18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"%USERPROFILE%\AppData\Local\Temp\OnboardLogs"\RTDC4038\*4038*20170116* | grep -SE "(Enforcement Action)|(\[TIMEOUT)|(CHR.+\|PRM\|1\|D.+(SWITCH|SIGNAL).+UNKNOWN)" - &gt;&gt; 2017-01-16-UncaughtWiMAX.txt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585</v>
      </c>
      <c r="B68" s="7">
        <v>4037</v>
      </c>
      <c r="C68" s="22" t="s">
        <v>201</v>
      </c>
      <c r="D68" s="22" t="s">
        <v>766</v>
      </c>
      <c r="E68" s="13">
        <v>42751.47074074074</v>
      </c>
      <c r="F68" s="13">
        <v>42751.476655092592</v>
      </c>
      <c r="G68" s="7">
        <v>1</v>
      </c>
      <c r="H68" s="22" t="s">
        <v>206</v>
      </c>
      <c r="I68" s="13">
        <v>42751.506064814814</v>
      </c>
      <c r="J68" s="7">
        <v>0</v>
      </c>
      <c r="K68" s="105" t="str">
        <f t="shared" si="0"/>
        <v>4037/4038</v>
      </c>
      <c r="L68" s="22" t="str">
        <f>VLOOKUP(A68,'Trips&amp;Operators'!$C$1:$G$99999,5,FALSE)</f>
        <v>HAITHCOX MICHAEL</v>
      </c>
      <c r="M68" s="6">
        <f t="shared" si="1"/>
        <v>2.940972222131677E-2</v>
      </c>
      <c r="N68" s="7">
        <f t="shared" si="2"/>
        <v>42.349999998696148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-16T10:17:52-0700',mode:absolute,to:'2017-01-16T13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68" s="49" t="str">
        <f t="shared" si="6"/>
        <v>N</v>
      </c>
      <c r="X68" s="173">
        <f t="shared" si="7"/>
        <v>1</v>
      </c>
      <c r="Y68" s="64">
        <f t="shared" si="8"/>
        <v>23.297499999999999</v>
      </c>
      <c r="Z68" s="64">
        <f t="shared" si="21"/>
        <v>1.4999999999999999E-2</v>
      </c>
      <c r="AA68" s="64">
        <f t="shared" si="10"/>
        <v>23.282499999999999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0156-16</v>
      </c>
      <c r="AE68" s="87" t="str">
        <f t="shared" si="12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68" s="84" t="str">
        <f t="shared" si="13"/>
        <v>"C:\Program Files (x86)\AstroGrep\AstroGrep.exe" /spath="%USERPROFILE%\AppData\Local\Temp\OnboardLogs" /stypes="app*4037*20170116*"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156-16 --locoid 4037 --swversion DE.1.0.8.0 --startMP 204:232975 --initTime 2017-01-16T11:17:52 --startdatetime 2017-01-16T11:26:23 --delay 1 --endMP 204:150 --enddatetime 2017-01-16T12:08:44 --enforcementcount 0 &gt;&gt;C:\Users\stu\Documents\GitHub\eaglep3-reporting\EC\2017-01-16-refined-times.txt</v>
      </c>
      <c r="AI68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{"issue":{"subject":"","project_id":79,"tracker_id":40,"status_id":1,"priority_id":2,"assigned_to_id":23,"start_date":"2017-01-16","description":"","custom_fields":[{"id":1,"name":"Subdivision","value":"EC"},{"id":4,"name":"Milepost","value":"0.015"},{"id":17,"name":"Train ID","value":"156-16"},{"id":16,"name":"Locomotive ID","value":"4037"},{"id":130,"name":"Impact","value":""},{"id":150,"name":"Time of Event (Mountain Time)","value":"12:08:44"},{"id":151,"name":"Denver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4037 --day 2017-01-16</v>
      </c>
      <c r="AN68" s="18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579</v>
      </c>
      <c r="B69" s="7">
        <v>4029</v>
      </c>
      <c r="C69" s="22" t="s">
        <v>201</v>
      </c>
      <c r="D69" s="22" t="s">
        <v>192</v>
      </c>
      <c r="E69" s="13">
        <v>42751.445150462961</v>
      </c>
      <c r="F69" s="13">
        <v>42751.448055555556</v>
      </c>
      <c r="G69" s="7">
        <v>1</v>
      </c>
      <c r="H69" s="22" t="s">
        <v>298</v>
      </c>
      <c r="I69" s="13">
        <v>42751.474456018521</v>
      </c>
      <c r="J69" s="7">
        <v>0</v>
      </c>
      <c r="K69" s="105" t="str">
        <f t="shared" si="0"/>
        <v>4029/4030</v>
      </c>
      <c r="L69" s="22" t="str">
        <f>VLOOKUP(A69,'Trips&amp;Operators'!$C$1:$G$99999,5,FALSE)</f>
        <v>ROBINSON KADDIBA</v>
      </c>
      <c r="M69" s="6">
        <f t="shared" si="1"/>
        <v>2.6400462964375038E-2</v>
      </c>
      <c r="N69" s="7">
        <f t="shared" si="2"/>
        <v>38.016666668700054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-16T09:41:01-0700',mode:absolute,to:'2017-01-16T12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9" s="49" t="str">
        <f t="shared" si="6"/>
        <v>N</v>
      </c>
      <c r="X69" s="173">
        <f t="shared" si="7"/>
        <v>1</v>
      </c>
      <c r="Y69" s="64">
        <f t="shared" si="8"/>
        <v>4.4699999999999997E-2</v>
      </c>
      <c r="Z69" s="64">
        <f t="shared" si="21"/>
        <v>23.331199999999999</v>
      </c>
      <c r="AA69" s="64">
        <f t="shared" si="10"/>
        <v>23.2865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0157-16</v>
      </c>
      <c r="AE69" s="87" t="str">
        <f t="shared" si="12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69" s="84" t="str">
        <f t="shared" si="13"/>
        <v>"C:\Program Files (x86)\AstroGrep\AstroGrep.exe" /spath="%USERPROFILE%\AppData\Local\Temp\OnboardLogs" /stypes="app*4029*20170116*"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157-16 --locoid 4029 --swversion DE.1.0.8.0 --startMP 204:447 --initTime 2017-01-16T10:41:01 --startdatetime 2017-01-16T10:45:12 --delay 1 --endMP 204:233312 --enddatetime 2017-01-16T11:23:13 --enforcementcount 0 &gt;&gt;C:\Users\stu\Documents\GitHub\eaglep3-reporting\EC\2017-01-16-refined-times.txt</v>
      </c>
      <c r="AI69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{"issue":{"subject":"","project_id":79,"tracker_id":40,"status_id":1,"priority_id":2,"assigned_to_id":23,"start_date":"2017-01-16","description":"","custom_fields":[{"id":1,"name":"Subdivision","value":"EC"},{"id":4,"name":"Milepost","value":"23.3312"},{"id":17,"name":"Train ID","value":"157-16"},{"id":16,"name":"Locomotive ID","value":"4029"},{"id":130,"name":"Impact","value":""},{"id":150,"name":"Time of Event (Mountain Time)","value":"11:23:13"},{"id":151,"name":"Denver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4029 --day 2017-01-16</v>
      </c>
      <c r="AN69" s="18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"%USERPROFILE%\AppData\Local\Temp\OnboardLogs"\RTDC4029\*4029*20170116* | grep -SE "(Enforcement Action)|(\[TIMEOUT)|(CHR.+\|PRM\|1\|D.+(SWITCH|SIGNAL).+UNKNOWN)" - &gt;&gt; 2017-01-16-UncaughtWiMAX.txt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594</v>
      </c>
      <c r="B70" s="7">
        <v>4030</v>
      </c>
      <c r="C70" s="22" t="s">
        <v>201</v>
      </c>
      <c r="D70" s="22" t="s">
        <v>302</v>
      </c>
      <c r="E70" s="13">
        <v>42751.481909722221</v>
      </c>
      <c r="F70" s="13">
        <v>42751.486979166664</v>
      </c>
      <c r="G70" s="7">
        <v>1</v>
      </c>
      <c r="H70" s="22" t="s">
        <v>259</v>
      </c>
      <c r="I70" s="13">
        <v>42751.514293981483</v>
      </c>
      <c r="J70" s="7">
        <v>0</v>
      </c>
      <c r="K70" s="105" t="str">
        <f t="shared" si="0"/>
        <v>4029/4030</v>
      </c>
      <c r="L70" s="22" t="str">
        <f>VLOOKUP(A70,'Trips&amp;Operators'!$C$1:$G$99999,5,FALSE)</f>
        <v>ROBINSON KADDIBA</v>
      </c>
      <c r="M70" s="6">
        <f t="shared" si="1"/>
        <v>2.7314814818964805E-2</v>
      </c>
      <c r="N70" s="7">
        <f t="shared" si="2"/>
        <v>39.33333333930932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-16T10:33:57-0700',mode:absolute,to:'2017-01-16T13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0" s="49" t="str">
        <f t="shared" si="6"/>
        <v>N</v>
      </c>
      <c r="X70" s="173">
        <f t="shared" si="7"/>
        <v>1</v>
      </c>
      <c r="Y70" s="64">
        <f t="shared" si="8"/>
        <v>23.299099999999999</v>
      </c>
      <c r="Z70" s="64">
        <f t="shared" si="21"/>
        <v>1.5599999999999999E-2</v>
      </c>
      <c r="AA70" s="64">
        <f t="shared" si="10"/>
        <v>23.2835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0158-16</v>
      </c>
      <c r="AE70" s="87" t="str">
        <f t="shared" si="12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70" s="84" t="str">
        <f t="shared" si="13"/>
        <v>"C:\Program Files (x86)\AstroGrep\AstroGrep.exe" /spath="%USERPROFILE%\AppData\Local\Temp\OnboardLogs" /stypes="app*4030*20170116*"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158-16 --locoid 4030 --swversion DE.1.0.8.0 --startMP 204:232991 --initTime 2017-01-16T11:33:57 --startdatetime 2017-01-16T11:41:15 --delay 1 --endMP 204:156 --enddatetime 2017-01-16T12:20:35 --enforcementcount 0 &gt;&gt;C:\Users\stu\Documents\GitHub\eaglep3-reporting\EC\2017-01-16-refined-times.txt</v>
      </c>
      <c r="AI70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ID","value":"158-16"},{"id":16,"name":"Locomotive ID","value":"4030"},{"id":130,"name":"Impact","value":""},{"id":150,"name":"Time of Event (Mountain Time)","value":"12:20:35"},{"id":151,"name":"Denver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4030 --day 2017-01-16</v>
      </c>
      <c r="AN70" s="18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"%USERPROFILE%\AppData\Local\Temp\OnboardLogs"\RTDC4030\*4030*20170116* | grep -SE "(Enforcement Action)|(\[TIMEOUT)|(CHR.+\|PRM\|1\|D.+(SWITCH|SIGNAL).+UNKNOWN)" - &gt;&gt; 2017-01-16-UncaughtWiMAX.txt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490</v>
      </c>
      <c r="B71" s="7">
        <v>4031</v>
      </c>
      <c r="C71" s="22" t="s">
        <v>201</v>
      </c>
      <c r="D71" s="22" t="s">
        <v>243</v>
      </c>
      <c r="E71" s="13">
        <v>42751.454513888886</v>
      </c>
      <c r="F71" s="13">
        <v>42751.458587962959</v>
      </c>
      <c r="G71" s="7">
        <v>2</v>
      </c>
      <c r="H71" s="22" t="s">
        <v>767</v>
      </c>
      <c r="I71" s="13">
        <v>42751.48510416667</v>
      </c>
      <c r="J71" s="7">
        <v>0</v>
      </c>
      <c r="K71" s="105" t="str">
        <f t="shared" si="0"/>
        <v>4031/4032</v>
      </c>
      <c r="L71" s="22" t="str">
        <f>VLOOKUP(A71,'Trips&amp;Operators'!$C$1:$G$99999,5,FALSE)</f>
        <v>STEWART MICHAEL</v>
      </c>
      <c r="M71" s="6">
        <f t="shared" si="1"/>
        <v>2.6516203710343689E-2</v>
      </c>
      <c r="N71" s="7">
        <f t="shared" si="2"/>
        <v>38.183333342894912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-16T09:54:30-0700',mode:absolute,to:'2017-01-16T12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1" s="49" t="str">
        <f t="shared" si="6"/>
        <v>N</v>
      </c>
      <c r="X71" s="173">
        <f t="shared" si="7"/>
        <v>1</v>
      </c>
      <c r="Y71" s="64">
        <f t="shared" si="8"/>
        <v>4.6199999999999998E-2</v>
      </c>
      <c r="Z71" s="64">
        <f t="shared" si="21"/>
        <v>23.3307</v>
      </c>
      <c r="AA71" s="64">
        <f t="shared" si="10"/>
        <v>23.284500000000001</v>
      </c>
      <c r="AB71" s="61" t="str">
        <f>VLOOKUP(A71,Enforcements!$C$7:$K$16,8,0)</f>
        <v>Bulletin (2)</v>
      </c>
      <c r="AC71" s="57" t="str">
        <f>VLOOKUP(A71,Enforcements!$C$7:$E$16,3,0)</f>
        <v>GRADE CROSSING</v>
      </c>
      <c r="AD71" s="58" t="str">
        <f t="shared" si="11"/>
        <v>0159-16</v>
      </c>
      <c r="AE71" s="87" t="str">
        <f t="shared" si="12"/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AF71" s="84" t="str">
        <f t="shared" si="13"/>
        <v>"C:\Program Files (x86)\AstroGrep\AstroGrep.exe" /spath="%USERPROFILE%\AppData\Local\Temp\OnboardLogs" /stypes="app*4031*20170116*"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159-16 --locoid 4031 --swversion DE.1.0.8.0 --startMP 204:462 --initTime 2017-01-16T10:54:30 --startdatetime 2017-01-16T11:00:22 --delay 2 --endMP 204:233307 --enddatetime 2017-01-16T11:38:33 --enforcementcount 0 &gt;&gt;C:\Users\stu\Documents\GitHub\eaglep3-reporting\EC\2017-01-16-refined-times.txt</v>
      </c>
      <c r="AI71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{"issue":{"subject":"","project_id":79,"tracker_id":40,"status_id":1,"priority_id":2,"assigned_to_id":23,"start_date":"2017-01-16","description":"","custom_fields":[{"id":1,"name":"Subdivision","value":"EC"},{"id":4,"name":"Milepost","value":"23.3307"},{"id":17,"name":"Train ID","value":"159-16"},{"id":16,"name":"Locomotive ID","value":"4031"},{"id":130,"name":"Impact","value":""},{"id":150,"name":"Time of Event (Mountain Time)","value":"11:38:33"},{"id":151,"name":"Denver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4031 --day 2017-01-16</v>
      </c>
      <c r="AN71" s="18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"%USERPROFILE%\AppData\Local\Temp\OnboardLogs"\RTDC4031\*4031*20170116* | grep -SE "(Enforcement Action)|(\[TIMEOUT)|(CHR.+\|PRM\|1\|D.+(SWITCH|SIGNAL).+UNKNOWN)" - &gt;&gt; 2017-01-16-UncaughtWiMAX.txt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599</v>
      </c>
      <c r="B72" s="7">
        <v>4032</v>
      </c>
      <c r="C72" s="22" t="s">
        <v>201</v>
      </c>
      <c r="D72" s="22" t="s">
        <v>355</v>
      </c>
      <c r="E72" s="13">
        <v>42751.494710648149</v>
      </c>
      <c r="F72" s="13">
        <v>42751.497418981482</v>
      </c>
      <c r="G72" s="7">
        <v>2</v>
      </c>
      <c r="H72" s="22" t="s">
        <v>224</v>
      </c>
      <c r="I72" s="13">
        <v>42751.525717592594</v>
      </c>
      <c r="J72" s="7">
        <v>0</v>
      </c>
      <c r="K72" s="105" t="str">
        <f t="shared" si="0"/>
        <v>4031/4032</v>
      </c>
      <c r="L72" s="22" t="str">
        <f>VLOOKUP(A72,'Trips&amp;Operators'!$C$1:$G$99999,5,FALSE)</f>
        <v>STEWART MICHAEL</v>
      </c>
      <c r="M72" s="6">
        <f t="shared" si="1"/>
        <v>2.8298611112404615E-2</v>
      </c>
      <c r="N72" s="7">
        <f t="shared" si="2"/>
        <v>40.750000001862645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-16T10:52:23-0700',mode:absolute,to:'2017-01-16T13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49" t="str">
        <f t="shared" si="6"/>
        <v>N</v>
      </c>
      <c r="X72" s="173">
        <f t="shared" si="7"/>
        <v>1</v>
      </c>
      <c r="Y72" s="64">
        <f t="shared" si="8"/>
        <v>23.2988</v>
      </c>
      <c r="Z72" s="64">
        <f t="shared" si="21"/>
        <v>1.4500000000000001E-2</v>
      </c>
      <c r="AA72" s="64">
        <f t="shared" si="10"/>
        <v>23.284299999999998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0160-16</v>
      </c>
      <c r="AE72" s="87" t="str">
        <f t="shared" si="12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72" s="84" t="str">
        <f t="shared" si="13"/>
        <v>"C:\Program Files (x86)\AstroGrep\AstroGrep.exe" /spath="%USERPROFILE%\AppData\Local\Temp\OnboardLogs" /stypes="app*4032*20170116*"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160-16 --locoid 4032 --swversion DE.1.0.8.0 --startMP 204:232988 --initTime 2017-01-16T11:52:23 --startdatetime 2017-01-16T11:56:17 --delay 2 --endMP 204:145 --enddatetime 2017-01-16T12:37:02 --enforcementcount 0 &gt;&gt;C:\Users\stu\Documents\GitHub\eaglep3-reporting\EC\2017-01-16-refined-times.txt</v>
      </c>
      <c r="AI72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{"issue":{"subject":"","project_id":79,"tracker_id":40,"status_id":1,"priority_id":2,"assigned_to_id":23,"start_date":"2017-01-16","description":"","custom_fields":[{"id":1,"name":"Subdivision","value":"EC"},{"id":4,"name":"Milepost","value":"0.0145"},{"id":17,"name":"Train ID","value":"160-16"},{"id":16,"name":"Locomotive ID","value":"4032"},{"id":130,"name":"Impact","value":""},{"id":150,"name":"Time of Event (Mountain Time)","value":"12:37:02"},{"id":151,"name":"Denver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4032 --day 2017-01-16</v>
      </c>
      <c r="AN72" s="18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"%USERPROFILE%\AppData\Local\Temp\OnboardLogs"\RTDC4032\*4032*20170116* | grep -SE "(Enforcement Action)|(\[TIMEOUT)|(CHR.+\|PRM\|1\|D.+(SWITCH|SIGNAL).+UNKNOWN)" - &gt;&gt; 2017-01-16-UncaughtWiMAX.txt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584</v>
      </c>
      <c r="B73" s="7">
        <v>4016</v>
      </c>
      <c r="C73" s="22" t="s">
        <v>201</v>
      </c>
      <c r="D73" s="22" t="s">
        <v>347</v>
      </c>
      <c r="E73" s="13">
        <v>42751.466226851851</v>
      </c>
      <c r="F73" s="13">
        <v>42751.469097222223</v>
      </c>
      <c r="G73" s="7">
        <v>1</v>
      </c>
      <c r="H73" s="22" t="s">
        <v>296</v>
      </c>
      <c r="I73" s="13">
        <v>42751.496203703704</v>
      </c>
      <c r="J73" s="7">
        <v>0</v>
      </c>
      <c r="K73" s="105" t="str">
        <f t="shared" si="0"/>
        <v>4015/4016</v>
      </c>
      <c r="L73" s="22" t="str">
        <f>VLOOKUP(A73,'Trips&amp;Operators'!$C$1:$G$99999,5,FALSE)</f>
        <v>DAVIS MICHAEL</v>
      </c>
      <c r="M73" s="6">
        <f t="shared" si="1"/>
        <v>2.7106481480586808E-2</v>
      </c>
      <c r="N73" s="7">
        <f t="shared" si="2"/>
        <v>39.033333332045004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-16T10:11:22-0700',mode:absolute,to:'2017-01-16T12:54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49" t="str">
        <f t="shared" si="6"/>
        <v>N</v>
      </c>
      <c r="X73" s="173">
        <f t="shared" si="7"/>
        <v>1</v>
      </c>
      <c r="Y73" s="64">
        <f t="shared" si="8"/>
        <v>4.6600000000000003E-2</v>
      </c>
      <c r="Z73" s="64">
        <f t="shared" si="21"/>
        <v>23.329699999999999</v>
      </c>
      <c r="AA73" s="64">
        <f t="shared" si="10"/>
        <v>23.283099999999997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0161-16</v>
      </c>
      <c r="AE73" s="87" t="str">
        <f t="shared" si="12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73" s="84" t="str">
        <f t="shared" si="13"/>
        <v>"C:\Program Files (x86)\AstroGrep\AstroGrep.exe" /spath="%USERPROFILE%\AppData\Local\Temp\OnboardLogs" /stypes="app*4016*20170116*"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161-16 --locoid 4016 --swversion DE.1.0.8.0 --startMP 204:466 --initTime 2017-01-16T11:11:22 --startdatetime 2017-01-16T11:15:30 --delay 1 --endMP 204:233297 --enddatetime 2017-01-16T11:54:32 --enforcementcount 0 &gt;&gt;C:\Users\stu\Documents\GitHub\eaglep3-reporting\EC\2017-01-16-refined-times.txt</v>
      </c>
      <c r="AI73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{"issue":{"subject":"","project_id":79,"tracker_id":40,"status_id":1,"priority_id":2,"assigned_to_id":23,"start_date":"2017-01-16","description":"","custom_fields":[{"id":1,"name":"Subdivision","value":"EC"},{"id":4,"name":"Milepost","value":"23.3297"},{"id":17,"name":"Train ID","value":"161-16"},{"id":16,"name":"Locomotive ID","value":"4016"},{"id":130,"name":"Impact","value":""},{"id":150,"name":"Time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4016 --day 2017-01-16</v>
      </c>
      <c r="AN73" s="18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"%USERPROFILE%\AppData\Local\Temp\OnboardLogs"\RTDC4016\*4016*20170116* | grep -SE "(Enforcement Action)|(\[TIMEOUT)|(CHR.+\|PRM\|1\|D.+(SWITCH|SIGNAL).+UNKNOWN)" - &gt;&gt; 2017-01-16-UncaughtWiMAX.txt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600</v>
      </c>
      <c r="B74" s="7">
        <v>4015</v>
      </c>
      <c r="C74" s="22" t="s">
        <v>201</v>
      </c>
      <c r="D74" s="22" t="s">
        <v>307</v>
      </c>
      <c r="E74" s="13">
        <v>42751.502916666665</v>
      </c>
      <c r="F74" s="13">
        <v>42751.508136574077</v>
      </c>
      <c r="G74" s="7">
        <v>2</v>
      </c>
      <c r="H74" s="22" t="s">
        <v>256</v>
      </c>
      <c r="I74" s="13">
        <v>42751.536446759259</v>
      </c>
      <c r="J74" s="7">
        <v>0</v>
      </c>
      <c r="K74" s="105" t="str">
        <f t="shared" si="0"/>
        <v>4015/4016</v>
      </c>
      <c r="L74" s="22" t="str">
        <f>VLOOKUP(A74,'Trips&amp;Operators'!$C$1:$G$99999,5,FALSE)</f>
        <v>DAVIS MICHAEL</v>
      </c>
      <c r="M74" s="6">
        <f t="shared" si="1"/>
        <v>2.8310185181908309E-2</v>
      </c>
      <c r="N74" s="7">
        <f t="shared" si="2"/>
        <v>40.766666661947966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-16T11:04:12-0700',mode:absolute,to:'2017-01-16T13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49" t="str">
        <f t="shared" si="6"/>
        <v>N</v>
      </c>
      <c r="X74" s="173">
        <f t="shared" si="7"/>
        <v>1</v>
      </c>
      <c r="Y74" s="64">
        <f t="shared" si="8"/>
        <v>23.297899999999998</v>
      </c>
      <c r="Z74" s="64">
        <f t="shared" si="21"/>
        <v>1.52E-2</v>
      </c>
      <c r="AA74" s="64">
        <f t="shared" si="10"/>
        <v>23.282699999999998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0162-16</v>
      </c>
      <c r="AE74" s="87" t="str">
        <f t="shared" si="12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74" s="84" t="str">
        <f t="shared" si="13"/>
        <v>"C:\Program Files (x86)\AstroGrep\AstroGrep.exe" /spath="%USERPROFILE%\AppData\Local\Temp\OnboardLogs" /stypes="app*4015*20170116*"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162-16 --locoid 4015 --swversion DE.1.0.8.0 --startMP 204:232979 --initTime 2017-01-16T12:04:12 --startdatetime 2017-01-16T12:11:43 --delay 2 --endMP 204:152 --enddatetime 2017-01-16T12:52:29 --enforcementcount 0 &gt;&gt;C:\Users\stu\Documents\GitHub\eaglep3-reporting\EC\2017-01-16-refined-times.txt</v>
      </c>
      <c r="AI74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{"issue":{"subject":"","project_id":79,"tracker_id":40,"status_id":1,"priority_id":2,"assigned_to_id":23,"start_date":"2017-01-16","description":"","custom_fields":[{"id":1,"name":"Subdivision","value":"EC"},{"id":4,"name":"Milepost","value":"0.0152"},{"id":17,"name":"Train ID","value":"162-16"},{"id":16,"name":"Locomotive ID","value":"4015"},{"id":130,"name":"Impact","value":""},{"id":150,"name":"Time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4015 --day 2017-01-16</v>
      </c>
      <c r="AN74" s="18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586</v>
      </c>
      <c r="B75" s="7">
        <v>4046</v>
      </c>
      <c r="C75" s="22" t="s">
        <v>201</v>
      </c>
      <c r="D75" s="22" t="s">
        <v>414</v>
      </c>
      <c r="E75" s="13">
        <v>42751.47378472222</v>
      </c>
      <c r="F75" s="13">
        <v>42751.479363425926</v>
      </c>
      <c r="G75" s="7">
        <v>1</v>
      </c>
      <c r="H75" s="22" t="s">
        <v>309</v>
      </c>
      <c r="I75" s="13">
        <v>42751.506805555553</v>
      </c>
      <c r="J75" s="7">
        <v>0</v>
      </c>
      <c r="K75" s="105" t="str">
        <f t="shared" si="0"/>
        <v>4045/4046</v>
      </c>
      <c r="L75" s="22" t="str">
        <f>VLOOKUP(A75,'Trips&amp;Operators'!$C$1:$G$99999,5,FALSE)</f>
        <v>CLARK KATHLEEN</v>
      </c>
      <c r="M75" s="6">
        <f t="shared" si="1"/>
        <v>2.7442129627161194E-2</v>
      </c>
      <c r="N75" s="7">
        <f t="shared" si="2"/>
        <v>39.516666663112119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-16T10:22:15-0700',mode:absolute,to:'2017-01-16T13:09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49" t="str">
        <f t="shared" si="6"/>
        <v>N</v>
      </c>
      <c r="X75" s="173">
        <f t="shared" si="7"/>
        <v>1</v>
      </c>
      <c r="Y75" s="64">
        <f t="shared" si="8"/>
        <v>4.5699999999999998E-2</v>
      </c>
      <c r="Z75" s="64">
        <f t="shared" si="21"/>
        <v>23.3291</v>
      </c>
      <c r="AA75" s="64">
        <f t="shared" si="10"/>
        <v>23.2834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0163-16</v>
      </c>
      <c r="AE75" s="87" t="str">
        <f t="shared" si="12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75" s="84" t="str">
        <f t="shared" si="13"/>
        <v>"C:\Program Files (x86)\AstroGrep\AstroGrep.exe" /spath="%USERPROFILE%\AppData\Local\Temp\OnboardLogs" /stypes="app*4046*20170116*"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163-16 --locoid 4046 --swversion DE.1.0.8.0 --startMP 204:457 --initTime 2017-01-16T11:22:15 --startdatetime 2017-01-16T11:30:17 --delay 1 --endMP 204:233291 --enddatetime 2017-01-16T12:09:48 --enforcementcount 0 &gt;&gt;C:\Users\stu\Documents\GitHub\eaglep3-reporting\EC\2017-01-16-refined-times.txt</v>
      </c>
      <c r="AI75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{"issue":{"subject":"","project_id":79,"tracker_id":40,"status_id":1,"priority_id":2,"assigned_to_id":23,"start_date":"2017-01-16","description":"","custom_fields":[{"id":1,"name":"Subdivision","value":"EC"},{"id":4,"name":"Milepost","value":"23.3291"},{"id":17,"name":"Train ID","value":"163-16"},{"id":16,"name":"Locomotive ID","value":"4046"},{"id":130,"name":"Impact","value":""},{"id":150,"name":"Time of Event (Mountain Time)","value":"12:09:48"},{"id":151,"name":"Denver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4046 --day 2017-01-16</v>
      </c>
      <c r="AN75" s="18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"%USERPROFILE%\AppData\Local\Temp\OnboardLogs"\RTDC4046\*4046*20170116* | grep -SE "(Enforcement Action)|(\[TIMEOUT)|(CHR.+\|PRM\|1\|D.+(SWITCH|SIGNAL).+UNKNOWN)" - &gt;&gt; 2017-01-16-UncaughtWiMAX.txt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605</v>
      </c>
      <c r="B76" s="7">
        <v>4045</v>
      </c>
      <c r="C76" s="22" t="s">
        <v>201</v>
      </c>
      <c r="D76" s="22" t="s">
        <v>283</v>
      </c>
      <c r="E76" s="13">
        <v>42751.513136574074</v>
      </c>
      <c r="F76" s="13">
        <v>42751.518229166664</v>
      </c>
      <c r="G76" s="7">
        <v>1</v>
      </c>
      <c r="H76" s="22" t="s">
        <v>259</v>
      </c>
      <c r="I76" s="13">
        <v>42751.546944444446</v>
      </c>
      <c r="J76" s="7">
        <v>0</v>
      </c>
      <c r="K76" s="105" t="str">
        <f t="shared" si="0"/>
        <v>4045/4046</v>
      </c>
      <c r="L76" s="22" t="str">
        <f>VLOOKUP(A76,'Trips&amp;Operators'!$C$1:$G$99999,5,FALSE)</f>
        <v>CLARK KATHLEEN</v>
      </c>
      <c r="M76" s="6">
        <f t="shared" si="1"/>
        <v>2.8715277781884652E-2</v>
      </c>
      <c r="N76" s="7">
        <f t="shared" si="2"/>
        <v>41.350000005913898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-16T11:18:55-0700',mode:absolute,to:'2017-01-16T14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49" t="str">
        <f t="shared" si="6"/>
        <v>N</v>
      </c>
      <c r="X76" s="173">
        <f t="shared" si="7"/>
        <v>1</v>
      </c>
      <c r="Y76" s="64">
        <f t="shared" si="8"/>
        <v>23.296900000000001</v>
      </c>
      <c r="Z76" s="64">
        <f t="shared" si="21"/>
        <v>1.5599999999999999E-2</v>
      </c>
      <c r="AA76" s="64">
        <f t="shared" si="10"/>
        <v>23.281300000000002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1"/>
        <v>0164-16</v>
      </c>
      <c r="AE76" s="87" t="str">
        <f t="shared" si="12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76" s="84" t="str">
        <f t="shared" si="13"/>
        <v>"C:\Program Files (x86)\AstroGrep\AstroGrep.exe" /spath="%USERPROFILE%\AppData\Local\Temp\OnboardLogs" /stypes="app*4045*20170116*"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164-16 --locoid 4045 --swversion DE.1.0.8.0 --startMP 204:232969 --initTime 2017-01-16T12:18:55 --startdatetime 2017-01-16T12:26:15 --delay 1 --endMP 204:156 --enddatetime 2017-01-16T13:07:36 --enforcementcount 0 &gt;&gt;C:\Users\stu\Documents\GitHub\eaglep3-reporting\EC\2017-01-16-refined-times.txt</v>
      </c>
      <c r="AI76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ID","value":"164-16"},{"id":16,"name":"Locomotive ID","value":"4045"},{"id":130,"name":"Impact","value":""},{"id":150,"name":"Time of Event (Mountain Time)","value":"13:07:36"},{"id":151,"name":"Denver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4045 --day 2017-01-16</v>
      </c>
      <c r="AN76" s="18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596</v>
      </c>
      <c r="B77" s="7">
        <v>4022</v>
      </c>
      <c r="C77" s="22" t="s">
        <v>201</v>
      </c>
      <c r="D77" s="22" t="s">
        <v>733</v>
      </c>
      <c r="E77" s="13">
        <v>42751.487881944442</v>
      </c>
      <c r="F77" s="13">
        <v>42751.489861111113</v>
      </c>
      <c r="G77" s="7">
        <v>1</v>
      </c>
      <c r="H77" s="22" t="s">
        <v>748</v>
      </c>
      <c r="I77" s="13">
        <v>42751.51425925926</v>
      </c>
      <c r="J77" s="7">
        <v>0</v>
      </c>
      <c r="K77" s="105" t="str">
        <f t="shared" ref="K77:K140" si="22">IF(ISEVEN(B77),(B77-1)&amp;"/"&amp;B77,B77&amp;"/"&amp;(B77+1))</f>
        <v>4021/4022</v>
      </c>
      <c r="L77" s="22" t="str">
        <f>VLOOKUP(A77,'Trips&amp;Operators'!$C$1:$G$99999,5,FALSE)</f>
        <v>ROMERO CHAD</v>
      </c>
      <c r="M77" s="6">
        <f t="shared" ref="M77:M140" si="23">I77-F77</f>
        <v>2.4398148147156462E-2</v>
      </c>
      <c r="N77" s="7">
        <f t="shared" ref="N77:N140" si="24">24*60*SUM($M77:$M77)</f>
        <v>35.133333331905305</v>
      </c>
      <c r="O77" s="7"/>
      <c r="P77" s="7"/>
      <c r="Q77" s="23"/>
      <c r="R77" s="23"/>
      <c r="S77" s="32">
        <f t="shared" ref="S77:S140" si="25">SUM(U77:U77)/IF(AG77="EC",12,1)</f>
        <v>1</v>
      </c>
      <c r="T77" s="47" t="str">
        <f t="shared" ref="T77:T140" si="26">IF(ISEVEN(LEFT(AD77,4)),"Southbound","NorthBound")</f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-16T10:42:33-0700',mode:absolute,to:'2017-01-16T13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49" t="str">
        <f t="shared" ref="W77:W140" si="28">IF(AA77&lt;IF(AG77="EC",23,5.65),"Y","N")</f>
        <v>N</v>
      </c>
      <c r="X77" s="173">
        <f t="shared" ref="X77:X140" si="29">VALUE(LEFT(AD77,4))-VALUE(LEFT(AD76,4))</f>
        <v>1</v>
      </c>
      <c r="Y77" s="64">
        <f t="shared" ref="Y77:Y140" si="30">RIGHT(D77,LEN(D77)-4)/10000</f>
        <v>4.5999999999999999E-2</v>
      </c>
      <c r="Z77" s="64">
        <f t="shared" si="21"/>
        <v>23.331399999999999</v>
      </c>
      <c r="AA77" s="64">
        <f t="shared" ref="AA77:AA140" si="31">ABS(Z77-Y77)</f>
        <v>23.285399999999999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32">IF(LEN(A77)=6,"0"&amp;A77,A77)</f>
        <v>0165-16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 &amp; 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/stypes="app*4022*20170116*"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165-16 --locoid 4022 --swversion DE.1.0.8.0 --startMP 204:460 --initTime 2017-01-16T11:42:33 --startdatetime 2017-01-16T11:45:24 --delay 1 --endMP 204:233314 --enddatetime 2017-01-16T12:20:32 --enforcementcount 0 &gt;&gt;C:\Users\stu\Documents\GitHub\eaglep3-reporting\EC\2017-01-16-refined-times.txt</v>
      </c>
      <c r="AI77" s="115" t="str">
        <f t="shared" si="19"/>
        <v>echo {"issue":{"subject":"","project_id":79,"tracker_id":40,"status_id":1,"priority_id":2,"assigned_to_id":23,"start_date":"2017-01-16","description":"","custom_fields":[{"id":1,"name":"Subdivision","value":"EC"},{"id":4,"name":"Milepost","value":"23.3314"},{"id":17,"name":"Train ID","value":"165-16"},{"id":16,"name":"Locomotive ID","value":"4022"},{"id":130,"name":"Impact","value":""},{"id":150,"name":"Time of Event (Mountain Time)","value":"12:20:32"},{"id":151,"name":"Denver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0"/>
        <v>start /low /b %USERPROFILE%\Documents\GitHub\eaglep3\Utilities\DownloadLogsFromS3.py --loco 4022 --day 2017-01-16</v>
      </c>
      <c r="AN77" s="18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2017-01-16-UncaughtWiMAX.txt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607</v>
      </c>
      <c r="B78" s="7">
        <v>4021</v>
      </c>
      <c r="C78" s="22" t="s">
        <v>201</v>
      </c>
      <c r="D78" s="22" t="s">
        <v>744</v>
      </c>
      <c r="E78" s="13">
        <v>42751.518599537034</v>
      </c>
      <c r="F78" s="13">
        <v>42751.528611111113</v>
      </c>
      <c r="G78" s="7">
        <v>1</v>
      </c>
      <c r="H78" s="22" t="s">
        <v>239</v>
      </c>
      <c r="I78" s="13">
        <v>42751.555497685185</v>
      </c>
      <c r="J78" s="7">
        <v>0</v>
      </c>
      <c r="K78" s="105" t="str">
        <f t="shared" si="22"/>
        <v>4021/4022</v>
      </c>
      <c r="L78" s="22" t="str">
        <f>VLOOKUP(A78,'Trips&amp;Operators'!$C$1:$G$99999,5,FALSE)</f>
        <v>ROMERO CHAD</v>
      </c>
      <c r="M78" s="6">
        <f t="shared" si="23"/>
        <v>2.6886574072705116E-2</v>
      </c>
      <c r="N78" s="7">
        <f t="shared" si="24"/>
        <v>38.716666664695367</v>
      </c>
      <c r="O78" s="7"/>
      <c r="P78" s="7"/>
      <c r="Q78" s="23"/>
      <c r="R78" s="23"/>
      <c r="S78" s="32">
        <f t="shared" si="25"/>
        <v>1</v>
      </c>
      <c r="T78" s="47" t="str">
        <f t="shared" si="26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7"/>
        <v>https://d0f6bd738d7f1b3e5a7ca70fe4ff75f0.us-east-1.aws.found.io/app/kibana#/discover/Steve-Slow-Train-Analysis-(2080s-and-2083s)?_g=(refreshInterval:(display:Off,pause:!f,section:0,value:0),time:(from:'2017-01-16T11:26:47-0700',mode:absolute,to:'2017-01-16T14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49" t="str">
        <f t="shared" si="28"/>
        <v>N</v>
      </c>
      <c r="X78" s="173">
        <f t="shared" si="29"/>
        <v>1</v>
      </c>
      <c r="Y78" s="64">
        <f t="shared" si="30"/>
        <v>23.299600000000002</v>
      </c>
      <c r="Z78" s="64">
        <f t="shared" si="21"/>
        <v>1.3899999999999999E-2</v>
      </c>
      <c r="AA78" s="64">
        <f t="shared" si="31"/>
        <v>23.285700000000002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32"/>
        <v>0166-16</v>
      </c>
      <c r="AE78" s="87" t="str">
        <f t="shared" si="33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78" s="84" t="str">
        <f t="shared" si="34"/>
        <v>"C:\Program Files (x86)\AstroGrep\AstroGrep.exe" /spath="%USERPROFILE%\AppData\Local\Temp\OnboardLogs" /stypes="app*4021*20170116*"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166-16 --locoid 4021 --swversion DE.1.0.8.0 --startMP 204:232996 --initTime 2017-01-16T12:26:47 --startdatetime 2017-01-16T12:41:12 --delay 1 --endMP 204:139 --enddatetime 2017-01-16T13:19:55 --enforcementcount 0 &gt;&gt;C:\Users\stu\Documents\GitHub\eaglep3-reporting\EC\2017-01-16-refined-times.txt</v>
      </c>
      <c r="AI78" s="115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{"issue":{"subject":"","project_id":79,"tracker_id":40,"status_id":1,"priority_id":2,"assigned_to_id":23,"start_date":"2017-01-16","description":"","custom_fields":[{"id":1,"name":"Subdivision","value":"EC"},{"id":4,"name":"Milepost","value":"0.0139"},{"id":17,"name":"Train ID","value":"166-16"},{"id":16,"name":"Locomotive ID","value":"4021"},{"id":130,"name":"Impact","value":""},{"id":150,"name":"Time of Event (Mountain Time)","value":"13:19:55"},{"id":151,"name":"Denver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ref="AM78:AM141" si="38">"start /low /b "&amp;dls3logs&amp;" --loco "&amp;B78&amp;" --day "&amp;TEXT(F78,"YYYY-MM-DD")</f>
        <v>start /low /b %USERPROFILE%\Documents\GitHub\eaglep3\Utilities\DownloadLogsFromS3.py --loco 4021 --day 2017-01-16</v>
      </c>
      <c r="AN78" s="18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2017-01-16-UncaughtWiMAX.txt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492</v>
      </c>
      <c r="B79" s="7">
        <v>4003</v>
      </c>
      <c r="C79" s="22" t="s">
        <v>201</v>
      </c>
      <c r="D79" s="22" t="s">
        <v>411</v>
      </c>
      <c r="E79" s="13">
        <v>42751.494513888887</v>
      </c>
      <c r="F79" s="13">
        <v>42751.50037037037</v>
      </c>
      <c r="G79" s="7">
        <v>1</v>
      </c>
      <c r="H79" s="22" t="s">
        <v>279</v>
      </c>
      <c r="I79" s="13">
        <v>42751.525937500002</v>
      </c>
      <c r="J79" s="7">
        <v>0</v>
      </c>
      <c r="K79" s="105" t="str">
        <f t="shared" si="22"/>
        <v>4003/4004</v>
      </c>
      <c r="L79" s="22" t="str">
        <f>VLOOKUP(A79,'Trips&amp;Operators'!$C$1:$G$99999,5,FALSE)</f>
        <v>CRAYTON QUNTRELL</v>
      </c>
      <c r="M79" s="6">
        <f t="shared" si="23"/>
        <v>2.5567129632690921E-2</v>
      </c>
      <c r="N79" s="7">
        <f t="shared" si="24"/>
        <v>36.816666671074927</v>
      </c>
      <c r="O79" s="7"/>
      <c r="P79" s="7"/>
      <c r="Q79" s="23"/>
      <c r="R79" s="23"/>
      <c r="S79" s="32">
        <f t="shared" si="25"/>
        <v>1</v>
      </c>
      <c r="T79" s="47" t="str">
        <f t="shared" si="26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7"/>
        <v>https://d0f6bd738d7f1b3e5a7ca70fe4ff75f0.us-east-1.aws.found.io/app/kibana#/discover/Steve-Slow-Train-Analysis-(2080s-and-2083s)?_g=(refreshInterval:(display:Off,pause:!f,section:0,value:0),time:(from:'2017-01-16T10:52:06-0700',mode:absolute,to:'2017-01-16T13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9" s="49" t="str">
        <f t="shared" si="28"/>
        <v>N</v>
      </c>
      <c r="X79" s="173">
        <f t="shared" si="29"/>
        <v>1</v>
      </c>
      <c r="Y79" s="64">
        <f t="shared" si="30"/>
        <v>4.8899999999999999E-2</v>
      </c>
      <c r="Z79" s="64">
        <f t="shared" si="21"/>
        <v>23.329899999999999</v>
      </c>
      <c r="AA79" s="64">
        <f t="shared" si="31"/>
        <v>23.280999999999999</v>
      </c>
      <c r="AB79" s="61" t="str">
        <f>VLOOKUP(A79,Enforcements!$C$7:$K$16,8,0)</f>
        <v>Speed (6)</v>
      </c>
      <c r="AC79" s="57" t="str">
        <f>VLOOKUP(A79,Enforcements!$C$7:$E$16,3,0)</f>
        <v>PERMANENT SPEED RESTRICTION</v>
      </c>
      <c r="AD79" s="58" t="str">
        <f t="shared" si="32"/>
        <v>0167-16</v>
      </c>
      <c r="AE79" s="87" t="str">
        <f t="shared" si="33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79" s="84" t="str">
        <f t="shared" si="34"/>
        <v>"C:\Program Files (x86)\AstroGrep\AstroGrep.exe" /spath="%USERPROFILE%\AppData\Local\Temp\OnboardLogs" /stypes="app*4003*20170116*"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167-16 --locoid 4003 --swversion DE.1.0.8.0 --startMP 204:489 --initTime 2017-01-16T11:52:06 --startdatetime 2017-01-16T12:00:32 --delay 1 --endMP 204:233299 --enddatetime 2017-01-16T12:37:21 --enforcementcount 0 &gt;&gt;C:\Users\stu\Documents\GitHub\eaglep3-reporting\EC\2017-01-16-refined-times.txt</v>
      </c>
      <c r="AI79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{"issue":{"subject":"","project_id":79,"tracker_id":40,"status_id":1,"priority_id":2,"assigned_to_id":23,"start_date":"2017-01-16","description":"","custom_fields":[{"id":1,"name":"Subdivision","value":"EC"},{"id":4,"name":"Milepost","value":"23.3299"},{"id":17,"name":"Train ID","value":"167-16"},{"id":16,"name":"Locomotive ID","value":"4003"},{"id":130,"name":"Impact","value":""},{"id":150,"name":"Time of Event (Mountain Time)","value":"12:37:21"},{"id":151,"name":"Denver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38"/>
        <v>start /low /b %USERPROFILE%\Documents\GitHub\eaglep3\Utilities\DownloadLogsFromS3.py --loco 4003 --day 2017-01-16</v>
      </c>
      <c r="AN79" s="18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"%USERPROFILE%\AppData\Local\Temp\OnboardLogs"\RTDC4003\*4003*20170116* | grep -SE "(Enforcement Action)|(\[TIMEOUT)|(CHR.+\|PRM\|1\|D.+(SWITCH|SIGNAL).+UNKNOWN)" - &gt;&gt; 2017-01-16-UncaughtWiMAX.txt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611</v>
      </c>
      <c r="B80" s="7">
        <v>4004</v>
      </c>
      <c r="C80" s="22" t="s">
        <v>201</v>
      </c>
      <c r="D80" s="22" t="s">
        <v>388</v>
      </c>
      <c r="E80" s="13">
        <v>42751.530636574076</v>
      </c>
      <c r="F80" s="13">
        <v>42751.5391087963</v>
      </c>
      <c r="G80" s="7">
        <v>1</v>
      </c>
      <c r="H80" s="22" t="s">
        <v>242</v>
      </c>
      <c r="I80" s="13">
        <v>42751.567083333335</v>
      </c>
      <c r="J80" s="7">
        <v>0</v>
      </c>
      <c r="K80" s="105" t="str">
        <f t="shared" si="22"/>
        <v>4003/4004</v>
      </c>
      <c r="L80" s="22" t="str">
        <f>VLOOKUP(A80,'Trips&amp;Operators'!$C$1:$G$99999,5,FALSE)</f>
        <v>CRAYTON QUNTRELL</v>
      </c>
      <c r="M80" s="6">
        <f t="shared" si="23"/>
        <v>2.7974537035333924E-2</v>
      </c>
      <c r="N80" s="7">
        <f t="shared" si="24"/>
        <v>40.283333330880851</v>
      </c>
      <c r="O80" s="7"/>
      <c r="P80" s="7"/>
      <c r="Q80" s="23"/>
      <c r="R80" s="23"/>
      <c r="S80" s="32">
        <f t="shared" si="25"/>
        <v>1</v>
      </c>
      <c r="T80" s="47" t="str">
        <f t="shared" si="26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7"/>
        <v>https://d0f6bd738d7f1b3e5a7ca70fe4ff75f0.us-east-1.aws.found.io/app/kibana#/discover/Steve-Slow-Train-Analysis-(2080s-and-2083s)?_g=(refreshInterval:(display:Off,pause:!f,section:0,value:0),time:(from:'2017-01-16T11:44:07-0700',mode:absolute,to:'2017-01-16T14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0" s="49" t="str">
        <f t="shared" si="28"/>
        <v>N</v>
      </c>
      <c r="X80" s="173">
        <f t="shared" si="29"/>
        <v>1</v>
      </c>
      <c r="Y80" s="64">
        <f t="shared" si="30"/>
        <v>23.298200000000001</v>
      </c>
      <c r="Z80" s="64">
        <f t="shared" si="21"/>
        <v>1.6E-2</v>
      </c>
      <c r="AA80" s="64">
        <f t="shared" si="31"/>
        <v>23.282200000000003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32"/>
        <v>0168-16</v>
      </c>
      <c r="AE80" s="87" t="str">
        <f t="shared" si="33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80" s="84" t="str">
        <f t="shared" si="34"/>
        <v>"C:\Program Files (x86)\AstroGrep\AstroGrep.exe" /spath="%USERPROFILE%\AppData\Local\Temp\OnboardLogs" /stypes="app*4004*20170116*"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168-16 --locoid 4004 --swversion DE.1.0.8.0 --startMP 204:232982 --initTime 2017-01-16T12:44:07 --startdatetime 2017-01-16T12:56:19 --delay 1 --endMP 204:160 --enddatetime 2017-01-16T13:36:36 --enforcementcount 0 &gt;&gt;C:\Users\stu\Documents\GitHub\eaglep3-reporting\EC\2017-01-16-refined-times.txt</v>
      </c>
      <c r="AI80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{"issue":{"subject":"","project_id":79,"tracker_id":40,"status_id":1,"priority_id":2,"assigned_to_id":23,"start_date":"2017-01-16","description":"","custom_fields":[{"id":1,"name":"Subdivision","value":"EC"},{"id":4,"name":"Milepost","value":"0.016"},{"id":17,"name":"Train ID","value":"168-16"},{"id":16,"name":"Locomotive ID","value":"4004"},{"id":130,"name":"Impact","value":""},{"id":150,"name":"Time of Event (Mountain Time)","value":"13:36:36"},{"id":151,"name":"Denver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38"/>
        <v>start /low /b %USERPROFILE%\Documents\GitHub\eaglep3\Utilities\DownloadLogsFromS3.py --loco 4004 --day 2017-01-16</v>
      </c>
      <c r="AN80" s="18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"%USERPROFILE%\AppData\Local\Temp\OnboardLogs"\RTDC4004\*4004*20170116* | grep -SE "(Enforcement Action)|(\[TIMEOUT)|(CHR.+\|PRM\|1\|D.+(SWITCH|SIGNAL).+UNKNOWN)" - &gt;&gt; 2017-01-16-UncaughtWiMAX.txt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604</v>
      </c>
      <c r="B81" s="7">
        <v>4038</v>
      </c>
      <c r="C81" s="22" t="s">
        <v>201</v>
      </c>
      <c r="D81" s="22" t="s">
        <v>286</v>
      </c>
      <c r="E81" s="13">
        <v>42751.5080787037</v>
      </c>
      <c r="F81" s="13">
        <v>42751.510763888888</v>
      </c>
      <c r="G81" s="7">
        <v>2</v>
      </c>
      <c r="H81" s="22" t="s">
        <v>768</v>
      </c>
      <c r="I81" s="13">
        <v>42751.535775462966</v>
      </c>
      <c r="J81" s="7">
        <v>0</v>
      </c>
      <c r="K81" s="105" t="str">
        <f t="shared" si="22"/>
        <v>4037/4038</v>
      </c>
      <c r="L81" s="22" t="str">
        <f>VLOOKUP(A81,'Trips&amp;Operators'!$C$1:$G$99999,5,FALSE)</f>
        <v>YANG JAN</v>
      </c>
      <c r="M81" s="6">
        <f t="shared" si="23"/>
        <v>2.5011574078234844E-2</v>
      </c>
      <c r="N81" s="7">
        <f t="shared" si="24"/>
        <v>36.016666672658175</v>
      </c>
      <c r="O81" s="7"/>
      <c r="P81" s="7"/>
      <c r="Q81" s="23"/>
      <c r="R81" s="23"/>
      <c r="S81" s="32">
        <f t="shared" si="25"/>
        <v>1</v>
      </c>
      <c r="T81" s="47" t="str">
        <f t="shared" si="26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7"/>
        <v>https://d0f6bd738d7f1b3e5a7ca70fe4ff75f0.us-east-1.aws.found.io/app/kibana#/discover/Steve-Slow-Train-Analysis-(2080s-and-2083s)?_g=(refreshInterval:(display:Off,pause:!f,section:0,value:0),time:(from:'2017-01-16T11:11:38-0700',mode:absolute,to:'2017-01-16T13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1" s="49" t="str">
        <f t="shared" si="28"/>
        <v>N</v>
      </c>
      <c r="X81" s="173">
        <f t="shared" si="29"/>
        <v>1</v>
      </c>
      <c r="Y81" s="64">
        <f t="shared" si="30"/>
        <v>4.3799999999999999E-2</v>
      </c>
      <c r="Z81" s="64">
        <f t="shared" si="21"/>
        <v>23.331499999999998</v>
      </c>
      <c r="AA81" s="64">
        <f t="shared" si="31"/>
        <v>23.287699999999997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32"/>
        <v>0169-16</v>
      </c>
      <c r="AE81" s="87" t="str">
        <f t="shared" si="33"/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AF81" s="84" t="str">
        <f t="shared" si="34"/>
        <v>"C:\Program Files (x86)\AstroGrep\AstroGrep.exe" /spath="%USERPROFILE%\AppData\Local\Temp\OnboardLogs" /stypes="app*4038*20170116*"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169-16 --locoid 4038 --swversion DE.1.0.8.0 --startMP 204:438 --initTime 2017-01-16T12:11:38 --startdatetime 2017-01-16T12:15:30 --delay 2 --endMP 204:233315 --enddatetime 2017-01-16T12:51:31 --enforcementcount 0 &gt;&gt;C:\Users\stu\Documents\GitHub\eaglep3-reporting\EC\2017-01-16-refined-times.txt</v>
      </c>
      <c r="AI81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{"issue":{"subject":"","project_id":79,"tracker_id":40,"status_id":1,"priority_id":2,"assigned_to_id":23,"start_date":"2017-01-16","description":"","custom_fields":[{"id":1,"name":"Subdivision","value":"EC"},{"id":4,"name":"Milepost","value":"23.3315"},{"id":17,"name":"Train ID","value":"169-16"},{"id":16,"name":"Locomotive ID","value":"4038"},{"id":130,"name":"Impact","value":""},{"id":150,"name":"Time of Event (Mountain Time)","value":"12:51:31"},{"id":151,"name":"Denver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38"/>
        <v>start /low /b %USERPROFILE%\Documents\GitHub\eaglep3\Utilities\DownloadLogsFromS3.py --loco 4038 --day 2017-01-16</v>
      </c>
      <c r="AN81" s="18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"%USERPROFILE%\AppData\Local\Temp\OnboardLogs"\RTDC4038\*4038*20170116* | grep -SE "(Enforcement Action)|(\[TIMEOUT)|(CHR.+\|PRM\|1\|D.+(SWITCH|SIGNAL).+UNKNOWN)" - &gt;&gt; 2017-01-16-UncaughtWiMAX.txt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613</v>
      </c>
      <c r="B82" s="7">
        <v>4037</v>
      </c>
      <c r="C82" s="22" t="s">
        <v>201</v>
      </c>
      <c r="D82" s="22" t="s">
        <v>307</v>
      </c>
      <c r="E82" s="13">
        <v>42751.544687499998</v>
      </c>
      <c r="F82" s="13">
        <v>42751.549525462964</v>
      </c>
      <c r="G82" s="7">
        <v>1</v>
      </c>
      <c r="H82" s="22" t="s">
        <v>257</v>
      </c>
      <c r="I82" s="13">
        <v>42751.577743055554</v>
      </c>
      <c r="J82" s="7">
        <v>0</v>
      </c>
      <c r="K82" s="105" t="str">
        <f t="shared" si="22"/>
        <v>4037/4038</v>
      </c>
      <c r="L82" s="22" t="str">
        <f>VLOOKUP(A82,'Trips&amp;Operators'!$C$1:$G$99999,5,FALSE)</f>
        <v>YANG JAN</v>
      </c>
      <c r="M82" s="6">
        <f t="shared" si="23"/>
        <v>2.8217592589498963E-2</v>
      </c>
      <c r="N82" s="7">
        <f t="shared" si="24"/>
        <v>40.633333328878507</v>
      </c>
      <c r="O82" s="7"/>
      <c r="P82" s="7"/>
      <c r="Q82" s="23"/>
      <c r="R82" s="23"/>
      <c r="S82" s="32">
        <f t="shared" si="25"/>
        <v>1</v>
      </c>
      <c r="T82" s="47" t="str">
        <f t="shared" si="26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7"/>
        <v>https://d0f6bd738d7f1b3e5a7ca70fe4ff75f0.us-east-1.aws.found.io/app/kibana#/discover/Steve-Slow-Train-Analysis-(2080s-and-2083s)?_g=(refreshInterval:(display:Off,pause:!f,section:0,value:0),time:(from:'2017-01-16T12:04:21-0700',mode:absolute,to:'2017-01-16T14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2" s="49" t="str">
        <f t="shared" si="28"/>
        <v>N</v>
      </c>
      <c r="X82" s="173">
        <f t="shared" si="29"/>
        <v>1</v>
      </c>
      <c r="Y82" s="64">
        <f t="shared" si="30"/>
        <v>23.297899999999998</v>
      </c>
      <c r="Z82" s="64">
        <f t="shared" ref="Z82:Z113" si="39">RIGHT(H82,LEN(H82)-4)/10000</f>
        <v>1.5800000000000002E-2</v>
      </c>
      <c r="AA82" s="64">
        <f t="shared" si="31"/>
        <v>23.2821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32"/>
        <v>0170-16</v>
      </c>
      <c r="AE82" s="87" t="str">
        <f t="shared" si="33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82" s="84" t="str">
        <f t="shared" si="34"/>
        <v>"C:\Program Files (x86)\AstroGrep\AstroGrep.exe" /spath="%USERPROFILE%\AppData\Local\Temp\OnboardLogs" /stypes="app*4037*20170116*"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170-16 --locoid 4037 --swversion DE.1.0.8.0 --startMP 204:232979 --initTime 2017-01-16T13:04:21 --startdatetime 2017-01-16T13:11:19 --delay 1 --endMP 204:158 --enddatetime 2017-01-16T13:51:57 --enforcementcount 0 &gt;&gt;C:\Users\stu\Documents\GitHub\eaglep3-reporting\EC\2017-01-16-refined-times.txt</v>
      </c>
      <c r="AI82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{"issue":{"subject":"","project_id":79,"tracker_id":40,"status_id":1,"priority_id":2,"assigned_to_id":23,"start_date":"2017-01-16","description":"","custom_fields":[{"id":1,"name":"Subdivision","value":"EC"},{"id":4,"name":"Milepost","value":"0.0158"},{"id":17,"name":"Train ID","value":"170-16"},{"id":16,"name":"Locomotive ID","value":"4037"},{"id":130,"name":"Impact","value":""},{"id":150,"name":"Time of Event (Mountain Time)","value":"13:51:57"},{"id":151,"name":"Denver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38"/>
        <v>start /low /b %USERPROFILE%\Documents\GitHub\eaglep3\Utilities\DownloadLogsFromS3.py --loco 4037 --day 2017-01-16</v>
      </c>
      <c r="AN82" s="18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2017-01-16-UncaughtWiMAX.txt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606</v>
      </c>
      <c r="B83" s="7">
        <v>4029</v>
      </c>
      <c r="C83" s="22" t="s">
        <v>201</v>
      </c>
      <c r="D83" s="22" t="s">
        <v>243</v>
      </c>
      <c r="E83" s="13">
        <v>42751.515428240738</v>
      </c>
      <c r="F83" s="13">
        <v>42751.521006944444</v>
      </c>
      <c r="G83" s="7">
        <v>1</v>
      </c>
      <c r="H83" s="22" t="s">
        <v>348</v>
      </c>
      <c r="I83" s="13">
        <v>42751.547488425924</v>
      </c>
      <c r="J83" s="7">
        <v>0</v>
      </c>
      <c r="K83" s="105" t="str">
        <f t="shared" si="22"/>
        <v>4029/4030</v>
      </c>
      <c r="L83" s="22" t="str">
        <f>VLOOKUP(A83,'Trips&amp;Operators'!$C$1:$G$99999,5,FALSE)</f>
        <v>KILLION DAVID</v>
      </c>
      <c r="M83" s="6">
        <f t="shared" si="23"/>
        <v>2.6481481480004732E-2</v>
      </c>
      <c r="N83" s="7">
        <f t="shared" si="24"/>
        <v>38.133333331206813</v>
      </c>
      <c r="O83" s="7"/>
      <c r="P83" s="7"/>
      <c r="Q83" s="23"/>
      <c r="R83" s="23"/>
      <c r="S83" s="32">
        <f t="shared" si="25"/>
        <v>1</v>
      </c>
      <c r="T83" s="47" t="str">
        <f t="shared" si="26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7"/>
        <v>https://d0f6bd738d7f1b3e5a7ca70fe4ff75f0.us-east-1.aws.found.io/app/kibana#/discover/Steve-Slow-Train-Analysis-(2080s-and-2083s)?_g=(refreshInterval:(display:Off,pause:!f,section:0,value:0),time:(from:'2017-01-16T11:22:13-0700',mode:absolute,to:'2017-01-16T14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3" s="49" t="str">
        <f t="shared" si="28"/>
        <v>N</v>
      </c>
      <c r="X83" s="173">
        <f t="shared" si="29"/>
        <v>1</v>
      </c>
      <c r="Y83" s="64">
        <f t="shared" si="30"/>
        <v>4.6199999999999998E-2</v>
      </c>
      <c r="Z83" s="64">
        <f t="shared" si="39"/>
        <v>23.329499999999999</v>
      </c>
      <c r="AA83" s="64">
        <f t="shared" si="31"/>
        <v>23.283300000000001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2"/>
        <v>0171-16</v>
      </c>
      <c r="AE83" s="87" t="str">
        <f t="shared" si="33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83" s="84" t="str">
        <f t="shared" si="34"/>
        <v>"C:\Program Files (x86)\AstroGrep\AstroGrep.exe" /spath="%USERPROFILE%\AppData\Local\Temp\OnboardLogs" /stypes="app*4029*20170116*"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171-16 --locoid 4029 --swversion DE.1.0.8.0 --startMP 204:462 --initTime 2017-01-16T12:22:13 --startdatetime 2017-01-16T12:30:15 --delay 1 --endMP 204:233295 --enddatetime 2017-01-16T13:08:23 --enforcementcount 0 &gt;&gt;C:\Users\stu\Documents\GitHub\eaglep3-reporting\EC\2017-01-16-refined-times.txt</v>
      </c>
      <c r="AI83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{"issue":{"subject":"","project_id":79,"tracker_id":40,"status_id":1,"priority_id":2,"assigned_to_id":23,"start_date":"2017-01-16","description":"","custom_fields":[{"id":1,"name":"Subdivision","value":"EC"},{"id":4,"name":"Milepost","value":"23.3295"},{"id":17,"name":"Train ID","value":"171-16"},{"id":16,"name":"Locomotive ID","value":"4029"},{"id":130,"name":"Impact","value":""},{"id":150,"name":"Time of Event (Mountain Time)","value":"13:08:23"},{"id":151,"name":"Denver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38"/>
        <v>start /low /b %USERPROFILE%\Documents\GitHub\eaglep3\Utilities\DownloadLogsFromS3.py --loco 4029 --day 2017-01-16</v>
      </c>
      <c r="AN83" s="18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"%USERPROFILE%\AppData\Local\Temp\OnboardLogs"\RTDC4029\*4029*20170116* | grep -SE "(Enforcement Action)|(\[TIMEOUT)|(CHR.+\|PRM\|1\|D.+(SWITCH|SIGNAL).+UNKNOWN)" - &gt;&gt; 2017-01-16-UncaughtWiMAX.txt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494</v>
      </c>
      <c r="B84" s="7">
        <v>4030</v>
      </c>
      <c r="C84" s="22" t="s">
        <v>201</v>
      </c>
      <c r="D84" s="22" t="s">
        <v>766</v>
      </c>
      <c r="E84" s="13">
        <v>42751.55363425926</v>
      </c>
      <c r="F84" s="13">
        <v>42751.560601851852</v>
      </c>
      <c r="G84" s="7">
        <v>1</v>
      </c>
      <c r="H84" s="22" t="s">
        <v>769</v>
      </c>
      <c r="I84" s="13">
        <v>42751.589155092595</v>
      </c>
      <c r="J84" s="7">
        <v>0</v>
      </c>
      <c r="K84" s="105" t="str">
        <f t="shared" si="22"/>
        <v>4029/4030</v>
      </c>
      <c r="L84" s="22" t="str">
        <f>VLOOKUP(A84,'Trips&amp;Operators'!$C$1:$G$99999,5,FALSE)</f>
        <v>KILLION DAVID</v>
      </c>
      <c r="M84" s="6">
        <f t="shared" si="23"/>
        <v>2.8553240743349306E-2</v>
      </c>
      <c r="N84" s="7">
        <f t="shared" si="24"/>
        <v>41.116666670423001</v>
      </c>
      <c r="O84" s="7"/>
      <c r="P84" s="7"/>
      <c r="Q84" s="23"/>
      <c r="R84" s="23"/>
      <c r="S84" s="32">
        <f t="shared" si="25"/>
        <v>1</v>
      </c>
      <c r="T84" s="47" t="str">
        <f t="shared" si="26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7"/>
        <v>https://d0f6bd738d7f1b3e5a7ca70fe4ff75f0.us-east-1.aws.found.io/app/kibana#/discover/Steve-Slow-Train-Analysis-(2080s-and-2083s)?_g=(refreshInterval:(display:Off,pause:!f,section:0,value:0),time:(from:'2017-01-16T12:17:14-0700',mode:absolute,to:'2017-01-16T15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4" s="49" t="str">
        <f t="shared" si="28"/>
        <v>N</v>
      </c>
      <c r="X84" s="173">
        <f t="shared" si="29"/>
        <v>1</v>
      </c>
      <c r="Y84" s="64">
        <f t="shared" si="30"/>
        <v>23.297499999999999</v>
      </c>
      <c r="Z84" s="64">
        <f t="shared" si="39"/>
        <v>1.1900000000000001E-2</v>
      </c>
      <c r="AA84" s="64">
        <f t="shared" si="31"/>
        <v>23.285599999999999</v>
      </c>
      <c r="AB84" s="61" t="str">
        <f>VLOOKUP(A84,Enforcements!$C$7:$K$16,8,0)</f>
        <v>Speed (6)</v>
      </c>
      <c r="AC84" s="57" t="str">
        <f>VLOOKUP(A84,Enforcements!$C$7:$E$16,3,0)</f>
        <v>PERMANENT SPEED RESTRICTION</v>
      </c>
      <c r="AD84" s="58" t="str">
        <f t="shared" si="32"/>
        <v>0172-16</v>
      </c>
      <c r="AE84" s="87" t="str">
        <f t="shared" si="33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84" s="84" t="str">
        <f t="shared" si="34"/>
        <v>"C:\Program Files (x86)\AstroGrep\AstroGrep.exe" /spath="%USERPROFILE%\AppData\Local\Temp\OnboardLogs" /stypes="app*4030*20170116*"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172-16 --locoid 4030 --swversion DE.1.0.8.0 --startMP 204:232975 --initTime 2017-01-16T13:17:14 --startdatetime 2017-01-16T13:27:16 --delay 1 --endMP 204:119 --enddatetime 2017-01-16T14:08:23 --enforcementcount 0 &gt;&gt;C:\Users\stu\Documents\GitHub\eaglep3-reporting\EC\2017-01-16-refined-times.txt</v>
      </c>
      <c r="AI84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{"issue":{"subject":"","project_id":79,"tracker_id":40,"status_id":1,"priority_id":2,"assigned_to_id":23,"start_date":"2017-01-16","description":"","custom_fields":[{"id":1,"name":"Subdivision","value":"EC"},{"id":4,"name":"Milepost","value":"0.0119"},{"id":17,"name":"Train ID","value":"172-16"},{"id":16,"name":"Locomotive ID","value":"4030"},{"id":130,"name":"Impact","value":""},{"id":150,"name":"Time of Event (Mountain Time)","value":"14:08:23"},{"id":151,"name":"Denver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38"/>
        <v>start /low /b %USERPROFILE%\Documents\GitHub\eaglep3\Utilities\DownloadLogsFromS3.py --loco 4030 --day 2017-01-16</v>
      </c>
      <c r="AN84" s="18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"%USERPROFILE%\AppData\Local\Temp\OnboardLogs"\RTDC4030\*4030*20170116* | grep -SE "(Enforcement Action)|(\[TIMEOUT)|(CHR.+\|PRM\|1\|D.+(SWITCH|SIGNAL).+UNKNOWN)" - &gt;&gt; 2017-01-16-UncaughtWiMAX.txt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609</v>
      </c>
      <c r="B85" s="7">
        <v>4031</v>
      </c>
      <c r="C85" s="22" t="s">
        <v>201</v>
      </c>
      <c r="D85" s="22" t="s">
        <v>221</v>
      </c>
      <c r="E85" s="13">
        <v>42751.527766203704</v>
      </c>
      <c r="F85" s="13">
        <v>42751.531481481485</v>
      </c>
      <c r="G85" s="7">
        <v>2</v>
      </c>
      <c r="H85" s="22" t="s">
        <v>413</v>
      </c>
      <c r="I85" s="13">
        <v>42751.555949074071</v>
      </c>
      <c r="J85" s="7">
        <v>0</v>
      </c>
      <c r="K85" s="105" t="str">
        <f t="shared" si="22"/>
        <v>4031/4032</v>
      </c>
      <c r="L85" s="22" t="str">
        <f>VLOOKUP(A85,'Trips&amp;Operators'!$C$1:$G$99999,5,FALSE)</f>
        <v>STEWART MICHAEL</v>
      </c>
      <c r="M85" s="6">
        <f t="shared" si="23"/>
        <v>2.4467592586006504E-2</v>
      </c>
      <c r="N85" s="7">
        <f t="shared" si="24"/>
        <v>35.233333323849365</v>
      </c>
      <c r="O85" s="7"/>
      <c r="P85" s="7"/>
      <c r="Q85" s="23"/>
      <c r="R85" s="23"/>
      <c r="S85" s="32">
        <f t="shared" si="25"/>
        <v>1</v>
      </c>
      <c r="T85" s="47" t="str">
        <f t="shared" si="26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7"/>
        <v>https://d0f6bd738d7f1b3e5a7ca70fe4ff75f0.us-east-1.aws.found.io/app/kibana#/discover/Steve-Slow-Train-Analysis-(2080s-and-2083s)?_g=(refreshInterval:(display:Off,pause:!f,section:0,value:0),time:(from:'2017-01-16T11:39:59-0700',mode:absolute,to:'2017-01-16T14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5" s="49" t="str">
        <f t="shared" si="28"/>
        <v>N</v>
      </c>
      <c r="X85" s="173">
        <f t="shared" si="29"/>
        <v>1</v>
      </c>
      <c r="Y85" s="64">
        <f t="shared" si="30"/>
        <v>4.5499999999999999E-2</v>
      </c>
      <c r="Z85" s="64">
        <f t="shared" si="39"/>
        <v>23.328499999999998</v>
      </c>
      <c r="AA85" s="64">
        <f t="shared" si="31"/>
        <v>23.282999999999998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32"/>
        <v>0173-16</v>
      </c>
      <c r="AE85" s="87" t="str">
        <f t="shared" si="33"/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AF85" s="84" t="str">
        <f t="shared" si="34"/>
        <v>"C:\Program Files (x86)\AstroGrep\AstroGrep.exe" /spath="%USERPROFILE%\AppData\Local\Temp\OnboardLogs" /stypes="app*4031*20170116*" /stext=" 20:.+((SYSTEM_STATE.+slice.+state.+changed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173-16 --locoid 4031 --swversion DE.1.0.8.0 --startMP 204:455 --initTime 2017-01-16T12:39:59 --startdatetime 2017-01-16T12:45:20 --delay 2 --endMP 204:233285 --enddatetime 2017-01-16T13:20:34 --enforcementcount 0 &gt;&gt;C:\Users\stu\Documents\GitHub\eaglep3-reporting\EC\2017-01-16-refined-times.txt</v>
      </c>
      <c r="AI85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{"issue":{"subject":"","project_id":79,"tracker_id":40,"status_id":1,"priority_id":2,"assigned_to_id":23,"start_date":"2017-01-16","description":"","custom_fields":[{"id":1,"name":"Subdivision","value":"EC"},{"id":4,"name":"Milepost","value":"23.3285"},{"id":17,"name":"Train ID","value":"173-16"},{"id":16,"name":"Locomotive ID","value":"4031"},{"id":130,"name":"Impact","value":""},{"id":150,"name":"Time of Event (Mountain Time)","value":"13:20:34"},{"id":151,"name":"Denver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38"/>
        <v>start /low /b %USERPROFILE%\Documents\GitHub\eaglep3\Utilities\DownloadLogsFromS3.py --loco 4031 --day 2017-01-16</v>
      </c>
      <c r="AN85" s="18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"%USERPROFILE%\AppData\Local\Temp\OnboardLogs"\RTDC4031\*4031*20170116* | grep -SE "(Enforcement Action)|(\[TIMEOUT)|(CHR.+\|PRM\|1\|D.+(SWITCH|SIGNAL).+UNKNOWN)" - &gt;&gt; 2017-01-16-UncaughtWiMAX.txt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616</v>
      </c>
      <c r="B86" s="7">
        <v>4032</v>
      </c>
      <c r="C86" s="22" t="s">
        <v>201</v>
      </c>
      <c r="D86" s="22" t="s">
        <v>770</v>
      </c>
      <c r="E86" s="13">
        <v>42751.565752314818</v>
      </c>
      <c r="F86" s="13">
        <v>42751.570509259262</v>
      </c>
      <c r="G86" s="7">
        <v>1</v>
      </c>
      <c r="H86" s="22" t="s">
        <v>771</v>
      </c>
      <c r="I86" s="13">
        <v>42751.597581018519</v>
      </c>
      <c r="J86" s="7">
        <v>0</v>
      </c>
      <c r="K86" s="105" t="str">
        <f t="shared" si="22"/>
        <v>4031/4032</v>
      </c>
      <c r="L86" s="22" t="str">
        <f>VLOOKUP(A86,'Trips&amp;Operators'!$C$1:$G$99999,5,FALSE)</f>
        <v>STEWART MICHAEL</v>
      </c>
      <c r="M86" s="6">
        <f t="shared" si="23"/>
        <v>2.7071759257523809E-2</v>
      </c>
      <c r="N86" s="7">
        <f t="shared" si="24"/>
        <v>38.983333330834284</v>
      </c>
      <c r="O86" s="7"/>
      <c r="P86" s="7"/>
      <c r="Q86" s="23"/>
      <c r="R86" s="23"/>
      <c r="S86" s="32">
        <f t="shared" si="25"/>
        <v>1</v>
      </c>
      <c r="T86" s="47" t="str">
        <f t="shared" si="26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7"/>
        <v>https://d0f6bd738d7f1b3e5a7ca70fe4ff75f0.us-east-1.aws.found.io/app/kibana#/discover/Steve-Slow-Train-Analysis-(2080s-and-2083s)?_g=(refreshInterval:(display:Off,pause:!f,section:0,value:0),time:(from:'2017-01-16T12:34:41-0700',mode:absolute,to:'2017-01-16T15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49" t="str">
        <f t="shared" si="28"/>
        <v>N</v>
      </c>
      <c r="X86" s="173">
        <f t="shared" si="29"/>
        <v>1</v>
      </c>
      <c r="Y86" s="64">
        <f t="shared" si="30"/>
        <v>23.296399999999998</v>
      </c>
      <c r="Z86" s="64">
        <f t="shared" si="39"/>
        <v>1.7000000000000001E-2</v>
      </c>
      <c r="AA86" s="64">
        <f t="shared" si="31"/>
        <v>23.279399999999999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2"/>
        <v>0174-16</v>
      </c>
      <c r="AE86" s="87" t="str">
        <f t="shared" si="33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86" s="84" t="str">
        <f t="shared" si="34"/>
        <v>"C:\Program Files (x86)\AstroGrep\AstroGrep.exe" /spath="%USERPROFILE%\AppData\Local\Temp\OnboardLogs" /stypes="app*4032*20170116*"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174-16 --locoid 4032 --swversion DE.1.0.8.0 --startMP 204:232964 --initTime 2017-01-16T13:34:41 --startdatetime 2017-01-16T13:41:32 --delay 1 --endMP 204:170 --enddatetime 2017-01-16T14:20:31 --enforcementcount 0 &gt;&gt;C:\Users\stu\Documents\GitHub\eaglep3-reporting\EC\2017-01-16-refined-times.txt</v>
      </c>
      <c r="AI86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{"issue":{"subject":"","project_id":79,"tracker_id":40,"status_id":1,"priority_id":2,"assigned_to_id":23,"start_date":"2017-01-16","description":"","custom_fields":[{"id":1,"name":"Subdivision","value":"EC"},{"id":4,"name":"Milepost","value":"0.017"},{"id":17,"name":"Train ID","value":"174-16"},{"id":16,"name":"Locomotive ID","value":"4032"},{"id":130,"name":"Impact","value":""},{"id":150,"name":"Time of Event (Mountain Time)","value":"14:20:31"},{"id":151,"name":"Denver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38"/>
        <v>start /low /b %USERPROFILE%\Documents\GitHub\eaglep3\Utilities\DownloadLogsFromS3.py --loco 4032 --day 2017-01-16</v>
      </c>
      <c r="AN86" s="18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"%USERPROFILE%\AppData\Local\Temp\OnboardLogs"\RTDC4032\*4032*20170116* | grep -SE "(Enforcement Action)|(\[TIMEOUT)|(CHR.+\|PRM\|1\|D.+(SWITCH|SIGNAL).+UNKNOWN)" - &gt;&gt; 2017-01-16-UncaughtWiMAX.txt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612</v>
      </c>
      <c r="B87" s="7">
        <v>4016</v>
      </c>
      <c r="C87" s="22" t="s">
        <v>201</v>
      </c>
      <c r="D87" s="22" t="s">
        <v>347</v>
      </c>
      <c r="E87" s="13">
        <v>42751.538460648146</v>
      </c>
      <c r="F87" s="13">
        <v>42751.542222222219</v>
      </c>
      <c r="G87" s="7">
        <v>1</v>
      </c>
      <c r="H87" s="22" t="s">
        <v>387</v>
      </c>
      <c r="I87" s="13">
        <v>42751.570381944446</v>
      </c>
      <c r="J87" s="7">
        <v>0</v>
      </c>
      <c r="K87" s="105" t="str">
        <f t="shared" si="22"/>
        <v>4015/4016</v>
      </c>
      <c r="L87" s="22" t="str">
        <f>VLOOKUP(A87,'Trips&amp;Operators'!$C$1:$G$99999,5,FALSE)</f>
        <v>DAVIS MICHAEL</v>
      </c>
      <c r="M87" s="6">
        <f t="shared" si="23"/>
        <v>2.8159722227428574E-2</v>
      </c>
      <c r="N87" s="7">
        <f t="shared" si="24"/>
        <v>40.550000007497147</v>
      </c>
      <c r="O87" s="7"/>
      <c r="P87" s="7"/>
      <c r="Q87" s="23"/>
      <c r="R87" s="23"/>
      <c r="S87" s="32">
        <f t="shared" si="25"/>
        <v>1</v>
      </c>
      <c r="T87" s="47" t="str">
        <f t="shared" si="26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7"/>
        <v>https://d0f6bd738d7f1b3e5a7ca70fe4ff75f0.us-east-1.aws.found.io/app/kibana#/discover/Steve-Slow-Train-Analysis-(2080s-and-2083s)?_g=(refreshInterval:(display:Off,pause:!f,section:0,value:0),time:(from:'2017-01-16T11:55:23-0700',mode:absolute,to:'2017-01-16T14:41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7" s="49" t="str">
        <f t="shared" si="28"/>
        <v>N</v>
      </c>
      <c r="X87" s="173">
        <f t="shared" si="29"/>
        <v>1</v>
      </c>
      <c r="Y87" s="64">
        <f t="shared" si="30"/>
        <v>4.6600000000000003E-2</v>
      </c>
      <c r="Z87" s="64">
        <f t="shared" si="39"/>
        <v>23.328600000000002</v>
      </c>
      <c r="AA87" s="64">
        <f t="shared" si="31"/>
        <v>23.282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32"/>
        <v>0175-16</v>
      </c>
      <c r="AE87" s="87" t="str">
        <f t="shared" si="33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87" s="84" t="str">
        <f t="shared" si="34"/>
        <v>"C:\Program Files (x86)\AstroGrep\AstroGrep.exe" /spath="%USERPROFILE%\AppData\Local\Temp\OnboardLogs" /stypes="app*4016*20170116*"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175-16 --locoid 4016 --swversion DE.1.0.8.0 --startMP 204:466 --initTime 2017-01-16T12:55:23 --startdatetime 2017-01-16T13:00:48 --delay 1 --endMP 204:233286 --enddatetime 2017-01-16T13:41:21 --enforcementcount 0 &gt;&gt;C:\Users\stu\Documents\GitHub\eaglep3-reporting\EC\2017-01-16-refined-times.txt</v>
      </c>
      <c r="AI87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{"issue":{"subject":"","project_id":79,"tracker_id":40,"status_id":1,"priority_id":2,"assigned_to_id":23,"start_date":"2017-01-16","description":"","custom_fields":[{"id":1,"name":"Subdivision","value":"EC"},{"id":4,"name":"Milepost","value":"23.3286"},{"id":17,"name":"Train ID","value":"175-16"},{"id":16,"name":"Locomotive ID","value":"4016"},{"id":130,"name":"Impact","value":""},{"id":150,"name":"Time of Event (Mountain Time)","value":"13:41:21"},{"id":151,"name":"Denver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38"/>
        <v>start /low /b %USERPROFILE%\Documents\GitHub\eaglep3\Utilities\DownloadLogsFromS3.py --loco 4016 --day 2017-01-16</v>
      </c>
      <c r="AN87" s="18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"%USERPROFILE%\AppData\Local\Temp\OnboardLogs"\RTDC4016\*4016*20170116* | grep -SE "(Enforcement Action)|(\[TIMEOUT)|(CHR.+\|PRM\|1\|D.+(SWITCH|SIGNAL).+UNKNOWN)" - &gt;&gt; 2017-01-16-UncaughtWiMAX.txt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619</v>
      </c>
      <c r="B88" s="7">
        <v>4015</v>
      </c>
      <c r="C88" s="22" t="s">
        <v>201</v>
      </c>
      <c r="D88" s="22" t="s">
        <v>772</v>
      </c>
      <c r="E88" s="13">
        <v>42751.577523148146</v>
      </c>
      <c r="F88" s="13">
        <v>42751.58084490741</v>
      </c>
      <c r="G88" s="7">
        <v>1</v>
      </c>
      <c r="H88" s="22" t="s">
        <v>257</v>
      </c>
      <c r="I88" s="13">
        <v>42751.609398148146</v>
      </c>
      <c r="J88" s="7">
        <v>0</v>
      </c>
      <c r="K88" s="105" t="str">
        <f t="shared" si="22"/>
        <v>4015/4016</v>
      </c>
      <c r="L88" s="22" t="str">
        <f>VLOOKUP(A88,'Trips&amp;Operators'!$C$1:$G$99999,5,FALSE)</f>
        <v>DAVIS MICHAEL</v>
      </c>
      <c r="M88" s="6">
        <f t="shared" si="23"/>
        <v>2.8553240736073349E-2</v>
      </c>
      <c r="N88" s="7">
        <f t="shared" si="24"/>
        <v>41.116666659945622</v>
      </c>
      <c r="O88" s="7"/>
      <c r="P88" s="7"/>
      <c r="Q88" s="23"/>
      <c r="R88" s="23"/>
      <c r="S88" s="32">
        <f t="shared" si="25"/>
        <v>1</v>
      </c>
      <c r="T88" s="47" t="str">
        <f t="shared" si="26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7"/>
        <v>https://d0f6bd738d7f1b3e5a7ca70fe4ff75f0.us-east-1.aws.found.io/app/kibana#/discover/Steve-Slow-Train-Analysis-(2080s-and-2083s)?_g=(refreshInterval:(display:Off,pause:!f,section:0,value:0),time:(from:'2017-01-16T12:51:38-0700',mode:absolute,to:'2017-01-16T15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8" s="49" t="str">
        <f t="shared" si="28"/>
        <v>N</v>
      </c>
      <c r="X88" s="173">
        <f t="shared" si="29"/>
        <v>1</v>
      </c>
      <c r="Y88" s="64">
        <f t="shared" si="30"/>
        <v>23.296299999999999</v>
      </c>
      <c r="Z88" s="64">
        <f t="shared" si="39"/>
        <v>1.5800000000000002E-2</v>
      </c>
      <c r="AA88" s="64">
        <f t="shared" si="31"/>
        <v>23.2805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2"/>
        <v>0176-16</v>
      </c>
      <c r="AE88" s="87" t="str">
        <f t="shared" si="33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88" s="84" t="str">
        <f t="shared" si="34"/>
        <v>"C:\Program Files (x86)\AstroGrep\AstroGrep.exe" /spath="%USERPROFILE%\AppData\Local\Temp\OnboardLogs" /stypes="app*4015*20170116*"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176-16 --locoid 4015 --swversion DE.1.0.8.0 --startMP 204:232963 --initTime 2017-01-16T13:51:38 --startdatetime 2017-01-16T13:56:25 --delay 1 --endMP 204:158 --enddatetime 2017-01-16T14:37:32 --enforcementcount 0 &gt;&gt;C:\Users\stu\Documents\GitHub\eaglep3-reporting\EC\2017-01-16-refined-times.txt</v>
      </c>
      <c r="AI88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{"issue":{"subject":"","project_id":79,"tracker_id":40,"status_id":1,"priority_id":2,"assigned_to_id":23,"start_date":"2017-01-16","description":"","custom_fields":[{"id":1,"name":"Subdivision","value":"EC"},{"id":4,"name":"Milepost","value":"0.0158"},{"id":17,"name":"Train ID","value":"176-16"},{"id":16,"name":"Locomotive ID","value":"4015"},{"id":130,"name":"Impact","value":""},{"id":150,"name":"Time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38"/>
        <v>start /low /b %USERPROFILE%\Documents\GitHub\eaglep3\Utilities\DownloadLogsFromS3.py --loco 4015 --day 2017-01-16</v>
      </c>
      <c r="AN88" s="18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2017-01-16-UncaughtWiMAX.txt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614</v>
      </c>
      <c r="B89" s="7">
        <v>4046</v>
      </c>
      <c r="C89" s="22" t="s">
        <v>201</v>
      </c>
      <c r="D89" s="22" t="s">
        <v>236</v>
      </c>
      <c r="E89" s="13">
        <v>42751.548414351855</v>
      </c>
      <c r="F89" s="13">
        <v>42751.552245370367</v>
      </c>
      <c r="G89" s="7">
        <v>1</v>
      </c>
      <c r="H89" s="22" t="s">
        <v>410</v>
      </c>
      <c r="I89" s="13">
        <v>42751.57849537037</v>
      </c>
      <c r="J89" s="7">
        <v>0</v>
      </c>
      <c r="K89" s="105" t="str">
        <f t="shared" si="22"/>
        <v>4045/4046</v>
      </c>
      <c r="L89" s="22" t="str">
        <f>VLOOKUP(A89,'Trips&amp;Operators'!$C$1:$G$99999,5,FALSE)</f>
        <v>CLARK KATHLEEN</v>
      </c>
      <c r="M89" s="6">
        <f t="shared" si="23"/>
        <v>2.6250000002619345E-2</v>
      </c>
      <c r="N89" s="7">
        <f t="shared" si="24"/>
        <v>37.800000003771856</v>
      </c>
      <c r="O89" s="7"/>
      <c r="P89" s="7"/>
      <c r="Q89" s="23"/>
      <c r="R89" s="23"/>
      <c r="S89" s="32">
        <f t="shared" si="25"/>
        <v>1</v>
      </c>
      <c r="T89" s="47" t="str">
        <f t="shared" si="26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7"/>
        <v>https://d0f6bd738d7f1b3e5a7ca70fe4ff75f0.us-east-1.aws.found.io/app/kibana#/discover/Steve-Slow-Train-Analysis-(2080s-and-2083s)?_g=(refreshInterval:(display:Off,pause:!f,section:0,value:0),time:(from:'2017-01-16T12:09:43-0700',mode:absolute,to:'2017-01-16T14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9" s="49" t="str">
        <f t="shared" si="28"/>
        <v>N</v>
      </c>
      <c r="X89" s="173">
        <f t="shared" si="29"/>
        <v>1</v>
      </c>
      <c r="Y89" s="64">
        <f t="shared" si="30"/>
        <v>4.53E-2</v>
      </c>
      <c r="Z89" s="64">
        <f t="shared" si="39"/>
        <v>23.3308</v>
      </c>
      <c r="AA89" s="64">
        <f t="shared" si="31"/>
        <v>23.285499999999999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2"/>
        <v>0177-16</v>
      </c>
      <c r="AE89" s="87" t="str">
        <f t="shared" si="33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89" s="84" t="str">
        <f t="shared" si="34"/>
        <v>"C:\Program Files (x86)\AstroGrep\AstroGrep.exe" /spath="%USERPROFILE%\AppData\Local\Temp\OnboardLogs" /stypes="app*4046*20170116*"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177-16 --locoid 4046 --swversion DE.1.0.8.0 --startMP 204:453 --initTime 2017-01-16T13:09:43 --startdatetime 2017-01-16T13:15:14 --delay 1 --endMP 204:233308 --enddatetime 2017-01-16T13:53:02 --enforcementcount 0 &gt;&gt;C:\Users\stu\Documents\GitHub\eaglep3-reporting\EC\2017-01-16-refined-times.txt</v>
      </c>
      <c r="AI89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{"issue":{"subject":"","project_id":79,"tracker_id":40,"status_id":1,"priority_id":2,"assigned_to_id":23,"start_date":"2017-01-16","description":"","custom_fields":[{"id":1,"name":"Subdivision","value":"EC"},{"id":4,"name":"Milepost","value":"23.3308"},{"id":17,"name":"Train ID","value":"177-16"},{"id":16,"name":"Locomotive ID","value":"4046"},{"id":130,"name":"Impact","value":""},{"id":150,"name":"Time of Event (Mountain Time)","value":"13:53:02"},{"id":151,"name":"Denver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38"/>
        <v>start /low /b %USERPROFILE%\Documents\GitHub\eaglep3\Utilities\DownloadLogsFromS3.py --loco 4046 --day 2017-01-16</v>
      </c>
      <c r="AN89" s="18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"%USERPROFILE%\AppData\Local\Temp\OnboardLogs"\RTDC4046\*4046*20170116* | grep -SE "(Enforcement Action)|(\[TIMEOUT)|(CHR.+\|PRM\|1\|D.+(SWITCH|SIGNAL).+UNKNOWN)" - &gt;&gt; 2017-01-16-UncaughtWiMAX.txt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621</v>
      </c>
      <c r="B90" s="7">
        <v>4045</v>
      </c>
      <c r="C90" s="22" t="s">
        <v>201</v>
      </c>
      <c r="D90" s="22" t="s">
        <v>412</v>
      </c>
      <c r="E90" s="13">
        <v>42751.584502314814</v>
      </c>
      <c r="F90" s="13">
        <v>42751.591134259259</v>
      </c>
      <c r="G90" s="7">
        <v>1</v>
      </c>
      <c r="H90" s="22" t="s">
        <v>764</v>
      </c>
      <c r="I90" s="13">
        <v>42751.619537037041</v>
      </c>
      <c r="J90" s="7">
        <v>0</v>
      </c>
      <c r="K90" s="105" t="str">
        <f t="shared" si="22"/>
        <v>4045/4046</v>
      </c>
      <c r="L90" s="22" t="str">
        <f>VLOOKUP(A90,'Trips&amp;Operators'!$C$1:$G$99999,5,FALSE)</f>
        <v>CLARK KATHLEEN</v>
      </c>
      <c r="M90" s="6">
        <f t="shared" si="23"/>
        <v>2.8402777781593613E-2</v>
      </c>
      <c r="N90" s="7">
        <f t="shared" si="24"/>
        <v>40.900000005494803</v>
      </c>
      <c r="O90" s="7"/>
      <c r="P90" s="7"/>
      <c r="Q90" s="23"/>
      <c r="R90" s="23"/>
      <c r="S90" s="32">
        <f t="shared" si="25"/>
        <v>1</v>
      </c>
      <c r="T90" s="47" t="str">
        <f t="shared" si="26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7"/>
        <v>https://d0f6bd738d7f1b3e5a7ca70fe4ff75f0.us-east-1.aws.found.io/app/kibana#/discover/Steve-Slow-Train-Analysis-(2080s-and-2083s)?_g=(refreshInterval:(display:Off,pause:!f,section:0,value:0),time:(from:'2017-01-16T13:01:41-0700',mode:absolute,to:'2017-01-16T15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0" s="49" t="str">
        <f t="shared" si="28"/>
        <v>N</v>
      </c>
      <c r="X90" s="173">
        <f t="shared" si="29"/>
        <v>1</v>
      </c>
      <c r="Y90" s="64">
        <f t="shared" si="30"/>
        <v>23.298500000000001</v>
      </c>
      <c r="Z90" s="64">
        <f t="shared" si="39"/>
        <v>1.6500000000000001E-2</v>
      </c>
      <c r="AA90" s="64">
        <f t="shared" si="31"/>
        <v>23.282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2"/>
        <v>0178-16</v>
      </c>
      <c r="AE90" s="87" t="str">
        <f t="shared" si="33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90" s="84" t="str">
        <f t="shared" si="34"/>
        <v>"C:\Program Files (x86)\AstroGrep\AstroGrep.exe" /spath="%USERPROFILE%\AppData\Local\Temp\OnboardLogs" /stypes="app*4045*20170116*"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178-16 --locoid 4045 --swversion DE.1.0.8.0 --startMP 204:232985 --initTime 2017-01-16T14:01:41 --startdatetime 2017-01-16T14:11:14 --delay 1 --endMP 204:165 --enddatetime 2017-01-16T14:52:08 --enforcementcount 0 &gt;&gt;C:\Users\stu\Documents\GitHub\eaglep3-reporting\EC\2017-01-16-refined-times.txt</v>
      </c>
      <c r="AI90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{"issue":{"subject":"","project_id":79,"tracker_id":40,"status_id":1,"priority_id":2,"assigned_to_id":23,"start_date":"2017-01-16","description":"","custom_fields":[{"id":1,"name":"Subdivision","value":"EC"},{"id":4,"name":"Milepost","value":"0.0165"},{"id":17,"name":"Train ID","value":"178-16"},{"id":16,"name":"Locomotive ID","value":"4045"},{"id":130,"name":"Impact","value":""},{"id":150,"name":"Time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38"/>
        <v>start /low /b %USERPROFILE%\Documents\GitHub\eaglep3\Utilities\DownloadLogsFromS3.py --loco 4045 --day 2017-01-16</v>
      </c>
      <c r="AN90" s="18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615</v>
      </c>
      <c r="B91" s="7">
        <v>4022</v>
      </c>
      <c r="C91" s="22" t="s">
        <v>201</v>
      </c>
      <c r="D91" s="22" t="s">
        <v>357</v>
      </c>
      <c r="E91" s="13">
        <v>42751.557916666665</v>
      </c>
      <c r="F91" s="13">
        <v>42751.562673611108</v>
      </c>
      <c r="G91" s="7">
        <v>1</v>
      </c>
      <c r="H91" s="22" t="s">
        <v>351</v>
      </c>
      <c r="I91" s="13">
        <v>42751.586875000001</v>
      </c>
      <c r="J91" s="7">
        <v>0</v>
      </c>
      <c r="K91" s="105" t="str">
        <f t="shared" si="22"/>
        <v>4021/4022</v>
      </c>
      <c r="L91" s="22" t="str">
        <f>VLOOKUP(A91,'Trips&amp;Operators'!$C$1:$G$99999,5,FALSE)</f>
        <v>ROMERO CHAD</v>
      </c>
      <c r="M91" s="6">
        <f t="shared" si="23"/>
        <v>2.4201388892834075E-2</v>
      </c>
      <c r="N91" s="7">
        <f t="shared" si="24"/>
        <v>34.850000005681068</v>
      </c>
      <c r="O91" s="7"/>
      <c r="P91" s="7"/>
      <c r="Q91" s="23"/>
      <c r="R91" s="23"/>
      <c r="S91" s="32">
        <f t="shared" si="25"/>
        <v>1</v>
      </c>
      <c r="T91" s="47" t="str">
        <f t="shared" si="26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7"/>
        <v>https://d0f6bd738d7f1b3e5a7ca70fe4ff75f0.us-east-1.aws.found.io/app/kibana#/discover/Steve-Slow-Train-Analysis-(2080s-and-2083s)?_g=(refreshInterval:(display:Off,pause:!f,section:0,value:0),time:(from:'2017-01-16T12:23:24-0700',mode:absolute,to:'2017-01-16T15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49" t="str">
        <f t="shared" si="28"/>
        <v>N</v>
      </c>
      <c r="X91" s="173">
        <f t="shared" si="29"/>
        <v>1</v>
      </c>
      <c r="Y91" s="64">
        <f t="shared" si="30"/>
        <v>4.3999999999999997E-2</v>
      </c>
      <c r="Z91" s="64">
        <f t="shared" si="39"/>
        <v>23.331800000000001</v>
      </c>
      <c r="AA91" s="64">
        <f t="shared" si="31"/>
        <v>23.287800000000001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2"/>
        <v>0179-16</v>
      </c>
      <c r="AE91" s="87" t="str">
        <f t="shared" si="33"/>
        <v>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 &amp; 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</v>
      </c>
      <c r="AF91" s="84" t="str">
        <f t="shared" si="34"/>
        <v>"C:\Program Files (x86)\AstroGrep\AstroGrep.exe" /spath="%USERPROFILE%\AppData\Local\Temp\OnboardLogs" /stypes="app*4022*20170116*"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179-16 --locoid 4022 --swversion DE.1.0.8.0 --startMP 204:440 --initTime 2017-01-16T13:23:24 --startdatetime 2017-01-16T13:30:15 --delay 1 --endMP 204:233318 --enddatetime 2017-01-16T14:05:06 --enforcementcount 0 &gt;&gt;C:\Users\stu\Documents\GitHub\eaglep3-reporting\EC\2017-01-16-refined-times.txt</v>
      </c>
      <c r="AI91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{"issue":{"subject":"","project_id":79,"tracker_id":40,"status_id":1,"priority_id":2,"assigned_to_id":23,"start_date":"2017-01-16","description":"","custom_fields":[{"id":1,"name":"Subdivision","value":"EC"},{"id":4,"name":"Milepost","value":"23.3318"},{"id":17,"name":"Train ID","value":"179-16"},{"id":16,"name":"Locomotive ID","value":"4022"},{"id":130,"name":"Impact","value":""},{"id":150,"name":"Time of Event (Mountain Time)","value":"14:05:06"},{"id":151,"name":"Denver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38"/>
        <v>start /low /b %USERPROFILE%\Documents\GitHub\eaglep3\Utilities\DownloadLogsFromS3.py --loco 4022 --day 2017-01-16</v>
      </c>
      <c r="AN91" s="18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2017-01-16-UncaughtWiMAX.txt</v>
      </c>
    </row>
    <row r="92" spans="1:91" x14ac:dyDescent="0.25">
      <c r="A92" s="34" t="s">
        <v>625</v>
      </c>
      <c r="B92" s="7">
        <v>4021</v>
      </c>
      <c r="C92" s="22" t="s">
        <v>201</v>
      </c>
      <c r="D92" s="22" t="s">
        <v>248</v>
      </c>
      <c r="E92" s="13">
        <v>42751.588182870371</v>
      </c>
      <c r="F92" s="13">
        <v>42751.601979166669</v>
      </c>
      <c r="G92" s="7">
        <v>1</v>
      </c>
      <c r="H92" s="22" t="s">
        <v>773</v>
      </c>
      <c r="I92" s="13">
        <v>42751.627314814818</v>
      </c>
      <c r="J92" s="7">
        <v>0</v>
      </c>
      <c r="K92" s="105" t="str">
        <f t="shared" si="22"/>
        <v>4021/4022</v>
      </c>
      <c r="L92" s="22" t="str">
        <f>VLOOKUP(A92,'Trips&amp;Operators'!$C$1:$G$99999,5,FALSE)</f>
        <v>ROMERO CHAD</v>
      </c>
      <c r="M92" s="6">
        <f t="shared" si="23"/>
        <v>2.5335648148029577E-2</v>
      </c>
      <c r="N92" s="7">
        <f t="shared" si="24"/>
        <v>36.483333333162591</v>
      </c>
      <c r="O92" s="7"/>
      <c r="P92" s="7"/>
      <c r="Q92" s="23"/>
      <c r="R92" s="23"/>
      <c r="S92" s="32">
        <f t="shared" si="25"/>
        <v>1</v>
      </c>
      <c r="T92" s="47" t="str">
        <f t="shared" si="26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7"/>
        <v>https://d0f6bd738d7f1b3e5a7ca70fe4ff75f0.us-east-1.aws.found.io/app/kibana#/discover/Steve-Slow-Train-Analysis-(2080s-and-2083s)?_g=(refreshInterval:(display:Off,pause:!f,section:0,value:0),time:(from:'2017-01-16T13:06:59-0700',mode:absolute,to:'2017-01-16T16:03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49" t="str">
        <f t="shared" si="28"/>
        <v>N</v>
      </c>
      <c r="X92" s="173">
        <f t="shared" si="29"/>
        <v>1</v>
      </c>
      <c r="Y92" s="64">
        <f t="shared" si="30"/>
        <v>23.2986</v>
      </c>
      <c r="Z92" s="64">
        <f t="shared" si="39"/>
        <v>8.5000000000000006E-3</v>
      </c>
      <c r="AA92" s="64">
        <f t="shared" si="31"/>
        <v>23.290099999999999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32"/>
        <v>0180-16</v>
      </c>
      <c r="AE92" s="87" t="str">
        <f t="shared" si="33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92" s="84" t="str">
        <f t="shared" si="34"/>
        <v>"C:\Program Files (x86)\AstroGrep\AstroGrep.exe" /spath="%USERPROFILE%\AppData\Local\Temp\OnboardLogs" /stypes="app*4021*20170116*"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180-16 --locoid 4021 --swversion DE.1.0.8.0 --startMP 204:232986 --initTime 2017-01-16T14:06:59 --startdatetime 2017-01-16T14:26:51 --delay 1 --endMP 204:85 --enddatetime 2017-01-16T15:03:20 --enforcementcount 0 &gt;&gt;C:\Users\stu\Documents\GitHub\eaglep3-reporting\EC\2017-01-16-refined-times.txt</v>
      </c>
      <c r="AI92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{"issue":{"subject":"","project_id":79,"tracker_id":40,"status_id":1,"priority_id":2,"assigned_to_id":23,"start_date":"2017-01-16","description":"","custom_fields":[{"id":1,"name":"Subdivision","value":"EC"},{"id":4,"name":"Milepost","value":"0.0085"},{"id":17,"name":"Train ID","value":"180-16"},{"id":16,"name":"Locomotive ID","value":"4021"},{"id":130,"name":"Impact","value":""},{"id":150,"name":"Time of Event (Mountain Time)","value":"15:03:20"},{"id":151,"name":"Denver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38"/>
        <v>start /low /b %USERPROFILE%\Documents\GitHub\eaglep3\Utilities\DownloadLogsFromS3.py --loco 4021 --day 2017-01-16</v>
      </c>
      <c r="AN92" s="18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2017-01-16-UncaughtWiMAX.txt</v>
      </c>
    </row>
    <row r="93" spans="1:91" s="21" customFormat="1" x14ac:dyDescent="0.25">
      <c r="A93" s="34" t="s">
        <v>618</v>
      </c>
      <c r="B93" s="7">
        <v>4003</v>
      </c>
      <c r="C93" s="22" t="s">
        <v>201</v>
      </c>
      <c r="D93" s="22" t="s">
        <v>275</v>
      </c>
      <c r="E93" s="13">
        <v>42751.568564814814</v>
      </c>
      <c r="F93" s="13">
        <v>42751.573159722226</v>
      </c>
      <c r="G93" s="7">
        <v>0</v>
      </c>
      <c r="H93" s="22" t="s">
        <v>298</v>
      </c>
      <c r="I93" s="13">
        <v>42751.598414351851</v>
      </c>
      <c r="J93" s="7">
        <v>0</v>
      </c>
      <c r="K93" s="105" t="str">
        <f t="shared" si="22"/>
        <v>4003/4004</v>
      </c>
      <c r="L93" s="22" t="str">
        <f>VLOOKUP(A93,'Trips&amp;Operators'!$C$1:$G$99999,5,FALSE)</f>
        <v>CRAYTON QUNTRELL</v>
      </c>
      <c r="M93" s="6">
        <f t="shared" si="23"/>
        <v>2.5254629625123926E-2</v>
      </c>
      <c r="N93" s="7">
        <f t="shared" si="24"/>
        <v>36.366666660178453</v>
      </c>
      <c r="O93" s="7"/>
      <c r="P93" s="7"/>
      <c r="Q93" s="23"/>
      <c r="R93" s="23"/>
      <c r="S93" s="32">
        <f t="shared" si="25"/>
        <v>1</v>
      </c>
      <c r="T93" s="47" t="str">
        <f t="shared" si="26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7"/>
        <v>https://d0f6bd738d7f1b3e5a7ca70fe4ff75f0.us-east-1.aws.found.io/app/kibana#/discover/Steve-Slow-Train-Analysis-(2080s-and-2083s)?_g=(refreshInterval:(display:Off,pause:!f,section:0,value:0),time:(from:'2017-01-16T12:38:44-0700',mode:absolute,to:'2017-01-16T15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3" s="49" t="str">
        <f t="shared" si="28"/>
        <v>N</v>
      </c>
      <c r="X93" s="173">
        <f t="shared" si="29"/>
        <v>1</v>
      </c>
      <c r="Y93" s="64">
        <f t="shared" si="30"/>
        <v>4.6899999999999997E-2</v>
      </c>
      <c r="Z93" s="64">
        <f t="shared" si="39"/>
        <v>23.331199999999999</v>
      </c>
      <c r="AA93" s="64">
        <f t="shared" si="31"/>
        <v>23.284299999999998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2"/>
        <v>0181-16</v>
      </c>
      <c r="AE93" s="87" t="str">
        <f t="shared" si="33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93" s="84" t="str">
        <f t="shared" si="34"/>
        <v>"C:\Program Files (x86)\AstroGrep\AstroGrep.exe" /spath="%USERPROFILE%\AppData\Local\Temp\OnboardLogs" /stypes="app*4003*20170116*"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181-16 --locoid 4003 --swversion DE.1.0.8.0 --startMP 204:469 --initTime 2017-01-16T13:38:44 --startdatetime 2017-01-16T13:45:21 --delay 0 --endMP 204:233312 --enddatetime 2017-01-16T14:21:43 --enforcementcount 0 &gt;&gt;C:\Users\stu\Documents\GitHub\eaglep3-reporting\EC\2017-01-16-refined-times.txt</v>
      </c>
      <c r="AI93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{"issue":{"subject":"","project_id":79,"tracker_id":40,"status_id":1,"priority_id":2,"assigned_to_id":23,"start_date":"2017-01-16","description":"","custom_fields":[{"id":1,"name":"Subdivision","value":"EC"},{"id":4,"name":"Milepost","value":"23.3312"},{"id":17,"name":"Train ID","value":"181-16"},{"id":16,"name":"Locomotive ID","value":"4003"},{"id":130,"name":"Impact","value":""},{"id":150,"name":"Time of Event (Mountain Time)","value":"14:21:43"},{"id":151,"name":"Denver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38"/>
        <v>start /low /b %USERPROFILE%\Documents\GitHub\eaglep3\Utilities\DownloadLogsFromS3.py --loco 4003 --day 2017-01-16</v>
      </c>
      <c r="AN93" s="18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"%USERPROFILE%\AppData\Local\Temp\OnboardLogs"\RTDC4003\*4003*20170116* | grep -SE "(Enforcement Action)|(\[TIMEOUT)|(CHR.+\|PRM\|1\|D.+(SWITCH|SIGNAL).+UNKNOWN)" - &gt;&gt; 2017-01-16-UncaughtWiMAX.txt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628</v>
      </c>
      <c r="B94" s="7">
        <v>4004</v>
      </c>
      <c r="C94" s="22" t="s">
        <v>201</v>
      </c>
      <c r="D94" s="22" t="s">
        <v>260</v>
      </c>
      <c r="E94" s="13">
        <v>42751.603796296295</v>
      </c>
      <c r="F94" s="13">
        <v>42751.611990740741</v>
      </c>
      <c r="G94" s="7">
        <v>1</v>
      </c>
      <c r="H94" s="22" t="s">
        <v>242</v>
      </c>
      <c r="I94" s="13">
        <v>42751.638773148145</v>
      </c>
      <c r="J94" s="7">
        <v>0</v>
      </c>
      <c r="K94" s="105" t="str">
        <f t="shared" si="22"/>
        <v>4003/4004</v>
      </c>
      <c r="L94" s="22" t="str">
        <f>VLOOKUP(A94,'Trips&amp;Operators'!$C$1:$G$99999,5,FALSE)</f>
        <v>CRAYTON QUNTRELL</v>
      </c>
      <c r="M94" s="6">
        <f t="shared" si="23"/>
        <v>2.6782407403516117E-2</v>
      </c>
      <c r="N94" s="7">
        <f t="shared" si="24"/>
        <v>38.566666661063209</v>
      </c>
      <c r="O94" s="7"/>
      <c r="P94" s="7"/>
      <c r="Q94" s="23"/>
      <c r="R94" s="23"/>
      <c r="S94" s="32">
        <f t="shared" si="25"/>
        <v>1</v>
      </c>
      <c r="T94" s="47" t="str">
        <f t="shared" si="26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7"/>
        <v>https://d0f6bd738d7f1b3e5a7ca70fe4ff75f0.us-east-1.aws.found.io/app/kibana#/discover/Steve-Slow-Train-Analysis-(2080s-and-2083s)?_g=(refreshInterval:(display:Off,pause:!f,section:0,value:0),time:(from:'2017-01-16T13:29:28-0700',mode:absolute,to:'2017-01-16T16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4" s="49" t="str">
        <f t="shared" si="28"/>
        <v>N</v>
      </c>
      <c r="X94" s="173">
        <f t="shared" si="29"/>
        <v>1</v>
      </c>
      <c r="Y94" s="64">
        <f t="shared" si="30"/>
        <v>23.2989</v>
      </c>
      <c r="Z94" s="64">
        <f t="shared" si="39"/>
        <v>1.6E-2</v>
      </c>
      <c r="AA94" s="64">
        <f t="shared" si="31"/>
        <v>23.282900000000001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2"/>
        <v>0182-16</v>
      </c>
      <c r="AE94" s="87" t="str">
        <f t="shared" si="33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94" s="84" t="str">
        <f t="shared" si="34"/>
        <v>"C:\Program Files (x86)\AstroGrep\AstroGrep.exe" /spath="%USERPROFILE%\AppData\Local\Temp\OnboardLogs" /stypes="app*4004*20170116*"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182-16 --locoid 4004 --swversion DE.1.0.8.0 --startMP 204:232989 --initTime 2017-01-16T14:29:28 --startdatetime 2017-01-16T14:41:16 --delay 1 --endMP 204:160 --enddatetime 2017-01-16T15:19:50 --enforcementcount 0 &gt;&gt;C:\Users\stu\Documents\GitHub\eaglep3-reporting\EC\2017-01-16-refined-times.txt</v>
      </c>
      <c r="AI94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{"issue":{"subject":"","project_id":79,"tracker_id":40,"status_id":1,"priority_id":2,"assigned_to_id":23,"start_date":"2017-01-16","description":"","custom_fields":[{"id":1,"name":"Subdivision","value":"EC"},{"id":4,"name":"Milepost","value":"0.016"},{"id":17,"name":"Train ID","value":"182-16"},{"id":16,"name":"Locomotive ID","value":"4004"},{"id":130,"name":"Impact","value":""},{"id":150,"name":"Time of Event (Mountain Time)","value":"15:19:50"},{"id":151,"name":"Denver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38"/>
        <v>start /low /b %USERPROFILE%\Documents\GitHub\eaglep3\Utilities\DownloadLogsFromS3.py --loco 4004 --day 2017-01-16</v>
      </c>
      <c r="AN94" s="18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"%USERPROFILE%\AppData\Local\Temp\OnboardLogs"\RTDC4004\*4004*20170116* | grep -SE "(Enforcement Action)|(\[TIMEOUT)|(CHR.+\|PRM\|1\|D.+(SWITCH|SIGNAL).+UNKNOWN)" - &gt;&gt; 2017-01-16-UncaughtWiMAX.txt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620</v>
      </c>
      <c r="B95" s="7">
        <v>4038</v>
      </c>
      <c r="C95" s="22" t="s">
        <v>201</v>
      </c>
      <c r="D95" s="22" t="s">
        <v>760</v>
      </c>
      <c r="E95" s="13">
        <v>42751.579201388886</v>
      </c>
      <c r="F95" s="13">
        <v>42751.583599537036</v>
      </c>
      <c r="G95" s="7">
        <v>1</v>
      </c>
      <c r="H95" s="22" t="s">
        <v>748</v>
      </c>
      <c r="I95" s="13">
        <v>42751.609629629631</v>
      </c>
      <c r="J95" s="7">
        <v>0</v>
      </c>
      <c r="K95" s="105" t="str">
        <f t="shared" si="22"/>
        <v>4037/4038</v>
      </c>
      <c r="L95" s="22" t="str">
        <f>VLOOKUP(A95,'Trips&amp;Operators'!$C$1:$G$99999,5,FALSE)</f>
        <v>YANG JAN</v>
      </c>
      <c r="M95" s="6">
        <f t="shared" si="23"/>
        <v>2.6030092594737653E-2</v>
      </c>
      <c r="N95" s="7">
        <f t="shared" si="24"/>
        <v>37.48333333642222</v>
      </c>
      <c r="O95" s="7"/>
      <c r="P95" s="7"/>
      <c r="Q95" s="23"/>
      <c r="R95" s="23"/>
      <c r="S95" s="32">
        <f t="shared" si="25"/>
        <v>1</v>
      </c>
      <c r="T95" s="47" t="str">
        <f t="shared" si="26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7"/>
        <v>https://d0f6bd738d7f1b3e5a7ca70fe4ff75f0.us-east-1.aws.found.io/app/kibana#/discover/Steve-Slow-Train-Analysis-(2080s-and-2083s)?_g=(refreshInterval:(display:Off,pause:!f,section:0,value:0),time:(from:'2017-01-16T12:54:03-0700',mode:absolute,to:'2017-01-16T15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5" s="49" t="str">
        <f t="shared" si="28"/>
        <v>N</v>
      </c>
      <c r="X95" s="173">
        <f t="shared" si="29"/>
        <v>1</v>
      </c>
      <c r="Y95" s="64">
        <f t="shared" si="30"/>
        <v>4.6699999999999998E-2</v>
      </c>
      <c r="Z95" s="64">
        <f t="shared" si="39"/>
        <v>23.331399999999999</v>
      </c>
      <c r="AA95" s="64">
        <f t="shared" si="31"/>
        <v>23.284699999999997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2"/>
        <v>0183-16</v>
      </c>
      <c r="AE95" s="87" t="str">
        <f t="shared" si="33"/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AF95" s="84" t="str">
        <f t="shared" si="34"/>
        <v>"C:\Program Files (x86)\AstroGrep\AstroGrep.exe" /spath="%USERPROFILE%\AppData\Local\Temp\OnboardLogs" /stypes="app*4038*20170116*"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183-16 --locoid 4038 --swversion DE.1.0.8.0 --startMP 204:467 --initTime 2017-01-16T13:54:03 --startdatetime 2017-01-16T14:00:23 --delay 1 --endMP 204:233314 --enddatetime 2017-01-16T14:37:52 --enforcementcount 0 &gt;&gt;C:\Users\stu\Documents\GitHub\eaglep3-reporting\EC\2017-01-16-refined-times.txt</v>
      </c>
      <c r="AI95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{"issue":{"subject":"","project_id":79,"tracker_id":40,"status_id":1,"priority_id":2,"assigned_to_id":23,"start_date":"2017-01-16","description":"","custom_fields":[{"id":1,"name":"Subdivision","value":"EC"},{"id":4,"name":"Milepost","value":"23.3314"},{"id":17,"name":"Train ID","value":"183-16"},{"id":16,"name":"Locomotive ID","value":"4038"},{"id":130,"name":"Impact","value":""},{"id":150,"name":"Time of Event (Mountain Time)","value":"14:37:52"},{"id":151,"name":"Denver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38"/>
        <v>start /low /b %USERPROFILE%\Documents\GitHub\eaglep3\Utilities\DownloadLogsFromS3.py --loco 4038 --day 2017-01-16</v>
      </c>
      <c r="AN95" s="18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"%USERPROFILE%\AppData\Local\Temp\OnboardLogs"\RTDC4038\*4038*20170116* | grep -SE "(Enforcement Action)|(\[TIMEOUT)|(CHR.+\|PRM\|1\|D.+(SWITCH|SIGNAL).+UNKNOWN)" - &gt;&gt; 2017-01-16-UncaughtWiMAX.txt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631</v>
      </c>
      <c r="B96" s="7">
        <v>4037</v>
      </c>
      <c r="C96" s="22" t="s">
        <v>201</v>
      </c>
      <c r="D96" s="22" t="s">
        <v>353</v>
      </c>
      <c r="E96" s="13">
        <v>42751.616527777776</v>
      </c>
      <c r="F96" s="13">
        <v>42751.622430555559</v>
      </c>
      <c r="G96" s="7">
        <v>1</v>
      </c>
      <c r="H96" s="22" t="s">
        <v>346</v>
      </c>
      <c r="I96" s="13">
        <v>42751.650057870371</v>
      </c>
      <c r="J96" s="7">
        <v>0</v>
      </c>
      <c r="K96" s="105" t="str">
        <f t="shared" si="22"/>
        <v>4037/4038</v>
      </c>
      <c r="L96" s="22" t="str">
        <f>VLOOKUP(A96,'Trips&amp;Operators'!$C$1:$G$99999,5,FALSE)</f>
        <v>YANG JAN</v>
      </c>
      <c r="M96" s="6">
        <f t="shared" si="23"/>
        <v>2.7627314811979886E-2</v>
      </c>
      <c r="N96" s="7">
        <f t="shared" si="24"/>
        <v>39.783333329251036</v>
      </c>
      <c r="O96" s="7"/>
      <c r="P96" s="7"/>
      <c r="Q96" s="23"/>
      <c r="R96" s="23"/>
      <c r="S96" s="32">
        <f t="shared" si="25"/>
        <v>1</v>
      </c>
      <c r="T96" s="47" t="str">
        <f t="shared" si="26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7"/>
        <v>https://d0f6bd738d7f1b3e5a7ca70fe4ff75f0.us-east-1.aws.found.io/app/kibana#/discover/Steve-Slow-Train-Analysis-(2080s-and-2083s)?_g=(refreshInterval:(display:Off,pause:!f,section:0,value:0),time:(from:'2017-01-16T13:47:48-0700',mode:absolute,to:'2017-01-16T16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96" s="49" t="str">
        <f t="shared" si="28"/>
        <v>N</v>
      </c>
      <c r="X96" s="173">
        <f t="shared" si="29"/>
        <v>1</v>
      </c>
      <c r="Y96" s="64">
        <f t="shared" si="30"/>
        <v>23.298999999999999</v>
      </c>
      <c r="Z96" s="64">
        <f t="shared" si="39"/>
        <v>1.43E-2</v>
      </c>
      <c r="AA96" s="64">
        <f t="shared" si="31"/>
        <v>23.284700000000001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2"/>
        <v>0184-16</v>
      </c>
      <c r="AE96" s="87" t="str">
        <f t="shared" si="33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96" s="84" t="str">
        <f t="shared" si="34"/>
        <v>"C:\Program Files (x86)\AstroGrep\AstroGrep.exe" /spath="%USERPROFILE%\AppData\Local\Temp\OnboardLogs" /stypes="app*4037*20170116*"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184-16 --locoid 4037 --swversion DE.1.0.8.0 --startMP 204:232990 --initTime 2017-01-16T14:47:48 --startdatetime 2017-01-16T14:56:18 --delay 1 --endMP 204:143 --enddatetime 2017-01-16T15:36:05 --enforcementcount 0 &gt;&gt;C:\Users\stu\Documents\GitHub\eaglep3-reporting\EC\2017-01-16-refined-times.txt</v>
      </c>
      <c r="AI96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{"issue":{"subject":"","project_id":79,"tracker_id":40,"status_id":1,"priority_id":2,"assigned_to_id":23,"start_date":"2017-01-16","description":"","custom_fields":[{"id":1,"name":"Subdivision","value":"EC"},{"id":4,"name":"Milepost","value":"0.0143"},{"id":17,"name":"Train ID","value":"184-16"},{"id":16,"name":"Locomotive ID","value":"4037"},{"id":130,"name":"Impact","value":""},{"id":150,"name":"Time of Event (Mountain Time)","value":"15:36:05"},{"id":151,"name":"Denver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38"/>
        <v>start /low /b %USERPROFILE%\Documents\GitHub\eaglep3\Utilities\DownloadLogsFromS3.py --loco 4037 --day 2017-01-16</v>
      </c>
      <c r="AN96" s="18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626</v>
      </c>
      <c r="B97" s="7">
        <v>4029</v>
      </c>
      <c r="C97" s="22" t="s">
        <v>201</v>
      </c>
      <c r="D97" s="22" t="s">
        <v>760</v>
      </c>
      <c r="E97" s="13">
        <v>42751.590925925928</v>
      </c>
      <c r="F97" s="13">
        <v>42751.593923611108</v>
      </c>
      <c r="G97" s="7">
        <v>1</v>
      </c>
      <c r="H97" s="22" t="s">
        <v>268</v>
      </c>
      <c r="I97" s="13">
        <v>42751.618969907409</v>
      </c>
      <c r="J97" s="7">
        <v>0</v>
      </c>
      <c r="K97" s="105" t="str">
        <f t="shared" si="22"/>
        <v>4029/4030</v>
      </c>
      <c r="L97" s="22" t="str">
        <f>VLOOKUP(A97,'Trips&amp;Operators'!$C$1:$G$99999,5,FALSE)</f>
        <v>KILLION DAVID</v>
      </c>
      <c r="M97" s="6">
        <f t="shared" si="23"/>
        <v>2.5046296301297843E-2</v>
      </c>
      <c r="N97" s="7">
        <f t="shared" si="24"/>
        <v>36.066666673868895</v>
      </c>
      <c r="O97" s="7"/>
      <c r="P97" s="7"/>
      <c r="Q97" s="23"/>
      <c r="R97" s="23"/>
      <c r="S97" s="32">
        <f t="shared" si="25"/>
        <v>1</v>
      </c>
      <c r="T97" s="47" t="str">
        <f t="shared" si="26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7"/>
        <v>https://d0f6bd738d7f1b3e5a7ca70fe4ff75f0.us-east-1.aws.found.io/app/kibana#/discover/Steve-Slow-Train-Analysis-(2080s-and-2083s)?_g=(refreshInterval:(display:Off,pause:!f,section:0,value:0),time:(from:'2017-01-16T13:10:56-0700',mode:absolute,to:'2017-01-16T15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7" s="49" t="str">
        <f t="shared" si="28"/>
        <v>N</v>
      </c>
      <c r="X97" s="173">
        <f t="shared" si="29"/>
        <v>1</v>
      </c>
      <c r="Y97" s="64">
        <f t="shared" si="30"/>
        <v>4.6699999999999998E-2</v>
      </c>
      <c r="Z97" s="64">
        <f t="shared" si="39"/>
        <v>23.329799999999999</v>
      </c>
      <c r="AA97" s="64">
        <f t="shared" si="31"/>
        <v>23.283099999999997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2"/>
        <v>0185-16</v>
      </c>
      <c r="AE97" s="87" t="str">
        <f t="shared" si="33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97" s="84" t="str">
        <f t="shared" si="34"/>
        <v>"C:\Program Files (x86)\AstroGrep\AstroGrep.exe" /spath="%USERPROFILE%\AppData\Local\Temp\OnboardLogs" /stypes="app*4029*20170116*"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185-16 --locoid 4029 --swversion DE.1.0.8.0 --startMP 204:467 --initTime 2017-01-16T14:10:56 --startdatetime 2017-01-16T14:15:15 --delay 1 --endMP 204:233298 --enddatetime 2017-01-16T14:51:19 --enforcementcount 0 &gt;&gt;C:\Users\stu\Documents\GitHub\eaglep3-reporting\EC\2017-01-16-refined-times.txt</v>
      </c>
      <c r="AI97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{"issue":{"subject":"","project_id":79,"tracker_id":40,"status_id":1,"priority_id":2,"assigned_to_id":23,"start_date":"2017-01-16","description":"","custom_fields":[{"id":1,"name":"Subdivision","value":"EC"},{"id":4,"name":"Milepost","value":"23.3298"},{"id":17,"name":"Train ID","value":"185-16"},{"id":16,"name":"Locomotive ID","value":"4029"},{"id":130,"name":"Impact","value":""},{"id":150,"name":"Time of Event (Mountain Time)","value":"14:51:19"},{"id":151,"name":"Denver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38"/>
        <v>start /low /b %USERPROFILE%\Documents\GitHub\eaglep3\Utilities\DownloadLogsFromS3.py --loco 4029 --day 2017-01-16</v>
      </c>
      <c r="AN97" s="18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"%USERPROFILE%\AppData\Local\Temp\OnboardLogs"\RTDC4029\*4029*20170116* | grep -SE "(Enforcement Action)|(\[TIMEOUT)|(CHR.+\|PRM\|1\|D.+(SWITCH|SIGNAL).+UNKNOWN)" - &gt;&gt; 2017-01-16-UncaughtWiMAX.txt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4" t="s">
        <v>633</v>
      </c>
      <c r="B98" s="7">
        <v>4030</v>
      </c>
      <c r="C98" s="22" t="s">
        <v>201</v>
      </c>
      <c r="D98" s="22" t="s">
        <v>774</v>
      </c>
      <c r="E98" s="13">
        <v>42751.626250000001</v>
      </c>
      <c r="F98" s="13">
        <v>42751.632893518516</v>
      </c>
      <c r="G98" s="7">
        <v>1</v>
      </c>
      <c r="H98" s="22" t="s">
        <v>191</v>
      </c>
      <c r="I98" s="13">
        <v>42751.660381944443</v>
      </c>
      <c r="J98" s="7">
        <v>0</v>
      </c>
      <c r="K98" s="105" t="str">
        <f t="shared" si="22"/>
        <v>4029/4030</v>
      </c>
      <c r="L98" s="22" t="str">
        <f>VLOOKUP(A98,'Trips&amp;Operators'!$C$1:$G$99999,5,FALSE)</f>
        <v>KILLION DAVID</v>
      </c>
      <c r="M98" s="6">
        <f t="shared" si="23"/>
        <v>2.7488425927003846E-2</v>
      </c>
      <c r="N98" s="7">
        <f t="shared" si="24"/>
        <v>39.583333334885538</v>
      </c>
      <c r="O98" s="7"/>
      <c r="P98" s="7"/>
      <c r="Q98" s="23"/>
      <c r="R98" s="23"/>
      <c r="S98" s="32">
        <f t="shared" si="25"/>
        <v>1</v>
      </c>
      <c r="T98" s="47" t="str">
        <f t="shared" si="26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7"/>
        <v>https://d0f6bd738d7f1b3e5a7ca70fe4ff75f0.us-east-1.aws.found.io/app/kibana#/discover/Steve-Slow-Train-Analysis-(2080s-and-2083s)?_g=(refreshInterval:(display:Off,pause:!f,section:0,value:0),time:(from:'2017-01-16T14:01:48-0700',mode:absolute,to:'2017-01-16T16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8" s="49" t="str">
        <f t="shared" si="28"/>
        <v>N</v>
      </c>
      <c r="X98" s="173">
        <f t="shared" si="29"/>
        <v>1</v>
      </c>
      <c r="Y98" s="64">
        <f t="shared" si="30"/>
        <v>23.299299999999999</v>
      </c>
      <c r="Z98" s="64">
        <f t="shared" si="39"/>
        <v>1.49E-2</v>
      </c>
      <c r="AA98" s="64">
        <f t="shared" si="31"/>
        <v>23.284399999999998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2"/>
        <v>0186-16</v>
      </c>
      <c r="AE98" s="87" t="str">
        <f t="shared" si="33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98" s="84" t="str">
        <f t="shared" si="34"/>
        <v>"C:\Program Files (x86)\AstroGrep\AstroGrep.exe" /spath="%USERPROFILE%\AppData\Local\Temp\OnboardLogs" /stypes="app*4030*20170116*"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186-16 --locoid 4030 --swversion DE.1.0.8.0 --startMP 204:232993 --initTime 2017-01-16T15:01:48 --startdatetime 2017-01-16T15:11:22 --delay 1 --endMP 204:149 --enddatetime 2017-01-16T15:50:57 --enforcementcount 0 &gt;&gt;C:\Users\stu\Documents\GitHub\eaglep3-reporting\EC\2017-01-16-refined-times.txt</v>
      </c>
      <c r="AI98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{"issue":{"subject":"","project_id":79,"tracker_id":40,"status_id":1,"priority_id":2,"assigned_to_id":23,"start_date":"2017-01-16","description":"","custom_fields":[{"id":1,"name":"Subdivision","value":"EC"},{"id":4,"name":"Milepost","value":"0.0149"},{"id":17,"name":"Train ID","value":"186-16"},{"id":16,"name":"Locomotive ID","value":"4030"},{"id":130,"name":"Impact","value":""},{"id":150,"name":"Time of Event (Mountain Time)","value":"15:50:57"},{"id":151,"name":"Denver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38"/>
        <v>start /low /b %USERPROFILE%\Documents\GitHub\eaglep3\Utilities\DownloadLogsFromS3.py --loco 4030 --day 2017-01-16</v>
      </c>
      <c r="AN98" s="18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"%USERPROFILE%\AppData\Local\Temp\OnboardLogs"\RTDC4030\*4030*20170116* | grep -SE "(Enforcement Action)|(\[TIMEOUT)|(CHR.+\|PRM\|1\|D.+(SWITCH|SIGNAL).+UNKNOWN)" - &gt;&gt; 2017-01-16-UncaughtWiMAX.txt</v>
      </c>
    </row>
    <row r="99" spans="1:91" s="21" customFormat="1" x14ac:dyDescent="0.25">
      <c r="A99" s="34" t="s">
        <v>627</v>
      </c>
      <c r="B99" s="7">
        <v>4031</v>
      </c>
      <c r="C99" s="22" t="s">
        <v>201</v>
      </c>
      <c r="D99" s="22" t="s">
        <v>243</v>
      </c>
      <c r="E99" s="13">
        <v>42751.600127314814</v>
      </c>
      <c r="F99" s="13">
        <v>42751.604409722226</v>
      </c>
      <c r="G99" s="7">
        <v>3</v>
      </c>
      <c r="H99" s="22" t="s">
        <v>348</v>
      </c>
      <c r="I99" s="13">
        <v>42751.629652777781</v>
      </c>
      <c r="J99" s="7">
        <v>0</v>
      </c>
      <c r="K99" s="105" t="str">
        <f t="shared" si="22"/>
        <v>4031/4032</v>
      </c>
      <c r="L99" s="22" t="str">
        <f>VLOOKUP(A99,'Trips&amp;Operators'!$C$1:$G$99999,5,FALSE)</f>
        <v>STEWART MICHAEL</v>
      </c>
      <c r="M99" s="6">
        <f t="shared" si="23"/>
        <v>2.5243055555620231E-2</v>
      </c>
      <c r="N99" s="7">
        <f t="shared" si="24"/>
        <v>36.350000000093132</v>
      </c>
      <c r="O99" s="7"/>
      <c r="P99" s="7"/>
      <c r="Q99" s="23"/>
      <c r="R99" s="23"/>
      <c r="S99" s="32">
        <f t="shared" si="25"/>
        <v>1</v>
      </c>
      <c r="T99" s="47" t="str">
        <f t="shared" si="26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7"/>
        <v>https://d0f6bd738d7f1b3e5a7ca70fe4ff75f0.us-east-1.aws.found.io/app/kibana#/discover/Steve-Slow-Train-Analysis-(2080s-and-2083s)?_g=(refreshInterval:(display:Off,pause:!f,section:0,value:0),time:(from:'2017-01-16T13:24:11-0700',mode:absolute,to:'2017-01-16T16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9" s="49" t="str">
        <f t="shared" si="28"/>
        <v>N</v>
      </c>
      <c r="X99" s="173">
        <f t="shared" si="29"/>
        <v>1</v>
      </c>
      <c r="Y99" s="64">
        <f t="shared" si="30"/>
        <v>4.6199999999999998E-2</v>
      </c>
      <c r="Z99" s="64">
        <f t="shared" si="39"/>
        <v>23.329499999999999</v>
      </c>
      <c r="AA99" s="64">
        <f t="shared" si="31"/>
        <v>23.283300000000001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2"/>
        <v>0187-16</v>
      </c>
      <c r="AE99" s="87" t="str">
        <f t="shared" si="33"/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AF99" s="84" t="str">
        <f t="shared" si="34"/>
        <v>"C:\Program Files (x86)\AstroGrep\AstroGrep.exe" /spath="%USERPROFILE%\AppData\Local\Temp\OnboardLogs" /stypes="app*4031*20170116*"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187-16 --locoid 4031 --swversion DE.1.0.8.0 --startMP 204:462 --initTime 2017-01-16T14:24:11 --startdatetime 2017-01-16T14:30:21 --delay 3 --endMP 204:233295 --enddatetime 2017-01-16T15:06:42 --enforcementcount 0 &gt;&gt;C:\Users\stu\Documents\GitHub\eaglep3-reporting\EC\2017-01-16-refined-times.txt</v>
      </c>
      <c r="AI99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{"issue":{"subject":"","project_id":79,"tracker_id":40,"status_id":1,"priority_id":2,"assigned_to_id":23,"start_date":"2017-01-16","description":"","custom_fields":[{"id":1,"name":"Subdivision","value":"EC"},{"id":4,"name":"Milepost","value":"23.3295"},{"id":17,"name":"Train ID","value":"187-16"},{"id":16,"name":"Locomotive ID","value":"4031"},{"id":130,"name":"Impact","value":""},{"id":150,"name":"Time of Event (Mountain Time)","value":"15:06:42"},{"id":151,"name":"Denver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38"/>
        <v>start /low /b %USERPROFILE%\Documents\GitHub\eaglep3\Utilities\DownloadLogsFromS3.py --loco 4031 --day 2017-01-16</v>
      </c>
      <c r="AN99" s="18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"%USERPROFILE%\AppData\Local\Temp\OnboardLogs"\RTDC4031\*4031*20170116* | grep -SE "(Enforcement Action)|(\[TIMEOUT)|(CHR.+\|PRM\|1\|D.+(SWITCH|SIGNAL).+UNKNOWN)" - &gt;&gt; 2017-01-16-UncaughtWiMAX.txt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637</v>
      </c>
      <c r="B100" s="7">
        <v>4032</v>
      </c>
      <c r="C100" s="22" t="s">
        <v>201</v>
      </c>
      <c r="D100" s="22" t="s">
        <v>388</v>
      </c>
      <c r="E100" s="13">
        <v>42751.639537037037</v>
      </c>
      <c r="F100" s="13">
        <v>42751.643287037034</v>
      </c>
      <c r="G100" s="7">
        <v>1</v>
      </c>
      <c r="H100" s="22" t="s">
        <v>257</v>
      </c>
      <c r="I100" s="13">
        <v>42751.671631944446</v>
      </c>
      <c r="J100" s="7">
        <v>0</v>
      </c>
      <c r="K100" s="105" t="str">
        <f t="shared" si="22"/>
        <v>4031/4032</v>
      </c>
      <c r="L100" s="22" t="str">
        <f>VLOOKUP(A100,'Trips&amp;Operators'!$C$1:$G$99999,5,FALSE)</f>
        <v>STEWART MICHAEL</v>
      </c>
      <c r="M100" s="6">
        <f t="shared" si="23"/>
        <v>2.8344907412247267E-2</v>
      </c>
      <c r="N100" s="7">
        <f t="shared" si="24"/>
        <v>40.816666673636064</v>
      </c>
      <c r="O100" s="7"/>
      <c r="P100" s="7"/>
      <c r="Q100" s="23"/>
      <c r="R100" s="23"/>
      <c r="S100" s="32">
        <f t="shared" si="25"/>
        <v>1</v>
      </c>
      <c r="T100" s="47" t="str">
        <f t="shared" si="26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7"/>
        <v>https://d0f6bd738d7f1b3e5a7ca70fe4ff75f0.us-east-1.aws.found.io/app/kibana#/discover/Steve-Slow-Train-Analysis-(2080s-and-2083s)?_g=(refreshInterval:(display:Off,pause:!f,section:0,value:0),time:(from:'2017-01-16T14:20:56-0700',mode:absolute,to:'2017-01-16T17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49" t="str">
        <f t="shared" si="28"/>
        <v>N</v>
      </c>
      <c r="X100" s="173">
        <f t="shared" si="29"/>
        <v>1</v>
      </c>
      <c r="Y100" s="64">
        <f t="shared" si="30"/>
        <v>23.298200000000001</v>
      </c>
      <c r="Z100" s="64">
        <f t="shared" si="39"/>
        <v>1.5800000000000002E-2</v>
      </c>
      <c r="AA100" s="64">
        <f t="shared" si="31"/>
        <v>23.282400000000003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32"/>
        <v>0188-16</v>
      </c>
      <c r="AE100" s="87" t="str">
        <f t="shared" si="33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100" s="84" t="str">
        <f t="shared" si="34"/>
        <v>"C:\Program Files (x86)\AstroGrep\AstroGrep.exe" /spath="%USERPROFILE%\AppData\Local\Temp\OnboardLogs" /stypes="app*4032*20170116*"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188-16 --locoid 4032 --swversion DE.1.0.8.0 --startMP 204:232982 --initTime 2017-01-16T15:20:56 --startdatetime 2017-01-16T15:26:20 --delay 1 --endMP 204:158 --enddatetime 2017-01-16T16:07:09 --enforcementcount 0 &gt;&gt;C:\Users\stu\Documents\GitHub\eaglep3-reporting\EC\2017-01-16-refined-times.txt</v>
      </c>
      <c r="AI100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{"issue":{"subject":"","project_id":79,"tracker_id":40,"status_id":1,"priority_id":2,"assigned_to_id":23,"start_date":"2017-01-16","description":"","custom_fields":[{"id":1,"name":"Subdivision","value":"EC"},{"id":4,"name":"Milepost","value":"0.0158"},{"id":17,"name":"Train ID","value":"188-16"},{"id":16,"name":"Locomotive ID","value":"4032"},{"id":130,"name":"Impact","value":""},{"id":150,"name":"Time of Event (Mountain Time)","value":"16:07:09"},{"id":151,"name":"Denver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38"/>
        <v>start /low /b %USERPROFILE%\Documents\GitHub\eaglep3\Utilities\DownloadLogsFromS3.py --loco 4032 --day 2017-01-16</v>
      </c>
      <c r="AN100" s="18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"%USERPROFILE%\AppData\Local\Temp\OnboardLogs"\RTDC4032\*4032*20170116* | grep -SE "(Enforcement Action)|(\[TIMEOUT)|(CHR.+\|PRM\|1\|D.+(SWITCH|SIGNAL).+UNKNOWN)" - &gt;&gt; 2017-01-16-UncaughtWiMAX.txt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630</v>
      </c>
      <c r="B101" s="7">
        <v>4016</v>
      </c>
      <c r="C101" s="22" t="s">
        <v>201</v>
      </c>
      <c r="D101" s="22" t="s">
        <v>299</v>
      </c>
      <c r="E101" s="13">
        <v>42751.611921296295</v>
      </c>
      <c r="F101" s="13">
        <v>42751.614999999998</v>
      </c>
      <c r="G101" s="7">
        <v>1</v>
      </c>
      <c r="H101" s="22" t="s">
        <v>297</v>
      </c>
      <c r="I101" s="13">
        <v>42751.641192129631</v>
      </c>
      <c r="J101" s="7">
        <v>0</v>
      </c>
      <c r="K101" s="105" t="str">
        <f t="shared" si="22"/>
        <v>4015/4016</v>
      </c>
      <c r="L101" s="22" t="str">
        <f>VLOOKUP(A101,'Trips&amp;Operators'!$C$1:$G$99999,5,FALSE)</f>
        <v>DAVIS MICHAEL</v>
      </c>
      <c r="M101" s="6">
        <f t="shared" si="23"/>
        <v>2.6192129633272998E-2</v>
      </c>
      <c r="N101" s="7">
        <f t="shared" si="24"/>
        <v>37.716666671913117</v>
      </c>
      <c r="O101" s="7"/>
      <c r="P101" s="7"/>
      <c r="Q101" s="23"/>
      <c r="R101" s="23"/>
      <c r="S101" s="32">
        <f t="shared" si="25"/>
        <v>1</v>
      </c>
      <c r="T101" s="47" t="str">
        <f t="shared" si="26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7"/>
        <v>https://d0f6bd738d7f1b3e5a7ca70fe4ff75f0.us-east-1.aws.found.io/app/kibana#/discover/Steve-Slow-Train-Analysis-(2080s-and-2083s)?_g=(refreshInterval:(display:Off,pause:!f,section:0,value:0),time:(from:'2017-01-16T13:41:10-0700',mode:absolute,to:'2017-01-16T16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1" s="49" t="str">
        <f t="shared" si="28"/>
        <v>N</v>
      </c>
      <c r="X101" s="173">
        <f t="shared" si="29"/>
        <v>1</v>
      </c>
      <c r="Y101" s="64">
        <f t="shared" si="30"/>
        <v>4.4200000000000003E-2</v>
      </c>
      <c r="Z101" s="64">
        <f t="shared" si="39"/>
        <v>23.33</v>
      </c>
      <c r="AA101" s="64">
        <f t="shared" si="31"/>
        <v>23.285799999999998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2"/>
        <v>0189-16</v>
      </c>
      <c r="AE101" s="87" t="str">
        <f t="shared" si="33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101" s="84" t="str">
        <f t="shared" si="34"/>
        <v>"C:\Program Files (x86)\AstroGrep\AstroGrep.exe" /spath="%USERPROFILE%\AppData\Local\Temp\OnboardLogs" /stypes="app*4016*20170116*"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189-16 --locoid 4016 --swversion DE.1.0.8.0 --startMP 204:442 --initTime 2017-01-16T14:41:10 --startdatetime 2017-01-16T14:45:36 --delay 1 --endMP 204:233300 --enddatetime 2017-01-16T15:23:19 --enforcementcount 0 &gt;&gt;C:\Users\stu\Documents\GitHub\eaglep3-reporting\EC\2017-01-16-refined-times.txt</v>
      </c>
      <c r="AI101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{"issue":{"subject":"","project_id":79,"tracker_id":40,"status_id":1,"priority_id":2,"assigned_to_id":23,"start_date":"2017-01-16","description":"","custom_fields":[{"id":1,"name":"Subdivision","value":"EC"},{"id":4,"name":"Milepost","value":"23.33"},{"id":17,"name":"Train ID","value":"189-16"},{"id":16,"name":"Locomotive ID","value":"4016"},{"id":130,"name":"Impact","value":""},{"id":150,"name":"Time of Event (Mountain Time)","value":"15:23:19"},{"id":151,"name":"Denver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38"/>
        <v>start /low /b %USERPROFILE%\Documents\GitHub\eaglep3\Utilities\DownloadLogsFromS3.py --loco 4016 --day 2017-01-16</v>
      </c>
      <c r="AN101" s="18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"%USERPROFILE%\AppData\Local\Temp\OnboardLogs"\RTDC4016\*4016*20170116* | grep -SE "(Enforcement Action)|(\[TIMEOUT)|(CHR.+\|PRM\|1\|D.+(SWITCH|SIGNAL).+UNKNOWN)" - &gt;&gt; 2017-01-16-UncaughtWiMAX.txt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640</v>
      </c>
      <c r="B102" s="7">
        <v>4015</v>
      </c>
      <c r="C102" s="22" t="s">
        <v>201</v>
      </c>
      <c r="D102" s="22" t="s">
        <v>744</v>
      </c>
      <c r="E102" s="13">
        <v>42751.65016203704</v>
      </c>
      <c r="F102" s="13">
        <v>42751.653981481482</v>
      </c>
      <c r="G102" s="7">
        <v>1</v>
      </c>
      <c r="H102" s="22" t="s">
        <v>346</v>
      </c>
      <c r="I102" s="13">
        <v>42751.683020833334</v>
      </c>
      <c r="J102" s="7">
        <v>0</v>
      </c>
      <c r="K102" s="105" t="str">
        <f t="shared" si="22"/>
        <v>4015/4016</v>
      </c>
      <c r="L102" s="22" t="str">
        <f>VLOOKUP(A102,'Trips&amp;Operators'!$C$1:$G$99999,5,FALSE)</f>
        <v>DAVIS MICHAEL</v>
      </c>
      <c r="M102" s="6">
        <f t="shared" si="23"/>
        <v>2.9039351851679385E-2</v>
      </c>
      <c r="N102" s="7">
        <f t="shared" si="24"/>
        <v>41.816666666418314</v>
      </c>
      <c r="O102" s="7"/>
      <c r="P102" s="7"/>
      <c r="Q102" s="23"/>
      <c r="R102" s="23"/>
      <c r="S102" s="32">
        <f t="shared" si="25"/>
        <v>1</v>
      </c>
      <c r="T102" s="47" t="str">
        <f t="shared" si="26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7"/>
        <v>https://d0f6bd738d7f1b3e5a7ca70fe4ff75f0.us-east-1.aws.found.io/app/kibana#/discover/Steve-Slow-Train-Analysis-(2080s-and-2083s)?_g=(refreshInterval:(display:Off,pause:!f,section:0,value:0),time:(from:'2017-01-16T14:36:14-0700',mode:absolute,to:'2017-01-16T17:23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2" s="49" t="str">
        <f t="shared" si="28"/>
        <v>N</v>
      </c>
      <c r="X102" s="173">
        <f t="shared" si="29"/>
        <v>1</v>
      </c>
      <c r="Y102" s="64">
        <f t="shared" si="30"/>
        <v>23.299600000000002</v>
      </c>
      <c r="Z102" s="64">
        <f t="shared" si="39"/>
        <v>1.43E-2</v>
      </c>
      <c r="AA102" s="64">
        <f t="shared" si="31"/>
        <v>23.285300000000003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32"/>
        <v>0190-16</v>
      </c>
      <c r="AE102" s="87" t="str">
        <f t="shared" si="33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102" s="84" t="str">
        <f t="shared" si="34"/>
        <v>"C:\Program Files (x86)\AstroGrep\AstroGrep.exe" /spath="%USERPROFILE%\AppData\Local\Temp\OnboardLogs" /stypes="app*4015*20170116*"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190-16 --locoid 4015 --swversion DE.1.0.8.0 --startMP 204:232996 --initTime 2017-01-16T15:36:14 --startdatetime 2017-01-16T15:41:44 --delay 1 --endMP 204:143 --enddatetime 2017-01-16T16:23:33 --enforcementcount 0 &gt;&gt;C:\Users\stu\Documents\GitHub\eaglep3-reporting\EC\2017-01-16-refined-times.txt</v>
      </c>
      <c r="AI102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{"issue":{"subject":"","project_id":79,"tracker_id":40,"status_id":1,"priority_id":2,"assigned_to_id":23,"start_date":"2017-01-16","description":"","custom_fields":[{"id":1,"name":"Subdivision","value":"EC"},{"id":4,"name":"Milepost","value":"0.0143"},{"id":17,"name":"Train ID","value":"190-16"},{"id":16,"name":"Locomotive ID","value":"4015"},{"id":130,"name":"Impact","value":""},{"id":150,"name":"Time of Event (Mountain Time)","value":"16:23:33"},{"id":151,"name":"Denver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38"/>
        <v>start /low /b %USERPROFILE%\Documents\GitHub\eaglep3\Utilities\DownloadLogsFromS3.py --loco 4015 --day 2017-01-16</v>
      </c>
      <c r="AN102" s="18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632</v>
      </c>
      <c r="B103" s="7">
        <v>4046</v>
      </c>
      <c r="C103" s="22" t="s">
        <v>201</v>
      </c>
      <c r="D103" s="22" t="s">
        <v>409</v>
      </c>
      <c r="E103" s="13">
        <v>42751.620775462965</v>
      </c>
      <c r="F103" s="13">
        <v>42751.625173611108</v>
      </c>
      <c r="G103" s="7">
        <v>1</v>
      </c>
      <c r="H103" s="22" t="s">
        <v>282</v>
      </c>
      <c r="I103" s="13">
        <v>42751.652615740742</v>
      </c>
      <c r="J103" s="7">
        <v>0</v>
      </c>
      <c r="K103" s="105" t="str">
        <f t="shared" si="22"/>
        <v>4045/4046</v>
      </c>
      <c r="L103" s="22" t="str">
        <f>VLOOKUP(A103,'Trips&amp;Operators'!$C$1:$G$99999,5,FALSE)</f>
        <v>CLARK KATHLEEN</v>
      </c>
      <c r="M103" s="6">
        <f t="shared" si="23"/>
        <v>2.7442129634437151E-2</v>
      </c>
      <c r="N103" s="7">
        <f t="shared" si="24"/>
        <v>39.516666673589498</v>
      </c>
      <c r="O103" s="7"/>
      <c r="P103" s="7"/>
      <c r="Q103" s="23"/>
      <c r="R103" s="23"/>
      <c r="S103" s="32">
        <f t="shared" si="25"/>
        <v>1</v>
      </c>
      <c r="T103" s="47" t="str">
        <f t="shared" si="26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7"/>
        <v>https://d0f6bd738d7f1b3e5a7ca70fe4ff75f0.us-east-1.aws.found.io/app/kibana#/discover/Steve-Slow-Train-Analysis-(2080s-and-2083s)?_g=(refreshInterval:(display:Off,pause:!f,section:0,value:0),time:(from:'2017-01-16T13:53:55-0700',mode:absolute,to:'2017-01-16T16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3" s="49" t="str">
        <f t="shared" si="28"/>
        <v>N</v>
      </c>
      <c r="X103" s="173">
        <f t="shared" si="29"/>
        <v>1</v>
      </c>
      <c r="Y103" s="64">
        <f t="shared" si="30"/>
        <v>4.7500000000000001E-2</v>
      </c>
      <c r="Z103" s="64">
        <f t="shared" si="39"/>
        <v>23.3293</v>
      </c>
      <c r="AA103" s="64">
        <f t="shared" si="31"/>
        <v>23.2818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2"/>
        <v>0191-16</v>
      </c>
      <c r="AE103" s="87" t="str">
        <f t="shared" si="33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103" s="84" t="str">
        <f t="shared" si="34"/>
        <v>"C:\Program Files (x86)\AstroGrep\AstroGrep.exe" /spath="%USERPROFILE%\AppData\Local\Temp\OnboardLogs" /stypes="app*4046*20170116*"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191-16 --locoid 4046 --swversion DE.1.0.8.0 --startMP 204:475 --initTime 2017-01-16T14:53:55 --startdatetime 2017-01-16T15:00:15 --delay 1 --endMP 204:233293 --enddatetime 2017-01-16T15:39:46 --enforcementcount 0 &gt;&gt;C:\Users\stu\Documents\GitHub\eaglep3-reporting\EC\2017-01-16-refined-times.txt</v>
      </c>
      <c r="AI103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{"issue":{"subject":"","project_id":79,"tracker_id":40,"status_id":1,"priority_id":2,"assigned_to_id":23,"start_date":"2017-01-16","description":"","custom_fields":[{"id":1,"name":"Subdivision","value":"EC"},{"id":4,"name":"Milepost","value":"23.3293"},{"id":17,"name":"Train ID","value":"191-16"},{"id":16,"name":"Locomotive ID","value":"4046"},{"id":130,"name":"Impact","value":""},{"id":150,"name":"Time of Event (Mountain Time)","value":"15:39:46"},{"id":151,"name":"Denver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38"/>
        <v>start /low /b %USERPROFILE%\Documents\GitHub\eaglep3\Utilities\DownloadLogsFromS3.py --loco 4046 --day 2017-01-16</v>
      </c>
      <c r="AN103" s="18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"%USERPROFILE%\AppData\Local\Temp\OnboardLogs"\RTDC4046\*4046*20170116* | grep -SE "(Enforcement Action)|(\[TIMEOUT)|(CHR.+\|PRM\|1\|D.+(SWITCH|SIGNAL).+UNKNOWN)" - &gt;&gt; 2017-01-16-UncaughtWiMAX.txt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643</v>
      </c>
      <c r="B104" s="7">
        <v>4045</v>
      </c>
      <c r="C104" s="22" t="s">
        <v>201</v>
      </c>
      <c r="D104" s="22" t="s">
        <v>241</v>
      </c>
      <c r="E104" s="13">
        <v>42751.659409722219</v>
      </c>
      <c r="F104" s="13">
        <v>42751.664074074077</v>
      </c>
      <c r="G104" s="7">
        <v>1</v>
      </c>
      <c r="H104" s="22" t="s">
        <v>775</v>
      </c>
      <c r="I104" s="13">
        <v>42751.691874999997</v>
      </c>
      <c r="J104" s="7">
        <v>0</v>
      </c>
      <c r="K104" s="105" t="str">
        <f t="shared" si="22"/>
        <v>4045/4046</v>
      </c>
      <c r="L104" s="22" t="str">
        <f>VLOOKUP(A104,'Trips&amp;Operators'!$C$1:$G$99999,5,FALSE)</f>
        <v>CLARK KATHLEEN</v>
      </c>
      <c r="M104" s="6">
        <f t="shared" si="23"/>
        <v>2.7800925920018926E-2</v>
      </c>
      <c r="N104" s="7">
        <f t="shared" si="24"/>
        <v>40.033333324827254</v>
      </c>
      <c r="O104" s="7"/>
      <c r="P104" s="7"/>
      <c r="Q104" s="23"/>
      <c r="R104" s="23"/>
      <c r="S104" s="32">
        <f t="shared" si="25"/>
        <v>1</v>
      </c>
      <c r="T104" s="47" t="str">
        <f t="shared" si="26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7"/>
        <v>https://d0f6bd738d7f1b3e5a7ca70fe4ff75f0.us-east-1.aws.found.io/app/kibana#/discover/Steve-Slow-Train-Analysis-(2080s-and-2083s)?_g=(refreshInterval:(display:Off,pause:!f,section:0,value:0),time:(from:'2017-01-16T14:49:33-0700',mode:absolute,to:'2017-01-16T17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4" s="49" t="str">
        <f t="shared" si="28"/>
        <v>N</v>
      </c>
      <c r="X104" s="173">
        <f t="shared" si="29"/>
        <v>1</v>
      </c>
      <c r="Y104" s="64">
        <f t="shared" si="30"/>
        <v>23.297699999999999</v>
      </c>
      <c r="Z104" s="64">
        <f t="shared" si="39"/>
        <v>1.61E-2</v>
      </c>
      <c r="AA104" s="64">
        <f t="shared" si="31"/>
        <v>23.281599999999997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2"/>
        <v>0192-16</v>
      </c>
      <c r="AE104" s="87" t="str">
        <f t="shared" si="33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104" s="84" t="str">
        <f t="shared" si="34"/>
        <v>"C:\Program Files (x86)\AstroGrep\AstroGrep.exe" /spath="%USERPROFILE%\AppData\Local\Temp\OnboardLogs" /stypes="app*4045*20170116*"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192-16 --locoid 4045 --swversion DE.1.0.8.0 --startMP 204:232977 --initTime 2017-01-16T15:49:33 --startdatetime 2017-01-16T15:56:16 --delay 1 --endMP 204:161 --enddatetime 2017-01-16T16:36:18 --enforcementcount 0 &gt;&gt;C:\Users\stu\Documents\GitHub\eaglep3-reporting\EC\2017-01-16-refined-times.txt</v>
      </c>
      <c r="AI104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{"issue":{"subject":"","project_id":79,"tracker_id":40,"status_id":1,"priority_id":2,"assigned_to_id":23,"start_date":"2017-01-16","description":"","custom_fields":[{"id":1,"name":"Subdivision","value":"EC"},{"id":4,"name":"Milepost","value":"0.0161"},{"id":17,"name":"Train ID","value":"192-16"},{"id":16,"name":"Locomotive ID","value":"4045"},{"id":130,"name":"Impact","value":""},{"id":150,"name":"Time of Event (Mountain Time)","value":"16:36:18"},{"id":151,"name":"Denver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38"/>
        <v>start /low /b %USERPROFILE%\Documents\GitHub\eaglep3\Utilities\DownloadLogsFromS3.py --loco 4045 --day 2017-01-16</v>
      </c>
      <c r="AN104" s="18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634</v>
      </c>
      <c r="B105" s="7">
        <v>4022</v>
      </c>
      <c r="C105" s="22" t="s">
        <v>201</v>
      </c>
      <c r="D105" s="22" t="s">
        <v>776</v>
      </c>
      <c r="E105" s="13">
        <v>42751.629131944443</v>
      </c>
      <c r="F105" s="13">
        <v>42751.635601851849</v>
      </c>
      <c r="G105" s="7">
        <v>1</v>
      </c>
      <c r="H105" s="22" t="s">
        <v>290</v>
      </c>
      <c r="I105" s="13">
        <v>42751.660115740742</v>
      </c>
      <c r="J105" s="7">
        <v>0</v>
      </c>
      <c r="K105" s="105" t="str">
        <f t="shared" si="22"/>
        <v>4021/4022</v>
      </c>
      <c r="L105" s="22" t="str">
        <f>VLOOKUP(A105,'Trips&amp;Operators'!$C$1:$G$99999,5,FALSE)</f>
        <v>ROMERO CHAD</v>
      </c>
      <c r="M105" s="6">
        <f t="shared" si="23"/>
        <v>2.4513888893125113E-2</v>
      </c>
      <c r="N105" s="7">
        <f t="shared" si="24"/>
        <v>35.300000006100163</v>
      </c>
      <c r="O105" s="7"/>
      <c r="P105" s="7"/>
      <c r="Q105" s="23"/>
      <c r="R105" s="23"/>
      <c r="S105" s="32">
        <f t="shared" si="25"/>
        <v>1</v>
      </c>
      <c r="T105" s="47" t="str">
        <f t="shared" si="26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7"/>
        <v>https://d0f6bd738d7f1b3e5a7ca70fe4ff75f0.us-east-1.aws.found.io/app/kibana#/discover/Steve-Slow-Train-Analysis-(2080s-and-2083s)?_g=(refreshInterval:(display:Off,pause:!f,section:0,value:0),time:(from:'2017-01-16T14:05:57-0700',mode:absolute,to:'2017-01-16T16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49" t="str">
        <f t="shared" si="28"/>
        <v>N</v>
      </c>
      <c r="X105" s="173">
        <f t="shared" si="29"/>
        <v>1</v>
      </c>
      <c r="Y105" s="64">
        <f t="shared" si="30"/>
        <v>3.8699999999999998E-2</v>
      </c>
      <c r="Z105" s="64">
        <f t="shared" si="39"/>
        <v>23.331700000000001</v>
      </c>
      <c r="AA105" s="64">
        <f t="shared" si="31"/>
        <v>23.293000000000003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32"/>
        <v>0193-16</v>
      </c>
      <c r="AE105" s="87" t="str">
        <f t="shared" si="33"/>
        <v>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 &amp; 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</v>
      </c>
      <c r="AF105" s="84" t="str">
        <f t="shared" si="34"/>
        <v>"C:\Program Files (x86)\AstroGrep\AstroGrep.exe" /spath="%USERPROFILE%\AppData\Local\Temp\OnboardLogs" /stypes="app*4022*20170116*"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193-16 --locoid 4022 --swversion DE.1.0.8.0 --startMP 204:387 --initTime 2017-01-16T15:05:57 --startdatetime 2017-01-16T15:15:16 --delay 1 --endMP 204:233317 --enddatetime 2017-01-16T15:50:34 --enforcementcount 0 &gt;&gt;C:\Users\stu\Documents\GitHub\eaglep3-reporting\EC\2017-01-16-refined-times.txt</v>
      </c>
      <c r="AI105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{"issue":{"subject":"","project_id":79,"tracker_id":40,"status_id":1,"priority_id":2,"assigned_to_id":23,"start_date":"2017-01-16","description":"","custom_fields":[{"id":1,"name":"Subdivision","value":"EC"},{"id":4,"name":"Milepost","value":"23.3317"},{"id":17,"name":"Train ID","value":"193-16"},{"id":16,"name":"Locomotive ID","value":"4022"},{"id":130,"name":"Impact","value":""},{"id":150,"name":"Time of Event (Mountain Time)","value":"15:50:34"},{"id":151,"name":"Denver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38"/>
        <v>start /low /b %USERPROFILE%\Documents\GitHub\eaglep3\Utilities\DownloadLogsFromS3.py --loco 4022 --day 2017-01-16</v>
      </c>
      <c r="AN105" s="18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2017-01-16-UncaughtWiMAX.txt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644</v>
      </c>
      <c r="B106" s="7">
        <v>4021</v>
      </c>
      <c r="C106" s="22" t="s">
        <v>201</v>
      </c>
      <c r="D106" s="22" t="s">
        <v>777</v>
      </c>
      <c r="E106" s="13">
        <v>42751.661562499998</v>
      </c>
      <c r="F106" s="13">
        <v>42751.674456018518</v>
      </c>
      <c r="G106" s="7">
        <v>1</v>
      </c>
      <c r="H106" s="22" t="s">
        <v>294</v>
      </c>
      <c r="I106" s="13">
        <v>42751.700057870374</v>
      </c>
      <c r="J106" s="7">
        <v>0</v>
      </c>
      <c r="K106" s="105" t="str">
        <f t="shared" si="22"/>
        <v>4021/4022</v>
      </c>
      <c r="L106" s="22" t="str">
        <f>VLOOKUP(A106,'Trips&amp;Operators'!$C$1:$G$99999,5,FALSE)</f>
        <v>ROMERO CHAD</v>
      </c>
      <c r="M106" s="6">
        <f t="shared" si="23"/>
        <v>2.5601851855753921E-2</v>
      </c>
      <c r="N106" s="7">
        <f t="shared" si="24"/>
        <v>36.866666672285646</v>
      </c>
      <c r="O106" s="7"/>
      <c r="P106" s="7"/>
      <c r="Q106" s="23"/>
      <c r="R106" s="23"/>
      <c r="S106" s="32">
        <f t="shared" si="25"/>
        <v>1</v>
      </c>
      <c r="T106" s="47" t="str">
        <f t="shared" si="26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7"/>
        <v>https://d0f6bd738d7f1b3e5a7ca70fe4ff75f0.us-east-1.aws.found.io/app/kibana#/discover/Steve-Slow-Train-Analysis-(2080s-and-2083s)?_g=(refreshInterval:(display:Off,pause:!f,section:0,value:0),time:(from:'2017-01-16T14:52:39-0700',mode:absolute,to:'2017-01-16T17:48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49" t="str">
        <f t="shared" si="28"/>
        <v>N</v>
      </c>
      <c r="X106" s="173">
        <f t="shared" si="29"/>
        <v>1</v>
      </c>
      <c r="Y106" s="64">
        <f t="shared" si="30"/>
        <v>23.299800000000001</v>
      </c>
      <c r="Z106" s="64">
        <f t="shared" si="39"/>
        <v>1.54E-2</v>
      </c>
      <c r="AA106" s="64">
        <f t="shared" si="31"/>
        <v>23.284400000000002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2"/>
        <v>0194-16</v>
      </c>
      <c r="AE106" s="87" t="str">
        <f t="shared" si="33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106" s="84" t="str">
        <f t="shared" si="34"/>
        <v>"C:\Program Files (x86)\AstroGrep\AstroGrep.exe" /spath="%USERPROFILE%\AppData\Local\Temp\OnboardLogs" /stypes="app*4021*20170116*"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194-16 --locoid 4021 --swversion DE.1.0.8.0 --startMP 204:232998 --initTime 2017-01-16T15:52:39 --startdatetime 2017-01-16T16:11:13 --delay 1 --endMP 204:154 --enddatetime 2017-01-16T16:48:05 --enforcementcount 0 &gt;&gt;C:\Users\stu\Documents\GitHub\eaglep3-reporting\EC\2017-01-16-refined-times.txt</v>
      </c>
      <c r="AI106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{"issue":{"subject":"","project_id":79,"tracker_id":40,"status_id":1,"priority_id":2,"assigned_to_id":23,"start_date":"2017-01-16","description":"","custom_fields":[{"id":1,"name":"Subdivision","value":"EC"},{"id":4,"name":"Milepost","value":"0.0154"},{"id":17,"name":"Train ID","value":"194-16"},{"id":16,"name":"Locomotive ID","value":"4021"},{"id":130,"name":"Impact","value":""},{"id":150,"name":"Time of Event (Mountain Time)","value":"16:48:05"},{"id":151,"name":"Denver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38"/>
        <v>start /low /b %USERPROFILE%\Documents\GitHub\eaglep3\Utilities\DownloadLogsFromS3.py --loco 4021 --day 2017-01-16</v>
      </c>
      <c r="AN106" s="18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638</v>
      </c>
      <c r="B107" s="7">
        <v>4003</v>
      </c>
      <c r="C107" s="22" t="s">
        <v>201</v>
      </c>
      <c r="D107" s="22" t="s">
        <v>414</v>
      </c>
      <c r="E107" s="13">
        <v>42751.640648148146</v>
      </c>
      <c r="F107" s="13">
        <v>42751.646099537036</v>
      </c>
      <c r="G107" s="7">
        <v>1</v>
      </c>
      <c r="H107" s="22" t="s">
        <v>767</v>
      </c>
      <c r="I107" s="13">
        <v>42751.671851851854</v>
      </c>
      <c r="J107" s="7">
        <v>0</v>
      </c>
      <c r="K107" s="105" t="str">
        <f t="shared" si="22"/>
        <v>4003/4004</v>
      </c>
      <c r="L107" s="22" t="str">
        <f>VLOOKUP(A107,'Trips&amp;Operators'!$C$1:$G$99999,5,FALSE)</f>
        <v>CRAYTON QUNTRELL</v>
      </c>
      <c r="M107" s="6">
        <f t="shared" si="23"/>
        <v>2.5752314817509614E-2</v>
      </c>
      <c r="N107" s="7">
        <f t="shared" si="24"/>
        <v>37.083333337213844</v>
      </c>
      <c r="O107" s="7"/>
      <c r="P107" s="7"/>
      <c r="Q107" s="23"/>
      <c r="R107" s="23"/>
      <c r="S107" s="32">
        <f t="shared" si="25"/>
        <v>1</v>
      </c>
      <c r="T107" s="47" t="str">
        <f t="shared" si="26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7"/>
        <v>https://d0f6bd738d7f1b3e5a7ca70fe4ff75f0.us-east-1.aws.found.io/app/kibana#/discover/Steve-Slow-Train-Analysis-(2080s-and-2083s)?_g=(refreshInterval:(display:Off,pause:!f,section:0,value:0),time:(from:'2017-01-16T14:22:32-0700',mode:absolute,to:'2017-01-16T17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49" t="str">
        <f t="shared" si="28"/>
        <v>N</v>
      </c>
      <c r="X107" s="173">
        <f t="shared" si="29"/>
        <v>1</v>
      </c>
      <c r="Y107" s="64">
        <f t="shared" si="30"/>
        <v>4.5699999999999998E-2</v>
      </c>
      <c r="Z107" s="64">
        <f t="shared" si="39"/>
        <v>23.3307</v>
      </c>
      <c r="AA107" s="64">
        <f t="shared" si="31"/>
        <v>23.285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2"/>
        <v>0195-16</v>
      </c>
      <c r="AE107" s="87" t="str">
        <f t="shared" si="33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107" s="84" t="str">
        <f t="shared" si="34"/>
        <v>"C:\Program Files (x86)\AstroGrep\AstroGrep.exe" /spath="%USERPROFILE%\AppData\Local\Temp\OnboardLogs" /stypes="app*4003*20170116*"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195-16 --locoid 4003 --swversion DE.1.0.8.0 --startMP 204:457 --initTime 2017-01-16T15:22:32 --startdatetime 2017-01-16T15:30:23 --delay 1 --endMP 204:233307 --enddatetime 2017-01-16T16:07:28 --enforcementcount 0 &gt;&gt;C:\Users\stu\Documents\GitHub\eaglep3-reporting\EC\2017-01-16-refined-times.txt</v>
      </c>
      <c r="AI107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{"issue":{"subject":"","project_id":79,"tracker_id":40,"status_id":1,"priority_id":2,"assigned_to_id":23,"start_date":"2017-01-16","description":"","custom_fields":[{"id":1,"name":"Subdivision","value":"EC"},{"id":4,"name":"Milepost","value":"23.3307"},{"id":17,"name":"Train ID","value":"195-16"},{"id":16,"name":"Locomotive ID","value":"4003"},{"id":130,"name":"Impact","value":""},{"id":150,"name":"Time of Event (Mountain Time)","value":"16:07:28"},{"id":151,"name":"Denver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38"/>
        <v>start /low /b %USERPROFILE%\Documents\GitHub\eaglep3\Utilities\DownloadLogsFromS3.py --loco 4003 --day 2017-01-16</v>
      </c>
      <c r="AN107" s="18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"%USERPROFILE%\AppData\Local\Temp\OnboardLogs"\RTDC4003\*4003*20170116* | grep -SE "(Enforcement Action)|(\[TIMEOUT)|(CHR.+\|PRM\|1\|D.+(SWITCH|SIGNAL).+UNKNOWN)" - &gt;&gt; 2017-01-16-UncaughtWiMAX.txt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647</v>
      </c>
      <c r="B108" s="7">
        <v>4004</v>
      </c>
      <c r="C108" s="22" t="s">
        <v>201</v>
      </c>
      <c r="D108" s="22" t="s">
        <v>750</v>
      </c>
      <c r="E108" s="13">
        <v>42751.678622685184</v>
      </c>
      <c r="F108" s="13">
        <v>42751.684930555559</v>
      </c>
      <c r="G108" s="7">
        <v>1</v>
      </c>
      <c r="H108" s="22" t="s">
        <v>354</v>
      </c>
      <c r="I108" s="13">
        <v>42751.715995370374</v>
      </c>
      <c r="J108" s="7">
        <v>0</v>
      </c>
      <c r="K108" s="105" t="str">
        <f t="shared" si="22"/>
        <v>4003/4004</v>
      </c>
      <c r="L108" s="22" t="str">
        <f>VLOOKUP(A108,'Trips&amp;Operators'!$C$1:$G$99999,5,FALSE)</f>
        <v>CRAYTON QUNTRELL</v>
      </c>
      <c r="M108" s="6">
        <f t="shared" si="23"/>
        <v>3.1064814815181307E-2</v>
      </c>
      <c r="N108" s="7">
        <f t="shared" si="24"/>
        <v>44.733333333861083</v>
      </c>
      <c r="O108" s="7"/>
      <c r="P108" s="7"/>
      <c r="Q108" s="23"/>
      <c r="R108" s="23"/>
      <c r="S108" s="32">
        <f t="shared" si="25"/>
        <v>1</v>
      </c>
      <c r="T108" s="47" t="str">
        <f t="shared" si="26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7"/>
        <v>https://d0f6bd738d7f1b3e5a7ca70fe4ff75f0.us-east-1.aws.found.io/app/kibana#/discover/Steve-Slow-Train-Analysis-(2080s-and-2083s)?_g=(refreshInterval:(display:Off,pause:!f,section:0,value:0),time:(from:'2017-01-16T15:17:13-0700',mode:absolute,to:'2017-01-16T18:11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8" s="49" t="str">
        <f t="shared" si="28"/>
        <v>N</v>
      </c>
      <c r="X108" s="173">
        <f t="shared" si="29"/>
        <v>1</v>
      </c>
      <c r="Y108" s="64">
        <f t="shared" si="30"/>
        <v>23.3</v>
      </c>
      <c r="Z108" s="64">
        <f t="shared" si="39"/>
        <v>1.6899999999999998E-2</v>
      </c>
      <c r="AA108" s="64">
        <f t="shared" si="31"/>
        <v>23.283100000000001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2"/>
        <v>0196-16</v>
      </c>
      <c r="AE108" s="87" t="str">
        <f t="shared" si="33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108" s="84" t="str">
        <f t="shared" si="34"/>
        <v>"C:\Program Files (x86)\AstroGrep\AstroGrep.exe" /spath="%USERPROFILE%\AppData\Local\Temp\OnboardLogs" /stypes="app*4004*20170117*"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196-16 --locoid 4004 --swversion DE.1.0.8.0 --startMP 204:233000 --initTime 2017-01-16T16:17:13 --startdatetime 2017-01-16T16:26:18 --delay 1 --endMP 204:169 --enddatetime 2017-01-16T17:11:02 --enforcementcount 0 &gt;&gt;C:\Users\stu\Documents\GitHub\eaglep3-reporting\EC\2017-01-16-refined-times.txt</v>
      </c>
      <c r="AI108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{"issue":{"subject":"","project_id":79,"tracker_id":40,"status_id":1,"priority_id":2,"assigned_to_id":23,"start_date":"2017-01-16","description":"","custom_fields":[{"id":1,"name":"Subdivision","value":"EC"},{"id":4,"name":"Milepost","value":"0.0169"},{"id":17,"name":"Train ID","value":"196-16"},{"id":16,"name":"Locomotive ID","value":"4004"},{"id":130,"name":"Impact","value":""},{"id":150,"name":"Time of Event (Mountain Time)","value":"17:11:02"},{"id":151,"name":"Denver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38"/>
        <v>start /low /b %USERPROFILE%\Documents\GitHub\eaglep3\Utilities\DownloadLogsFromS3.py --loco 4004 --day 2017-01-16</v>
      </c>
      <c r="AN108" s="18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"%USERPROFILE%\AppData\Local\Temp\OnboardLogs"\RTDC4004\*4004*20170116* | grep -SE "(Enforcement Action)|(\[TIMEOUT)|(CHR.+\|PRM\|1\|D.+(SWITCH|SIGNAL).+UNKNOWN)" - &gt;&gt; 2017-01-16-UncaughtWiMAX.txt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641</v>
      </c>
      <c r="B109" s="7">
        <v>4038</v>
      </c>
      <c r="C109" s="22" t="s">
        <v>201</v>
      </c>
      <c r="D109" s="22" t="s">
        <v>356</v>
      </c>
      <c r="E109" s="13">
        <v>42751.651956018519</v>
      </c>
      <c r="F109" s="13">
        <v>42751.656481481485</v>
      </c>
      <c r="G109" s="7">
        <v>2</v>
      </c>
      <c r="H109" s="22" t="s">
        <v>268</v>
      </c>
      <c r="I109" s="13">
        <v>42751.682037037041</v>
      </c>
      <c r="J109" s="7">
        <v>0</v>
      </c>
      <c r="K109" s="105" t="str">
        <f t="shared" si="22"/>
        <v>4037/4038</v>
      </c>
      <c r="L109" s="22" t="str">
        <f>VLOOKUP(A109,'Trips&amp;Operators'!$C$1:$G$99999,5,FALSE)</f>
        <v>YANG JAN</v>
      </c>
      <c r="M109" s="6">
        <f t="shared" si="23"/>
        <v>2.5555555555911269E-2</v>
      </c>
      <c r="N109" s="7">
        <f t="shared" si="24"/>
        <v>36.800000000512227</v>
      </c>
      <c r="O109" s="7"/>
      <c r="P109" s="7"/>
      <c r="Q109" s="23"/>
      <c r="R109" s="23"/>
      <c r="S109" s="32">
        <f t="shared" si="25"/>
        <v>1</v>
      </c>
      <c r="T109" s="47" t="str">
        <f t="shared" si="26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7"/>
        <v>https://d0f6bd738d7f1b3e5a7ca70fe4ff75f0.us-east-1.aws.found.io/app/kibana#/discover/Steve-Slow-Train-Analysis-(2080s-and-2083s)?_g=(refreshInterval:(display:Off,pause:!f,section:0,value:0),time:(from:'2017-01-16T14:38:49-0700',mode:absolute,to:'2017-01-16T17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9" s="49" t="str">
        <f t="shared" si="28"/>
        <v>N</v>
      </c>
      <c r="X109" s="173">
        <f t="shared" si="29"/>
        <v>1</v>
      </c>
      <c r="Y109" s="64">
        <f t="shared" si="30"/>
        <v>4.7100000000000003E-2</v>
      </c>
      <c r="Z109" s="64">
        <f t="shared" si="39"/>
        <v>23.329799999999999</v>
      </c>
      <c r="AA109" s="64">
        <f t="shared" si="31"/>
        <v>23.282699999999998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2"/>
        <v>0197-16</v>
      </c>
      <c r="AE109" s="87" t="str">
        <f t="shared" si="33"/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AF109" s="84" t="str">
        <f t="shared" si="34"/>
        <v>"C:\Program Files (x86)\AstroGrep\AstroGrep.exe" /spath="%USERPROFILE%\AppData\Local\Temp\OnboardLogs" /stypes="app*4038*20170116*"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197-16 --locoid 4038 --swversion DE.1.0.8.0 --startMP 204:471 --initTime 2017-01-16T15:38:49 --startdatetime 2017-01-16T15:45:20 --delay 2 --endMP 204:233298 --enddatetime 2017-01-16T16:22:08 --enforcementcount 0 &gt;&gt;C:\Users\stu\Documents\GitHub\eaglep3-reporting\EC\2017-01-16-refined-times.txt</v>
      </c>
      <c r="AI109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{"issue":{"subject":"","project_id":79,"tracker_id":40,"status_id":1,"priority_id":2,"assigned_to_id":23,"start_date":"2017-01-16","description":"","custom_fields":[{"id":1,"name":"Subdivision","value":"EC"},{"id":4,"name":"Milepost","value":"23.3298"},{"id":17,"name":"Train ID","value":"197-16"},{"id":16,"name":"Locomotive ID","value":"4038"},{"id":130,"name":"Impact","value":""},{"id":150,"name":"Time of Event (Mountain Time)","value":"16:22:08"},{"id":151,"name":"Denver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38"/>
        <v>start /low /b %USERPROFILE%\Documents\GitHub\eaglep3\Utilities\DownloadLogsFromS3.py --loco 4038 --day 2017-01-16</v>
      </c>
      <c r="AN109" s="18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"%USERPROFILE%\AppData\Local\Temp\OnboardLogs"\RTDC4038\*4038*20170116* | grep -SE "(Enforcement Action)|(\[TIMEOUT)|(CHR.+\|PRM\|1\|D.+(SWITCH|SIGNAL).+UNKNOWN)" - &gt;&gt; 2017-01-16-UncaughtWiMAX.txt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4" t="s">
        <v>650</v>
      </c>
      <c r="B110" s="7">
        <v>4037</v>
      </c>
      <c r="C110" s="22" t="s">
        <v>201</v>
      </c>
      <c r="D110" s="22" t="s">
        <v>284</v>
      </c>
      <c r="E110" s="13">
        <v>42751.690648148149</v>
      </c>
      <c r="F110" s="13">
        <v>42751.695752314816</v>
      </c>
      <c r="G110" s="7">
        <v>1</v>
      </c>
      <c r="H110" s="22" t="s">
        <v>778</v>
      </c>
      <c r="I110" s="13">
        <v>42751.729074074072</v>
      </c>
      <c r="J110" s="7">
        <v>0</v>
      </c>
      <c r="K110" s="105" t="str">
        <f t="shared" si="22"/>
        <v>4037/4038</v>
      </c>
      <c r="L110" s="22" t="str">
        <f>VLOOKUP(A110,'Trips&amp;Operators'!$C$1:$G$99999,5,FALSE)</f>
        <v>YANG JAN</v>
      </c>
      <c r="M110" s="6">
        <f t="shared" si="23"/>
        <v>3.3321759256068617E-2</v>
      </c>
      <c r="N110" s="7">
        <f t="shared" si="24"/>
        <v>47.983333328738809</v>
      </c>
      <c r="O110" s="7"/>
      <c r="P110" s="7"/>
      <c r="Q110" s="23"/>
      <c r="R110" s="23"/>
      <c r="S110" s="32">
        <f t="shared" si="25"/>
        <v>1</v>
      </c>
      <c r="T110" s="47" t="str">
        <f t="shared" si="26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7"/>
        <v>https://d0f6bd738d7f1b3e5a7ca70fe4ff75f0.us-east-1.aws.found.io/app/kibana#/discover/Steve-Slow-Train-Analysis-(2080s-and-2083s)?_g=(refreshInterval:(display:Off,pause:!f,section:0,value:0),time:(from:'2017-01-16T15:34:32-0700',mode:absolute,to:'2017-01-16T18:29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0" s="49" t="str">
        <f t="shared" si="28"/>
        <v>N</v>
      </c>
      <c r="X110" s="173">
        <f t="shared" si="29"/>
        <v>1</v>
      </c>
      <c r="Y110" s="64">
        <f t="shared" si="30"/>
        <v>23.299399999999999</v>
      </c>
      <c r="Z110" s="64">
        <f t="shared" si="39"/>
        <v>0.11749999999999999</v>
      </c>
      <c r="AA110" s="64">
        <f t="shared" si="31"/>
        <v>23.181899999999999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2"/>
        <v>0198-16</v>
      </c>
      <c r="AE110" s="87" t="str">
        <f t="shared" si="33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110" s="84" t="str">
        <f t="shared" si="34"/>
        <v>"C:\Program Files (x86)\AstroGrep\AstroGrep.exe" /spath="%USERPROFILE%\AppData\Local\Temp\OnboardLogs" /stypes="app*4037*20170117*"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198-16 --locoid 4037 --swversion DE.1.0.8.0 --startMP 204:232994 --initTime 2017-01-16T16:34:32 --startdatetime 2017-01-16T16:41:53 --delay 1 --endMP 204:1175 --enddatetime 2017-01-16T17:29:52 --enforcementcount 0 &gt;&gt;C:\Users\stu\Documents\GitHub\eaglep3-reporting\EC\2017-01-16-refined-times.txt</v>
      </c>
      <c r="AI110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{"issue":{"subject":"","project_id":79,"tracker_id":40,"status_id":1,"priority_id":2,"assigned_to_id":23,"start_date":"2017-01-16","description":"","custom_fields":[{"id":1,"name":"Subdivision","value":"EC"},{"id":4,"name":"Milepost","value":"0.1175"},{"id":17,"name":"Train ID","value":"198-16"},{"id":16,"name":"Locomotive ID","value":"4037"},{"id":130,"name":"Impact","value":""},{"id":150,"name":"Time of Event (Mountain Time)","value":"17:29:52"},{"id":151,"name":"Denver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38"/>
        <v>start /low /b %USERPROFILE%\Documents\GitHub\eaglep3\Utilities\DownloadLogsFromS3.py --loco 4037 --day 2017-01-16</v>
      </c>
      <c r="AN110" s="18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"%USERPROFILE%\AppData\Local\Temp\OnboardLogs"\RTDC4037\*4037*20170117* | grep -SE "(Enforcement Action)|(\[TIMEOUT)|(CHR.+\|PRM\|1\|D.+(SWITCH|SIGNAL).+UNKNOWN)" - &gt;&gt; 2017-01-16-UncaughtWiMAX.txt</v>
      </c>
    </row>
    <row r="111" spans="1:91" s="21" customFormat="1" x14ac:dyDescent="0.25">
      <c r="A111" s="34" t="s">
        <v>645</v>
      </c>
      <c r="B111" s="7">
        <v>4029</v>
      </c>
      <c r="C111" s="22" t="s">
        <v>201</v>
      </c>
      <c r="D111" s="22" t="s">
        <v>236</v>
      </c>
      <c r="E111" s="13">
        <v>42751.66196759259</v>
      </c>
      <c r="F111" s="13">
        <v>42751.666851851849</v>
      </c>
      <c r="G111" s="7">
        <v>1</v>
      </c>
      <c r="H111" s="22" t="s">
        <v>282</v>
      </c>
      <c r="I111" s="13">
        <v>42751.69253472222</v>
      </c>
      <c r="J111" s="7">
        <v>0</v>
      </c>
      <c r="K111" s="105" t="str">
        <f t="shared" si="22"/>
        <v>4029/4030</v>
      </c>
      <c r="L111" s="22" t="str">
        <f>VLOOKUP(A111,'Trips&amp;Operators'!$C$1:$G$99999,5,FALSE)</f>
        <v>KILLION DAVID</v>
      </c>
      <c r="M111" s="6">
        <f t="shared" si="23"/>
        <v>2.5682870371383615E-2</v>
      </c>
      <c r="N111" s="7">
        <f t="shared" si="24"/>
        <v>36.983333334792405</v>
      </c>
      <c r="O111" s="7"/>
      <c r="P111" s="7"/>
      <c r="Q111" s="23"/>
      <c r="R111" s="23"/>
      <c r="S111" s="32">
        <f t="shared" si="25"/>
        <v>1</v>
      </c>
      <c r="T111" s="47" t="str">
        <f t="shared" si="26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7"/>
        <v>https://d0f6bd738d7f1b3e5a7ca70fe4ff75f0.us-east-1.aws.found.io/app/kibana#/discover/Steve-Slow-Train-Analysis-(2080s-and-2083s)?_g=(refreshInterval:(display:Off,pause:!f,section:0,value:0),time:(from:'2017-01-16T14:53:14-0700',mode:absolute,to:'2017-01-16T17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1" s="49" t="str">
        <f t="shared" si="28"/>
        <v>N</v>
      </c>
      <c r="X111" s="173">
        <f t="shared" si="29"/>
        <v>1</v>
      </c>
      <c r="Y111" s="64">
        <f t="shared" si="30"/>
        <v>4.53E-2</v>
      </c>
      <c r="Z111" s="64">
        <f t="shared" si="39"/>
        <v>23.3293</v>
      </c>
      <c r="AA111" s="64">
        <f t="shared" si="31"/>
        <v>23.283999999999999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32"/>
        <v>0199-16</v>
      </c>
      <c r="AE111" s="87" t="str">
        <f t="shared" si="33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111" s="84" t="str">
        <f t="shared" si="34"/>
        <v>"C:\Program Files (x86)\AstroGrep\AstroGrep.exe" /spath="%USERPROFILE%\AppData\Local\Temp\OnboardLogs" /stypes="app*4029*20170116*"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199-16 --locoid 4029 --swversion DE.1.0.8.0 --startMP 204:453 --initTime 2017-01-16T15:53:14 --startdatetime 2017-01-16T16:00:16 --delay 1 --endMP 204:233293 --enddatetime 2017-01-16T16:37:15 --enforcementcount 0 &gt;&gt;C:\Users\stu\Documents\GitHub\eaglep3-reporting\EC\2017-01-16-refined-times.txt</v>
      </c>
      <c r="AI111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{"issue":{"subject":"","project_id":79,"tracker_id":40,"status_id":1,"priority_id":2,"assigned_to_id":23,"start_date":"2017-01-16","description":"","custom_fields":[{"id":1,"name":"Subdivision","value":"EC"},{"id":4,"name":"Milepost","value":"23.3293"},{"id":17,"name":"Train ID","value":"199-16"},{"id":16,"name":"Locomotive ID","value":"4029"},{"id":130,"name":"Impact","value":""},{"id":150,"name":"Time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38"/>
        <v>start /low /b %USERPROFILE%\Documents\GitHub\eaglep3\Utilities\DownloadLogsFromS3.py --loco 4029 --day 2017-01-16</v>
      </c>
      <c r="AN111" s="18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"%USERPROFILE%\AppData\Local\Temp\OnboardLogs"\RTDC4029\*4029*20170116* | grep -SE "(Enforcement Action)|(\[TIMEOUT)|(CHR.+\|PRM\|1\|D.+(SWITCH|SIGNAL).+UNKNOWN)" - &gt;&gt; 2017-01-16-UncaughtWiMAX.txt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655</v>
      </c>
      <c r="B112" s="7">
        <v>4030</v>
      </c>
      <c r="C112" s="22" t="s">
        <v>201</v>
      </c>
      <c r="D112" s="22" t="s">
        <v>252</v>
      </c>
      <c r="E112" s="13">
        <v>42751.702592592592</v>
      </c>
      <c r="F112" s="13">
        <v>42751.705752314818</v>
      </c>
      <c r="G112" s="7">
        <v>1</v>
      </c>
      <c r="H112" s="22" t="s">
        <v>289</v>
      </c>
      <c r="I112" s="13">
        <v>42751.738425925927</v>
      </c>
      <c r="J112" s="7">
        <v>0</v>
      </c>
      <c r="K112" s="105" t="str">
        <f t="shared" si="22"/>
        <v>4029/4030</v>
      </c>
      <c r="L112" s="22" t="str">
        <f>VLOOKUP(A112,'Trips&amp;Operators'!$C$1:$G$99999,5,FALSE)</f>
        <v>KILLION DAVID</v>
      </c>
      <c r="M112" s="6">
        <f t="shared" si="23"/>
        <v>3.2673611109203193E-2</v>
      </c>
      <c r="N112" s="7">
        <f t="shared" si="24"/>
        <v>47.049999997252598</v>
      </c>
      <c r="O112" s="7"/>
      <c r="P112" s="7"/>
      <c r="Q112" s="23"/>
      <c r="R112" s="23"/>
      <c r="S112" s="32">
        <f t="shared" si="25"/>
        <v>1</v>
      </c>
      <c r="T112" s="47" t="str">
        <f t="shared" si="26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7"/>
        <v>https://d0f6bd738d7f1b3e5a7ca70fe4ff75f0.us-east-1.aws.found.io/app/kibana#/discover/Steve-Slow-Train-Analysis-(2080s-and-2083s)?_g=(refreshInterval:(display:Off,pause:!f,section:0,value:0),time:(from:'2017-01-16T15:51:44-0700',mode:absolute,to:'2017-01-16T18:43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49" t="str">
        <f t="shared" si="28"/>
        <v>N</v>
      </c>
      <c r="X112" s="173">
        <f t="shared" si="29"/>
        <v>1</v>
      </c>
      <c r="Y112" s="64">
        <f t="shared" si="30"/>
        <v>23.2973</v>
      </c>
      <c r="Z112" s="64">
        <f t="shared" si="39"/>
        <v>1.38E-2</v>
      </c>
      <c r="AA112" s="64">
        <f t="shared" si="31"/>
        <v>23.2835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2"/>
        <v>0200-16</v>
      </c>
      <c r="AE112" s="87" t="str">
        <f t="shared" si="33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112" s="84" t="str">
        <f t="shared" si="34"/>
        <v>"C:\Program Files (x86)\AstroGrep\AstroGrep.exe" /spath="%USERPROFILE%\AppData\Local\Temp\OnboardLogs" /stypes="app*4030*20170117*"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200-16 --locoid 4030 --swversion DE.1.0.8.0 --startMP 204:232973 --initTime 2017-01-16T16:51:44 --startdatetime 2017-01-16T16:56:17 --delay 1 --endMP 204:138 --enddatetime 2017-01-16T17:43:20 --enforcementcount 0 &gt;&gt;C:\Users\stu\Documents\GitHub\eaglep3-reporting\EC\2017-01-16-refined-times.txt</v>
      </c>
      <c r="AI112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{"issue":{"subject":"","project_id":79,"tracker_id":40,"status_id":1,"priority_id":2,"assigned_to_id":23,"start_date":"2017-01-16","description":"","custom_fields":[{"id":1,"name":"Subdivision","value":"EC"},{"id":4,"name":"Milepost","value":"0.0138"},{"id":17,"name":"Train ID","value":"200-16"},{"id":16,"name":"Locomotive ID","value":"4030"},{"id":130,"name":"Impact","value":""},{"id":150,"name":"Time of Event (Mountain Time)","value":"17:43:20"},{"id":151,"name":"Denver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38"/>
        <v>start /low /b %USERPROFILE%\Documents\GitHub\eaglep3\Utilities\DownloadLogsFromS3.py --loco 4030 --day 2017-01-16</v>
      </c>
      <c r="AN112" s="18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"%USERPROFILE%\AppData\Local\Temp\OnboardLogs"\RTDC4030\*4030*20170117* | grep -SE "(Enforcement Action)|(\[TIMEOUT)|(CHR.+\|PRM\|1\|D.+(SWITCH|SIGNAL).+UNKNOWN)" - &gt;&gt; 2017-01-16-UncaughtWiMAX.txt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646</v>
      </c>
      <c r="B113" s="7">
        <v>4031</v>
      </c>
      <c r="C113" s="22" t="s">
        <v>201</v>
      </c>
      <c r="D113" s="22" t="s">
        <v>251</v>
      </c>
      <c r="E113" s="13">
        <v>42751.673680555556</v>
      </c>
      <c r="F113" s="13">
        <v>42751.677418981482</v>
      </c>
      <c r="G113" s="7">
        <v>1</v>
      </c>
      <c r="H113" s="22" t="s">
        <v>282</v>
      </c>
      <c r="I113" s="13">
        <v>42751.705497685187</v>
      </c>
      <c r="J113" s="7">
        <v>0</v>
      </c>
      <c r="K113" s="105" t="str">
        <f t="shared" si="22"/>
        <v>4031/4032</v>
      </c>
      <c r="L113" s="22" t="str">
        <f>VLOOKUP(A113,'Trips&amp;Operators'!$C$1:$G$99999,5,FALSE)</f>
        <v>STEWART MICHAEL</v>
      </c>
      <c r="M113" s="6">
        <f t="shared" si="23"/>
        <v>2.8078703704522923E-2</v>
      </c>
      <c r="N113" s="7">
        <f t="shared" si="24"/>
        <v>40.433333334513009</v>
      </c>
      <c r="O113" s="7"/>
      <c r="P113" s="7"/>
      <c r="Q113" s="23"/>
      <c r="R113" s="23"/>
      <c r="S113" s="32">
        <f t="shared" si="25"/>
        <v>1</v>
      </c>
      <c r="T113" s="47" t="str">
        <f t="shared" si="26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7"/>
        <v>https://d0f6bd738d7f1b3e5a7ca70fe4ff75f0.us-east-1.aws.found.io/app/kibana#/discover/Steve-Slow-Train-Analysis-(2080s-and-2083s)?_g=(refreshInterval:(display:Off,pause:!f,section:0,value:0),time:(from:'2017-01-16T15:10:06-0700',mode:absolute,to:'2017-01-16T17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3" s="49" t="str">
        <f t="shared" si="28"/>
        <v>N</v>
      </c>
      <c r="X113" s="173">
        <f t="shared" si="29"/>
        <v>1</v>
      </c>
      <c r="Y113" s="64">
        <f t="shared" si="30"/>
        <v>4.4900000000000002E-2</v>
      </c>
      <c r="Z113" s="64">
        <f t="shared" si="39"/>
        <v>23.3293</v>
      </c>
      <c r="AA113" s="64">
        <f t="shared" si="31"/>
        <v>23.284400000000002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2"/>
        <v>0201-16</v>
      </c>
      <c r="AE113" s="87" t="str">
        <f t="shared" si="33"/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AF113" s="84" t="str">
        <f t="shared" si="34"/>
        <v>"C:\Program Files (x86)\AstroGrep\AstroGrep.exe" /spath="%USERPROFILE%\AppData\Local\Temp\OnboardLogs" /stypes="app*4031*20170116*" /stext=" 23:.+((SYSTEM_STATE.+slice.+state.+changed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201-16 --locoid 4031 --swversion DE.1.0.8.0 --startMP 204:449 --initTime 2017-01-16T16:10:06 --startdatetime 2017-01-16T16:15:29 --delay 1 --endMP 204:233293 --enddatetime 2017-01-16T16:55:55 --enforcementcount 0 &gt;&gt;C:\Users\stu\Documents\GitHub\eaglep3-reporting\EC\2017-01-16-refined-times.txt</v>
      </c>
      <c r="AI113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{"issue":{"subject":"","project_id":79,"tracker_id":40,"status_id":1,"priority_id":2,"assigned_to_id":23,"start_date":"2017-01-16","description":"","custom_fields":[{"id":1,"name":"Subdivision","value":"EC"},{"id":4,"name":"Milepost","value":"23.3293"},{"id":17,"name":"Train ID","value":"201-16"},{"id":16,"name":"Locomotive ID","value":"4031"},{"id":130,"name":"Impact","value":""},{"id":150,"name":"Time of Event (Mountain Time)","value":"16:55:55"},{"id":151,"name":"Denver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38"/>
        <v>start /low /b %USERPROFILE%\Documents\GitHub\eaglep3\Utilities\DownloadLogsFromS3.py --loco 4031 --day 2017-01-16</v>
      </c>
      <c r="AN113" s="18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"%USERPROFILE%\AppData\Local\Temp\OnboardLogs"\RTDC4031\*4031*20170116* | grep -SE "(Enforcement Action)|(\[TIMEOUT)|(CHR.+\|PRM\|1\|D.+(SWITCH|SIGNAL).+UNKNOWN)" - &gt;&gt; 2017-01-16-UncaughtWiMAX.txt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657</v>
      </c>
      <c r="B114" s="7">
        <v>4032</v>
      </c>
      <c r="C114" s="22" t="s">
        <v>201</v>
      </c>
      <c r="D114" s="22" t="s">
        <v>241</v>
      </c>
      <c r="E114" s="13">
        <v>42751.713703703703</v>
      </c>
      <c r="F114" s="13">
        <v>42751.716168981482</v>
      </c>
      <c r="G114" s="7">
        <v>1</v>
      </c>
      <c r="H114" s="22" t="s">
        <v>206</v>
      </c>
      <c r="I114" s="13">
        <v>42751.747754629629</v>
      </c>
      <c r="J114" s="7">
        <v>0</v>
      </c>
      <c r="K114" s="105" t="str">
        <f t="shared" si="22"/>
        <v>4031/4032</v>
      </c>
      <c r="L114" s="22" t="str">
        <f>VLOOKUP(A114,'Trips&amp;Operators'!$C$1:$G$99999,5,FALSE)</f>
        <v>STEWART MICHAEL</v>
      </c>
      <c r="M114" s="6">
        <f t="shared" si="23"/>
        <v>3.1585648146574385E-2</v>
      </c>
      <c r="N114" s="7">
        <f t="shared" si="24"/>
        <v>45.483333331067115</v>
      </c>
      <c r="O114" s="7"/>
      <c r="P114" s="7"/>
      <c r="Q114" s="23"/>
      <c r="R114" s="23"/>
      <c r="S114" s="32">
        <f t="shared" si="25"/>
        <v>1</v>
      </c>
      <c r="T114" s="47" t="str">
        <f t="shared" si="26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7"/>
        <v>https://d0f6bd738d7f1b3e5a7ca70fe4ff75f0.us-east-1.aws.found.io/app/kibana#/discover/Steve-Slow-Train-Analysis-(2080s-and-2083s)?_g=(refreshInterval:(display:Off,pause:!f,section:0,value:0),time:(from:'2017-01-16T16:07:44-0700',mode:absolute,to:'2017-01-16T18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49" t="str">
        <f t="shared" si="28"/>
        <v>N</v>
      </c>
      <c r="X114" s="173">
        <f t="shared" si="29"/>
        <v>1</v>
      </c>
      <c r="Y114" s="64">
        <f t="shared" si="30"/>
        <v>23.297699999999999</v>
      </c>
      <c r="Z114" s="64">
        <f t="shared" ref="Z114:Z145" si="40">RIGHT(H114,LEN(H114)-4)/10000</f>
        <v>1.4999999999999999E-2</v>
      </c>
      <c r="AA114" s="64">
        <f t="shared" si="31"/>
        <v>23.282699999999998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32"/>
        <v>0202-16</v>
      </c>
      <c r="AE114" s="87" t="str">
        <f t="shared" si="33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114" s="84" t="str">
        <f t="shared" si="34"/>
        <v>"C:\Program Files (x86)\AstroGrep\AstroGrep.exe" /spath="%USERPROFILE%\AppData\Local\Temp\OnboardLogs" /stypes="app*4032*20170117*"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202-16 --locoid 4032 --swversion DE.1.0.8.0 --startMP 204:232977 --initTime 2017-01-16T17:07:44 --startdatetime 2017-01-16T17:11:17 --delay 1 --endMP 204:150 --enddatetime 2017-01-16T17:56:46 --enforcementcount 0 &gt;&gt;C:\Users\stu\Documents\GitHub\eaglep3-reporting\EC\2017-01-16-refined-times.txt</v>
      </c>
      <c r="AI114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{"issue":{"subject":"","project_id":79,"tracker_id":40,"status_id":1,"priority_id":2,"assigned_to_id":23,"start_date":"2017-01-16","description":"","custom_fields":[{"id":1,"name":"Subdivision","value":"EC"},{"id":4,"name":"Milepost","value":"0.015"},{"id":17,"name":"Train ID","value":"202-16"},{"id":16,"name":"Locomotive ID","value":"4032"},{"id":130,"name":"Impact","value":""},{"id":150,"name":"Time of Event (Mountain Time)","value":"17:56:46"},{"id":151,"name":"Denver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38"/>
        <v>start /low /b %USERPROFILE%\Documents\GitHub\eaglep3\Utilities\DownloadLogsFromS3.py --loco 4032 --day 2017-01-16</v>
      </c>
      <c r="AN114" s="18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648</v>
      </c>
      <c r="B115" s="7">
        <v>4016</v>
      </c>
      <c r="C115" s="22" t="s">
        <v>201</v>
      </c>
      <c r="D115" s="22" t="s">
        <v>357</v>
      </c>
      <c r="E115" s="13">
        <v>42751.685312499998</v>
      </c>
      <c r="F115" s="13">
        <v>42751.687939814816</v>
      </c>
      <c r="G115" s="7">
        <v>1</v>
      </c>
      <c r="H115" s="22" t="s">
        <v>392</v>
      </c>
      <c r="I115" s="13">
        <v>42751.718518518515</v>
      </c>
      <c r="J115" s="7">
        <v>0</v>
      </c>
      <c r="K115" s="105" t="str">
        <f t="shared" si="22"/>
        <v>4015/4016</v>
      </c>
      <c r="L115" s="22" t="str">
        <f>VLOOKUP(A115,'Trips&amp;Operators'!$C$1:$G$99999,5,FALSE)</f>
        <v>DAVIS MICHAEL</v>
      </c>
      <c r="M115" s="6">
        <f t="shared" si="23"/>
        <v>3.0578703699575271E-2</v>
      </c>
      <c r="N115" s="7">
        <f t="shared" si="24"/>
        <v>44.033333327388391</v>
      </c>
      <c r="O115" s="7"/>
      <c r="P115" s="7"/>
      <c r="Q115" s="23"/>
      <c r="R115" s="23"/>
      <c r="S115" s="32">
        <f t="shared" si="25"/>
        <v>1</v>
      </c>
      <c r="T115" s="47" t="str">
        <f t="shared" si="26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7"/>
        <v>https://d0f6bd738d7f1b3e5a7ca70fe4ff75f0.us-east-1.aws.found.io/app/kibana#/discover/Steve-Slow-Train-Analysis-(2080s-and-2083s)?_g=(refreshInterval:(display:Off,pause:!f,section:0,value:0),time:(from:'2017-01-16T15:26:51-0700',mode:absolute,to:'2017-01-16T18:14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49" t="str">
        <f t="shared" si="28"/>
        <v>N</v>
      </c>
      <c r="X115" s="173">
        <f t="shared" si="29"/>
        <v>1</v>
      </c>
      <c r="Y115" s="64">
        <f t="shared" si="30"/>
        <v>4.3999999999999997E-2</v>
      </c>
      <c r="Z115" s="64">
        <f t="shared" si="40"/>
        <v>23.332000000000001</v>
      </c>
      <c r="AA115" s="64">
        <f t="shared" si="31"/>
        <v>23.288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32"/>
        <v>0203-16</v>
      </c>
      <c r="AE115" s="87" t="str">
        <f t="shared" si="33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115" s="84" t="str">
        <f t="shared" si="34"/>
        <v>"C:\Program Files (x86)\AstroGrep\AstroGrep.exe" /spath="%USERPROFILE%\AppData\Local\Temp\OnboardLogs" /stypes="app*4016*20170117*"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203-16 --locoid 4016 --swversion DE.1.0.8.0 --startMP 204:440 --initTime 2017-01-16T16:26:51 --startdatetime 2017-01-16T16:30:38 --delay 1 --endMP 204:233320 --enddatetime 2017-01-16T17:14:40 --enforcementcount 0 &gt;&gt;C:\Users\stu\Documents\GitHub\eaglep3-reporting\EC\2017-01-16-refined-times.txt</v>
      </c>
      <c r="AI115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{"issue":{"subject":"","project_id":79,"tracker_id":40,"status_id":1,"priority_id":2,"assigned_to_id":23,"start_date":"2017-01-16","description":"","custom_fields":[{"id":1,"name":"Subdivision","value":"EC"},{"id":4,"name":"Milepost","value":"23.332"},{"id":17,"name":"Train ID","value":"203-16"},{"id":16,"name":"Locomotive ID","value":"4016"},{"id":130,"name":"Impact","value":""},{"id":150,"name":"Time of Event (Mountain Time)","value":"17:14:40"},{"id":151,"name":"Denver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38"/>
        <v>start /low /b %USERPROFILE%\Documents\GitHub\eaglep3\Utilities\DownloadLogsFromS3.py --loco 4016 --day 2017-01-16</v>
      </c>
      <c r="AN115" s="18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"%USERPROFILE%\AppData\Local\Temp\OnboardLogs"\RTDC4016\*4016*20170116* | grep -SE "(Enforcement Action)|(\[TIMEOUT)|(CHR.+\|PRM\|1\|D.+(SWITCH|SIGNAL).+UNKNOWN)" - &gt;&gt; 2017-01-16-UncaughtWiMAX.txt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662</v>
      </c>
      <c r="B116" s="7">
        <v>4015</v>
      </c>
      <c r="C116" s="22" t="s">
        <v>201</v>
      </c>
      <c r="D116" s="22" t="s">
        <v>252</v>
      </c>
      <c r="E116" s="13">
        <v>42751.723634259259</v>
      </c>
      <c r="F116" s="13">
        <v>42751.726840277777</v>
      </c>
      <c r="G116" s="7">
        <v>1</v>
      </c>
      <c r="H116" s="22" t="s">
        <v>257</v>
      </c>
      <c r="I116" s="13">
        <v>42751.757881944446</v>
      </c>
      <c r="J116" s="7">
        <v>0</v>
      </c>
      <c r="K116" s="105" t="str">
        <f t="shared" si="22"/>
        <v>4015/4016</v>
      </c>
      <c r="L116" s="22" t="str">
        <f>VLOOKUP(A116,'Trips&amp;Operators'!$C$1:$G$99999,5,FALSE)</f>
        <v>DAVIS MICHAEL</v>
      </c>
      <c r="M116" s="6">
        <f t="shared" si="23"/>
        <v>3.104166666889796E-2</v>
      </c>
      <c r="N116" s="7">
        <f t="shared" si="24"/>
        <v>44.700000003213063</v>
      </c>
      <c r="O116" s="7"/>
      <c r="P116" s="7"/>
      <c r="Q116" s="23"/>
      <c r="R116" s="23"/>
      <c r="S116" s="32">
        <f t="shared" si="25"/>
        <v>1</v>
      </c>
      <c r="T116" s="47" t="str">
        <f t="shared" si="26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7"/>
        <v>https://d0f6bd738d7f1b3e5a7ca70fe4ff75f0.us-east-1.aws.found.io/app/kibana#/discover/Steve-Slow-Train-Analysis-(2080s-and-2083s)?_g=(refreshInterval:(display:Off,pause:!f,section:0,value:0),time:(from:'2017-01-16T16:22:02-0700',mode:absolute,to:'2017-01-16T19:11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49" t="str">
        <f t="shared" si="28"/>
        <v>N</v>
      </c>
      <c r="X116" s="173">
        <f t="shared" si="29"/>
        <v>1</v>
      </c>
      <c r="Y116" s="64">
        <f t="shared" si="30"/>
        <v>23.2973</v>
      </c>
      <c r="Z116" s="64">
        <f t="shared" si="40"/>
        <v>1.5800000000000002E-2</v>
      </c>
      <c r="AA116" s="64">
        <f t="shared" si="31"/>
        <v>23.281500000000001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32"/>
        <v>0204-16</v>
      </c>
      <c r="AE116" s="87" t="str">
        <f t="shared" si="33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116" s="84" t="str">
        <f t="shared" si="34"/>
        <v>"C:\Program Files (x86)\AstroGrep\AstroGrep.exe" /spath="%USERPROFILE%\AppData\Local\Temp\OnboardLogs" /stypes="app*4015*20170117*"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204-16 --locoid 4015 --swversion DE.1.0.8.0 --startMP 204:232973 --initTime 2017-01-16T17:22:02 --startdatetime 2017-01-16T17:26:39 --delay 1 --endMP 204:158 --enddatetime 2017-01-16T18:11:21 --enforcementcount 0 &gt;&gt;C:\Users\stu\Documents\GitHub\eaglep3-reporting\EC\2017-01-16-refined-times.txt</v>
      </c>
      <c r="AI116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{"issue":{"subject":"","project_id":79,"tracker_id":40,"status_id":1,"priority_id":2,"assigned_to_id":23,"start_date":"2017-01-16","description":"","custom_fields":[{"id":1,"name":"Subdivision","value":"EC"},{"id":4,"name":"Milepost","value":"0.0158"},{"id":17,"name":"Train ID","value":"204-16"},{"id":16,"name":"Locomotive ID","value":"4015"},{"id":130,"name":"Impact","value":""},{"id":150,"name":"Time of Event (Mountain Time)","value":"18:11:21"},{"id":151,"name":"Denver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38"/>
        <v>start /low /b %USERPROFILE%\Documents\GitHub\eaglep3\Utilities\DownloadLogsFromS3.py --loco 4015 --day 2017-01-16</v>
      </c>
      <c r="AN116" s="18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"%USERPROFILE%\AppData\Local\Temp\OnboardLogs"\RTDC4015\*4015*20170117* | grep -SE "(Enforcement Action)|(\[TIMEOUT)|(CHR.+\|PRM\|1\|D.+(SWITCH|SIGNAL).+UNKNOWN)" - &gt;&gt; 2017-01-16-UncaughtWiMAX.txt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652</v>
      </c>
      <c r="B117" s="7">
        <v>4046</v>
      </c>
      <c r="C117" s="22" t="s">
        <v>201</v>
      </c>
      <c r="D117" s="22" t="s">
        <v>295</v>
      </c>
      <c r="E117" s="13">
        <v>42751.693854166668</v>
      </c>
      <c r="F117" s="13">
        <v>42751.698217592595</v>
      </c>
      <c r="G117" s="7">
        <v>1</v>
      </c>
      <c r="H117" s="22" t="s">
        <v>350</v>
      </c>
      <c r="I117" s="13">
        <v>42751.726909722223</v>
      </c>
      <c r="J117" s="7">
        <v>0</v>
      </c>
      <c r="K117" s="105" t="str">
        <f t="shared" si="22"/>
        <v>4045/4046</v>
      </c>
      <c r="L117" s="22" t="str">
        <f>VLOOKUP(A117,'Trips&amp;Operators'!$C$1:$G$99999,5,FALSE)</f>
        <v>CLARK KATHLEEN</v>
      </c>
      <c r="M117" s="6">
        <f t="shared" si="23"/>
        <v>2.8692129628325347E-2</v>
      </c>
      <c r="N117" s="7">
        <f t="shared" si="24"/>
        <v>41.316666664788499</v>
      </c>
      <c r="O117" s="7"/>
      <c r="P117" s="7"/>
      <c r="Q117" s="23"/>
      <c r="R117" s="23"/>
      <c r="S117" s="32">
        <f t="shared" si="25"/>
        <v>1</v>
      </c>
      <c r="T117" s="47" t="str">
        <f t="shared" si="26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7"/>
        <v>https://d0f6bd738d7f1b3e5a7ca70fe4ff75f0.us-east-1.aws.found.io/app/kibana#/discover/Steve-Slow-Train-Analysis-(2080s-and-2083s)?_g=(refreshInterval:(display:Off,pause:!f,section:0,value:0),time:(from:'2017-01-16T15:39:09-0700',mode:absolute,to:'2017-01-16T18:26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7" s="49" t="str">
        <f t="shared" si="28"/>
        <v>N</v>
      </c>
      <c r="X117" s="173">
        <f t="shared" si="29"/>
        <v>1</v>
      </c>
      <c r="Y117" s="64">
        <f t="shared" si="30"/>
        <v>4.7699999999999999E-2</v>
      </c>
      <c r="Z117" s="64">
        <f t="shared" si="40"/>
        <v>23.330200000000001</v>
      </c>
      <c r="AA117" s="64">
        <f t="shared" si="31"/>
        <v>23.282500000000002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2"/>
        <v>0205-16</v>
      </c>
      <c r="AE117" s="87" t="str">
        <f t="shared" si="33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117" s="84" t="str">
        <f t="shared" si="34"/>
        <v>"C:\Program Files (x86)\AstroGrep\AstroGrep.exe" /spath="%USERPROFILE%\AppData\Local\Temp\OnboardLogs" /stypes="app*4046*20170117*"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205-16 --locoid 4046 --swversion DE.1.0.8.0 --startMP 204:477 --initTime 2017-01-16T16:39:09 --startdatetime 2017-01-16T16:45:26 --delay 1 --endMP 204:233302 --enddatetime 2017-01-16T17:26:45 --enforcementcount 0 &gt;&gt;C:\Users\stu\Documents\GitHub\eaglep3-reporting\EC\2017-01-16-refined-times.txt</v>
      </c>
      <c r="AI117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{"issue":{"subject":"","project_id":79,"tracker_id":40,"status_id":1,"priority_id":2,"assigned_to_id":23,"start_date":"2017-01-16","description":"","custom_fields":[{"id":1,"name":"Subdivision","value":"EC"},{"id":4,"name":"Milepost","value":"23.3302"},{"id":17,"name":"Train ID","value":"205-16"},{"id":16,"name":"Locomotive ID","value":"4046"},{"id":130,"name":"Impact","value":""},{"id":150,"name":"Time of Event (Mountain Time)","value":"17:26:45"},{"id":151,"name":"Denver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38"/>
        <v>start /low /b %USERPROFILE%\Documents\GitHub\eaglep3\Utilities\DownloadLogsFromS3.py --loco 4046 --day 2017-01-16</v>
      </c>
      <c r="AN117" s="18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"%USERPROFILE%\AppData\Local\Temp\OnboardLogs"\RTDC4046\*4046*20170117* | grep -SE "(Enforcement Action)|(\[TIMEOUT)|(CHR.+\|PRM\|1\|D.+(SWITCH|SIGNAL).+UNKNOWN)" - &gt;&gt; 2017-01-16-UncaughtWiMAX.txt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665</v>
      </c>
      <c r="B118" s="7">
        <v>4045</v>
      </c>
      <c r="C118" s="22" t="s">
        <v>201</v>
      </c>
      <c r="D118" s="22" t="s">
        <v>241</v>
      </c>
      <c r="E118" s="13">
        <v>42751.733020833337</v>
      </c>
      <c r="F118" s="13">
        <v>42751.736979166664</v>
      </c>
      <c r="G118" s="7">
        <v>1</v>
      </c>
      <c r="H118" s="22" t="s">
        <v>779</v>
      </c>
      <c r="I118" s="13">
        <v>42751.766562500001</v>
      </c>
      <c r="J118" s="7">
        <v>0</v>
      </c>
      <c r="K118" s="105" t="str">
        <f t="shared" si="22"/>
        <v>4045/4046</v>
      </c>
      <c r="L118" s="22" t="str">
        <f>VLOOKUP(A118,'Trips&amp;Operators'!$C$1:$G$99999,5,FALSE)</f>
        <v>CLARK KATHLEEN</v>
      </c>
      <c r="M118" s="6">
        <f t="shared" si="23"/>
        <v>2.9583333336631767E-2</v>
      </c>
      <c r="N118" s="7">
        <f t="shared" si="24"/>
        <v>42.600000004749745</v>
      </c>
      <c r="O118" s="7"/>
      <c r="P118" s="7"/>
      <c r="Q118" s="23"/>
      <c r="R118" s="23"/>
      <c r="S118" s="32">
        <f t="shared" si="25"/>
        <v>1</v>
      </c>
      <c r="T118" s="47" t="str">
        <f t="shared" si="26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7"/>
        <v>https://d0f6bd738d7f1b3e5a7ca70fe4ff75f0.us-east-1.aws.found.io/app/kibana#/discover/Steve-Slow-Train-Analysis-(2080s-and-2083s)?_g=(refreshInterval:(display:Off,pause:!f,section:0,value:0),time:(from:'2017-01-16T16:35:33-0700',mode:absolute,to:'2017-01-16T19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8" s="49" t="str">
        <f t="shared" si="28"/>
        <v>N</v>
      </c>
      <c r="X118" s="173">
        <f t="shared" si="29"/>
        <v>1</v>
      </c>
      <c r="Y118" s="64">
        <f t="shared" si="30"/>
        <v>23.297699999999999</v>
      </c>
      <c r="Z118" s="64">
        <f t="shared" si="40"/>
        <v>1.7399999999999999E-2</v>
      </c>
      <c r="AA118" s="64">
        <f t="shared" si="31"/>
        <v>23.2803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2"/>
        <v>0206-16</v>
      </c>
      <c r="AE118" s="87" t="str">
        <f t="shared" si="33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118" s="84" t="str">
        <f t="shared" si="34"/>
        <v>"C:\Program Files (x86)\AstroGrep\AstroGrep.exe" /spath="%USERPROFILE%\AppData\Local\Temp\OnboardLogs" /stypes="app*4045*20170117*"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206-16 --locoid 4045 --swversion DE.1.0.8.0 --startMP 204:232977 --initTime 2017-01-16T17:35:33 --startdatetime 2017-01-16T17:41:15 --delay 1 --endMP 204:174 --enddatetime 2017-01-16T18:23:51 --enforcementcount 0 &gt;&gt;C:\Users\stu\Documents\GitHub\eaglep3-reporting\EC\2017-01-16-refined-times.txt</v>
      </c>
      <c r="AI118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{"issue":{"subject":"","project_id":79,"tracker_id":40,"status_id":1,"priority_id":2,"assigned_to_id":23,"start_date":"2017-01-16","description":"","custom_fields":[{"id":1,"name":"Subdivision","value":"EC"},{"id":4,"name":"Milepost","value":"0.0174"},{"id":17,"name":"Train ID","value":"206-16"},{"id":16,"name":"Locomotive ID","value":"4045"},{"id":130,"name":"Impact","value":""},{"id":150,"name":"Time of Event (Mountain Time)","value":"18:23:51"},{"id":151,"name":"Denver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38"/>
        <v>start /low /b %USERPROFILE%\Documents\GitHub\eaglep3\Utilities\DownloadLogsFromS3.py --loco 4045 --day 2017-01-16</v>
      </c>
      <c r="AN118" s="18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"%USERPROFILE%\AppData\Local\Temp\OnboardLogs"\RTDC4045\*4045*20170117* | grep -SE "(Enforcement Action)|(\[TIMEOUT)|(CHR.+\|PRM\|1\|D.+(SWITCH|SIGNAL).+UNKNOWN)" - &gt;&gt; 2017-01-16-UncaughtWiMAX.txt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654</v>
      </c>
      <c r="B119" s="7">
        <v>4022</v>
      </c>
      <c r="C119" s="22" t="s">
        <v>201</v>
      </c>
      <c r="D119" s="22" t="s">
        <v>780</v>
      </c>
      <c r="E119" s="13">
        <v>42751.701516203706</v>
      </c>
      <c r="F119" s="13">
        <v>42751.708495370367</v>
      </c>
      <c r="G119" s="7">
        <v>2</v>
      </c>
      <c r="H119" s="22" t="s">
        <v>278</v>
      </c>
      <c r="I119" s="13">
        <v>42751.73704861111</v>
      </c>
      <c r="J119" s="7">
        <v>0</v>
      </c>
      <c r="K119" s="105" t="str">
        <f t="shared" si="22"/>
        <v>4021/4022</v>
      </c>
      <c r="L119" s="22" t="str">
        <f>VLOOKUP(A119,'Trips&amp;Operators'!$C$1:$G$99999,5,FALSE)</f>
        <v>ROMERO CHAD</v>
      </c>
      <c r="M119" s="6">
        <f t="shared" si="23"/>
        <v>2.8553240743349306E-2</v>
      </c>
      <c r="N119" s="7">
        <f t="shared" si="24"/>
        <v>41.116666670423001</v>
      </c>
      <c r="O119" s="7"/>
      <c r="P119" s="7"/>
      <c r="Q119" s="23"/>
      <c r="R119" s="23"/>
      <c r="S119" s="32">
        <f t="shared" si="25"/>
        <v>1</v>
      </c>
      <c r="T119" s="47" t="str">
        <f t="shared" si="26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7"/>
        <v>https://d0f6bd738d7f1b3e5a7ca70fe4ff75f0.us-east-1.aws.found.io/app/kibana#/discover/Steve-Slow-Train-Analysis-(2080s-and-2083s)?_g=(refreshInterval:(display:Off,pause:!f,section:0,value:0),time:(from:'2017-01-16T15:50:11-0700',mode:absolute,to:'2017-01-16T18:41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49" t="str">
        <f t="shared" si="28"/>
        <v>N</v>
      </c>
      <c r="X119" s="173">
        <f t="shared" si="29"/>
        <v>1</v>
      </c>
      <c r="Y119" s="64">
        <f t="shared" si="30"/>
        <v>4.2700000000000002E-2</v>
      </c>
      <c r="Z119" s="64">
        <f t="shared" si="40"/>
        <v>23.330100000000002</v>
      </c>
      <c r="AA119" s="64">
        <f t="shared" si="31"/>
        <v>23.287400000000002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2"/>
        <v>0207-16</v>
      </c>
      <c r="AE119" s="87" t="str">
        <f t="shared" si="33"/>
        <v>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 &amp; 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</v>
      </c>
      <c r="AF119" s="84" t="str">
        <f t="shared" si="34"/>
        <v>"C:\Program Files (x86)\AstroGrep\AstroGrep.exe" /spath="%USERPROFILE%\AppData\Local\Temp\OnboardLogs" /stypes="app*4022*20170117*"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207-16 --locoid 4022 --swversion DE.1.0.8.0 --startMP 204:427 --initTime 2017-01-16T16:50:11 --startdatetime 2017-01-16T17:00:14 --delay 2 --endMP 204:233301 --enddatetime 2017-01-16T17:41:21 --enforcementcount 0 &gt;&gt;C:\Users\stu\Documents\GitHub\eaglep3-reporting\EC\2017-01-16-refined-times.txt</v>
      </c>
      <c r="AI119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{"issue":{"subject":"","project_id":79,"tracker_id":40,"status_id":1,"priority_id":2,"assigned_to_id":23,"start_date":"2017-01-16","description":"","custom_fields":[{"id":1,"name":"Subdivision","value":"EC"},{"id":4,"name":"Milepost","value":"23.3301"},{"id":17,"name":"Train ID","value":"207-16"},{"id":16,"name":"Locomotive ID","value":"4022"},{"id":130,"name":"Impact","value":""},{"id":150,"name":"Time of Event (Mountain Time)","value":"17:41:21"},{"id":151,"name":"Denver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38"/>
        <v>start /low /b %USERPROFILE%\Documents\GitHub\eaglep3\Utilities\DownloadLogsFromS3.py --loco 4022 --day 2017-01-16</v>
      </c>
      <c r="AN119" s="18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667</v>
      </c>
      <c r="B120" s="7">
        <v>4021</v>
      </c>
      <c r="C120" s="22" t="s">
        <v>201</v>
      </c>
      <c r="D120" s="22" t="s">
        <v>285</v>
      </c>
      <c r="E120" s="13">
        <v>42751.738657407404</v>
      </c>
      <c r="F120" s="13">
        <v>42751.747407407405</v>
      </c>
      <c r="G120" s="7">
        <v>1</v>
      </c>
      <c r="H120" s="22" t="s">
        <v>316</v>
      </c>
      <c r="I120" s="13">
        <v>42751.774247685185</v>
      </c>
      <c r="J120" s="7">
        <v>0</v>
      </c>
      <c r="K120" s="105" t="str">
        <f t="shared" si="22"/>
        <v>4021/4022</v>
      </c>
      <c r="L120" s="22" t="str">
        <f>VLOOKUP(A120,'Trips&amp;Operators'!$C$1:$G$99999,5,FALSE)</f>
        <v>ROMERO CHAD</v>
      </c>
      <c r="M120" s="6">
        <f t="shared" si="23"/>
        <v>2.6840277780138422E-2</v>
      </c>
      <c r="N120" s="7">
        <f t="shared" si="24"/>
        <v>38.650000003399327</v>
      </c>
      <c r="O120" s="7"/>
      <c r="P120" s="7"/>
      <c r="Q120" s="23"/>
      <c r="R120" s="23"/>
      <c r="S120" s="32">
        <f t="shared" si="25"/>
        <v>1</v>
      </c>
      <c r="T120" s="47" t="str">
        <f t="shared" si="26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7"/>
        <v>https://d0f6bd738d7f1b3e5a7ca70fe4ff75f0.us-east-1.aws.found.io/app/kibana#/discover/Steve-Slow-Train-Analysis-(2080s-and-2083s)?_g=(refreshInterval:(display:Off,pause:!f,section:0,value:0),time:(from:'2017-01-16T16:43:40-0700',mode:absolute,to:'2017-01-16T19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49" t="str">
        <f t="shared" si="28"/>
        <v>N</v>
      </c>
      <c r="X120" s="173">
        <f t="shared" si="29"/>
        <v>1</v>
      </c>
      <c r="Y120" s="64">
        <f t="shared" si="30"/>
        <v>23.298400000000001</v>
      </c>
      <c r="Z120" s="64">
        <f t="shared" si="40"/>
        <v>1.2999999999999999E-2</v>
      </c>
      <c r="AA120" s="64">
        <f t="shared" si="31"/>
        <v>23.285399999999999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2"/>
        <v>0208-16</v>
      </c>
      <c r="AE120" s="87" t="str">
        <f t="shared" si="33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120" s="84" t="str">
        <f t="shared" si="34"/>
        <v>"C:\Program Files (x86)\AstroGrep\AstroGrep.exe" /spath="%USERPROFILE%\AppData\Local\Temp\OnboardLogs" /stypes="app*4021*20170117*"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208-16 --locoid 4021 --swversion DE.1.0.8.0 --startMP 204:232984 --initTime 2017-01-16T17:43:40 --startdatetime 2017-01-16T17:56:16 --delay 1 --endMP 204:130 --enddatetime 2017-01-16T18:34:55 --enforcementcount 0 &gt;&gt;C:\Users\stu\Documents\GitHub\eaglep3-reporting\EC\2017-01-16-refined-times.txt</v>
      </c>
      <c r="AI120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{"issue":{"subject":"","project_id":79,"tracker_id":40,"status_id":1,"priority_id":2,"assigned_to_id":23,"start_date":"2017-01-16","description":"","custom_fields":[{"id":1,"name":"Subdivision","value":"EC"},{"id":4,"name":"Milepost","value":"0.013"},{"id":17,"name":"Train ID","value":"208-16"},{"id":16,"name":"Locomotive ID","value":"4021"},{"id":130,"name":"Impact","value":""},{"id":150,"name":"Time of Event (Mountain Time)","value":"18:34:55"},{"id":151,"name":"Denver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38"/>
        <v>start /low /b %USERPROFILE%\Documents\GitHub\eaglep3\Utilities\DownloadLogsFromS3.py --loco 4021 --day 2017-01-16</v>
      </c>
      <c r="AN120" s="18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"%USERPROFILE%\AppData\Local\Temp\OnboardLogs"\RTDC4021\*4021*20170117* | grep -SE "(Enforcement Action)|(\[TIMEOUT)|(CHR.+\|PRM\|1\|D.+(SWITCH|SIGNAL).+UNKNOWN)" - &gt;&gt; 2017-01-16-UncaughtWiMAX.txt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661</v>
      </c>
      <c r="B121" s="7">
        <v>4003</v>
      </c>
      <c r="C121" s="22" t="s">
        <v>201</v>
      </c>
      <c r="D121" s="22" t="s">
        <v>317</v>
      </c>
      <c r="E121" s="13">
        <v>42751.719722222224</v>
      </c>
      <c r="F121" s="13">
        <v>42751.720763888887</v>
      </c>
      <c r="G121" s="7">
        <v>1</v>
      </c>
      <c r="H121" s="22" t="s">
        <v>268</v>
      </c>
      <c r="I121" s="13">
        <v>42751.746342592596</v>
      </c>
      <c r="J121" s="7">
        <v>0</v>
      </c>
      <c r="K121" s="105" t="str">
        <f t="shared" si="22"/>
        <v>4003/4004</v>
      </c>
      <c r="L121" s="22" t="str">
        <f>VLOOKUP(A121,'Trips&amp;Operators'!$C$1:$G$99999,5,FALSE)</f>
        <v>CHANDLER KELVIN</v>
      </c>
      <c r="M121" s="6">
        <f t="shared" si="23"/>
        <v>2.5578703709470574E-2</v>
      </c>
      <c r="N121" s="7">
        <f t="shared" si="24"/>
        <v>36.833333341637626</v>
      </c>
      <c r="O121" s="7"/>
      <c r="P121" s="7"/>
      <c r="Q121" s="23"/>
      <c r="R121" s="23"/>
      <c r="S121" s="32">
        <f t="shared" si="25"/>
        <v>1</v>
      </c>
      <c r="T121" s="47" t="str">
        <f t="shared" si="26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7"/>
        <v>https://d0f6bd738d7f1b3e5a7ca70fe4ff75f0.us-east-1.aws.found.io/app/kibana#/discover/Steve-Slow-Train-Analysis-(2080s-and-2083s)?_g=(refreshInterval:(display:Off,pause:!f,section:0,value:0),time:(from:'2017-01-16T16:16:24-0700',mode:absolute,to:'2017-01-16T18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1" s="49" t="str">
        <f t="shared" si="28"/>
        <v>N</v>
      </c>
      <c r="X121" s="173">
        <f t="shared" si="29"/>
        <v>1</v>
      </c>
      <c r="Y121" s="64">
        <f t="shared" si="30"/>
        <v>4.8800000000000003E-2</v>
      </c>
      <c r="Z121" s="64">
        <f t="shared" si="40"/>
        <v>23.329799999999999</v>
      </c>
      <c r="AA121" s="64">
        <f t="shared" si="31"/>
        <v>23.280999999999999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2"/>
        <v>0209-16</v>
      </c>
      <c r="AE121" s="87" t="str">
        <f t="shared" si="33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121" s="84" t="str">
        <f t="shared" si="34"/>
        <v>"C:\Program Files (x86)\AstroGrep\AstroGrep.exe" /spath="%USERPROFILE%\AppData\Local\Temp\OnboardLogs" /stypes="app*4003*20170117*"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209-16 --locoid 4003 --swversion DE.1.0.8.0 --startMP 204:488 --initTime 2017-01-16T17:16:24 --startdatetime 2017-01-16T17:17:54 --delay 1 --endMP 204:233298 --enddatetime 2017-01-16T17:54:44 --enforcementcount 0 &gt;&gt;C:\Users\stu\Documents\GitHub\eaglep3-reporting\EC\2017-01-16-refined-times.txt</v>
      </c>
      <c r="AI121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{"issue":{"subject":"","project_id":79,"tracker_id":40,"status_id":1,"priority_id":2,"assigned_to_id":23,"start_date":"2017-01-16","description":"","custom_fields":[{"id":1,"name":"Subdivision","value":"EC"},{"id":4,"name":"Milepost","value":"23.3298"},{"id":17,"name":"Train ID","value":"209-16"},{"id":16,"name":"Locomotive ID","value":"4003"},{"id":130,"name":"Impact","value":""},{"id":150,"name":"Time of Event (Mountain Time)","value":"17:54:44"},{"id":151,"name":"Denver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38"/>
        <v>start /low /b %USERPROFILE%\Documents\GitHub\eaglep3\Utilities\DownloadLogsFromS3.py --loco 4003 --day 2017-01-16</v>
      </c>
      <c r="AN121" s="18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"%USERPROFILE%\AppData\Local\Temp\OnboardLogs"\RTDC4003\*4003*20170117* | grep -SE "(Enforcement Action)|(\[TIMEOUT)|(CHR.+\|PRM\|1\|D.+(SWITCH|SIGNAL).+UNKNOWN)" - &gt;&gt; 2017-01-16-UncaughtWiMAX.txt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670</v>
      </c>
      <c r="B122" s="7">
        <v>4004</v>
      </c>
      <c r="C122" s="22" t="s">
        <v>201</v>
      </c>
      <c r="D122" s="22" t="s">
        <v>308</v>
      </c>
      <c r="E122" s="13">
        <v>42751.751712962963</v>
      </c>
      <c r="F122" s="13">
        <v>42751.758217592593</v>
      </c>
      <c r="G122" s="7">
        <v>1</v>
      </c>
      <c r="H122" s="22" t="s">
        <v>293</v>
      </c>
      <c r="I122" s="13">
        <v>42751.787175925929</v>
      </c>
      <c r="J122" s="7">
        <v>0</v>
      </c>
      <c r="K122" s="105" t="str">
        <f t="shared" si="22"/>
        <v>4003/4004</v>
      </c>
      <c r="L122" s="22" t="str">
        <f>VLOOKUP(A122,'Trips&amp;Operators'!$C$1:$G$99999,5,FALSE)</f>
        <v>CHANDLER KELVIN</v>
      </c>
      <c r="M122" s="6">
        <f t="shared" si="23"/>
        <v>2.8958333336049691E-2</v>
      </c>
      <c r="N122" s="7">
        <f t="shared" si="24"/>
        <v>41.700000003911555</v>
      </c>
      <c r="O122" s="7"/>
      <c r="P122" s="7"/>
      <c r="Q122" s="23"/>
      <c r="R122" s="23"/>
      <c r="S122" s="32">
        <f t="shared" si="25"/>
        <v>1</v>
      </c>
      <c r="T122" s="47" t="str">
        <f t="shared" si="26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7"/>
        <v>https://d0f6bd738d7f1b3e5a7ca70fe4ff75f0.us-east-1.aws.found.io/app/kibana#/discover/Steve-Slow-Train-Analysis-(2080s-and-2083s)?_g=(refreshInterval:(display:Off,pause:!f,section:0,value:0),time:(from:'2017-01-16T17:02:28-0700',mode:absolute,to:'2017-01-16T19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2" s="49" t="str">
        <f t="shared" si="28"/>
        <v>N</v>
      </c>
      <c r="X122" s="173">
        <f t="shared" si="29"/>
        <v>1</v>
      </c>
      <c r="Y122" s="64">
        <f t="shared" si="30"/>
        <v>23.298100000000002</v>
      </c>
      <c r="Z122" s="64">
        <f t="shared" si="40"/>
        <v>1.6299999999999999E-2</v>
      </c>
      <c r="AA122" s="64">
        <f t="shared" si="31"/>
        <v>23.2818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2"/>
        <v>0210-16</v>
      </c>
      <c r="AE122" s="87" t="str">
        <f t="shared" si="33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122" s="84" t="str">
        <f t="shared" si="34"/>
        <v>"C:\Program Files (x86)\AstroGrep\AstroGrep.exe" /spath="%USERPROFILE%\AppData\Local\Temp\OnboardLogs" /stypes="app*4004*20170117*"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210-16 --locoid 4004 --swversion DE.1.0.8.0 --startMP 204:232981 --initTime 2017-01-16T18:02:28 --startdatetime 2017-01-16T18:11:50 --delay 1 --endMP 204:163 --enddatetime 2017-01-16T18:53:32 --enforcementcount 0 &gt;&gt;C:\Users\stu\Documents\GitHub\eaglep3-reporting\EC\2017-01-16-refined-times.txt</v>
      </c>
      <c r="AI122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{"issue":{"subject":"","project_id":79,"tracker_id":40,"status_id":1,"priority_id":2,"assigned_to_id":23,"start_date":"2017-01-16","description":"","custom_fields":[{"id":1,"name":"Subdivision","value":"EC"},{"id":4,"name":"Milepost","value":"0.0163"},{"id":17,"name":"Train ID","value":"210-16"},{"id":16,"name":"Locomotive ID","value":"4004"},{"id":130,"name":"Impact","value":""},{"id":150,"name":"Time of Event (Mountain Time)","value":"18:53:32"},{"id":151,"name":"Denver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38"/>
        <v>start /low /b %USERPROFILE%\Documents\GitHub\eaglep3\Utilities\DownloadLogsFromS3.py --loco 4004 --day 2017-01-16</v>
      </c>
      <c r="AN122" s="18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"%USERPROFILE%\AppData\Local\Temp\OnboardLogs"\RTDC4004\*4004*20170117* | grep -SE "(Enforcement Action)|(\[TIMEOUT)|(CHR.+\|PRM\|1\|D.+(SWITCH|SIGNAL).+UNKNOWN)" - &gt;&gt; 2017-01-16-UncaughtWiMAX.txt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664</v>
      </c>
      <c r="B123" s="7">
        <v>4002</v>
      </c>
      <c r="C123" s="22" t="s">
        <v>201</v>
      </c>
      <c r="D123" s="22" t="s">
        <v>299</v>
      </c>
      <c r="E123" s="13">
        <v>42751.728796296295</v>
      </c>
      <c r="F123" s="13">
        <v>42751.730196759258</v>
      </c>
      <c r="G123" s="7">
        <v>1</v>
      </c>
      <c r="H123" s="22" t="s">
        <v>282</v>
      </c>
      <c r="I123" s="13">
        <v>42751.756203703706</v>
      </c>
      <c r="J123" s="7">
        <v>0</v>
      </c>
      <c r="K123" s="105" t="str">
        <f t="shared" si="22"/>
        <v>4001/4002</v>
      </c>
      <c r="L123" s="22" t="str">
        <f>VLOOKUP(A123,'Trips&amp;Operators'!$C$1:$G$99999,5,FALSE)</f>
        <v>CRAYTON QUNTRELL</v>
      </c>
      <c r="M123" s="6">
        <f t="shared" si="23"/>
        <v>2.6006944448454306E-2</v>
      </c>
      <c r="N123" s="7">
        <f t="shared" si="24"/>
        <v>37.4500000057742</v>
      </c>
      <c r="O123" s="7"/>
      <c r="P123" s="7"/>
      <c r="Q123" s="23"/>
      <c r="R123" s="23"/>
      <c r="S123" s="32">
        <f t="shared" si="25"/>
        <v>1</v>
      </c>
      <c r="T123" s="47" t="str">
        <f t="shared" si="26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7"/>
        <v>https://d0f6bd738d7f1b3e5a7ca70fe4ff75f0.us-east-1.aws.found.io/app/kibana#/discover/Steve-Slow-Train-Analysis-(2080s-and-2083s)?_g=(refreshInterval:(display:Off,pause:!f,section:0,value:0),time:(from:'2017-01-16T16:29:28-0700',mode:absolute,to:'2017-01-16T19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49" t="str">
        <f t="shared" si="28"/>
        <v>N</v>
      </c>
      <c r="X123" s="173">
        <f t="shared" si="29"/>
        <v>1</v>
      </c>
      <c r="Y123" s="64">
        <f t="shared" si="30"/>
        <v>4.4200000000000003E-2</v>
      </c>
      <c r="Z123" s="64">
        <f t="shared" si="40"/>
        <v>23.3293</v>
      </c>
      <c r="AA123" s="64">
        <f t="shared" si="31"/>
        <v>23.2851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2"/>
        <v>0211-16</v>
      </c>
      <c r="AE123" s="87" t="str">
        <f t="shared" si="33"/>
        <v>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 &amp; 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</v>
      </c>
      <c r="AF123" s="84" t="str">
        <f t="shared" si="34"/>
        <v>"C:\Program Files (x86)\AstroGrep\AstroGrep.exe" /spath="%USERPROFILE%\AppData\Local\Temp\OnboardLogs" /stypes="app*4002*20170117*"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211-16 --locoid 4002 --swversion DE.1.0.8.0 --startMP 204:442 --initTime 2017-01-16T17:29:28 --startdatetime 2017-01-16T17:31:29 --delay 1 --endMP 204:233293 --enddatetime 2017-01-16T18:08:56 --enforcementcount 0 &gt;&gt;C:\Users\stu\Documents\GitHub\eaglep3-reporting\EC\2017-01-16-refined-times.txt</v>
      </c>
      <c r="AI123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{"issue":{"subject":"","project_id":79,"tracker_id":40,"status_id":1,"priority_id":2,"assigned_to_id":23,"start_date":"2017-01-16","description":"","custom_fields":[{"id":1,"name":"Subdivision","value":"EC"},{"id":4,"name":"Milepost","value":"23.3293"},{"id":17,"name":"Train ID","value":"211-16"},{"id":16,"name":"Locomotive ID","value":"4002"},{"id":130,"name":"Impact","value":""},{"id":150,"name":"Time of Event (Mountain Time)","value":"18:08:56"},{"id":151,"name":"Denver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38"/>
        <v>start /low /b %USERPROFILE%\Documents\GitHub\eaglep3\Utilities\DownloadLogsFromS3.py --loco 4002 --day 2017-01-16</v>
      </c>
      <c r="AN123" s="18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2017-01-16-UncaughtWiMAX.txt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673</v>
      </c>
      <c r="B124" s="7">
        <v>4001</v>
      </c>
      <c r="C124" s="22" t="s">
        <v>201</v>
      </c>
      <c r="D124" s="22" t="s">
        <v>258</v>
      </c>
      <c r="E124" s="13">
        <v>42751.759710648148</v>
      </c>
      <c r="F124" s="13">
        <v>42751.768217592595</v>
      </c>
      <c r="G124" s="7">
        <v>1</v>
      </c>
      <c r="H124" s="22" t="s">
        <v>301</v>
      </c>
      <c r="I124" s="13">
        <v>42751.79650462963</v>
      </c>
      <c r="J124" s="7">
        <v>0</v>
      </c>
      <c r="K124" s="105" t="str">
        <f t="shared" si="22"/>
        <v>4001/4002</v>
      </c>
      <c r="L124" s="22" t="str">
        <f>VLOOKUP(A124,'Trips&amp;Operators'!$C$1:$G$99999,5,FALSE)</f>
        <v>CRAYTON QUNTRELL</v>
      </c>
      <c r="M124" s="6">
        <f t="shared" si="23"/>
        <v>2.8287037035624962E-2</v>
      </c>
      <c r="N124" s="7">
        <f t="shared" si="24"/>
        <v>40.733333331299946</v>
      </c>
      <c r="O124" s="7"/>
      <c r="P124" s="7"/>
      <c r="Q124" s="23"/>
      <c r="R124" s="23" t="s">
        <v>916</v>
      </c>
      <c r="S124" s="32">
        <f t="shared" si="25"/>
        <v>1</v>
      </c>
      <c r="T124" s="47" t="str">
        <f t="shared" si="26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7"/>
        <v>https://d0f6bd738d7f1b3e5a7ca70fe4ff75f0.us-east-1.aws.found.io/app/kibana#/discover/Steve-Slow-Train-Analysis-(2080s-and-2083s)?_g=(refreshInterval:(display:Off,pause:!f,section:0,value:0),time:(from:'2017-01-16T17:13:59-0700',mode:absolute,to:'2017-01-16T20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49" t="str">
        <f t="shared" si="28"/>
        <v>N</v>
      </c>
      <c r="X124" s="173">
        <f t="shared" si="29"/>
        <v>1</v>
      </c>
      <c r="Y124" s="64">
        <f t="shared" si="30"/>
        <v>23.2971</v>
      </c>
      <c r="Z124" s="64">
        <f t="shared" si="40"/>
        <v>1.67E-2</v>
      </c>
      <c r="AA124" s="64">
        <f t="shared" si="31"/>
        <v>23.2804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2"/>
        <v>0212-16</v>
      </c>
      <c r="AE124" s="87" t="str">
        <f t="shared" si="33"/>
        <v>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 &amp; 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</v>
      </c>
      <c r="AF124" s="84" t="str">
        <f t="shared" si="34"/>
        <v>"C:\Program Files (x86)\AstroGrep\AstroGrep.exe" /spath="%USERPROFILE%\AppData\Local\Temp\OnboardLogs" /stypes="app*4001*20170117*"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212-16 --locoid 4001 --swversion DE.1.0.8.0 --startMP 204:232971 --initTime 2017-01-16T18:13:59 --startdatetime 2017-01-16T18:26:14 --delay 1 --endMP 204:167 --enddatetime 2017-01-16T19:06:58 --enforcementcount 0 &gt;&gt;C:\Users\stu\Documents\GitHub\eaglep3-reporting\EC\2017-01-16-refined-times.txt</v>
      </c>
      <c r="AI124" s="115" t="str">
        <f t="shared" si="37"/>
        <v>echo {"issue":{"subject":"Unhealthy at Chambers due to train stop","project_id":79,"tracker_id":40,"status_id":1,"priority_id":2,"assigned_to_id":23,"start_date":"2017-01-16","description":"","custom_fields":[{"id":1,"name":"Subdivision","value":"EC"},{"id":4,"name":"Milepost","value":"0.0167"},{"id":17,"name":"Train ID","value":"212-16"},{"id":16,"name":"Locomotive ID","value":"4001"},{"id":130,"name":"Impact","value":""},{"id":150,"name":"Time of Event (Mountain Time)","value":"19:06:58"},{"id":151,"name":"Denver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38"/>
        <v>start /low /b %USERPROFILE%\Documents\GitHub\eaglep3\Utilities\DownloadLogsFromS3.py --loco 4001 --day 2017-01-16</v>
      </c>
      <c r="AN124" s="18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"%USERPROFILE%\AppData\Local\Temp\OnboardLogs"\RTDC4001\*4001*20170117* | grep -SE "(Enforcement Action)|(\[TIMEOUT)|(CHR.+\|PRM\|1\|D.+(SWITCH|SIGNAL).+UNKNOWN)" - &gt;&gt; 2017-01-16-UncaughtWiMAX.txt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668</v>
      </c>
      <c r="B125" s="7">
        <v>4029</v>
      </c>
      <c r="C125" s="22" t="s">
        <v>201</v>
      </c>
      <c r="D125" s="22" t="s">
        <v>404</v>
      </c>
      <c r="E125" s="13">
        <v>42751.739965277775</v>
      </c>
      <c r="F125" s="13">
        <v>42751.741770833331</v>
      </c>
      <c r="G125" s="7">
        <v>1</v>
      </c>
      <c r="H125" s="22" t="s">
        <v>350</v>
      </c>
      <c r="I125" s="13">
        <v>42751.767060185186</v>
      </c>
      <c r="J125" s="7">
        <v>0</v>
      </c>
      <c r="K125" s="105" t="str">
        <f t="shared" si="22"/>
        <v>4029/4030</v>
      </c>
      <c r="L125" s="22" t="str">
        <f>VLOOKUP(A125,'Trips&amp;Operators'!$C$1:$G$99999,5,FALSE)</f>
        <v>SMITH MICHAEL</v>
      </c>
      <c r="M125" s="6">
        <f t="shared" si="23"/>
        <v>2.5289351855462883E-2</v>
      </c>
      <c r="N125" s="7">
        <f t="shared" si="24"/>
        <v>36.416666671866551</v>
      </c>
      <c r="O125" s="7"/>
      <c r="P125" s="7"/>
      <c r="Q125" s="23"/>
      <c r="R125" s="23"/>
      <c r="S125" s="32">
        <f t="shared" si="25"/>
        <v>1</v>
      </c>
      <c r="T125" s="47" t="str">
        <f t="shared" si="26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7"/>
        <v>https://d0f6bd738d7f1b3e5a7ca70fe4ff75f0.us-east-1.aws.found.io/app/kibana#/discover/Steve-Slow-Train-Analysis-(2080s-and-2083s)?_g=(refreshInterval:(display:Off,pause:!f,section:0,value:0),time:(from:'2017-01-16T16:45:33-0700',mode:absolute,to:'2017-01-16T19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5" s="49" t="str">
        <f t="shared" si="28"/>
        <v>N</v>
      </c>
      <c r="X125" s="173">
        <f t="shared" si="29"/>
        <v>1</v>
      </c>
      <c r="Y125" s="64">
        <f t="shared" si="30"/>
        <v>4.5100000000000001E-2</v>
      </c>
      <c r="Z125" s="64">
        <f t="shared" si="40"/>
        <v>23.330200000000001</v>
      </c>
      <c r="AA125" s="64">
        <f t="shared" si="31"/>
        <v>23.2851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2"/>
        <v>0213-16</v>
      </c>
      <c r="AE125" s="87" t="str">
        <f t="shared" si="33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125" s="84" t="str">
        <f t="shared" si="34"/>
        <v>"C:\Program Files (x86)\AstroGrep\AstroGrep.exe" /spath="%USERPROFILE%\AppData\Local\Temp\OnboardLogs" /stypes="app*4029*20170117*"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213-16 --locoid 4029 --swversion DE.1.0.8.0 --startMP 204:451 --initTime 2017-01-16T17:45:33 --startdatetime 2017-01-16T17:48:09 --delay 1 --endMP 204:233302 --enddatetime 2017-01-16T18:24:34 --enforcementcount 0 &gt;&gt;C:\Users\stu\Documents\GitHub\eaglep3-reporting\EC\2017-01-16-refined-times.txt</v>
      </c>
      <c r="AI125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{"issue":{"subject":"","project_id":79,"tracker_id":40,"status_id":1,"priority_id":2,"assigned_to_id":23,"start_date":"2017-01-16","description":"","custom_fields":[{"id":1,"name":"Subdivision","value":"EC"},{"id":4,"name":"Milepost","value":"23.3302"},{"id":17,"name":"Train ID","value":"213-16"},{"id":16,"name":"Locomotive ID","value":"4029"},{"id":130,"name":"Impact","value":""},{"id":150,"name":"Time of Event (Mountain Time)","value":"18:24:34"},{"id":151,"name":"Denver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38"/>
        <v>start /low /b %USERPROFILE%\Documents\GitHub\eaglep3\Utilities\DownloadLogsFromS3.py --loco 4029 --day 2017-01-16</v>
      </c>
      <c r="AN125" s="18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"%USERPROFILE%\AppData\Local\Temp\OnboardLogs"\RTDC4029\*4029*20170117* | grep -SE "(Enforcement Action)|(\[TIMEOUT)|(CHR.+\|PRM\|1\|D.+(SWITCH|SIGNAL).+UNKNOWN)" - &gt;&gt; 2017-01-16-UncaughtWiMAX.txt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679</v>
      </c>
      <c r="B126" s="7">
        <v>4030</v>
      </c>
      <c r="C126" s="22" t="s">
        <v>201</v>
      </c>
      <c r="D126" s="22" t="s">
        <v>277</v>
      </c>
      <c r="E126" s="13">
        <v>42751.770277777781</v>
      </c>
      <c r="F126" s="13">
        <v>42751.778761574074</v>
      </c>
      <c r="G126" s="7">
        <v>1</v>
      </c>
      <c r="H126" s="22" t="s">
        <v>191</v>
      </c>
      <c r="I126" s="13">
        <v>42751.806145833332</v>
      </c>
      <c r="J126" s="7">
        <v>0</v>
      </c>
      <c r="K126" s="105" t="str">
        <f t="shared" si="22"/>
        <v>4029/4030</v>
      </c>
      <c r="L126" s="22" t="str">
        <f>VLOOKUP(A126,'Trips&amp;Operators'!$C$1:$G$99999,5,FALSE)</f>
        <v>SMITH MICHAEL</v>
      </c>
      <c r="M126" s="6">
        <f t="shared" si="23"/>
        <v>2.7384259257814847E-2</v>
      </c>
      <c r="N126" s="7">
        <f t="shared" si="24"/>
        <v>39.43333333125338</v>
      </c>
      <c r="O126" s="7"/>
      <c r="P126" s="7"/>
      <c r="Q126" s="23"/>
      <c r="R126" s="23"/>
      <c r="S126" s="32">
        <f t="shared" si="25"/>
        <v>1</v>
      </c>
      <c r="T126" s="47" t="str">
        <f t="shared" si="26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7"/>
        <v>https://d0f6bd738d7f1b3e5a7ca70fe4ff75f0.us-east-1.aws.found.io/app/kibana#/discover/Steve-Slow-Train-Analysis-(2080s-and-2083s)?_g=(refreshInterval:(display:Off,pause:!f,section:0,value:0),time:(from:'2017-01-16T17:29:12-0700',mode:absolute,to:'2017-01-16T20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49" t="str">
        <f t="shared" si="28"/>
        <v>N</v>
      </c>
      <c r="X126" s="173">
        <f t="shared" si="29"/>
        <v>1</v>
      </c>
      <c r="Y126" s="64">
        <f t="shared" si="30"/>
        <v>23.2987</v>
      </c>
      <c r="Z126" s="64">
        <f t="shared" si="40"/>
        <v>1.49E-2</v>
      </c>
      <c r="AA126" s="64">
        <f t="shared" si="31"/>
        <v>23.283799999999999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2"/>
        <v>0214-16</v>
      </c>
      <c r="AE126" s="87" t="str">
        <f t="shared" si="33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126" s="84" t="str">
        <f t="shared" si="34"/>
        <v>"C:\Program Files (x86)\AstroGrep\AstroGrep.exe" /spath="%USERPROFILE%\AppData\Local\Temp\OnboardLogs" /stypes="app*4030*20170117*"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214-16 --locoid 4030 --swversion DE.1.0.8.0 --startMP 204:232987 --initTime 2017-01-16T18:29:12 --startdatetime 2017-01-16T18:41:25 --delay 1 --endMP 204:149 --enddatetime 2017-01-16T19:20:51 --enforcementcount 0 &gt;&gt;C:\Users\stu\Documents\GitHub\eaglep3-reporting\EC\2017-01-16-refined-times.txt</v>
      </c>
      <c r="AI126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{"issue":{"subject":"","project_id":79,"tracker_id":40,"status_id":1,"priority_id":2,"assigned_to_id":23,"start_date":"2017-01-16","description":"","custom_fields":[{"id":1,"name":"Subdivision","value":"EC"},{"id":4,"name":"Milepost","value":"0.0149"},{"id":17,"name":"Train ID","value":"214-16"},{"id":16,"name":"Locomotive ID","value":"4030"},{"id":130,"name":"Impact","value":""},{"id":150,"name":"Time of Event (Mountain Time)","value":"19:20:51"},{"id":151,"name":"Denver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38"/>
        <v>start /low /b %USERPROFILE%\Documents\GitHub\eaglep3\Utilities\DownloadLogsFromS3.py --loco 4030 --day 2017-01-16</v>
      </c>
      <c r="AN126" s="18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"%USERPROFILE%\AppData\Local\Temp\OnboardLogs"\RTDC4030\*4030*20170117* | grep -SE "(Enforcement Action)|(\[TIMEOUT)|(CHR.+\|PRM\|1\|D.+(SWITCH|SIGNAL).+UNKNOWN)" - &gt;&gt; 2017-01-16-UncaughtWiMAX.txt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669</v>
      </c>
      <c r="B127" s="7">
        <v>4031</v>
      </c>
      <c r="C127" s="22" t="s">
        <v>201</v>
      </c>
      <c r="D127" s="22" t="s">
        <v>192</v>
      </c>
      <c r="E127" s="13">
        <v>42751.749606481484</v>
      </c>
      <c r="F127" s="13">
        <v>42751.751284722224</v>
      </c>
      <c r="G127" s="7">
        <v>1</v>
      </c>
      <c r="H127" s="22" t="s">
        <v>309</v>
      </c>
      <c r="I127" s="13">
        <v>42751.777129629627</v>
      </c>
      <c r="J127" s="7">
        <v>0</v>
      </c>
      <c r="K127" s="105" t="str">
        <f t="shared" si="22"/>
        <v>4031/4032</v>
      </c>
      <c r="L127" s="22" t="str">
        <f>VLOOKUP(A127,'Trips&amp;Operators'!$C$1:$G$99999,5,FALSE)</f>
        <v>KILLION DAVID</v>
      </c>
      <c r="M127" s="6">
        <f t="shared" si="23"/>
        <v>2.5844907402643003E-2</v>
      </c>
      <c r="N127" s="7">
        <f t="shared" si="24"/>
        <v>37.216666659805924</v>
      </c>
      <c r="O127" s="7"/>
      <c r="P127" s="7"/>
      <c r="Q127" s="23"/>
      <c r="R127" s="23"/>
      <c r="S127" s="32">
        <f t="shared" si="25"/>
        <v>1</v>
      </c>
      <c r="T127" s="47" t="str">
        <f t="shared" si="26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7"/>
        <v>https://d0f6bd738d7f1b3e5a7ca70fe4ff75f0.us-east-1.aws.found.io/app/kibana#/discover/Steve-Slow-Train-Analysis-(2080s-and-2083s)?_g=(refreshInterval:(display:Off,pause:!f,section:0,value:0),time:(from:'2017-01-16T16:59:26-0700',mode:absolute,to:'2017-01-16T19:39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49" t="str">
        <f t="shared" si="28"/>
        <v>N</v>
      </c>
      <c r="X127" s="173">
        <f t="shared" si="29"/>
        <v>1</v>
      </c>
      <c r="Y127" s="64">
        <f t="shared" si="30"/>
        <v>4.4699999999999997E-2</v>
      </c>
      <c r="Z127" s="64">
        <f t="shared" si="40"/>
        <v>23.3291</v>
      </c>
      <c r="AA127" s="64">
        <f t="shared" si="31"/>
        <v>23.284400000000002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2"/>
        <v>0215-16</v>
      </c>
      <c r="AE127" s="87" t="str">
        <f t="shared" si="33"/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AF127" s="84" t="str">
        <f t="shared" si="34"/>
        <v>"C:\Program Files (x86)\AstroGrep\AstroGrep.exe" /spath="%USERPROFILE%\AppData\Local\Temp\OnboardLogs" /stypes="app*4031*20170117*"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215-16 --locoid 4031 --swversion DE.1.0.8.0 --startMP 204:447 --initTime 2017-01-16T17:59:26 --startdatetime 2017-01-16T18:01:51 --delay 1 --endMP 204:233291 --enddatetime 2017-01-16T18:39:04 --enforcementcount 0 &gt;&gt;C:\Users\stu\Documents\GitHub\eaglep3-reporting\EC\2017-01-16-refined-times.txt</v>
      </c>
      <c r="AI127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{"issue":{"subject":"","project_id":79,"tracker_id":40,"status_id":1,"priority_id":2,"assigned_to_id":23,"start_date":"2017-01-16","description":"","custom_fields":[{"id":1,"name":"Subdivision","value":"EC"},{"id":4,"name":"Milepost","value":"23.3291"},{"id":17,"name":"Train ID","value":"215-16"},{"id":16,"name":"Locomotive ID","value":"4031"},{"id":130,"name":"Impact","value":""},{"id":150,"name":"Time of Event (Mountain Time)","value":"18:39:04"},{"id":151,"name":"Denver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38"/>
        <v>start /low /b %USERPROFILE%\Documents\GitHub\eaglep3\Utilities\DownloadLogsFromS3.py --loco 4031 --day 2017-01-16</v>
      </c>
      <c r="AN127" s="18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"%USERPROFILE%\AppData\Local\Temp\OnboardLogs"\RTDC4031\*4031*20170117* | grep -SE "(Enforcement Action)|(\[TIMEOUT)|(CHR.+\|PRM\|1\|D.+(SWITCH|SIGNAL).+UNKNOWN)" - &gt;&gt; 2017-01-16-UncaughtWiMAX.txt</v>
      </c>
    </row>
    <row r="128" spans="1:91" s="21" customFormat="1" x14ac:dyDescent="0.25">
      <c r="A128" s="34" t="s">
        <v>682</v>
      </c>
      <c r="B128" s="7">
        <v>4032</v>
      </c>
      <c r="C128" s="22" t="s">
        <v>201</v>
      </c>
      <c r="D128" s="22" t="s">
        <v>766</v>
      </c>
      <c r="E128" s="13">
        <v>42751.784953703704</v>
      </c>
      <c r="F128" s="13">
        <v>42751.789212962962</v>
      </c>
      <c r="G128" s="7">
        <v>1</v>
      </c>
      <c r="H128" s="22" t="s">
        <v>256</v>
      </c>
      <c r="I128" s="13">
        <v>42751.815891203703</v>
      </c>
      <c r="J128" s="7">
        <v>0</v>
      </c>
      <c r="K128" s="105" t="str">
        <f t="shared" si="22"/>
        <v>4031/4032</v>
      </c>
      <c r="L128" s="22" t="str">
        <f>VLOOKUP(A128,'Trips&amp;Operators'!$C$1:$G$99999,5,FALSE)</f>
        <v>KILLION DAVID</v>
      </c>
      <c r="M128" s="6">
        <f t="shared" si="23"/>
        <v>2.6678240741603076E-2</v>
      </c>
      <c r="N128" s="7">
        <f t="shared" si="24"/>
        <v>38.41666666790843</v>
      </c>
      <c r="O128" s="7"/>
      <c r="P128" s="7"/>
      <c r="Q128" s="23"/>
      <c r="R128" s="23"/>
      <c r="S128" s="32">
        <f t="shared" si="25"/>
        <v>1</v>
      </c>
      <c r="T128" s="47" t="str">
        <f t="shared" si="26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7"/>
        <v>https://d0f6bd738d7f1b3e5a7ca70fe4ff75f0.us-east-1.aws.found.io/app/kibana#/discover/Steve-Slow-Train-Analysis-(2080s-and-2083s)?_g=(refreshInterval:(display:Off,pause:!f,section:0,value:0),time:(from:'2017-01-16T17:50:20-0700',mode:absolute,to:'2017-01-16T20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49" t="str">
        <f t="shared" si="28"/>
        <v>N</v>
      </c>
      <c r="X128" s="173">
        <f t="shared" si="29"/>
        <v>1</v>
      </c>
      <c r="Y128" s="64">
        <f t="shared" si="30"/>
        <v>23.297499999999999</v>
      </c>
      <c r="Z128" s="64">
        <f t="shared" si="40"/>
        <v>1.52E-2</v>
      </c>
      <c r="AA128" s="64">
        <f t="shared" si="31"/>
        <v>23.282299999999999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2"/>
        <v>0216-16</v>
      </c>
      <c r="AE128" s="87" t="str">
        <f t="shared" si="33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128" s="84" t="str">
        <f t="shared" si="34"/>
        <v>"C:\Program Files (x86)\AstroGrep\AstroGrep.exe" /spath="%USERPROFILE%\AppData\Local\Temp\OnboardLogs" /stypes="app*4032*20170117*"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216-16 --locoid 4032 --swversion DE.1.0.8.0 --startMP 204:232975 --initTime 2017-01-16T18:50:20 --startdatetime 2017-01-16T18:56:28 --delay 1 --endMP 204:152 --enddatetime 2017-01-16T19:34:53 --enforcementcount 0 &gt;&gt;C:\Users\stu\Documents\GitHub\eaglep3-reporting\EC\2017-01-16-refined-times.txt</v>
      </c>
      <c r="AI128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{"issue":{"subject":"","project_id":79,"tracker_id":40,"status_id":1,"priority_id":2,"assigned_to_id":23,"start_date":"2017-01-16","description":"","custom_fields":[{"id":1,"name":"Subdivision","value":"EC"},{"id":4,"name":"Milepost","value":"0.0152"},{"id":17,"name":"Train ID","value":"216-16"},{"id":16,"name":"Locomotive ID","value":"4032"},{"id":130,"name":"Impact","value":""},{"id":150,"name":"Time of Event (Mountain Time)","value":"19:34:53"},{"id":151,"name":"Denver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38"/>
        <v>start /low /b %USERPROFILE%\Documents\GitHub\eaglep3\Utilities\DownloadLogsFromS3.py --loco 4032 --day 2017-01-16</v>
      </c>
      <c r="AN128" s="18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672</v>
      </c>
      <c r="B129" s="7">
        <v>4016</v>
      </c>
      <c r="C129" s="22" t="s">
        <v>201</v>
      </c>
      <c r="D129" s="22" t="s">
        <v>404</v>
      </c>
      <c r="E129" s="13">
        <v>42751.758946759262</v>
      </c>
      <c r="F129" s="13">
        <v>42751.76116898148</v>
      </c>
      <c r="G129" s="7">
        <v>2</v>
      </c>
      <c r="H129" s="22" t="s">
        <v>781</v>
      </c>
      <c r="I129" s="13">
        <v>42751.785567129627</v>
      </c>
      <c r="J129" s="7">
        <v>0</v>
      </c>
      <c r="K129" s="105" t="str">
        <f t="shared" si="22"/>
        <v>4015/4016</v>
      </c>
      <c r="L129" s="22" t="str">
        <f>VLOOKUP(A129,'Trips&amp;Operators'!$C$1:$G$99999,5,FALSE)</f>
        <v>STAMBAUGH JAMES</v>
      </c>
      <c r="M129" s="6">
        <f t="shared" si="23"/>
        <v>2.4398148147156462E-2</v>
      </c>
      <c r="N129" s="7">
        <f t="shared" si="24"/>
        <v>35.133333331905305</v>
      </c>
      <c r="O129" s="7"/>
      <c r="P129" s="7"/>
      <c r="Q129" s="23"/>
      <c r="R129" s="23"/>
      <c r="S129" s="32">
        <f t="shared" si="25"/>
        <v>1</v>
      </c>
      <c r="T129" s="47" t="str">
        <f t="shared" si="26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7"/>
        <v>https://d0f6bd738d7f1b3e5a7ca70fe4ff75f0.us-east-1.aws.found.io/app/kibana#/discover/Steve-Slow-Train-Analysis-(2080s-and-2083s)?_g=(refreshInterval:(display:Off,pause:!f,section:0,value:0),time:(from:'2017-01-16T17:12:53-0700',mode:absolute,to:'2017-01-16T19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49" t="str">
        <f t="shared" si="28"/>
        <v>N</v>
      </c>
      <c r="X129" s="173">
        <f t="shared" si="29"/>
        <v>1</v>
      </c>
      <c r="Y129" s="64">
        <f t="shared" si="30"/>
        <v>4.5100000000000001E-2</v>
      </c>
      <c r="Z129" s="64">
        <f t="shared" si="40"/>
        <v>23.338899999999999</v>
      </c>
      <c r="AA129" s="64">
        <f t="shared" si="31"/>
        <v>23.293799999999997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2"/>
        <v>0217-16</v>
      </c>
      <c r="AE129" s="87" t="str">
        <f t="shared" si="33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129" s="84" t="str">
        <f t="shared" si="34"/>
        <v>"C:\Program Files (x86)\AstroGrep\AstroGrep.exe" /spath="%USERPROFILE%\AppData\Local\Temp\OnboardLogs" /stypes="app*4016*20170117*" /stext=" 01:.+((SYSTEM_STATE.+slice.+state.+changed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217-16 --locoid 4016 --swversion DE.1.0.8.0 --startMP 204:451 --initTime 2017-01-16T18:12:53 --startdatetime 2017-01-16T18:16:05 --delay 2 --endMP 204:233389 --enddatetime 2017-01-16T18:51:13 --enforcementcount 0 &gt;&gt;C:\Users\stu\Documents\GitHub\eaglep3-reporting\EC\2017-01-16-refined-times.txt</v>
      </c>
      <c r="AI129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{"issue":{"subject":"","project_id":79,"tracker_id":40,"status_id":1,"priority_id":2,"assigned_to_id":23,"start_date":"2017-01-16","description":"","custom_fields":[{"id":1,"name":"Subdivision","value":"EC"},{"id":4,"name":"Milepost","value":"23.3389"},{"id":17,"name":"Train ID","value":"217-16"},{"id":16,"name":"Locomotive ID","value":"4016"},{"id":130,"name":"Impact","value":""},{"id":150,"name":"Time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38"/>
        <v>start /low /b %USERPROFILE%\Documents\GitHub\eaglep3\Utilities\DownloadLogsFromS3.py --loco 4016 --day 2017-01-16</v>
      </c>
      <c r="AN129" s="18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"%USERPROFILE%\AppData\Local\Temp\OnboardLogs"\RTDC4016\*4016*20170117* | grep -SE "(Enforcement Action)|(\[TIMEOUT)|(CHR.+\|PRM\|1\|D.+(SWITCH|SIGNAL).+UNKNOWN)" - &gt;&gt; 2017-01-16-UncaughtWiMAX.txt</v>
      </c>
    </row>
    <row r="130" spans="1:91" s="21" customFormat="1" x14ac:dyDescent="0.25">
      <c r="A130" s="34" t="s">
        <v>683</v>
      </c>
      <c r="B130" s="7">
        <v>4015</v>
      </c>
      <c r="C130" s="22" t="s">
        <v>201</v>
      </c>
      <c r="D130" s="22" t="s">
        <v>782</v>
      </c>
      <c r="E130" s="13">
        <v>42751.788483796299</v>
      </c>
      <c r="F130" s="13">
        <v>42751.79959490741</v>
      </c>
      <c r="G130" s="7">
        <v>1</v>
      </c>
      <c r="H130" s="22" t="s">
        <v>224</v>
      </c>
      <c r="I130" s="13">
        <v>42751.825578703705</v>
      </c>
      <c r="J130" s="7">
        <v>0</v>
      </c>
      <c r="K130" s="105" t="str">
        <f t="shared" si="22"/>
        <v>4015/4016</v>
      </c>
      <c r="L130" s="22" t="str">
        <f>VLOOKUP(A130,'Trips&amp;Operators'!$C$1:$G$99999,5,FALSE)</f>
        <v>STAMBAUGH JAMES</v>
      </c>
      <c r="M130" s="6">
        <f t="shared" si="23"/>
        <v>2.5983796294895001E-2</v>
      </c>
      <c r="N130" s="7">
        <f t="shared" si="24"/>
        <v>37.416666664648801</v>
      </c>
      <c r="O130" s="7"/>
      <c r="P130" s="7"/>
      <c r="Q130" s="23"/>
      <c r="R130" s="23"/>
      <c r="S130" s="32">
        <f t="shared" si="25"/>
        <v>1</v>
      </c>
      <c r="T130" s="47" t="str">
        <f t="shared" si="26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7"/>
        <v>https://d0f6bd738d7f1b3e5a7ca70fe4ff75f0.us-east-1.aws.found.io/app/kibana#/discover/Steve-Slow-Train-Analysis-(2080s-and-2083s)?_g=(refreshInterval:(display:Off,pause:!f,section:0,value:0),time:(from:'2017-01-16T17:55:25-0700',mode:absolute,to:'2017-01-16T20:48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49" t="str">
        <f t="shared" si="28"/>
        <v>N</v>
      </c>
      <c r="X130" s="173">
        <f t="shared" si="29"/>
        <v>1</v>
      </c>
      <c r="Y130" s="64">
        <f t="shared" si="30"/>
        <v>23.309100000000001</v>
      </c>
      <c r="Z130" s="64">
        <f t="shared" si="40"/>
        <v>1.4500000000000001E-2</v>
      </c>
      <c r="AA130" s="64">
        <f t="shared" si="31"/>
        <v>23.294599999999999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32"/>
        <v>0218-16</v>
      </c>
      <c r="AE130" s="87" t="str">
        <f t="shared" si="33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130" s="84" t="str">
        <f t="shared" si="34"/>
        <v>"C:\Program Files (x86)\AstroGrep\AstroGrep.exe" /spath="%USERPROFILE%\AppData\Local\Temp\OnboardLogs" /stypes="app*4015*20170117*"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218-16 --locoid 4015 --swversion DE.1.0.8.0 --startMP 204:233091 --initTime 2017-01-16T18:55:25 --startdatetime 2017-01-16T19:11:25 --delay 1 --endMP 204:145 --enddatetime 2017-01-16T19:48:50 --enforcementcount 0 &gt;&gt;C:\Users\stu\Documents\GitHub\eaglep3-reporting\EC\2017-01-16-refined-times.txt</v>
      </c>
      <c r="AI130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{"issue":{"subject":"","project_id":79,"tracker_id":40,"status_id":1,"priority_id":2,"assigned_to_id":23,"start_date":"2017-01-16","description":"","custom_fields":[{"id":1,"name":"Subdivision","value":"EC"},{"id":4,"name":"Milepost","value":"0.0145"},{"id":17,"name":"Train ID","value":"218-16"},{"id":16,"name":"Locomotive ID","value":"4015"},{"id":130,"name":"Impact","value":""},{"id":150,"name":"Time of Event (Mountain Time)","value":"19:48:50"},{"id":151,"name":"Denver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38"/>
        <v>start /low /b %USERPROFILE%\Documents\GitHub\eaglep3\Utilities\DownloadLogsFromS3.py --loco 4015 --day 2017-01-16</v>
      </c>
      <c r="AN130" s="18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"%USERPROFILE%\AppData\Local\Temp\OnboardLogs"\RTDC4015\*4015*20170117* | grep -SE "(Enforcement Action)|(\[TIMEOUT)|(CHR.+\|PRM\|1\|D.+(SWITCH|SIGNAL).+UNKNOWN)" - &gt;&gt; 2017-01-16-UncaughtWiMAX.txt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499</v>
      </c>
      <c r="B131" s="7">
        <v>4046</v>
      </c>
      <c r="C131" s="22" t="s">
        <v>201</v>
      </c>
      <c r="D131" s="22" t="s">
        <v>389</v>
      </c>
      <c r="E131" s="13">
        <v>42751.769166666665</v>
      </c>
      <c r="F131" s="13">
        <v>42751.771215277775</v>
      </c>
      <c r="G131" s="7">
        <v>1</v>
      </c>
      <c r="H131" s="22" t="s">
        <v>358</v>
      </c>
      <c r="I131" s="13">
        <v>42751.797789351855</v>
      </c>
      <c r="J131" s="7">
        <v>0</v>
      </c>
      <c r="K131" s="105" t="str">
        <f t="shared" si="22"/>
        <v>4045/4046</v>
      </c>
      <c r="L131" s="22" t="str">
        <f>VLOOKUP(A131,'Trips&amp;Operators'!$C$1:$G$99999,5,FALSE)</f>
        <v>STORY SAMANTHA</v>
      </c>
      <c r="M131" s="6">
        <f t="shared" si="23"/>
        <v>2.6574074079690035E-2</v>
      </c>
      <c r="N131" s="7">
        <f t="shared" si="24"/>
        <v>38.266666674753651</v>
      </c>
      <c r="O131" s="7"/>
      <c r="P131" s="7"/>
      <c r="Q131" s="23"/>
      <c r="R131" s="23"/>
      <c r="S131" s="32">
        <f t="shared" si="25"/>
        <v>1</v>
      </c>
      <c r="T131" s="47" t="str">
        <f t="shared" si="26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7"/>
        <v>https://d0f6bd738d7f1b3e5a7ca70fe4ff75f0.us-east-1.aws.found.io/app/kibana#/discover/Steve-Slow-Train-Analysis-(2080s-and-2083s)?_g=(refreshInterval:(display:Off,pause:!f,section:0,value:0),time:(from:'2017-01-16T17:27:36-0700',mode:absolute,to:'2017-01-16T20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1" s="49" t="str">
        <f t="shared" si="28"/>
        <v>N</v>
      </c>
      <c r="X131" s="173">
        <f t="shared" si="29"/>
        <v>1</v>
      </c>
      <c r="Y131" s="64">
        <f t="shared" si="30"/>
        <v>4.8399999999999999E-2</v>
      </c>
      <c r="Z131" s="64">
        <f t="shared" si="40"/>
        <v>23.331099999999999</v>
      </c>
      <c r="AA131" s="64">
        <f t="shared" si="31"/>
        <v>23.282699999999998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2"/>
        <v>0219-16</v>
      </c>
      <c r="AE131" s="87" t="str">
        <f t="shared" si="33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131" s="84" t="str">
        <f t="shared" si="34"/>
        <v>"C:\Program Files (x86)\AstroGrep\AstroGrep.exe" /spath="%USERPROFILE%\AppData\Local\Temp\OnboardLogs" /stypes="app*4046*20170117*"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219-16 --locoid 4046 --swversion DE.1.0.8.0 --startMP 204:484 --initTime 2017-01-16T18:27:36 --startdatetime 2017-01-16T18:30:33 --delay 1 --endMP 204:233311 --enddatetime 2017-01-16T19:08:49 --enforcementcount 0 &gt;&gt;C:\Users\stu\Documents\GitHub\eaglep3-reporting\EC\2017-01-16-refined-times.txt</v>
      </c>
      <c r="AI131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{"issue":{"subject":"","project_id":79,"tracker_id":40,"status_id":1,"priority_id":2,"assigned_to_id":23,"start_date":"2017-01-16","description":"","custom_fields":[{"id":1,"name":"Subdivision","value":"EC"},{"id":4,"name":"Milepost","value":"23.3311"},{"id":17,"name":"Train ID","value":"219-16"},{"id":16,"name":"Locomotive ID","value":"4046"},{"id":130,"name":"Impact","value":""},{"id":150,"name":"Time of Event (Mountain Time)","value":"19:08:49"},{"id":151,"name":"Denver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38"/>
        <v>start /low /b %USERPROFILE%\Documents\GitHub\eaglep3\Utilities\DownloadLogsFromS3.py --loco 4046 --day 2017-01-16</v>
      </c>
      <c r="AN131" s="18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"%USERPROFILE%\AppData\Local\Temp\OnboardLogs"\RTDC4046\*4046*20170117* | grep -SE "(Enforcement Action)|(\[TIMEOUT)|(CHR.+\|PRM\|1\|D.+(SWITCH|SIGNAL).+UNKNOWN)" - &gt;&gt; 2017-01-16-UncaughtWiMAX.txt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688</v>
      </c>
      <c r="B132" s="7">
        <v>4045</v>
      </c>
      <c r="C132" s="22" t="s">
        <v>201</v>
      </c>
      <c r="D132" s="22" t="s">
        <v>783</v>
      </c>
      <c r="E132" s="13">
        <v>42751.807210648149</v>
      </c>
      <c r="F132" s="13">
        <v>42751.810173611113</v>
      </c>
      <c r="G132" s="7">
        <v>1</v>
      </c>
      <c r="H132" s="22" t="s">
        <v>769</v>
      </c>
      <c r="I132" s="13">
        <v>42751.836817129632</v>
      </c>
      <c r="J132" s="7">
        <v>0</v>
      </c>
      <c r="K132" s="105" t="str">
        <f t="shared" si="22"/>
        <v>4045/4046</v>
      </c>
      <c r="L132" s="22" t="str">
        <f>VLOOKUP(A132,'Trips&amp;Operators'!$C$1:$G$99999,5,FALSE)</f>
        <v>STORY SAMANTHA</v>
      </c>
      <c r="M132" s="6">
        <f t="shared" si="23"/>
        <v>2.6643518518540077E-2</v>
      </c>
      <c r="N132" s="7">
        <f t="shared" si="24"/>
        <v>38.366666666697711</v>
      </c>
      <c r="O132" s="7"/>
      <c r="P132" s="7"/>
      <c r="Q132" s="23"/>
      <c r="R132" s="23"/>
      <c r="S132" s="32">
        <f t="shared" si="25"/>
        <v>1</v>
      </c>
      <c r="T132" s="47" t="str">
        <f t="shared" si="26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7"/>
        <v>https://d0f6bd738d7f1b3e5a7ca70fe4ff75f0.us-east-1.aws.found.io/app/kibana#/discover/Steve-Slow-Train-Analysis-(2080s-and-2083s)?_g=(refreshInterval:(display:Off,pause:!f,section:0,value:0),time:(from:'2017-01-16T18:22:23-0700',mode:absolute,to:'2017-01-16T21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49" t="str">
        <f t="shared" si="28"/>
        <v>N</v>
      </c>
      <c r="X132" s="173">
        <f t="shared" si="29"/>
        <v>1</v>
      </c>
      <c r="Y132" s="64">
        <f t="shared" si="30"/>
        <v>23.3003</v>
      </c>
      <c r="Z132" s="64">
        <f t="shared" si="40"/>
        <v>1.1900000000000001E-2</v>
      </c>
      <c r="AA132" s="64">
        <f t="shared" si="31"/>
        <v>23.288399999999999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32"/>
        <v>0220-16</v>
      </c>
      <c r="AE132" s="87" t="str">
        <f t="shared" si="33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132" s="84" t="str">
        <f t="shared" si="34"/>
        <v>"C:\Program Files (x86)\AstroGrep\AstroGrep.exe" /spath="%USERPROFILE%\AppData\Local\Temp\OnboardLogs" /stypes="app*4045*20170117*"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220-16 --locoid 4045 --swversion DE.1.0.8.0 --startMP 204:233003 --initTime 2017-01-16T19:22:23 --startdatetime 2017-01-16T19:26:39 --delay 1 --endMP 204:119 --enddatetime 2017-01-16T20:05:01 --enforcementcount 0 &gt;&gt;C:\Users\stu\Documents\GitHub\eaglep3-reporting\EC\2017-01-16-refined-times.txt</v>
      </c>
      <c r="AI132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{"issue":{"subject":"","project_id":79,"tracker_id":40,"status_id":1,"priority_id":2,"assigned_to_id":23,"start_date":"2017-01-16","description":"","custom_fields":[{"id":1,"name":"Subdivision","value":"EC"},{"id":4,"name":"Milepost","value":"0.0119"},{"id":17,"name":"Train ID","value":"220-16"},{"id":16,"name":"Locomotive ID","value":"4045"},{"id":130,"name":"Impact","value":""},{"id":150,"name":"Time of Event (Mountain Time)","value":"20:05:01"},{"id":151,"name":"Denver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38"/>
        <v>start /low /b %USERPROFILE%\Documents\GitHub\eaglep3\Utilities\DownloadLogsFromS3.py --loco 4045 --day 2017-01-16</v>
      </c>
      <c r="AN132" s="18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"%USERPROFILE%\AppData\Local\Temp\OnboardLogs"\RTDC4045\*4045*20170117* | grep -SE "(Enforcement Action)|(\[TIMEOUT)|(CHR.+\|PRM\|1\|D.+(SWITCH|SIGNAL).+UNKNOWN)" - &gt;&gt; 2017-01-16-UncaughtWiMAX.txt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684</v>
      </c>
      <c r="B133" s="7">
        <v>4003</v>
      </c>
      <c r="C133" s="22" t="s">
        <v>201</v>
      </c>
      <c r="D133" s="22" t="s">
        <v>269</v>
      </c>
      <c r="E133" s="13">
        <v>42751.790150462963</v>
      </c>
      <c r="F133" s="13">
        <v>42751.791944444441</v>
      </c>
      <c r="G133" s="7">
        <v>1</v>
      </c>
      <c r="H133" s="22" t="s">
        <v>410</v>
      </c>
      <c r="I133" s="13">
        <v>42751.816979166666</v>
      </c>
      <c r="J133" s="7">
        <v>0</v>
      </c>
      <c r="K133" s="105" t="str">
        <f t="shared" si="22"/>
        <v>4003/4004</v>
      </c>
      <c r="L133" s="22" t="str">
        <f>VLOOKUP(A133,'Trips&amp;Operators'!$C$1:$G$99999,5,FALSE)</f>
        <v>CHANDLER KELVIN</v>
      </c>
      <c r="M133" s="6">
        <f t="shared" si="23"/>
        <v>2.5034722224518191E-2</v>
      </c>
      <c r="N133" s="7">
        <f t="shared" si="24"/>
        <v>36.050000003306195</v>
      </c>
      <c r="O133" s="7"/>
      <c r="P133" s="7"/>
      <c r="Q133" s="23"/>
      <c r="R133" s="23"/>
      <c r="S133" s="32">
        <f t="shared" si="25"/>
        <v>1</v>
      </c>
      <c r="T133" s="47" t="str">
        <f t="shared" si="26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7"/>
        <v>https://d0f6bd738d7f1b3e5a7ca70fe4ff75f0.us-east-1.aws.found.io/app/kibana#/discover/Steve-Slow-Train-Analysis-(2080s-and-2083s)?_g=(refreshInterval:(display:Off,pause:!f,section:0,value:0),time:(from:'2017-01-16T17:57:49-0700',mode:absolute,to:'2017-01-16T20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3" s="49" t="str">
        <f t="shared" si="28"/>
        <v>N</v>
      </c>
      <c r="X133" s="173">
        <f t="shared" si="29"/>
        <v>1</v>
      </c>
      <c r="Y133" s="64">
        <f t="shared" si="30"/>
        <v>4.4600000000000001E-2</v>
      </c>
      <c r="Z133" s="64">
        <f t="shared" si="40"/>
        <v>23.3308</v>
      </c>
      <c r="AA133" s="64">
        <f t="shared" si="31"/>
        <v>23.286200000000001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2"/>
        <v>0221-16</v>
      </c>
      <c r="AE133" s="87" t="str">
        <f t="shared" si="33"/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AF133" s="84" t="str">
        <f t="shared" si="34"/>
        <v>"C:\Program Files (x86)\AstroGrep\AstroGrep.exe" /spath="%USERPROFILE%\AppData\Local\Temp\OnboardLogs" /stypes="app*4003*20170117*"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221-16 --locoid 4003 --swversion DE.1.0.8.0 --startMP 204:446 --initTime 2017-01-16T18:57:49 --startdatetime 2017-01-16T19:00:24 --delay 1 --endMP 204:233308 --enddatetime 2017-01-16T19:36:27 --enforcementcount 0 &gt;&gt;C:\Users\stu\Documents\GitHub\eaglep3-reporting\EC\2017-01-16-refined-times.txt</v>
      </c>
      <c r="AI133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{"issue":{"subject":"","project_id":79,"tracker_id":40,"status_id":1,"priority_id":2,"assigned_to_id":23,"start_date":"2017-01-16","description":"","custom_fields":[{"id":1,"name":"Subdivision","value":"EC"},{"id":4,"name":"Milepost","value":"23.3308"},{"id":17,"name":"Train ID","value":"221-16"},{"id":16,"name":"Locomotive ID","value":"4003"},{"id":130,"name":"Impact","value":""},{"id":150,"name":"Time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38"/>
        <v>start /low /b %USERPROFILE%\Documents\GitHub\eaglep3\Utilities\DownloadLogsFromS3.py --loco 4003 --day 2017-01-16</v>
      </c>
      <c r="AN133" s="18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"%USERPROFILE%\AppData\Local\Temp\OnboardLogs"\RTDC4003\*4003*20170117* | grep -SE "(Enforcement Action)|(\[TIMEOUT)|(CHR.+\|PRM\|1\|D.+(SWITCH|SIGNAL).+UNKNOWN)" - &gt;&gt; 2017-01-16-UncaughtWiMAX.txt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500</v>
      </c>
      <c r="B134" s="7">
        <v>4004</v>
      </c>
      <c r="C134" s="22" t="s">
        <v>201</v>
      </c>
      <c r="D134" s="22" t="s">
        <v>260</v>
      </c>
      <c r="E134" s="13">
        <v>42751.827939814815</v>
      </c>
      <c r="F134" s="13">
        <v>42751.831250000003</v>
      </c>
      <c r="G134" s="7">
        <v>1</v>
      </c>
      <c r="H134" s="22" t="s">
        <v>784</v>
      </c>
      <c r="I134" s="13">
        <v>42751.859027777777</v>
      </c>
      <c r="J134" s="7">
        <v>0</v>
      </c>
      <c r="K134" s="105" t="str">
        <f t="shared" si="22"/>
        <v>4003/4004</v>
      </c>
      <c r="L134" s="22" t="str">
        <f>VLOOKUP(A134,'Trips&amp;Operators'!$C$1:$G$99999,5,FALSE)</f>
        <v>CHANDLER KELVIN</v>
      </c>
      <c r="M134" s="6">
        <f t="shared" si="23"/>
        <v>2.7777777773735579E-2</v>
      </c>
      <c r="N134" s="7">
        <f t="shared" si="24"/>
        <v>39.999999994179234</v>
      </c>
      <c r="O134" s="7"/>
      <c r="P134" s="7"/>
      <c r="Q134" s="23"/>
      <c r="R134" s="23"/>
      <c r="S134" s="32">
        <f t="shared" si="25"/>
        <v>1</v>
      </c>
      <c r="T134" s="47" t="str">
        <f t="shared" si="26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7"/>
        <v>https://d0f6bd738d7f1b3e5a7ca70fe4ff75f0.us-east-1.aws.found.io/app/kibana#/discover/Steve-Slow-Train-Analysis-(2080s-and-2083s)?_g=(refreshInterval:(display:Off,pause:!f,section:0,value:0),time:(from:'2017-01-16T18:52:14-0700',mode:absolute,to:'2017-01-16T21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4" s="49" t="str">
        <f t="shared" si="28"/>
        <v>N</v>
      </c>
      <c r="X134" s="173">
        <f t="shared" si="29"/>
        <v>1</v>
      </c>
      <c r="Y134" s="64">
        <f t="shared" si="30"/>
        <v>23.2989</v>
      </c>
      <c r="Z134" s="64">
        <f t="shared" si="40"/>
        <v>8.9599999999999999E-2</v>
      </c>
      <c r="AA134" s="64">
        <f t="shared" si="31"/>
        <v>23.209299999999999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2"/>
        <v>0222-16</v>
      </c>
      <c r="AE134" s="87" t="str">
        <f t="shared" si="33"/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AF134" s="84" t="str">
        <f t="shared" si="34"/>
        <v>"C:\Program Files (x86)\AstroGrep\AstroGrep.exe" /spath="%USERPROFILE%\AppData\Local\Temp\OnboardLogs" /stypes="app*4004*20170117*"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222-16 --locoid 4004 --swversion DE.1.0.8.0 --startMP 204:232989 --initTime 2017-01-16T19:52:14 --startdatetime 2017-01-16T19:57:00 --delay 1 --endMP 204:896 --enddatetime 2017-01-16T20:37:00 --enforcementcount 0 &gt;&gt;C:\Users\stu\Documents\GitHub\eaglep3-reporting\EC\2017-01-16-refined-times.txt</v>
      </c>
      <c r="AI134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{"issue":{"subject":"","project_id":79,"tracker_id":40,"status_id":1,"priority_id":2,"assigned_to_id":23,"start_date":"2017-01-16","description":"","custom_fields":[{"id":1,"name":"Subdivision","value":"EC"},{"id":4,"name":"Milepost","value":"0.0896"},{"id":17,"name":"Train ID","value":"222-16"},{"id":16,"name":"Locomotive ID","value":"4004"},{"id":130,"name":"Impact","value":""},{"id":150,"name":"Time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38"/>
        <v>start /low /b %USERPROFILE%\Documents\GitHub\eaglep3\Utilities\DownloadLogsFromS3.py --loco 4004 --day 2017-01-16</v>
      </c>
      <c r="AN134" s="18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"%USERPROFILE%\AppData\Local\Temp\OnboardLogs"\RTDC4004\*4004*20170117* | grep -SE "(Enforcement Action)|(\[TIMEOUT)|(CHR.+\|PRM\|1\|D.+(SWITCH|SIGNAL).+UNKNOWN)" - &gt;&gt; 2017-01-16-UncaughtWiMAX.txt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689</v>
      </c>
      <c r="B135" s="7">
        <v>4029</v>
      </c>
      <c r="C135" s="22" t="s">
        <v>201</v>
      </c>
      <c r="D135" s="22" t="s">
        <v>733</v>
      </c>
      <c r="E135" s="13">
        <v>42751.807939814818</v>
      </c>
      <c r="F135" s="13">
        <v>42751.812916666669</v>
      </c>
      <c r="G135" s="7">
        <v>1</v>
      </c>
      <c r="H135" s="22" t="s">
        <v>743</v>
      </c>
      <c r="I135" s="13">
        <v>42751.838356481479</v>
      </c>
      <c r="J135" s="7">
        <v>0</v>
      </c>
      <c r="K135" s="105" t="str">
        <f t="shared" si="22"/>
        <v>4029/4030</v>
      </c>
      <c r="L135" s="22" t="str">
        <f>VLOOKUP(A135,'Trips&amp;Operators'!$C$1:$G$99999,5,FALSE)</f>
        <v>SMITH MICHAEL</v>
      </c>
      <c r="M135" s="6">
        <f t="shared" si="23"/>
        <v>2.5439814809942618E-2</v>
      </c>
      <c r="N135" s="7">
        <f t="shared" si="24"/>
        <v>36.63333332631737</v>
      </c>
      <c r="O135" s="7"/>
      <c r="P135" s="7"/>
      <c r="Q135" s="23"/>
      <c r="R135" s="23"/>
      <c r="S135" s="32">
        <f t="shared" si="25"/>
        <v>1</v>
      </c>
      <c r="T135" s="47" t="str">
        <f t="shared" si="26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7"/>
        <v>https://d0f6bd738d7f1b3e5a7ca70fe4ff75f0.us-east-1.aws.found.io/app/kibana#/discover/Steve-Slow-Train-Analysis-(2080s-and-2083s)?_g=(refreshInterval:(display:Off,pause:!f,section:0,value:0),time:(from:'2017-01-16T18:23:26-0700',mode:absolute,to:'2017-01-16T21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5" s="49" t="str">
        <f t="shared" si="28"/>
        <v>N</v>
      </c>
      <c r="X135" s="173">
        <f t="shared" si="29"/>
        <v>1</v>
      </c>
      <c r="Y135" s="64">
        <f t="shared" si="30"/>
        <v>4.5999999999999999E-2</v>
      </c>
      <c r="Z135" s="64">
        <f t="shared" si="40"/>
        <v>23.331900000000001</v>
      </c>
      <c r="AA135" s="64">
        <f t="shared" si="31"/>
        <v>23.285900000000002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2"/>
        <v>0223-16</v>
      </c>
      <c r="AE135" s="87" t="str">
        <f t="shared" si="33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135" s="84" t="str">
        <f t="shared" si="34"/>
        <v>"C:\Program Files (x86)\AstroGrep\AstroGrep.exe" /spath="%USERPROFILE%\AppData\Local\Temp\OnboardLogs" /stypes="app*4029*20170117*"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223-16 --locoid 4029 --swversion DE.1.0.8.0 --startMP 204:460 --initTime 2017-01-16T19:23:26 --startdatetime 2017-01-16T19:30:36 --delay 1 --endMP 204:233319 --enddatetime 2017-01-16T20:07:14 --enforcementcount 0 &gt;&gt;C:\Users\stu\Documents\GitHub\eaglep3-reporting\EC\2017-01-16-refined-times.txt</v>
      </c>
      <c r="AI135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{"issue":{"subject":"","project_id":79,"tracker_id":40,"status_id":1,"priority_id":2,"assigned_to_id":23,"start_date":"2017-01-16","description":"","custom_fields":[{"id":1,"name":"Subdivision","value":"EC"},{"id":4,"name":"Milepost","value":"23.3319"},{"id":17,"name":"Train ID","value":"223-16"},{"id":16,"name":"Locomotive ID","value":"4029"},{"id":130,"name":"Impact","value":""},{"id":150,"name":"Time of Event (Mountain Time)","value":"20:07:14"},{"id":151,"name":"Denver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38"/>
        <v>start /low /b %USERPROFILE%\Documents\GitHub\eaglep3\Utilities\DownloadLogsFromS3.py --loco 4029 --day 2017-01-16</v>
      </c>
      <c r="AN135" s="18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"%USERPROFILE%\AppData\Local\Temp\OnboardLogs"\RTDC4029\*4029*20170117* | grep -SE "(Enforcement Action)|(\[TIMEOUT)|(CHR.+\|PRM\|1\|D.+(SWITCH|SIGNAL).+UNKNOWN)" - &gt;&gt; 2017-01-16-UncaughtWiMAX.txt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694</v>
      </c>
      <c r="B136" s="7">
        <v>4030</v>
      </c>
      <c r="C136" s="22" t="s">
        <v>201</v>
      </c>
      <c r="D136" s="22" t="s">
        <v>785</v>
      </c>
      <c r="E136" s="13">
        <v>42751.844351851854</v>
      </c>
      <c r="F136" s="13">
        <v>42751.851793981485</v>
      </c>
      <c r="G136" s="7">
        <v>1</v>
      </c>
      <c r="H136" s="22" t="s">
        <v>224</v>
      </c>
      <c r="I136" s="13">
        <v>42751.878634259258</v>
      </c>
      <c r="J136" s="7">
        <v>0</v>
      </c>
      <c r="K136" s="105" t="str">
        <f t="shared" si="22"/>
        <v>4029/4030</v>
      </c>
      <c r="L136" s="22" t="str">
        <f>VLOOKUP(A136,'Trips&amp;Operators'!$C$1:$G$99999,5,FALSE)</f>
        <v>SMITH MICHAEL</v>
      </c>
      <c r="M136" s="6">
        <f t="shared" si="23"/>
        <v>2.6840277772862464E-2</v>
      </c>
      <c r="N136" s="7">
        <f t="shared" si="24"/>
        <v>38.649999992921948</v>
      </c>
      <c r="O136" s="7"/>
      <c r="P136" s="7"/>
      <c r="Q136" s="23"/>
      <c r="R136" s="23"/>
      <c r="S136" s="32">
        <f t="shared" si="25"/>
        <v>1</v>
      </c>
      <c r="T136" s="47" t="str">
        <f t="shared" si="26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7"/>
        <v>https://d0f6bd738d7f1b3e5a7ca70fe4ff75f0.us-east-1.aws.found.io/app/kibana#/discover/Steve-Slow-Train-Analysis-(2080s-and-2083s)?_g=(refreshInterval:(display:Off,pause:!f,section:0,value:0),time:(from:'2017-01-16T19:15:52-0700',mode:absolute,to:'2017-01-16T22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6" s="49" t="str">
        <f t="shared" si="28"/>
        <v>N</v>
      </c>
      <c r="X136" s="173">
        <f t="shared" si="29"/>
        <v>1</v>
      </c>
      <c r="Y136" s="64">
        <f t="shared" si="30"/>
        <v>23.3004</v>
      </c>
      <c r="Z136" s="64">
        <f t="shared" si="40"/>
        <v>1.4500000000000001E-2</v>
      </c>
      <c r="AA136" s="64">
        <f t="shared" si="31"/>
        <v>23.285899999999998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2"/>
        <v>0224-16</v>
      </c>
      <c r="AE136" s="87" t="str">
        <f t="shared" si="33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136" s="84" t="str">
        <f t="shared" si="34"/>
        <v>"C:\Program Files (x86)\AstroGrep\AstroGrep.exe" /spath="%USERPROFILE%\AppData\Local\Temp\OnboardLogs" /stypes="app*4030*20170117*" /stext=" 04:.+((SYSTEM_STATE.+slice.+state.+changed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224-16 --locoid 4030 --swversion DE.1.0.8.0 --startMP 204:233004 --initTime 2017-01-16T20:15:52 --startdatetime 2017-01-16T20:26:35 --delay 1 --endMP 204:145 --enddatetime 2017-01-16T21:05:14 --enforcementcount 0 &gt;&gt;C:\Users\stu\Documents\GitHub\eaglep3-reporting\EC\2017-01-16-refined-times.txt</v>
      </c>
      <c r="AI136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{"issue":{"subject":"","project_id":79,"tracker_id":40,"status_id":1,"priority_id":2,"assigned_to_id":23,"start_date":"2017-01-16","description":"","custom_fields":[{"id":1,"name":"Subdivision","value":"EC"},{"id":4,"name":"Milepost","value":"0.0145"},{"id":17,"name":"Train ID","value":"224-16"},{"id":16,"name":"Locomotive ID","value":"4030"},{"id":130,"name":"Impact","value":""},{"id":150,"name":"Time of Event (Mountain Time)","value":"21:05:14"},{"id":151,"name":"Denver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38"/>
        <v>start /low /b %USERPROFILE%\Documents\GitHub\eaglep3\Utilities\DownloadLogsFromS3.py --loco 4030 --day 2017-01-16</v>
      </c>
      <c r="AN136" s="18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"%USERPROFILE%\AppData\Local\Temp\OnboardLogs"\RTDC4030\*4030*20170117* | grep -SE "(Enforcement Action)|(\[TIMEOUT)|(CHR.+\|PRM\|1\|D.+(SWITCH|SIGNAL).+UNKNOWN)" - &gt;&gt; 2017-01-16-UncaughtWiMAX.txt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692</v>
      </c>
      <c r="B137" s="7">
        <v>4016</v>
      </c>
      <c r="C137" s="22" t="s">
        <v>201</v>
      </c>
      <c r="D137" s="22" t="s">
        <v>237</v>
      </c>
      <c r="E137" s="13">
        <v>42751.827002314814</v>
      </c>
      <c r="F137" s="13">
        <v>42751.833703703705</v>
      </c>
      <c r="G137" s="7">
        <v>2</v>
      </c>
      <c r="H137" s="22" t="s">
        <v>786</v>
      </c>
      <c r="I137" s="13">
        <v>42751.858287037037</v>
      </c>
      <c r="J137" s="7">
        <v>0</v>
      </c>
      <c r="K137" s="105" t="str">
        <f t="shared" si="22"/>
        <v>4015/4016</v>
      </c>
      <c r="L137" s="22" t="str">
        <f>VLOOKUP(A137,'Trips&amp;Operators'!$C$1:$G$99999,5,FALSE)</f>
        <v>STAMBAUGH JAMES</v>
      </c>
      <c r="M137" s="6">
        <f t="shared" si="23"/>
        <v>2.4583333331975155E-2</v>
      </c>
      <c r="N137" s="7">
        <f t="shared" si="24"/>
        <v>35.399999998044223</v>
      </c>
      <c r="O137" s="7"/>
      <c r="P137" s="7"/>
      <c r="Q137" s="23"/>
      <c r="R137" s="23"/>
      <c r="S137" s="32">
        <f t="shared" si="25"/>
        <v>1</v>
      </c>
      <c r="T137" s="47" t="str">
        <f t="shared" si="26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7"/>
        <v>https://d0f6bd738d7f1b3e5a7ca70fe4ff75f0.us-east-1.aws.found.io/app/kibana#/discover/Steve-Slow-Train-Analysis-(2080s-and-2083s)?_g=(refreshInterval:(display:Off,pause:!f,section:0,value:0),time:(from:'2017-01-16T18:50:53-0700',mode:absolute,to:'2017-01-16T21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7" s="49" t="str">
        <f t="shared" si="28"/>
        <v>N</v>
      </c>
      <c r="X137" s="173">
        <f t="shared" si="29"/>
        <v>1</v>
      </c>
      <c r="Y137" s="64">
        <f t="shared" si="30"/>
        <v>4.6399999999999997E-2</v>
      </c>
      <c r="Z137" s="64">
        <f t="shared" si="40"/>
        <v>23.3429</v>
      </c>
      <c r="AA137" s="64">
        <f t="shared" si="31"/>
        <v>23.296500000000002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32"/>
        <v>0225-16</v>
      </c>
      <c r="AE137" s="87" t="str">
        <f t="shared" si="33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137" s="84" t="str">
        <f t="shared" si="34"/>
        <v>"C:\Program Files (x86)\AstroGrep\AstroGrep.exe" /spath="%USERPROFILE%\AppData\Local\Temp\OnboardLogs" /stypes="app*4016*20170117*"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225-16 --locoid 4016 --swversion DE.1.0.8.0 --startMP 204:464 --initTime 2017-01-16T19:50:53 --startdatetime 2017-01-16T20:00:32 --delay 2 --endMP 204:233429 --enddatetime 2017-01-16T20:35:56 --enforcementcount 0 &gt;&gt;C:\Users\stu\Documents\GitHub\eaglep3-reporting\EC\2017-01-16-refined-times.txt</v>
      </c>
      <c r="AI137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{"issue":{"subject":"","project_id":79,"tracker_id":40,"status_id":1,"priority_id":2,"assigned_to_id":23,"start_date":"2017-01-16","description":"","custom_fields":[{"id":1,"name":"Subdivision","value":"EC"},{"id":4,"name":"Milepost","value":"23.3429"},{"id":17,"name":"Train ID","value":"225-16"},{"id":16,"name":"Locomotive ID","value":"4016"},{"id":130,"name":"Impact","value":""},{"id":150,"name":"Time of Event (Mountain Time)","value":"20:35:56"},{"id":151,"name":"Denver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38"/>
        <v>start /low /b %USERPROFILE%\Documents\GitHub\eaglep3\Utilities\DownloadLogsFromS3.py --loco 4016 --day 2017-01-16</v>
      </c>
      <c r="AN137" s="18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"%USERPROFILE%\AppData\Local\Temp\OnboardLogs"\RTDC4016\*4016*20170117* | grep -SE "(Enforcement Action)|(\[TIMEOUT)|(CHR.+\|PRM\|1\|D.+(SWITCH|SIGNAL).+UNKNOWN)" - &gt;&gt; 2017-01-16-UncaughtWiMAX.txt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697</v>
      </c>
      <c r="B138" s="7">
        <v>4015</v>
      </c>
      <c r="C138" s="22" t="s">
        <v>201</v>
      </c>
      <c r="D138" s="22" t="s">
        <v>787</v>
      </c>
      <c r="E138" s="13">
        <v>42751.861527777779</v>
      </c>
      <c r="F138" s="13">
        <v>42751.87295138889</v>
      </c>
      <c r="G138" s="7">
        <v>7</v>
      </c>
      <c r="H138" s="22" t="s">
        <v>238</v>
      </c>
      <c r="I138" s="13">
        <v>42751.898449074077</v>
      </c>
      <c r="J138" s="7">
        <v>0</v>
      </c>
      <c r="K138" s="105" t="str">
        <f t="shared" si="22"/>
        <v>4015/4016</v>
      </c>
      <c r="L138" s="22" t="str">
        <f>VLOOKUP(A138,'Trips&amp;Operators'!$C$1:$G$99999,5,FALSE)</f>
        <v>STAMBAUGH JAMES</v>
      </c>
      <c r="M138" s="6">
        <f t="shared" si="23"/>
        <v>2.5497685186564922E-2</v>
      </c>
      <c r="N138" s="7">
        <f t="shared" si="24"/>
        <v>36.716666668653488</v>
      </c>
      <c r="O138" s="7"/>
      <c r="P138" s="7"/>
      <c r="Q138" s="23"/>
      <c r="R138" s="23"/>
      <c r="S138" s="32">
        <f t="shared" si="25"/>
        <v>1</v>
      </c>
      <c r="T138" s="47" t="str">
        <f t="shared" si="26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7"/>
        <v>https://d0f6bd738d7f1b3e5a7ca70fe4ff75f0.us-east-1.aws.found.io/app/kibana#/discover/Steve-Slow-Train-Analysis-(2080s-and-2083s)?_g=(refreshInterval:(display:Off,pause:!f,section:0,value:0),time:(from:'2017-01-16T19:40:36-0700',mode:absolute,to:'2017-01-16T22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8" s="49" t="str">
        <f t="shared" si="28"/>
        <v>N</v>
      </c>
      <c r="X138" s="173">
        <f t="shared" si="29"/>
        <v>1</v>
      </c>
      <c r="Y138" s="64">
        <f t="shared" si="30"/>
        <v>23.310400000000001</v>
      </c>
      <c r="Z138" s="64">
        <f t="shared" si="40"/>
        <v>1.47E-2</v>
      </c>
      <c r="AA138" s="64">
        <f t="shared" si="31"/>
        <v>23.2957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2"/>
        <v>0226-16</v>
      </c>
      <c r="AE138" s="87" t="str">
        <f t="shared" si="33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138" s="84" t="str">
        <f t="shared" si="34"/>
        <v>"C:\Program Files (x86)\AstroGrep\AstroGrep.exe" /spath="%USERPROFILE%\AppData\Local\Temp\OnboardLogs" /stypes="app*4015*20170117*"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226-16 --locoid 4015 --swversion DE.1.0.8.0 --startMP 204:233104 --initTime 2017-01-16T20:40:36 --startdatetime 2017-01-16T20:57:03 --delay 7 --endMP 204:147 --enddatetime 2017-01-16T21:33:46 --enforcementcount 0 &gt;&gt;C:\Users\stu\Documents\GitHub\eaglep3-reporting\EC\2017-01-16-refined-times.txt</v>
      </c>
      <c r="AI138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{"issue":{"subject":"","project_id":79,"tracker_id":40,"status_id":1,"priority_id":2,"assigned_to_id":23,"start_date":"2017-01-16","description":"","custom_fields":[{"id":1,"name":"Subdivision","value":"EC"},{"id":4,"name":"Milepost","value":"0.0147"},{"id":17,"name":"Train ID","value":"226-16"},{"id":16,"name":"Locomotive ID","value":"4015"},{"id":130,"name":"Impact","value":""},{"id":150,"name":"Time of Event (Mountain Time)","value":"21:33:46"},{"id":151,"name":"Denver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38"/>
        <v>start /low /b %USERPROFILE%\Documents\GitHub\eaglep3\Utilities\DownloadLogsFromS3.py --loco 4015 --day 2017-01-16</v>
      </c>
      <c r="AN138" s="18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"%USERPROFILE%\AppData\Local\Temp\OnboardLogs"\RTDC4015\*4015*20170117* | grep -SE "(Enforcement Action)|(\[TIMEOUT)|(CHR.+\|PRM\|1\|D.+(SWITCH|SIGNAL).+UNKNOWN)" - &gt;&gt; 2017-01-16-UncaughtWiMAX.txt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695</v>
      </c>
      <c r="B139" s="7">
        <v>4046</v>
      </c>
      <c r="C139" s="22" t="s">
        <v>201</v>
      </c>
      <c r="D139" s="22" t="s">
        <v>393</v>
      </c>
      <c r="E139" s="13">
        <v>42751.844652777778</v>
      </c>
      <c r="F139" s="13">
        <v>42751.854421296295</v>
      </c>
      <c r="G139" s="7">
        <v>2</v>
      </c>
      <c r="H139" s="22" t="s">
        <v>788</v>
      </c>
      <c r="I139" s="13">
        <v>42751.879571759258</v>
      </c>
      <c r="J139" s="7">
        <v>0</v>
      </c>
      <c r="K139" s="105" t="str">
        <f t="shared" si="22"/>
        <v>4045/4046</v>
      </c>
      <c r="L139" s="22" t="str">
        <f>VLOOKUP(A139,'Trips&amp;Operators'!$C$1:$G$99999,5,FALSE)</f>
        <v>STORY SAMANTHA</v>
      </c>
      <c r="M139" s="6">
        <f t="shared" si="23"/>
        <v>2.5150462963210884E-2</v>
      </c>
      <c r="N139" s="7">
        <f t="shared" si="24"/>
        <v>36.216666667023674</v>
      </c>
      <c r="O139" s="7"/>
      <c r="P139" s="7"/>
      <c r="Q139" s="23"/>
      <c r="R139" s="23"/>
      <c r="S139" s="32">
        <f t="shared" si="25"/>
        <v>1</v>
      </c>
      <c r="T139" s="47" t="str">
        <f t="shared" si="26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7"/>
        <v>https://d0f6bd738d7f1b3e5a7ca70fe4ff75f0.us-east-1.aws.found.io/app/kibana#/discover/Steve-Slow-Train-Analysis-(2080s-and-2083s)?_g=(refreshInterval:(display:Off,pause:!f,section:0,value:0),time:(from:'2017-01-16T19:16:18-0700',mode:absolute,to:'2017-01-16T22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49" t="str">
        <f t="shared" si="28"/>
        <v>N</v>
      </c>
      <c r="X139" s="173">
        <f t="shared" si="29"/>
        <v>1</v>
      </c>
      <c r="Y139" s="64">
        <f t="shared" si="30"/>
        <v>4.2599999999999999E-2</v>
      </c>
      <c r="Z139" s="64">
        <f t="shared" si="40"/>
        <v>23.336300000000001</v>
      </c>
      <c r="AA139" s="64">
        <f t="shared" si="31"/>
        <v>23.293700000000001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2"/>
        <v>0227-16</v>
      </c>
      <c r="AE139" s="87" t="str">
        <f t="shared" si="33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139" s="84" t="str">
        <f t="shared" si="34"/>
        <v>"C:\Program Files (x86)\AstroGrep\AstroGrep.exe" /spath="%USERPROFILE%\AppData\Local\Temp\OnboardLogs" /stypes="app*4046*20170117*"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227-16 --locoid 4046 --swversion DE.1.0.8.0 --startMP 204:426 --initTime 2017-01-16T20:16:18 --startdatetime 2017-01-16T20:30:22 --delay 2 --endMP 204:233363 --enddatetime 2017-01-16T21:06:35 --enforcementcount 0 &gt;&gt;C:\Users\stu\Documents\GitHub\eaglep3-reporting\EC\2017-01-16-refined-times.txt</v>
      </c>
      <c r="AI139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{"issue":{"subject":"","project_id":79,"tracker_id":40,"status_id":1,"priority_id":2,"assigned_to_id":23,"start_date":"2017-01-16","description":"","custom_fields":[{"id":1,"name":"Subdivision","value":"EC"},{"id":4,"name":"Milepost","value":"23.3363"},{"id":17,"name":"Train ID","value":"227-16"},{"id":16,"name":"Locomotive ID","value":"4046"},{"id":130,"name":"Impact","value":""},{"id":150,"name":"Time of Event (Mountain Time)","value":"21:06:35"},{"id":151,"name":"Denver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38"/>
        <v>start /low /b %USERPROFILE%\Documents\GitHub\eaglep3\Utilities\DownloadLogsFromS3.py --loco 4046 --day 2017-01-16</v>
      </c>
      <c r="AN139" s="18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"%USERPROFILE%\AppData\Local\Temp\OnboardLogs"\RTDC4046\*4046*20170117* | grep -SE "(Enforcement Action)|(\[TIMEOUT)|(CHR.+\|PRM\|1\|D.+(SWITCH|SIGNAL).+UNKNOWN)" - &gt;&gt; 2017-01-16-UncaughtWiMAX.txt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701</v>
      </c>
      <c r="B140" s="7">
        <v>4045</v>
      </c>
      <c r="C140" s="22" t="s">
        <v>201</v>
      </c>
      <c r="D140" s="22" t="s">
        <v>789</v>
      </c>
      <c r="E140" s="13">
        <v>42751.885949074072</v>
      </c>
      <c r="F140" s="13">
        <v>42751.893518518518</v>
      </c>
      <c r="G140" s="7">
        <v>1</v>
      </c>
      <c r="H140" s="22" t="s">
        <v>259</v>
      </c>
      <c r="I140" s="13">
        <v>42751.92119212963</v>
      </c>
      <c r="J140" s="7">
        <v>0</v>
      </c>
      <c r="K140" s="105" t="str">
        <f t="shared" si="22"/>
        <v>4045/4046</v>
      </c>
      <c r="L140" s="22" t="str">
        <f>VLOOKUP(A140,'Trips&amp;Operators'!$C$1:$G$99999,5,FALSE)</f>
        <v>STORY SAMANTHA</v>
      </c>
      <c r="M140" s="6">
        <f t="shared" si="23"/>
        <v>2.7673611111822538E-2</v>
      </c>
      <c r="N140" s="7">
        <f t="shared" si="24"/>
        <v>39.850000001024455</v>
      </c>
      <c r="O140" s="7"/>
      <c r="P140" s="7"/>
      <c r="Q140" s="23"/>
      <c r="R140" s="23"/>
      <c r="S140" s="32">
        <f t="shared" si="25"/>
        <v>1</v>
      </c>
      <c r="T140" s="47" t="str">
        <f t="shared" si="26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7"/>
        <v>https://d0f6bd738d7f1b3e5a7ca70fe4ff75f0.us-east-1.aws.found.io/app/kibana#/discover/Steve-Slow-Train-Analysis-(2080s-and-2083s)?_g=(refreshInterval:(display:Off,pause:!f,section:0,value:0),time:(from:'2017-01-16T20:15:46-0700',mode:absolute,to:'2017-01-16T23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0" s="49" t="str">
        <f t="shared" si="28"/>
        <v>N</v>
      </c>
      <c r="X140" s="173">
        <f t="shared" si="29"/>
        <v>1</v>
      </c>
      <c r="Y140" s="64">
        <f t="shared" si="30"/>
        <v>23.302299999999999</v>
      </c>
      <c r="Z140" s="64">
        <f t="shared" si="40"/>
        <v>1.5599999999999999E-2</v>
      </c>
      <c r="AA140" s="64">
        <f t="shared" si="31"/>
        <v>23.2867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32"/>
        <v>0228-16</v>
      </c>
      <c r="AE140" s="87" t="str">
        <f t="shared" si="33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140" s="84" t="str">
        <f t="shared" si="34"/>
        <v>"C:\Program Files (x86)\AstroGrep\AstroGrep.exe" /spath="%USERPROFILE%\AppData\Local\Temp\OnboardLogs" /stypes="app*4045*20170117*" /stext=" 05:.+((SYSTEM_STATE.+slice.+state.+changed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228-16 --locoid 4045 --swversion DE.1.0.8.0 --startMP 204:233023 --initTime 2017-01-16T21:15:46 --startdatetime 2017-01-16T21:26:40 --delay 1 --endMP 204:156 --enddatetime 2017-01-16T22:06:31 --enforcementcount 0 &gt;&gt;C:\Users\stu\Documents\GitHub\eaglep3-reporting\EC\2017-01-16-refined-times.txt</v>
      </c>
      <c r="AI140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ID","value":"228-16"},{"id":16,"name":"Locomotive ID","value":"4045"},{"id":130,"name":"Impact","value":""},{"id":150,"name":"Time of Event (Mountain Time)","value":"22:06:31"},{"id":151,"name":"Denver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38"/>
        <v>start /low /b %USERPROFILE%\Documents\GitHub\eaglep3\Utilities\DownloadLogsFromS3.py --loco 4045 --day 2017-01-16</v>
      </c>
      <c r="AN140" s="18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"%USERPROFILE%\AppData\Local\Temp\OnboardLogs"\RTDC4045\*4045*20170117* | grep -SE "(Enforcement Action)|(\[TIMEOUT)|(CHR.+\|PRM\|1\|D.+(SWITCH|SIGNAL).+UNKNOWN)" - &gt;&gt; 2017-01-16-UncaughtWiMAX.txt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698</v>
      </c>
      <c r="B141" s="7">
        <v>4025</v>
      </c>
      <c r="C141" s="22" t="s">
        <v>201</v>
      </c>
      <c r="D141" s="22" t="s">
        <v>790</v>
      </c>
      <c r="E141" s="13">
        <v>42751.874374999999</v>
      </c>
      <c r="F141" s="13">
        <v>42751.875601851854</v>
      </c>
      <c r="G141" s="7">
        <v>1</v>
      </c>
      <c r="H141" s="22" t="s">
        <v>292</v>
      </c>
      <c r="I141" s="13">
        <v>42751.900868055556</v>
      </c>
      <c r="J141" s="7">
        <v>0</v>
      </c>
      <c r="K141" s="105" t="str">
        <f t="shared" ref="K141:K204" si="41">IF(ISEVEN(B141),(B141-1)&amp;"/"&amp;B141,B141&amp;"/"&amp;(B141+1))</f>
        <v>4025/4026</v>
      </c>
      <c r="L141" s="22" t="str">
        <f>VLOOKUP(A141,'Trips&amp;Operators'!$C$1:$G$99999,5,FALSE)</f>
        <v>CHANDLER KELVIN</v>
      </c>
      <c r="M141" s="6">
        <f t="shared" ref="M141:M204" si="42">I141-F141</f>
        <v>2.5266203701903578E-2</v>
      </c>
      <c r="N141" s="7">
        <f t="shared" ref="N141:N204" si="43">24*60*SUM($M141:$M141)</f>
        <v>36.383333330741152</v>
      </c>
      <c r="O141" s="7"/>
      <c r="P141" s="7"/>
      <c r="Q141" s="23"/>
      <c r="R141" s="23"/>
      <c r="S141" s="32">
        <f t="shared" ref="S141:S204" si="44">SUM(U141:U141)/IF(AG141="EC",12,1)</f>
        <v>1</v>
      </c>
      <c r="T141" s="47" t="str">
        <f t="shared" ref="T141:T204" si="45">IF(ISEVEN(LEFT(AD141,4)),"Southbound","NorthBound")</f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4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-16T19:59:06-0700',mode:absolute,to:'2017-01-16T22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49" t="str">
        <f t="shared" ref="W141:W204" si="47">IF(AA141&lt;IF(AG141="EC",23,5.65),"Y","N")</f>
        <v>N</v>
      </c>
      <c r="X141" s="173">
        <f t="shared" ref="X141:X204" si="48">VALUE(LEFT(AD141,4))-VALUE(LEFT(AD140,4))</f>
        <v>1</v>
      </c>
      <c r="Y141" s="64">
        <f t="shared" ref="Y141:Y204" si="49">RIGHT(D141,LEN(D141)-4)/10000</f>
        <v>4.3700000000000003E-2</v>
      </c>
      <c r="Z141" s="64">
        <f t="shared" si="40"/>
        <v>23.3306</v>
      </c>
      <c r="AA141" s="64">
        <f t="shared" ref="AA141:AA204" si="50">ABS(Z141-Y141)</f>
        <v>23.286899999999999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4" si="51">IF(LEN(A141)=6,"0"&amp;A141,A141)</f>
        <v>0229-16</v>
      </c>
      <c r="AE141" s="87" t="str">
        <f t="shared" ref="AE141:AE204" si="5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 &amp; aws s3 cp s3://rtdc.mdm.uploadarchive.raw/RTDC4025/ "%USERPROFILE%\AppData\Local\Temp\OnboardLogs"\RTDC4025\2017-01-17 --exclude "*" --recursive --include "*20170117*" &amp; "%USERPROFILE%\Documents\GitHub\mrs-test-scripts\Headless Mode &amp; Sideloading\WalkAndUnGZ.bat" "%USERPROFILE%\AppData\Local\Temp\OnboardLogs"\RTDC4025\2017-01-17</v>
      </c>
      <c r="AF141" s="84" t="str">
        <f t="shared" ref="AF141:AF204" si="5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/stypes="app*4025*20170117*" /stext=" 04:.+((SYSTEM_STATE.+slice.+state.+changed )|(ment ac)|(multiple cpu faults)|(system.+state.+changed )|(\[timeout)|(PRM\|1\|D)|(kpr)|(kdp)|(\|lc)|(penalty))" /e /r /s</v>
      </c>
      <c r="AG141" s="1" t="str">
        <f t="shared" ref="AG141:AG204" si="54">IFERROR(IF(VALUE(LEFT(AD141,2))&lt;=2,"EC",IF(OR(VALUE(LEFT(AD141,2))=8,VALUE(LEFT(AD141,2))=18),"NW","Other")),"Other")</f>
        <v>EC</v>
      </c>
      <c r="AH141" s="88" t="str">
        <f t="shared" si="36"/>
        <v>"%USERPROFILE%\Documents\GitHub\eaglep3\Utilities\RefineRTDCRunTimes.py" --tripid 229-16 --locoid 4025 --swversion DE.1.0.8.0 --startMP 204:437 --initTime 2017-01-16T20:59:06 --startdatetime 2017-01-16T21:00:52 --delay 1 --endMP 204:233306 --enddatetime 2017-01-16T21:37:15 --enforcementcount 0 &gt;&gt;C:\Users\stu\Documents\GitHub\eaglep3-reporting\EC\2017-01-16-refined-times.txt</v>
      </c>
      <c r="AI141" s="115" t="str">
        <f t="shared" si="37"/>
        <v>echo {"issue":{"subject":"","project_id":79,"tracker_id":40,"status_id":1,"priority_id":2,"assigned_to_id":23,"start_date":"2017-01-16","description":"","custom_fields":[{"id":1,"name":"Subdivision","value":"EC"},{"id":4,"name":"Milepost","value":"23.3306"},{"id":17,"name":"Train ID","value":"229-16"},{"id":16,"name":"Locomotive ID","value":"4025"},{"id":130,"name":"Impact","value":""},{"id":150,"name":"Time of Event (Mountain Time)","value":"21:37:15"},{"id":151,"name":"Denver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38"/>
        <v>start /low /b %USERPROFILE%\Documents\GitHub\eaglep3\Utilities\DownloadLogsFromS3.py --loco 4025 --day 2017-01-16</v>
      </c>
      <c r="AN141" s="18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"%USERPROFILE%\AppData\Local\Temp\OnboardLogs"\RTDC4025\*4025*20170117* | grep -SE "(Enforcement Action)|(\[TIMEOUT)|(CHR.+\|PRM\|1\|D.+(SWITCH|SIGNAL).+UNKNOWN)" - &gt;&gt; 2017-01-16-UncaughtWiMAX.txt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704</v>
      </c>
      <c r="B142" s="7">
        <v>4026</v>
      </c>
      <c r="C142" s="22" t="s">
        <v>201</v>
      </c>
      <c r="D142" s="22" t="s">
        <v>785</v>
      </c>
      <c r="E142" s="13">
        <v>42751.909872685188</v>
      </c>
      <c r="F142" s="13">
        <v>42751.914386574077</v>
      </c>
      <c r="G142" s="7">
        <v>1</v>
      </c>
      <c r="H142" s="22" t="s">
        <v>242</v>
      </c>
      <c r="I142" s="13">
        <v>42751.942152777781</v>
      </c>
      <c r="J142" s="7">
        <v>0</v>
      </c>
      <c r="K142" s="105" t="str">
        <f t="shared" si="41"/>
        <v>4025/4026</v>
      </c>
      <c r="L142" s="22" t="str">
        <f>VLOOKUP(A142,'Trips&amp;Operators'!$C$1:$G$99999,5,FALSE)</f>
        <v>CHANDLER KELVIN</v>
      </c>
      <c r="M142" s="6">
        <f t="shared" si="42"/>
        <v>2.7766203704231884E-2</v>
      </c>
      <c r="N142" s="7">
        <f t="shared" si="43"/>
        <v>39.983333334093913</v>
      </c>
      <c r="O142" s="7"/>
      <c r="P142" s="7"/>
      <c r="Q142" s="23"/>
      <c r="R142" s="23"/>
      <c r="S142" s="32">
        <f t="shared" si="44"/>
        <v>1</v>
      </c>
      <c r="T142" s="47" t="str">
        <f t="shared" si="45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6"/>
        <v>https://d0f6bd738d7f1b3e5a7ca70fe4ff75f0.us-east-1.aws.found.io/app/kibana#/discover/Steve-Slow-Train-Analysis-(2080s-and-2083s)?_g=(refreshInterval:(display:Off,pause:!f,section:0,value:0),time:(from:'2017-01-16T20:50:13-0700',mode:absolute,to:'2017-01-16T23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2" s="49" t="str">
        <f t="shared" si="47"/>
        <v>N</v>
      </c>
      <c r="X142" s="173">
        <f t="shared" si="48"/>
        <v>1</v>
      </c>
      <c r="Y142" s="64">
        <f t="shared" si="49"/>
        <v>23.3004</v>
      </c>
      <c r="Z142" s="64">
        <f t="shared" si="40"/>
        <v>1.6E-2</v>
      </c>
      <c r="AA142" s="64">
        <f t="shared" si="50"/>
        <v>23.284400000000002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51"/>
        <v>0230-16</v>
      </c>
      <c r="AE142" s="87" t="str">
        <f t="shared" si="52"/>
        <v>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 &amp; aws s3 cp s3://rtdc.mdm.uploadarchive.raw/RTDC4026/ "%USERPROFILE%\AppData\Local\Temp\OnboardLogs"\RTDC4026\2017-01-17 --exclude "*" --recursive --include "*20170117*" &amp; "%USERPROFILE%\Documents\GitHub\mrs-test-scripts\Headless Mode &amp; Sideloading\WalkAndUnGZ.bat" "%USERPROFILE%\AppData\Local\Temp\OnboardLogs"\RTDC4026\2017-01-17</v>
      </c>
      <c r="AF142" s="84" t="str">
        <f t="shared" si="53"/>
        <v>"C:\Program Files (x86)\AstroGrep\AstroGrep.exe" /spath="%USERPROFILE%\AppData\Local\Temp\OnboardLogs" /stypes="app*4026*20170117*" /stext=" 05:.+((SYSTEM_STATE.+slice.+state.+changed )|(ment ac)|(multiple cpu faults)|(system.+state.+changed )|(\[timeout)|(PRM\|1\|D)|(kpr)|(kdp)|(\|lc)|(penalty))" /e /r /s</v>
      </c>
      <c r="AG142" s="1" t="str">
        <f t="shared" si="54"/>
        <v>EC</v>
      </c>
      <c r="AH142" s="88" t="str">
        <f t="shared" ref="AH142:AH205" si="5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230-16 --locoid 4026 --swversion DE.1.0.8.0 --startMP 204:233004 --initTime 2017-01-16T21:50:13 --startdatetime 2017-01-16T21:56:43 --delay 1 --endMP 204:160 --enddatetime 2017-01-16T22:36:42 --enforcementcount 0 &gt;&gt;C:\Users\stu\Documents\GitHub\eaglep3-reporting\EC\2017-01-16-refined-times.txt</v>
      </c>
      <c r="AI142" s="115" t="str">
        <f t="shared" ref="AI142:AI205" si="5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{"issue":{"subject":"","project_id":79,"tracker_id":40,"status_id":1,"priority_id":2,"assigned_to_id":23,"start_date":"2017-01-16","description":"","custom_fields":[{"id":1,"name":"Subdivision","value":"EC"},{"id":4,"name":"Milepost","value":"0.016"},{"id":17,"name":"Train ID","value":"230-16"},{"id":16,"name":"Locomotive ID","value":"4026"},{"id":130,"name":"Impact","value":""},{"id":150,"name":"Time of Event (Mountain Time)","value":"22:36:42"},{"id":151,"name":"Denver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ref="AM142:AM205" si="57">"start /low /b "&amp;dls3logs&amp;" --loco "&amp;B142&amp;" --day "&amp;TEXT(F142,"YYYY-MM-DD")</f>
        <v>start /low /b %USERPROFILE%\Documents\GitHub\eaglep3\Utilities\DownloadLogsFromS3.py --loco 4026 --day 2017-01-16</v>
      </c>
      <c r="AN142" s="18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"%USERPROFILE%\AppData\Local\Temp\OnboardLogs"\RTDC4026\*4026*20170117* | grep -SE "(Enforcement Action)|(\[TIMEOUT)|(CHR.+\|PRM\|1\|D.+(SWITCH|SIGNAL).+UNKNOWN)" - &gt;&gt; 2017-01-16-UncaughtWiMAX.txt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700</v>
      </c>
      <c r="B143" s="7">
        <v>4029</v>
      </c>
      <c r="C143" s="22" t="s">
        <v>201</v>
      </c>
      <c r="D143" s="22" t="s">
        <v>733</v>
      </c>
      <c r="E143" s="13">
        <v>42751.885162037041</v>
      </c>
      <c r="F143" s="13">
        <v>42751.89640046296</v>
      </c>
      <c r="G143" s="7">
        <v>1</v>
      </c>
      <c r="H143" s="22" t="s">
        <v>348</v>
      </c>
      <c r="I143" s="13">
        <v>42751.921030092592</v>
      </c>
      <c r="J143" s="7">
        <v>0</v>
      </c>
      <c r="K143" s="105" t="str">
        <f t="shared" si="41"/>
        <v>4029/4030</v>
      </c>
      <c r="L143" s="22" t="str">
        <f>VLOOKUP(A143,'Trips&amp;Operators'!$C$1:$G$99999,5,FALSE)</f>
        <v>SMITH MICHAEL</v>
      </c>
      <c r="M143" s="6">
        <f t="shared" si="42"/>
        <v>2.4629629631817807E-2</v>
      </c>
      <c r="N143" s="7">
        <f t="shared" si="43"/>
        <v>35.466666669817641</v>
      </c>
      <c r="O143" s="7"/>
      <c r="P143" s="7"/>
      <c r="Q143" s="23"/>
      <c r="R143" s="23"/>
      <c r="S143" s="32">
        <f t="shared" si="44"/>
        <v>1</v>
      </c>
      <c r="T143" s="47" t="str">
        <f t="shared" si="45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6"/>
        <v>https://d0f6bd738d7f1b3e5a7ca70fe4ff75f0.us-east-1.aws.found.io/app/kibana#/discover/Steve-Slow-Train-Analysis-(2080s-and-2083s)?_g=(refreshInterval:(display:Off,pause:!f,section:0,value:0),time:(from:'2017-01-16T20:14:38-0700',mode:absolute,to:'2017-01-16T23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3" s="49" t="str">
        <f t="shared" si="47"/>
        <v>N</v>
      </c>
      <c r="X143" s="173">
        <f t="shared" si="48"/>
        <v>1</v>
      </c>
      <c r="Y143" s="64">
        <f t="shared" si="49"/>
        <v>4.5999999999999999E-2</v>
      </c>
      <c r="Z143" s="64">
        <f t="shared" si="40"/>
        <v>23.329499999999999</v>
      </c>
      <c r="AA143" s="64">
        <f t="shared" si="50"/>
        <v>23.2835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51"/>
        <v>0231-16</v>
      </c>
      <c r="AE143" s="87" t="str">
        <f t="shared" si="52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143" s="84" t="str">
        <f t="shared" si="53"/>
        <v>"C:\Program Files (x86)\AstroGrep\AstroGrep.exe" /spath="%USERPROFILE%\AppData\Local\Temp\OnboardLogs" /stypes="app*4029*20170117*" /stext=" 05:.+((SYSTEM_STATE.+slice.+state.+changed )|(ment ac)|(multiple cpu faults)|(system.+state.+changed )|(\[timeout)|(PRM\|1\|D)|(kpr)|(kdp)|(\|lc)|(penalty))" /e /r /s</v>
      </c>
      <c r="AG143" s="1" t="str">
        <f t="shared" si="54"/>
        <v>EC</v>
      </c>
      <c r="AH143" s="88" t="str">
        <f t="shared" si="55"/>
        <v>"%USERPROFILE%\Documents\GitHub\eaglep3\Utilities\RefineRTDCRunTimes.py" --tripid 231-16 --locoid 4029 --swversion DE.1.0.8.0 --startMP 204:460 --initTime 2017-01-16T21:14:38 --startdatetime 2017-01-16T21:30:49 --delay 1 --endMP 204:233295 --enddatetime 2017-01-16T22:06:17 --enforcementcount 0 &gt;&gt;C:\Users\stu\Documents\GitHub\eaglep3-reporting\EC\2017-01-16-refined-times.txt</v>
      </c>
      <c r="AI143" s="115" t="str">
        <f t="shared" si="56"/>
        <v>echo {"issue":{"subject":"","project_id":79,"tracker_id":40,"status_id":1,"priority_id":2,"assigned_to_id":23,"start_date":"2017-01-16","description":"","custom_fields":[{"id":1,"name":"Subdivision","value":"EC"},{"id":4,"name":"Milepost","value":"23.3295"},{"id":17,"name":"Train ID","value":"231-16"},{"id":16,"name":"Locomotive ID","value":"4029"},{"id":130,"name":"Impact","value":""},{"id":150,"name":"Time of Event (Mountain Time)","value":"22:06:17"},{"id":151,"name":"Denver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57"/>
        <v>start /low /b %USERPROFILE%\Documents\GitHub\eaglep3\Utilities\DownloadLogsFromS3.py --loco 4029 --day 2017-01-16</v>
      </c>
      <c r="AN143" s="18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"%USERPROFILE%\AppData\Local\Temp\OnboardLogs"\RTDC4029\*4029*20170117* | grep -SE "(Enforcement Action)|(\[TIMEOUT)|(CHR.+\|PRM\|1\|D.+(SWITCH|SIGNAL).+UNKNOWN)" - &gt;&gt; 2017-01-16-UncaughtWiMAX.txt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705</v>
      </c>
      <c r="B144" s="7">
        <v>4030</v>
      </c>
      <c r="C144" s="22" t="s">
        <v>201</v>
      </c>
      <c r="D144" s="22" t="s">
        <v>267</v>
      </c>
      <c r="E144" s="13">
        <v>42751.924247685187</v>
      </c>
      <c r="F144" s="13">
        <v>42751.934988425928</v>
      </c>
      <c r="G144" s="7">
        <v>1</v>
      </c>
      <c r="H144" s="22" t="s">
        <v>206</v>
      </c>
      <c r="I144" s="13">
        <v>42751.961689814816</v>
      </c>
      <c r="J144" s="7">
        <v>0</v>
      </c>
      <c r="K144" s="105" t="str">
        <f t="shared" si="41"/>
        <v>4029/4030</v>
      </c>
      <c r="L144" s="22" t="str">
        <f>VLOOKUP(A144,'Trips&amp;Operators'!$C$1:$G$99999,5,FALSE)</f>
        <v>SMITH MICHAEL</v>
      </c>
      <c r="M144" s="6">
        <f t="shared" si="42"/>
        <v>2.6701388887886424E-2</v>
      </c>
      <c r="N144" s="7">
        <f t="shared" si="43"/>
        <v>38.44999999855645</v>
      </c>
      <c r="O144" s="7"/>
      <c r="P144" s="7"/>
      <c r="Q144" s="23"/>
      <c r="R144" s="23"/>
      <c r="S144" s="32">
        <f t="shared" si="44"/>
        <v>1</v>
      </c>
      <c r="T144" s="47" t="str">
        <f t="shared" si="45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6"/>
        <v>https://d0f6bd738d7f1b3e5a7ca70fe4ff75f0.us-east-1.aws.found.io/app/kibana#/discover/Steve-Slow-Train-Analysis-(2080s-and-2083s)?_g=(refreshInterval:(display:Off,pause:!f,section:0,value:0),time:(from:'2017-01-16T21:10:55-0700',mode:absolute,to:'2017-01-17T00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4" s="49" t="str">
        <f t="shared" si="47"/>
        <v>N</v>
      </c>
      <c r="X144" s="173">
        <f t="shared" si="48"/>
        <v>1</v>
      </c>
      <c r="Y144" s="64">
        <f t="shared" si="49"/>
        <v>23.298300000000001</v>
      </c>
      <c r="Z144" s="64">
        <f t="shared" si="40"/>
        <v>1.4999999999999999E-2</v>
      </c>
      <c r="AA144" s="64">
        <f t="shared" si="50"/>
        <v>23.283300000000001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51"/>
        <v>0232-16</v>
      </c>
      <c r="AE144" s="87" t="str">
        <f t="shared" si="52"/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AF144" s="84" t="str">
        <f t="shared" si="53"/>
        <v>"C:\Program Files (x86)\AstroGrep\AstroGrep.exe" /spath="%USERPROFILE%\AppData\Local\Temp\OnboardLogs" /stypes="app*4030*20170117*" /stext=" 06:.+((SYSTEM_STATE.+slice.+state.+changed )|(ment ac)|(multiple cpu faults)|(system.+state.+changed )|(\[timeout)|(PRM\|1\|D)|(kpr)|(kdp)|(\|lc)|(penalty))" /e /r /s</v>
      </c>
      <c r="AG144" s="1" t="str">
        <f t="shared" si="54"/>
        <v>EC</v>
      </c>
      <c r="AH144" s="88" t="str">
        <f t="shared" si="55"/>
        <v>"%USERPROFILE%\Documents\GitHub\eaglep3\Utilities\RefineRTDCRunTimes.py" --tripid 232-16 --locoid 4030 --swversion DE.1.0.8.0 --startMP 204:232983 --initTime 2017-01-16T22:10:55 --startdatetime 2017-01-16T22:26:23 --delay 1 --endMP 204:150 --enddatetime 2017-01-16T23:04:50 --enforcementcount 0 &gt;&gt;C:\Users\stu\Documents\GitHub\eaglep3-reporting\EC\2017-01-16-refined-times.txt</v>
      </c>
      <c r="AI144" s="115" t="str">
        <f t="shared" si="56"/>
        <v>echo {"issue":{"subject":"","project_id":79,"tracker_id":40,"status_id":1,"priority_id":2,"assigned_to_id":23,"start_date":"2017-01-16","description":"","custom_fields":[{"id":1,"name":"Subdivision","value":"EC"},{"id":4,"name":"Milepost","value":"0.015"},{"id":17,"name":"Train ID","value":"232-16"},{"id":16,"name":"Locomotive ID","value":"4030"},{"id":130,"name":"Impact","value":""},{"id":150,"name":"Time of Event (Mountain Time)","value":"23:04:50"},{"id":151,"name":"Denver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57"/>
        <v>start /low /b %USERPROFILE%\Documents\GitHub\eaglep3\Utilities\DownloadLogsFromS3.py --loco 4030 --day 2017-01-16</v>
      </c>
      <c r="AN144" s="18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"%USERPROFILE%\AppData\Local\Temp\OnboardLogs"\RTDC4030\*4030*20170117* | grep -SE "(Enforcement Action)|(\[TIMEOUT)|(CHR.+\|PRM\|1\|D.+(SWITCH|SIGNAL).+UNKNOWN)" - &gt;&gt; 2017-01-16-UncaughtWiMAX.txt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702</v>
      </c>
      <c r="B145" s="7">
        <v>4016</v>
      </c>
      <c r="C145" s="22" t="s">
        <v>201</v>
      </c>
      <c r="D145" s="22" t="s">
        <v>405</v>
      </c>
      <c r="E145" s="13">
        <v>42751.900717592594</v>
      </c>
      <c r="F145" s="13">
        <v>42751.916956018518</v>
      </c>
      <c r="G145" s="7">
        <v>1</v>
      </c>
      <c r="H145" s="22" t="s">
        <v>768</v>
      </c>
      <c r="I145" s="13">
        <v>42751.941516203704</v>
      </c>
      <c r="J145" s="7">
        <v>0</v>
      </c>
      <c r="K145" s="105" t="str">
        <f t="shared" si="41"/>
        <v>4015/4016</v>
      </c>
      <c r="L145" s="22" t="str">
        <f>VLOOKUP(A145,'Trips&amp;Operators'!$C$1:$G$99999,5,FALSE)</f>
        <v>STAMBAUGH JAMES</v>
      </c>
      <c r="M145" s="6">
        <f t="shared" si="42"/>
        <v>2.4560185185691807E-2</v>
      </c>
      <c r="N145" s="7">
        <f t="shared" si="43"/>
        <v>35.366666667396203</v>
      </c>
      <c r="O145" s="7"/>
      <c r="P145" s="7"/>
      <c r="Q145" s="23"/>
      <c r="R145" s="23"/>
      <c r="S145" s="32">
        <f t="shared" si="44"/>
        <v>1</v>
      </c>
      <c r="T145" s="47" t="str">
        <f t="shared" si="45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6"/>
        <v>https://d0f6bd738d7f1b3e5a7ca70fe4ff75f0.us-east-1.aws.found.io/app/kibana#/discover/Steve-Slow-Train-Analysis-(2080s-and-2083s)?_g=(refreshInterval:(display:Off,pause:!f,section:0,value:0),time:(from:'2017-01-16T20:37:02-0700',mode:absolute,to:'2017-01-16T23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5" s="49" t="str">
        <f t="shared" si="47"/>
        <v>N</v>
      </c>
      <c r="X145" s="173">
        <f t="shared" si="48"/>
        <v>1</v>
      </c>
      <c r="Y145" s="64">
        <f t="shared" si="49"/>
        <v>4.24E-2</v>
      </c>
      <c r="Z145" s="64">
        <f t="shared" si="40"/>
        <v>23.331499999999998</v>
      </c>
      <c r="AA145" s="64">
        <f t="shared" si="50"/>
        <v>23.289099999999998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51"/>
        <v>0233-16</v>
      </c>
      <c r="AE145" s="87" t="str">
        <f t="shared" si="52"/>
        <v>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 &amp; 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</v>
      </c>
      <c r="AF145" s="84" t="str">
        <f t="shared" si="53"/>
        <v>"C:\Program Files (x86)\AstroGrep\AstroGrep.exe" /spath="%USERPROFILE%\AppData\Local\Temp\OnboardLogs" /stypes="app*4016*20170117*" /stext=" 05:.+((SYSTEM_STATE.+slice.+state.+changed )|(ment ac)|(multiple cpu faults)|(system.+state.+changed )|(\[timeout)|(PRM\|1\|D)|(kpr)|(kdp)|(\|lc)|(penalty))" /e /r /s</v>
      </c>
      <c r="AG145" s="1" t="str">
        <f t="shared" si="54"/>
        <v>EC</v>
      </c>
      <c r="AH145" s="88" t="str">
        <f t="shared" si="55"/>
        <v>"%USERPROFILE%\Documents\GitHub\eaglep3\Utilities\RefineRTDCRunTimes.py" --tripid 233-16 --locoid 4016 --swversion DE.1.0.8.0 --startMP 204:424 --initTime 2017-01-16T21:37:02 --startdatetime 2017-01-16T22:00:25 --delay 1 --endMP 204:233315 --enddatetime 2017-01-16T22:35:47 --enforcementcount 0 &gt;&gt;C:\Users\stu\Documents\GitHub\eaglep3-reporting\EC\2017-01-16-refined-times.txt</v>
      </c>
      <c r="AI145" s="115" t="str">
        <f t="shared" si="56"/>
        <v>echo {"issue":{"subject":"","project_id":79,"tracker_id":40,"status_id":1,"priority_id":2,"assigned_to_id":23,"start_date":"2017-01-16","description":"","custom_fields":[{"id":1,"name":"Subdivision","value":"EC"},{"id":4,"name":"Milepost","value":"23.3315"},{"id":17,"name":"Train ID","value":"233-16"},{"id":16,"name":"Locomotive ID","value":"4016"},{"id":130,"name":"Impact","value":""},{"id":150,"name":"Time of Event (Mountain Time)","value":"22:35:47"},{"id":151,"name":"Denver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57"/>
        <v>start /low /b %USERPROFILE%\Documents\GitHub\eaglep3\Utilities\DownloadLogsFromS3.py --loco 4016 --day 2017-01-16</v>
      </c>
      <c r="AN145" s="189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"%USERPROFILE%\AppData\Local\Temp\OnboardLogs"\RTDC4016\*4016*20170117* | grep -SE "(Enforcement Action)|(\[TIMEOUT)|(CHR.+\|PRM\|1\|D.+(SWITCH|SIGNAL).+UNKNOWN)" - &gt;&gt; 2017-01-16-UncaughtWiMAX.txt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708</v>
      </c>
      <c r="B146" s="7">
        <v>4015</v>
      </c>
      <c r="C146" s="22" t="s">
        <v>201</v>
      </c>
      <c r="D146" s="22" t="s">
        <v>777</v>
      </c>
      <c r="E146" s="13">
        <v>42751.95349537037</v>
      </c>
      <c r="F146" s="13">
        <v>42751.95590277778</v>
      </c>
      <c r="G146" s="7">
        <v>1</v>
      </c>
      <c r="H146" s="22" t="s">
        <v>224</v>
      </c>
      <c r="I146" s="13">
        <v>42751.982164351852</v>
      </c>
      <c r="J146" s="7">
        <v>0</v>
      </c>
      <c r="K146" s="105" t="str">
        <f t="shared" si="41"/>
        <v>4015/4016</v>
      </c>
      <c r="L146" s="22" t="str">
        <f>VLOOKUP(A146,'Trips&amp;Operators'!$C$1:$G$99999,5,FALSE)</f>
        <v>STAMBAUGH JAMES</v>
      </c>
      <c r="M146" s="6">
        <f t="shared" si="42"/>
        <v>2.626157407212304E-2</v>
      </c>
      <c r="N146" s="7">
        <f t="shared" si="43"/>
        <v>37.816666663857177</v>
      </c>
      <c r="O146" s="7"/>
      <c r="P146" s="7"/>
      <c r="Q146" s="23"/>
      <c r="R146" s="23"/>
      <c r="S146" s="32">
        <f t="shared" si="44"/>
        <v>1</v>
      </c>
      <c r="T146" s="47" t="str">
        <f t="shared" si="45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6"/>
        <v>https://d0f6bd738d7f1b3e5a7ca70fe4ff75f0.us-east-1.aws.found.io/app/kibana#/discover/Steve-Slow-Train-Analysis-(2080s-and-2083s)?_g=(refreshInterval:(display:Off,pause:!f,section:0,value:0),time:(from:'2017-01-16T21:53:02-0700',mode:absolute,to:'2017-01-17T00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6" s="49" t="str">
        <f t="shared" si="47"/>
        <v>N</v>
      </c>
      <c r="X146" s="173">
        <f t="shared" si="48"/>
        <v>1</v>
      </c>
      <c r="Y146" s="64">
        <f t="shared" si="49"/>
        <v>23.299800000000001</v>
      </c>
      <c r="Z146" s="64">
        <f t="shared" ref="Z146:Z177" si="58">RIGHT(H146,LEN(H146)-4)/10000</f>
        <v>1.4500000000000001E-2</v>
      </c>
      <c r="AA146" s="64">
        <f t="shared" si="50"/>
        <v>23.285299999999999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51"/>
        <v>0234-16</v>
      </c>
      <c r="AE146" s="87" t="str">
        <f t="shared" si="52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146" s="84" t="str">
        <f t="shared" si="53"/>
        <v>"C:\Program Files (x86)\AstroGrep\AstroGrep.exe" /spath="%USERPROFILE%\AppData\Local\Temp\OnboardLogs" /stypes="app*4015*20170117*" /stext=" 06:.+((SYSTEM_STATE.+slice.+state.+changed )|(ment ac)|(multiple cpu faults)|(system.+state.+changed )|(\[timeout)|(PRM\|1\|D)|(kpr)|(kdp)|(\|lc)|(penalty))" /e /r /s</v>
      </c>
      <c r="AG146" s="1" t="str">
        <f t="shared" si="54"/>
        <v>EC</v>
      </c>
      <c r="AH146" s="88" t="str">
        <f t="shared" si="55"/>
        <v>"%USERPROFILE%\Documents\GitHub\eaglep3\Utilities\RefineRTDCRunTimes.py" --tripid 234-16 --locoid 4015 --swversion DE.1.0.8.0 --startMP 204:232998 --initTime 2017-01-16T22:53:02 --startdatetime 2017-01-16T22:56:30 --delay 1 --endMP 204:145 --enddatetime 2017-01-16T23:34:19 --enforcementcount 0 &gt;&gt;C:\Users\stu\Documents\GitHub\eaglep3-reporting\EC\2017-01-16-refined-times.txt</v>
      </c>
      <c r="AI146" s="115" t="str">
        <f t="shared" si="56"/>
        <v>echo {"issue":{"subject":"","project_id":79,"tracker_id":40,"status_id":1,"priority_id":2,"assigned_to_id":23,"start_date":"2017-01-16","description":"","custom_fields":[{"id":1,"name":"Subdivision","value":"EC"},{"id":4,"name":"Milepost","value":"0.0145"},{"id":17,"name":"Train ID","value":"234-16"},{"id":16,"name":"Locomotive ID","value":"4015"},{"id":130,"name":"Impact","value":""},{"id":150,"name":"Time of Event (Mountain Time)","value":"23:34:19"},{"id":151,"name":"Denver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57"/>
        <v>start /low /b %USERPROFILE%\Documents\GitHub\eaglep3\Utilities\DownloadLogsFromS3.py --loco 4015 --day 2017-01-16</v>
      </c>
      <c r="AN146" s="189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"%USERPROFILE%\AppData\Local\Temp\OnboardLogs"\RTDC4015\*4015*20170117* | grep -SE "(Enforcement Action)|(\[TIMEOUT)|(CHR.+\|PRM\|1\|D.+(SWITCH|SIGNAL).+UNKNOWN)" - &gt;&gt; 2017-01-16-UncaughtWiMAX.txt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706</v>
      </c>
      <c r="B147" s="7">
        <v>4046</v>
      </c>
      <c r="C147" s="22" t="s">
        <v>201</v>
      </c>
      <c r="D147" s="22" t="s">
        <v>352</v>
      </c>
      <c r="E147" s="13">
        <v>42751.926400462966</v>
      </c>
      <c r="F147" s="13">
        <v>42751.937858796293</v>
      </c>
      <c r="G147" s="7">
        <v>1</v>
      </c>
      <c r="H147" s="22" t="s">
        <v>791</v>
      </c>
      <c r="I147" s="13">
        <v>42751.96366898148</v>
      </c>
      <c r="J147" s="7">
        <v>0</v>
      </c>
      <c r="K147" s="105" t="str">
        <f t="shared" si="41"/>
        <v>4045/4046</v>
      </c>
      <c r="L147" s="22" t="str">
        <f>VLOOKUP(A147,'Trips&amp;Operators'!$C$1:$G$99999,5,FALSE)</f>
        <v>STORY SAMANTHA</v>
      </c>
      <c r="M147" s="6">
        <f t="shared" si="42"/>
        <v>2.5810185186855961E-2</v>
      </c>
      <c r="N147" s="7">
        <f t="shared" si="43"/>
        <v>37.166666669072583</v>
      </c>
      <c r="O147" s="7"/>
      <c r="P147" s="7"/>
      <c r="Q147" s="23"/>
      <c r="R147" s="23"/>
      <c r="S147" s="32">
        <f t="shared" si="44"/>
        <v>1</v>
      </c>
      <c r="T147" s="47" t="str">
        <f t="shared" si="45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6"/>
        <v>https://d0f6bd738d7f1b3e5a7ca70fe4ff75f0.us-east-1.aws.found.io/app/kibana#/discover/Steve-Slow-Train-Analysis-(2080s-and-2083s)?_g=(refreshInterval:(display:Off,pause:!f,section:0,value:0),time:(from:'2017-01-16T21:14:01-0700',mode:absolute,to:'2017-01-17T00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7" s="49" t="str">
        <f t="shared" si="47"/>
        <v>N</v>
      </c>
      <c r="X147" s="173">
        <f t="shared" si="48"/>
        <v>1</v>
      </c>
      <c r="Y147" s="64">
        <f t="shared" si="49"/>
        <v>4.7300000000000002E-2</v>
      </c>
      <c r="Z147" s="64">
        <f t="shared" si="58"/>
        <v>23.337</v>
      </c>
      <c r="AA147" s="64">
        <f t="shared" si="50"/>
        <v>23.2897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51"/>
        <v>0235-16</v>
      </c>
      <c r="AE147" s="87" t="str">
        <f t="shared" si="52"/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AF147" s="84" t="str">
        <f t="shared" si="53"/>
        <v>"C:\Program Files (x86)\AstroGrep\AstroGrep.exe" /spath="%USERPROFILE%\AppData\Local\Temp\OnboardLogs" /stypes="app*4046*20170117*" /stext=" 06:.+((SYSTEM_STATE.+slice.+state.+changed )|(ment ac)|(multiple cpu faults)|(system.+state.+changed )|(\[timeout)|(PRM\|1\|D)|(kpr)|(kdp)|(\|lc)|(penalty))" /e /r /s</v>
      </c>
      <c r="AG147" s="1" t="str">
        <f t="shared" si="54"/>
        <v>EC</v>
      </c>
      <c r="AH147" s="88" t="str">
        <f t="shared" si="55"/>
        <v>"%USERPROFILE%\Documents\GitHub\eaglep3\Utilities\RefineRTDCRunTimes.py" --tripid 235-16 --locoid 4046 --swversion DE.1.0.8.0 --startMP 204:473 --initTime 2017-01-16T22:14:01 --startdatetime 2017-01-16T22:30:31 --delay 1 --endMP 204:233370 --enddatetime 2017-01-16T23:07:41 --enforcementcount 0 &gt;&gt;C:\Users\stu\Documents\GitHub\eaglep3-reporting\EC\2017-01-16-refined-times.txt</v>
      </c>
      <c r="AI147" s="115" t="str">
        <f t="shared" si="56"/>
        <v>echo {"issue":{"subject":"","project_id":79,"tracker_id":40,"status_id":1,"priority_id":2,"assigned_to_id":23,"start_date":"2017-01-16","description":"","custom_fields":[{"id":1,"name":"Subdivision","value":"EC"},{"id":4,"name":"Milepost","value":"23.337"},{"id":17,"name":"Train ID","value":"235-16"},{"id":16,"name":"Locomotive ID","value":"4046"},{"id":130,"name":"Impact","value":""},{"id":150,"name":"Time of Event (Mountain Time)","value":"23:07:41"},{"id":151,"name":"Denver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57"/>
        <v>start /low /b %USERPROFILE%\Documents\GitHub\eaglep3\Utilities\DownloadLogsFromS3.py --loco 4046 --day 2017-01-16</v>
      </c>
      <c r="AN147" s="189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"%USERPROFILE%\AppData\Local\Temp\OnboardLogs"\RTDC4046\*4046*20170117* | grep -SE "(Enforcement Action)|(\[TIMEOUT)|(CHR.+\|PRM\|1\|D.+(SWITCH|SIGNAL).+UNKNOWN)" - &gt;&gt; 2017-01-16-UncaughtWiMAX.txt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711</v>
      </c>
      <c r="B148" s="7">
        <v>4045</v>
      </c>
      <c r="C148" s="22" t="s">
        <v>201</v>
      </c>
      <c r="D148" s="22" t="s">
        <v>792</v>
      </c>
      <c r="E148" s="13">
        <v>42751.9684837963</v>
      </c>
      <c r="F148" s="13">
        <v>42751.976712962962</v>
      </c>
      <c r="G148" s="7">
        <v>1</v>
      </c>
      <c r="H148" s="22" t="s">
        <v>242</v>
      </c>
      <c r="I148" s="13">
        <v>42752.003368055557</v>
      </c>
      <c r="J148" s="7">
        <v>0</v>
      </c>
      <c r="K148" s="105" t="str">
        <f t="shared" si="41"/>
        <v>4045/4046</v>
      </c>
      <c r="L148" s="22" t="str">
        <f>VLOOKUP(A148,'Trips&amp;Operators'!$C$1:$G$99999,5,FALSE)</f>
        <v>STORY SAMANTHA</v>
      </c>
      <c r="M148" s="6">
        <f t="shared" si="42"/>
        <v>2.6655092595319729E-2</v>
      </c>
      <c r="N148" s="7">
        <f t="shared" si="43"/>
        <v>38.38333333726041</v>
      </c>
      <c r="O148" s="7"/>
      <c r="P148" s="7"/>
      <c r="Q148" s="23"/>
      <c r="R148" s="23"/>
      <c r="S148" s="32">
        <f t="shared" si="44"/>
        <v>1</v>
      </c>
      <c r="T148" s="47" t="str">
        <f t="shared" si="45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6"/>
        <v>https://d0f6bd738d7f1b3e5a7ca70fe4ff75f0.us-east-1.aws.found.io/app/kibana#/discover/Steve-Slow-Train-Analysis-(2080s-and-2083s)?_g=(refreshInterval:(display:Off,pause:!f,section:0,value:0),time:(from:'2017-01-16T22:14:37-0700',mode:absolute,to:'2017-01-17T01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8" s="49" t="str">
        <f t="shared" si="47"/>
        <v>N</v>
      </c>
      <c r="X148" s="173">
        <f t="shared" si="48"/>
        <v>1</v>
      </c>
      <c r="Y148" s="64">
        <f t="shared" si="49"/>
        <v>23.307400000000001</v>
      </c>
      <c r="Z148" s="64">
        <f t="shared" si="58"/>
        <v>1.6E-2</v>
      </c>
      <c r="AA148" s="64">
        <f t="shared" si="50"/>
        <v>23.291400000000003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51"/>
        <v>0236-16</v>
      </c>
      <c r="AE148" s="87" t="str">
        <f t="shared" si="52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148" s="84" t="str">
        <f t="shared" si="53"/>
        <v>"C:\Program Files (x86)\AstroGrep\AstroGrep.exe" /spath="%USERPROFILE%\AppData\Local\Temp\OnboardLogs" /stypes="app*4045*20170117*" /stext=" 07:.+((SYSTEM_STATE.+slice.+state.+changed )|(ment ac)|(multiple cpu faults)|(system.+state.+changed )|(\[timeout)|(PRM\|1\|D)|(kpr)|(kdp)|(\|lc)|(penalty))" /e /r /s</v>
      </c>
      <c r="AG148" s="1" t="str">
        <f t="shared" si="54"/>
        <v>EC</v>
      </c>
      <c r="AH148" s="88" t="str">
        <f t="shared" si="55"/>
        <v>"%USERPROFILE%\Documents\GitHub\eaglep3\Utilities\RefineRTDCRunTimes.py" --tripid 236-16 --locoid 4045 --swversion DE.1.0.8.0 --startMP 204:233074 --initTime 2017-01-16T23:14:37 --startdatetime 2017-01-16T23:26:28 --delay 1 --endMP 204:160 --enddatetime 2017-01-17T00:04:51 --enforcementcount 0 &gt;&gt;C:\Users\stu\Documents\GitHub\eaglep3-reporting\EC\2017-01-16-refined-times.txt</v>
      </c>
      <c r="AI148" s="115" t="str">
        <f t="shared" si="56"/>
        <v>echo {"issue":{"subject":"","project_id":79,"tracker_id":40,"status_id":1,"priority_id":2,"assigned_to_id":23,"start_date":"2017-01-17","description":"","custom_fields":[{"id":1,"name":"Subdivision","value":"EC"},{"id":4,"name":"Milepost","value":"0.016"},{"id":17,"name":"Train ID","value":"236-16"},{"id":16,"name":"Locomotive ID","value":"4045"},{"id":130,"name":"Impact","value":""},{"id":150,"name":"Time of Event (Mountain Time)","value":"00:04:51"},{"id":151,"name":"Denver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57"/>
        <v>start /low /b %USERPROFILE%\Documents\GitHub\eaglep3\Utilities\DownloadLogsFromS3.py --loco 4045 --day 2017-01-16</v>
      </c>
      <c r="AN148" s="189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"%USERPROFILE%\AppData\Local\Temp\OnboardLogs"\RTDC4045\*4045*20170117* | grep -SE "(Enforcement Action)|(\[TIMEOUT)|(CHR.+\|PRM\|1\|D.+(SWITCH|SIGNAL).+UNKNOWN)" - &gt;&gt; 2017-01-16-UncaughtWiMAX.txt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709</v>
      </c>
      <c r="B149" s="7">
        <v>4025</v>
      </c>
      <c r="C149" s="22" t="s">
        <v>201</v>
      </c>
      <c r="D149" s="22" t="s">
        <v>414</v>
      </c>
      <c r="E149" s="13">
        <v>42751.956828703704</v>
      </c>
      <c r="F149" s="13">
        <v>42751.958599537036</v>
      </c>
      <c r="G149" s="7">
        <v>1</v>
      </c>
      <c r="H149" s="22" t="s">
        <v>247</v>
      </c>
      <c r="I149" s="13">
        <v>42751.983356481483</v>
      </c>
      <c r="J149" s="7">
        <v>0</v>
      </c>
      <c r="K149" s="105" t="str">
        <f t="shared" si="41"/>
        <v>4025/4026</v>
      </c>
      <c r="L149" s="22" t="str">
        <f>VLOOKUP(A149,'Trips&amp;Operators'!$C$1:$G$99999,5,FALSE)</f>
        <v>CHANDLER KELVIN</v>
      </c>
      <c r="M149" s="6">
        <f t="shared" si="42"/>
        <v>2.4756944447290152E-2</v>
      </c>
      <c r="N149" s="7">
        <f t="shared" si="43"/>
        <v>35.650000004097819</v>
      </c>
      <c r="O149" s="7"/>
      <c r="P149" s="7"/>
      <c r="Q149" s="23"/>
      <c r="R149" s="23"/>
      <c r="S149" s="32">
        <f t="shared" si="44"/>
        <v>1</v>
      </c>
      <c r="T149" s="47" t="str">
        <f t="shared" si="45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6"/>
        <v>https://d0f6bd738d7f1b3e5a7ca70fe4ff75f0.us-east-1.aws.found.io/app/kibana#/discover/Steve-Slow-Train-Analysis-(2080s-and-2083s)?_g=(refreshInterval:(display:Off,pause:!f,section:0,value:0),time:(from:'2017-01-16T21:57:50-0700',mode:absolute,to:'2017-01-17T00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49" t="str">
        <f t="shared" si="47"/>
        <v>N</v>
      </c>
      <c r="X149" s="173">
        <f t="shared" si="48"/>
        <v>1</v>
      </c>
      <c r="Y149" s="64">
        <f t="shared" si="49"/>
        <v>4.5699999999999998E-2</v>
      </c>
      <c r="Z149" s="64">
        <f t="shared" si="58"/>
        <v>23.328900000000001</v>
      </c>
      <c r="AA149" s="64">
        <f t="shared" si="50"/>
        <v>23.283200000000001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51"/>
        <v>0237-16</v>
      </c>
      <c r="AE149" s="87" t="str">
        <f t="shared" si="52"/>
        <v>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 &amp; aws s3 cp s3://rtdc.mdm.uploadarchive.raw/RTDC4025/ "%USERPROFILE%\AppData\Local\Temp\OnboardLogs"\RTDC4025\2017-01-17 --exclude "*" --recursive --include "*20170117*" &amp; "%USERPROFILE%\Documents\GitHub\mrs-test-scripts\Headless Mode &amp; Sideloading\WalkAndUnGZ.bat" "%USERPROFILE%\AppData\Local\Temp\OnboardLogs"\RTDC4025\2017-01-17</v>
      </c>
      <c r="AF149" s="84" t="str">
        <f t="shared" si="53"/>
        <v>"C:\Program Files (x86)\AstroGrep\AstroGrep.exe" /spath="%USERPROFILE%\AppData\Local\Temp\OnboardLogs" /stypes="app*4025*20170117*" /stext=" 06:.+((SYSTEM_STATE.+slice.+state.+changed )|(ment ac)|(multiple cpu faults)|(system.+state.+changed )|(\[timeout)|(PRM\|1\|D)|(kpr)|(kdp)|(\|lc)|(penalty))" /e /r /s</v>
      </c>
      <c r="AG149" s="1" t="str">
        <f t="shared" si="54"/>
        <v>EC</v>
      </c>
      <c r="AH149" s="88" t="str">
        <f t="shared" si="55"/>
        <v>"%USERPROFILE%\Documents\GitHub\eaglep3\Utilities\RefineRTDCRunTimes.py" --tripid 237-16 --locoid 4025 --swversion DE.1.0.8.0 --startMP 204:457 --initTime 2017-01-16T22:57:50 --startdatetime 2017-01-16T23:00:23 --delay 1 --endMP 204:233289 --enddatetime 2017-01-16T23:36:02 --enforcementcount 0 &gt;&gt;C:\Users\stu\Documents\GitHub\eaglep3-reporting\EC\2017-01-16-refined-times.txt</v>
      </c>
      <c r="AI149" s="115" t="str">
        <f t="shared" si="56"/>
        <v>echo {"issue":{"subject":"","project_id":79,"tracker_id":40,"status_id":1,"priority_id":2,"assigned_to_id":23,"start_date":"2017-01-16","description":"","custom_fields":[{"id":1,"name":"Subdivision","value":"EC"},{"id":4,"name":"Milepost","value":"23.3289"},{"id":17,"name":"Train ID","value":"237-16"},{"id":16,"name":"Locomotive ID","value":"4025"},{"id":130,"name":"Impact","value":""},{"id":150,"name":"Time of Event (Mountain Time)","value":"23:36:02"},{"id":151,"name":"Denver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57"/>
        <v>start /low /b %USERPROFILE%\Documents\GitHub\eaglep3\Utilities\DownloadLogsFromS3.py --loco 4025 --day 2017-01-16</v>
      </c>
      <c r="AN149" s="189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"%USERPROFILE%\AppData\Local\Temp\OnboardLogs"\RTDC4025\*4025*20170117* | grep -SE "(Enforcement Action)|(\[TIMEOUT)|(CHR.+\|PRM\|1\|D.+(SWITCH|SIGNAL).+UNKNOWN)" - &gt;&gt; 2017-01-16-UncaughtWiMAX.txt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713</v>
      </c>
      <c r="B150" s="7">
        <v>4026</v>
      </c>
      <c r="C150" s="22" t="s">
        <v>201</v>
      </c>
      <c r="D150" s="22" t="s">
        <v>408</v>
      </c>
      <c r="E150" s="13">
        <v>42751.99527777778</v>
      </c>
      <c r="F150" s="13">
        <v>42751.997557870367</v>
      </c>
      <c r="G150" s="7">
        <v>0</v>
      </c>
      <c r="H150" s="22" t="s">
        <v>293</v>
      </c>
      <c r="I150" s="13">
        <v>42752.02648148148</v>
      </c>
      <c r="J150" s="7">
        <v>0</v>
      </c>
      <c r="K150" s="105" t="str">
        <f t="shared" si="41"/>
        <v>4025/4026</v>
      </c>
      <c r="L150" s="22" t="str">
        <f>VLOOKUP(A150,'Trips&amp;Operators'!$C$1:$G$99999,5,FALSE)</f>
        <v>CHANDLER KELVIN</v>
      </c>
      <c r="M150" s="6">
        <f t="shared" si="42"/>
        <v>2.8923611112986691E-2</v>
      </c>
      <c r="N150" s="7">
        <f t="shared" si="43"/>
        <v>41.650000002700835</v>
      </c>
      <c r="O150" s="7"/>
      <c r="P150" s="7"/>
      <c r="Q150" s="23"/>
      <c r="R150" s="23"/>
      <c r="S150" s="32">
        <f t="shared" si="44"/>
        <v>1</v>
      </c>
      <c r="T150" s="47" t="str">
        <f t="shared" si="45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6"/>
        <v>https://d0f6bd738d7f1b3e5a7ca70fe4ff75f0.us-east-1.aws.found.io/app/kibana#/discover/Steve-Slow-Train-Analysis-(2080s-and-2083s)?_g=(refreshInterval:(display:Off,pause:!f,section:0,value:0),time:(from:'2017-01-16T22:53:12-0700',mode:absolute,to:'2017-01-17T01:38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0" s="49" t="str">
        <f t="shared" si="47"/>
        <v>N</v>
      </c>
      <c r="X150" s="173">
        <f t="shared" si="48"/>
        <v>1</v>
      </c>
      <c r="Y150" s="64">
        <f t="shared" si="49"/>
        <v>23.297000000000001</v>
      </c>
      <c r="Z150" s="64">
        <f t="shared" si="58"/>
        <v>1.6299999999999999E-2</v>
      </c>
      <c r="AA150" s="64">
        <f t="shared" si="50"/>
        <v>23.2807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51"/>
        <v>0238-16</v>
      </c>
      <c r="AE150" s="87" t="str">
        <f t="shared" si="52"/>
        <v>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 &amp; aws s3 cp s3://rtdc.mdm.uploadarchive.raw/RTDC4026/ "%USERPROFILE%\AppData\Local\Temp\OnboardLogs"\RTDC4026\2017-01-17 --exclude "*" --recursive --include "*20170117*" &amp; "%USERPROFILE%\Documents\GitHub\mrs-test-scripts\Headless Mode &amp; Sideloading\WalkAndUnGZ.bat" "%USERPROFILE%\AppData\Local\Temp\OnboardLogs"\RTDC4026\2017-01-17</v>
      </c>
      <c r="AF150" s="84" t="str">
        <f t="shared" si="53"/>
        <v>"C:\Program Files (x86)\AstroGrep\AstroGrep.exe" /spath="%USERPROFILE%\AppData\Local\Temp\OnboardLogs" /stypes="app*4026*20170117*" /stext=" 07:.+((SYSTEM_STATE.+slice.+state.+changed )|(ment ac)|(multiple cpu faults)|(system.+state.+changed )|(\[timeout)|(PRM\|1\|D)|(kpr)|(kdp)|(\|lc)|(penalty))" /e /r /s</v>
      </c>
      <c r="AG150" s="1" t="str">
        <f t="shared" si="54"/>
        <v>EC</v>
      </c>
      <c r="AH150" s="88" t="str">
        <f t="shared" si="55"/>
        <v>"%USERPROFILE%\Documents\GitHub\eaglep3\Utilities\RefineRTDCRunTimes.py" --tripid 238-16 --locoid 4026 --swversion DE.1.0.8.0 --startMP 204:232970 --initTime 2017-01-16T23:53:12 --startdatetime 2017-01-16T23:56:29 --delay 0 --endMP 204:163 --enddatetime 2017-01-17T00:38:08 --enforcementcount 0 &gt;&gt;C:\Users\stu\Documents\GitHub\eaglep3-reporting\EC\2017-01-16-refined-times.txt</v>
      </c>
      <c r="AI150" s="115" t="str">
        <f t="shared" si="56"/>
        <v>echo {"issue":{"subject":"","project_id":79,"tracker_id":40,"status_id":1,"priority_id":2,"assigned_to_id":23,"start_date":"2017-01-17","description":"","custom_fields":[{"id":1,"name":"Subdivision","value":"EC"},{"id":4,"name":"Milepost","value":"0.0163"},{"id":17,"name":"Train ID","value":"238-16"},{"id":16,"name":"Locomotive ID","value":"4026"},{"id":130,"name":"Impact","value":""},{"id":150,"name":"Time of Event (Mountain Time)","value":"00:38:08"},{"id":151,"name":"Denver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57"/>
        <v>start /low /b %USERPROFILE%\Documents\GitHub\eaglep3\Utilities\DownloadLogsFromS3.py --loco 4026 --day 2017-01-16</v>
      </c>
      <c r="AN150" s="189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"%USERPROFILE%\AppData\Local\Temp\OnboardLogs"\RTDC4026\*4026*20170117* | grep -SE "(Enforcement Action)|(\[TIMEOUT)|(CHR.+\|PRM\|1\|D.+(SWITCH|SIGNAL).+UNKNOWN)" - &gt;&gt; 2017-01-16-UncaughtWiMAX.txt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710</v>
      </c>
      <c r="B151" s="7">
        <v>4029</v>
      </c>
      <c r="C151" s="22" t="s">
        <v>201</v>
      </c>
      <c r="D151" s="22" t="s">
        <v>356</v>
      </c>
      <c r="E151" s="13">
        <v>42751.966296296298</v>
      </c>
      <c r="F151" s="13">
        <v>42751.979351851849</v>
      </c>
      <c r="G151" s="7">
        <v>1</v>
      </c>
      <c r="H151" s="22" t="s">
        <v>309</v>
      </c>
      <c r="I151" s="13">
        <v>42752.004421296297</v>
      </c>
      <c r="J151" s="7">
        <v>0</v>
      </c>
      <c r="K151" s="105" t="str">
        <f t="shared" si="41"/>
        <v>4029/4030</v>
      </c>
      <c r="L151" s="22" t="str">
        <f>VLOOKUP(A151,'Trips&amp;Operators'!$C$1:$G$99999,5,FALSE)</f>
        <v>SMITH MICHAEL</v>
      </c>
      <c r="M151" s="6">
        <f t="shared" si="42"/>
        <v>2.5069444447581191E-2</v>
      </c>
      <c r="N151" s="7">
        <f t="shared" si="43"/>
        <v>36.100000004516914</v>
      </c>
      <c r="O151" s="7"/>
      <c r="P151" s="7"/>
      <c r="Q151" s="23"/>
      <c r="R151" s="23"/>
      <c r="S151" s="32">
        <f t="shared" si="44"/>
        <v>1</v>
      </c>
      <c r="T151" s="47" t="str">
        <f t="shared" si="45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6"/>
        <v>https://d0f6bd738d7f1b3e5a7ca70fe4ff75f0.us-east-1.aws.found.io/app/kibana#/discover/Steve-Slow-Train-Analysis-(2080s-and-2083s)?_g=(refreshInterval:(display:Off,pause:!f,section:0,value:0),time:(from:'2017-01-16T22:11:28-0700',mode:absolute,to:'2017-01-17T01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1" s="49" t="str">
        <f t="shared" si="47"/>
        <v>N</v>
      </c>
      <c r="X151" s="173">
        <f t="shared" si="48"/>
        <v>1</v>
      </c>
      <c r="Y151" s="64">
        <f t="shared" si="49"/>
        <v>4.7100000000000003E-2</v>
      </c>
      <c r="Z151" s="64">
        <f t="shared" si="58"/>
        <v>23.3291</v>
      </c>
      <c r="AA151" s="64">
        <f t="shared" si="50"/>
        <v>23.282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51"/>
        <v>0239-16</v>
      </c>
      <c r="AE151" s="87" t="str">
        <f t="shared" si="52"/>
        <v>aws s3 cp s3://rtdc.mdm.uploadarchive.raw/RTDC4029/ "%USERPROFILE%\AppData\Local\Temp\OnboardLogs"\RTDC4029\2017-01-16 --exclude "*" --recursive --include "*20170116*" &amp; "%USERPROFILE%\Documents\GitHub\mrs-test-scripts\Headless Mode &amp; Sideloading\WalkAndUnGZ.bat" "%USERPROFILE%\AppData\Local\Temp\OnboardLogs"\RTDC4029\2017-01-16 &amp; 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</v>
      </c>
      <c r="AF151" s="84" t="str">
        <f t="shared" si="53"/>
        <v>"C:\Program Files (x86)\AstroGrep\AstroGrep.exe" /spath="%USERPROFILE%\AppData\Local\Temp\OnboardLogs" /stypes="app*4029*20170117*" /stext=" 07:.+((SYSTEM_STATE.+slice.+state.+changed )|(ment ac)|(multiple cpu faults)|(system.+state.+changed )|(\[timeout)|(PRM\|1\|D)|(kpr)|(kdp)|(\|lc)|(penalty))" /e /r /s</v>
      </c>
      <c r="AG151" s="1" t="str">
        <f t="shared" si="54"/>
        <v>EC</v>
      </c>
      <c r="AH151" s="88" t="str">
        <f t="shared" si="55"/>
        <v>"%USERPROFILE%\Documents\GitHub\eaglep3\Utilities\RefineRTDCRunTimes.py" --tripid 239-16 --locoid 4029 --swversion DE.1.0.8.0 --startMP 204:471 --initTime 2017-01-16T23:11:28 --startdatetime 2017-01-16T23:30:16 --delay 1 --endMP 204:233291 --enddatetime 2017-01-17T00:06:22 --enforcementcount 0 &gt;&gt;C:\Users\stu\Documents\GitHub\eaglep3-reporting\EC\2017-01-16-refined-times.txt</v>
      </c>
      <c r="AI151" s="115" t="str">
        <f t="shared" si="56"/>
        <v>echo {"issue":{"subject":"","project_id":79,"tracker_id":40,"status_id":1,"priority_id":2,"assigned_to_id":23,"start_date":"2017-01-17","description":"","custom_fields":[{"id":1,"name":"Subdivision","value":"EC"},{"id":4,"name":"Milepost","value":"23.3291"},{"id":17,"name":"Train ID","value":"239-16"},{"id":16,"name":"Locomotive ID","value":"4029"},{"id":130,"name":"Impact","value":""},{"id":150,"name":"Time of Event (Mountain Time)","value":"00:06:22"},{"id":151,"name":"Denver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57"/>
        <v>start /low /b %USERPROFILE%\Documents\GitHub\eaglep3\Utilities\DownloadLogsFromS3.py --loco 4029 --day 2017-01-16</v>
      </c>
      <c r="AN151" s="189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"%USERPROFILE%\AppData\Local\Temp\OnboardLogs"\RTDC4029\*4029*20170117* | grep -SE "(Enforcement Action)|(\[TIMEOUT)|(CHR.+\|PRM\|1\|D.+(SWITCH|SIGNAL).+UNKNOWN)" - &gt;&gt; 2017-01-16-UncaughtWiMAX.txt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715</v>
      </c>
      <c r="B152" s="7">
        <v>4030</v>
      </c>
      <c r="C152" s="22" t="s">
        <v>201</v>
      </c>
      <c r="D152" s="22" t="s">
        <v>793</v>
      </c>
      <c r="E152" s="13">
        <v>42752.010011574072</v>
      </c>
      <c r="F152" s="13">
        <v>42752.018275462964</v>
      </c>
      <c r="G152" s="7">
        <v>1</v>
      </c>
      <c r="H152" s="22" t="s">
        <v>238</v>
      </c>
      <c r="I152" s="13">
        <v>42752.045868055553</v>
      </c>
      <c r="J152" s="7">
        <v>0</v>
      </c>
      <c r="K152" s="105" t="str">
        <f t="shared" si="41"/>
        <v>4029/4030</v>
      </c>
      <c r="L152" s="22" t="str">
        <f>VLOOKUP(A152,'Trips&amp;Operators'!$C$1:$G$99999,5,FALSE)</f>
        <v>SMITH MICHAEL</v>
      </c>
      <c r="M152" s="6">
        <f t="shared" si="42"/>
        <v>2.7592592588916887E-2</v>
      </c>
      <c r="N152" s="7">
        <f t="shared" si="43"/>
        <v>39.733333328040317</v>
      </c>
      <c r="O152" s="7"/>
      <c r="P152" s="7"/>
      <c r="Q152" s="23"/>
      <c r="R152" s="23"/>
      <c r="S152" s="32">
        <f t="shared" si="44"/>
        <v>1</v>
      </c>
      <c r="T152" s="47" t="str">
        <f t="shared" si="45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6"/>
        <v>https://d0f6bd738d7f1b3e5a7ca70fe4ff75f0.us-east-1.aws.found.io/app/kibana#/discover/Steve-Slow-Train-Analysis-(2080s-and-2083s)?_g=(refreshInterval:(display:Off,pause:!f,section:0,value:0),time:(from:'2017-01-16T23:14:25-0700',mode:absolute,to:'2017-01-17T02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49" t="str">
        <f t="shared" si="47"/>
        <v>N</v>
      </c>
      <c r="X152" s="173">
        <f t="shared" si="48"/>
        <v>1</v>
      </c>
      <c r="Y152" s="64">
        <f t="shared" si="49"/>
        <v>23.296800000000001</v>
      </c>
      <c r="Z152" s="64">
        <f t="shared" si="58"/>
        <v>1.47E-2</v>
      </c>
      <c r="AA152" s="64">
        <f t="shared" si="50"/>
        <v>23.2821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51"/>
        <v>0240-16</v>
      </c>
      <c r="AE152" s="87" t="str">
        <f t="shared" si="52"/>
        <v>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 &amp; aws s3 cp s3://rtdc.mdm.uploadarchive.raw/RTDC4030/ "%USERPROFILE%\AppData\Local\Temp\OnboardLogs"\RTDC4030\2017-01-18 --exclude "*" --recursive --include "*20170118*" &amp; "%USERPROFILE%\Documents\GitHub\mrs-test-scripts\Headless Mode &amp; Sideloading\WalkAndUnGZ.bat" "%USERPROFILE%\AppData\Local\Temp\OnboardLogs"\RTDC4030\2017-01-18</v>
      </c>
      <c r="AF152" s="84" t="str">
        <f t="shared" si="53"/>
        <v>"C:\Program Files (x86)\AstroGrep\AstroGrep.exe" /spath="%USERPROFILE%\AppData\Local\Temp\OnboardLogs" /stypes="app*4030*20170117*" /stext=" 08:.+((SYSTEM_STATE.+slice.+state.+changed )|(ment ac)|(multiple cpu faults)|(system.+state.+changed )|(\[timeout)|(PRM\|1\|D)|(kpr)|(kdp)|(\|lc)|(penalty))" /e /r /s</v>
      </c>
      <c r="AG152" s="1" t="str">
        <f t="shared" si="54"/>
        <v>EC</v>
      </c>
      <c r="AH152" s="88" t="str">
        <f t="shared" si="55"/>
        <v>"%USERPROFILE%\Documents\GitHub\eaglep3\Utilities\RefineRTDCRunTimes.py" --tripid 240-16 --locoid 4030 --swversion DE.1.0.8.0 --startMP 204:232968 --initTime 2017-01-17T00:14:25 --startdatetime 2017-01-17T00:26:19 --delay 1 --endMP 204:147 --enddatetime 2017-01-17T01:06:03 --enforcementcount 0 &gt;&gt;C:\Users\stu\Documents\GitHub\eaglep3-reporting\EC\2017-01-16-refined-times.txt</v>
      </c>
      <c r="AI152" s="115" t="str">
        <f t="shared" si="56"/>
        <v>echo {"issue":{"subject":"","project_id":79,"tracker_id":40,"status_id":1,"priority_id":2,"assigned_to_id":23,"start_date":"2017-01-17","description":"","custom_fields":[{"id":1,"name":"Subdivision","value":"EC"},{"id":4,"name":"Milepost","value":"0.0147"},{"id":17,"name":"Train ID","value":"240-16"},{"id":16,"name":"Locomotive ID","value":"4030"},{"id":130,"name":"Impact","value":""},{"id":150,"name":"Time of Event (Mountain Time)","value":"01:06:03"},{"id":151,"name":"Denver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57"/>
        <v>start /low /b %USERPROFILE%\Documents\GitHub\eaglep3\Utilities\DownloadLogsFromS3.py --loco 4030 --day 2017-01-17</v>
      </c>
      <c r="AN152" s="189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"%USERPROFILE%\AppData\Local\Temp\OnboardLogs"\RTDC4030\*4030*20170117* | grep -SE "(Enforcement Action)|(\[TIMEOUT)|(CHR.+\|PRM\|1\|D.+(SWITCH|SIGNAL).+UNKNOWN)" - &gt;&gt; 2017-01-16-UncaughtWiMAX.txt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712</v>
      </c>
      <c r="B153" s="7">
        <v>4016</v>
      </c>
      <c r="C153" s="22" t="s">
        <v>201</v>
      </c>
      <c r="D153" s="22" t="s">
        <v>286</v>
      </c>
      <c r="E153" s="13">
        <v>42751.984166666669</v>
      </c>
      <c r="F153" s="13">
        <v>42752.0003125</v>
      </c>
      <c r="G153" s="7">
        <v>1</v>
      </c>
      <c r="H153" s="22" t="s">
        <v>410</v>
      </c>
      <c r="I153" s="13">
        <v>42752.025023148148</v>
      </c>
      <c r="J153" s="7">
        <v>0</v>
      </c>
      <c r="K153" s="105" t="str">
        <f t="shared" si="41"/>
        <v>4015/4016</v>
      </c>
      <c r="L153" s="22" t="str">
        <f>VLOOKUP(A153,'Trips&amp;Operators'!$C$1:$G$99999,5,FALSE)</f>
        <v>STAMBAUGH JAMES</v>
      </c>
      <c r="M153" s="6">
        <f t="shared" si="42"/>
        <v>2.47106481474475E-2</v>
      </c>
      <c r="N153" s="7">
        <f t="shared" si="43"/>
        <v>35.583333332324401</v>
      </c>
      <c r="O153" s="7"/>
      <c r="P153" s="7"/>
      <c r="Q153" s="23"/>
      <c r="R153" s="23"/>
      <c r="S153" s="32">
        <f t="shared" si="44"/>
        <v>1</v>
      </c>
      <c r="T153" s="47" t="str">
        <f t="shared" si="45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6"/>
        <v>https://d0f6bd738d7f1b3e5a7ca70fe4ff75f0.us-east-1.aws.found.io/app/kibana#/discover/Steve-Slow-Train-Analysis-(2080s-and-2083s)?_g=(refreshInterval:(display:Off,pause:!f,section:0,value:0),time:(from:'2017-01-16T22:37:12-0700',mode:absolute,to:'2017-01-17T01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3" s="49" t="str">
        <f t="shared" si="47"/>
        <v>N</v>
      </c>
      <c r="X153" s="173">
        <f t="shared" si="48"/>
        <v>1</v>
      </c>
      <c r="Y153" s="64">
        <f t="shared" si="49"/>
        <v>4.3799999999999999E-2</v>
      </c>
      <c r="Z153" s="64">
        <f t="shared" si="58"/>
        <v>23.3308</v>
      </c>
      <c r="AA153" s="64">
        <f t="shared" si="50"/>
        <v>23.286999999999999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51"/>
        <v>0241-16</v>
      </c>
      <c r="AE153" s="87" t="str">
        <f t="shared" si="52"/>
        <v>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 &amp; aws s3 cp s3://rtdc.mdm.uploadarchive.raw/RTDC4016/ "%USERPROFILE%\AppData\Local\Temp\OnboardLogs"\RTDC4016\2017-01-18 --exclude "*" --recursive --include "*20170118*" &amp; "%USERPROFILE%\Documents\GitHub\mrs-test-scripts\Headless Mode &amp; Sideloading\WalkAndUnGZ.bat" "%USERPROFILE%\AppData\Local\Temp\OnboardLogs"\RTDC4016\2017-01-18</v>
      </c>
      <c r="AF153" s="84" t="str">
        <f t="shared" si="53"/>
        <v>"C:\Program Files (x86)\AstroGrep\AstroGrep.exe" /spath="%USERPROFILE%\AppData\Local\Temp\OnboardLogs" /stypes="app*4016*20170117*" /stext=" 07:.+((SYSTEM_STATE.+slice.+state.+changed )|(ment ac)|(multiple cpu faults)|(system.+state.+changed )|(\[timeout)|(PRM\|1\|D)|(kpr)|(kdp)|(\|lc)|(penalty))" /e /r /s</v>
      </c>
      <c r="AG153" s="1" t="str">
        <f t="shared" si="54"/>
        <v>EC</v>
      </c>
      <c r="AH153" s="88" t="str">
        <f t="shared" si="55"/>
        <v>"%USERPROFILE%\Documents\GitHub\eaglep3\Utilities\RefineRTDCRunTimes.py" --tripid 241-16 --locoid 4016 --swversion DE.1.0.8.0 --startMP 204:438 --initTime 2017-01-16T23:37:12 --startdatetime 2017-01-17T00:00:27 --delay 1 --endMP 204:233308 --enddatetime 2017-01-17T00:36:02 --enforcementcount 0 &gt;&gt;C:\Users\stu\Documents\GitHub\eaglep3-reporting\EC\2017-01-16-refined-times.txt</v>
      </c>
      <c r="AI153" s="115" t="str">
        <f t="shared" si="56"/>
        <v>echo {"issue":{"subject":"","project_id":79,"tracker_id":40,"status_id":1,"priority_id":2,"assigned_to_id":23,"start_date":"2017-01-17","description":"","custom_fields":[{"id":1,"name":"Subdivision","value":"EC"},{"id":4,"name":"Milepost","value":"23.3308"},{"id":17,"name":"Train ID","value":"241-16"},{"id":16,"name":"Locomotive ID","value":"4016"},{"id":130,"name":"Impact","value":""},{"id":150,"name":"Time of Event (Mountain Time)","value":"00:36:02"},{"id":151,"name":"Denver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57"/>
        <v>start /low /b %USERPROFILE%\Documents\GitHub\eaglep3\Utilities\DownloadLogsFromS3.py --loco 4016 --day 2017-01-17</v>
      </c>
      <c r="AN153" s="189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"%USERPROFILE%\AppData\Local\Temp\OnboardLogs"\RTDC4016\*4016*20170117* | grep -SE "(Enforcement Action)|(\[TIMEOUT)|(CHR.+\|PRM\|1\|D.+(SWITCH|SIGNAL).+UNKNOWN)" - &gt;&gt; 2017-01-16-UncaughtWiMAX.txt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717</v>
      </c>
      <c r="B154" s="7">
        <v>4015</v>
      </c>
      <c r="C154" s="22" t="s">
        <v>201</v>
      </c>
      <c r="D154" s="22" t="s">
        <v>308</v>
      </c>
      <c r="E154" s="13">
        <v>42752.037418981483</v>
      </c>
      <c r="F154" s="13">
        <v>42752.039131944446</v>
      </c>
      <c r="G154" s="7">
        <v>1</v>
      </c>
      <c r="H154" s="22" t="s">
        <v>191</v>
      </c>
      <c r="I154" s="13">
        <v>42752.065995370373</v>
      </c>
      <c r="J154" s="7">
        <v>0</v>
      </c>
      <c r="K154" s="105" t="str">
        <f t="shared" si="41"/>
        <v>4015/4016</v>
      </c>
      <c r="L154" s="22" t="str">
        <f>VLOOKUP(A154,'Trips&amp;Operators'!$C$1:$G$99999,5,FALSE)</f>
        <v>STAMBAUGH JAMES</v>
      </c>
      <c r="M154" s="6">
        <f t="shared" si="42"/>
        <v>2.6863425926421769E-2</v>
      </c>
      <c r="N154" s="7">
        <f t="shared" si="43"/>
        <v>38.683333334047347</v>
      </c>
      <c r="O154" s="7"/>
      <c r="P154" s="7"/>
      <c r="Q154" s="23"/>
      <c r="R154" s="23"/>
      <c r="S154" s="32">
        <f t="shared" si="44"/>
        <v>1</v>
      </c>
      <c r="T154" s="47" t="str">
        <f t="shared" si="45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6"/>
        <v>https://d0f6bd738d7f1b3e5a7ca70fe4ff75f0.us-east-1.aws.found.io/app/kibana#/discover/Steve-Slow-Train-Analysis-(2080s-and-2083s)?_g=(refreshInterval:(display:Off,pause:!f,section:0,value:0),time:(from:'2017-01-16T23:53:53-0700',mode:absolute,to:'2017-01-17T02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4" s="49" t="str">
        <f t="shared" si="47"/>
        <v>N</v>
      </c>
      <c r="X154" s="173">
        <f t="shared" si="48"/>
        <v>1</v>
      </c>
      <c r="Y154" s="64">
        <f t="shared" si="49"/>
        <v>23.298100000000002</v>
      </c>
      <c r="Z154" s="64">
        <f t="shared" si="58"/>
        <v>1.49E-2</v>
      </c>
      <c r="AA154" s="64">
        <f t="shared" si="50"/>
        <v>23.283200000000001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51"/>
        <v>0242-16</v>
      </c>
      <c r="AE154" s="87" t="str">
        <f t="shared" si="52"/>
        <v>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 &amp; 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</v>
      </c>
      <c r="AF154" s="84" t="str">
        <f t="shared" si="53"/>
        <v>"C:\Program Files (x86)\AstroGrep\AstroGrep.exe" /spath="%USERPROFILE%\AppData\Local\Temp\OnboardLogs" /stypes="app*4015*20170117*" /stext=" 08:.+((SYSTEM_STATE.+slice.+state.+changed )|(ment ac)|(multiple cpu faults)|(system.+state.+changed )|(\[timeout)|(PRM\|1\|D)|(kpr)|(kdp)|(\|lc)|(penalty))" /e /r /s</v>
      </c>
      <c r="AG154" s="1" t="str">
        <f t="shared" si="54"/>
        <v>EC</v>
      </c>
      <c r="AH154" s="88" t="str">
        <f t="shared" si="55"/>
        <v>"%USERPROFILE%\Documents\GitHub\eaglep3\Utilities\RefineRTDCRunTimes.py" --tripid 242-16 --locoid 4015 --swversion DE.1.0.8.0 --startMP 204:232981 --initTime 2017-01-17T00:53:53 --startdatetime 2017-01-17T00:56:21 --delay 1 --endMP 204:149 --enddatetime 2017-01-17T01:35:02 --enforcementcount 0 &gt;&gt;C:\Users\stu\Documents\GitHub\eaglep3-reporting\EC\2017-01-16-refined-times.txt</v>
      </c>
      <c r="AI154" s="115" t="str">
        <f t="shared" si="56"/>
        <v>echo {"issue":{"subject":"","project_id":79,"tracker_id":40,"status_id":1,"priority_id":2,"assigned_to_id":23,"start_date":"2017-01-17","description":"","custom_fields":[{"id":1,"name":"Subdivision","value":"EC"},{"id":4,"name":"Milepost","value":"0.0149"},{"id":17,"name":"Train ID","value":"242-16"},{"id":16,"name":"Locomotive ID","value":"4015"},{"id":130,"name":"Impact","value":""},{"id":150,"name":"Time of Event (Mountain Time)","value":"01:35:02"},{"id":151,"name":"Denver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57"/>
        <v>start /low /b %USERPROFILE%\Documents\GitHub\eaglep3\Utilities\DownloadLogsFromS3.py --loco 4015 --day 2017-01-17</v>
      </c>
      <c r="AN154" s="189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"%USERPROFILE%\AppData\Local\Temp\OnboardLogs"\RTDC4015\*4015*20170117* | grep -SE "(Enforcement Action)|(\[TIMEOUT)|(CHR.+\|PRM\|1\|D.+(SWITCH|SIGNAL).+UNKNOWN)" - &gt;&gt; 2017-01-16-UncaughtWiMAX.txt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714</v>
      </c>
      <c r="B155" s="7">
        <v>4046</v>
      </c>
      <c r="C155" s="22" t="s">
        <v>201</v>
      </c>
      <c r="D155" s="22" t="s">
        <v>251</v>
      </c>
      <c r="E155" s="13">
        <v>42752.008726851855</v>
      </c>
      <c r="F155" s="13">
        <v>42752.021296296298</v>
      </c>
      <c r="G155" s="7">
        <v>1</v>
      </c>
      <c r="H155" s="22" t="s">
        <v>794</v>
      </c>
      <c r="I155" s="13">
        <v>42752.047638888886</v>
      </c>
      <c r="J155" s="7">
        <v>0</v>
      </c>
      <c r="K155" s="105" t="str">
        <f t="shared" si="41"/>
        <v>4045/4046</v>
      </c>
      <c r="L155" s="22" t="str">
        <f>VLOOKUP(A155,'Trips&amp;Operators'!$C$1:$G$99999,5,FALSE)</f>
        <v>STORY SAMANTHA</v>
      </c>
      <c r="M155" s="6">
        <f t="shared" si="42"/>
        <v>2.6342592587752733E-2</v>
      </c>
      <c r="N155" s="7">
        <f t="shared" si="43"/>
        <v>37.933333326363936</v>
      </c>
      <c r="O155" s="7"/>
      <c r="P155" s="7"/>
      <c r="Q155" s="23"/>
      <c r="R155" s="23"/>
      <c r="S155" s="32">
        <f t="shared" si="44"/>
        <v>1</v>
      </c>
      <c r="T155" s="47" t="str">
        <f t="shared" si="45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6"/>
        <v>https://d0f6bd738d7f1b3e5a7ca70fe4ff75f0.us-east-1.aws.found.io/app/kibana#/discover/Steve-Slow-Train-Analysis-(2080s-and-2083s)?_g=(refreshInterval:(display:Off,pause:!f,section:0,value:0),time:(from:'2017-01-16T23:12:34-0700',mode:absolute,to:'2017-01-17T02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5" s="49" t="str">
        <f t="shared" si="47"/>
        <v>N</v>
      </c>
      <c r="X155" s="173">
        <f t="shared" si="48"/>
        <v>1</v>
      </c>
      <c r="Y155" s="64">
        <f t="shared" si="49"/>
        <v>4.4900000000000002E-2</v>
      </c>
      <c r="Z155" s="64">
        <f t="shared" si="58"/>
        <v>23.34</v>
      </c>
      <c r="AA155" s="64">
        <f t="shared" si="50"/>
        <v>23.295100000000001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51"/>
        <v>0243-16</v>
      </c>
      <c r="AE155" s="87" t="str">
        <f t="shared" si="52"/>
        <v>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 &amp; 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</v>
      </c>
      <c r="AF155" s="84" t="str">
        <f t="shared" si="53"/>
        <v>"C:\Program Files (x86)\AstroGrep\AstroGrep.exe" /spath="%USERPROFILE%\AppData\Local\Temp\OnboardLogs" /stypes="app*4046*20170117*" /stext=" 08:.+((SYSTEM_STATE.+slice.+state.+changed )|(ment ac)|(multiple cpu faults)|(system.+state.+changed )|(\[timeout)|(PRM\|1\|D)|(kpr)|(kdp)|(\|lc)|(penalty))" /e /r /s</v>
      </c>
      <c r="AG155" s="1" t="str">
        <f t="shared" si="54"/>
        <v>EC</v>
      </c>
      <c r="AH155" s="88" t="str">
        <f t="shared" si="55"/>
        <v>"%USERPROFILE%\Documents\GitHub\eaglep3\Utilities\RefineRTDCRunTimes.py" --tripid 243-16 --locoid 4046 --swversion DE.1.0.8.0 --startMP 204:449 --initTime 2017-01-17T00:12:34 --startdatetime 2017-01-17T00:30:40 --delay 1 --endMP 204:233400 --enddatetime 2017-01-17T01:08:36 --enforcementcount 0 &gt;&gt;C:\Users\stu\Documents\GitHub\eaglep3-reporting\EC\2017-01-16-refined-times.txt</v>
      </c>
      <c r="AI155" s="115" t="str">
        <f t="shared" si="56"/>
        <v>echo {"issue":{"subject":"","project_id":79,"tracker_id":40,"status_id":1,"priority_id":2,"assigned_to_id":23,"start_date":"2017-01-17","description":"","custom_fields":[{"id":1,"name":"Subdivision","value":"EC"},{"id":4,"name":"Milepost","value":"23.34"},{"id":17,"name":"Train ID","value":"243-16"},{"id":16,"name":"Locomotive ID","value":"4046"},{"id":130,"name":"Impact","value":""},{"id":150,"name":"Time of Event (Mountain Time)","value":"01:08:36"},{"id":151,"name":"Denver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57"/>
        <v>start /low /b %USERPROFILE%\Documents\GitHub\eaglep3\Utilities\DownloadLogsFromS3.py --loco 4046 --day 2017-01-17</v>
      </c>
      <c r="AN155" s="189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"%USERPROFILE%\AppData\Local\Temp\OnboardLogs"\RTDC4046\*4046*20170117* | grep -SE "(Enforcement Action)|(\[TIMEOUT)|(CHR.+\|PRM\|1\|D.+(SWITCH|SIGNAL).+UNKNOWN)" - &gt;&gt; 2017-01-16-UncaughtWiMAX.txt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719</v>
      </c>
      <c r="B156" s="7">
        <v>4045</v>
      </c>
      <c r="C156" s="22" t="s">
        <v>201</v>
      </c>
      <c r="D156" s="22" t="s">
        <v>795</v>
      </c>
      <c r="E156" s="13">
        <v>42752.051423611112</v>
      </c>
      <c r="F156" s="13">
        <v>42752.060034722221</v>
      </c>
      <c r="G156" s="7">
        <v>1</v>
      </c>
      <c r="H156" s="22" t="s">
        <v>796</v>
      </c>
      <c r="I156" s="13">
        <v>42752.088287037041</v>
      </c>
      <c r="J156" s="7">
        <v>0</v>
      </c>
      <c r="K156" s="105" t="str">
        <f t="shared" si="41"/>
        <v>4045/4046</v>
      </c>
      <c r="L156" s="22" t="str">
        <f>VLOOKUP(A156,'Trips&amp;Operators'!$C$1:$G$99999,5,FALSE)</f>
        <v>STORY SAMANTHA</v>
      </c>
      <c r="M156" s="6">
        <f t="shared" si="42"/>
        <v>2.825231481983792E-2</v>
      </c>
      <c r="N156" s="7">
        <f t="shared" si="43"/>
        <v>40.683333340566605</v>
      </c>
      <c r="O156" s="7"/>
      <c r="P156" s="7"/>
      <c r="Q156" s="23"/>
      <c r="R156" s="23"/>
      <c r="S156" s="32">
        <f t="shared" si="44"/>
        <v>1</v>
      </c>
      <c r="T156" s="47" t="str">
        <f t="shared" si="45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6"/>
        <v>https://d0f6bd738d7f1b3e5a7ca70fe4ff75f0.us-east-1.aws.found.io/app/kibana#/discover/Steve-Slow-Train-Analysis-(2080s-and-2083s)?_g=(refreshInterval:(display:Off,pause:!f,section:0,value:0),time:(from:'2017-01-17T00:14:03-0700',mode:absolute,to:'2017-01-17T03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6" s="49" t="str">
        <f t="shared" si="47"/>
        <v>N</v>
      </c>
      <c r="X156" s="173">
        <f t="shared" si="48"/>
        <v>1</v>
      </c>
      <c r="Y156" s="64">
        <f t="shared" si="49"/>
        <v>23.310600000000001</v>
      </c>
      <c r="Z156" s="64">
        <f t="shared" si="58"/>
        <v>1.9599999999999999E-2</v>
      </c>
      <c r="AA156" s="64">
        <f t="shared" si="50"/>
        <v>23.291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51"/>
        <v>0244-16</v>
      </c>
      <c r="AE156" s="87" t="str">
        <f t="shared" si="52"/>
        <v>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 &amp; 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</v>
      </c>
      <c r="AF156" s="84" t="str">
        <f t="shared" si="53"/>
        <v>"C:\Program Files (x86)\AstroGrep\AstroGrep.exe" /spath="%USERPROFILE%\AppData\Local\Temp\OnboardLogs" /stypes="app*4045*20170117*" /stext=" 09:.+((SYSTEM_STATE.+slice.+state.+changed )|(ment ac)|(multiple cpu faults)|(system.+state.+changed )|(\[timeout)|(PRM\|1\|D)|(kpr)|(kdp)|(\|lc)|(penalty))" /e /r /s</v>
      </c>
      <c r="AG156" s="1" t="str">
        <f t="shared" si="54"/>
        <v>EC</v>
      </c>
      <c r="AH156" s="88" t="str">
        <f t="shared" si="55"/>
        <v>"%USERPROFILE%\Documents\GitHub\eaglep3\Utilities\RefineRTDCRunTimes.py" --tripid 244-16 --locoid 4045 --swversion DE.1.0.8.0 --startMP 204:233106 --initTime 2017-01-17T01:14:03 --startdatetime 2017-01-17T01:26:27 --delay 1 --endMP 204:196 --enddatetime 2017-01-17T02:07:08 --enforcementcount 0 &gt;&gt;C:\Users\stu\Documents\GitHub\eaglep3-reporting\EC\2017-01-16-refined-times.txt</v>
      </c>
      <c r="AI156" s="115" t="str">
        <f t="shared" si="56"/>
        <v>echo {"issue":{"subject":"","project_id":79,"tracker_id":40,"status_id":1,"priority_id":2,"assigned_to_id":23,"start_date":"2017-01-17","description":"","custom_fields":[{"id":1,"name":"Subdivision","value":"EC"},{"id":4,"name":"Milepost","value":"0.0196"},{"id":17,"name":"Train ID","value":"244-16"},{"id":16,"name":"Locomotive ID","value":"4045"},{"id":130,"name":"Impact","value":""},{"id":150,"name":"Time of Event (Mountain Time)","value":"02:07:08"},{"id":151,"name":"Denver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57"/>
        <v>start /low /b %USERPROFILE%\Documents\GitHub\eaglep3\Utilities\DownloadLogsFromS3.py --loco 4045 --day 2017-01-17</v>
      </c>
      <c r="AN156" s="189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"%USERPROFILE%\AppData\Local\Temp\OnboardLogs"\RTDC4045\*4045*20170117* | grep -SE "(Enforcement Action)|(\[TIMEOUT)|(CHR.+\|PRM\|1\|D.+(SWITCH|SIGNAL).+UNKNOWN)" - &gt;&gt; 2017-01-16-UncaughtWiMAX.txt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526</v>
      </c>
      <c r="B157" s="7">
        <v>4028</v>
      </c>
      <c r="C157" s="22" t="s">
        <v>201</v>
      </c>
      <c r="D157" s="22" t="s">
        <v>400</v>
      </c>
      <c r="E157" s="13">
        <v>42751.215578703705</v>
      </c>
      <c r="F157" s="13">
        <v>42751.21702546296</v>
      </c>
      <c r="G157" s="7">
        <v>1</v>
      </c>
      <c r="H157" s="22" t="s">
        <v>322</v>
      </c>
      <c r="I157" s="13">
        <v>42751.227418981478</v>
      </c>
      <c r="J157" s="7">
        <v>0</v>
      </c>
      <c r="K157" s="105" t="str">
        <f t="shared" si="41"/>
        <v>4027/4028</v>
      </c>
      <c r="L157" s="22" t="str">
        <f>VLOOKUP(A157,'Trips&amp;Operators'!$C$1:$G$99999,5,FALSE)</f>
        <v>HAITHCOX MICHAEL</v>
      </c>
      <c r="M157" s="6">
        <f t="shared" si="42"/>
        <v>1.0393518517958E-2</v>
      </c>
      <c r="N157" s="7">
        <f t="shared" si="43"/>
        <v>14.96666666585952</v>
      </c>
      <c r="O157" s="7"/>
      <c r="P157" s="7"/>
      <c r="Q157" s="23"/>
      <c r="R157" s="23"/>
      <c r="S157" s="32">
        <f t="shared" si="44"/>
        <v>1</v>
      </c>
      <c r="T157" s="47" t="str">
        <f t="shared" si="45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46"/>
        <v>https://d0f6bd738d7f1b3e5a7ca70fe4ff75f0.us-east-1.aws.found.io/app/kibana#/discover/Steve-Slow-Train-Analysis-(2080s-and-2083s)?_g=(refreshInterval:(display:Off,pause:!f,section:0,value:0),time:(from:'2017-01-16T04:10:26-0700',mode:absolute,to:'2017-01-16T06:27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7" s="49" t="str">
        <f t="shared" si="47"/>
        <v>N</v>
      </c>
      <c r="X157" s="173">
        <f t="shared" si="48"/>
        <v>556</v>
      </c>
      <c r="Y157" s="64">
        <f t="shared" si="49"/>
        <v>5.8630000000000004</v>
      </c>
      <c r="Z157" s="64">
        <f t="shared" si="58"/>
        <v>6.9400000000000003E-2</v>
      </c>
      <c r="AA157" s="64">
        <f t="shared" si="50"/>
        <v>5.7936000000000005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51"/>
        <v>0800-16</v>
      </c>
      <c r="AE157" s="87" t="str">
        <f t="shared" si="52"/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AF157" s="84" t="str">
        <f t="shared" si="53"/>
        <v>"C:\Program Files (x86)\AstroGrep\AstroGrep.exe" /spath="%USERPROFILE%\AppData\Local\Temp\OnboardLogs" /stypes="app*4028*20170116*" /stext=" 12:.+((SYSTEM_STATE.+slice.+state.+changed )|(ment ac)|(multiple cpu faults)|(system.+state.+changed )|(\[timeout)|(PRM\|1\|D)|(kpr)|(kdp)|(\|lc)|(penalty))" /e /r /s</v>
      </c>
      <c r="AG157" s="1" t="str">
        <f t="shared" si="54"/>
        <v>NW</v>
      </c>
      <c r="AH157" s="88" t="str">
        <f t="shared" si="55"/>
        <v>"%USERPROFILE%\Documents\GitHub\eaglep3\Utilities\RefineRTDCRunTimes.py" --tripid 800-16 --locoid 4028 --swversion DE.1.0.8.0 --startMP 300:58630 --initTime 2017-01-16T05:10:26 --startdatetime 2017-01-16T05:12:31 --delay 1 --endMP 204:694 --enddatetime 2017-01-16T05:27:29 --enforcementcount 0 &gt;&gt;C:\Users\stu\Documents\GitHub\eaglep3-reporting\EC\2017-01-16-refined-times.txt</v>
      </c>
      <c r="AI157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{"issue":{"subject":"","project_id":79,"tracker_id":40,"status_id":1,"priority_id":2,"assigned_to_id":23,"start_date":"2017-01-16","description":"","custom_fields":[{"id":1,"name":"Subdivision","value":"NW"},{"id":4,"name":"Milepost","value":"0.0694"},{"id":17,"name":"Train ID","value":"800-16"},{"id":16,"name":"Locomotive ID","value":"4028"},{"id":130,"name":"Impact","value":""},{"id":150,"name":"Time of Event (Mountain Time)","value":"05:27:29"},{"id":151,"name":"Denver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57"/>
        <v>start /low /b %USERPROFILE%\Documents\GitHub\eaglep3\Utilities\DownloadLogsFromS3.py --loco 4028 --day 2017-01-16</v>
      </c>
      <c r="AN157" s="189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"%USERPROFILE%\AppData\Local\Temp\OnboardLogs"\RTDC4028\*4028*20170116* | grep -SE "(Enforcement Action)|(\[TIMEOUT)|(CHR.+\|PRM\|1\|D.+(SWITCH|SIGNAL).+UNKNOWN)" - &gt;&gt; 2017-01-16-UncaughtWiMAX.txt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533</v>
      </c>
      <c r="B158" s="7">
        <v>4027</v>
      </c>
      <c r="C158" s="22" t="s">
        <v>201</v>
      </c>
      <c r="D158" s="22" t="s">
        <v>830</v>
      </c>
      <c r="E158" s="13">
        <v>42751.239039351851</v>
      </c>
      <c r="F158" s="13">
        <v>42751.243993055556</v>
      </c>
      <c r="G158" s="7">
        <v>1</v>
      </c>
      <c r="H158" s="22" t="s">
        <v>310</v>
      </c>
      <c r="I158" s="13">
        <v>42751.254687499997</v>
      </c>
      <c r="J158" s="7">
        <v>0</v>
      </c>
      <c r="K158" s="105" t="str">
        <f t="shared" si="41"/>
        <v>4027/4028</v>
      </c>
      <c r="L158" s="22" t="str">
        <f>VLOOKUP(A158,'Trips&amp;Operators'!$C$1:$G$99999,5,FALSE)</f>
        <v>HAITHCOX MICHAEL</v>
      </c>
      <c r="M158" s="6">
        <f t="shared" si="42"/>
        <v>1.0694444441469386E-2</v>
      </c>
      <c r="N158" s="7">
        <f t="shared" si="43"/>
        <v>15.399999995715916</v>
      </c>
      <c r="O158" s="7"/>
      <c r="P158" s="7"/>
      <c r="Q158" s="23"/>
      <c r="R158" s="23"/>
      <c r="S158" s="32">
        <f t="shared" si="44"/>
        <v>1</v>
      </c>
      <c r="T158" s="47" t="str">
        <f t="shared" si="45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46"/>
        <v>https://d0f6bd738d7f1b3e5a7ca70fe4ff75f0.us-east-1.aws.found.io/app/kibana#/discover/Steve-Slow-Train-Analysis-(2080s-and-2083s)?_g=(refreshInterval:(display:Off,pause:!f,section:0,value:0),time:(from:'2017-01-16T04:44:13-0700',mode:absolute,to:'2017-01-16T07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49" t="str">
        <f t="shared" si="47"/>
        <v>N</v>
      </c>
      <c r="X158" s="173">
        <f t="shared" si="48"/>
        <v>1</v>
      </c>
      <c r="Y158" s="64">
        <f t="shared" si="49"/>
        <v>9.7199999999999995E-2</v>
      </c>
      <c r="Z158" s="64">
        <f t="shared" si="58"/>
        <v>5.8933</v>
      </c>
      <c r="AA158" s="64">
        <f t="shared" si="50"/>
        <v>5.7961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51"/>
        <v>0801-16</v>
      </c>
      <c r="AE158" s="87" t="str">
        <f t="shared" si="52"/>
        <v>aws s3 cp s3://rtdc.mdm.uploadarchive.raw/RTDC4027/ "%USERPROFILE%\AppData\Local\Temp\OnboardLogs"\RTDC4027\2017-01-16 --exclude "*" --recursive --include "*20170116*" &amp; "%USERPROFILE%\Documents\GitHub\mrs-test-scripts\Headless Mode &amp; Sideloading\WalkAndUnGZ.bat" "%USERPROFILE%\AppData\Local\Temp\OnboardLogs"\RTDC4027\2017-01-16 &amp; 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</v>
      </c>
      <c r="AF158" s="84" t="str">
        <f t="shared" si="53"/>
        <v>"C:\Program Files (x86)\AstroGrep\AstroGrep.exe" /spath="%USERPROFILE%\AppData\Local\Temp\OnboardLogs" /stypes="app*4027*20170116*" /stext=" 13:.+((SYSTEM_STATE.+slice.+state.+changed )|(ment ac)|(multiple cpu faults)|(system.+state.+changed )|(\[timeout)|(PRM\|1\|D)|(kpr)|(kdp)|(\|lc)|(penalty))" /e /r /s</v>
      </c>
      <c r="AG158" s="1" t="str">
        <f t="shared" si="54"/>
        <v>NW</v>
      </c>
      <c r="AH158" s="88" t="str">
        <f t="shared" si="55"/>
        <v>"%USERPROFILE%\Documents\GitHub\eaglep3\Utilities\RefineRTDCRunTimes.py" --tripid 801-16 --locoid 4027 --swversion DE.1.0.8.0 --startMP 204:972 --initTime 2017-01-16T05:44:13 --startdatetime 2017-01-16T05:51:21 --delay 1 --endMP 300:58933 --enddatetime 2017-01-16T06:06:45 --enforcementcount 0 &gt;&gt;C:\Users\stu\Documents\GitHub\eaglep3-reporting\EC\2017-01-16-refined-times.txt</v>
      </c>
      <c r="AI158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{"issue":{"subject":"","project_id":79,"tracker_id":40,"status_id":1,"priority_id":2,"assigned_to_id":23,"start_date":"2017-01-16","description":"","custom_fields":[{"id":1,"name":"Subdivision","value":"NW"},{"id":4,"name":"Milepost","value":"5.8933"},{"id":17,"name":"Train ID","value":"801-16"},{"id":16,"name":"Locomotive ID","value":"4027"},{"id":130,"name":"Impact","value":""},{"id":150,"name":"Time of Event (Mountain Time)","value":"06:06:45"},{"id":151,"name":"Denver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57"/>
        <v>start /low /b %USERPROFILE%\Documents\GitHub\eaglep3\Utilities\DownloadLogsFromS3.py --loco 4027 --day 2017-01-16</v>
      </c>
      <c r="AN158" s="18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"%USERPROFILE%\AppData\Local\Temp\OnboardLogs"\RTDC4027\*4027*20170116* | grep -SE "(Enforcement Action)|(\[TIMEOUT)|(CHR.+\|PRM\|1\|D.+(SWITCH|SIGNAL).+UNKNOWN)" - &gt;&gt; 2017-01-16-UncaughtWiMAX.txt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536</v>
      </c>
      <c r="B159" s="7">
        <v>4028</v>
      </c>
      <c r="C159" s="22" t="s">
        <v>201</v>
      </c>
      <c r="D159" s="22" t="s">
        <v>831</v>
      </c>
      <c r="E159" s="13">
        <v>42751.255636574075</v>
      </c>
      <c r="F159" s="13">
        <v>42751.257291666669</v>
      </c>
      <c r="G159" s="7">
        <v>0</v>
      </c>
      <c r="H159" s="22" t="s">
        <v>832</v>
      </c>
      <c r="I159" s="13">
        <v>42751.268634259257</v>
      </c>
      <c r="J159" s="7">
        <v>0</v>
      </c>
      <c r="K159" s="105" t="str">
        <f t="shared" si="41"/>
        <v>4027/4028</v>
      </c>
      <c r="L159" s="22" t="str">
        <f>VLOOKUP(A159,'Trips&amp;Operators'!$C$1:$G$99999,5,FALSE)</f>
        <v>HAITHCOX MICHAEL</v>
      </c>
      <c r="M159" s="6">
        <f t="shared" si="42"/>
        <v>1.134259258833481E-2</v>
      </c>
      <c r="N159" s="7">
        <f t="shared" si="43"/>
        <v>16.333333327202126</v>
      </c>
      <c r="O159" s="7"/>
      <c r="P159" s="7"/>
      <c r="Q159" s="23"/>
      <c r="R159" s="23"/>
      <c r="S159" s="32">
        <f t="shared" si="44"/>
        <v>1</v>
      </c>
      <c r="T159" s="47" t="str">
        <f t="shared" si="45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6"/>
        <v>https://d0f6bd738d7f1b3e5a7ca70fe4ff75f0.us-east-1.aws.found.io/app/kibana#/discover/Steve-Slow-Train-Analysis-(2080s-and-2083s)?_g=(refreshInterval:(display:Off,pause:!f,section:0,value:0),time:(from:'2017-01-16T05:08:07-0700',mode:absolute,to:'2017-01-16T07:26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49" t="str">
        <f t="shared" si="47"/>
        <v>N</v>
      </c>
      <c r="X159" s="173">
        <f t="shared" si="48"/>
        <v>1</v>
      </c>
      <c r="Y159" s="64">
        <f t="shared" si="49"/>
        <v>5.8611000000000004</v>
      </c>
      <c r="Z159" s="64">
        <f t="shared" si="58"/>
        <v>6.8500000000000005E-2</v>
      </c>
      <c r="AA159" s="64">
        <f t="shared" si="50"/>
        <v>5.7926000000000002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51"/>
        <v>0802-16</v>
      </c>
      <c r="AE159" s="87" t="str">
        <f t="shared" si="52"/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AF159" s="84" t="str">
        <f t="shared" si="53"/>
        <v>"C:\Program Files (x86)\AstroGrep\AstroGrep.exe" /spath="%USERPROFILE%\AppData\Local\Temp\OnboardLogs" /stypes="app*4028*20170116*" /stext=" 13:.+((SYSTEM_STATE.+slice.+state.+changed )|(ment ac)|(multiple cpu faults)|(system.+state.+changed )|(\[timeout)|(PRM\|1\|D)|(kpr)|(kdp)|(\|lc)|(penalty))" /e /r /s</v>
      </c>
      <c r="AG159" s="1" t="str">
        <f t="shared" si="54"/>
        <v>NW</v>
      </c>
      <c r="AH159" s="88" t="str">
        <f t="shared" si="55"/>
        <v>"%USERPROFILE%\Documents\GitHub\eaglep3\Utilities\RefineRTDCRunTimes.py" --tripid 802-16 --locoid 4028 --swversion DE.1.0.8.0 --startMP 300:58611 --initTime 2017-01-16T06:08:07 --startdatetime 2017-01-16T06:10:30 --delay 0 --endMP 204:685 --enddatetime 2017-01-16T06:26:50 --enforcementcount 0 &gt;&gt;C:\Users\stu\Documents\GitHub\eaglep3-reporting\EC\2017-01-16-refined-times.txt</v>
      </c>
      <c r="AI159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{"issue":{"subject":"","project_id":79,"tracker_id":40,"status_id":1,"priority_id":2,"assigned_to_id":23,"start_date":"2017-01-16","description":"","custom_fields":[{"id":1,"name":"Subdivision","value":"NW"},{"id":4,"name":"Milepost","value":"0.0685"},{"id":17,"name":"Train ID","value":"802-16"},{"id":16,"name":"Locomotive ID","value":"4028"},{"id":130,"name":"Impact","value":""},{"id":150,"name":"Time of Event (Mountain Time)","value":"06:26:50"},{"id":151,"name":"Denver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57"/>
        <v>start /low /b %USERPROFILE%\Documents\GitHub\eaglep3\Utilities\DownloadLogsFromS3.py --loco 4028 --day 2017-01-16</v>
      </c>
      <c r="AN159" s="18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"%USERPROFILE%\AppData\Local\Temp\OnboardLogs"\RTDC4028\*4028*20170116* | grep -SE "(Enforcement Action)|(\[TIMEOUT)|(CHR.+\|PRM\|1\|D.+(SWITCH|SIGNAL).+UNKNOWN)" - &gt;&gt; 2017-01-16-UncaughtWiMAX.txt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539</v>
      </c>
      <c r="B160" s="7">
        <v>4042</v>
      </c>
      <c r="C160" s="22" t="s">
        <v>201</v>
      </c>
      <c r="D160" s="22" t="s">
        <v>833</v>
      </c>
      <c r="E160" s="13">
        <v>42751.262812499997</v>
      </c>
      <c r="F160" s="13">
        <v>42751.265393518515</v>
      </c>
      <c r="G160" s="7">
        <v>2</v>
      </c>
      <c r="H160" s="22" t="s">
        <v>834</v>
      </c>
      <c r="I160" s="13">
        <v>42751.275960648149</v>
      </c>
      <c r="J160" s="7">
        <v>0</v>
      </c>
      <c r="K160" s="105" t="str">
        <f t="shared" si="41"/>
        <v>4041/4042</v>
      </c>
      <c r="L160" s="22" t="str">
        <f>VLOOKUP(A160,'Trips&amp;Operators'!$C$1:$G$99999,5,FALSE)</f>
        <v>MAHAN DUANE</v>
      </c>
      <c r="M160" s="6">
        <f t="shared" si="42"/>
        <v>1.0567129633272998E-2</v>
      </c>
      <c r="N160" s="7">
        <f t="shared" si="43"/>
        <v>15.216666671913117</v>
      </c>
      <c r="O160" s="7"/>
      <c r="P160" s="7"/>
      <c r="Q160" s="23"/>
      <c r="R160" s="23"/>
      <c r="S160" s="32">
        <f t="shared" si="44"/>
        <v>1</v>
      </c>
      <c r="T160" s="47" t="str">
        <f t="shared" si="45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6"/>
        <v>https://d0f6bd738d7f1b3e5a7ca70fe4ff75f0.us-east-1.aws.found.io/app/kibana#/discover/Steve-Slow-Train-Analysis-(2080s-and-2083s)?_g=(refreshInterval:(display:Off,pause:!f,section:0,value:0),time:(from:'2017-01-16T05:18:27-0700',mode:absolute,to:'2017-01-16T07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49" t="str">
        <f t="shared" si="47"/>
        <v>N</v>
      </c>
      <c r="X160" s="173">
        <f t="shared" si="48"/>
        <v>1</v>
      </c>
      <c r="Y160" s="64">
        <f t="shared" si="49"/>
        <v>0.1028</v>
      </c>
      <c r="Z160" s="64">
        <f t="shared" si="58"/>
        <v>5.8967000000000001</v>
      </c>
      <c r="AA160" s="64">
        <f t="shared" si="50"/>
        <v>5.7938999999999998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51"/>
        <v>0803-16</v>
      </c>
      <c r="AE160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60" s="84" t="str">
        <f t="shared" si="53"/>
        <v>"C:\Program Files (x86)\AstroGrep\AstroGrep.exe" /spath="%USERPROFILE%\AppData\Local\Temp\OnboardLogs" /stypes="app*4042*20170116*" /stext=" 13:.+((SYSTEM_STATE.+slice.+state.+changed )|(ment ac)|(multiple cpu faults)|(system.+state.+changed )|(\[timeout)|(PRM\|1\|D)|(kpr)|(kdp)|(\|lc)|(penalty))" /e /r /s</v>
      </c>
      <c r="AG160" s="1" t="str">
        <f t="shared" si="54"/>
        <v>NW</v>
      </c>
      <c r="AH160" s="88" t="str">
        <f t="shared" si="55"/>
        <v>"%USERPROFILE%\Documents\GitHub\eaglep3\Utilities\RefineRTDCRunTimes.py" --tripid 803-16 --locoid 4042 --swversion DE.1.0.8.0 --startMP 204:1028 --initTime 2017-01-16T06:18:27 --startdatetime 2017-01-16T06:22:10 --delay 2 --endMP 300:58967 --enddatetime 2017-01-16T06:37:23 --enforcementcount 0 &gt;&gt;C:\Users\stu\Documents\GitHub\eaglep3-reporting\EC\2017-01-16-refined-times.txt</v>
      </c>
      <c r="AI160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{"issue":{"subject":"","project_id":79,"tracker_id":40,"status_id":1,"priority_id":2,"assigned_to_id":23,"start_date":"2017-01-16","description":"","custom_fields":[{"id":1,"name":"Subdivision","value":"NW"},{"id":4,"name":"Milepost","value":"5.8967"},{"id":17,"name":"Train ID","value":"803-16"},{"id":16,"name":"Locomotive ID","value":"4042"},{"id":130,"name":"Impact","value":""},{"id":150,"name":"Time of Event (Mountain Time)","value":"06:37:23"},{"id":151,"name":"Denver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57"/>
        <v>start /low /b %USERPROFILE%\Documents\GitHub\eaglep3\Utilities\DownloadLogsFromS3.py --loco 4042 --day 2017-01-16</v>
      </c>
      <c r="AN160" s="18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543</v>
      </c>
      <c r="B161" s="7">
        <v>4041</v>
      </c>
      <c r="C161" s="22" t="s">
        <v>201</v>
      </c>
      <c r="D161" s="22" t="s">
        <v>835</v>
      </c>
      <c r="E161" s="13">
        <v>42751.276967592596</v>
      </c>
      <c r="F161" s="13">
        <v>42751.278425925928</v>
      </c>
      <c r="G161" s="7">
        <v>1</v>
      </c>
      <c r="H161" s="22" t="s">
        <v>836</v>
      </c>
      <c r="I161" s="13">
        <v>42751.289027777777</v>
      </c>
      <c r="J161" s="7">
        <v>0</v>
      </c>
      <c r="K161" s="105" t="str">
        <f t="shared" si="41"/>
        <v>4041/4042</v>
      </c>
      <c r="L161" s="22" t="str">
        <f>VLOOKUP(A161,'Trips&amp;Operators'!$C$1:$G$99999,5,FALSE)</f>
        <v>MAHAN DUANE</v>
      </c>
      <c r="M161" s="6">
        <f t="shared" si="42"/>
        <v>1.060185184906004E-2</v>
      </c>
      <c r="N161" s="7">
        <f t="shared" si="43"/>
        <v>15.266666662646458</v>
      </c>
      <c r="O161" s="7"/>
      <c r="P161" s="7"/>
      <c r="Q161" s="23"/>
      <c r="R161" s="23"/>
      <c r="S161" s="32">
        <f t="shared" si="44"/>
        <v>1</v>
      </c>
      <c r="T161" s="47" t="str">
        <f t="shared" si="45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6"/>
        <v>https://d0f6bd738d7f1b3e5a7ca70fe4ff75f0.us-east-1.aws.found.io/app/kibana#/discover/Steve-Slow-Train-Analysis-(2080s-and-2083s)?_g=(refreshInterval:(display:Off,pause:!f,section:0,value:0),time:(from:'2017-01-16T05:38:50-0700',mode:absolute,to:'2017-01-16T07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49" t="str">
        <f t="shared" si="47"/>
        <v>N</v>
      </c>
      <c r="X161" s="173">
        <f t="shared" si="48"/>
        <v>1</v>
      </c>
      <c r="Y161" s="64">
        <f t="shared" si="49"/>
        <v>5.8655999999999997</v>
      </c>
      <c r="Z161" s="64">
        <f t="shared" si="58"/>
        <v>7.4700000000000003E-2</v>
      </c>
      <c r="AA161" s="64">
        <f t="shared" si="50"/>
        <v>5.7908999999999997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51"/>
        <v>0804-16</v>
      </c>
      <c r="AE161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61" s="84" t="str">
        <f t="shared" si="53"/>
        <v>"C:\Program Files (x86)\AstroGrep\AstroGrep.exe" /spath="%USERPROFILE%\AppData\Local\Temp\OnboardLogs" /stypes="app*4041*20170116*" /stext=" 13:.+((SYSTEM_STATE.+slice.+state.+changed )|(ment ac)|(multiple cpu faults)|(system.+state.+changed )|(\[timeout)|(PRM\|1\|D)|(kpr)|(kdp)|(\|lc)|(penalty))" /e /r /s</v>
      </c>
      <c r="AG161" s="1" t="str">
        <f t="shared" si="54"/>
        <v>NW</v>
      </c>
      <c r="AH161" s="88" t="str">
        <f t="shared" si="55"/>
        <v>"%USERPROFILE%\Documents\GitHub\eaglep3\Utilities\RefineRTDCRunTimes.py" --tripid 804-16 --locoid 4041 --swversion DE.1.0.8.0 --startMP 300:58656 --initTime 2017-01-16T06:38:50 --startdatetime 2017-01-16T06:40:56 --delay 1 --endMP 204:747 --enddatetime 2017-01-16T06:56:12 --enforcementcount 0 &gt;&gt;C:\Users\stu\Documents\GitHub\eaglep3-reporting\EC\2017-01-16-refined-times.txt</v>
      </c>
      <c r="AI161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{"issue":{"subject":"","project_id":79,"tracker_id":40,"status_id":1,"priority_id":2,"assigned_to_id":23,"start_date":"2017-01-16","description":"","custom_fields":[{"id":1,"name":"Subdivision","value":"NW"},{"id":4,"name":"Milepost","value":"0.0747"},{"id":17,"name":"Train ID","value":"804-16"},{"id":16,"name":"Locomotive ID","value":"4041"},{"id":130,"name":"Impact","value":""},{"id":150,"name":"Time of Event (Mountain Time)","value":"06:56:12"},{"id":151,"name":"Denver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57"/>
        <v>start /low /b %USERPROFILE%\Documents\GitHub\eaglep3\Utilities\DownloadLogsFromS3.py --loco 4041 --day 2017-01-16</v>
      </c>
      <c r="AN161" s="18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541</v>
      </c>
      <c r="B162" s="7">
        <v>4027</v>
      </c>
      <c r="C162" s="22" t="s">
        <v>201</v>
      </c>
      <c r="D162" s="22" t="s">
        <v>394</v>
      </c>
      <c r="E162" s="13">
        <v>42751.275752314818</v>
      </c>
      <c r="F162" s="13">
        <v>42751.285694444443</v>
      </c>
      <c r="G162" s="7">
        <v>1</v>
      </c>
      <c r="H162" s="22" t="s">
        <v>837</v>
      </c>
      <c r="I162" s="13">
        <v>42751.296226851853</v>
      </c>
      <c r="J162" s="7">
        <v>0</v>
      </c>
      <c r="K162" s="105" t="str">
        <f t="shared" si="41"/>
        <v>4027/4028</v>
      </c>
      <c r="L162" s="22" t="str">
        <f>VLOOKUP(A162,'Trips&amp;Operators'!$C$1:$G$99999,5,FALSE)</f>
        <v>HAITHCOX MICHAEL</v>
      </c>
      <c r="M162" s="6">
        <f t="shared" si="42"/>
        <v>1.0532407410209998E-2</v>
      </c>
      <c r="N162" s="7">
        <f t="shared" si="43"/>
        <v>15.166666670702398</v>
      </c>
      <c r="O162" s="7"/>
      <c r="P162" s="7"/>
      <c r="Q162" s="23"/>
      <c r="R162" s="23"/>
      <c r="S162" s="32">
        <f t="shared" si="44"/>
        <v>1</v>
      </c>
      <c r="T162" s="47" t="str">
        <f t="shared" si="45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6"/>
        <v>https://d0f6bd738d7f1b3e5a7ca70fe4ff75f0.us-east-1.aws.found.io/app/kibana#/discover/Steve-Slow-Train-Analysis-(2080s-and-2083s)?_g=(refreshInterval:(display:Off,pause:!f,section:0,value:0),time:(from:'2017-01-16T05:37:05-0700',mode:absolute,to:'2017-01-16T08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2" s="49" t="str">
        <f t="shared" si="47"/>
        <v>N</v>
      </c>
      <c r="X162" s="173">
        <f t="shared" si="48"/>
        <v>1</v>
      </c>
      <c r="Y162" s="64">
        <f t="shared" si="49"/>
        <v>9.6199999999999994E-2</v>
      </c>
      <c r="Z162" s="64">
        <f t="shared" si="58"/>
        <v>5.8921999999999999</v>
      </c>
      <c r="AA162" s="64">
        <f t="shared" si="50"/>
        <v>5.7960000000000003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51"/>
        <v>0805-16</v>
      </c>
      <c r="AE162" s="87" t="str">
        <f t="shared" si="52"/>
        <v>aws s3 cp s3://rtdc.mdm.uploadarchive.raw/RTDC4027/ "%USERPROFILE%\AppData\Local\Temp\OnboardLogs"\RTDC4027\2017-01-16 --exclude "*" --recursive --include "*20170116*" &amp; "%USERPROFILE%\Documents\GitHub\mrs-test-scripts\Headless Mode &amp; Sideloading\WalkAndUnGZ.bat" "%USERPROFILE%\AppData\Local\Temp\OnboardLogs"\RTDC4027\2017-01-16 &amp; 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</v>
      </c>
      <c r="AF162" s="84" t="str">
        <f t="shared" si="53"/>
        <v>"C:\Program Files (x86)\AstroGrep\AstroGrep.exe" /spath="%USERPROFILE%\AppData\Local\Temp\OnboardLogs" /stypes="app*4027*20170116*" /stext=" 14:.+((SYSTEM_STATE.+slice.+state.+changed )|(ment ac)|(multiple cpu faults)|(system.+state.+changed )|(\[timeout)|(PRM\|1\|D)|(kpr)|(kdp)|(\|lc)|(penalty))" /e /r /s</v>
      </c>
      <c r="AG162" s="1" t="str">
        <f t="shared" si="54"/>
        <v>NW</v>
      </c>
      <c r="AH162" s="88" t="str">
        <f t="shared" si="55"/>
        <v>"%USERPROFILE%\Documents\GitHub\eaglep3\Utilities\RefineRTDCRunTimes.py" --tripid 805-16 --locoid 4027 --swversion DE.1.0.8.0 --startMP 204:962 --initTime 2017-01-16T06:37:05 --startdatetime 2017-01-16T06:51:24 --delay 1 --endMP 300:58922 --enddatetime 2017-01-16T07:06:34 --enforcementcount 0 &gt;&gt;C:\Users\stu\Documents\GitHub\eaglep3-reporting\EC\2017-01-16-refined-times.txt</v>
      </c>
      <c r="AI162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{"issue":{"subject":"","project_id":79,"tracker_id":40,"status_id":1,"priority_id":2,"assigned_to_id":23,"start_date":"2017-01-16","description":"","custom_fields":[{"id":1,"name":"Subdivision","value":"NW"},{"id":4,"name":"Milepost","value":"5.8922"},{"id":17,"name":"Train ID","value":"805-16"},{"id":16,"name":"Locomotive ID","value":"4027"},{"id":130,"name":"Impact","value":""},{"id":150,"name":"Time of Event (Mountain Time)","value":"07:06:34"},{"id":151,"name":"Denver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57"/>
        <v>start /low /b %USERPROFILE%\Documents\GitHub\eaglep3\Utilities\DownloadLogsFromS3.py --loco 4027 --day 2017-01-16</v>
      </c>
      <c r="AN162" s="18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"%USERPROFILE%\AppData\Local\Temp\OnboardLogs"\RTDC4027\*4027*20170116* | grep -SE "(Enforcement Action)|(\[TIMEOUT)|(CHR.+\|PRM\|1\|D.+(SWITCH|SIGNAL).+UNKNOWN)" - &gt;&gt; 2017-01-16-UncaughtWiMAX.txt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546</v>
      </c>
      <c r="B163" s="7">
        <v>4028</v>
      </c>
      <c r="C163" s="22" t="s">
        <v>201</v>
      </c>
      <c r="D163" s="22" t="s">
        <v>838</v>
      </c>
      <c r="E163" s="13">
        <v>42751.297222222223</v>
      </c>
      <c r="F163" s="13">
        <v>42751.298622685186</v>
      </c>
      <c r="G163" s="7">
        <v>1</v>
      </c>
      <c r="H163" s="22" t="s">
        <v>839</v>
      </c>
      <c r="I163" s="13">
        <v>42751.309965277775</v>
      </c>
      <c r="J163" s="7">
        <v>0</v>
      </c>
      <c r="K163" s="105" t="str">
        <f t="shared" si="41"/>
        <v>4027/4028</v>
      </c>
      <c r="L163" s="22" t="str">
        <f>VLOOKUP(A163,'Trips&amp;Operators'!$C$1:$G$99999,5,FALSE)</f>
        <v>HAITHCOX MICHAEL</v>
      </c>
      <c r="M163" s="6">
        <f t="shared" si="42"/>
        <v>1.134259258833481E-2</v>
      </c>
      <c r="N163" s="7">
        <f t="shared" si="43"/>
        <v>16.333333327202126</v>
      </c>
      <c r="O163" s="7"/>
      <c r="P163" s="7"/>
      <c r="Q163" s="23"/>
      <c r="R163" s="23"/>
      <c r="S163" s="32">
        <f t="shared" si="44"/>
        <v>1</v>
      </c>
      <c r="T163" s="47" t="str">
        <f t="shared" si="45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6"/>
        <v>https://d0f6bd738d7f1b3e5a7ca70fe4ff75f0.us-east-1.aws.found.io/app/kibana#/discover/Steve-Slow-Train-Analysis-(2080s-and-2083s)?_g=(refreshInterval:(display:Off,pause:!f,section:0,value:0),time:(from:'2017-01-16T06:08:00-0700',mode:absolute,to:'2017-01-16T08:26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3" s="49" t="str">
        <f t="shared" si="47"/>
        <v>N</v>
      </c>
      <c r="X163" s="173">
        <f t="shared" si="48"/>
        <v>1</v>
      </c>
      <c r="Y163" s="64">
        <f t="shared" si="49"/>
        <v>5.8608000000000002</v>
      </c>
      <c r="Z163" s="64">
        <f t="shared" si="58"/>
        <v>6.5000000000000002E-2</v>
      </c>
      <c r="AA163" s="64">
        <f t="shared" si="50"/>
        <v>5.7957999999999998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51"/>
        <v>0806-16</v>
      </c>
      <c r="AE163" s="87" t="str">
        <f t="shared" si="52"/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AF163" s="84" t="str">
        <f t="shared" si="53"/>
        <v>"C:\Program Files (x86)\AstroGrep\AstroGrep.exe" /spath="%USERPROFILE%\AppData\Local\Temp\OnboardLogs" /stypes="app*4028*20170116*" /stext=" 14:.+((SYSTEM_STATE.+slice.+state.+changed )|(ment ac)|(multiple cpu faults)|(system.+state.+changed )|(\[timeout)|(PRM\|1\|D)|(kpr)|(kdp)|(\|lc)|(penalty))" /e /r /s</v>
      </c>
      <c r="AG163" s="1" t="str">
        <f t="shared" si="54"/>
        <v>NW</v>
      </c>
      <c r="AH163" s="88" t="str">
        <f t="shared" si="55"/>
        <v>"%USERPROFILE%\Documents\GitHub\eaglep3\Utilities\RefineRTDCRunTimes.py" --tripid 806-16 --locoid 4028 --swversion DE.1.0.8.0 --startMP 300:58608 --initTime 2017-01-16T07:08:00 --startdatetime 2017-01-16T07:10:01 --delay 1 --endMP 204:650 --enddatetime 2017-01-16T07:26:21 --enforcementcount 0 &gt;&gt;C:\Users\stu\Documents\GitHub\eaglep3-reporting\EC\2017-01-16-refined-times.txt</v>
      </c>
      <c r="AI163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{"issue":{"subject":"","project_id":79,"tracker_id":40,"status_id":1,"priority_id":2,"assigned_to_id":23,"start_date":"2017-01-16","description":"","custom_fields":[{"id":1,"name":"Subdivision","value":"NW"},{"id":4,"name":"Milepost","value":"0.065"},{"id":17,"name":"Train ID","value":"806-16"},{"id":16,"name":"Locomotive ID","value":"4028"},{"id":130,"name":"Impact","value":""},{"id":150,"name":"Time of Event (Mountain Time)","value":"07:26:21"},{"id":151,"name":"Denver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57"/>
        <v>start /low /b %USERPROFILE%\Documents\GitHub\eaglep3\Utilities\DownloadLogsFromS3.py --loco 4028 --day 2017-01-16</v>
      </c>
      <c r="AN163" s="18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"%USERPROFILE%\AppData\Local\Temp\OnboardLogs"\RTDC4028\*4028*20170116* | grep -SE "(Enforcement Action)|(\[TIMEOUT)|(CHR.+\|PRM\|1\|D.+(SWITCH|SIGNAL).+UNKNOWN)" - &gt;&gt; 2017-01-16-UncaughtWiMAX.txt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481</v>
      </c>
      <c r="B164" s="7">
        <v>4042</v>
      </c>
      <c r="C164" s="22" t="s">
        <v>201</v>
      </c>
      <c r="D164" s="22" t="s">
        <v>840</v>
      </c>
      <c r="E164" s="13">
        <v>42751.298055555555</v>
      </c>
      <c r="F164" s="13">
        <v>42751.30636574074</v>
      </c>
      <c r="G164" s="7">
        <v>1</v>
      </c>
      <c r="H164" s="22" t="s">
        <v>841</v>
      </c>
      <c r="I164" s="13">
        <v>42751.317604166667</v>
      </c>
      <c r="J164" s="7">
        <v>0</v>
      </c>
      <c r="K164" s="105" t="str">
        <f t="shared" si="41"/>
        <v>4041/4042</v>
      </c>
      <c r="L164" s="22" t="str">
        <f>VLOOKUP(A164,'Trips&amp;Operators'!$C$1:$G$99999,5,FALSE)</f>
        <v>MAHAN DUANE</v>
      </c>
      <c r="M164" s="6">
        <f t="shared" si="42"/>
        <v>1.1238425926421769E-2</v>
      </c>
      <c r="N164" s="7">
        <f t="shared" si="43"/>
        <v>16.183333334047347</v>
      </c>
      <c r="O164" s="7"/>
      <c r="P164" s="7"/>
      <c r="Q164" s="23"/>
      <c r="R164" s="23"/>
      <c r="S164" s="32">
        <f t="shared" si="44"/>
        <v>1</v>
      </c>
      <c r="T164" s="47" t="str">
        <f t="shared" si="45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6"/>
        <v>https://d0f6bd738d7f1b3e5a7ca70fe4ff75f0.us-east-1.aws.found.io/app/kibana#/discover/Steve-Slow-Train-Analysis-(2080s-and-2083s)?_g=(refreshInterval:(display:Off,pause:!f,section:0,value:0),time:(from:'2017-01-16T06:09:12-0700',mode:absolute,to:'2017-01-16T08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49" t="str">
        <f t="shared" si="47"/>
        <v>N</v>
      </c>
      <c r="X164" s="173">
        <f t="shared" si="48"/>
        <v>1</v>
      </c>
      <c r="Y164" s="64">
        <f t="shared" si="49"/>
        <v>0.10299999999999999</v>
      </c>
      <c r="Z164" s="64">
        <f t="shared" si="58"/>
        <v>5.8983999999999996</v>
      </c>
      <c r="AA164" s="64">
        <f t="shared" si="50"/>
        <v>5.7953999999999999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51"/>
        <v>0807-16</v>
      </c>
      <c r="AE164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64" s="84" t="str">
        <f t="shared" si="53"/>
        <v>"C:\Program Files (x86)\AstroGrep\AstroGrep.exe" /spath="%USERPROFILE%\AppData\Local\Temp\OnboardLogs" /stypes="app*4042*20170116*" /stext=" 14:.+((SYSTEM_STATE.+slice.+state.+changed )|(ment ac)|(multiple cpu faults)|(system.+state.+changed )|(\[timeout)|(PRM\|1\|D)|(kpr)|(kdp)|(\|lc)|(penalty))" /e /r /s</v>
      </c>
      <c r="AG164" s="1" t="str">
        <f t="shared" si="54"/>
        <v>NW</v>
      </c>
      <c r="AH164" s="88" t="str">
        <f t="shared" si="55"/>
        <v>"%USERPROFILE%\Documents\GitHub\eaglep3\Utilities\RefineRTDCRunTimes.py" --tripid 807-16 --locoid 4042 --swversion DE.1.0.8.0 --startMP 204:1030 --initTime 2017-01-16T07:09:12 --startdatetime 2017-01-16T07:21:10 --delay 1 --endMP 300:58984 --enddatetime 2017-01-16T07:37:21 --enforcementcount 0 &gt;&gt;C:\Users\stu\Documents\GitHub\eaglep3-reporting\EC\2017-01-16-refined-times.txt</v>
      </c>
      <c r="AI164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{"issue":{"subject":"","project_id":79,"tracker_id":40,"status_id":1,"priority_id":2,"assigned_to_id":23,"start_date":"2017-01-16","description":"","custom_fields":[{"id":1,"name":"Subdivision","value":"NW"},{"id":4,"name":"Milepost","value":"5.8984"},{"id":17,"name":"Train ID","value":"807-16"},{"id":16,"name":"Locomotive ID","value":"4042"},{"id":130,"name":"Impact","value":""},{"id":150,"name":"Time of Event (Mountain Time)","value":"07:37:21"},{"id":151,"name":"Denver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57"/>
        <v>start /low /b %USERPROFILE%\Documents\GitHub\eaglep3\Utilities\DownloadLogsFromS3.py --loco 4042 --day 2017-01-16</v>
      </c>
      <c r="AN164" s="18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551</v>
      </c>
      <c r="B165" s="7">
        <v>4041</v>
      </c>
      <c r="C165" s="22" t="s">
        <v>201</v>
      </c>
      <c r="D165" s="22" t="s">
        <v>842</v>
      </c>
      <c r="E165" s="13">
        <v>42751.318576388891</v>
      </c>
      <c r="F165" s="13">
        <v>42751.320208333331</v>
      </c>
      <c r="G165" s="7">
        <v>1</v>
      </c>
      <c r="H165" s="22" t="s">
        <v>843</v>
      </c>
      <c r="I165" s="13">
        <v>42751.33053240741</v>
      </c>
      <c r="J165" s="7">
        <v>0</v>
      </c>
      <c r="K165" s="105" t="str">
        <f t="shared" si="41"/>
        <v>4041/4042</v>
      </c>
      <c r="L165" s="22" t="str">
        <f>VLOOKUP(A165,'Trips&amp;Operators'!$C$1:$G$99999,5,FALSE)</f>
        <v>MAHAN DUANE</v>
      </c>
      <c r="M165" s="6">
        <f t="shared" si="42"/>
        <v>1.0324074079107959E-2</v>
      </c>
      <c r="N165" s="7">
        <f t="shared" si="43"/>
        <v>14.866666673915461</v>
      </c>
      <c r="O165" s="7"/>
      <c r="P165" s="7"/>
      <c r="Q165" s="23"/>
      <c r="R165" s="23"/>
      <c r="S165" s="32">
        <f t="shared" si="44"/>
        <v>1</v>
      </c>
      <c r="T165" s="47" t="str">
        <f t="shared" si="45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6"/>
        <v>https://d0f6bd738d7f1b3e5a7ca70fe4ff75f0.us-east-1.aws.found.io/app/kibana#/discover/Steve-Slow-Train-Analysis-(2080s-and-2083s)?_g=(refreshInterval:(display:Off,pause:!f,section:0,value:0),time:(from:'2017-01-16T06:38:45-0700',mode:absolute,to:'2017-01-16T08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5" s="49" t="str">
        <f t="shared" si="47"/>
        <v>N</v>
      </c>
      <c r="X165" s="173">
        <f t="shared" si="48"/>
        <v>1</v>
      </c>
      <c r="Y165" s="64">
        <f t="shared" si="49"/>
        <v>5.8673000000000002</v>
      </c>
      <c r="Z165" s="64">
        <f t="shared" si="58"/>
        <v>7.2700000000000001E-2</v>
      </c>
      <c r="AA165" s="64">
        <f t="shared" si="50"/>
        <v>5.7946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51"/>
        <v>0808-16</v>
      </c>
      <c r="AE165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65" s="84" t="str">
        <f t="shared" si="53"/>
        <v>"C:\Program Files (x86)\AstroGrep\AstroGrep.exe" /spath="%USERPROFILE%\AppData\Local\Temp\OnboardLogs" /stypes="app*4041*20170116*" /stext=" 14:.+((SYSTEM_STATE.+slice.+state.+changed )|(ment ac)|(multiple cpu faults)|(system.+state.+changed )|(\[timeout)|(PRM\|1\|D)|(kpr)|(kdp)|(\|lc)|(penalty))" /e /r /s</v>
      </c>
      <c r="AG165" s="1" t="str">
        <f t="shared" si="54"/>
        <v>NW</v>
      </c>
      <c r="AH165" s="88" t="str">
        <f t="shared" si="55"/>
        <v>"%USERPROFILE%\Documents\GitHub\eaglep3\Utilities\RefineRTDCRunTimes.py" --tripid 808-16 --locoid 4041 --swversion DE.1.0.8.0 --startMP 300:58673 --initTime 2017-01-16T07:38:45 --startdatetime 2017-01-16T07:41:06 --delay 1 --endMP 204:727 --enddatetime 2017-01-16T07:55:58 --enforcementcount 0 &gt;&gt;C:\Users\stu\Documents\GitHub\eaglep3-reporting\EC\2017-01-16-refined-times.txt</v>
      </c>
      <c r="AI165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{"issue":{"subject":"","project_id":79,"tracker_id":40,"status_id":1,"priority_id":2,"assigned_to_id":23,"start_date":"2017-01-16","description":"","custom_fields":[{"id":1,"name":"Subdivision","value":"NW"},{"id":4,"name":"Milepost","value":"0.0727"},{"id":17,"name":"Train ID","value":"808-16"},{"id":16,"name":"Locomotive ID","value":"4041"},{"id":130,"name":"Impact","value":""},{"id":150,"name":"Time of Event (Mountain Time)","value":"07:55:58"},{"id":151,"name":"Denver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57"/>
        <v>start /low /b %USERPROFILE%\Documents\GitHub\eaglep3\Utilities\DownloadLogsFromS3.py --loco 4041 --day 2017-01-16</v>
      </c>
      <c r="AN165" s="18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</row>
    <row r="166" spans="1:91" s="21" customFormat="1" x14ac:dyDescent="0.25">
      <c r="A166" s="34" t="s">
        <v>550</v>
      </c>
      <c r="B166" s="7">
        <v>4027</v>
      </c>
      <c r="C166" s="22" t="s">
        <v>201</v>
      </c>
      <c r="D166" s="22" t="s">
        <v>844</v>
      </c>
      <c r="E166" s="13">
        <v>42751.312060185184</v>
      </c>
      <c r="F166" s="13">
        <v>42751.327326388891</v>
      </c>
      <c r="G166" s="7">
        <v>1</v>
      </c>
      <c r="H166" s="22" t="s">
        <v>845</v>
      </c>
      <c r="I166" s="13">
        <v>42751.340833333335</v>
      </c>
      <c r="J166" s="7">
        <v>0</v>
      </c>
      <c r="K166" s="105" t="str">
        <f t="shared" si="41"/>
        <v>4027/4028</v>
      </c>
      <c r="L166" s="22" t="str">
        <f>VLOOKUP(A166,'Trips&amp;Operators'!$C$1:$G$99999,5,FALSE)</f>
        <v>HAITHCOX MICHAEL</v>
      </c>
      <c r="M166" s="6">
        <f t="shared" si="42"/>
        <v>1.3506944444088731E-2</v>
      </c>
      <c r="N166" s="7">
        <f t="shared" si="43"/>
        <v>19.449999999487773</v>
      </c>
      <c r="O166" s="7"/>
      <c r="P166" s="7"/>
      <c r="Q166" s="23"/>
      <c r="R166" s="23"/>
      <c r="S166" s="32">
        <f t="shared" si="44"/>
        <v>1</v>
      </c>
      <c r="T166" s="47" t="str">
        <f t="shared" si="45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6"/>
        <v>https://d0f6bd738d7f1b3e5a7ca70fe4ff75f0.us-east-1.aws.found.io/app/kibana#/discover/Steve-Slow-Train-Analysis-(2080s-and-2083s)?_g=(refreshInterval:(display:Off,pause:!f,section:0,value:0),time:(from:'2017-01-16T06:29:22-0700',mode:absolute,to:'2017-01-16T09:10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6" s="49" t="str">
        <f t="shared" si="47"/>
        <v>N</v>
      </c>
      <c r="X166" s="173">
        <f t="shared" si="48"/>
        <v>1</v>
      </c>
      <c r="Y166" s="64">
        <f t="shared" si="49"/>
        <v>9.6500000000000002E-2</v>
      </c>
      <c r="Z166" s="64">
        <f t="shared" si="58"/>
        <v>5.8930999999999996</v>
      </c>
      <c r="AA166" s="64">
        <f t="shared" si="50"/>
        <v>5.7965999999999998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51"/>
        <v>0809-16</v>
      </c>
      <c r="AE166" s="87" t="str">
        <f t="shared" si="52"/>
        <v>aws s3 cp s3://rtdc.mdm.uploadarchive.raw/RTDC4027/ "%USERPROFILE%\AppData\Local\Temp\OnboardLogs"\RTDC4027\2017-01-16 --exclude "*" --recursive --include "*20170116*" &amp; "%USERPROFILE%\Documents\GitHub\mrs-test-scripts\Headless Mode &amp; Sideloading\WalkAndUnGZ.bat" "%USERPROFILE%\AppData\Local\Temp\OnboardLogs"\RTDC4027\2017-01-16 &amp; 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</v>
      </c>
      <c r="AF166" s="84" t="str">
        <f t="shared" si="53"/>
        <v>"C:\Program Files (x86)\AstroGrep\AstroGrep.exe" /spath="%USERPROFILE%\AppData\Local\Temp\OnboardLogs" /stypes="app*4027*20170116*" /stext=" 15:.+((SYSTEM_STATE.+slice.+state.+changed )|(ment ac)|(multiple cpu faults)|(system.+state.+changed )|(\[timeout)|(PRM\|1\|D)|(kpr)|(kdp)|(\|lc)|(penalty))" /e /r /s</v>
      </c>
      <c r="AG166" s="1" t="str">
        <f t="shared" si="54"/>
        <v>NW</v>
      </c>
      <c r="AH166" s="88" t="str">
        <f t="shared" si="55"/>
        <v>"%USERPROFILE%\Documents\GitHub\eaglep3\Utilities\RefineRTDCRunTimes.py" --tripid 809-16 --locoid 4027 --swversion DE.1.0.8.0 --startMP 204:965 --initTime 2017-01-16T07:29:22 --startdatetime 2017-01-16T07:51:21 --delay 1 --endMP 300:58931 --enddatetime 2017-01-16T08:10:48 --enforcementcount 0 &gt;&gt;C:\Users\stu\Documents\GitHub\eaglep3-reporting\EC\2017-01-16-refined-times.txt</v>
      </c>
      <c r="AI166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{"issue":{"subject":"","project_id":79,"tracker_id":40,"status_id":1,"priority_id":2,"assigned_to_id":23,"start_date":"2017-01-16","description":"","custom_fields":[{"id":1,"name":"Subdivision","value":"NW"},{"id":4,"name":"Milepost","value":"5.8931"},{"id":17,"name":"Train ID","value":"809-16"},{"id":16,"name":"Locomotive ID","value":"4027"},{"id":130,"name":"Impact","value":""},{"id":150,"name":"Time of Event (Mountain Time)","value":"08:10:48"},{"id":151,"name":"Denver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57"/>
        <v>start /low /b %USERPROFILE%\Documents\GitHub\eaglep3\Utilities\DownloadLogsFromS3.py --loco 4027 --day 2017-01-16</v>
      </c>
      <c r="AN166" s="18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"%USERPROFILE%\AppData\Local\Temp\OnboardLogs"\RTDC4027\*4027*20170116* | grep -SE "(Enforcement Action)|(\[TIMEOUT)|(CHR.+\|PRM\|1\|D.+(SWITCH|SIGNAL).+UNKNOWN)" - &gt;&gt; 2017-01-16-UncaughtWiMAX.txt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4" t="s">
        <v>557</v>
      </c>
      <c r="B167" s="7">
        <v>4028</v>
      </c>
      <c r="C167" s="22" t="s">
        <v>201</v>
      </c>
      <c r="D167" s="22" t="s">
        <v>846</v>
      </c>
      <c r="E167" s="13">
        <v>42751.341817129629</v>
      </c>
      <c r="F167" s="13">
        <v>42751.343124999999</v>
      </c>
      <c r="G167" s="7">
        <v>1</v>
      </c>
      <c r="H167" s="22" t="s">
        <v>847</v>
      </c>
      <c r="I167" s="13">
        <v>42751.353252314817</v>
      </c>
      <c r="J167" s="7">
        <v>0</v>
      </c>
      <c r="K167" s="105" t="str">
        <f t="shared" si="41"/>
        <v>4027/4028</v>
      </c>
      <c r="L167" s="22" t="str">
        <f>VLOOKUP(A167,'Trips&amp;Operators'!$C$1:$G$99999,5,FALSE)</f>
        <v>HAITHCOX MICHAEL</v>
      </c>
      <c r="M167" s="6">
        <f t="shared" si="42"/>
        <v>1.0127314817509614E-2</v>
      </c>
      <c r="N167" s="7">
        <f t="shared" si="43"/>
        <v>14.583333337213844</v>
      </c>
      <c r="O167" s="7"/>
      <c r="P167" s="7"/>
      <c r="Q167" s="23"/>
      <c r="R167" s="23"/>
      <c r="S167" s="32">
        <f t="shared" si="44"/>
        <v>1</v>
      </c>
      <c r="T167" s="47" t="str">
        <f t="shared" si="45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6"/>
        <v>https://d0f6bd738d7f1b3e5a7ca70fe4ff75f0.us-east-1.aws.found.io/app/kibana#/discover/Steve-Slow-Train-Analysis-(2080s-and-2083s)?_g=(refreshInterval:(display:Off,pause:!f,section:0,value:0),time:(from:'2017-01-16T07:12:13-0700',mode:absolute,to:'2017-01-16T09:28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7" s="49" t="str">
        <f t="shared" si="47"/>
        <v>N</v>
      </c>
      <c r="X167" s="173">
        <f t="shared" si="48"/>
        <v>1</v>
      </c>
      <c r="Y167" s="64">
        <f t="shared" si="49"/>
        <v>5.8613</v>
      </c>
      <c r="Z167" s="64">
        <f t="shared" si="58"/>
        <v>6.9199999999999998E-2</v>
      </c>
      <c r="AA167" s="64">
        <f t="shared" si="50"/>
        <v>5.7920999999999996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51"/>
        <v>0810-16</v>
      </c>
      <c r="AE167" s="87" t="str">
        <f t="shared" si="52"/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AF167" s="84" t="str">
        <f t="shared" si="53"/>
        <v>"C:\Program Files (x86)\AstroGrep\AstroGrep.exe" /spath="%USERPROFILE%\AppData\Local\Temp\OnboardLogs" /stypes="app*4028*20170116*" /stext=" 15:.+((SYSTEM_STATE.+slice.+state.+changed )|(ment ac)|(multiple cpu faults)|(system.+state.+changed )|(\[timeout)|(PRM\|1\|D)|(kpr)|(kdp)|(\|lc)|(penalty))" /e /r /s</v>
      </c>
      <c r="AG167" s="1" t="str">
        <f t="shared" si="54"/>
        <v>NW</v>
      </c>
      <c r="AH167" s="88" t="str">
        <f t="shared" si="55"/>
        <v>"%USERPROFILE%\Documents\GitHub\eaglep3\Utilities\RefineRTDCRunTimes.py" --tripid 810-16 --locoid 4028 --swversion DE.1.0.8.0 --startMP 300:58613 --initTime 2017-01-16T08:12:13 --startdatetime 2017-01-16T08:14:06 --delay 1 --endMP 204:692 --enddatetime 2017-01-16T08:28:41 --enforcementcount 0 &gt;&gt;C:\Users\stu\Documents\GitHub\eaglep3-reporting\EC\2017-01-16-refined-times.txt</v>
      </c>
      <c r="AI167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{"issue":{"subject":"","project_id":79,"tracker_id":40,"status_id":1,"priority_id":2,"assigned_to_id":23,"start_date":"2017-01-16","description":"","custom_fields":[{"id":1,"name":"Subdivision","value":"NW"},{"id":4,"name":"Milepost","value":"0.0692"},{"id":17,"name":"Train ID","value":"810-16"},{"id":16,"name":"Locomotive ID","value":"4028"},{"id":130,"name":"Impact","value":""},{"id":150,"name":"Time of Event (Mountain Time)","value":"08:28:41"},{"id":151,"name":"Denver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57"/>
        <v>start /low /b %USERPROFILE%\Documents\GitHub\eaglep3\Utilities\DownloadLogsFromS3.py --loco 4028 --day 2017-01-16</v>
      </c>
      <c r="AN167" s="18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"%USERPROFILE%\AppData\Local\Temp\OnboardLogs"\RTDC4028\*4028*20170116* | grep -SE "(Enforcement Action)|(\[TIMEOUT)|(CHR.+\|PRM\|1\|D.+(SWITCH|SIGNAL).+UNKNOWN)" - &gt;&gt; 2017-01-16-UncaughtWiMAX.txt</v>
      </c>
    </row>
    <row r="168" spans="1:91" s="21" customFormat="1" x14ac:dyDescent="0.25">
      <c r="A168" s="34" t="s">
        <v>556</v>
      </c>
      <c r="B168" s="7">
        <v>4042</v>
      </c>
      <c r="C168" s="22" t="s">
        <v>201</v>
      </c>
      <c r="D168" s="22" t="s">
        <v>848</v>
      </c>
      <c r="E168" s="13">
        <v>42751.33766203704</v>
      </c>
      <c r="F168" s="13">
        <v>42751.348796296297</v>
      </c>
      <c r="G168" s="7">
        <v>1</v>
      </c>
      <c r="H168" s="22" t="s">
        <v>849</v>
      </c>
      <c r="I168" s="13">
        <v>42751.359039351853</v>
      </c>
      <c r="J168" s="7">
        <v>0</v>
      </c>
      <c r="K168" s="105" t="str">
        <f t="shared" si="41"/>
        <v>4041/4042</v>
      </c>
      <c r="L168" s="22" t="str">
        <f>VLOOKUP(A168,'Trips&amp;Operators'!$C$1:$G$99999,5,FALSE)</f>
        <v>MAHAN DUANE</v>
      </c>
      <c r="M168" s="6">
        <f t="shared" si="42"/>
        <v>1.0243055556202307E-2</v>
      </c>
      <c r="N168" s="7">
        <f t="shared" si="43"/>
        <v>14.750000000931323</v>
      </c>
      <c r="O168" s="7"/>
      <c r="P168" s="7"/>
      <c r="Q168" s="23"/>
      <c r="R168" s="23"/>
      <c r="S168" s="32">
        <f t="shared" si="44"/>
        <v>1</v>
      </c>
      <c r="T168" s="47" t="str">
        <f t="shared" si="45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6"/>
        <v>https://d0f6bd738d7f1b3e5a7ca70fe4ff75f0.us-east-1.aws.found.io/app/kibana#/discover/Steve-Slow-Train-Analysis-(2080s-and-2083s)?_g=(refreshInterval:(display:Off,pause:!f,section:0,value:0),time:(from:'2017-01-16T07:06:14-0700',mode:absolute,to:'2017-01-16T09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8" s="49" t="str">
        <f t="shared" si="47"/>
        <v>N</v>
      </c>
      <c r="X168" s="173">
        <f t="shared" si="48"/>
        <v>1</v>
      </c>
      <c r="Y168" s="64">
        <f t="shared" si="49"/>
        <v>0.1013</v>
      </c>
      <c r="Z168" s="64">
        <f t="shared" si="58"/>
        <v>5.8987999999999996</v>
      </c>
      <c r="AA168" s="64">
        <f t="shared" si="50"/>
        <v>5.7974999999999994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51"/>
        <v>0811-16</v>
      </c>
      <c r="AE168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68" s="84" t="str">
        <f t="shared" si="53"/>
        <v>"C:\Program Files (x86)\AstroGrep\AstroGrep.exe" /spath="%USERPROFILE%\AppData\Local\Temp\OnboardLogs" /stypes="app*4042*20170116*" /stext=" 15:.+((SYSTEM_STATE.+slice.+state.+changed )|(ment ac)|(multiple cpu faults)|(system.+state.+changed )|(\[timeout)|(PRM\|1\|D)|(kpr)|(kdp)|(\|lc)|(penalty))" /e /r /s</v>
      </c>
      <c r="AG168" s="1" t="str">
        <f t="shared" si="54"/>
        <v>NW</v>
      </c>
      <c r="AH168" s="88" t="str">
        <f t="shared" si="55"/>
        <v>"%USERPROFILE%\Documents\GitHub\eaglep3\Utilities\RefineRTDCRunTimes.py" --tripid 811-16 --locoid 4042 --swversion DE.1.0.8.0 --startMP 204:1013 --initTime 2017-01-16T08:06:14 --startdatetime 2017-01-16T08:22:16 --delay 1 --endMP 300:58988 --enddatetime 2017-01-16T08:37:01 --enforcementcount 0 &gt;&gt;C:\Users\stu\Documents\GitHub\eaglep3-reporting\EC\2017-01-16-refined-times.txt</v>
      </c>
      <c r="AI168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{"issue":{"subject":"","project_id":79,"tracker_id":40,"status_id":1,"priority_id":2,"assigned_to_id":23,"start_date":"2017-01-16","description":"","custom_fields":[{"id":1,"name":"Subdivision","value":"NW"},{"id":4,"name":"Milepost","value":"5.8988"},{"id":17,"name":"Train ID","value":"811-16"},{"id":16,"name":"Locomotive ID","value":"4042"},{"id":130,"name":"Impact","value":""},{"id":150,"name":"Time of Event (Mountain Time)","value":"08:37:01"},{"id":151,"name":"Denver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57"/>
        <v>start /low /b %USERPROFILE%\Documents\GitHub\eaglep3\Utilities\DownloadLogsFromS3.py --loco 4042 --day 2017-01-16</v>
      </c>
      <c r="AN168" s="18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483</v>
      </c>
      <c r="B169" s="7">
        <v>4041</v>
      </c>
      <c r="C169" s="22" t="s">
        <v>201</v>
      </c>
      <c r="D169" s="22" t="s">
        <v>850</v>
      </c>
      <c r="E169" s="13">
        <v>42751.360208333332</v>
      </c>
      <c r="F169" s="13">
        <v>42751.361759259256</v>
      </c>
      <c r="G169" s="7">
        <v>1</v>
      </c>
      <c r="H169" s="22" t="s">
        <v>728</v>
      </c>
      <c r="I169" s="13">
        <v>42751.37228009259</v>
      </c>
      <c r="J169" s="7">
        <v>0</v>
      </c>
      <c r="K169" s="105" t="str">
        <f t="shared" si="41"/>
        <v>4041/4042</v>
      </c>
      <c r="L169" s="22" t="str">
        <f>VLOOKUP(A169,'Trips&amp;Operators'!$C$1:$G$99999,5,FALSE)</f>
        <v>MAHAN DUANE</v>
      </c>
      <c r="M169" s="6">
        <f t="shared" si="42"/>
        <v>1.0520833333430346E-2</v>
      </c>
      <c r="N169" s="7">
        <f t="shared" si="43"/>
        <v>15.150000000139698</v>
      </c>
      <c r="O169" s="7"/>
      <c r="P169" s="7"/>
      <c r="Q169" s="23"/>
      <c r="R169" s="23"/>
      <c r="S169" s="32">
        <f t="shared" si="44"/>
        <v>1</v>
      </c>
      <c r="T169" s="47" t="str">
        <f t="shared" si="45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6"/>
        <v>https://d0f6bd738d7f1b3e5a7ca70fe4ff75f0.us-east-1.aws.found.io/app/kibana#/discover/Steve-Slow-Train-Analysis-(2080s-and-2083s)?_g=(refreshInterval:(display:Off,pause:!f,section:0,value:0),time:(from:'2017-01-16T07:38:42-0700',mode:absolute,to:'2017-01-16T09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9" s="49" t="str">
        <f t="shared" si="47"/>
        <v>N</v>
      </c>
      <c r="X169" s="173">
        <f t="shared" si="48"/>
        <v>1</v>
      </c>
      <c r="Y169" s="64">
        <f t="shared" si="49"/>
        <v>5.8663999999999996</v>
      </c>
      <c r="Z169" s="64">
        <f t="shared" si="58"/>
        <v>7.5499999999999998E-2</v>
      </c>
      <c r="AA169" s="64">
        <f t="shared" si="50"/>
        <v>5.7908999999999997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51"/>
        <v>0812-16</v>
      </c>
      <c r="AE169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69" s="84" t="str">
        <f t="shared" si="53"/>
        <v>"C:\Program Files (x86)\AstroGrep\AstroGrep.exe" /spath="%USERPROFILE%\AppData\Local\Temp\OnboardLogs" /stypes="app*4041*20170116*" /stext=" 15:.+((SYSTEM_STATE.+slice.+state.+changed )|(ment ac)|(multiple cpu faults)|(system.+state.+changed )|(\[timeout)|(PRM\|1\|D)|(kpr)|(kdp)|(\|lc)|(penalty))" /e /r /s</v>
      </c>
      <c r="AG169" s="1" t="str">
        <f t="shared" si="54"/>
        <v>NW</v>
      </c>
      <c r="AH169" s="88" t="str">
        <f t="shared" si="55"/>
        <v>"%USERPROFILE%\Documents\GitHub\eaglep3\Utilities\RefineRTDCRunTimes.py" --tripid 812-16 --locoid 4041 --swversion DE.1.0.8.0 --startMP 300:58664 --initTime 2017-01-16T08:38:42 --startdatetime 2017-01-16T08:40:56 --delay 1 --endMP 204:755 --enddatetime 2017-01-16T08:56:05 --enforcementcount 0 &gt;&gt;C:\Users\stu\Documents\GitHub\eaglep3-reporting\EC\2017-01-16-refined-times.txt</v>
      </c>
      <c r="AI169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{"issue":{"subject":"","project_id":79,"tracker_id":40,"status_id":1,"priority_id":2,"assigned_to_id":23,"start_date":"2017-01-16","description":"","custom_fields":[{"id":1,"name":"Subdivision","value":"NW"},{"id":4,"name":"Milepost","value":"0.0755"},{"id":17,"name":"Train ID","value":"812-16"},{"id":16,"name":"Locomotive ID","value":"4041"},{"id":130,"name":"Impact","value":""},{"id":150,"name":"Time of Event (Mountain Time)","value":"08:56:05"},{"id":151,"name":"Denver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57"/>
        <v>start /low /b %USERPROFILE%\Documents\GitHub\eaglep3\Utilities\DownloadLogsFromS3.py --loco 4041 --day 2017-01-16</v>
      </c>
      <c r="AN169" s="18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566</v>
      </c>
      <c r="B170" s="7">
        <v>4042</v>
      </c>
      <c r="C170" s="22" t="s">
        <v>201</v>
      </c>
      <c r="D170" s="22" t="s">
        <v>402</v>
      </c>
      <c r="E170" s="13">
        <v>42751.378854166665</v>
      </c>
      <c r="F170" s="13">
        <v>42751.389768518522</v>
      </c>
      <c r="G170" s="7">
        <v>1</v>
      </c>
      <c r="H170" s="22" t="s">
        <v>851</v>
      </c>
      <c r="I170" s="13">
        <v>42751.399768518517</v>
      </c>
      <c r="J170" s="7">
        <v>0</v>
      </c>
      <c r="K170" s="105" t="str">
        <f t="shared" si="41"/>
        <v>4041/4042</v>
      </c>
      <c r="L170" s="22" t="str">
        <f>VLOOKUP(A170,'Trips&amp;Operators'!$C$1:$G$99999,5,FALSE)</f>
        <v>MAHAN DUANE</v>
      </c>
      <c r="M170" s="6">
        <f t="shared" si="42"/>
        <v>9.9999999947613105E-3</v>
      </c>
      <c r="N170" s="7">
        <f t="shared" si="43"/>
        <v>14.399999992456287</v>
      </c>
      <c r="O170" s="7"/>
      <c r="P170" s="7"/>
      <c r="Q170" s="23"/>
      <c r="R170" s="23"/>
      <c r="S170" s="32">
        <f t="shared" si="44"/>
        <v>1</v>
      </c>
      <c r="T170" s="47" t="str">
        <f t="shared" si="45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6"/>
        <v>https://d0f6bd738d7f1b3e5a7ca70fe4ff75f0.us-east-1.aws.found.io/app/kibana#/discover/Steve-Slow-Train-Analysis-(2080s-and-2083s)?_g=(refreshInterval:(display:Off,pause:!f,section:0,value:0),time:(from:'2017-01-16T08:05:33-0700',mode:absolute,to:'2017-01-16T10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0" s="49" t="str">
        <f t="shared" si="47"/>
        <v>N</v>
      </c>
      <c r="X170" s="173">
        <f t="shared" si="48"/>
        <v>1</v>
      </c>
      <c r="Y170" s="64">
        <f t="shared" si="49"/>
        <v>0.10440000000000001</v>
      </c>
      <c r="Z170" s="64">
        <f t="shared" si="58"/>
        <v>5.899</v>
      </c>
      <c r="AA170" s="64">
        <f t="shared" si="50"/>
        <v>5.7946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51"/>
        <v>0813-16</v>
      </c>
      <c r="AE170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70" s="84" t="str">
        <f t="shared" si="53"/>
        <v>"C:\Program Files (x86)\AstroGrep\AstroGrep.exe" /spath="%USERPROFILE%\AppData\Local\Temp\OnboardLogs" /stypes="app*4042*20170116*" /stext=" 16:.+((SYSTEM_STATE.+slice.+state.+changed )|(ment ac)|(multiple cpu faults)|(system.+state.+changed )|(\[timeout)|(PRM\|1\|D)|(kpr)|(kdp)|(\|lc)|(penalty))" /e /r /s</v>
      </c>
      <c r="AG170" s="1" t="str">
        <f t="shared" si="54"/>
        <v>NW</v>
      </c>
      <c r="AH170" s="88" t="str">
        <f t="shared" si="55"/>
        <v>"%USERPROFILE%\Documents\GitHub\eaglep3\Utilities\RefineRTDCRunTimes.py" --tripid 813-16 --locoid 4042 --swversion DE.1.0.8.0 --startMP 204:1044 --initTime 2017-01-16T09:05:33 --startdatetime 2017-01-16T09:21:16 --delay 1 --endMP 300:58990 --enddatetime 2017-01-16T09:35:40 --enforcementcount 0 &gt;&gt;C:\Users\stu\Documents\GitHub\eaglep3-reporting\EC\2017-01-16-refined-times.txt</v>
      </c>
      <c r="AI170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{"issue":{"subject":"","project_id":79,"tracker_id":40,"status_id":1,"priority_id":2,"assigned_to_id":23,"start_date":"2017-01-16","description":"","custom_fields":[{"id":1,"name":"Subdivision","value":"NW"},{"id":4,"name":"Milepost","value":"5.899"},{"id":17,"name":"Train ID","value":"813-16"},{"id":16,"name":"Locomotive ID","value":"4042"},{"id":130,"name":"Impact","value":""},{"id":150,"name":"Time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57"/>
        <v>start /low /b %USERPROFILE%\Documents\GitHub\eaglep3\Utilities\DownloadLogsFromS3.py --loco 4042 --day 2017-01-16</v>
      </c>
      <c r="AN170" s="18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484</v>
      </c>
      <c r="B171" s="7">
        <v>4041</v>
      </c>
      <c r="C171" s="22" t="s">
        <v>201</v>
      </c>
      <c r="D171" s="22" t="s">
        <v>852</v>
      </c>
      <c r="E171" s="13">
        <v>42751.400914351849</v>
      </c>
      <c r="F171" s="13">
        <v>42751.402395833335</v>
      </c>
      <c r="G171" s="7">
        <v>1</v>
      </c>
      <c r="H171" s="22" t="s">
        <v>401</v>
      </c>
      <c r="I171" s="13">
        <v>42751.413773148146</v>
      </c>
      <c r="J171" s="7">
        <v>0</v>
      </c>
      <c r="K171" s="105" t="str">
        <f t="shared" si="41"/>
        <v>4041/4042</v>
      </c>
      <c r="L171" s="22" t="str">
        <f>VLOOKUP(A171,'Trips&amp;Operators'!$C$1:$G$99999,5,FALSE)</f>
        <v>MAHAN DUANE</v>
      </c>
      <c r="M171" s="6">
        <f t="shared" si="42"/>
        <v>1.137731481139781E-2</v>
      </c>
      <c r="N171" s="7">
        <f t="shared" si="43"/>
        <v>16.383333328412846</v>
      </c>
      <c r="O171" s="7"/>
      <c r="P171" s="7"/>
      <c r="Q171" s="23"/>
      <c r="R171" s="23"/>
      <c r="S171" s="32">
        <f t="shared" si="44"/>
        <v>1</v>
      </c>
      <c r="T171" s="47" t="str">
        <f t="shared" si="45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6"/>
        <v>https://d0f6bd738d7f1b3e5a7ca70fe4ff75f0.us-east-1.aws.found.io/app/kibana#/discover/Steve-Slow-Train-Analysis-(2080s-and-2083s)?_g=(refreshInterval:(display:Off,pause:!f,section:0,value:0),time:(from:'2017-01-16T08:37:19-0700',mode:absolute,to:'2017-01-16T10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1" s="49" t="str">
        <f t="shared" si="47"/>
        <v>N</v>
      </c>
      <c r="X171" s="173">
        <f t="shared" si="48"/>
        <v>1</v>
      </c>
      <c r="Y171" s="64">
        <f t="shared" si="49"/>
        <v>5.8678999999999997</v>
      </c>
      <c r="Z171" s="64">
        <f t="shared" si="58"/>
        <v>7.3999999999999996E-2</v>
      </c>
      <c r="AA171" s="64">
        <f t="shared" si="50"/>
        <v>5.7938999999999998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51"/>
        <v>0814-16</v>
      </c>
      <c r="AE171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71" s="84" t="str">
        <f t="shared" si="53"/>
        <v>"C:\Program Files (x86)\AstroGrep\AstroGrep.exe" /spath="%USERPROFILE%\AppData\Local\Temp\OnboardLogs" /stypes="app*4041*20170116*" /stext=" 16:.+((SYSTEM_STATE.+slice.+state.+changed )|(ment ac)|(multiple cpu faults)|(system.+state.+changed )|(\[timeout)|(PRM\|1\|D)|(kpr)|(kdp)|(\|lc)|(penalty))" /e /r /s</v>
      </c>
      <c r="AG171" s="1" t="str">
        <f t="shared" si="54"/>
        <v>NW</v>
      </c>
      <c r="AH171" s="88" t="str">
        <f t="shared" si="55"/>
        <v>"%USERPROFILE%\Documents\GitHub\eaglep3\Utilities\RefineRTDCRunTimes.py" --tripid 814-16 --locoid 4041 --swversion DE.1.0.8.0 --startMP 300:58679 --initTime 2017-01-16T09:37:19 --startdatetime 2017-01-16T09:39:27 --delay 1 --endMP 204:740 --enddatetime 2017-01-16T09:55:50 --enforcementcount 0 &gt;&gt;C:\Users\stu\Documents\GitHub\eaglep3-reporting\EC\2017-01-16-refined-times.txt</v>
      </c>
      <c r="AI171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{"issue":{"subject":"","project_id":79,"tracker_id":40,"status_id":1,"priority_id":2,"assigned_to_id":23,"start_date":"2017-01-16","description":"","custom_fields":[{"id":1,"name":"Subdivision","value":"NW"},{"id":4,"name":"Milepost","value":"0.074"},{"id":17,"name":"Train ID","value":"814-16"},{"id":16,"name":"Locomotive ID","value":"4041"},{"id":130,"name":"Impact","value":""},{"id":150,"name":"Time of Event (Mountain Time)","value":"09:55:50"},{"id":151,"name":"Denver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57"/>
        <v>start /low /b %USERPROFILE%\Documents\GitHub\eaglep3\Utilities\DownloadLogsFromS3.py --loco 4041 --day 2017-01-16</v>
      </c>
      <c r="AN171" s="18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489</v>
      </c>
      <c r="B172" s="7">
        <v>4042</v>
      </c>
      <c r="C172" s="22" t="s">
        <v>201</v>
      </c>
      <c r="D172" s="22" t="s">
        <v>853</v>
      </c>
      <c r="E172" s="13">
        <v>42751.421365740738</v>
      </c>
      <c r="F172" s="13">
        <v>42751.431435185186</v>
      </c>
      <c r="G172" s="7">
        <v>1</v>
      </c>
      <c r="H172" s="22" t="s">
        <v>851</v>
      </c>
      <c r="I172" s="13">
        <v>42751.441805555558</v>
      </c>
      <c r="J172" s="7">
        <v>0</v>
      </c>
      <c r="K172" s="105" t="str">
        <f t="shared" si="41"/>
        <v>4041/4042</v>
      </c>
      <c r="L172" s="22" t="str">
        <f>VLOOKUP(A172,'Trips&amp;Operators'!$C$1:$G$99999,5,FALSE)</f>
        <v>MAHAN DUANE</v>
      </c>
      <c r="M172" s="6">
        <f t="shared" si="42"/>
        <v>1.0370370371674653E-2</v>
      </c>
      <c r="N172" s="7">
        <f t="shared" si="43"/>
        <v>14.933333335211501</v>
      </c>
      <c r="O172" s="7"/>
      <c r="P172" s="7"/>
      <c r="Q172" s="23"/>
      <c r="R172" s="23"/>
      <c r="S172" s="32">
        <f t="shared" si="44"/>
        <v>1</v>
      </c>
      <c r="T172" s="47" t="str">
        <f t="shared" si="45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6"/>
        <v>https://d0f6bd738d7f1b3e5a7ca70fe4ff75f0.us-east-1.aws.found.io/app/kibana#/discover/Steve-Slow-Train-Analysis-(2080s-and-2083s)?_g=(refreshInterval:(display:Off,pause:!f,section:0,value:0),time:(from:'2017-01-16T09:06:46-0700',mode:absolute,to:'2017-01-16T11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2" s="49" t="str">
        <f t="shared" si="47"/>
        <v>N</v>
      </c>
      <c r="X172" s="173">
        <f t="shared" si="48"/>
        <v>1</v>
      </c>
      <c r="Y172" s="64">
        <f t="shared" si="49"/>
        <v>0.1032</v>
      </c>
      <c r="Z172" s="64">
        <f t="shared" si="58"/>
        <v>5.899</v>
      </c>
      <c r="AA172" s="64">
        <f t="shared" si="50"/>
        <v>5.7957999999999998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51"/>
        <v>0815-16</v>
      </c>
      <c r="AE172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72" s="84" t="str">
        <f t="shared" si="53"/>
        <v>"C:\Program Files (x86)\AstroGrep\AstroGrep.exe" /spath="%USERPROFILE%\AppData\Local\Temp\OnboardLogs" /stypes="app*4042*20170116*" /stext=" 17:.+((SYSTEM_STATE.+slice.+state.+changed )|(ment ac)|(multiple cpu faults)|(system.+state.+changed )|(\[timeout)|(PRM\|1\|D)|(kpr)|(kdp)|(\|lc)|(penalty))" /e /r /s</v>
      </c>
      <c r="AG172" s="1" t="str">
        <f t="shared" si="54"/>
        <v>NW</v>
      </c>
      <c r="AH172" s="88" t="str">
        <f t="shared" si="55"/>
        <v>"%USERPROFILE%\Documents\GitHub\eaglep3\Utilities\RefineRTDCRunTimes.py" --tripid 815-16 --locoid 4042 --swversion DE.1.0.8.0 --startMP 204:1032 --initTime 2017-01-16T10:06:46 --startdatetime 2017-01-16T10:21:16 --delay 1 --endMP 300:58990 --enddatetime 2017-01-16T10:36:12 --enforcementcount 0 &gt;&gt;C:\Users\stu\Documents\GitHub\eaglep3-reporting\EC\2017-01-16-refined-times.txt</v>
      </c>
      <c r="AI172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{"issue":{"subject":"","project_id":79,"tracker_id":40,"status_id":1,"priority_id":2,"assigned_to_id":23,"start_date":"2017-01-16","description":"","custom_fields":[{"id":1,"name":"Subdivision","value":"NW"},{"id":4,"name":"Milepost","value":"5.899"},{"id":17,"name":"Train ID","value":"815-16"},{"id":16,"name":"Locomotive ID","value":"4042"},{"id":130,"name":"Impact","value":""},{"id":150,"name":"Time of Event (Mountain Time)","value":"10:36:12"},{"id":151,"name":"Denver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57"/>
        <v>start /low /b %USERPROFILE%\Documents\GitHub\eaglep3\Utilities\DownloadLogsFromS3.py --loco 4042 --day 2017-01-16</v>
      </c>
      <c r="AN172" s="18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578</v>
      </c>
      <c r="B173" s="7">
        <v>4041</v>
      </c>
      <c r="C173" s="22" t="s">
        <v>201</v>
      </c>
      <c r="D173" s="22" t="s">
        <v>359</v>
      </c>
      <c r="E173" s="13">
        <v>42751.444155092591</v>
      </c>
      <c r="F173" s="13">
        <v>42751.445613425924</v>
      </c>
      <c r="G173" s="7">
        <v>1</v>
      </c>
      <c r="H173" s="22" t="s">
        <v>854</v>
      </c>
      <c r="I173" s="13">
        <v>42751.454976851855</v>
      </c>
      <c r="J173" s="7">
        <v>0</v>
      </c>
      <c r="K173" s="105" t="str">
        <f t="shared" si="41"/>
        <v>4041/4042</v>
      </c>
      <c r="L173" s="22" t="str">
        <f>VLOOKUP(A173,'Trips&amp;Operators'!$C$1:$G$99999,5,FALSE)</f>
        <v>MAHAN DUANE</v>
      </c>
      <c r="M173" s="6">
        <f t="shared" si="42"/>
        <v>9.3634259319514968E-3</v>
      </c>
      <c r="N173" s="7">
        <f t="shared" si="43"/>
        <v>13.483333342010155</v>
      </c>
      <c r="O173" s="7"/>
      <c r="P173" s="7"/>
      <c r="Q173" s="23"/>
      <c r="R173" s="23"/>
      <c r="S173" s="32">
        <f t="shared" si="44"/>
        <v>1</v>
      </c>
      <c r="T173" s="47" t="str">
        <f t="shared" si="45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6"/>
        <v>https://d0f6bd738d7f1b3e5a7ca70fe4ff75f0.us-east-1.aws.found.io/app/kibana#/discover/Steve-Slow-Train-Analysis-(2080s-and-2083s)?_g=(refreshInterval:(display:Off,pause:!f,section:0,value:0),time:(from:'2017-01-16T09:39:35-0700',mode:absolute,to:'2017-01-16T11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3" s="49" t="str">
        <f t="shared" si="47"/>
        <v>N</v>
      </c>
      <c r="X173" s="173">
        <f t="shared" si="48"/>
        <v>1</v>
      </c>
      <c r="Y173" s="64">
        <f t="shared" si="49"/>
        <v>5.8662000000000001</v>
      </c>
      <c r="Z173" s="64">
        <f t="shared" si="58"/>
        <v>7.4300000000000005E-2</v>
      </c>
      <c r="AA173" s="64">
        <f t="shared" si="50"/>
        <v>5.7919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51"/>
        <v>0816-16</v>
      </c>
      <c r="AE173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73" s="84" t="str">
        <f t="shared" si="53"/>
        <v>"C:\Program Files (x86)\AstroGrep\AstroGrep.exe" /spath="%USERPROFILE%\AppData\Local\Temp\OnboardLogs" /stypes="app*4041*20170116*" /stext=" 17:.+((SYSTEM_STATE.+slice.+state.+changed )|(ment ac)|(multiple cpu faults)|(system.+state.+changed )|(\[timeout)|(PRM\|1\|D)|(kpr)|(kdp)|(\|lc)|(penalty))" /e /r /s</v>
      </c>
      <c r="AG173" s="1" t="str">
        <f t="shared" si="54"/>
        <v>NW</v>
      </c>
      <c r="AH173" s="88" t="str">
        <f t="shared" si="55"/>
        <v>"%USERPROFILE%\Documents\GitHub\eaglep3\Utilities\RefineRTDCRunTimes.py" --tripid 816-16 --locoid 4041 --swversion DE.1.0.8.0 --startMP 300:58662 --initTime 2017-01-16T10:39:35 --startdatetime 2017-01-16T10:41:41 --delay 1 --endMP 204:743 --enddatetime 2017-01-16T10:55:10 --enforcementcount 0 &gt;&gt;C:\Users\stu\Documents\GitHub\eaglep3-reporting\EC\2017-01-16-refined-times.txt</v>
      </c>
      <c r="AI173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{"issue":{"subject":"","project_id":79,"tracker_id":40,"status_id":1,"priority_id":2,"assigned_to_id":23,"start_date":"2017-01-16","description":"","custom_fields":[{"id":1,"name":"Subdivision","value":"NW"},{"id":4,"name":"Milepost","value":"0.0743"},{"id":17,"name":"Train ID","value":"816-16"},{"id":16,"name":"Locomotive ID","value":"4041"},{"id":130,"name":"Impact","value":""},{"id":150,"name":"Time of Event (Mountain Time)","value":"10:55:10"},{"id":151,"name":"Denver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57"/>
        <v>start /low /b %USERPROFILE%\Documents\GitHub\eaglep3\Utilities\DownloadLogsFromS3.py --loco 4041 --day 2017-01-16</v>
      </c>
      <c r="AN173" s="18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4" t="s">
        <v>583</v>
      </c>
      <c r="B174" s="7">
        <v>4042</v>
      </c>
      <c r="C174" s="22" t="s">
        <v>201</v>
      </c>
      <c r="D174" s="22" t="s">
        <v>855</v>
      </c>
      <c r="E174" s="13">
        <v>42751.461261574077</v>
      </c>
      <c r="F174" s="13">
        <v>42751.473287037035</v>
      </c>
      <c r="G174" s="7">
        <v>1</v>
      </c>
      <c r="H174" s="22" t="s">
        <v>834</v>
      </c>
      <c r="I174" s="13">
        <v>42751.483888888892</v>
      </c>
      <c r="J174" s="7">
        <v>0</v>
      </c>
      <c r="K174" s="105" t="str">
        <f t="shared" si="41"/>
        <v>4041/4042</v>
      </c>
      <c r="L174" s="22" t="str">
        <f>VLOOKUP(A174,'Trips&amp;Operators'!$C$1:$G$99999,5,FALSE)</f>
        <v>MAHAN DUANE</v>
      </c>
      <c r="M174" s="6">
        <f t="shared" si="42"/>
        <v>1.0601851856335998E-2</v>
      </c>
      <c r="N174" s="7">
        <f t="shared" si="43"/>
        <v>15.266666673123837</v>
      </c>
      <c r="O174" s="7"/>
      <c r="P174" s="7"/>
      <c r="Q174" s="23"/>
      <c r="R174" s="23"/>
      <c r="S174" s="32">
        <f t="shared" si="44"/>
        <v>1</v>
      </c>
      <c r="T174" s="47" t="str">
        <f t="shared" si="45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6"/>
        <v>https://d0f6bd738d7f1b3e5a7ca70fe4ff75f0.us-east-1.aws.found.io/app/kibana#/discover/Steve-Slow-Train-Analysis-(2080s-and-2083s)?_g=(refreshInterval:(display:Off,pause:!f,section:0,value:0),time:(from:'2017-01-16T10:04:13-0700',mode:absolute,to:'2017-01-16T12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4" s="49" t="str">
        <f t="shared" si="47"/>
        <v>N</v>
      </c>
      <c r="X174" s="173">
        <f t="shared" si="48"/>
        <v>1</v>
      </c>
      <c r="Y174" s="64">
        <f t="shared" si="49"/>
        <v>0.1056</v>
      </c>
      <c r="Z174" s="64">
        <f t="shared" si="58"/>
        <v>5.8967000000000001</v>
      </c>
      <c r="AA174" s="64">
        <f t="shared" si="50"/>
        <v>5.7911000000000001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51"/>
        <v>0817-16</v>
      </c>
      <c r="AE174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74" s="84" t="str">
        <f t="shared" si="53"/>
        <v>"C:\Program Files (x86)\AstroGrep\AstroGrep.exe" /spath="%USERPROFILE%\AppData\Local\Temp\OnboardLogs" /stypes="app*4042*20170116*" /stext=" 18:.+((SYSTEM_STATE.+slice.+state.+changed )|(ment ac)|(multiple cpu faults)|(system.+state.+changed )|(\[timeout)|(PRM\|1\|D)|(kpr)|(kdp)|(\|lc)|(penalty))" /e /r /s</v>
      </c>
      <c r="AG174" s="1" t="str">
        <f t="shared" si="54"/>
        <v>NW</v>
      </c>
      <c r="AH174" s="88" t="str">
        <f t="shared" si="55"/>
        <v>"%USERPROFILE%\Documents\GitHub\eaglep3\Utilities\RefineRTDCRunTimes.py" --tripid 817-16 --locoid 4042 --swversion DE.1.0.8.0 --startMP 204:1056 --initTime 2017-01-16T11:04:13 --startdatetime 2017-01-16T11:21:32 --delay 1 --endMP 300:58967 --enddatetime 2017-01-16T11:36:48 --enforcementcount 0 &gt;&gt;C:\Users\stu\Documents\GitHub\eaglep3-reporting\EC\2017-01-16-refined-times.txt</v>
      </c>
      <c r="AI174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{"issue":{"subject":"","project_id":79,"tracker_id":40,"status_id":1,"priority_id":2,"assigned_to_id":23,"start_date":"2017-01-16","description":"","custom_fields":[{"id":1,"name":"Subdivision","value":"NW"},{"id":4,"name":"Milepost","value":"5.8967"},{"id":17,"name":"Train ID","value":"817-16"},{"id":16,"name":"Locomotive ID","value":"4042"},{"id":130,"name":"Impact","value":""},{"id":150,"name":"Time of Event (Mountain Time)","value":"11:36:48"},{"id":151,"name":"Denver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57"/>
        <v>start /low /b %USERPROFILE%\Documents\GitHub\eaglep3\Utilities\DownloadLogsFromS3.py --loco 4042 --day 2017-01-16</v>
      </c>
      <c r="AN174" s="18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</row>
    <row r="175" spans="1:91" s="21" customFormat="1" x14ac:dyDescent="0.25">
      <c r="A175" s="34" t="s">
        <v>595</v>
      </c>
      <c r="B175" s="7">
        <v>4041</v>
      </c>
      <c r="C175" s="22" t="s">
        <v>201</v>
      </c>
      <c r="D175" s="22" t="s">
        <v>359</v>
      </c>
      <c r="E175" s="13">
        <v>42751.485046296293</v>
      </c>
      <c r="F175" s="13">
        <v>42751.486805555556</v>
      </c>
      <c r="G175" s="7">
        <v>1</v>
      </c>
      <c r="H175" s="22" t="s">
        <v>856</v>
      </c>
      <c r="I175" s="13">
        <v>42751.49763888889</v>
      </c>
      <c r="J175" s="7">
        <v>0</v>
      </c>
      <c r="K175" s="105" t="str">
        <f t="shared" si="41"/>
        <v>4041/4042</v>
      </c>
      <c r="L175" s="22" t="str">
        <f>VLOOKUP(A175,'Trips&amp;Operators'!$C$1:$G$99999,5,FALSE)</f>
        <v>MAHAN DUANE</v>
      </c>
      <c r="M175" s="6">
        <f t="shared" si="42"/>
        <v>1.0833333333721384E-2</v>
      </c>
      <c r="N175" s="7">
        <f t="shared" si="43"/>
        <v>15.600000000558794</v>
      </c>
      <c r="O175" s="7"/>
      <c r="P175" s="7"/>
      <c r="Q175" s="23"/>
      <c r="R175" s="23"/>
      <c r="S175" s="32">
        <f t="shared" si="44"/>
        <v>1</v>
      </c>
      <c r="T175" s="47" t="str">
        <f t="shared" si="45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6"/>
        <v>https://d0f6bd738d7f1b3e5a7ca70fe4ff75f0.us-east-1.aws.found.io/app/kibana#/discover/Steve-Slow-Train-Analysis-(2080s-and-2083s)?_g=(refreshInterval:(display:Off,pause:!f,section:0,value:0),time:(from:'2017-01-16T10:38:28-0700',mode:absolute,to:'2017-01-16T12:56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5" s="49" t="str">
        <f t="shared" si="47"/>
        <v>N</v>
      </c>
      <c r="X175" s="173">
        <f t="shared" si="48"/>
        <v>1</v>
      </c>
      <c r="Y175" s="64">
        <f t="shared" si="49"/>
        <v>5.8662000000000001</v>
      </c>
      <c r="Z175" s="64">
        <f t="shared" si="58"/>
        <v>7.5700000000000003E-2</v>
      </c>
      <c r="AA175" s="64">
        <f t="shared" si="50"/>
        <v>5.7904999999999998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51"/>
        <v>0818-16</v>
      </c>
      <c r="AE175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75" s="84" t="str">
        <f t="shared" si="53"/>
        <v>"C:\Program Files (x86)\AstroGrep\AstroGrep.exe" /spath="%USERPROFILE%\AppData\Local\Temp\OnboardLogs" /stypes="app*4041*20170116*" /stext=" 18:.+((SYSTEM_STATE.+slice.+state.+changed )|(ment ac)|(multiple cpu faults)|(system.+state.+changed )|(\[timeout)|(PRM\|1\|D)|(kpr)|(kdp)|(\|lc)|(penalty))" /e /r /s</v>
      </c>
      <c r="AG175" s="1" t="str">
        <f t="shared" si="54"/>
        <v>NW</v>
      </c>
      <c r="AH175" s="88" t="str">
        <f t="shared" si="55"/>
        <v>"%USERPROFILE%\Documents\GitHub\eaglep3\Utilities\RefineRTDCRunTimes.py" --tripid 818-16 --locoid 4041 --swversion DE.1.0.8.0 --startMP 300:58662 --initTime 2017-01-16T11:38:28 --startdatetime 2017-01-16T11:41:00 --delay 1 --endMP 204:757 --enddatetime 2017-01-16T11:56:36 --enforcementcount 0 &gt;&gt;C:\Users\stu\Documents\GitHub\eaglep3-reporting\EC\2017-01-16-refined-times.txt</v>
      </c>
      <c r="AI175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{"issue":{"subject":"","project_id":79,"tracker_id":40,"status_id":1,"priority_id":2,"assigned_to_id":23,"start_date":"2017-01-16","description":"","custom_fields":[{"id":1,"name":"Subdivision","value":"NW"},{"id":4,"name":"Milepost","value":"0.0757"},{"id":17,"name":"Train ID","value":"818-16"},{"id":16,"name":"Locomotive ID","value":"4041"},{"id":130,"name":"Impact","value":""},{"id":150,"name":"Time of Event (Mountain Time)","value":"11:56:36"},{"id":151,"name":"Denver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57"/>
        <v>start /low /b %USERPROFILE%\Documents\GitHub\eaglep3\Utilities\DownloadLogsFromS3.py --loco 4041 --day 2017-01-16</v>
      </c>
      <c r="AN175" s="18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493</v>
      </c>
      <c r="B176" s="7">
        <v>4042</v>
      </c>
      <c r="C176" s="22" t="s">
        <v>201</v>
      </c>
      <c r="D176" s="22" t="s">
        <v>857</v>
      </c>
      <c r="E176" s="13">
        <v>42751.508726851855</v>
      </c>
      <c r="F176" s="13">
        <v>42751.514745370368</v>
      </c>
      <c r="G176" s="7">
        <v>1</v>
      </c>
      <c r="H176" s="22" t="s">
        <v>858</v>
      </c>
      <c r="I176" s="13">
        <v>42751.525682870371</v>
      </c>
      <c r="J176" s="7">
        <v>0</v>
      </c>
      <c r="K176" s="105" t="str">
        <f t="shared" si="41"/>
        <v>4041/4042</v>
      </c>
      <c r="L176" s="22" t="str">
        <f>VLOOKUP(A176,'Trips&amp;Operators'!$C$1:$G$99999,5,FALSE)</f>
        <v>LALONDE GREGORY</v>
      </c>
      <c r="M176" s="6">
        <f t="shared" si="42"/>
        <v>1.0937500002910383E-2</v>
      </c>
      <c r="N176" s="7">
        <f t="shared" si="43"/>
        <v>15.750000004190952</v>
      </c>
      <c r="O176" s="7"/>
      <c r="P176" s="7"/>
      <c r="Q176" s="23"/>
      <c r="R176" s="23"/>
      <c r="S176" s="32">
        <f t="shared" si="44"/>
        <v>1</v>
      </c>
      <c r="T176" s="47" t="str">
        <f t="shared" si="45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6"/>
        <v>https://d0f6bd738d7f1b3e5a7ca70fe4ff75f0.us-east-1.aws.found.io/app/kibana#/discover/Steve-Slow-Train-Analysis-(2080s-and-2083s)?_g=(refreshInterval:(display:Off,pause:!f,section:0,value:0),time:(from:'2017-01-16T11:12:34-0700',mode:absolute,to:'2017-01-16T13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6" s="49" t="str">
        <f t="shared" si="47"/>
        <v>N</v>
      </c>
      <c r="X176" s="173">
        <f t="shared" si="48"/>
        <v>1</v>
      </c>
      <c r="Y176" s="64">
        <f t="shared" si="49"/>
        <v>0.1048</v>
      </c>
      <c r="Z176" s="64">
        <f t="shared" si="58"/>
        <v>5.8975999999999997</v>
      </c>
      <c r="AA176" s="64">
        <f t="shared" si="50"/>
        <v>5.7927999999999997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51"/>
        <v>0819-16</v>
      </c>
      <c r="AE176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76" s="84" t="str">
        <f t="shared" si="53"/>
        <v>"C:\Program Files (x86)\AstroGrep\AstroGrep.exe" /spath="%USERPROFILE%\AppData\Local\Temp\OnboardLogs" /stypes="app*4042*20170116*" /stext=" 19:.+((SYSTEM_STATE.+slice.+state.+changed )|(ment ac)|(multiple cpu faults)|(system.+state.+changed )|(\[timeout)|(PRM\|1\|D)|(kpr)|(kdp)|(\|lc)|(penalty))" /e /r /s</v>
      </c>
      <c r="AG176" s="1" t="str">
        <f t="shared" si="54"/>
        <v>NW</v>
      </c>
      <c r="AH176" s="88" t="str">
        <f t="shared" si="55"/>
        <v>"%USERPROFILE%\Documents\GitHub\eaglep3\Utilities\RefineRTDCRunTimes.py" --tripid 819-16 --locoid 4042 --swversion DE.1.0.8.0 --startMP 204:1048 --initTime 2017-01-16T12:12:34 --startdatetime 2017-01-16T12:21:14 --delay 1 --endMP 300:58976 --enddatetime 2017-01-16T12:36:59 --enforcementcount 0 &gt;&gt;C:\Users\stu\Documents\GitHub\eaglep3-reporting\EC\2017-01-16-refined-times.txt</v>
      </c>
      <c r="AI176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{"issue":{"subject":"","project_id":79,"tracker_id":40,"status_id":1,"priority_id":2,"assigned_to_id":23,"start_date":"2017-01-16","description":"","custom_fields":[{"id":1,"name":"Subdivision","value":"NW"},{"id":4,"name":"Milepost","value":"5.8976"},{"id":17,"name":"Train ID","value":"819-16"},{"id":16,"name":"Locomotive ID","value":"4042"},{"id":130,"name":"Impact","value":""},{"id":150,"name":"Time of Event (Mountain Time)","value":"12:36:59"},{"id":151,"name":"Denver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57"/>
        <v>start /low /b %USERPROFILE%\Documents\GitHub\eaglep3\Utilities\DownloadLogsFromS3.py --loco 4042 --day 2017-01-16</v>
      </c>
      <c r="AN176" s="18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610</v>
      </c>
      <c r="B177" s="7">
        <v>4041</v>
      </c>
      <c r="C177" s="22" t="s">
        <v>201</v>
      </c>
      <c r="D177" s="22" t="s">
        <v>835</v>
      </c>
      <c r="E177" s="13">
        <v>42751.529560185183</v>
      </c>
      <c r="F177" s="13">
        <v>42751.53087962963</v>
      </c>
      <c r="G177" s="7">
        <v>0</v>
      </c>
      <c r="H177" s="22" t="s">
        <v>859</v>
      </c>
      <c r="I177" s="13">
        <v>42751.540914351855</v>
      </c>
      <c r="J177" s="7">
        <v>0</v>
      </c>
      <c r="K177" s="105" t="str">
        <f t="shared" si="41"/>
        <v>4041/4042</v>
      </c>
      <c r="L177" s="22" t="str">
        <f>VLOOKUP(A177,'Trips&amp;Operators'!$C$1:$G$99999,5,FALSE)</f>
        <v>LALONDE GREGORY</v>
      </c>
      <c r="M177" s="6">
        <f t="shared" si="42"/>
        <v>1.0034722225100268E-2</v>
      </c>
      <c r="N177" s="7">
        <f t="shared" si="43"/>
        <v>14.450000004144385</v>
      </c>
      <c r="O177" s="7"/>
      <c r="P177" s="7"/>
      <c r="Q177" s="23"/>
      <c r="R177" s="23"/>
      <c r="S177" s="32">
        <f t="shared" si="44"/>
        <v>1</v>
      </c>
      <c r="T177" s="47" t="str">
        <f t="shared" si="45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6"/>
        <v>https://d0f6bd738d7f1b3e5a7ca70fe4ff75f0.us-east-1.aws.found.io/app/kibana#/discover/Steve-Slow-Train-Analysis-(2080s-and-2083s)?_g=(refreshInterval:(display:Off,pause:!f,section:0,value:0),time:(from:'2017-01-16T11:42:34-0700',mode:absolute,to:'2017-01-16T13:58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7" s="49" t="str">
        <f t="shared" si="47"/>
        <v>N</v>
      </c>
      <c r="X177" s="173">
        <f t="shared" si="48"/>
        <v>1</v>
      </c>
      <c r="Y177" s="64">
        <f t="shared" si="49"/>
        <v>5.8655999999999997</v>
      </c>
      <c r="Z177" s="64">
        <f t="shared" si="58"/>
        <v>7.6899999999999996E-2</v>
      </c>
      <c r="AA177" s="64">
        <f t="shared" si="50"/>
        <v>5.7886999999999995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51"/>
        <v>0820-16</v>
      </c>
      <c r="AE177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77" s="84" t="str">
        <f t="shared" si="53"/>
        <v>"C:\Program Files (x86)\AstroGrep\AstroGrep.exe" /spath="%USERPROFILE%\AppData\Local\Temp\OnboardLogs" /stypes="app*4041*20170116*" /stext=" 19:.+((SYSTEM_STATE.+slice.+state.+changed )|(ment ac)|(multiple cpu faults)|(system.+state.+changed )|(\[timeout)|(PRM\|1\|D)|(kpr)|(kdp)|(\|lc)|(penalty))" /e /r /s</v>
      </c>
      <c r="AG177" s="1" t="str">
        <f t="shared" si="54"/>
        <v>NW</v>
      </c>
      <c r="AH177" s="88" t="str">
        <f t="shared" si="55"/>
        <v>"%USERPROFILE%\Documents\GitHub\eaglep3\Utilities\RefineRTDCRunTimes.py" --tripid 820-16 --locoid 4041 --swversion DE.1.0.8.0 --startMP 300:58656 --initTime 2017-01-16T12:42:34 --startdatetime 2017-01-16T12:44:28 --delay 0 --endMP 204:769 --enddatetime 2017-01-16T12:58:55 --enforcementcount 0 &gt;&gt;C:\Users\stu\Documents\GitHub\eaglep3-reporting\EC\2017-01-16-refined-times.txt</v>
      </c>
      <c r="AI177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{"issue":{"subject":"","project_id":79,"tracker_id":40,"status_id":1,"priority_id":2,"assigned_to_id":23,"start_date":"2017-01-16","description":"","custom_fields":[{"id":1,"name":"Subdivision","value":"NW"},{"id":4,"name":"Milepost","value":"0.0769"},{"id":17,"name":"Train ID","value":"820-16"},{"id":16,"name":"Locomotive ID","value":"4041"},{"id":130,"name":"Impact","value":""},{"id":150,"name":"Time of Event (Mountain Time)","value":"12:58:55"},{"id":151,"name":"Denver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57"/>
        <v>start /low /b %USERPROFILE%\Documents\GitHub\eaglep3\Utilities\DownloadLogsFromS3.py --loco 4041 --day 2017-01-16</v>
      </c>
      <c r="AN177" s="18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608</v>
      </c>
      <c r="B178" s="7">
        <v>4042</v>
      </c>
      <c r="C178" s="22" t="s">
        <v>201</v>
      </c>
      <c r="D178" s="22" t="s">
        <v>860</v>
      </c>
      <c r="E178" s="13">
        <v>42751.544293981482</v>
      </c>
      <c r="F178" s="13">
        <v>42751.556423611109</v>
      </c>
      <c r="G178" s="7">
        <v>1</v>
      </c>
      <c r="H178" s="22" t="s">
        <v>861</v>
      </c>
      <c r="I178" s="13">
        <v>42751.566284722219</v>
      </c>
      <c r="J178" s="7">
        <v>0</v>
      </c>
      <c r="K178" s="105" t="str">
        <f t="shared" si="41"/>
        <v>4041/4042</v>
      </c>
      <c r="L178" s="22" t="str">
        <f>VLOOKUP(A178,'Trips&amp;Operators'!$C$1:$G$99999,5,FALSE)</f>
        <v>LALONDE GREGORY</v>
      </c>
      <c r="M178" s="6">
        <f t="shared" si="42"/>
        <v>9.8611111097852699E-3</v>
      </c>
      <c r="N178" s="7">
        <f t="shared" si="43"/>
        <v>14.199999998090789</v>
      </c>
      <c r="O178" s="7"/>
      <c r="P178" s="7"/>
      <c r="Q178" s="23"/>
      <c r="R178" s="23"/>
      <c r="S178" s="32">
        <f t="shared" si="44"/>
        <v>1</v>
      </c>
      <c r="T178" s="47" t="str">
        <f t="shared" si="45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6"/>
        <v>https://d0f6bd738d7f1b3e5a7ca70fe4ff75f0.us-east-1.aws.found.io/app/kibana#/discover/Steve-Slow-Train-Analysis-(2080s-and-2083s)?_g=(refreshInterval:(display:Off,pause:!f,section:0,value:0),time:(from:'2017-01-16T12:03:47-0700',mode:absolute,to:'2017-01-16T14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8" s="49" t="str">
        <f t="shared" si="47"/>
        <v>N</v>
      </c>
      <c r="X178" s="173">
        <f t="shared" si="48"/>
        <v>1</v>
      </c>
      <c r="Y178" s="64">
        <f t="shared" si="49"/>
        <v>0.10340000000000001</v>
      </c>
      <c r="Z178" s="64">
        <f t="shared" ref="Z178:Z209" si="59">RIGHT(H178,LEN(H178)-4)/10000</f>
        <v>5.8929</v>
      </c>
      <c r="AA178" s="64">
        <f t="shared" si="50"/>
        <v>5.7895000000000003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51"/>
        <v>0821-16</v>
      </c>
      <c r="AE178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78" s="84" t="str">
        <f t="shared" si="53"/>
        <v>"C:\Program Files (x86)\AstroGrep\AstroGrep.exe" /spath="%USERPROFILE%\AppData\Local\Temp\OnboardLogs" /stypes="app*4042*20170116*" /stext=" 20:.+((SYSTEM_STATE.+slice.+state.+changed )|(ment ac)|(multiple cpu faults)|(system.+state.+changed )|(\[timeout)|(PRM\|1\|D)|(kpr)|(kdp)|(\|lc)|(penalty))" /e /r /s</v>
      </c>
      <c r="AG178" s="1" t="str">
        <f t="shared" si="54"/>
        <v>NW</v>
      </c>
      <c r="AH178" s="88" t="str">
        <f t="shared" si="55"/>
        <v>"%USERPROFILE%\Documents\GitHub\eaglep3\Utilities\RefineRTDCRunTimes.py" --tripid 821-16 --locoid 4042 --swversion DE.1.0.8.0 --startMP 204:1034 --initTime 2017-01-16T13:03:47 --startdatetime 2017-01-16T13:21:15 --delay 1 --endMP 300:58929 --enddatetime 2017-01-16T13:35:27 --enforcementcount 0 &gt;&gt;C:\Users\stu\Documents\GitHub\eaglep3-reporting\EC\2017-01-16-refined-times.txt</v>
      </c>
      <c r="AI178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{"issue":{"subject":"","project_id":79,"tracker_id":40,"status_id":1,"priority_id":2,"assigned_to_id":23,"start_date":"2017-01-16","description":"","custom_fields":[{"id":1,"name":"Subdivision","value":"NW"},{"id":4,"name":"Milepost","value":"5.8929"},{"id":17,"name":"Train ID","value":"821-16"},{"id":16,"name":"Locomotive ID","value":"4042"},{"id":130,"name":"Impact","value":""},{"id":150,"name":"Time of Event (Mountain Time)","value":"13:35:27"},{"id":151,"name":"Denver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57"/>
        <v>start /low /b %USERPROFILE%\Documents\GitHub\eaglep3\Utilities\DownloadLogsFromS3.py --loco 4042 --day 2017-01-16</v>
      </c>
      <c r="AN178" s="18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617</v>
      </c>
      <c r="B179" s="7">
        <v>4041</v>
      </c>
      <c r="C179" s="22" t="s">
        <v>201</v>
      </c>
      <c r="D179" s="22" t="s">
        <v>862</v>
      </c>
      <c r="E179" s="13">
        <v>42751.567349537036</v>
      </c>
      <c r="F179" s="13">
        <v>42751.568819444445</v>
      </c>
      <c r="G179" s="7">
        <v>1</v>
      </c>
      <c r="H179" s="22" t="s">
        <v>863</v>
      </c>
      <c r="I179" s="13">
        <v>42751.580428240741</v>
      </c>
      <c r="J179" s="7">
        <v>0</v>
      </c>
      <c r="K179" s="105" t="str">
        <f t="shared" si="41"/>
        <v>4041/4042</v>
      </c>
      <c r="L179" s="22" t="str">
        <f>VLOOKUP(A179,'Trips&amp;Operators'!$C$1:$G$99999,5,FALSE)</f>
        <v>LALONDE GREGORY</v>
      </c>
      <c r="M179" s="6">
        <f t="shared" si="42"/>
        <v>1.1608796296059154E-2</v>
      </c>
      <c r="N179" s="7">
        <f t="shared" si="43"/>
        <v>16.716666666325182</v>
      </c>
      <c r="O179" s="7"/>
      <c r="P179" s="7"/>
      <c r="Q179" s="23"/>
      <c r="R179" s="23"/>
      <c r="S179" s="32">
        <f t="shared" si="44"/>
        <v>1</v>
      </c>
      <c r="T179" s="47" t="str">
        <f t="shared" si="45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6"/>
        <v>https://d0f6bd738d7f1b3e5a7ca70fe4ff75f0.us-east-1.aws.found.io/app/kibana#/discover/Steve-Slow-Train-Analysis-(2080s-and-2083s)?_g=(refreshInterval:(display:Off,pause:!f,section:0,value:0),time:(from:'2017-01-16T12:36:59-0700',mode:absolute,to:'2017-01-16T14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9" s="49" t="str">
        <f t="shared" si="47"/>
        <v>N</v>
      </c>
      <c r="X179" s="173">
        <f t="shared" si="48"/>
        <v>1</v>
      </c>
      <c r="Y179" s="64">
        <f t="shared" si="49"/>
        <v>5.8609</v>
      </c>
      <c r="Z179" s="64">
        <f t="shared" si="59"/>
        <v>6.8699999999999997E-2</v>
      </c>
      <c r="AA179" s="64">
        <f t="shared" si="50"/>
        <v>5.7922000000000002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51"/>
        <v>0822-16</v>
      </c>
      <c r="AE179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79" s="84" t="str">
        <f t="shared" si="53"/>
        <v>"C:\Program Files (x86)\AstroGrep\AstroGrep.exe" /spath="%USERPROFILE%\AppData\Local\Temp\OnboardLogs" /stypes="app*4041*20170116*" /stext=" 20:.+((SYSTEM_STATE.+slice.+state.+changed )|(ment ac)|(multiple cpu faults)|(system.+state.+changed )|(\[timeout)|(PRM\|1\|D)|(kpr)|(kdp)|(\|lc)|(penalty))" /e /r /s</v>
      </c>
      <c r="AG179" s="1" t="str">
        <f t="shared" si="54"/>
        <v>NW</v>
      </c>
      <c r="AH179" s="88" t="str">
        <f t="shared" si="55"/>
        <v>"%USERPROFILE%\Documents\GitHub\eaglep3\Utilities\RefineRTDCRunTimes.py" --tripid 822-16 --locoid 4041 --swversion DE.1.0.8.0 --startMP 300:58609 --initTime 2017-01-16T13:36:59 --startdatetime 2017-01-16T13:39:06 --delay 1 --endMP 204:687 --enddatetime 2017-01-16T13:55:49 --enforcementcount 0 &gt;&gt;C:\Users\stu\Documents\GitHub\eaglep3-reporting\EC\2017-01-16-refined-times.txt</v>
      </c>
      <c r="AI179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{"issue":{"subject":"","project_id":79,"tracker_id":40,"status_id":1,"priority_id":2,"assigned_to_id":23,"start_date":"2017-01-16","description":"","custom_fields":[{"id":1,"name":"Subdivision","value":"NW"},{"id":4,"name":"Milepost","value":"0.0687"},{"id":17,"name":"Train ID","value":"822-16"},{"id":16,"name":"Locomotive ID","value":"4041"},{"id":130,"name":"Impact","value":""},{"id":150,"name":"Time of Event (Mountain Time)","value":"13:55:49"},{"id":151,"name":"Denver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57"/>
        <v>start /low /b %USERPROFILE%\Documents\GitHub\eaglep3\Utilities\DownloadLogsFromS3.py --loco 4041 --day 2017-01-16</v>
      </c>
      <c r="AN179" s="18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622</v>
      </c>
      <c r="B180" s="7">
        <v>4042</v>
      </c>
      <c r="C180" s="22" t="s">
        <v>201</v>
      </c>
      <c r="D180" s="22" t="s">
        <v>394</v>
      </c>
      <c r="E180" s="13">
        <v>42751.584976851853</v>
      </c>
      <c r="F180" s="13">
        <v>42751.598182870373</v>
      </c>
      <c r="G180" s="7">
        <v>2</v>
      </c>
      <c r="H180" s="22" t="s">
        <v>403</v>
      </c>
      <c r="I180" s="13">
        <v>42751.609131944446</v>
      </c>
      <c r="J180" s="7">
        <v>0</v>
      </c>
      <c r="K180" s="105" t="str">
        <f t="shared" si="41"/>
        <v>4041/4042</v>
      </c>
      <c r="L180" s="22" t="str">
        <f>VLOOKUP(A180,'Trips&amp;Operators'!$C$1:$G$99999,5,FALSE)</f>
        <v>BRANDNER MELINDA</v>
      </c>
      <c r="M180" s="6">
        <f t="shared" si="42"/>
        <v>1.0949074072414078E-2</v>
      </c>
      <c r="N180" s="7">
        <f t="shared" si="43"/>
        <v>15.766666664276272</v>
      </c>
      <c r="O180" s="7"/>
      <c r="P180" s="7"/>
      <c r="Q180" s="23"/>
      <c r="R180" s="23"/>
      <c r="S180" s="32">
        <f t="shared" si="44"/>
        <v>1</v>
      </c>
      <c r="T180" s="47" t="str">
        <f t="shared" si="45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6"/>
        <v>https://d0f6bd738d7f1b3e5a7ca70fe4ff75f0.us-east-1.aws.found.io/app/kibana#/discover/Steve-Slow-Train-Analysis-(2080s-and-2083s)?_g=(refreshInterval:(display:Off,pause:!f,section:0,value:0),time:(from:'2017-01-16T13:02:22-0700',mode:absolute,to:'2017-01-16T15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0" s="49" t="str">
        <f t="shared" si="47"/>
        <v>N</v>
      </c>
      <c r="X180" s="173">
        <f t="shared" si="48"/>
        <v>1</v>
      </c>
      <c r="Y180" s="64">
        <f t="shared" si="49"/>
        <v>9.6199999999999994E-2</v>
      </c>
      <c r="Z180" s="64">
        <f t="shared" si="59"/>
        <v>5.8940999999999999</v>
      </c>
      <c r="AA180" s="64">
        <f t="shared" si="50"/>
        <v>5.7979000000000003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51"/>
        <v>0823-16</v>
      </c>
      <c r="AE180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80" s="84" t="str">
        <f t="shared" si="53"/>
        <v>"C:\Program Files (x86)\AstroGrep\AstroGrep.exe" /spath="%USERPROFILE%\AppData\Local\Temp\OnboardLogs" /stypes="app*4042*20170116*" /stext=" 21:.+((SYSTEM_STATE.+slice.+state.+changed )|(ment ac)|(multiple cpu faults)|(system.+state.+changed )|(\[timeout)|(PRM\|1\|D)|(kpr)|(kdp)|(\|lc)|(penalty))" /e /r /s</v>
      </c>
      <c r="AG180" s="1" t="str">
        <f t="shared" si="54"/>
        <v>NW</v>
      </c>
      <c r="AH180" s="88" t="str">
        <f t="shared" si="55"/>
        <v>"%USERPROFILE%\Documents\GitHub\eaglep3\Utilities\RefineRTDCRunTimes.py" --tripid 823-16 --locoid 4042 --swversion DE.1.0.8.0 --startMP 204:962 --initTime 2017-01-16T14:02:22 --startdatetime 2017-01-16T14:21:23 --delay 2 --endMP 300:58941 --enddatetime 2017-01-16T14:37:09 --enforcementcount 0 &gt;&gt;C:\Users\stu\Documents\GitHub\eaglep3-reporting\EC\2017-01-16-refined-times.txt</v>
      </c>
      <c r="AI180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{"issue":{"subject":"","project_id":79,"tracker_id":40,"status_id":1,"priority_id":2,"assigned_to_id":23,"start_date":"2017-01-16","description":"","custom_fields":[{"id":1,"name":"Subdivision","value":"NW"},{"id":4,"name":"Milepost","value":"5.8941"},{"id":17,"name":"Train ID","value":"823-16"},{"id":16,"name":"Locomotive ID","value":"4042"},{"id":130,"name":"Impact","value":""},{"id":150,"name":"Time of Event (Mountain Time)","value":"14:37:09"},{"id":151,"name":"Denver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57"/>
        <v>start /low /b %USERPROFILE%\Documents\GitHub\eaglep3\Utilities\DownloadLogsFromS3.py --loco 4042 --day 2017-01-16</v>
      </c>
      <c r="AN180" s="18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629</v>
      </c>
      <c r="B181" s="7">
        <v>4041</v>
      </c>
      <c r="C181" s="22" t="s">
        <v>201</v>
      </c>
      <c r="D181" s="22" t="s">
        <v>395</v>
      </c>
      <c r="E181" s="13">
        <v>42751.610173611109</v>
      </c>
      <c r="F181" s="13">
        <v>42751.612129629626</v>
      </c>
      <c r="G181" s="7">
        <v>1</v>
      </c>
      <c r="H181" s="22" t="s">
        <v>864</v>
      </c>
      <c r="I181" s="13">
        <v>42751.622881944444</v>
      </c>
      <c r="J181" s="7">
        <v>0</v>
      </c>
      <c r="K181" s="105" t="str">
        <f t="shared" si="41"/>
        <v>4041/4042</v>
      </c>
      <c r="L181" s="22" t="str">
        <f>VLOOKUP(A181,'Trips&amp;Operators'!$C$1:$G$99999,5,FALSE)</f>
        <v>BRANDNER MELINDA</v>
      </c>
      <c r="M181" s="6">
        <f t="shared" si="42"/>
        <v>1.0752314818091691E-2</v>
      </c>
      <c r="N181" s="7">
        <f t="shared" si="43"/>
        <v>15.483333338052034</v>
      </c>
      <c r="O181" s="7"/>
      <c r="P181" s="7"/>
      <c r="Q181" s="23"/>
      <c r="R181" s="23"/>
      <c r="S181" s="32">
        <f t="shared" si="44"/>
        <v>1</v>
      </c>
      <c r="T181" s="47" t="str">
        <f t="shared" si="45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6"/>
        <v>https://d0f6bd738d7f1b3e5a7ca70fe4ff75f0.us-east-1.aws.found.io/app/kibana#/discover/Steve-Slow-Train-Analysis-(2080s-and-2083s)?_g=(refreshInterval:(display:Off,pause:!f,section:0,value:0),time:(from:'2017-01-16T13:38:39-0700',mode:absolute,to:'2017-01-16T15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1" s="49" t="str">
        <f t="shared" si="47"/>
        <v>N</v>
      </c>
      <c r="X181" s="173">
        <f t="shared" si="48"/>
        <v>1</v>
      </c>
      <c r="Y181" s="64">
        <f t="shared" si="49"/>
        <v>5.8632</v>
      </c>
      <c r="Z181" s="64">
        <f t="shared" si="59"/>
        <v>7.5200000000000003E-2</v>
      </c>
      <c r="AA181" s="64">
        <f t="shared" si="50"/>
        <v>5.7880000000000003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51"/>
        <v>0824-16</v>
      </c>
      <c r="AE181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81" s="84" t="str">
        <f t="shared" si="53"/>
        <v>"C:\Program Files (x86)\AstroGrep\AstroGrep.exe" /spath="%USERPROFILE%\AppData\Local\Temp\OnboardLogs" /stypes="app*4041*20170116*" /stext=" 21:.+((SYSTEM_STATE.+slice.+state.+changed )|(ment ac)|(multiple cpu faults)|(system.+state.+changed )|(\[timeout)|(PRM\|1\|D)|(kpr)|(kdp)|(\|lc)|(penalty))" /e /r /s</v>
      </c>
      <c r="AG181" s="1" t="str">
        <f t="shared" si="54"/>
        <v>NW</v>
      </c>
      <c r="AH181" s="88" t="str">
        <f t="shared" si="55"/>
        <v>"%USERPROFILE%\Documents\GitHub\eaglep3\Utilities\RefineRTDCRunTimes.py" --tripid 824-16 --locoid 4041 --swversion DE.1.0.8.0 --startMP 300:58632 --initTime 2017-01-16T14:38:39 --startdatetime 2017-01-16T14:41:28 --delay 1 --endMP 204:752 --enddatetime 2017-01-16T14:56:57 --enforcementcount 0 &gt;&gt;C:\Users\stu\Documents\GitHub\eaglep3-reporting\EC\2017-01-16-refined-times.txt</v>
      </c>
      <c r="AI181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{"issue":{"subject":"","project_id":79,"tracker_id":40,"status_id":1,"priority_id":2,"assigned_to_id":23,"start_date":"2017-01-16","description":"","custom_fields":[{"id":1,"name":"Subdivision","value":"NW"},{"id":4,"name":"Milepost","value":"0.0752"},{"id":17,"name":"Train ID","value":"824-16"},{"id":16,"name":"Locomotive ID","value":"4041"},{"id":130,"name":"Impact","value":""},{"id":150,"name":"Time of Event (Mountain Time)","value":"14:56:57"},{"id":151,"name":"Denver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57"/>
        <v>start /low /b %USERPROFILE%\Documents\GitHub\eaglep3\Utilities\DownloadLogsFromS3.py --loco 4041 --day 2017-01-16</v>
      </c>
      <c r="AN181" s="18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635</v>
      </c>
      <c r="B182" s="7">
        <v>4042</v>
      </c>
      <c r="C182" s="22" t="s">
        <v>201</v>
      </c>
      <c r="D182" s="22" t="s">
        <v>833</v>
      </c>
      <c r="E182" s="13">
        <v>42751.629548611112</v>
      </c>
      <c r="F182" s="13">
        <v>42751.656064814815</v>
      </c>
      <c r="G182" s="7">
        <v>1</v>
      </c>
      <c r="H182" s="22" t="s">
        <v>361</v>
      </c>
      <c r="I182" s="13">
        <v>42751.665983796294</v>
      </c>
      <c r="J182" s="7">
        <v>0</v>
      </c>
      <c r="K182" s="105" t="str">
        <f t="shared" si="41"/>
        <v>4041/4042</v>
      </c>
      <c r="L182" s="22" t="str">
        <f>VLOOKUP(A182,'Trips&amp;Operators'!$C$1:$G$99999,5,FALSE)</f>
        <v>BRANDNER MELINDA</v>
      </c>
      <c r="M182" s="6">
        <f t="shared" si="42"/>
        <v>9.9189814791316167E-3</v>
      </c>
      <c r="N182" s="7">
        <f t="shared" si="43"/>
        <v>14.283333329949528</v>
      </c>
      <c r="O182" s="7"/>
      <c r="P182" s="7"/>
      <c r="Q182" s="23"/>
      <c r="R182" s="23"/>
      <c r="S182" s="32">
        <f t="shared" si="44"/>
        <v>1</v>
      </c>
      <c r="T182" s="47" t="str">
        <f t="shared" si="45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6"/>
        <v>https://d0f6bd738d7f1b3e5a7ca70fe4ff75f0.us-east-1.aws.found.io/app/kibana#/discover/Steve-Slow-Train-Analysis-(2080s-and-2083s)?_g=(refreshInterval:(display:Off,pause:!f,section:0,value:0),time:(from:'2017-01-16T14:06:33-0700',mode:absolute,to:'2017-01-16T16:59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2" s="49" t="str">
        <f t="shared" si="47"/>
        <v>N</v>
      </c>
      <c r="X182" s="173">
        <f t="shared" si="48"/>
        <v>1</v>
      </c>
      <c r="Y182" s="64">
        <f t="shared" si="49"/>
        <v>0.1028</v>
      </c>
      <c r="Z182" s="64">
        <f t="shared" si="59"/>
        <v>5.8959999999999999</v>
      </c>
      <c r="AA182" s="64">
        <f t="shared" si="50"/>
        <v>5.7931999999999997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51"/>
        <v>0825-16</v>
      </c>
      <c r="AE182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82" s="84" t="str">
        <f t="shared" si="53"/>
        <v>"C:\Program Files (x86)\AstroGrep\AstroGrep.exe" /spath="%USERPROFILE%\AppData\Local\Temp\OnboardLogs" /stypes="app*4042*20170116*" /stext=" 22:.+((SYSTEM_STATE.+slice.+state.+changed )|(ment ac)|(multiple cpu faults)|(system.+state.+changed )|(\[timeout)|(PRM\|1\|D)|(kpr)|(kdp)|(\|lc)|(penalty))" /e /r /s</v>
      </c>
      <c r="AG182" s="1" t="str">
        <f t="shared" si="54"/>
        <v>NW</v>
      </c>
      <c r="AH182" s="88" t="str">
        <f t="shared" si="55"/>
        <v>"%USERPROFILE%\Documents\GitHub\eaglep3\Utilities\RefineRTDCRunTimes.py" --tripid 825-16 --locoid 4042 --swversion DE.1.0.8.0 --startMP 204:1028 --initTime 2017-01-16T15:06:33 --startdatetime 2017-01-16T15:44:44 --delay 1 --endMP 300:58960 --enddatetime 2017-01-16T15:59:01 --enforcementcount 0 &gt;&gt;C:\Users\stu\Documents\GitHub\eaglep3-reporting\EC\2017-01-16-refined-times.txt</v>
      </c>
      <c r="AI182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{"issue":{"subject":"","project_id":79,"tracker_id":40,"status_id":1,"priority_id":2,"assigned_to_id":23,"start_date":"2017-01-16","description":"","custom_fields":[{"id":1,"name":"Subdivision","value":"NW"},{"id":4,"name":"Milepost","value":"5.896"},{"id":17,"name":"Train ID","value":"825-16"},{"id":16,"name":"Locomotive ID","value":"4042"},{"id":130,"name":"Impact","value":""},{"id":150,"name":"Time of Event (Mountain Time)","value":"15:59:01"},{"id":151,"name":"Denver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57"/>
        <v>start /low /b %USERPROFILE%\Documents\GitHub\eaglep3\Utilities\DownloadLogsFromS3.py --loco 4042 --day 2017-01-16</v>
      </c>
      <c r="AN182" s="18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4" t="s">
        <v>642</v>
      </c>
      <c r="B183" s="7">
        <v>4041</v>
      </c>
      <c r="C183" s="22" t="s">
        <v>201</v>
      </c>
      <c r="D183" s="22" t="s">
        <v>321</v>
      </c>
      <c r="E183" s="13">
        <v>42751.654826388891</v>
      </c>
      <c r="F183" s="13">
        <v>42751.656064814815</v>
      </c>
      <c r="G183" s="7">
        <v>1</v>
      </c>
      <c r="H183" s="22" t="s">
        <v>386</v>
      </c>
      <c r="I183" s="13">
        <v>42751.665983796294</v>
      </c>
      <c r="J183" s="7">
        <v>0</v>
      </c>
      <c r="K183" s="105" t="str">
        <f t="shared" si="41"/>
        <v>4041/4042</v>
      </c>
      <c r="L183" s="22" t="str">
        <f>VLOOKUP(A183,'Trips&amp;Operators'!$C$1:$G$99999,5,FALSE)</f>
        <v>BRANDNER MELINDA</v>
      </c>
      <c r="M183" s="6">
        <f t="shared" si="42"/>
        <v>9.9189814791316167E-3</v>
      </c>
      <c r="N183" s="7">
        <f t="shared" si="43"/>
        <v>14.283333329949528</v>
      </c>
      <c r="O183" s="7"/>
      <c r="P183" s="7"/>
      <c r="Q183" s="23"/>
      <c r="R183" s="23"/>
      <c r="S183" s="32">
        <f t="shared" si="44"/>
        <v>1</v>
      </c>
      <c r="T183" s="47" t="str">
        <f t="shared" si="45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6"/>
        <v>https://d0f6bd738d7f1b3e5a7ca70fe4ff75f0.us-east-1.aws.found.io/app/kibana#/discover/Steve-Slow-Train-Analysis-(2080s-and-2083s)?_g=(refreshInterval:(display:Off,pause:!f,section:0,value:0),time:(from:'2017-01-16T14:42:57-0700',mode:absolute,to:'2017-01-16T16:59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3" s="49" t="str">
        <f t="shared" si="47"/>
        <v>N</v>
      </c>
      <c r="X183" s="173">
        <f t="shared" si="48"/>
        <v>1</v>
      </c>
      <c r="Y183" s="64">
        <f t="shared" si="49"/>
        <v>5.8638000000000003</v>
      </c>
      <c r="Z183" s="64">
        <f t="shared" si="59"/>
        <v>7.4099999999999999E-2</v>
      </c>
      <c r="AA183" s="64">
        <f t="shared" si="50"/>
        <v>5.7897000000000007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51"/>
        <v>0826-16</v>
      </c>
      <c r="AE183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83" s="84" t="str">
        <f t="shared" si="53"/>
        <v>"C:\Program Files (x86)\AstroGrep\AstroGrep.exe" /spath="%USERPROFILE%\AppData\Local\Temp\OnboardLogs" /stypes="app*4041*20170116*" /stext=" 22:.+((SYSTEM_STATE.+slice.+state.+changed )|(ment ac)|(multiple cpu faults)|(system.+state.+changed )|(\[timeout)|(PRM\|1\|D)|(kpr)|(kdp)|(\|lc)|(penalty))" /e /r /s</v>
      </c>
      <c r="AG183" s="1" t="str">
        <f t="shared" si="54"/>
        <v>NW</v>
      </c>
      <c r="AH183" s="88" t="str">
        <f t="shared" si="55"/>
        <v>"%USERPROFILE%\Documents\GitHub\eaglep3\Utilities\RefineRTDCRunTimes.py" --tripid 826-16 --locoid 4041 --swversion DE.1.0.8.0 --startMP 300:58638 --initTime 2017-01-16T15:42:57 --startdatetime 2017-01-16T15:44:44 --delay 1 --endMP 204:741 --enddatetime 2017-01-16T15:59:01 --enforcementcount 0 &gt;&gt;C:\Users\stu\Documents\GitHub\eaglep3-reporting\EC\2017-01-16-refined-times.txt</v>
      </c>
      <c r="AI183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{"issue":{"subject":"","project_id":79,"tracker_id":40,"status_id":1,"priority_id":2,"assigned_to_id":23,"start_date":"2017-01-16","description":"","custom_fields":[{"id":1,"name":"Subdivision","value":"NW"},{"id":4,"name":"Milepost","value":"0.0741"},{"id":17,"name":"Train ID","value":"826-16"},{"id":16,"name":"Locomotive ID","value":"4041"},{"id":130,"name":"Impact","value":""},{"id":150,"name":"Time of Event (Mountain Time)","value":"15:59:01"},{"id":151,"name":"Denver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57"/>
        <v>start /low /b %USERPROFILE%\Documents\GitHub\eaglep3\Utilities\DownloadLogsFromS3.py --loco 4041 --day 2017-01-16</v>
      </c>
      <c r="AN183" s="18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</row>
    <row r="184" spans="1:91" x14ac:dyDescent="0.25">
      <c r="A184" s="34" t="s">
        <v>639</v>
      </c>
      <c r="B184" s="7">
        <v>4027</v>
      </c>
      <c r="C184" s="22" t="s">
        <v>201</v>
      </c>
      <c r="D184" s="22" t="s">
        <v>865</v>
      </c>
      <c r="E184" s="13">
        <v>42751.64912037037</v>
      </c>
      <c r="F184" s="13">
        <v>42751.660578703704</v>
      </c>
      <c r="G184" s="7">
        <v>2</v>
      </c>
      <c r="H184" s="22" t="s">
        <v>866</v>
      </c>
      <c r="I184" s="13">
        <v>42751.670335648145</v>
      </c>
      <c r="J184" s="7">
        <v>0</v>
      </c>
      <c r="K184" s="105" t="str">
        <f t="shared" si="41"/>
        <v>4027/4028</v>
      </c>
      <c r="L184" s="22" t="str">
        <f>VLOOKUP(A184,'Trips&amp;Operators'!$C$1:$G$99999,5,FALSE)</f>
        <v>NEWELL JAMES</v>
      </c>
      <c r="M184" s="6">
        <f t="shared" si="42"/>
        <v>9.7569444405962713E-3</v>
      </c>
      <c r="N184" s="7">
        <f t="shared" si="43"/>
        <v>14.049999994458631</v>
      </c>
      <c r="O184" s="7"/>
      <c r="P184" s="7"/>
      <c r="Q184" s="23"/>
      <c r="R184" s="23"/>
      <c r="S184" s="32">
        <f t="shared" si="44"/>
        <v>1</v>
      </c>
      <c r="T184" s="47" t="str">
        <f t="shared" si="45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6"/>
        <v>https://d0f6bd738d7f1b3e5a7ca70fe4ff75f0.us-east-1.aws.found.io/app/kibana#/discover/Steve-Slow-Train-Analysis-(2080s-and-2083s)?_g=(refreshInterval:(display:Off,pause:!f,section:0,value:0),time:(from:'2017-01-16T14:34:44-0700',mode:absolute,to:'2017-01-16T17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4" s="49" t="str">
        <f t="shared" si="47"/>
        <v>N</v>
      </c>
      <c r="X184" s="173">
        <f t="shared" si="48"/>
        <v>1</v>
      </c>
      <c r="Y184" s="64">
        <f t="shared" si="49"/>
        <v>9.5000000000000001E-2</v>
      </c>
      <c r="Z184" s="64">
        <f t="shared" si="59"/>
        <v>5.8920000000000003</v>
      </c>
      <c r="AA184" s="64">
        <f t="shared" si="50"/>
        <v>5.7970000000000006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51"/>
        <v>0827-16</v>
      </c>
      <c r="AE184" s="87" t="str">
        <f t="shared" si="52"/>
        <v>aws s3 cp s3://rtdc.mdm.uploadarchive.raw/RTDC4027/ "%USERPROFILE%\AppData\Local\Temp\OnboardLogs"\RTDC4027\2017-01-16 --exclude "*" --recursive --include "*20170116*" &amp; "%USERPROFILE%\Documents\GitHub\mrs-test-scripts\Headless Mode &amp; Sideloading\WalkAndUnGZ.bat" "%USERPROFILE%\AppData\Local\Temp\OnboardLogs"\RTDC4027\2017-01-16 &amp; 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</v>
      </c>
      <c r="AF184" s="84" t="str">
        <f t="shared" si="53"/>
        <v>"C:\Program Files (x86)\AstroGrep\AstroGrep.exe" /spath="%USERPROFILE%\AppData\Local\Temp\OnboardLogs" /stypes="app*4027*20170116*" /stext=" 23:.+((SYSTEM_STATE.+slice.+state.+changed )|(ment ac)|(multiple cpu faults)|(system.+state.+changed )|(\[timeout)|(PRM\|1\|D)|(kpr)|(kdp)|(\|lc)|(penalty))" /e /r /s</v>
      </c>
      <c r="AG184" s="1" t="str">
        <f t="shared" si="54"/>
        <v>NW</v>
      </c>
      <c r="AH184" s="88" t="str">
        <f t="shared" si="55"/>
        <v>"%USERPROFILE%\Documents\GitHub\eaglep3\Utilities\RefineRTDCRunTimes.py" --tripid 827-16 --locoid 4027 --swversion DE.1.0.8.0 --startMP 204:950 --initTime 2017-01-16T15:34:44 --startdatetime 2017-01-16T15:51:14 --delay 2 --endMP 300:58920 --enddatetime 2017-01-16T16:05:17 --enforcementcount 0 &gt;&gt;C:\Users\stu\Documents\GitHub\eaglep3-reporting\EC\2017-01-16-refined-times.txt</v>
      </c>
      <c r="AI184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{"issue":{"subject":"","project_id":79,"tracker_id":40,"status_id":1,"priority_id":2,"assigned_to_id":23,"start_date":"2017-01-16","description":"","custom_fields":[{"id":1,"name":"Subdivision","value":"NW"},{"id":4,"name":"Milepost","value":"5.892"},{"id":17,"name":"Train ID","value":"827-16"},{"id":16,"name":"Locomotive ID","value":"4027"},{"id":130,"name":"Impact","value":""},{"id":150,"name":"Time of Event (Mountain Time)","value":"16:05:17"},{"id":151,"name":"Denver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57"/>
        <v>start /low /b %USERPROFILE%\Documents\GitHub\eaglep3\Utilities\DownloadLogsFromS3.py --loco 4027 --day 2017-01-16</v>
      </c>
      <c r="AN184" s="18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"%USERPROFILE%\AppData\Local\Temp\OnboardLogs"\RTDC4027\*4027*20170116* | grep -SE "(Enforcement Action)|(\[TIMEOUT)|(CHR.+\|PRM\|1\|D.+(SWITCH|SIGNAL).+UNKNOWN)" - &gt;&gt; 2017-01-16-UncaughtWiMAX.txt</v>
      </c>
    </row>
    <row r="185" spans="1:91" x14ac:dyDescent="0.25">
      <c r="A185" s="34" t="s">
        <v>495</v>
      </c>
      <c r="B185" s="7">
        <v>4028</v>
      </c>
      <c r="C185" s="22" t="s">
        <v>201</v>
      </c>
      <c r="D185" s="22" t="s">
        <v>862</v>
      </c>
      <c r="E185" s="13">
        <v>42751.671134259261</v>
      </c>
      <c r="F185" s="13">
        <v>42751.672407407408</v>
      </c>
      <c r="G185" s="7">
        <v>1</v>
      </c>
      <c r="H185" s="22" t="s">
        <v>867</v>
      </c>
      <c r="I185" s="13">
        <v>42751.684178240743</v>
      </c>
      <c r="J185" s="7">
        <v>0</v>
      </c>
      <c r="K185" s="105" t="str">
        <f t="shared" si="41"/>
        <v>4027/4028</v>
      </c>
      <c r="L185" s="22" t="str">
        <f>VLOOKUP(A185,'Trips&amp;Operators'!$C$1:$G$99999,5,FALSE)</f>
        <v>NEWELL JAMES</v>
      </c>
      <c r="M185" s="6">
        <f t="shared" si="42"/>
        <v>1.1770833334594499E-2</v>
      </c>
      <c r="N185" s="7">
        <f t="shared" si="43"/>
        <v>16.950000001816079</v>
      </c>
      <c r="O185" s="7"/>
      <c r="P185" s="7"/>
      <c r="Q185" s="23"/>
      <c r="R185" s="23"/>
      <c r="S185" s="32">
        <f t="shared" si="44"/>
        <v>1</v>
      </c>
      <c r="T185" s="47" t="str">
        <f t="shared" si="45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6"/>
        <v>https://d0f6bd738d7f1b3e5a7ca70fe4ff75f0.us-east-1.aws.found.io/app/kibana#/discover/Steve-Slow-Train-Analysis-(2080s-and-2083s)?_g=(refreshInterval:(display:Off,pause:!f,section:0,value:0),time:(from:'2017-01-16T15:06:26-0700',mode:absolute,to:'2017-01-16T17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5" s="49" t="str">
        <f t="shared" si="47"/>
        <v>N</v>
      </c>
      <c r="X185" s="173">
        <f t="shared" si="48"/>
        <v>1</v>
      </c>
      <c r="Y185" s="64">
        <f t="shared" si="49"/>
        <v>5.8609</v>
      </c>
      <c r="Z185" s="64">
        <f t="shared" si="59"/>
        <v>6.9800000000000001E-2</v>
      </c>
      <c r="AA185" s="64">
        <f t="shared" si="50"/>
        <v>5.7911000000000001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51"/>
        <v>0828-16</v>
      </c>
      <c r="AE185" s="87" t="str">
        <f t="shared" si="52"/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AF185" s="84" t="str">
        <f t="shared" si="53"/>
        <v>"C:\Program Files (x86)\AstroGrep\AstroGrep.exe" /spath="%USERPROFILE%\AppData\Local\Temp\OnboardLogs" /stypes="app*4028*20170116*" /stext=" 23:.+((SYSTEM_STATE.+slice.+state.+changed )|(ment ac)|(multiple cpu faults)|(system.+state.+changed )|(\[timeout)|(PRM\|1\|D)|(kpr)|(kdp)|(\|lc)|(penalty))" /e /r /s</v>
      </c>
      <c r="AG185" s="1" t="str">
        <f t="shared" si="54"/>
        <v>NW</v>
      </c>
      <c r="AH185" s="88" t="str">
        <f t="shared" si="55"/>
        <v>"%USERPROFILE%\Documents\GitHub\eaglep3\Utilities\RefineRTDCRunTimes.py" --tripid 828-16 --locoid 4028 --swversion DE.1.0.8.0 --startMP 300:58609 --initTime 2017-01-16T16:06:26 --startdatetime 2017-01-16T16:08:16 --delay 1 --endMP 204:698 --enddatetime 2017-01-16T16:25:13 --enforcementcount 0 &gt;&gt;C:\Users\stu\Documents\GitHub\eaglep3-reporting\EC\2017-01-16-refined-times.txt</v>
      </c>
      <c r="AI185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{"issue":{"subject":"","project_id":79,"tracker_id":40,"status_id":1,"priority_id":2,"assigned_to_id":23,"start_date":"2017-01-16","description":"","custom_fields":[{"id":1,"name":"Subdivision","value":"NW"},{"id":4,"name":"Milepost","value":"0.0698"},{"id":17,"name":"Train ID","value":"828-16"},{"id":16,"name":"Locomotive ID","value":"4028"},{"id":130,"name":"Impact","value":""},{"id":150,"name":"Time of Event (Mountain Time)","value":"16:25:13"},{"id":151,"name":"Denver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57"/>
        <v>start /low /b %USERPROFILE%\Documents\GitHub\eaglep3\Utilities\DownloadLogsFromS3.py --loco 4028 --day 2017-01-16</v>
      </c>
      <c r="AN185" s="18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"%USERPROFILE%\AppData\Local\Temp\OnboardLogs"\RTDC4028\*4028*20170116* | grep -SE "(Enforcement Action)|(\[TIMEOUT)|(CHR.+\|PRM\|1\|D.+(SWITCH|SIGNAL).+UNKNOWN)" - &gt;&gt; 2017-01-16-UncaughtWiMAX.txt</v>
      </c>
    </row>
    <row r="186" spans="1:91" x14ac:dyDescent="0.25">
      <c r="A186" s="34" t="s">
        <v>496</v>
      </c>
      <c r="B186" s="7">
        <v>4042</v>
      </c>
      <c r="C186" s="22" t="s">
        <v>201</v>
      </c>
      <c r="D186" s="22" t="s">
        <v>853</v>
      </c>
      <c r="E186" s="13">
        <v>42751.677349537036</v>
      </c>
      <c r="F186" s="13">
        <v>42751.681423611109</v>
      </c>
      <c r="G186" s="7">
        <v>1</v>
      </c>
      <c r="H186" s="22" t="s">
        <v>398</v>
      </c>
      <c r="I186" s="13">
        <v>42751.691377314812</v>
      </c>
      <c r="J186" s="7">
        <v>0</v>
      </c>
      <c r="K186" s="105" t="str">
        <f t="shared" si="41"/>
        <v>4041/4042</v>
      </c>
      <c r="L186" s="22" t="str">
        <f>VLOOKUP(A186,'Trips&amp;Operators'!$C$1:$G$99999,5,FALSE)</f>
        <v>LEVIN SCOTT</v>
      </c>
      <c r="M186" s="6">
        <f t="shared" si="42"/>
        <v>9.9537037021946162E-3</v>
      </c>
      <c r="N186" s="7">
        <f t="shared" si="43"/>
        <v>14.333333331160247</v>
      </c>
      <c r="O186" s="7"/>
      <c r="P186" s="7"/>
      <c r="Q186" s="23"/>
      <c r="R186" s="23"/>
      <c r="S186" s="32">
        <f t="shared" si="44"/>
        <v>1</v>
      </c>
      <c r="T186" s="47" t="str">
        <f t="shared" si="45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6"/>
        <v>https://d0f6bd738d7f1b3e5a7ca70fe4ff75f0.us-east-1.aws.found.io/app/kibana#/discover/Steve-Slow-Train-Analysis-(2080s-and-2083s)?_g=(refreshInterval:(display:Off,pause:!f,section:0,value:0),time:(from:'2017-01-16T15:15:23-0700',mode:absolute,to:'2017-01-16T17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6" s="49" t="str">
        <f t="shared" si="47"/>
        <v>N</v>
      </c>
      <c r="X186" s="173">
        <f t="shared" si="48"/>
        <v>1</v>
      </c>
      <c r="Y186" s="64">
        <f t="shared" si="49"/>
        <v>0.1032</v>
      </c>
      <c r="Z186" s="64">
        <f t="shared" si="59"/>
        <v>5.8935000000000004</v>
      </c>
      <c r="AA186" s="64">
        <f t="shared" si="50"/>
        <v>5.7903000000000002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51"/>
        <v>0829-16</v>
      </c>
      <c r="AE186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86" s="84" t="str">
        <f t="shared" si="53"/>
        <v>"C:\Program Files (x86)\AstroGrep\AstroGrep.exe" /spath="%USERPROFILE%\AppData\Local\Temp\OnboardLogs" /stypes="app*4042*20170116*" /stext=" 23:.+((SYSTEM_STATE.+slice.+state.+changed )|(ment ac)|(multiple cpu faults)|(system.+state.+changed )|(\[timeout)|(PRM\|1\|D)|(kpr)|(kdp)|(\|lc)|(penalty))" /e /r /s</v>
      </c>
      <c r="AG186" s="1" t="str">
        <f t="shared" si="54"/>
        <v>NW</v>
      </c>
      <c r="AH186" s="88" t="str">
        <f t="shared" si="55"/>
        <v>"%USERPROFILE%\Documents\GitHub\eaglep3\Utilities\RefineRTDCRunTimes.py" --tripid 829-16 --locoid 4042 --swversion DE.1.0.8.0 --startMP 204:1032 --initTime 2017-01-16T16:15:23 --startdatetime 2017-01-16T16:21:15 --delay 1 --endMP 300:58935 --enddatetime 2017-01-16T16:35:35 --enforcementcount 0 &gt;&gt;C:\Users\stu\Documents\GitHub\eaglep3-reporting\EC\2017-01-16-refined-times.txt</v>
      </c>
      <c r="AI186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{"issue":{"subject":"","project_id":79,"tracker_id":40,"status_id":1,"priority_id":2,"assigned_to_id":23,"start_date":"2017-01-16","description":"","custom_fields":[{"id":1,"name":"Subdivision","value":"NW"},{"id":4,"name":"Milepost","value":"5.8935"},{"id":17,"name":"Train ID","value":"829-16"},{"id":16,"name":"Locomotive ID","value":"4042"},{"id":130,"name":"Impact","value":""},{"id":150,"name":"Time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57"/>
        <v>start /low /b %USERPROFILE%\Documents\GitHub\eaglep3\Utilities\DownloadLogsFromS3.py --loco 4042 --day 2017-01-16</v>
      </c>
      <c r="AN186" s="18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2017-01-16-UncaughtWiMAX.txt</v>
      </c>
    </row>
    <row r="187" spans="1:91" s="21" customFormat="1" x14ac:dyDescent="0.25">
      <c r="A187" s="34" t="s">
        <v>651</v>
      </c>
      <c r="B187" s="7">
        <v>4041</v>
      </c>
      <c r="C187" s="22" t="s">
        <v>201</v>
      </c>
      <c r="D187" s="22" t="s">
        <v>868</v>
      </c>
      <c r="E187" s="13">
        <v>42751.692754629628</v>
      </c>
      <c r="F187" s="13">
        <v>42751.694143518522</v>
      </c>
      <c r="G187" s="7">
        <v>1</v>
      </c>
      <c r="H187" s="22" t="s">
        <v>847</v>
      </c>
      <c r="I187" s="13">
        <v>42751.705613425926</v>
      </c>
      <c r="J187" s="7">
        <v>0</v>
      </c>
      <c r="K187" s="105" t="str">
        <f t="shared" si="41"/>
        <v>4041/4042</v>
      </c>
      <c r="L187" s="22" t="str">
        <f>VLOOKUP(A187,'Trips&amp;Operators'!$C$1:$G$99999,5,FALSE)</f>
        <v>LEVIN SCOTT</v>
      </c>
      <c r="M187" s="6">
        <f t="shared" si="42"/>
        <v>1.1469907403807156E-2</v>
      </c>
      <c r="N187" s="7">
        <f t="shared" si="43"/>
        <v>16.516666661482304</v>
      </c>
      <c r="O187" s="7"/>
      <c r="P187" s="7"/>
      <c r="Q187" s="23"/>
      <c r="R187" s="23"/>
      <c r="S187" s="32">
        <f t="shared" si="44"/>
        <v>1</v>
      </c>
      <c r="T187" s="47" t="str">
        <f t="shared" si="45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6"/>
        <v>https://d0f6bd738d7f1b3e5a7ca70fe4ff75f0.us-east-1.aws.found.io/app/kibana#/discover/Steve-Slow-Train-Analysis-(2080s-and-2083s)?_g=(refreshInterval:(display:Off,pause:!f,section:0,value:0),time:(from:'2017-01-16T15:37:34-0700',mode:absolute,to:'2017-01-16T17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7" s="49" t="str">
        <f t="shared" si="47"/>
        <v>N</v>
      </c>
      <c r="X187" s="173">
        <f t="shared" si="48"/>
        <v>1</v>
      </c>
      <c r="Y187" s="64">
        <f t="shared" si="49"/>
        <v>5.8625999999999996</v>
      </c>
      <c r="Z187" s="64">
        <f t="shared" si="59"/>
        <v>6.9199999999999998E-2</v>
      </c>
      <c r="AA187" s="64">
        <f t="shared" si="50"/>
        <v>5.7933999999999992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51"/>
        <v>0830-16</v>
      </c>
      <c r="AE187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87" s="84" t="str">
        <f t="shared" si="53"/>
        <v>"C:\Program Files (x86)\AstroGrep\AstroGrep.exe" /spath="%USERPROFILE%\AppData\Local\Temp\OnboardLogs" /stypes="app*4041*20170116*" /stext=" 23:.+((SYSTEM_STATE.+slice.+state.+changed )|(ment ac)|(multiple cpu faults)|(system.+state.+changed )|(\[timeout)|(PRM\|1\|D)|(kpr)|(kdp)|(\|lc)|(penalty))" /e /r /s</v>
      </c>
      <c r="AG187" s="1" t="str">
        <f t="shared" si="54"/>
        <v>NW</v>
      </c>
      <c r="AH187" s="88" t="str">
        <f t="shared" si="55"/>
        <v>"%USERPROFILE%\Documents\GitHub\eaglep3\Utilities\RefineRTDCRunTimes.py" --tripid 830-16 --locoid 4041 --swversion DE.1.0.8.0 --startMP 300:58626 --initTime 2017-01-16T16:37:34 --startdatetime 2017-01-16T16:39:34 --delay 1 --endMP 204:692 --enddatetime 2017-01-16T16:56:05 --enforcementcount 0 &gt;&gt;C:\Users\stu\Documents\GitHub\eaglep3-reporting\EC\2017-01-16-refined-times.txt</v>
      </c>
      <c r="AI187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{"issue":{"subject":"","project_id":79,"tracker_id":40,"status_id":1,"priority_id":2,"assigned_to_id":23,"start_date":"2017-01-16","description":"","custom_fields":[{"id":1,"name":"Subdivision","value":"NW"},{"id":4,"name":"Milepost","value":"0.0692"},{"id":17,"name":"Train ID","value":"830-16"},{"id":16,"name":"Locomotive ID","value":"4041"},{"id":130,"name":"Impact","value":""},{"id":150,"name":"Time of Event (Mountain Time)","value":"16:56:05"},{"id":151,"name":"Denver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57"/>
        <v>start /low /b %USERPROFILE%\Documents\GitHub\eaglep3\Utilities\DownloadLogsFromS3.py --loco 4041 --day 2017-01-16</v>
      </c>
      <c r="AN187" s="18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4" t="s">
        <v>649</v>
      </c>
      <c r="B188" s="7">
        <v>4027</v>
      </c>
      <c r="C188" s="22" t="s">
        <v>201</v>
      </c>
      <c r="D188" s="22" t="s">
        <v>869</v>
      </c>
      <c r="E188" s="13">
        <v>42751.685613425929</v>
      </c>
      <c r="F188" s="13">
        <v>42751.702245370368</v>
      </c>
      <c r="G188" s="7">
        <v>1</v>
      </c>
      <c r="H188" s="22" t="s">
        <v>870</v>
      </c>
      <c r="I188" s="13">
        <v>42751.712025462963</v>
      </c>
      <c r="J188" s="7">
        <v>0</v>
      </c>
      <c r="K188" s="105" t="str">
        <f t="shared" si="41"/>
        <v>4027/4028</v>
      </c>
      <c r="L188" s="22" t="str">
        <f>VLOOKUP(A188,'Trips&amp;Operators'!$C$1:$G$99999,5,FALSE)</f>
        <v>NEWELL JAMES</v>
      </c>
      <c r="M188" s="6">
        <f t="shared" si="42"/>
        <v>9.7800925941555761E-3</v>
      </c>
      <c r="N188" s="7">
        <f t="shared" si="43"/>
        <v>14.08333333558403</v>
      </c>
      <c r="O188" s="7"/>
      <c r="P188" s="7"/>
      <c r="Q188" s="23"/>
      <c r="R188" s="23"/>
      <c r="S188" s="32">
        <f t="shared" si="44"/>
        <v>1</v>
      </c>
      <c r="T188" s="47" t="str">
        <f t="shared" si="45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6"/>
        <v>https://d0f6bd738d7f1b3e5a7ca70fe4ff75f0.us-east-1.aws.found.io/app/kibana#/discover/Steve-Slow-Train-Analysis-(2080s-and-2083s)?_g=(refreshInterval:(display:Off,pause:!f,section:0,value:0),time:(from:'2017-01-16T15:27:17-0700',mode:absolute,to:'2017-01-16T18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8" s="49" t="str">
        <f t="shared" si="47"/>
        <v>N</v>
      </c>
      <c r="X188" s="173">
        <f t="shared" si="48"/>
        <v>1</v>
      </c>
      <c r="Y188" s="64">
        <f t="shared" si="49"/>
        <v>9.8299999999999998E-2</v>
      </c>
      <c r="Z188" s="64">
        <f t="shared" si="59"/>
        <v>5.8910999999999998</v>
      </c>
      <c r="AA188" s="64">
        <f t="shared" si="50"/>
        <v>5.7927999999999997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51"/>
        <v>0831-16</v>
      </c>
      <c r="AE188" s="87" t="str">
        <f t="shared" si="52"/>
        <v>aws s3 cp s3://rtdc.mdm.uploadarchive.raw/RTDC4027/ "%USERPROFILE%\AppData\Local\Temp\OnboardLogs"\RTDC4027\2017-01-16 --exclude "*" --recursive --include "*20170116*" &amp; "%USERPROFILE%\Documents\GitHub\mrs-test-scripts\Headless Mode &amp; Sideloading\WalkAndUnGZ.bat" "%USERPROFILE%\AppData\Local\Temp\OnboardLogs"\RTDC4027\2017-01-16 &amp; 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</v>
      </c>
      <c r="AF188" s="84" t="str">
        <f t="shared" si="53"/>
        <v>"C:\Program Files (x86)\AstroGrep\AstroGrep.exe" /spath="%USERPROFILE%\AppData\Local\Temp\OnboardLogs" /stypes="app*4027*20170117*" /stext=" 00:.+((SYSTEM_STATE.+slice.+state.+changed )|(ment ac)|(multiple cpu faults)|(system.+state.+changed )|(\[timeout)|(PRM\|1\|D)|(kpr)|(kdp)|(\|lc)|(penalty))" /e /r /s</v>
      </c>
      <c r="AG188" s="1" t="str">
        <f t="shared" si="54"/>
        <v>NW</v>
      </c>
      <c r="AH188" s="88" t="str">
        <f t="shared" si="55"/>
        <v>"%USERPROFILE%\Documents\GitHub\eaglep3\Utilities\RefineRTDCRunTimes.py" --tripid 831-16 --locoid 4027 --swversion DE.1.0.8.0 --startMP 204:983 --initTime 2017-01-16T16:27:17 --startdatetime 2017-01-16T16:51:14 --delay 1 --endMP 300:58911 --enddatetime 2017-01-16T17:05:19 --enforcementcount 0 &gt;&gt;C:\Users\stu\Documents\GitHub\eaglep3-reporting\EC\2017-01-16-refined-times.txt</v>
      </c>
      <c r="AI188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{"issue":{"subject":"","project_id":79,"tracker_id":40,"status_id":1,"priority_id":2,"assigned_to_id":23,"start_date":"2017-01-16","description":"","custom_fields":[{"id":1,"name":"Subdivision","value":"NW"},{"id":4,"name":"Milepost","value":"5.8911"},{"id":17,"name":"Train ID","value":"831-16"},{"id":16,"name":"Locomotive ID","value":"4027"},{"id":130,"name":"Impact","value":""},{"id":150,"name":"Time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57"/>
        <v>start /low /b %USERPROFILE%\Documents\GitHub\eaglep3\Utilities\DownloadLogsFromS3.py --loco 4027 --day 2017-01-16</v>
      </c>
      <c r="AN188" s="18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"%USERPROFILE%\AppData\Local\Temp\OnboardLogs"\RTDC4027\*4027*20170116* | grep -SE "(Enforcement Action)|(\[TIMEOUT)|(CHR.+\|PRM\|1\|D.+(SWITCH|SIGNAL).+UNKNOWN)" - &gt;&gt; 2017-01-16-UncaughtWiMAX.txt</v>
      </c>
    </row>
    <row r="189" spans="1:91" x14ac:dyDescent="0.25">
      <c r="A189" s="34" t="s">
        <v>656</v>
      </c>
      <c r="B189" s="7">
        <v>4028</v>
      </c>
      <c r="C189" s="22" t="s">
        <v>201</v>
      </c>
      <c r="D189" s="22" t="s">
        <v>871</v>
      </c>
      <c r="E189" s="13">
        <v>42751.712939814817</v>
      </c>
      <c r="F189" s="13">
        <v>42751.714016203703</v>
      </c>
      <c r="G189" s="7">
        <v>0</v>
      </c>
      <c r="H189" s="22" t="s">
        <v>397</v>
      </c>
      <c r="I189" s="13">
        <v>42751.727361111109</v>
      </c>
      <c r="J189" s="7">
        <v>0</v>
      </c>
      <c r="K189" s="105" t="str">
        <f t="shared" si="41"/>
        <v>4027/4028</v>
      </c>
      <c r="L189" s="22" t="str">
        <f>VLOOKUP(A189,'Trips&amp;Operators'!$C$1:$G$99999,5,FALSE)</f>
        <v>NEWELL JAMES</v>
      </c>
      <c r="M189" s="6">
        <f t="shared" si="42"/>
        <v>1.3344907405553386E-2</v>
      </c>
      <c r="N189" s="7">
        <f t="shared" si="43"/>
        <v>19.216666663996875</v>
      </c>
      <c r="O189" s="7"/>
      <c r="P189" s="7"/>
      <c r="Q189" s="23"/>
      <c r="R189" s="23"/>
      <c r="S189" s="32">
        <f t="shared" si="44"/>
        <v>1</v>
      </c>
      <c r="T189" s="47" t="str">
        <f t="shared" si="45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6"/>
        <v>https://d0f6bd738d7f1b3e5a7ca70fe4ff75f0.us-east-1.aws.found.io/app/kibana#/discover/Steve-Slow-Train-Analysis-(2080s-and-2083s)?_g=(refreshInterval:(display:Off,pause:!f,section:0,value:0),time:(from:'2017-01-16T16:06:38-0700',mode:absolute,to:'2017-01-16T18:27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9" s="49" t="str">
        <f t="shared" si="47"/>
        <v>N</v>
      </c>
      <c r="X189" s="173">
        <f t="shared" si="48"/>
        <v>1</v>
      </c>
      <c r="Y189" s="64">
        <f t="shared" si="49"/>
        <v>5.8589000000000002</v>
      </c>
      <c r="Z189" s="64">
        <f t="shared" si="59"/>
        <v>6.59E-2</v>
      </c>
      <c r="AA189" s="64">
        <f t="shared" si="50"/>
        <v>5.7930000000000001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51"/>
        <v>0832-16</v>
      </c>
      <c r="AE189" s="87" t="str">
        <f t="shared" si="52"/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AF189" s="84" t="str">
        <f t="shared" si="53"/>
        <v>"C:\Program Files (x86)\AstroGrep\AstroGrep.exe" /spath="%USERPROFILE%\AppData\Local\Temp\OnboardLogs" /stypes="app*4028*20170117*" /stext=" 00:.+((SYSTEM_STATE.+slice.+state.+changed )|(ment ac)|(multiple cpu faults)|(system.+state.+changed )|(\[timeout)|(PRM\|1\|D)|(kpr)|(kdp)|(\|lc)|(penalty))" /e /r /s</v>
      </c>
      <c r="AG189" s="1" t="str">
        <f t="shared" si="54"/>
        <v>NW</v>
      </c>
      <c r="AH189" s="88" t="str">
        <f t="shared" si="55"/>
        <v>"%USERPROFILE%\Documents\GitHub\eaglep3\Utilities\RefineRTDCRunTimes.py" --tripid 832-16 --locoid 4028 --swversion DE.1.0.8.0 --startMP 300:58589 --initTime 2017-01-16T17:06:38 --startdatetime 2017-01-16T17:08:11 --delay 0 --endMP 204:659 --enddatetime 2017-01-16T17:27:24 --enforcementcount 0 &gt;&gt;C:\Users\stu\Documents\GitHub\eaglep3-reporting\EC\2017-01-16-refined-times.txt</v>
      </c>
      <c r="AI189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{"issue":{"subject":"","project_id":79,"tracker_id":40,"status_id":1,"priority_id":2,"assigned_to_id":23,"start_date":"2017-01-16","description":"","custom_fields":[{"id":1,"name":"Subdivision","value":"NW"},{"id":4,"name":"Milepost","value":"0.0659"},{"id":17,"name":"Train ID","value":"832-16"},{"id":16,"name":"Locomotive ID","value":"4028"},{"id":130,"name":"Impact","value":""},{"id":150,"name":"Time of Event (Mountain Time)","value":"17:27:24"},{"id":151,"name":"Denver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57"/>
        <v>start /low /b %USERPROFILE%\Documents\GitHub\eaglep3\Utilities\DownloadLogsFromS3.py --loco 4028 --day 2017-01-16</v>
      </c>
      <c r="AN189" s="18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2017-01-16-UncaughtWiMAX.txt</v>
      </c>
    </row>
    <row r="190" spans="1:91" x14ac:dyDescent="0.25">
      <c r="A190" s="34" t="s">
        <v>660</v>
      </c>
      <c r="B190" s="7">
        <v>4042</v>
      </c>
      <c r="C190" s="22" t="s">
        <v>201</v>
      </c>
      <c r="D190" s="22" t="s">
        <v>872</v>
      </c>
      <c r="E190" s="13">
        <v>42751.716597222221</v>
      </c>
      <c r="F190" s="13">
        <v>42751.723263888889</v>
      </c>
      <c r="G190" s="7">
        <v>1</v>
      </c>
      <c r="H190" s="22" t="s">
        <v>360</v>
      </c>
      <c r="I190" s="13">
        <v>42751.733159722222</v>
      </c>
      <c r="J190" s="7">
        <v>0</v>
      </c>
      <c r="K190" s="105" t="str">
        <f t="shared" si="41"/>
        <v>4041/4042</v>
      </c>
      <c r="L190" s="22" t="str">
        <f>VLOOKUP(A190,'Trips&amp;Operators'!$C$1:$G$99999,5,FALSE)</f>
        <v>LEVIN SCOTT</v>
      </c>
      <c r="M190" s="6">
        <f t="shared" si="42"/>
        <v>9.8958333328482695E-3</v>
      </c>
      <c r="N190" s="7">
        <f t="shared" si="43"/>
        <v>14.249999999301508</v>
      </c>
      <c r="O190" s="7"/>
      <c r="P190" s="7"/>
      <c r="Q190" s="23"/>
      <c r="R190" s="23"/>
      <c r="S190" s="32">
        <f t="shared" si="44"/>
        <v>1</v>
      </c>
      <c r="T190" s="47" t="str">
        <f t="shared" si="45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6"/>
        <v>https://d0f6bd738d7f1b3e5a7ca70fe4ff75f0.us-east-1.aws.found.io/app/kibana#/discover/Steve-Slow-Train-Analysis-(2080s-and-2083s)?_g=(refreshInterval:(display:Off,pause:!f,section:0,value:0),time:(from:'2017-01-16T16:11:54-0700',mode:absolute,to:'2017-01-16T18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0" s="49" t="str">
        <f t="shared" si="47"/>
        <v>N</v>
      </c>
      <c r="X190" s="173">
        <f t="shared" si="48"/>
        <v>1</v>
      </c>
      <c r="Y190" s="64">
        <f t="shared" si="49"/>
        <v>9.8100000000000007E-2</v>
      </c>
      <c r="Z190" s="64">
        <f t="shared" si="59"/>
        <v>5.8936999999999999</v>
      </c>
      <c r="AA190" s="64">
        <f t="shared" si="50"/>
        <v>5.7956000000000003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51"/>
        <v>0833-16</v>
      </c>
      <c r="AE190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90" s="84" t="str">
        <f t="shared" si="53"/>
        <v>"C:\Program Files (x86)\AstroGrep\AstroGrep.exe" /spath="%USERPROFILE%\AppData\Local\Temp\OnboardLogs" /stypes="app*4042*20170117*" /stext=" 00:.+((SYSTEM_STATE.+slice.+state.+changed )|(ment ac)|(multiple cpu faults)|(system.+state.+changed )|(\[timeout)|(PRM\|1\|D)|(kpr)|(kdp)|(\|lc)|(penalty))" /e /r /s</v>
      </c>
      <c r="AG190" s="1" t="str">
        <f t="shared" si="54"/>
        <v>NW</v>
      </c>
      <c r="AH190" s="88" t="str">
        <f t="shared" si="55"/>
        <v>"%USERPROFILE%\Documents\GitHub\eaglep3\Utilities\RefineRTDCRunTimes.py" --tripid 833-16 --locoid 4042 --swversion DE.1.0.8.0 --startMP 204:981 --initTime 2017-01-16T17:11:54 --startdatetime 2017-01-16T17:21:30 --delay 1 --endMP 300:58937 --enddatetime 2017-01-16T17:35:45 --enforcementcount 0 &gt;&gt;C:\Users\stu\Documents\GitHub\eaglep3-reporting\EC\2017-01-16-refined-times.txt</v>
      </c>
      <c r="AI190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{"issue":{"subject":"","project_id":79,"tracker_id":40,"status_id":1,"priority_id":2,"assigned_to_id":23,"start_date":"2017-01-16","description":"","custom_fields":[{"id":1,"name":"Subdivision","value":"NW"},{"id":4,"name":"Milepost","value":"5.8937"},{"id":17,"name":"Train ID","value":"833-16"},{"id":16,"name":"Locomotive ID","value":"4042"},{"id":130,"name":"Impact","value":""},{"id":150,"name":"Time of Event (Mountain Time)","value":"17:35:45"},{"id":151,"name":"Denver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57"/>
        <v>start /low /b %USERPROFILE%\Documents\GitHub\eaglep3\Utilities\DownloadLogsFromS3.py --loco 4042 --day 2017-01-16</v>
      </c>
      <c r="AN190" s="18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2017-01-16-UncaughtWiMAX.txt</v>
      </c>
    </row>
    <row r="191" spans="1:91" x14ac:dyDescent="0.25">
      <c r="A191" s="34" t="s">
        <v>666</v>
      </c>
      <c r="B191" s="7">
        <v>4041</v>
      </c>
      <c r="C191" s="22" t="s">
        <v>201</v>
      </c>
      <c r="D191" s="22" t="s">
        <v>862</v>
      </c>
      <c r="E191" s="13">
        <v>42751.734212962961</v>
      </c>
      <c r="F191" s="13">
        <v>42751.735358796293</v>
      </c>
      <c r="G191" s="7">
        <v>1</v>
      </c>
      <c r="H191" s="22" t="s">
        <v>873</v>
      </c>
      <c r="I191" s="13">
        <v>42751.74759259259</v>
      </c>
      <c r="J191" s="7">
        <v>0</v>
      </c>
      <c r="K191" s="105" t="str">
        <f t="shared" si="41"/>
        <v>4041/4042</v>
      </c>
      <c r="L191" s="22" t="str">
        <f>VLOOKUP(A191,'Trips&amp;Operators'!$C$1:$G$99999,5,FALSE)</f>
        <v>LEVIN SCOTT</v>
      </c>
      <c r="M191" s="6">
        <f t="shared" si="42"/>
        <v>1.2233796296641231E-2</v>
      </c>
      <c r="N191" s="7">
        <f t="shared" si="43"/>
        <v>17.616666667163372</v>
      </c>
      <c r="O191" s="7"/>
      <c r="P191" s="7"/>
      <c r="Q191" s="23"/>
      <c r="R191" s="23"/>
      <c r="S191" s="32">
        <f t="shared" si="44"/>
        <v>1</v>
      </c>
      <c r="T191" s="47" t="str">
        <f t="shared" si="45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6"/>
        <v>https://d0f6bd738d7f1b3e5a7ca70fe4ff75f0.us-east-1.aws.found.io/app/kibana#/discover/Steve-Slow-Train-Analysis-(2080s-and-2083s)?_g=(refreshInterval:(display:Off,pause:!f,section:0,value:0),time:(from:'2017-01-16T16:37:16-0700',mode:absolute,to:'2017-01-16T18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1" s="49" t="str">
        <f t="shared" si="47"/>
        <v>N</v>
      </c>
      <c r="X191" s="173">
        <f t="shared" si="48"/>
        <v>1</v>
      </c>
      <c r="Y191" s="64">
        <f t="shared" si="49"/>
        <v>5.8609</v>
      </c>
      <c r="Z191" s="64">
        <f t="shared" si="59"/>
        <v>6.6299999999999998E-2</v>
      </c>
      <c r="AA191" s="64">
        <f t="shared" si="50"/>
        <v>5.7946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51"/>
        <v>0834-16</v>
      </c>
      <c r="AE191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91" s="84" t="str">
        <f t="shared" si="53"/>
        <v>"C:\Program Files (x86)\AstroGrep\AstroGrep.exe" /spath="%USERPROFILE%\AppData\Local\Temp\OnboardLogs" /stypes="app*4041*20170117*" /stext=" 00:.+((SYSTEM_STATE.+slice.+state.+changed )|(ment ac)|(multiple cpu faults)|(system.+state.+changed )|(\[timeout)|(PRM\|1\|D)|(kpr)|(kdp)|(\|lc)|(penalty))" /e /r /s</v>
      </c>
      <c r="AG191" s="1" t="str">
        <f t="shared" si="54"/>
        <v>NW</v>
      </c>
      <c r="AH191" s="88" t="str">
        <f t="shared" si="55"/>
        <v>"%USERPROFILE%\Documents\GitHub\eaglep3\Utilities\RefineRTDCRunTimes.py" --tripid 834-16 --locoid 4041 --swversion DE.1.0.8.0 --startMP 300:58609 --initTime 2017-01-16T17:37:16 --startdatetime 2017-01-16T17:38:55 --delay 1 --endMP 204:663 --enddatetime 2017-01-16T17:56:32 --enforcementcount 0 &gt;&gt;C:\Users\stu\Documents\GitHub\eaglep3-reporting\EC\2017-01-16-refined-times.txt</v>
      </c>
      <c r="AI191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{"issue":{"subject":"","project_id":79,"tracker_id":40,"status_id":1,"priority_id":2,"assigned_to_id":23,"start_date":"2017-01-16","description":"","custom_fields":[{"id":1,"name":"Subdivision","value":"NW"},{"id":4,"name":"Milepost","value":"0.0663"},{"id":17,"name":"Train ID","value":"834-16"},{"id":16,"name":"Locomotive ID","value":"4041"},{"id":130,"name":"Impact","value":""},{"id":150,"name":"Time of Event (Mountain Time)","value":"17:56:32"},{"id":151,"name":"Denver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57"/>
        <v>start /low /b %USERPROFILE%\Documents\GitHub\eaglep3\Utilities\DownloadLogsFromS3.py --loco 4041 --day 2017-01-16</v>
      </c>
      <c r="AN191" s="18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2017-01-16-UncaughtWiMAX.txt</v>
      </c>
    </row>
    <row r="192" spans="1:91" x14ac:dyDescent="0.25">
      <c r="A192" s="34" t="s">
        <v>663</v>
      </c>
      <c r="B192" s="7">
        <v>4027</v>
      </c>
      <c r="C192" s="22" t="s">
        <v>201</v>
      </c>
      <c r="D192" s="22" t="s">
        <v>874</v>
      </c>
      <c r="E192" s="13">
        <v>42751.728449074071</v>
      </c>
      <c r="F192" s="13">
        <v>42751.743900462963</v>
      </c>
      <c r="G192" s="7">
        <v>1</v>
      </c>
      <c r="H192" s="22" t="s">
        <v>875</v>
      </c>
      <c r="I192" s="13">
        <v>42751.75371527778</v>
      </c>
      <c r="J192" s="7">
        <v>0</v>
      </c>
      <c r="K192" s="105" t="str">
        <f t="shared" si="41"/>
        <v>4027/4028</v>
      </c>
      <c r="L192" s="22" t="str">
        <f>VLOOKUP(A192,'Trips&amp;Operators'!$C$1:$G$99999,5,FALSE)</f>
        <v>NEWELL JAMES</v>
      </c>
      <c r="M192" s="6">
        <f t="shared" si="42"/>
        <v>9.8148148172185756E-3</v>
      </c>
      <c r="N192" s="7">
        <f t="shared" si="43"/>
        <v>14.133333336794749</v>
      </c>
      <c r="O192" s="7"/>
      <c r="P192" s="7"/>
      <c r="Q192" s="23"/>
      <c r="R192" s="23"/>
      <c r="S192" s="32">
        <f t="shared" si="44"/>
        <v>1</v>
      </c>
      <c r="T192" s="47" t="str">
        <f t="shared" si="45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6"/>
        <v>https://d0f6bd738d7f1b3e5a7ca70fe4ff75f0.us-east-1.aws.found.io/app/kibana#/discover/Steve-Slow-Train-Analysis-(2080s-and-2083s)?_g=(refreshInterval:(display:Off,pause:!f,section:0,value:0),time:(from:'2017-01-16T16:28:58-0700',mode:absolute,to:'2017-01-16T19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2" s="49" t="str">
        <f t="shared" si="47"/>
        <v>N</v>
      </c>
      <c r="X192" s="173">
        <f t="shared" si="48"/>
        <v>1</v>
      </c>
      <c r="Y192" s="64">
        <f t="shared" si="49"/>
        <v>9.5500000000000002E-2</v>
      </c>
      <c r="Z192" s="64">
        <f t="shared" si="59"/>
        <v>5.8924000000000003</v>
      </c>
      <c r="AA192" s="64">
        <f t="shared" si="50"/>
        <v>5.7968999999999999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51"/>
        <v>0835-16</v>
      </c>
      <c r="AE192" s="87" t="str">
        <f t="shared" si="52"/>
        <v>aws s3 cp s3://rtdc.mdm.uploadarchive.raw/RTDC4027/ "%USERPROFILE%\AppData\Local\Temp\OnboardLogs"\RTDC4027\2017-01-16 --exclude "*" --recursive --include "*20170116*" &amp; "%USERPROFILE%\Documents\GitHub\mrs-test-scripts\Headless Mode &amp; Sideloading\WalkAndUnGZ.bat" "%USERPROFILE%\AppData\Local\Temp\OnboardLogs"\RTDC4027\2017-01-16 &amp; 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</v>
      </c>
      <c r="AF192" s="84" t="str">
        <f t="shared" si="53"/>
        <v>"C:\Program Files (x86)\AstroGrep\AstroGrep.exe" /spath="%USERPROFILE%\AppData\Local\Temp\OnboardLogs" /stypes="app*4027*20170117*" /stext=" 01:.+((SYSTEM_STATE.+slice.+state.+changed )|(ment ac)|(multiple cpu faults)|(system.+state.+changed )|(\[timeout)|(PRM\|1\|D)|(kpr)|(kdp)|(\|lc)|(penalty))" /e /r /s</v>
      </c>
      <c r="AG192" s="1" t="str">
        <f t="shared" si="54"/>
        <v>NW</v>
      </c>
      <c r="AH192" s="88" t="str">
        <f t="shared" si="55"/>
        <v>"%USERPROFILE%\Documents\GitHub\eaglep3\Utilities\RefineRTDCRunTimes.py" --tripid 835-16 --locoid 4027 --swversion DE.1.0.8.0 --startMP 204:955 --initTime 2017-01-16T17:28:58 --startdatetime 2017-01-16T17:51:13 --delay 1 --endMP 300:58924 --enddatetime 2017-01-16T18:05:21 --enforcementcount 0 &gt;&gt;C:\Users\stu\Documents\GitHub\eaglep3-reporting\EC\2017-01-16-refined-times.txt</v>
      </c>
      <c r="AI192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{"issue":{"subject":"","project_id":79,"tracker_id":40,"status_id":1,"priority_id":2,"assigned_to_id":23,"start_date":"2017-01-16","description":"","custom_fields":[{"id":1,"name":"Subdivision","value":"NW"},{"id":4,"name":"Milepost","value":"5.8924"},{"id":17,"name":"Train ID","value":"835-16"},{"id":16,"name":"Locomotive ID","value":"4027"},{"id":130,"name":"Impact","value":""},{"id":150,"name":"Time of Event (Mountain Time)","value":"18:05:21"},{"id":151,"name":"Denver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57"/>
        <v>start /low /b %USERPROFILE%\Documents\GitHub\eaglep3\Utilities\DownloadLogsFromS3.py --loco 4027 --day 2017-01-16</v>
      </c>
      <c r="AN192" s="18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2017-01-16-UncaughtWiMAX.txt</v>
      </c>
    </row>
    <row r="193" spans="1:91" s="21" customFormat="1" x14ac:dyDescent="0.25">
      <c r="A193" s="34" t="s">
        <v>498</v>
      </c>
      <c r="B193" s="7">
        <v>4028</v>
      </c>
      <c r="C193" s="22" t="s">
        <v>201</v>
      </c>
      <c r="D193" s="22" t="s">
        <v>862</v>
      </c>
      <c r="E193" s="13">
        <v>42751.754560185182</v>
      </c>
      <c r="F193" s="13">
        <v>42751.755798611113</v>
      </c>
      <c r="G193" s="7">
        <v>0</v>
      </c>
      <c r="H193" s="22" t="s">
        <v>876</v>
      </c>
      <c r="I193" s="13">
        <v>42751.768611111111</v>
      </c>
      <c r="J193" s="7">
        <v>0</v>
      </c>
      <c r="K193" s="105" t="str">
        <f t="shared" si="41"/>
        <v>4027/4028</v>
      </c>
      <c r="L193" s="22" t="str">
        <f>VLOOKUP(A193,'Trips&amp;Operators'!$C$1:$G$99999,5,FALSE)</f>
        <v>NEWELL JAMES</v>
      </c>
      <c r="M193" s="6">
        <f t="shared" si="42"/>
        <v>1.2812499997380655E-2</v>
      </c>
      <c r="N193" s="7">
        <f t="shared" si="43"/>
        <v>18.449999996228144</v>
      </c>
      <c r="O193" s="7"/>
      <c r="P193" s="7"/>
      <c r="Q193" s="23"/>
      <c r="R193" s="23"/>
      <c r="S193" s="32">
        <f t="shared" si="44"/>
        <v>1</v>
      </c>
      <c r="T193" s="47" t="str">
        <f t="shared" si="45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6"/>
        <v>https://d0f6bd738d7f1b3e5a7ca70fe4ff75f0.us-east-1.aws.found.io/app/kibana#/discover/Steve-Slow-Train-Analysis-(2080s-and-2083s)?_g=(refreshInterval:(display:Off,pause:!f,section:0,value:0),time:(from:'2017-01-16T17:06:34-0700',mode:absolute,to:'2017-01-16T19:26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3" s="49" t="str">
        <f t="shared" si="47"/>
        <v>N</v>
      </c>
      <c r="X193" s="173">
        <f t="shared" si="48"/>
        <v>1</v>
      </c>
      <c r="Y193" s="64">
        <f t="shared" si="49"/>
        <v>5.8609</v>
      </c>
      <c r="Z193" s="64">
        <f t="shared" si="59"/>
        <v>6.7799999999999999E-2</v>
      </c>
      <c r="AA193" s="64">
        <f t="shared" si="50"/>
        <v>5.7930999999999999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51"/>
        <v>0836-16</v>
      </c>
      <c r="AE193" s="87" t="str">
        <f t="shared" si="52"/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AF193" s="84" t="str">
        <f t="shared" si="53"/>
        <v>"C:\Program Files (x86)\AstroGrep\AstroGrep.exe" /spath="%USERPROFILE%\AppData\Local\Temp\OnboardLogs" /stypes="app*4028*20170117*" /stext=" 01:.+((SYSTEM_STATE.+slice.+state.+changed )|(ment ac)|(multiple cpu faults)|(system.+state.+changed )|(\[timeout)|(PRM\|1\|D)|(kpr)|(kdp)|(\|lc)|(penalty))" /e /r /s</v>
      </c>
      <c r="AG193" s="1" t="str">
        <f t="shared" si="54"/>
        <v>NW</v>
      </c>
      <c r="AH193" s="88" t="str">
        <f t="shared" si="55"/>
        <v>"%USERPROFILE%\Documents\GitHub\eaglep3\Utilities\RefineRTDCRunTimes.py" --tripid 836-16 --locoid 4028 --swversion DE.1.0.8.0 --startMP 300:58609 --initTime 2017-01-16T18:06:34 --startdatetime 2017-01-16T18:08:21 --delay 0 --endMP 204:678 --enddatetime 2017-01-16T18:26:48 --enforcementcount 0 &gt;&gt;C:\Users\stu\Documents\GitHub\eaglep3-reporting\EC\2017-01-16-refined-times.txt</v>
      </c>
      <c r="AI193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{"issue":{"subject":"","project_id":79,"tracker_id":40,"status_id":1,"priority_id":2,"assigned_to_id":23,"start_date":"2017-01-16","description":"","custom_fields":[{"id":1,"name":"Subdivision","value":"NW"},{"id":4,"name":"Milepost","value":"0.0678"},{"id":17,"name":"Train ID","value":"836-16"},{"id":16,"name":"Locomotive ID","value":"4028"},{"id":130,"name":"Impact","value":""},{"id":150,"name":"Time of Event (Mountain Time)","value":"18:26:48"},{"id":151,"name":"Denver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57"/>
        <v>start /low /b %USERPROFILE%\Documents\GitHub\eaglep3\Utilities\DownloadLogsFromS3.py --loco 4028 --day 2017-01-16</v>
      </c>
      <c r="AN193" s="18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2017-01-16-UncaughtWiMAX.txt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4" t="s">
        <v>674</v>
      </c>
      <c r="B194" s="7">
        <v>4042</v>
      </c>
      <c r="C194" s="22" t="s">
        <v>201</v>
      </c>
      <c r="D194" s="22" t="s">
        <v>394</v>
      </c>
      <c r="E194" s="13">
        <v>42751.760312500002</v>
      </c>
      <c r="F194" s="13">
        <v>42751.764768518522</v>
      </c>
      <c r="G194" s="7">
        <v>1</v>
      </c>
      <c r="H194" s="22" t="s">
        <v>877</v>
      </c>
      <c r="I194" s="13">
        <v>42751.774745370371</v>
      </c>
      <c r="J194" s="7">
        <v>0</v>
      </c>
      <c r="K194" s="105" t="str">
        <f t="shared" si="41"/>
        <v>4041/4042</v>
      </c>
      <c r="L194" s="22" t="str">
        <f>VLOOKUP(A194,'Trips&amp;Operators'!$C$1:$G$99999,5,FALSE)</f>
        <v>LEVIN SCOTT</v>
      </c>
      <c r="M194" s="6">
        <f t="shared" si="42"/>
        <v>9.9768518484779634E-3</v>
      </c>
      <c r="N194" s="7">
        <f t="shared" si="43"/>
        <v>14.366666661808267</v>
      </c>
      <c r="O194" s="7"/>
      <c r="P194" s="7"/>
      <c r="Q194" s="23"/>
      <c r="R194" s="23"/>
      <c r="S194" s="32">
        <f t="shared" si="44"/>
        <v>1</v>
      </c>
      <c r="T194" s="47" t="str">
        <f t="shared" si="45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6"/>
        <v>https://d0f6bd738d7f1b3e5a7ca70fe4ff75f0.us-east-1.aws.found.io/app/kibana#/discover/Steve-Slow-Train-Analysis-(2080s-and-2083s)?_g=(refreshInterval:(display:Off,pause:!f,section:0,value:0),time:(from:'2017-01-16T17:14:51-0700',mode:absolute,to:'2017-01-16T19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49" t="str">
        <f t="shared" si="47"/>
        <v>N</v>
      </c>
      <c r="X194" s="173">
        <f t="shared" si="48"/>
        <v>1</v>
      </c>
      <c r="Y194" s="64">
        <f t="shared" si="49"/>
        <v>9.6199999999999994E-2</v>
      </c>
      <c r="Z194" s="64">
        <f t="shared" si="59"/>
        <v>5.8928000000000003</v>
      </c>
      <c r="AA194" s="64">
        <f t="shared" si="50"/>
        <v>5.7966000000000006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51"/>
        <v>0837-16</v>
      </c>
      <c r="AE194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94" s="84" t="str">
        <f t="shared" si="53"/>
        <v>"C:\Program Files (x86)\AstroGrep\AstroGrep.exe" /spath="%USERPROFILE%\AppData\Local\Temp\OnboardLogs" /stypes="app*4042*20170117*" /stext=" 01:.+((SYSTEM_STATE.+slice.+state.+changed )|(ment ac)|(multiple cpu faults)|(system.+state.+changed )|(\[timeout)|(PRM\|1\|D)|(kpr)|(kdp)|(\|lc)|(penalty))" /e /r /s</v>
      </c>
      <c r="AG194" s="1" t="str">
        <f t="shared" si="54"/>
        <v>NW</v>
      </c>
      <c r="AH194" s="88" t="str">
        <f t="shared" si="55"/>
        <v>"%USERPROFILE%\Documents\GitHub\eaglep3\Utilities\RefineRTDCRunTimes.py" --tripid 837-16 --locoid 4042 --swversion DE.1.0.8.0 --startMP 204:962 --initTime 2017-01-16T18:14:51 --startdatetime 2017-01-16T18:21:16 --delay 1 --endMP 300:58928 --enddatetime 2017-01-16T18:35:38 --enforcementcount 0 &gt;&gt;C:\Users\stu\Documents\GitHub\eaglep3-reporting\EC\2017-01-16-refined-times.txt</v>
      </c>
      <c r="AI194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{"issue":{"subject":"","project_id":79,"tracker_id":40,"status_id":1,"priority_id":2,"assigned_to_id":23,"start_date":"2017-01-16","description":"","custom_fields":[{"id":1,"name":"Subdivision","value":"NW"},{"id":4,"name":"Milepost","value":"5.8928"},{"id":17,"name":"Train ID","value":"837-16"},{"id":16,"name":"Locomotive ID","value":"4042"},{"id":130,"name":"Impact","value":""},{"id":150,"name":"Time of Event (Mountain Time)","value":"18:35:38"},{"id":151,"name":"Denver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57"/>
        <v>start /low /b %USERPROFILE%\Documents\GitHub\eaglep3\Utilities\DownloadLogsFromS3.py --loco 4042 --day 2017-01-16</v>
      </c>
      <c r="AN194" s="18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2017-01-16-UncaughtWiMAX.txt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680</v>
      </c>
      <c r="B195" s="7">
        <v>4041</v>
      </c>
      <c r="C195" s="22" t="s">
        <v>201</v>
      </c>
      <c r="D195" s="22" t="s">
        <v>878</v>
      </c>
      <c r="E195" s="13">
        <v>42751.775729166664</v>
      </c>
      <c r="F195" s="13">
        <v>42751.776956018519</v>
      </c>
      <c r="G195" s="7">
        <v>1</v>
      </c>
      <c r="H195" s="22" t="s">
        <v>396</v>
      </c>
      <c r="I195" s="13">
        <v>42751.789282407408</v>
      </c>
      <c r="J195" s="7">
        <v>0</v>
      </c>
      <c r="K195" s="105" t="str">
        <f t="shared" si="41"/>
        <v>4041/4042</v>
      </c>
      <c r="L195" s="22" t="str">
        <f>VLOOKUP(A195,'Trips&amp;Operators'!$C$1:$G$99999,5,FALSE)</f>
        <v>LEVIN SCOTT</v>
      </c>
      <c r="M195" s="6">
        <f t="shared" si="42"/>
        <v>1.2326388889050577E-2</v>
      </c>
      <c r="N195" s="7">
        <f t="shared" si="43"/>
        <v>17.750000000232831</v>
      </c>
      <c r="O195" s="7"/>
      <c r="P195" s="7"/>
      <c r="Q195" s="23"/>
      <c r="R195" s="23"/>
      <c r="S195" s="32">
        <f t="shared" si="44"/>
        <v>1</v>
      </c>
      <c r="T195" s="47" t="str">
        <f t="shared" si="45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6"/>
        <v>https://d0f6bd738d7f1b3e5a7ca70fe4ff75f0.us-east-1.aws.found.io/app/kibana#/discover/Steve-Slow-Train-Analysis-(2080s-and-2083s)?_g=(refreshInterval:(display:Off,pause:!f,section:0,value:0),time:(from:'2017-01-16T17:37:03-0700',mode:absolute,to:'2017-01-16T19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49" t="str">
        <f t="shared" si="47"/>
        <v>N</v>
      </c>
      <c r="X195" s="173">
        <f t="shared" si="48"/>
        <v>1</v>
      </c>
      <c r="Y195" s="64">
        <f t="shared" si="49"/>
        <v>5.8620999999999999</v>
      </c>
      <c r="Z195" s="64">
        <f t="shared" si="59"/>
        <v>6.8000000000000005E-2</v>
      </c>
      <c r="AA195" s="64">
        <f t="shared" si="50"/>
        <v>5.7941000000000003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51"/>
        <v>0838-16</v>
      </c>
      <c r="AE195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95" s="84" t="str">
        <f t="shared" si="53"/>
        <v>"C:\Program Files (x86)\AstroGrep\AstroGrep.exe" /spath="%USERPROFILE%\AppData\Local\Temp\OnboardLogs" /stypes="app*4041*20170117*" /stext=" 01:.+((SYSTEM_STATE.+slice.+state.+changed )|(ment ac)|(multiple cpu faults)|(system.+state.+changed )|(\[timeout)|(PRM\|1\|D)|(kpr)|(kdp)|(\|lc)|(penalty))" /e /r /s</v>
      </c>
      <c r="AG195" s="1" t="str">
        <f t="shared" si="54"/>
        <v>NW</v>
      </c>
      <c r="AH195" s="88" t="str">
        <f t="shared" si="55"/>
        <v>"%USERPROFILE%\Documents\GitHub\eaglep3\Utilities\RefineRTDCRunTimes.py" --tripid 838-16 --locoid 4041 --swversion DE.1.0.8.0 --startMP 300:58621 --initTime 2017-01-16T18:37:03 --startdatetime 2017-01-16T18:38:49 --delay 1 --endMP 204:680 --enddatetime 2017-01-16T18:56:34 --enforcementcount 0 &gt;&gt;C:\Users\stu\Documents\GitHub\eaglep3-reporting\EC\2017-01-16-refined-times.txt</v>
      </c>
      <c r="AI195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{"issue":{"subject":"","project_id":79,"tracker_id":40,"status_id":1,"priority_id":2,"assigned_to_id":23,"start_date":"2017-01-16","description":"","custom_fields":[{"id":1,"name":"Subdivision","value":"NW"},{"id":4,"name":"Milepost","value":"0.068"},{"id":17,"name":"Train ID","value":"838-16"},{"id":16,"name":"Locomotive ID","value":"4041"},{"id":130,"name":"Impact","value":""},{"id":150,"name":"Time of Event (Mountain Time)","value":"18:56:34"},{"id":151,"name":"Denver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57"/>
        <v>start /low /b %USERPROFILE%\Documents\GitHub\eaglep3\Utilities\DownloadLogsFromS3.py --loco 4041 --day 2017-01-16</v>
      </c>
      <c r="AN195" s="18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2017-01-16-UncaughtWiMAX.txt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678</v>
      </c>
      <c r="B196" s="7">
        <v>4027</v>
      </c>
      <c r="C196" s="22" t="s">
        <v>201</v>
      </c>
      <c r="D196" s="22" t="s">
        <v>394</v>
      </c>
      <c r="E196" s="13">
        <v>42751.769791666666</v>
      </c>
      <c r="F196" s="13">
        <v>42751.785578703704</v>
      </c>
      <c r="G196" s="7">
        <v>1</v>
      </c>
      <c r="H196" s="22" t="s">
        <v>837</v>
      </c>
      <c r="I196" s="13">
        <v>42751.795555555553</v>
      </c>
      <c r="J196" s="7">
        <v>0</v>
      </c>
      <c r="K196" s="105" t="str">
        <f t="shared" si="41"/>
        <v>4027/4028</v>
      </c>
      <c r="L196" s="22" t="str">
        <f>VLOOKUP(A196,'Trips&amp;Operators'!$C$1:$G$99999,5,FALSE)</f>
        <v>NEWELL JAMES</v>
      </c>
      <c r="M196" s="6">
        <f t="shared" si="42"/>
        <v>9.9768518484779634E-3</v>
      </c>
      <c r="N196" s="7">
        <f t="shared" si="43"/>
        <v>14.366666661808267</v>
      </c>
      <c r="O196" s="7"/>
      <c r="P196" s="7"/>
      <c r="Q196" s="23"/>
      <c r="R196" s="23"/>
      <c r="S196" s="32">
        <f t="shared" si="44"/>
        <v>1</v>
      </c>
      <c r="T196" s="47" t="str">
        <f t="shared" si="45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6"/>
        <v>https://d0f6bd738d7f1b3e5a7ca70fe4ff75f0.us-east-1.aws.found.io/app/kibana#/discover/Steve-Slow-Train-Analysis-(2080s-and-2083s)?_g=(refreshInterval:(display:Off,pause:!f,section:0,value:0),time:(from:'2017-01-16T17:28:30-0700',mode:absolute,to:'2017-01-16T20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6" s="49" t="str">
        <f t="shared" si="47"/>
        <v>N</v>
      </c>
      <c r="X196" s="173">
        <f t="shared" si="48"/>
        <v>1</v>
      </c>
      <c r="Y196" s="64">
        <f t="shared" si="49"/>
        <v>9.6199999999999994E-2</v>
      </c>
      <c r="Z196" s="64">
        <f t="shared" si="59"/>
        <v>5.8921999999999999</v>
      </c>
      <c r="AA196" s="64">
        <f t="shared" si="50"/>
        <v>5.7960000000000003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51"/>
        <v>0839-16</v>
      </c>
      <c r="AE196" s="87" t="str">
        <f t="shared" si="52"/>
        <v>aws s3 cp s3://rtdc.mdm.uploadarchive.raw/RTDC4027/ "%USERPROFILE%\AppData\Local\Temp\OnboardLogs"\RTDC4027\2017-01-16 --exclude "*" --recursive --include "*20170116*" &amp; "%USERPROFILE%\Documents\GitHub\mrs-test-scripts\Headless Mode &amp; Sideloading\WalkAndUnGZ.bat" "%USERPROFILE%\AppData\Local\Temp\OnboardLogs"\RTDC4027\2017-01-16 &amp; 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</v>
      </c>
      <c r="AF196" s="84" t="str">
        <f t="shared" si="53"/>
        <v>"C:\Program Files (x86)\AstroGrep\AstroGrep.exe" /spath="%USERPROFILE%\AppData\Local\Temp\OnboardLogs" /stypes="app*4027*20170117*" /stext=" 02:.+((SYSTEM_STATE.+slice.+state.+changed )|(ment ac)|(multiple cpu faults)|(system.+state.+changed )|(\[timeout)|(PRM\|1\|D)|(kpr)|(kdp)|(\|lc)|(penalty))" /e /r /s</v>
      </c>
      <c r="AG196" s="1" t="str">
        <f t="shared" si="54"/>
        <v>NW</v>
      </c>
      <c r="AH196" s="88" t="str">
        <f t="shared" si="55"/>
        <v>"%USERPROFILE%\Documents\GitHub\eaglep3\Utilities\RefineRTDCRunTimes.py" --tripid 839-16 --locoid 4027 --swversion DE.1.0.8.0 --startMP 204:962 --initTime 2017-01-16T18:28:30 --startdatetime 2017-01-16T18:51:14 --delay 1 --endMP 300:58922 --enddatetime 2017-01-16T19:05:36 --enforcementcount 0 &gt;&gt;C:\Users\stu\Documents\GitHub\eaglep3-reporting\EC\2017-01-16-refined-times.txt</v>
      </c>
      <c r="AI196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{"issue":{"subject":"","project_id":79,"tracker_id":40,"status_id":1,"priority_id":2,"assigned_to_id":23,"start_date":"2017-01-16","description":"","custom_fields":[{"id":1,"name":"Subdivision","value":"NW"},{"id":4,"name":"Milepost","value":"5.8922"},{"id":17,"name":"Train ID","value":"839-16"},{"id":16,"name":"Locomotive ID","value":"4027"},{"id":130,"name":"Impact","value":""},{"id":150,"name":"Time of Event (Mountain Time)","value":"19:05:36"},{"id":151,"name":"Denver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57"/>
        <v>start /low /b %USERPROFILE%\Documents\GitHub\eaglep3\Utilities\DownloadLogsFromS3.py --loco 4027 --day 2017-01-16</v>
      </c>
      <c r="AN196" s="18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2017-01-16-UncaughtWiMAX.txt</v>
      </c>
    </row>
    <row r="197" spans="1:91" x14ac:dyDescent="0.25">
      <c r="A197" s="34" t="s">
        <v>690</v>
      </c>
      <c r="B197" s="7">
        <v>4041</v>
      </c>
      <c r="C197" s="22" t="s">
        <v>201</v>
      </c>
      <c r="D197" s="22" t="s">
        <v>878</v>
      </c>
      <c r="E197" s="13">
        <v>42751.817465277774</v>
      </c>
      <c r="F197" s="13">
        <v>42751.818738425929</v>
      </c>
      <c r="G197" s="7">
        <v>1</v>
      </c>
      <c r="H197" s="22" t="s">
        <v>879</v>
      </c>
      <c r="I197" s="13">
        <v>42751.830648148149</v>
      </c>
      <c r="J197" s="7">
        <v>0</v>
      </c>
      <c r="K197" s="105" t="str">
        <f t="shared" si="41"/>
        <v>4041/4042</v>
      </c>
      <c r="L197" s="22" t="str">
        <f>VLOOKUP(A197,'Trips&amp;Operators'!$C$1:$G$99999,5,FALSE)</f>
        <v>LEVIN SCOTT</v>
      </c>
      <c r="M197" s="6">
        <f t="shared" si="42"/>
        <v>1.190972221957054E-2</v>
      </c>
      <c r="N197" s="7">
        <f t="shared" si="43"/>
        <v>17.149999996181577</v>
      </c>
      <c r="O197" s="7"/>
      <c r="P197" s="7"/>
      <c r="Q197" s="23"/>
      <c r="R197" s="23"/>
      <c r="S197" s="32">
        <f t="shared" si="44"/>
        <v>1</v>
      </c>
      <c r="T197" s="47" t="str">
        <f t="shared" si="45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6"/>
        <v>https://d0f6bd738d7f1b3e5a7ca70fe4ff75f0.us-east-1.aws.found.io/app/kibana#/discover/Steve-Slow-Train-Analysis-(2080s-and-2083s)?_g=(refreshInterval:(display:Off,pause:!f,section:0,value:0),time:(from:'2017-01-16T18:37:09-0700',mode:absolute,to:'2017-01-16T20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49" t="str">
        <f t="shared" si="47"/>
        <v>N</v>
      </c>
      <c r="X197" s="173">
        <f t="shared" si="48"/>
        <v>1</v>
      </c>
      <c r="Y197" s="64">
        <f t="shared" si="49"/>
        <v>5.8620999999999999</v>
      </c>
      <c r="Z197" s="64">
        <f t="shared" si="59"/>
        <v>6.7100000000000007E-2</v>
      </c>
      <c r="AA197" s="64">
        <f t="shared" si="50"/>
        <v>5.7949999999999999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51"/>
        <v>0840-16</v>
      </c>
      <c r="AE197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97" s="84" t="str">
        <f t="shared" si="53"/>
        <v>"C:\Program Files (x86)\AstroGrep\AstroGrep.exe" /spath="%USERPROFILE%\AppData\Local\Temp\OnboardLogs" /stypes="app*4041*20170117*" /stext=" 02:.+((SYSTEM_STATE.+slice.+state.+changed )|(ment ac)|(multiple cpu faults)|(system.+state.+changed )|(\[timeout)|(PRM\|1\|D)|(kpr)|(kdp)|(\|lc)|(penalty))" /e /r /s</v>
      </c>
      <c r="AG197" s="1" t="str">
        <f t="shared" si="54"/>
        <v>NW</v>
      </c>
      <c r="AH197" s="88" t="str">
        <f t="shared" si="55"/>
        <v>"%USERPROFILE%\Documents\GitHub\eaglep3\Utilities\RefineRTDCRunTimes.py" --tripid 840-16 --locoid 4041 --swversion DE.1.0.8.0 --startMP 300:58621 --initTime 2017-01-16T19:37:09 --startdatetime 2017-01-16T19:38:59 --delay 1 --endMP 204:671 --enddatetime 2017-01-16T19:56:08 --enforcementcount 0 &gt;&gt;C:\Users\stu\Documents\GitHub\eaglep3-reporting\EC\2017-01-16-refined-times.txt</v>
      </c>
      <c r="AI197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{"issue":{"subject":"","project_id":79,"tracker_id":40,"status_id":1,"priority_id":2,"assigned_to_id":23,"start_date":"2017-01-16","description":"","custom_fields":[{"id":1,"name":"Subdivision","value":"NW"},{"id":4,"name":"Milepost","value":"0.0671"},{"id":17,"name":"Train ID","value":"840-16"},{"id":16,"name":"Locomotive ID","value":"4041"},{"id":130,"name":"Impact","value":""},{"id":150,"name":"Time of Event (Mountain Time)","value":"19:56:08"},{"id":151,"name":"Denver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57"/>
        <v>start /low /b %USERPROFILE%\Documents\GitHub\eaglep3\Utilities\DownloadLogsFromS3.py --loco 4041 --day 2017-01-16</v>
      </c>
      <c r="AN197" s="18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2017-01-16-UncaughtWiMAX.txt</v>
      </c>
    </row>
    <row r="198" spans="1:91" x14ac:dyDescent="0.25">
      <c r="A198" s="34" t="s">
        <v>687</v>
      </c>
      <c r="B198" s="7">
        <v>4042</v>
      </c>
      <c r="C198" s="22" t="s">
        <v>201</v>
      </c>
      <c r="D198" s="22" t="s">
        <v>874</v>
      </c>
      <c r="E198" s="13">
        <v>42751.800949074073</v>
      </c>
      <c r="F198" s="13">
        <v>42751.806423611109</v>
      </c>
      <c r="G198" s="7">
        <v>1</v>
      </c>
      <c r="H198" s="22" t="s">
        <v>861</v>
      </c>
      <c r="I198" s="13">
        <v>42751.816377314812</v>
      </c>
      <c r="J198" s="7">
        <v>0</v>
      </c>
      <c r="K198" s="105" t="str">
        <f t="shared" si="41"/>
        <v>4041/4042</v>
      </c>
      <c r="L198" s="22" t="str">
        <f>VLOOKUP(A198,'Trips&amp;Operators'!$C$1:$G$99999,5,FALSE)</f>
        <v>LEVIN SCOTT</v>
      </c>
      <c r="M198" s="6">
        <f t="shared" si="42"/>
        <v>9.9537037021946162E-3</v>
      </c>
      <c r="N198" s="7">
        <f t="shared" si="43"/>
        <v>14.333333331160247</v>
      </c>
      <c r="O198" s="7"/>
      <c r="P198" s="7"/>
      <c r="Q198" s="23"/>
      <c r="R198" s="23"/>
      <c r="S198" s="32">
        <f t="shared" si="44"/>
        <v>1</v>
      </c>
      <c r="T198" s="47" t="str">
        <f t="shared" si="45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6"/>
        <v>https://d0f6bd738d7f1b3e5a7ca70fe4ff75f0.us-east-1.aws.found.io/app/kibana#/discover/Steve-Slow-Train-Analysis-(2080s-and-2083s)?_g=(refreshInterval:(display:Off,pause:!f,section:0,value:0),time:(from:'2017-01-16T18:13:22-0700',mode:absolute,to:'2017-01-16T20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49" t="str">
        <f t="shared" si="47"/>
        <v>N</v>
      </c>
      <c r="X198" s="173">
        <f t="shared" si="48"/>
        <v>1</v>
      </c>
      <c r="Y198" s="64">
        <f t="shared" si="49"/>
        <v>9.5500000000000002E-2</v>
      </c>
      <c r="Z198" s="64">
        <f t="shared" si="59"/>
        <v>5.8929</v>
      </c>
      <c r="AA198" s="64">
        <f t="shared" si="50"/>
        <v>5.7973999999999997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51"/>
        <v>0841-16</v>
      </c>
      <c r="AE198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198" s="84" t="str">
        <f t="shared" si="53"/>
        <v>"C:\Program Files (x86)\AstroGrep\AstroGrep.exe" /spath="%USERPROFILE%\AppData\Local\Temp\OnboardLogs" /stypes="app*4042*20170117*" /stext=" 02:.+((SYSTEM_STATE.+slice.+state.+changed )|(ment ac)|(multiple cpu faults)|(system.+state.+changed )|(\[timeout)|(PRM\|1\|D)|(kpr)|(kdp)|(\|lc)|(penalty))" /e /r /s</v>
      </c>
      <c r="AG198" s="1" t="str">
        <f t="shared" si="54"/>
        <v>NW</v>
      </c>
      <c r="AH198" s="88" t="str">
        <f t="shared" si="55"/>
        <v>"%USERPROFILE%\Documents\GitHub\eaglep3\Utilities\RefineRTDCRunTimes.py" --tripid 841-16 --locoid 4042 --swversion DE.1.0.8.0 --startMP 204:955 --initTime 2017-01-16T19:13:22 --startdatetime 2017-01-16T19:21:15 --delay 1 --endMP 300:58929 --enddatetime 2017-01-16T19:35:35 --enforcementcount 0 &gt;&gt;C:\Users\stu\Documents\GitHub\eaglep3-reporting\EC\2017-01-16-refined-times.txt</v>
      </c>
      <c r="AI198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{"issue":{"subject":"","project_id":79,"tracker_id":40,"status_id":1,"priority_id":2,"assigned_to_id":23,"start_date":"2017-01-16","description":"","custom_fields":[{"id":1,"name":"Subdivision","value":"NW"},{"id":4,"name":"Milepost","value":"5.8929"},{"id":17,"name":"Train ID","value":"841-16"},{"id":16,"name":"Locomotive ID","value":"4042"},{"id":130,"name":"Impact","value":""},{"id":150,"name":"Time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57"/>
        <v>start /low /b %USERPROFILE%\Documents\GitHub\eaglep3\Utilities\DownloadLogsFromS3.py --loco 4042 --day 2017-01-16</v>
      </c>
      <c r="AN198" s="18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2017-01-16-UncaughtWiMAX.txt</v>
      </c>
    </row>
    <row r="199" spans="1:91" x14ac:dyDescent="0.25">
      <c r="A199" s="34" t="s">
        <v>696</v>
      </c>
      <c r="B199" s="7">
        <v>4041</v>
      </c>
      <c r="C199" s="22" t="s">
        <v>201</v>
      </c>
      <c r="D199" s="22" t="s">
        <v>399</v>
      </c>
      <c r="E199" s="13">
        <v>42751.858541666668</v>
      </c>
      <c r="F199" s="13">
        <v>42751.859814814816</v>
      </c>
      <c r="G199" s="7">
        <v>1</v>
      </c>
      <c r="H199" s="22" t="s">
        <v>867</v>
      </c>
      <c r="I199" s="13">
        <v>42751.871770833335</v>
      </c>
      <c r="J199" s="7">
        <v>0</v>
      </c>
      <c r="K199" s="105" t="str">
        <f t="shared" si="41"/>
        <v>4041/4042</v>
      </c>
      <c r="L199" s="22" t="str">
        <f>VLOOKUP(A199,'Trips&amp;Operators'!$C$1:$G$99999,5,FALSE)</f>
        <v>LEVIN SCOTT</v>
      </c>
      <c r="M199" s="6">
        <f t="shared" si="42"/>
        <v>1.1956018519413192E-2</v>
      </c>
      <c r="N199" s="7">
        <f t="shared" si="43"/>
        <v>17.216666667954996</v>
      </c>
      <c r="O199" s="7"/>
      <c r="P199" s="7"/>
      <c r="Q199" s="23"/>
      <c r="R199" s="23"/>
      <c r="S199" s="32">
        <f t="shared" si="44"/>
        <v>1</v>
      </c>
      <c r="T199" s="47" t="str">
        <f t="shared" si="45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6"/>
        <v>https://d0f6bd738d7f1b3e5a7ca70fe4ff75f0.us-east-1.aws.found.io/app/kibana#/discover/Steve-Slow-Train-Analysis-(2080s-and-2083s)?_g=(refreshInterval:(display:Off,pause:!f,section:0,value:0),time:(from:'2017-01-16T19:36:18-0700',mode:absolute,to:'2017-01-16T21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49" t="str">
        <f t="shared" si="47"/>
        <v>N</v>
      </c>
      <c r="X199" s="173">
        <f t="shared" si="48"/>
        <v>1</v>
      </c>
      <c r="Y199" s="64">
        <f t="shared" si="49"/>
        <v>5.8623000000000003</v>
      </c>
      <c r="Z199" s="64">
        <f t="shared" si="59"/>
        <v>6.9800000000000001E-2</v>
      </c>
      <c r="AA199" s="64">
        <f t="shared" si="50"/>
        <v>5.7925000000000004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51"/>
        <v>0842-16</v>
      </c>
      <c r="AE199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199" s="84" t="str">
        <f t="shared" si="53"/>
        <v>"C:\Program Files (x86)\AstroGrep\AstroGrep.exe" /spath="%USERPROFILE%\AppData\Local\Temp\OnboardLogs" /stypes="app*4041*20170117*" /stext=" 03:.+((SYSTEM_STATE.+slice.+state.+changed )|(ment ac)|(multiple cpu faults)|(system.+state.+changed )|(\[timeout)|(PRM\|1\|D)|(kpr)|(kdp)|(\|lc)|(penalty))" /e /r /s</v>
      </c>
      <c r="AG199" s="1" t="str">
        <f t="shared" si="54"/>
        <v>NW</v>
      </c>
      <c r="AH199" s="88" t="str">
        <f t="shared" si="55"/>
        <v>"%USERPROFILE%\Documents\GitHub\eaglep3\Utilities\RefineRTDCRunTimes.py" --tripid 842-16 --locoid 4041 --swversion DE.1.0.8.0 --startMP 300:58623 --initTime 2017-01-16T20:36:18 --startdatetime 2017-01-16T20:38:08 --delay 1 --endMP 204:698 --enddatetime 2017-01-16T20:55:21 --enforcementcount 0 &gt;&gt;C:\Users\stu\Documents\GitHub\eaglep3-reporting\EC\2017-01-16-refined-times.txt</v>
      </c>
      <c r="AI199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{"issue":{"subject":"","project_id":79,"tracker_id":40,"status_id":1,"priority_id":2,"assigned_to_id":23,"start_date":"2017-01-16","description":"","custom_fields":[{"id":1,"name":"Subdivision","value":"NW"},{"id":4,"name":"Milepost","value":"0.0698"},{"id":17,"name":"Train ID","value":"842-16"},{"id":16,"name":"Locomotive ID","value":"4041"},{"id":130,"name":"Impact","value":""},{"id":150,"name":"Time of Event (Mountain Time)","value":"20:55:21"},{"id":151,"name":"Denver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57"/>
        <v>start /low /b %USERPROFILE%\Documents\GitHub\eaglep3\Utilities\DownloadLogsFromS3.py --loco 4041 --day 2017-01-16</v>
      </c>
      <c r="AN199" s="18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2017-01-16-UncaughtWiMAX.txt</v>
      </c>
    </row>
    <row r="200" spans="1:91" x14ac:dyDescent="0.25">
      <c r="A200" s="34" t="s">
        <v>693</v>
      </c>
      <c r="B200" s="7">
        <v>4042</v>
      </c>
      <c r="C200" s="22" t="s">
        <v>201</v>
      </c>
      <c r="D200" s="22" t="s">
        <v>880</v>
      </c>
      <c r="E200" s="13">
        <v>42751.839803240742</v>
      </c>
      <c r="F200" s="13">
        <v>42751.848240740743</v>
      </c>
      <c r="G200" s="7">
        <v>0</v>
      </c>
      <c r="H200" s="22" t="s">
        <v>877</v>
      </c>
      <c r="I200" s="13">
        <v>42751.857453703706</v>
      </c>
      <c r="J200" s="7">
        <v>0</v>
      </c>
      <c r="K200" s="105" t="str">
        <f t="shared" si="41"/>
        <v>4041/4042</v>
      </c>
      <c r="L200" s="22" t="str">
        <f>VLOOKUP(A200,'Trips&amp;Operators'!$C$1:$G$99999,5,FALSE)</f>
        <v>LEVIN SCOTT</v>
      </c>
      <c r="M200" s="6">
        <f t="shared" si="42"/>
        <v>9.2129629629198462E-3</v>
      </c>
      <c r="N200" s="7">
        <f t="shared" si="43"/>
        <v>13.266666666604578</v>
      </c>
      <c r="O200" s="7"/>
      <c r="P200" s="7"/>
      <c r="Q200" s="23"/>
      <c r="R200" s="23"/>
      <c r="S200" s="32">
        <f t="shared" si="44"/>
        <v>1</v>
      </c>
      <c r="T200" s="47" t="str">
        <f t="shared" si="45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6"/>
        <v>https://d0f6bd738d7f1b3e5a7ca70fe4ff75f0.us-east-1.aws.found.io/app/kibana#/discover/Steve-Slow-Train-Analysis-(2080s-and-2083s)?_g=(refreshInterval:(display:Off,pause:!f,section:0,value:0),time:(from:'2017-01-16T19:09:19-0700',mode:absolute,to:'2017-01-16T21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49" t="str">
        <f t="shared" si="47"/>
        <v>N</v>
      </c>
      <c r="X200" s="173">
        <f t="shared" si="48"/>
        <v>1</v>
      </c>
      <c r="Y200" s="64">
        <f t="shared" si="49"/>
        <v>9.4399999999999998E-2</v>
      </c>
      <c r="Z200" s="64">
        <f t="shared" si="59"/>
        <v>5.8928000000000003</v>
      </c>
      <c r="AA200" s="64">
        <f t="shared" si="50"/>
        <v>5.7984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51"/>
        <v>0843-16</v>
      </c>
      <c r="AE200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200" s="84" t="str">
        <f t="shared" si="53"/>
        <v>"C:\Program Files (x86)\AstroGrep\AstroGrep.exe" /spath="%USERPROFILE%\AppData\Local\Temp\OnboardLogs" /stypes="app*4042*20170117*" /stext=" 03:.+((SYSTEM_STATE.+slice.+state.+changed )|(ment ac)|(multiple cpu faults)|(system.+state.+changed )|(\[timeout)|(PRM\|1\|D)|(kpr)|(kdp)|(\|lc)|(penalty))" /e /r /s</v>
      </c>
      <c r="AG200" s="1" t="str">
        <f t="shared" si="54"/>
        <v>NW</v>
      </c>
      <c r="AH200" s="88" t="str">
        <f t="shared" si="55"/>
        <v>"%USERPROFILE%\Documents\GitHub\eaglep3\Utilities\RefineRTDCRunTimes.py" --tripid 843-16 --locoid 4042 --swversion DE.1.0.8.0 --startMP 204:944 --initTime 2017-01-16T20:09:19 --startdatetime 2017-01-16T20:21:28 --delay 0 --endMP 300:58928 --enddatetime 2017-01-16T20:34:44 --enforcementcount 0 &gt;&gt;C:\Users\stu\Documents\GitHub\eaglep3-reporting\EC\2017-01-16-refined-times.txt</v>
      </c>
      <c r="AI200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{"issue":{"subject":"","project_id":79,"tracker_id":40,"status_id":1,"priority_id":2,"assigned_to_id":23,"start_date":"2017-01-16","description":"","custom_fields":[{"id":1,"name":"Subdivision","value":"NW"},{"id":4,"name":"Milepost","value":"5.8928"},{"id":17,"name":"Train ID","value":"843-16"},{"id":16,"name":"Locomotive ID","value":"4042"},{"id":130,"name":"Impact","value":""},{"id":150,"name":"Time of Event (Mountain Time)","value":"20:34:44"},{"id":151,"name":"Denver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57"/>
        <v>start /low /b %USERPROFILE%\Documents\GitHub\eaglep3\Utilities\DownloadLogsFromS3.py --loco 4042 --day 2017-01-16</v>
      </c>
      <c r="AN200" s="18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2017-01-16-UncaughtWiMAX.txt</v>
      </c>
    </row>
    <row r="201" spans="1:91" x14ac:dyDescent="0.25">
      <c r="A201" s="34" t="s">
        <v>703</v>
      </c>
      <c r="B201" s="7">
        <v>4041</v>
      </c>
      <c r="C201" s="22" t="s">
        <v>201</v>
      </c>
      <c r="D201" s="22" t="s">
        <v>831</v>
      </c>
      <c r="E201" s="13">
        <v>42751.904097222221</v>
      </c>
      <c r="F201" s="13">
        <v>42751.90552083333</v>
      </c>
      <c r="G201" s="7">
        <v>1</v>
      </c>
      <c r="H201" s="22" t="s">
        <v>881</v>
      </c>
      <c r="I201" s="13">
        <v>42751.914861111109</v>
      </c>
      <c r="J201" s="7">
        <v>0</v>
      </c>
      <c r="K201" s="105" t="str">
        <f t="shared" si="41"/>
        <v>4041/4042</v>
      </c>
      <c r="L201" s="22" t="str">
        <f>VLOOKUP(A201,'Trips&amp;Operators'!$C$1:$G$99999,5,FALSE)</f>
        <v>NEWELL JAMES</v>
      </c>
      <c r="M201" s="6">
        <f t="shared" si="42"/>
        <v>9.340277778392192E-3</v>
      </c>
      <c r="N201" s="7">
        <f t="shared" si="43"/>
        <v>13.450000000884756</v>
      </c>
      <c r="O201" s="7"/>
      <c r="P201" s="7"/>
      <c r="Q201" s="23"/>
      <c r="R201" s="23"/>
      <c r="S201" s="32">
        <f t="shared" si="44"/>
        <v>1</v>
      </c>
      <c r="T201" s="47" t="str">
        <f t="shared" si="45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6"/>
        <v>https://d0f6bd738d7f1b3e5a7ca70fe4ff75f0.us-east-1.aws.found.io/app/kibana#/discover/Steve-Slow-Train-Analysis-(2080s-and-2083s)?_g=(refreshInterval:(display:Off,pause:!f,section:0,value:0),time:(from:'2017-01-16T20:41:54-0700',mode:absolute,to:'2017-01-16T22:57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49" t="str">
        <f t="shared" si="47"/>
        <v>N</v>
      </c>
      <c r="X201" s="173">
        <f t="shared" si="48"/>
        <v>1</v>
      </c>
      <c r="Y201" s="64">
        <f t="shared" si="49"/>
        <v>5.8611000000000004</v>
      </c>
      <c r="Z201" s="64">
        <f t="shared" si="59"/>
        <v>6.5600000000000006E-2</v>
      </c>
      <c r="AA201" s="64">
        <f t="shared" si="50"/>
        <v>5.7955000000000005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51"/>
        <v>0844-16</v>
      </c>
      <c r="AE201" s="87" t="str">
        <f t="shared" si="52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201" s="84" t="str">
        <f t="shared" si="53"/>
        <v>"C:\Program Files (x86)\AstroGrep\AstroGrep.exe" /spath="%USERPROFILE%\AppData\Local\Temp\OnboardLogs" /stypes="app*4041*20170117*" /stext=" 04:.+((SYSTEM_STATE.+slice.+state.+changed )|(ment ac)|(multiple cpu faults)|(system.+state.+changed )|(\[timeout)|(PRM\|1\|D)|(kpr)|(kdp)|(\|lc)|(penalty))" /e /r /s</v>
      </c>
      <c r="AG201" s="1" t="str">
        <f t="shared" si="54"/>
        <v>NW</v>
      </c>
      <c r="AH201" s="88" t="str">
        <f t="shared" si="55"/>
        <v>"%USERPROFILE%\Documents\GitHub\eaglep3\Utilities\RefineRTDCRunTimes.py" --tripid 844-16 --locoid 4041 --swversion DE.1.0.8.0 --startMP 300:58611 --initTime 2017-01-16T21:41:54 --startdatetime 2017-01-16T21:43:57 --delay 1 --endMP 204:656 --enddatetime 2017-01-16T21:57:24 --enforcementcount 0 &gt;&gt;C:\Users\stu\Documents\GitHub\eaglep3-reporting\EC\2017-01-16-refined-times.txt</v>
      </c>
      <c r="AI201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{"issue":{"subject":"","project_id":79,"tracker_id":40,"status_id":1,"priority_id":2,"assigned_to_id":23,"start_date":"2017-01-16","description":"","custom_fields":[{"id":1,"name":"Subdivision","value":"NW"},{"id":4,"name":"Milepost","value":"0.0656"},{"id":17,"name":"Train ID","value":"844-16"},{"id":16,"name":"Locomotive ID","value":"4041"},{"id":130,"name":"Impact","value":""},{"id":150,"name":"Time of Event (Mountain Time)","value":"21:57:24"},{"id":151,"name":"Denver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57"/>
        <v>start /low /b %USERPROFILE%\Documents\GitHub\eaglep3\Utilities\DownloadLogsFromS3.py --loco 4041 --day 2017-01-16</v>
      </c>
      <c r="AN201" s="18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2017-01-16-UncaughtWiMAX.txt</v>
      </c>
    </row>
    <row r="202" spans="1:91" x14ac:dyDescent="0.25">
      <c r="A202" s="34" t="s">
        <v>699</v>
      </c>
      <c r="B202" s="7">
        <v>4042</v>
      </c>
      <c r="C202" s="22" t="s">
        <v>201</v>
      </c>
      <c r="D202" s="22" t="s">
        <v>872</v>
      </c>
      <c r="E202" s="13">
        <v>42751.875613425924</v>
      </c>
      <c r="F202" s="13">
        <v>42751.90552083333</v>
      </c>
      <c r="G202" s="7">
        <v>1</v>
      </c>
      <c r="H202" s="22" t="s">
        <v>882</v>
      </c>
      <c r="I202" s="13">
        <v>42751.914861111109</v>
      </c>
      <c r="J202" s="7">
        <v>0</v>
      </c>
      <c r="K202" s="105" t="str">
        <f t="shared" si="41"/>
        <v>4041/4042</v>
      </c>
      <c r="L202" s="22" t="str">
        <f>VLOOKUP(A202,'Trips&amp;Operators'!$C$1:$G$99999,5,FALSE)</f>
        <v>NEWELL JAMES</v>
      </c>
      <c r="M202" s="6">
        <f t="shared" si="42"/>
        <v>9.340277778392192E-3</v>
      </c>
      <c r="N202" s="7">
        <f t="shared" si="43"/>
        <v>13.450000000884756</v>
      </c>
      <c r="O202" s="7"/>
      <c r="P202" s="7"/>
      <c r="Q202" s="23"/>
      <c r="R202" s="23"/>
      <c r="S202" s="32">
        <f t="shared" si="44"/>
        <v>1</v>
      </c>
      <c r="T202" s="47" t="str">
        <f t="shared" si="45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46"/>
        <v>https://d0f6bd738d7f1b3e5a7ca70fe4ff75f0.us-east-1.aws.found.io/app/kibana#/discover/Steve-Slow-Train-Analysis-(2080s-and-2083s)?_g=(refreshInterval:(display:Off,pause:!f,section:0,value:0),time:(from:'2017-01-16T20:00:53-0700',mode:absolute,to:'2017-01-16T22:57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49" t="str">
        <f t="shared" si="47"/>
        <v>N</v>
      </c>
      <c r="X202" s="173">
        <f t="shared" si="48"/>
        <v>1</v>
      </c>
      <c r="Y202" s="64">
        <f t="shared" si="49"/>
        <v>9.8100000000000007E-2</v>
      </c>
      <c r="Z202" s="64">
        <f t="shared" si="59"/>
        <v>5.8925999999999998</v>
      </c>
      <c r="AA202" s="64">
        <f t="shared" si="50"/>
        <v>5.7945000000000002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51"/>
        <v>0845-16</v>
      </c>
      <c r="AE202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202" s="84" t="str">
        <f t="shared" si="53"/>
        <v>"C:\Program Files (x86)\AstroGrep\AstroGrep.exe" /spath="%USERPROFILE%\AppData\Local\Temp\OnboardLogs" /stypes="app*4042*20170117*" /stext=" 04:.+((SYSTEM_STATE.+slice.+state.+changed )|(ment ac)|(multiple cpu faults)|(system.+state.+changed )|(\[timeout)|(PRM\|1\|D)|(kpr)|(kdp)|(\|lc)|(penalty))" /e /r /s</v>
      </c>
      <c r="AG202" s="1" t="str">
        <f t="shared" si="54"/>
        <v>NW</v>
      </c>
      <c r="AH202" s="88" t="str">
        <f t="shared" si="55"/>
        <v>"%USERPROFILE%\Documents\GitHub\eaglep3\Utilities\RefineRTDCRunTimes.py" --tripid 845-16 --locoid 4042 --swversion DE.1.0.8.0 --startMP 204:981 --initTime 2017-01-16T21:00:53 --startdatetime 2017-01-16T21:43:57 --delay 1 --endMP 300:58926 --enddatetime 2017-01-16T21:57:24 --enforcementcount 0 &gt;&gt;C:\Users\stu\Documents\GitHub\eaglep3-reporting\EC\2017-01-16-refined-times.txt</v>
      </c>
      <c r="AI202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{"issue":{"subject":"","project_id":79,"tracker_id":40,"status_id":1,"priority_id":2,"assigned_to_id":23,"start_date":"2017-01-16","description":"","custom_fields":[{"id":1,"name":"Subdivision","value":"NW"},{"id":4,"name":"Milepost","value":"5.8926"},{"id":17,"name":"Train ID","value":"845-16"},{"id":16,"name":"Locomotive ID","value":"4042"},{"id":130,"name":"Impact","value":""},{"id":150,"name":"Time of Event (Mountain Time)","value":"21:57:24"},{"id":151,"name":"Denver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57"/>
        <v>start /low /b %USERPROFILE%\Documents\GitHub\eaglep3\Utilities\DownloadLogsFromS3.py --loco 4042 --day 2017-01-16</v>
      </c>
      <c r="AN202" s="18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2017-01-16-UncaughtWiMAX.txt</v>
      </c>
    </row>
    <row r="203" spans="1:91" s="21" customFormat="1" x14ac:dyDescent="0.25">
      <c r="A203" s="34" t="s">
        <v>501</v>
      </c>
      <c r="B203" s="7">
        <v>4042</v>
      </c>
      <c r="C203" s="22" t="s">
        <v>201</v>
      </c>
      <c r="D203" s="22" t="s">
        <v>883</v>
      </c>
      <c r="E203" s="13">
        <v>42751.919907407406</v>
      </c>
      <c r="F203" s="13">
        <v>42751.93141203704</v>
      </c>
      <c r="G203" s="7">
        <v>1</v>
      </c>
      <c r="H203" s="22" t="s">
        <v>884</v>
      </c>
      <c r="I203" s="13">
        <v>42751.941851851851</v>
      </c>
      <c r="J203" s="7">
        <v>0</v>
      </c>
      <c r="K203" s="105" t="str">
        <f t="shared" si="41"/>
        <v>4041/4042</v>
      </c>
      <c r="L203" s="22" t="str">
        <f>VLOOKUP(A203,'Trips&amp;Operators'!$C$1:$G$99999,5,FALSE)</f>
        <v>NEWELL JAMES</v>
      </c>
      <c r="M203" s="6">
        <f t="shared" si="42"/>
        <v>1.0439814810524695E-2</v>
      </c>
      <c r="N203" s="7">
        <f t="shared" si="43"/>
        <v>15.03333332715556</v>
      </c>
      <c r="O203" s="7"/>
      <c r="P203" s="7"/>
      <c r="Q203" s="23"/>
      <c r="R203" s="23"/>
      <c r="S203" s="32">
        <f t="shared" si="44"/>
        <v>1</v>
      </c>
      <c r="T203" s="47" t="str">
        <f t="shared" si="45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46"/>
        <v>https://d0f6bd738d7f1b3e5a7ca70fe4ff75f0.us-east-1.aws.found.io/app/kibana#/discover/Steve-Slow-Train-Analysis-(2080s-and-2083s)?_g=(refreshInterval:(display:Off,pause:!f,section:0,value:0),time:(from:'2017-01-16T21:04:40-0700',mode:absolute,to:'2017-01-16T23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49" t="str">
        <f t="shared" si="47"/>
        <v>N</v>
      </c>
      <c r="X203" s="173">
        <f t="shared" si="48"/>
        <v>2</v>
      </c>
      <c r="Y203" s="64">
        <f t="shared" si="49"/>
        <v>9.5699999999999993E-2</v>
      </c>
      <c r="Z203" s="64">
        <f t="shared" si="59"/>
        <v>5.8902999999999999</v>
      </c>
      <c r="AA203" s="64">
        <f t="shared" si="50"/>
        <v>5.7946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51"/>
        <v>0847-16</v>
      </c>
      <c r="AE203" s="87" t="str">
        <f t="shared" si="52"/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AF203" s="84" t="str">
        <f t="shared" si="53"/>
        <v>"C:\Program Files (x86)\AstroGrep\AstroGrep.exe" /spath="%USERPROFILE%\AppData\Local\Temp\OnboardLogs" /stypes="app*4042*20170117*" /stext=" 05:.+((SYSTEM_STATE.+slice.+state.+changed )|(ment ac)|(multiple cpu faults)|(system.+state.+changed )|(\[timeout)|(PRM\|1\|D)|(kpr)|(kdp)|(\|lc)|(penalty))" /e /r /s</v>
      </c>
      <c r="AG203" s="1" t="str">
        <f t="shared" si="54"/>
        <v>NW</v>
      </c>
      <c r="AH203" s="88" t="str">
        <f t="shared" si="55"/>
        <v>"%USERPROFILE%\Documents\GitHub\eaglep3\Utilities\RefineRTDCRunTimes.py" --tripid 847-16 --locoid 4042 --swversion DE.1.0.8.0 --startMP 204:957 --initTime 2017-01-16T22:04:40 --startdatetime 2017-01-16T22:21:14 --delay 1 --endMP 300:58903 --enddatetime 2017-01-16T22:36:16 --enforcementcount 0 &gt;&gt;C:\Users\stu\Documents\GitHub\eaglep3-reporting\EC\2017-01-16-refined-times.txt</v>
      </c>
      <c r="AI203" s="115" t="str">
        <f t="shared" si="56"/>
        <v>echo {"issue":{"subject":"","project_id":79,"tracker_id":40,"status_id":1,"priority_id":2,"assigned_to_id":23,"start_date":"2017-01-16","description":"","custom_fields":[{"id":1,"name":"Subdivision","value":"NW"},{"id":4,"name":"Milepost","value":"5.8903"},{"id":17,"name":"Train ID","value":"847-16"},{"id":16,"name":"Locomotive ID","value":"4042"},{"id":130,"name":"Impact","value":""},{"id":150,"name":"Time of Event (Mountain Time)","value":"22:36:16"},{"id":151,"name":"Denver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57"/>
        <v>start /low /b %USERPROFILE%\Documents\GitHub\eaglep3\Utilities\DownloadLogsFromS3.py --loco 4042 --day 2017-01-16</v>
      </c>
      <c r="AN203" s="18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2017-01-16-UncaughtWiMAX.txt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4" t="s">
        <v>502</v>
      </c>
      <c r="B204" s="7">
        <v>4037</v>
      </c>
      <c r="C204" s="22" t="s">
        <v>201</v>
      </c>
      <c r="D204" s="22" t="s">
        <v>797</v>
      </c>
      <c r="E204" s="13">
        <v>42751.114305555559</v>
      </c>
      <c r="F204" s="13">
        <v>42751.11681712963</v>
      </c>
      <c r="G204" s="7">
        <v>3</v>
      </c>
      <c r="H204" s="22" t="s">
        <v>346</v>
      </c>
      <c r="I204" s="13">
        <v>42751.123622685183</v>
      </c>
      <c r="J204" s="7">
        <v>0</v>
      </c>
      <c r="K204" s="105" t="str">
        <f t="shared" si="41"/>
        <v>4037/4038</v>
      </c>
      <c r="L204" s="22" t="str">
        <f>VLOOKUP(A204,'Trips&amp;Operators'!$C$1:$G$99999,5,FALSE)</f>
        <v>OUN ZACK</v>
      </c>
      <c r="M204" s="6">
        <f t="shared" si="42"/>
        <v>6.805555553000886E-3</v>
      </c>
      <c r="N204" s="7">
        <f t="shared" si="43"/>
        <v>9.7999999963212758</v>
      </c>
      <c r="O204" s="7"/>
      <c r="P204" s="7"/>
      <c r="Q204" s="23"/>
      <c r="R204" s="23"/>
      <c r="S204" s="32">
        <f t="shared" si="44"/>
        <v>1</v>
      </c>
      <c r="T204" s="47" t="str">
        <f t="shared" si="45"/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46"/>
        <v>https://d0f6bd738d7f1b3e5a7ca70fe4ff75f0.us-east-1.aws.found.io/app/kibana#/discover/Steve-Slow-Train-Analysis-(2080s-and-2083s)?_g=(refreshInterval:(display:Off,pause:!f,section:0,value:0),time:(from:'2017-01-16T01:44:36-0700',mode:absolute,to:'2017-01-16T03:58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04" s="49" t="str">
        <f t="shared" si="47"/>
        <v>Y</v>
      </c>
      <c r="X204" s="173">
        <f t="shared" si="48"/>
        <v>-545</v>
      </c>
      <c r="Y204" s="64">
        <f t="shared" si="49"/>
        <v>2.3165</v>
      </c>
      <c r="Z204" s="64">
        <f t="shared" si="59"/>
        <v>1.43E-2</v>
      </c>
      <c r="AA204" s="64">
        <f t="shared" si="50"/>
        <v>2.3022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51"/>
        <v>0302-16</v>
      </c>
      <c r="AE204" s="87" t="str">
        <f t="shared" si="52"/>
        <v>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 &amp; 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</v>
      </c>
      <c r="AF204" s="84" t="str">
        <f t="shared" si="53"/>
        <v>"C:\Program Files (x86)\AstroGrep\AstroGrep.exe" /spath="%USERPROFILE%\AppData\Local\Temp\OnboardLogs" /stypes="app*4037*20170116*" /stext=" 09:.+((SYSTEM_STATE.+slice.+state.+changed )|(ment ac)|(multiple cpu faults)|(system.+state.+changed )|(\[timeout)|(PRM\|1\|D)|(kpr)|(kdp)|(\|lc)|(penalty))" /e /r /s</v>
      </c>
      <c r="AG204" s="1" t="str">
        <f t="shared" si="54"/>
        <v>Other</v>
      </c>
      <c r="AH204" s="88" t="str">
        <f t="shared" si="55"/>
        <v>"%USERPROFILE%\Documents\GitHub\eaglep3\Utilities\RefineRTDCRunTimes.py" --tripid 302-16 --locoid 4037 --swversion DE.1.0.8.0 --startMP 300:23165 --initTime 2017-01-16T02:44:36 --startdatetime 2017-01-16T02:48:13 --delay 3 --endMP 204:143 --enddatetime 2017-01-16T02:58:01 --enforcementcount 0 &gt;&gt;C:\Users\stu\Documents\GitHub\eaglep3-reporting\EC\2017-01-16-refined-times.txt</v>
      </c>
      <c r="AI204" s="115" t="str">
        <f t="shared" si="56"/>
        <v>echo {"issue":{"subject":"","project_id":79,"tracker_id":40,"status_id":1,"priority_id":2,"assigned_to_id":23,"start_date":"2017-01-16","description":"","custom_fields":[{"id":1,"name":"Subdivision","value":"Other"},{"id":4,"name":"Milepost","value":"0.0143"},{"id":17,"name":"Train ID","value":"302-16"},{"id":16,"name":"Locomotive ID","value":"4037"},{"id":130,"name":"Impact","value":""},{"id":150,"name":"Time of Event (Mountain Time)","value":"02:58:01"},{"id":151,"name":"Denver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57"/>
        <v>start /low /b %USERPROFILE%\Documents\GitHub\eaglep3\Utilities\DownloadLogsFromS3.py --loco 4037 --day 2017-01-16</v>
      </c>
      <c r="AN204" s="18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2017-01-16-UncaughtWiMAX.txt</v>
      </c>
    </row>
    <row r="205" spans="1:91" s="21" customFormat="1" x14ac:dyDescent="0.25">
      <c r="A205" s="34" t="s">
        <v>681</v>
      </c>
      <c r="B205" s="7">
        <v>4022</v>
      </c>
      <c r="C205" s="22" t="s">
        <v>201</v>
      </c>
      <c r="D205" s="22" t="s">
        <v>393</v>
      </c>
      <c r="E205" s="13">
        <v>42751.776539351849</v>
      </c>
      <c r="F205" s="13">
        <v>25568.708333333332</v>
      </c>
      <c r="G205" s="7">
        <v>1</v>
      </c>
      <c r="H205" s="22" t="s">
        <v>798</v>
      </c>
      <c r="I205" s="13">
        <v>25568.708333333332</v>
      </c>
      <c r="J205" s="7">
        <v>0</v>
      </c>
      <c r="K205" s="105" t="str">
        <f t="shared" ref="K205:K231" si="60">IF(ISEVEN(B205),(B205-1)&amp;"/"&amp;B205,B205&amp;"/"&amp;(B205+1))</f>
        <v>4021/4022</v>
      </c>
      <c r="L205" s="22" t="str">
        <f>VLOOKUP(A205,'Trips&amp;Operators'!$C$1:$G$99999,5,FALSE)</f>
        <v>ROMERO CHAD</v>
      </c>
      <c r="M205" s="6">
        <f t="shared" ref="M205:M231" si="61">I205-F205</f>
        <v>0</v>
      </c>
      <c r="N205" s="7">
        <f t="shared" ref="N205:N231" si="62">24*60*SUM($M205:$M205)</f>
        <v>0</v>
      </c>
      <c r="O205" s="7"/>
      <c r="P205" s="7"/>
      <c r="Q205" s="23"/>
      <c r="R205" s="23"/>
      <c r="S205" s="32">
        <f t="shared" ref="S205:S231" si="63">SUM(U205:U205)/IF(AG205="EC",12,1)</f>
        <v>1</v>
      </c>
      <c r="T205" s="47" t="str">
        <f t="shared" ref="T205:T231" si="64">IF(ISEVEN(LEFT(AD205,4)),"Southbound","NorthBound")</f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1" si="6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-16T17:38:13-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49" t="str">
        <f t="shared" ref="W205:W231" si="66">IF(AA205&lt;IF(AG205="EC",23,5.65),"Y","N")</f>
        <v>Y</v>
      </c>
      <c r="X205" s="173">
        <f t="shared" ref="X205:X231" si="67">VALUE(LEFT(AD205,4))-VALUE(LEFT(AD204,4))</f>
        <v>1</v>
      </c>
      <c r="Y205" s="64">
        <f t="shared" ref="Y205:Y231" si="68">RIGHT(D205,LEN(D205)-4)/10000</f>
        <v>4.2599999999999999E-2</v>
      </c>
      <c r="Z205" s="64">
        <f t="shared" si="59"/>
        <v>2.3294999999999999</v>
      </c>
      <c r="AA205" s="64">
        <f t="shared" ref="AA205:AA231" si="69">ABS(Z205-Y205)</f>
        <v>2.2868999999999997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ref="AD205:AD231" si="70">IF(LEN(A205)=6,"0"&amp;A205,A205)</f>
        <v>0303-16</v>
      </c>
      <c r="AE205" s="87" t="str">
        <f t="shared" ref="AE205:AE231" si="7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5" s="84" t="str">
        <f t="shared" ref="AF205:AF231" si="7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5" s="1" t="str">
        <f t="shared" ref="AG205:AG231" si="73">IFERROR(IF(VALUE(LEFT(AD205,2))&lt;=2,"EC",IF(OR(VALUE(LEFT(AD205,2))=8,VALUE(LEFT(AD205,2))=18),"NW","Other")),"Other")</f>
        <v>Other</v>
      </c>
      <c r="AH205" s="88" t="str">
        <f t="shared" si="55"/>
        <v>"%USERPROFILE%\Documents\GitHub\eaglep3\Utilities\RefineRTDCRunTimes.py" --tripid 303-16 --locoid 4022 --swversion DE.1.0.8.0 --startMP 204:426 --initTime 2017-01-16T18:38:13 --startdatetime 1969-12-31T17:00:00 --delay 1 --endMP 300:23295 --enddatetime 1969-12-31T17:00:00 --enforcementcount 0 &gt;&gt;C:\Users\stu\Documents\GitHub\eaglep3-reporting\EC\2017-01-16-refined-times.txt</v>
      </c>
      <c r="AI205" s="115" t="str">
        <f t="shared" si="56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ID","value":"303-16"},{"id":16,"name":"Locomotive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57"/>
        <v>start /low /b %USERPROFILE%\Documents\GitHub\eaglep3\Utilities\DownloadLogsFromS3.py --loco 4022 --day 1969-12-31</v>
      </c>
      <c r="AN205" s="18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2017-01-16-UncaughtWiMAX.txt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504</v>
      </c>
      <c r="B206" s="7">
        <v>4032</v>
      </c>
      <c r="C206" s="22" t="s">
        <v>201</v>
      </c>
      <c r="D206" s="22" t="s">
        <v>799</v>
      </c>
      <c r="E206" s="13">
        <v>42751.138483796298</v>
      </c>
      <c r="F206" s="13">
        <v>42751.141921296294</v>
      </c>
      <c r="G206" s="7">
        <v>4</v>
      </c>
      <c r="H206" s="22" t="s">
        <v>800</v>
      </c>
      <c r="I206" s="13">
        <v>42751.147002314814</v>
      </c>
      <c r="J206" s="7">
        <v>0</v>
      </c>
      <c r="K206" s="105" t="str">
        <f t="shared" si="60"/>
        <v>4031/4032</v>
      </c>
      <c r="L206" s="22" t="str">
        <f>VLOOKUP(A206,'Trips&amp;Operators'!$C$1:$G$99999,5,FALSE)</f>
        <v>MAELZER KURT</v>
      </c>
      <c r="M206" s="6">
        <f t="shared" si="61"/>
        <v>5.0810185202863067E-3</v>
      </c>
      <c r="N206" s="7">
        <f t="shared" si="62"/>
        <v>7.3166666692122817</v>
      </c>
      <c r="O206" s="7"/>
      <c r="P206" s="7"/>
      <c r="Q206" s="23"/>
      <c r="R206" s="23"/>
      <c r="S206" s="32">
        <f t="shared" si="63"/>
        <v>1</v>
      </c>
      <c r="T206" s="47" t="str">
        <f t="shared" si="64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5"/>
        <v>https://d0f6bd738d7f1b3e5a7ca70fe4ff75f0.us-east-1.aws.found.io/app/kibana#/discover/Steve-Slow-Train-Analysis-(2080s-and-2083s)?_g=(refreshInterval:(display:Off,pause:!f,section:0,value:0),time:(from:'2017-01-16T02:19:25-0700',mode:absolute,to:'2017-01-16T04:31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49" t="str">
        <f t="shared" si="66"/>
        <v>Y</v>
      </c>
      <c r="X206" s="173">
        <f t="shared" si="67"/>
        <v>1</v>
      </c>
      <c r="Y206" s="64">
        <f t="shared" si="68"/>
        <v>1.9441999999999999</v>
      </c>
      <c r="Z206" s="64">
        <f t="shared" si="59"/>
        <v>1.2500000000000001E-2</v>
      </c>
      <c r="AA206" s="64">
        <f t="shared" si="69"/>
        <v>1.9317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70"/>
        <v>0304-16</v>
      </c>
      <c r="AE206" s="87" t="str">
        <f t="shared" si="71"/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AF206" s="84" t="str">
        <f t="shared" si="72"/>
        <v>"C:\Program Files (x86)\AstroGrep\AstroGrep.exe" /spath="%USERPROFILE%\AppData\Local\Temp\OnboardLogs" /stypes="app*4032*20170116*" /stext=" 10:.+((SYSTEM_STATE.+slice.+state.+changed )|(ment ac)|(multiple cpu faults)|(system.+state.+changed )|(\[timeout)|(PRM\|1\|D)|(kpr)|(kdp)|(\|lc)|(penalty))" /e /r /s</v>
      </c>
      <c r="AG206" s="1" t="str">
        <f t="shared" si="73"/>
        <v>Other</v>
      </c>
      <c r="AH206" s="88" t="str">
        <f t="shared" ref="AH206:AH231" si="7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304-16 --locoid 4032 --swversion DE.1.0.8.0 --startMP 300:19442 --initTime 2017-01-16T03:19:25 --startdatetime 2017-01-16T03:24:22 --delay 4 --endMP 204:125 --enddatetime 2017-01-16T03:31:41 --enforcementcount 0 &gt;&gt;C:\Users\stu\Documents\GitHub\eaglep3-reporting\EC\2017-01-16-refined-times.txt</v>
      </c>
      <c r="AI206" s="115" t="str">
        <f t="shared" ref="AI206:AI231" si="7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{"issue":{"subject":"","project_id":79,"tracker_id":40,"status_id":1,"priority_id":2,"assigned_to_id":23,"start_date":"2017-01-16","description":"","custom_fields":[{"id":1,"name":"Subdivision","value":"Other"},{"id":4,"name":"Milepost","value":"0.0125"},{"id":17,"name":"Train ID","value":"304-16"},{"id":16,"name":"Locomotive ID","value":"4032"},{"id":130,"name":"Impact","value":""},{"id":150,"name":"Time of Event (Mountain Time)","value":"03:31:41"},{"id":151,"name":"Denver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ref="AM206:AM231" si="76">"start /low /b "&amp;dls3logs&amp;" --loco "&amp;B206&amp;" --day "&amp;TEXT(F206,"YYYY-MM-DD")</f>
        <v>start /low /b %USERPROFILE%\Documents\GitHub\eaglep3\Utilities\DownloadLogsFromS3.py --loco 4032 --day 2017-01-16</v>
      </c>
      <c r="AN206" s="18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"%USERPROFILE%\AppData\Local\Temp\OnboardLogs"\RTDC4032\*4032*20170116* | grep -SE "(Enforcement Action)|(\[TIMEOUT)|(CHR.+\|PRM\|1\|D.+(SWITCH|SIGNAL).+UNKNOWN)" - &gt;&gt; 2017-01-16-UncaughtWiMAX.txt</v>
      </c>
    </row>
    <row r="207" spans="1:91" x14ac:dyDescent="0.25">
      <c r="A207" s="34" t="s">
        <v>686</v>
      </c>
      <c r="B207" s="7">
        <v>4002</v>
      </c>
      <c r="C207" s="22" t="s">
        <v>201</v>
      </c>
      <c r="D207" s="22" t="s">
        <v>347</v>
      </c>
      <c r="E207" s="13">
        <v>42751.79855324074</v>
      </c>
      <c r="F207" s="13">
        <v>25568.708333333332</v>
      </c>
      <c r="G207" s="7">
        <v>1</v>
      </c>
      <c r="H207" s="22" t="s">
        <v>417</v>
      </c>
      <c r="I207" s="13">
        <v>25568.708333333332</v>
      </c>
      <c r="J207" s="7">
        <v>0</v>
      </c>
      <c r="K207" s="105" t="str">
        <f t="shared" si="60"/>
        <v>4001/4002</v>
      </c>
      <c r="L207" s="22" t="str">
        <f>VLOOKUP(A207,'Trips&amp;Operators'!$C$1:$G$99999,5,FALSE)</f>
        <v>CRAYTON QUNTRELL</v>
      </c>
      <c r="M207" s="6">
        <f t="shared" si="61"/>
        <v>0</v>
      </c>
      <c r="N207" s="7">
        <f t="shared" si="62"/>
        <v>0</v>
      </c>
      <c r="O207" s="7"/>
      <c r="P207" s="7"/>
      <c r="Q207" s="23"/>
      <c r="R207" s="23"/>
      <c r="S207" s="32">
        <f t="shared" si="63"/>
        <v>1</v>
      </c>
      <c r="T207" s="47" t="str">
        <f t="shared" si="64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5"/>
        <v>https://d0f6bd738d7f1b3e5a7ca70fe4ff75f0.us-east-1.aws.found.io/app/kibana#/discover/Steve-Slow-Train-Analysis-(2080s-and-2083s)?_g=(refreshInterval:(display:Off,pause:!f,section:0,value:0),time:(from:'2017-01-16T18:09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49" t="str">
        <f t="shared" si="66"/>
        <v>Y</v>
      </c>
      <c r="X207" s="173">
        <f t="shared" si="67"/>
        <v>1</v>
      </c>
      <c r="Y207" s="64">
        <f t="shared" si="68"/>
        <v>4.6600000000000003E-2</v>
      </c>
      <c r="Z207" s="64">
        <f t="shared" si="59"/>
        <v>2.3304</v>
      </c>
      <c r="AA207" s="64">
        <f t="shared" si="69"/>
        <v>2.2837999999999998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70"/>
        <v>0305-16</v>
      </c>
      <c r="AE207" s="87" t="str">
        <f t="shared" si="71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7" s="84" t="str">
        <f t="shared" si="72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7" s="1" t="str">
        <f t="shared" si="73"/>
        <v>Other</v>
      </c>
      <c r="AH207" s="88" t="str">
        <f t="shared" si="74"/>
        <v>"%USERPROFILE%\Documents\GitHub\eaglep3\Utilities\RefineRTDCRunTimes.py" --tripid 305-16 --locoid 4002 --swversion DE.1.0.8.0 --startMP 204:466 --initTime 2017-01-16T19:09:55 --startdatetime 1969-12-31T17:00:00 --delay 1 --endMP 300:23304 --enddatetime 1969-12-31T17:00:00 --enforcementcount 0 &gt;&gt;C:\Users\stu\Documents\GitHub\eaglep3-reporting\EC\2017-01-16-refined-times.txt</v>
      </c>
      <c r="AI207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ID","value":"305-16"},{"id":16,"name":"Locomotive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76"/>
        <v>start /low /b %USERPROFILE%\Documents\GitHub\eaglep3\Utilities\DownloadLogsFromS3.py --loco 4002 --day 1969-12-31</v>
      </c>
      <c r="AN207" s="18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2017-01-16-UncaughtWiMAX.txt</v>
      </c>
    </row>
    <row r="208" spans="1:91" x14ac:dyDescent="0.25">
      <c r="A208" s="34" t="s">
        <v>509</v>
      </c>
      <c r="B208" s="7">
        <v>4015</v>
      </c>
      <c r="C208" s="22" t="s">
        <v>201</v>
      </c>
      <c r="D208" s="22" t="s">
        <v>801</v>
      </c>
      <c r="E208" s="13">
        <v>42751.162719907406</v>
      </c>
      <c r="F208" s="13">
        <v>42751.165486111109</v>
      </c>
      <c r="G208" s="7">
        <v>3</v>
      </c>
      <c r="H208" s="22" t="s">
        <v>206</v>
      </c>
      <c r="I208" s="13">
        <v>42751.171967592592</v>
      </c>
      <c r="J208" s="7">
        <v>0</v>
      </c>
      <c r="K208" s="105" t="str">
        <f t="shared" si="60"/>
        <v>4015/4016</v>
      </c>
      <c r="L208" s="22" t="str">
        <f>VLOOKUP(A208,'Trips&amp;Operators'!$C$1:$G$99999,5,FALSE)</f>
        <v>STARKS ANGELINA</v>
      </c>
      <c r="M208" s="6">
        <f t="shared" si="61"/>
        <v>6.4814814832061529E-3</v>
      </c>
      <c r="N208" s="7">
        <f t="shared" si="62"/>
        <v>9.3333333358168602</v>
      </c>
      <c r="O208" s="7"/>
      <c r="P208" s="7"/>
      <c r="Q208" s="23"/>
      <c r="R208" s="23"/>
      <c r="S208" s="32">
        <f t="shared" si="63"/>
        <v>1</v>
      </c>
      <c r="T208" s="47" t="str">
        <f t="shared" si="64"/>
        <v>Southbound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65"/>
        <v>https://d0f6bd738d7f1b3e5a7ca70fe4ff75f0.us-east-1.aws.found.io/app/kibana#/discover/Steve-Slow-Train-Analysis-(2080s-and-2083s)?_g=(refreshInterval:(display:Off,pause:!f,section:0,value:0),time:(from:'2017-01-16T02:54:19-0700',mode:absolute,to:'2017-01-16T05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49" t="str">
        <f t="shared" si="66"/>
        <v>Y</v>
      </c>
      <c r="X208" s="173">
        <f t="shared" si="67"/>
        <v>1</v>
      </c>
      <c r="Y208" s="64">
        <f t="shared" si="68"/>
        <v>2.3245</v>
      </c>
      <c r="Z208" s="64">
        <f t="shared" si="59"/>
        <v>1.4999999999999999E-2</v>
      </c>
      <c r="AA208" s="64">
        <f t="shared" si="69"/>
        <v>2.3094999999999999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70"/>
        <v>0306-16</v>
      </c>
      <c r="AE208" s="87" t="str">
        <f t="shared" si="71"/>
        <v>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 &amp; 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</v>
      </c>
      <c r="AF208" s="84" t="str">
        <f t="shared" si="72"/>
        <v>"C:\Program Files (x86)\AstroGrep\AstroGrep.exe" /spath="%USERPROFILE%\AppData\Local\Temp\OnboardLogs" /stypes="app*4015*20170116*" /stext=" 11:.+((SYSTEM_STATE.+slice.+state.+changed )|(ment ac)|(multiple cpu faults)|(system.+state.+changed )|(\[timeout)|(PRM\|1\|D)|(kpr)|(kdp)|(\|lc)|(penalty))" /e /r /s</v>
      </c>
      <c r="AG208" s="1" t="str">
        <f t="shared" si="73"/>
        <v>Other</v>
      </c>
      <c r="AH208" s="88" t="str">
        <f t="shared" si="74"/>
        <v>"%USERPROFILE%\Documents\GitHub\eaglep3\Utilities\RefineRTDCRunTimes.py" --tripid 306-16 --locoid 4015 --swversion DE.1.0.8.0 --startMP 300:23245 --initTime 2017-01-16T03:54:19 --startdatetime 2017-01-16T03:58:18 --delay 3 --endMP 204:150 --enddatetime 2017-01-16T04:07:38 --enforcementcount 0 &gt;&gt;C:\Users\stu\Documents\GitHub\eaglep3-reporting\EC\2017-01-16-refined-times.txt</v>
      </c>
      <c r="AI208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{"issue":{"subject":"","project_id":79,"tracker_id":40,"status_id":1,"priority_id":2,"assigned_to_id":23,"start_date":"2017-01-16","description":"","custom_fields":[{"id":1,"name":"Subdivision","value":"Other"},{"id":4,"name":"Milepost","value":"0.015"},{"id":17,"name":"Train ID","value":"306-16"},{"id":16,"name":"Locomotive ID","value":"4015"},{"id":130,"name":"Impact","value":""},{"id":150,"name":"Time of Event (Mountain Time)","value":"04:07:38"},{"id":151,"name":"Denver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76"/>
        <v>start /low /b %USERPROFILE%\Documents\GitHub\eaglep3\Utilities\DownloadLogsFromS3.py --loco 4015 --day 2017-01-16</v>
      </c>
      <c r="AN208" s="18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2017-01-16-UncaughtWiMAX.txt</v>
      </c>
    </row>
    <row r="209" spans="1:91" s="21" customFormat="1" x14ac:dyDescent="0.25">
      <c r="A209" s="34" t="s">
        <v>691</v>
      </c>
      <c r="B209" s="7">
        <v>4031</v>
      </c>
      <c r="C209" s="22" t="s">
        <v>201</v>
      </c>
      <c r="D209" s="22" t="s">
        <v>404</v>
      </c>
      <c r="E209" s="13">
        <v>42751.817719907405</v>
      </c>
      <c r="F209" s="13">
        <v>25568.708333333332</v>
      </c>
      <c r="G209" s="7">
        <v>1</v>
      </c>
      <c r="H209" s="22" t="s">
        <v>416</v>
      </c>
      <c r="I209" s="13">
        <v>25568.708333333332</v>
      </c>
      <c r="J209" s="7">
        <v>0</v>
      </c>
      <c r="K209" s="105" t="str">
        <f t="shared" si="60"/>
        <v>4031/4032</v>
      </c>
      <c r="L209" s="22" t="str">
        <f>VLOOKUP(A209,'Trips&amp;Operators'!$C$1:$G$99999,5,FALSE)</f>
        <v>KILLION DAVID</v>
      </c>
      <c r="M209" s="6">
        <f t="shared" si="61"/>
        <v>0</v>
      </c>
      <c r="N209" s="7">
        <f t="shared" si="62"/>
        <v>0</v>
      </c>
      <c r="O209" s="7"/>
      <c r="P209" s="7"/>
      <c r="Q209" s="23"/>
      <c r="R209" s="23"/>
      <c r="S209" s="32">
        <f t="shared" si="63"/>
        <v>1</v>
      </c>
      <c r="T209" s="47" t="str">
        <f t="shared" si="64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65"/>
        <v>https://d0f6bd738d7f1b3e5a7ca70fe4ff75f0.us-east-1.aws.found.io/app/kibana#/discover/Steve-Slow-Train-Analysis-(2080s-and-2083s)?_g=(refreshInterval:(display:Off,pause:!f,section:0,value:0),time:(from:'2017-01-16T18:37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9" s="49" t="str">
        <f t="shared" si="66"/>
        <v>Y</v>
      </c>
      <c r="X209" s="173">
        <f t="shared" si="67"/>
        <v>1</v>
      </c>
      <c r="Y209" s="64">
        <f t="shared" si="68"/>
        <v>4.5100000000000001E-2</v>
      </c>
      <c r="Z209" s="64">
        <f t="shared" si="59"/>
        <v>2.3346</v>
      </c>
      <c r="AA209" s="64">
        <f t="shared" si="69"/>
        <v>2.2894999999999999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70"/>
        <v>0307-16</v>
      </c>
      <c r="AE209" s="87" t="str">
        <f t="shared" si="71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9" s="84" t="str">
        <f t="shared" si="72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9" s="1" t="str">
        <f t="shared" si="73"/>
        <v>Other</v>
      </c>
      <c r="AH209" s="88" t="str">
        <f t="shared" si="74"/>
        <v>"%USERPROFILE%\Documents\GitHub\eaglep3\Utilities\RefineRTDCRunTimes.py" --tripid 307-16 --locoid 4031 --swversion DE.1.0.8.0 --startMP 204:451 --initTime 2017-01-16T19:37:31 --startdatetime 1969-12-31T17:00:00 --delay 1 --endMP 300:23346 --enddatetime 1969-12-31T17:00:00 --enforcementcount 0 &gt;&gt;C:\Users\stu\Documents\GitHub\eaglep3-reporting\EC\2017-01-16-refined-times.txt</v>
      </c>
      <c r="AI209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76"/>
        <v>start /low /b %USERPROFILE%\Documents\GitHub\eaglep3\Utilities\DownloadLogsFromS3.py --loco 4031 --day 1969-12-31</v>
      </c>
      <c r="AN209" s="18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2017-01-16-UncaughtWiMAX.txt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4" t="s">
        <v>511</v>
      </c>
      <c r="B210" s="7">
        <v>4045</v>
      </c>
      <c r="C210" s="22" t="s">
        <v>201</v>
      </c>
      <c r="D210" s="22" t="s">
        <v>802</v>
      </c>
      <c r="E210" s="13">
        <v>42751.172708333332</v>
      </c>
      <c r="F210" s="13">
        <v>42751.174201388887</v>
      </c>
      <c r="G210" s="7">
        <v>1</v>
      </c>
      <c r="H210" s="22" t="s">
        <v>191</v>
      </c>
      <c r="I210" s="13">
        <v>42751.180960648147</v>
      </c>
      <c r="J210" s="7">
        <v>0</v>
      </c>
      <c r="K210" s="105" t="str">
        <f t="shared" si="60"/>
        <v>4045/4046</v>
      </c>
      <c r="L210" s="22" t="str">
        <f>VLOOKUP(A210,'Trips&amp;Operators'!$C$1:$G$99999,5,FALSE)</f>
        <v>SIMMONS SHYHESHA</v>
      </c>
      <c r="M210" s="6">
        <f t="shared" si="61"/>
        <v>6.7592592604341917E-3</v>
      </c>
      <c r="N210" s="7">
        <f t="shared" si="62"/>
        <v>9.733333335025236</v>
      </c>
      <c r="O210" s="7"/>
      <c r="P210" s="7"/>
      <c r="Q210" s="23"/>
      <c r="R210" s="23"/>
      <c r="S210" s="32">
        <f t="shared" si="63"/>
        <v>1</v>
      </c>
      <c r="T210" s="47" t="str">
        <f t="shared" si="64"/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65"/>
        <v>https://d0f6bd738d7f1b3e5a7ca70fe4ff75f0.us-east-1.aws.found.io/app/kibana#/discover/Steve-Slow-Train-Analysis-(2080s-and-2083s)?_g=(refreshInterval:(display:Off,pause:!f,section:0,value:0),time:(from:'2017-01-16T03:08:42-0700',mode:absolute,to:'2017-01-16T05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49" t="str">
        <f t="shared" si="66"/>
        <v>Y</v>
      </c>
      <c r="X210" s="173">
        <f t="shared" si="67"/>
        <v>1</v>
      </c>
      <c r="Y210" s="64">
        <f t="shared" si="68"/>
        <v>2.2185000000000001</v>
      </c>
      <c r="Z210" s="64">
        <f t="shared" ref="Z210:Z231" si="77">RIGHT(H210,LEN(H210)-4)/10000</f>
        <v>1.49E-2</v>
      </c>
      <c r="AA210" s="64">
        <f t="shared" si="69"/>
        <v>2.2036000000000002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70"/>
        <v>0308-16</v>
      </c>
      <c r="AE210" s="87" t="str">
        <f t="shared" si="71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210" s="84" t="str">
        <f t="shared" si="72"/>
        <v>"C:\Program Files (x86)\AstroGrep\AstroGrep.exe" /spath="%USERPROFILE%\AppData\Local\Temp\OnboardLogs" /stypes="app*4045*20170116*" /stext=" 11:.+((SYSTEM_STATE.+slice.+state.+changed )|(ment ac)|(multiple cpu faults)|(system.+state.+changed )|(\[timeout)|(PRM\|1\|D)|(kpr)|(kdp)|(\|lc)|(penalty))" /e /r /s</v>
      </c>
      <c r="AG210" s="1" t="str">
        <f t="shared" si="73"/>
        <v>Other</v>
      </c>
      <c r="AH210" s="88" t="str">
        <f t="shared" si="74"/>
        <v>"%USERPROFILE%\Documents\GitHub\eaglep3\Utilities\RefineRTDCRunTimes.py" --tripid 308-16 --locoid 4045 --swversion DE.1.0.8.0 --startMP 300:22185 --initTime 2017-01-16T04:08:42 --startdatetime 2017-01-16T04:10:51 --delay 1 --endMP 204:149 --enddatetime 2017-01-16T04:20:35 --enforcementcount 0 &gt;&gt;C:\Users\stu\Documents\GitHub\eaglep3-reporting\EC\2017-01-16-refined-times.txt</v>
      </c>
      <c r="AI210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{"issue":{"subject":"","project_id":79,"tracker_id":40,"status_id":1,"priority_id":2,"assigned_to_id":23,"start_date":"2017-01-16","description":"","custom_fields":[{"id":1,"name":"Subdivision","value":"Other"},{"id":4,"name":"Milepost","value":"0.0149"},{"id":17,"name":"Train ID","value":"308-16"},{"id":16,"name":"Locomotive ID","value":"4045"},{"id":130,"name":"Impact","value":""},{"id":150,"name":"Time of Event (Mountain Time)","value":"04:20:35"},{"id":151,"name":"Denver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76"/>
        <v>start /low /b %USERPROFILE%\Documents\GitHub\eaglep3\Utilities\DownloadLogsFromS3.py --loco 4045 --day 2017-01-16</v>
      </c>
      <c r="AN210" s="18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</row>
    <row r="211" spans="1:91" s="21" customFormat="1" x14ac:dyDescent="0.25">
      <c r="A211" s="34" t="s">
        <v>511</v>
      </c>
      <c r="B211" s="7">
        <v>4045</v>
      </c>
      <c r="C211" s="22" t="s">
        <v>201</v>
      </c>
      <c r="D211" s="22" t="s">
        <v>803</v>
      </c>
      <c r="E211" s="13">
        <v>42751.171041666668</v>
      </c>
      <c r="F211" s="13">
        <v>42751.174201388887</v>
      </c>
      <c r="G211" s="7">
        <v>1</v>
      </c>
      <c r="H211" s="22" t="s">
        <v>803</v>
      </c>
      <c r="I211" s="13">
        <v>42751.180960648147</v>
      </c>
      <c r="J211" s="7">
        <v>0</v>
      </c>
      <c r="K211" s="105" t="str">
        <f t="shared" si="60"/>
        <v>4045/4046</v>
      </c>
      <c r="L211" s="22" t="str">
        <f>VLOOKUP(A211,'Trips&amp;Operators'!$C$1:$G$99999,5,FALSE)</f>
        <v>SIMMONS SHYHESHA</v>
      </c>
      <c r="M211" s="6">
        <f t="shared" si="61"/>
        <v>6.7592592604341917E-3</v>
      </c>
      <c r="N211" s="7">
        <f t="shared" si="62"/>
        <v>9.733333335025236</v>
      </c>
      <c r="O211" s="7"/>
      <c r="P211" s="7"/>
      <c r="Q211" s="23"/>
      <c r="R211" s="23"/>
      <c r="S211" s="32">
        <f t="shared" si="63"/>
        <v>0</v>
      </c>
      <c r="T211" s="47" t="str">
        <f t="shared" si="64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65"/>
        <v>https://d0f6bd738d7f1b3e5a7ca70fe4ff75f0.us-east-1.aws.found.io/app/kibana#/discover/Steve-Slow-Train-Analysis-(2080s-and-2083s)?_g=(refreshInterval:(display:Off,pause:!f,section:0,value:0),time:(from:'2017-01-16T03:06:18-0700',mode:absolute,to:'2017-01-16T05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1" s="49" t="str">
        <f t="shared" si="66"/>
        <v>Y</v>
      </c>
      <c r="X211" s="173">
        <f t="shared" si="67"/>
        <v>0</v>
      </c>
      <c r="Y211" s="64">
        <f t="shared" si="68"/>
        <v>2.2187000000000001</v>
      </c>
      <c r="Z211" s="64">
        <f t="shared" si="77"/>
        <v>2.2187000000000001</v>
      </c>
      <c r="AA211" s="64">
        <f t="shared" si="69"/>
        <v>0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70"/>
        <v>0308-16</v>
      </c>
      <c r="AE211" s="87" t="str">
        <f t="shared" si="71"/>
        <v>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 &amp; aws s3 cp s3://rtdc.mdm.uploadarchive.raw/RTDC4045/ "%USERPROFILE%\AppData\Local\Temp\OnboardLogs"\RTDC4045\2017-01-17 --exclude "*" --recursive --include "*20170117*" &amp; "%USERPROFILE%\Documents\GitHub\mrs-test-scripts\Headless Mode &amp; Sideloading\WalkAndUnGZ.bat" "%USERPROFILE%\AppData\Local\Temp\OnboardLogs"\RTDC4045\2017-01-17</v>
      </c>
      <c r="AF211" s="84" t="str">
        <f t="shared" si="72"/>
        <v>"C:\Program Files (x86)\AstroGrep\AstroGrep.exe" /spath="%USERPROFILE%\AppData\Local\Temp\OnboardLogs" /stypes="app*4045*20170116*" /stext=" 11:.+((SYSTEM_STATE.+slice.+state.+changed )|(ment ac)|(multiple cpu faults)|(system.+state.+changed )|(\[timeout)|(PRM\|1\|D)|(kpr)|(kdp)|(\|lc)|(penalty))" /e /r /s</v>
      </c>
      <c r="AG211" s="1" t="str">
        <f t="shared" si="73"/>
        <v>Other</v>
      </c>
      <c r="AH211" s="88" t="str">
        <f t="shared" si="74"/>
        <v>"%USERPROFILE%\Documents\GitHub\eaglep3\Utilities\RefineRTDCRunTimes.py" --tripid 308-16 --locoid 4045 --swversion DE.1.0.8.0 --startMP 300:22187 --initTime 2017-01-16T04:06:18 --startdatetime 2017-01-16T04:10:51 --delay 1 --endMP 300:22187 --enddatetime 2017-01-16T04:20:35 --enforcementcount 0 &gt;&gt;C:\Users\stu\Documents\GitHub\eaglep3-reporting\EC\2017-01-16-refined-times.txt</v>
      </c>
      <c r="AI211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{"issue":{"subject":"","project_id":79,"tracker_id":40,"status_id":1,"priority_id":2,"assigned_to_id":23,"start_date":"2017-01-16","description":"","custom_fields":[{"id":1,"name":"Subdivision","value":"Other"},{"id":4,"name":"Milepost","value":"2.2187"},{"id":17,"name":"Train ID","value":"308-16"},{"id":16,"name":"Locomotive ID","value":"4045"},{"id":130,"name":"Impact","value":""},{"id":150,"name":"Time of Event (Mountain Time)","value":"04:20:35"},{"id":151,"name":"Denver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76"/>
        <v>start /low /b %USERPROFILE%\Documents\GitHub\eaglep3\Utilities\DownloadLogsFromS3.py --loco 4045 --day 2017-01-16</v>
      </c>
      <c r="AN211" s="18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2017-01-16-UncaughtWiMAX.txt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716</v>
      </c>
      <c r="B212" s="7">
        <v>4003</v>
      </c>
      <c r="C212" s="22" t="s">
        <v>201</v>
      </c>
      <c r="D212" s="22" t="s">
        <v>804</v>
      </c>
      <c r="E212" s="13">
        <v>42752.032129629632</v>
      </c>
      <c r="F212" s="13">
        <v>42752.033645833333</v>
      </c>
      <c r="G212" s="7">
        <v>1</v>
      </c>
      <c r="H212" s="22" t="s">
        <v>805</v>
      </c>
      <c r="I212" s="13">
        <v>42752.040613425925</v>
      </c>
      <c r="J212" s="7">
        <v>0</v>
      </c>
      <c r="K212" s="105" t="str">
        <f t="shared" si="60"/>
        <v>4003/4004</v>
      </c>
      <c r="L212" s="22" t="str">
        <f>VLOOKUP(A212,'Trips&amp;Operators'!$C$1:$G$99999,5,FALSE)</f>
        <v>CHANDLER KELVIN</v>
      </c>
      <c r="M212" s="6">
        <f t="shared" si="61"/>
        <v>6.9675925915362313E-3</v>
      </c>
      <c r="N212" s="7">
        <f t="shared" si="62"/>
        <v>10.033333331812173</v>
      </c>
      <c r="O212" s="7"/>
      <c r="P212" s="7"/>
      <c r="Q212" s="23"/>
      <c r="R212" s="23"/>
      <c r="S212" s="32">
        <f t="shared" si="63"/>
        <v>1</v>
      </c>
      <c r="T212" s="47" t="str">
        <f t="shared" si="64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65"/>
        <v>https://d0f6bd738d7f1b3e5a7ca70fe4ff75f0.us-east-1.aws.found.io/app/kibana#/discover/Steve-Slow-Train-Analysis-(2080s-and-2083s)?_g=(refreshInterval:(display:Off,pause:!f,section:0,value:0),time:(from:'2017-01-16T23:46:16-0700',mode:absolute,to:'2017-01-17T01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2" s="49" t="str">
        <f t="shared" si="66"/>
        <v>Y</v>
      </c>
      <c r="X212" s="173">
        <f t="shared" si="67"/>
        <v>1</v>
      </c>
      <c r="Y212" s="64">
        <f t="shared" si="68"/>
        <v>0.1222</v>
      </c>
      <c r="Z212" s="64">
        <f t="shared" si="77"/>
        <v>2.2465000000000002</v>
      </c>
      <c r="AA212" s="64">
        <f t="shared" si="69"/>
        <v>2.1243000000000003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70"/>
        <v>0309-16</v>
      </c>
      <c r="AE212" s="87" t="str">
        <f t="shared" si="71"/>
        <v>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 &amp; 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</v>
      </c>
      <c r="AF212" s="84" t="str">
        <f t="shared" si="72"/>
        <v>"C:\Program Files (x86)\AstroGrep\AstroGrep.exe" /spath="%USERPROFILE%\AppData\Local\Temp\OnboardLogs" /stypes="app*4003*20170117*" /stext=" 07:.+((SYSTEM_STATE.+slice.+state.+changed )|(ment ac)|(multiple cpu faults)|(system.+state.+changed )|(\[timeout)|(PRM\|1\|D)|(kpr)|(kdp)|(\|lc)|(penalty))" /e /r /s</v>
      </c>
      <c r="AG212" s="1" t="str">
        <f t="shared" si="73"/>
        <v>Other</v>
      </c>
      <c r="AH212" s="88" t="str">
        <f t="shared" si="74"/>
        <v>"%USERPROFILE%\Documents\GitHub\eaglep3\Utilities\RefineRTDCRunTimes.py" --tripid 309-16 --locoid 4003 --swversion DE.1.0.8.0 --startMP 204:1222 --initTime 2017-01-17T00:46:16 --startdatetime 2017-01-17T00:48:27 --delay 1 --endMP 300:22465 --enddatetime 2017-01-17T00:58:29 --enforcementcount 0 &gt;&gt;C:\Users\stu\Documents\GitHub\eaglep3-reporting\EC\2017-01-16-refined-times.txt</v>
      </c>
      <c r="AI212" s="115" t="str">
        <f t="shared" si="75"/>
        <v>echo {"issue":{"subject":"","project_id":79,"tracker_id":40,"status_id":1,"priority_id":2,"assigned_to_id":23,"start_date":"2017-01-17","description":"","custom_fields":[{"id":1,"name":"Subdivision","value":"Other"},{"id":4,"name":"Milepost","value":"2.2465"},{"id":17,"name":"Train ID","value":"309-16"},{"id":16,"name":"Locomotive ID","value":"4003"},{"id":130,"name":"Impact","value":""},{"id":150,"name":"Time of Event (Mountain Time)","value":"00:58:29"},{"id":151,"name":"Denver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76"/>
        <v>start /low /b %USERPROFILE%\Documents\GitHub\eaglep3\Utilities\DownloadLogsFromS3.py --loco 4003 --day 2017-01-17</v>
      </c>
      <c r="AN212" s="18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"%USERPROFILE%\AppData\Local\Temp\OnboardLogs"\RTDC4003\*4003*20170117* | grep -SE "(Enforcement Action)|(\[TIMEOUT)|(CHR.+\|PRM\|1\|D.+(SWITCH|SIGNAL).+UNKNOWN)" - &gt;&gt; 2017-01-16-UncaughtWiMAX.txt</v>
      </c>
    </row>
    <row r="213" spans="1:91" x14ac:dyDescent="0.25">
      <c r="A213" s="34" t="s">
        <v>514</v>
      </c>
      <c r="B213" s="7">
        <v>4021</v>
      </c>
      <c r="C213" s="22" t="s">
        <v>201</v>
      </c>
      <c r="D213" s="22" t="s">
        <v>806</v>
      </c>
      <c r="E213" s="13">
        <v>42751.178310185183</v>
      </c>
      <c r="F213" s="13">
        <v>42751.180960648147</v>
      </c>
      <c r="G213" s="7">
        <v>3</v>
      </c>
      <c r="H213" s="22" t="s">
        <v>737</v>
      </c>
      <c r="I213" s="13">
        <v>42751.190682870372</v>
      </c>
      <c r="J213" s="7">
        <v>0</v>
      </c>
      <c r="K213" s="105" t="str">
        <f t="shared" si="60"/>
        <v>4021/4022</v>
      </c>
      <c r="L213" s="22" t="str">
        <f>VLOOKUP(A213,'Trips&amp;Operators'!$C$1:$G$99999,5,FALSE)</f>
        <v>SWANSON BRYCE</v>
      </c>
      <c r="M213" s="6">
        <f t="shared" si="61"/>
        <v>9.7222222248092294E-3</v>
      </c>
      <c r="N213" s="7">
        <f t="shared" si="62"/>
        <v>14.00000000372529</v>
      </c>
      <c r="O213" s="7"/>
      <c r="P213" s="7"/>
      <c r="Q213" s="23"/>
      <c r="R213" s="23"/>
      <c r="S213" s="32">
        <f t="shared" si="63"/>
        <v>1</v>
      </c>
      <c r="T213" s="47" t="str">
        <f t="shared" si="64"/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65"/>
        <v>https://d0f6bd738d7f1b3e5a7ca70fe4ff75f0.us-east-1.aws.found.io/app/kibana#/discover/Steve-Slow-Train-Analysis-(2080s-and-2083s)?_g=(refreshInterval:(display:Off,pause:!f,section:0,value:0),time:(from:'2017-01-16T03:16:46-0700',mode:absolute,to:'2017-01-16T05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3" s="49" t="str">
        <f t="shared" si="66"/>
        <v>Y</v>
      </c>
      <c r="X213" s="173">
        <f t="shared" si="67"/>
        <v>1</v>
      </c>
      <c r="Y213" s="64">
        <f t="shared" si="68"/>
        <v>2.3157999999999999</v>
      </c>
      <c r="Z213" s="64">
        <f t="shared" si="77"/>
        <v>1.41E-2</v>
      </c>
      <c r="AA213" s="64">
        <f t="shared" si="69"/>
        <v>2.3016999999999999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70"/>
        <v>0310-16</v>
      </c>
      <c r="AE213" s="87" t="str">
        <f t="shared" si="71"/>
        <v>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 &amp; 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</v>
      </c>
      <c r="AF213" s="84" t="str">
        <f t="shared" si="72"/>
        <v>"C:\Program Files (x86)\AstroGrep\AstroGrep.exe" /spath="%USERPROFILE%\AppData\Local\Temp\OnboardLogs" /stypes="app*4021*20170116*" /stext=" 11:.+((SYSTEM_STATE.+slice.+state.+changed )|(ment ac)|(multiple cpu faults)|(system.+state.+changed )|(\[timeout)|(PRM\|1\|D)|(kpr)|(kdp)|(\|lc)|(penalty))" /e /r /s</v>
      </c>
      <c r="AG213" s="1" t="str">
        <f t="shared" si="73"/>
        <v>Other</v>
      </c>
      <c r="AH213" s="88" t="str">
        <f t="shared" si="74"/>
        <v>"%USERPROFILE%\Documents\GitHub\eaglep3\Utilities\RefineRTDCRunTimes.py" --tripid 310-16 --locoid 4021 --swversion DE.1.0.8.0 --startMP 300:23158 --initTime 2017-01-16T04:16:46 --startdatetime 2017-01-16T04:20:35 --delay 3 --endMP 204:141 --enddatetime 2017-01-16T04:34:35 --enforcementcount 0 &gt;&gt;C:\Users\stu\Documents\GitHub\eaglep3-reporting\EC\2017-01-16-refined-times.txt</v>
      </c>
      <c r="AI213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{"issue":{"subject":"","project_id":79,"tracker_id":40,"status_id":1,"priority_id":2,"assigned_to_id":23,"start_date":"2017-01-16","description":"","custom_fields":[{"id":1,"name":"Subdivision","value":"Other"},{"id":4,"name":"Milepost","value":"0.0141"},{"id":17,"name":"Train ID","value":"310-16"},{"id":16,"name":"Locomotive ID","value":"4021"},{"id":130,"name":"Impact","value":""},{"id":150,"name":"Time of Event (Mountain Time)","value":"04:34:35"},{"id":151,"name":"Denver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76"/>
        <v>start /low /b %USERPROFILE%\Documents\GitHub\eaglep3\Utilities\DownloadLogsFromS3.py --loco 4021 --day 2017-01-16</v>
      </c>
      <c r="AN213" s="18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2017-01-16-UncaughtWiMAX.txt</v>
      </c>
    </row>
    <row r="214" spans="1:91" x14ac:dyDescent="0.25">
      <c r="A214" s="34" t="s">
        <v>718</v>
      </c>
      <c r="B214" s="7">
        <v>4029</v>
      </c>
      <c r="C214" s="22" t="s">
        <v>201</v>
      </c>
      <c r="D214" s="22" t="s">
        <v>807</v>
      </c>
      <c r="E214" s="13">
        <v>42752.048101851855</v>
      </c>
      <c r="F214" s="13">
        <v>42752.049560185187</v>
      </c>
      <c r="G214" s="7">
        <v>1</v>
      </c>
      <c r="H214" s="22" t="s">
        <v>808</v>
      </c>
      <c r="I214" s="13">
        <v>42752.055185185185</v>
      </c>
      <c r="J214" s="7">
        <v>0</v>
      </c>
      <c r="K214" s="105" t="str">
        <f t="shared" si="60"/>
        <v>4029/4030</v>
      </c>
      <c r="L214" s="22" t="str">
        <f>VLOOKUP(A214,'Trips&amp;Operators'!$C$1:$G$99999,5,FALSE)</f>
        <v>SMITH MICHAEL</v>
      </c>
      <c r="M214" s="6">
        <f t="shared" si="61"/>
        <v>5.6249999979627319E-3</v>
      </c>
      <c r="N214" s="7">
        <f t="shared" si="62"/>
        <v>8.0999999970663339</v>
      </c>
      <c r="O214" s="7"/>
      <c r="P214" s="7"/>
      <c r="Q214" s="23"/>
      <c r="R214" s="23"/>
      <c r="S214" s="32">
        <f t="shared" si="63"/>
        <v>1</v>
      </c>
      <c r="T214" s="47" t="str">
        <f t="shared" si="64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65"/>
        <v>https://d0f6bd738d7f1b3e5a7ca70fe4ff75f0.us-east-1.aws.found.io/app/kibana#/discover/Steve-Slow-Train-Analysis-(2080s-and-2083s)?_g=(refreshInterval:(display:Off,pause:!f,section:0,value:0),time:(from:'2017-01-17T00:09:16-0700',mode:absolute,to:'2017-01-17T02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4" s="49" t="str">
        <f t="shared" si="66"/>
        <v>Y</v>
      </c>
      <c r="X214" s="173">
        <f t="shared" si="67"/>
        <v>1</v>
      </c>
      <c r="Y214" s="64">
        <f t="shared" si="68"/>
        <v>4.8599999999999997E-2</v>
      </c>
      <c r="Z214" s="64">
        <f t="shared" si="77"/>
        <v>2.2707999999999999</v>
      </c>
      <c r="AA214" s="64">
        <f t="shared" si="69"/>
        <v>2.2222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70"/>
        <v>0311-16</v>
      </c>
      <c r="AE214" s="87" t="str">
        <f t="shared" si="71"/>
        <v>aws s3 cp s3://rtdc.mdm.uploadarchive.raw/RTDC4029/ "%USERPROFILE%\AppData\Local\Temp\OnboardLogs"\RTDC4029\2017-01-17 --exclude "*" --recursive --include "*20170117*" &amp; "%USERPROFILE%\Documents\GitHub\mrs-test-scripts\Headless Mode &amp; Sideloading\WalkAndUnGZ.bat" "%USERPROFILE%\AppData\Local\Temp\OnboardLogs"\RTDC4029\2017-01-17 &amp; aws s3 cp s3://rtdc.mdm.uploadarchive.raw/RTDC4029/ "%USERPROFILE%\AppData\Local\Temp\OnboardLogs"\RTDC4029\2017-01-18 --exclude "*" --recursive --include "*20170118*" &amp; "%USERPROFILE%\Documents\GitHub\mrs-test-scripts\Headless Mode &amp; Sideloading\WalkAndUnGZ.bat" "%USERPROFILE%\AppData\Local\Temp\OnboardLogs"\RTDC4029\2017-01-18</v>
      </c>
      <c r="AF214" s="84" t="str">
        <f t="shared" si="72"/>
        <v>"C:\Program Files (x86)\AstroGrep\AstroGrep.exe" /spath="%USERPROFILE%\AppData\Local\Temp\OnboardLogs" /stypes="app*4029*20170117*" /stext=" 08:.+((SYSTEM_STATE.+slice.+state.+changed )|(ment ac)|(multiple cpu faults)|(system.+state.+changed )|(\[timeout)|(PRM\|1\|D)|(kpr)|(kdp)|(\|lc)|(penalty))" /e /r /s</v>
      </c>
      <c r="AG214" s="1" t="str">
        <f t="shared" si="73"/>
        <v>Other</v>
      </c>
      <c r="AH214" s="88" t="str">
        <f t="shared" si="74"/>
        <v>"%USERPROFILE%\Documents\GitHub\eaglep3\Utilities\RefineRTDCRunTimes.py" --tripid 311-16 --locoid 4029 --swversion DE.1.0.8.0 --startMP 204:486 --initTime 2017-01-17T01:09:16 --startdatetime 2017-01-17T01:11:22 --delay 1 --endMP 300:22708 --enddatetime 2017-01-17T01:19:28 --enforcementcount 0 &gt;&gt;C:\Users\stu\Documents\GitHub\eaglep3-reporting\EC\2017-01-16-refined-times.txt</v>
      </c>
      <c r="AI214" s="115" t="str">
        <f t="shared" si="75"/>
        <v>echo {"issue":{"subject":"","project_id":79,"tracker_id":40,"status_id":1,"priority_id":2,"assigned_to_id":23,"start_date":"2017-01-17","description":"","custom_fields":[{"id":1,"name":"Subdivision","value":"Other"},{"id":4,"name":"Milepost","value":"2.2708"},{"id":17,"name":"Train ID","value":"311-16"},{"id":16,"name":"Locomotive ID","value":"4029"},{"id":130,"name":"Impact","value":""},{"id":150,"name":"Time of Event (Mountain Time)","value":"01:19:28"},{"id":151,"name":"Denver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76"/>
        <v>start /low /b %USERPROFILE%\Documents\GitHub\eaglep3\Utilities\DownloadLogsFromS3.py --loco 4029 --day 2017-01-17</v>
      </c>
      <c r="AN214" s="18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"%USERPROFILE%\AppData\Local\Temp\OnboardLogs"\RTDC4029\*4029*20170117* | grep -SE "(Enforcement Action)|(\[TIMEOUT)|(CHR.+\|PRM\|1\|D.+(SWITCH|SIGNAL).+UNKNOWN)" - &gt;&gt; 2017-01-16-UncaughtWiMAX.txt</v>
      </c>
    </row>
    <row r="215" spans="1:91" s="21" customFormat="1" x14ac:dyDescent="0.25">
      <c r="A215" s="34" t="s">
        <v>721</v>
      </c>
      <c r="B215" s="7">
        <v>4046</v>
      </c>
      <c r="C215" s="22" t="s">
        <v>201</v>
      </c>
      <c r="D215" s="22" t="s">
        <v>809</v>
      </c>
      <c r="E215" s="13">
        <v>42752.091504629629</v>
      </c>
      <c r="F215" s="13">
        <v>25568.708333333332</v>
      </c>
      <c r="G215" s="7">
        <v>1</v>
      </c>
      <c r="H215" s="22" t="s">
        <v>810</v>
      </c>
      <c r="I215" s="13">
        <v>25568.708333333332</v>
      </c>
      <c r="J215" s="7">
        <v>0</v>
      </c>
      <c r="K215" s="105" t="str">
        <f t="shared" si="60"/>
        <v>4045/4046</v>
      </c>
      <c r="L215" s="22" t="str">
        <f>VLOOKUP(A215,'Trips&amp;Operators'!$C$1:$G$99999,5,FALSE)</f>
        <v>STORY SAMANTHA</v>
      </c>
      <c r="M215" s="6">
        <f t="shared" si="61"/>
        <v>0</v>
      </c>
      <c r="N215" s="7">
        <f t="shared" si="62"/>
        <v>0</v>
      </c>
      <c r="O215" s="7"/>
      <c r="P215" s="7"/>
      <c r="Q215" s="23"/>
      <c r="R215" s="23"/>
      <c r="S215" s="32">
        <f t="shared" si="63"/>
        <v>1</v>
      </c>
      <c r="T215" s="47" t="str">
        <f t="shared" si="64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65"/>
        <v>https://d0f6bd738d7f1b3e5a7ca70fe4ff75f0.us-east-1.aws.found.io/app/kibana#/discover/Steve-Slow-Train-Analysis-(2080s-and-2083s)?_g=(refreshInterval:(display:Off,pause:!f,section:0,value:0),time:(from:'2017-01-17T01:11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5" s="49" t="str">
        <f t="shared" si="66"/>
        <v>Y</v>
      </c>
      <c r="X215" s="173">
        <f t="shared" si="67"/>
        <v>4</v>
      </c>
      <c r="Y215" s="64">
        <f t="shared" si="68"/>
        <v>5.04E-2</v>
      </c>
      <c r="Z215" s="64">
        <f t="shared" si="77"/>
        <v>2.3311999999999999</v>
      </c>
      <c r="AA215" s="64">
        <f t="shared" si="69"/>
        <v>2.2808000000000002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70"/>
        <v>0315-16</v>
      </c>
      <c r="AE215" s="87" t="str">
        <f t="shared" si="7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5" s="84" t="str">
        <f t="shared" si="72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5" s="1" t="str">
        <f t="shared" si="73"/>
        <v>Other</v>
      </c>
      <c r="AH215" s="88" t="str">
        <f t="shared" si="74"/>
        <v>"%USERPROFILE%\Documents\GitHub\eaglep3\Utilities\RefineRTDCRunTimes.py" --tripid 315-16 --locoid 4046 --swversion DE.1.0.8.0 --startMP 204:504 --initTime 2017-01-17T02:11:46 --startdatetime 1969-12-31T17:00:00 --delay 1 --endMP 300:23312 --enddatetime 1969-12-31T17:00:00 --enforcementcount 0 &gt;&gt;C:\Users\stu\Documents\GitHub\eaglep3-reporting\EC\2017-01-16-refined-times.txt</v>
      </c>
      <c r="AI215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ID","value":"315-16"},{"id":16,"name":"Locomotive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76"/>
        <v>start /low /b %USERPROFILE%\Documents\GitHub\eaglep3\Utilities\DownloadLogsFromS3.py --loco 4046 --day 1969-12-31</v>
      </c>
      <c r="AN215" s="18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2017-01-16-UncaughtWiMAX.txt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4" t="s">
        <v>523</v>
      </c>
      <c r="B216" s="7">
        <v>4027</v>
      </c>
      <c r="C216" s="22" t="s">
        <v>201</v>
      </c>
      <c r="D216" s="22" t="s">
        <v>885</v>
      </c>
      <c r="E216" s="13">
        <v>42751.206597222219</v>
      </c>
      <c r="F216" s="13">
        <v>42751.20820601852</v>
      </c>
      <c r="G216" s="7">
        <v>1</v>
      </c>
      <c r="H216" s="22" t="s">
        <v>886</v>
      </c>
      <c r="I216" s="13">
        <v>42751.214675925927</v>
      </c>
      <c r="J216" s="7">
        <v>0</v>
      </c>
      <c r="K216" s="105" t="str">
        <f t="shared" si="60"/>
        <v>4027/4028</v>
      </c>
      <c r="L216" s="22" t="str">
        <f>VLOOKUP(A216,'Trips&amp;Operators'!$C$1:$G$99999,5,FALSE)</f>
        <v>HAITHCOX MICHAEL</v>
      </c>
      <c r="M216" s="6">
        <f t="shared" si="61"/>
        <v>6.4699074064265005E-3</v>
      </c>
      <c r="N216" s="7">
        <f t="shared" si="62"/>
        <v>9.3166666652541608</v>
      </c>
      <c r="O216" s="7"/>
      <c r="P216" s="7"/>
      <c r="Q216" s="23"/>
      <c r="R216" s="23"/>
      <c r="S216" s="32">
        <f t="shared" si="63"/>
        <v>0</v>
      </c>
      <c r="T216" s="47" t="str">
        <f t="shared" si="64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5"/>
        <v>https://d0f6bd738d7f1b3e5a7ca70fe4ff75f0.us-east-1.aws.found.io/app/kibana#/discover/Steve-Slow-Train-Analysis-(2080s-and-2083s)?_g=(refreshInterval:(display:Off,pause:!f,section:0,value:0),time:(from:'2017-01-16T03:57:30-0700',mode:absolute,to:'2017-01-16T06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6" s="49" t="str">
        <f t="shared" si="66"/>
        <v>Y</v>
      </c>
      <c r="X216" s="173">
        <f t="shared" si="67"/>
        <v>586</v>
      </c>
      <c r="Y216" s="64">
        <f t="shared" si="68"/>
        <v>2.9664999999999999</v>
      </c>
      <c r="Z216" s="64">
        <f t="shared" si="77"/>
        <v>5.8948</v>
      </c>
      <c r="AA216" s="64">
        <f t="shared" si="69"/>
        <v>2.9283000000000001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70"/>
        <v>0901-16</v>
      </c>
      <c r="AE216" s="87" t="str">
        <f t="shared" si="71"/>
        <v>aws s3 cp s3://rtdc.mdm.uploadarchive.raw/RTDC4027/ "%USERPROFILE%\AppData\Local\Temp\OnboardLogs"\RTDC4027\2017-01-16 --exclude "*" --recursive --include "*20170116*" &amp; "%USERPROFILE%\Documents\GitHub\mrs-test-scripts\Headless Mode &amp; Sideloading\WalkAndUnGZ.bat" "%USERPROFILE%\AppData\Local\Temp\OnboardLogs"\RTDC4027\2017-01-16 &amp; 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</v>
      </c>
      <c r="AF216" s="84" t="str">
        <f t="shared" si="72"/>
        <v>"C:\Program Files (x86)\AstroGrep\AstroGrep.exe" /spath="%USERPROFILE%\AppData\Local\Temp\OnboardLogs" /stypes="app*4027*20170116*" /stext=" 12:.+((SYSTEM_STATE.+slice.+state.+changed )|(ment ac)|(multiple cpu faults)|(system.+state.+changed )|(\[timeout)|(PRM\|1\|D)|(kpr)|(kdp)|(\|lc)|(penalty))" /e /r /s</v>
      </c>
      <c r="AG216" s="1" t="str">
        <f t="shared" si="73"/>
        <v>Other</v>
      </c>
      <c r="AH216" s="88" t="str">
        <f t="shared" si="74"/>
        <v>"%USERPROFILE%\Documents\GitHub\eaglep3\Utilities\RefineRTDCRunTimes.py" --tripid 901-16 --locoid 4027 --swversion DE.1.0.8.0 --startMP 300:29665 --initTime 2017-01-16T04:57:30 --startdatetime 2017-01-16T04:59:49 --delay 1 --endMP 300:58948 --enddatetime 2017-01-16T05:09:08 --enforcementcount 0 &gt;&gt;C:\Users\stu\Documents\GitHub\eaglep3-reporting\EC\2017-01-16-refined-times.txt</v>
      </c>
      <c r="AI216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{"issue":{"subject":"","project_id":79,"tracker_id":40,"status_id":1,"priority_id":2,"assigned_to_id":23,"start_date":"2017-01-16","description":"","custom_fields":[{"id":1,"name":"Subdivision","value":"Other"},{"id":4,"name":"Milepost","value":"5.8948"},{"id":17,"name":"Train ID","value":"901-16"},{"id":16,"name":"Locomotive ID","value":"4027"},{"id":130,"name":"Impact","value":""},{"id":150,"name":"Time of Event (Mountain Time)","value":"05:09:08"},{"id":151,"name":"Denver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76"/>
        <v>start /low /b %USERPROFILE%\Documents\GitHub\eaglep3\Utilities\DownloadLogsFromS3.py --loco 4027 --day 2017-01-16</v>
      </c>
      <c r="AN216" s="18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"%USERPROFILE%\AppData\Local\Temp\OnboardLogs"\RTDC4027\*4027*20170116* | grep -SE "(Enforcement Action)|(\[TIMEOUT)|(CHR.+\|PRM\|1\|D.+(SWITCH|SIGNAL).+UNKNOWN)" - &gt;&gt; 2017-01-16-UncaughtWiMAX.txt</v>
      </c>
    </row>
    <row r="217" spans="1:91" s="21" customFormat="1" x14ac:dyDescent="0.25">
      <c r="A217" s="34" t="s">
        <v>534</v>
      </c>
      <c r="B217" s="7">
        <v>4041</v>
      </c>
      <c r="C217" s="22" t="s">
        <v>201</v>
      </c>
      <c r="D217" s="22" t="s">
        <v>887</v>
      </c>
      <c r="E217" s="13">
        <v>42751.252662037034</v>
      </c>
      <c r="F217" s="13">
        <v>42751.254374999997</v>
      </c>
      <c r="G217" s="7">
        <v>1</v>
      </c>
      <c r="H217" s="22" t="s">
        <v>864</v>
      </c>
      <c r="I217" s="13">
        <v>42751.260567129626</v>
      </c>
      <c r="J217" s="7">
        <v>0</v>
      </c>
      <c r="K217" s="105" t="str">
        <f t="shared" si="60"/>
        <v>4041/4042</v>
      </c>
      <c r="L217" s="22" t="str">
        <f>VLOOKUP(A217,'Trips&amp;Operators'!$C$1:$G$99999,5,FALSE)</f>
        <v>MAHAN DUANE</v>
      </c>
      <c r="M217" s="6">
        <f t="shared" si="61"/>
        <v>6.1921296291984618E-3</v>
      </c>
      <c r="N217" s="7">
        <f t="shared" si="62"/>
        <v>8.916666666045785</v>
      </c>
      <c r="O217" s="7"/>
      <c r="P217" s="7"/>
      <c r="Q217" s="23"/>
      <c r="R217" s="23"/>
      <c r="S217" s="32">
        <f t="shared" si="63"/>
        <v>1</v>
      </c>
      <c r="T217" s="47" t="str">
        <f t="shared" si="64"/>
        <v>Southbound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65"/>
        <v>https://d0f6bd738d7f1b3e5a7ca70fe4ff75f0.us-east-1.aws.found.io/app/kibana#/discover/Steve-Slow-Train-Analysis-(2080s-and-2083s)?_g=(refreshInterval:(display:Off,pause:!f,section:0,value:0),time:(from:'2017-01-16T05:03:50-0700',mode:absolute,to:'2017-01-16T07:15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49" t="str">
        <f t="shared" si="66"/>
        <v>Y</v>
      </c>
      <c r="X217" s="173">
        <f t="shared" si="67"/>
        <v>1</v>
      </c>
      <c r="Y217" s="64">
        <f t="shared" si="68"/>
        <v>2.3161</v>
      </c>
      <c r="Z217" s="64">
        <f t="shared" si="77"/>
        <v>7.5200000000000003E-2</v>
      </c>
      <c r="AA217" s="64">
        <f t="shared" si="69"/>
        <v>2.2408999999999999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70"/>
        <v>0902-16</v>
      </c>
      <c r="AE217" s="87" t="str">
        <f t="shared" si="71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217" s="84" t="str">
        <f t="shared" si="72"/>
        <v>"C:\Program Files (x86)\AstroGrep\AstroGrep.exe" /spath="%USERPROFILE%\AppData\Local\Temp\OnboardLogs" /stypes="app*4041*20170116*" /stext=" 13:.+((SYSTEM_STATE.+slice.+state.+changed )|(ment ac)|(multiple cpu faults)|(system.+state.+changed )|(\[timeout)|(PRM\|1\|D)|(kpr)|(kdp)|(\|lc)|(penalty))" /e /r /s</v>
      </c>
      <c r="AG217" s="1" t="str">
        <f t="shared" si="73"/>
        <v>Other</v>
      </c>
      <c r="AH217" s="88" t="str">
        <f t="shared" si="74"/>
        <v>"%USERPROFILE%\Documents\GitHub\eaglep3\Utilities\RefineRTDCRunTimes.py" --tripid 902-16 --locoid 4041 --swversion DE.1.0.8.0 --startMP 300:23161 --initTime 2017-01-16T06:03:50 --startdatetime 2017-01-16T06:06:18 --delay 1 --endMP 204:752 --enddatetime 2017-01-16T06:15:13 --enforcementcount 0 &gt;&gt;C:\Users\stu\Documents\GitHub\eaglep3-reporting\EC\2017-01-16-refined-times.txt</v>
      </c>
      <c r="AI217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{"issue":{"subject":"","project_id":79,"tracker_id":40,"status_id":1,"priority_id":2,"assigned_to_id":23,"start_date":"2017-01-16","description":"","custom_fields":[{"id":1,"name":"Subdivision","value":"Other"},{"id":4,"name":"Milepost","value":"0.0752"},{"id":17,"name":"Train ID","value":"902-16"},{"id":16,"name":"Locomotive ID","value":"4041"},{"id":130,"name":"Impact","value":""},{"id":150,"name":"Time of Event (Mountain Time)","value":"06:15:13"},{"id":151,"name":"Denver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76"/>
        <v>start /low /b %USERPROFILE%\Documents\GitHub\eaglep3\Utilities\DownloadLogsFromS3.py --loco 4041 --day 2017-01-16</v>
      </c>
      <c r="AN217" s="18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2017-01-16-UncaughtWiMAX.txt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4" t="s">
        <v>561</v>
      </c>
      <c r="B218" s="7">
        <v>4027</v>
      </c>
      <c r="C218" s="22" t="s">
        <v>201</v>
      </c>
      <c r="D218" s="22" t="s">
        <v>320</v>
      </c>
      <c r="E218" s="13">
        <v>42751.354722222219</v>
      </c>
      <c r="F218" s="13">
        <v>25568.708333333332</v>
      </c>
      <c r="G218" s="7">
        <v>1</v>
      </c>
      <c r="H218" s="22" t="s">
        <v>888</v>
      </c>
      <c r="I218" s="13">
        <v>25568.708333333332</v>
      </c>
      <c r="J218" s="7">
        <v>0</v>
      </c>
      <c r="K218" s="105" t="str">
        <f t="shared" si="60"/>
        <v>4027/4028</v>
      </c>
      <c r="L218" s="22" t="str">
        <f>VLOOKUP(A218,'Trips&amp;Operators'!$C$1:$G$99999,5,FALSE)</f>
        <v>HAITHCOX MICHAEL</v>
      </c>
      <c r="M218" s="6">
        <f t="shared" si="61"/>
        <v>0</v>
      </c>
      <c r="N218" s="7">
        <f t="shared" si="62"/>
        <v>0</v>
      </c>
      <c r="O218" s="7"/>
      <c r="P218" s="7"/>
      <c r="Q218" s="23"/>
      <c r="R218" s="23"/>
      <c r="S218" s="32">
        <f t="shared" si="63"/>
        <v>1</v>
      </c>
      <c r="T218" s="47" t="str">
        <f t="shared" si="64"/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65"/>
        <v>https://d0f6bd738d7f1b3e5a7ca70fe4ff75f0.us-east-1.aws.found.io/app/kibana#/discover/Steve-Slow-Train-Analysis-(2080s-and-2083s)?_g=(refreshInterval:(display:Off,pause:!f,section:0,value:0),time:(from:'2017-01-16T07:30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8" s="49" t="str">
        <f t="shared" si="66"/>
        <v>Y</v>
      </c>
      <c r="X218" s="173">
        <f t="shared" si="67"/>
        <v>1</v>
      </c>
      <c r="Y218" s="64">
        <f t="shared" si="68"/>
        <v>9.7100000000000006E-2</v>
      </c>
      <c r="Z218" s="64">
        <f t="shared" si="77"/>
        <v>2.4197000000000002</v>
      </c>
      <c r="AA218" s="64">
        <f t="shared" si="69"/>
        <v>2.3226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70"/>
        <v>0903-16</v>
      </c>
      <c r="AE218" s="87" t="str">
        <f t="shared" si="7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8" s="84" t="str">
        <f t="shared" si="72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8" s="1" t="str">
        <f t="shared" si="73"/>
        <v>Other</v>
      </c>
      <c r="AH218" s="88" t="str">
        <f t="shared" si="74"/>
        <v>"%USERPROFILE%\Documents\GitHub\eaglep3\Utilities\RefineRTDCRunTimes.py" --tripid 903-16 --locoid 4027 --swversion DE.1.0.8.0 --startMP 204:971 --initTime 2017-01-16T08:30:48 --startdatetime 1969-12-31T17:00:00 --delay 1 --endMP 300:24197 --enddatetime 1969-12-31T17:00:00 --enforcementcount 0 &gt;&gt;C:\Users\stu\Documents\GitHub\eaglep3-reporting\EC\2017-01-16-refined-times.txt</v>
      </c>
      <c r="AI218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{"issue":{"subject":"","project_id":79,"tracker_id":40,"status_id":1,"priority_id":2,"assigned_to_id":23,"start_date":"1969-12-31","description":"","custom_fields":[{"id":1,"name":"Subdivision","value":"Other"},{"id":4,"name":"Milepost","value":"2.4197"},{"id":17,"name":"Train ID","value":"903-16"},{"id":16,"name":"Locomotive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76"/>
        <v>start /low /b %USERPROFILE%\Documents\GitHub\eaglep3\Utilities\DownloadLogsFromS3.py --loco 4027 --day 1969-12-31</v>
      </c>
      <c r="AN218" s="18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2017-01-16-UncaughtWiMAX.txt</v>
      </c>
    </row>
    <row r="219" spans="1:91" x14ac:dyDescent="0.25">
      <c r="A219" s="34" t="s">
        <v>636</v>
      </c>
      <c r="B219" s="7">
        <v>4028</v>
      </c>
      <c r="C219" s="22" t="s">
        <v>201</v>
      </c>
      <c r="D219" s="22" t="s">
        <v>889</v>
      </c>
      <c r="E219" s="13">
        <v>42751.63925925926</v>
      </c>
      <c r="F219" s="13">
        <v>42751.641701388886</v>
      </c>
      <c r="G219" s="7">
        <v>3</v>
      </c>
      <c r="H219" s="22" t="s">
        <v>890</v>
      </c>
      <c r="I219" s="13">
        <v>42751.647800925923</v>
      </c>
      <c r="J219" s="7">
        <v>0</v>
      </c>
      <c r="K219" s="105" t="str">
        <f t="shared" si="60"/>
        <v>4027/4028</v>
      </c>
      <c r="L219" s="22" t="str">
        <f>VLOOKUP(A219,'Trips&amp;Operators'!$C$1:$G$99999,5,FALSE)</f>
        <v>NEWELL JAMES</v>
      </c>
      <c r="M219" s="6">
        <f t="shared" si="61"/>
        <v>6.0995370367891155E-3</v>
      </c>
      <c r="N219" s="7">
        <f t="shared" si="62"/>
        <v>8.7833333329763263</v>
      </c>
      <c r="O219" s="7"/>
      <c r="P219" s="7"/>
      <c r="Q219" s="23"/>
      <c r="R219" s="23"/>
      <c r="S219" s="32">
        <f t="shared" si="63"/>
        <v>1</v>
      </c>
      <c r="T219" s="47" t="str">
        <f t="shared" si="64"/>
        <v>Southbound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65"/>
        <v>https://d0f6bd738d7f1b3e5a7ca70fe4ff75f0.us-east-1.aws.found.io/app/kibana#/discover/Steve-Slow-Train-Analysis-(2080s-and-2083s)?_g=(refreshInterval:(display:Off,pause:!f,section:0,value:0),time:(from:'2017-01-16T14:20:32-0700',mode:absolute,to:'2017-01-16T16:32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49" t="str">
        <f t="shared" si="66"/>
        <v>Y</v>
      </c>
      <c r="X219" s="173">
        <f t="shared" si="67"/>
        <v>1</v>
      </c>
      <c r="Y219" s="64">
        <f t="shared" si="68"/>
        <v>2.2946</v>
      </c>
      <c r="Z219" s="64">
        <f t="shared" si="77"/>
        <v>6.7000000000000004E-2</v>
      </c>
      <c r="AA219" s="64">
        <f t="shared" si="69"/>
        <v>2.2275999999999998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70"/>
        <v>0904-16</v>
      </c>
      <c r="AE219" s="87" t="str">
        <f t="shared" si="71"/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AF219" s="84" t="str">
        <f t="shared" si="72"/>
        <v>"C:\Program Files (x86)\AstroGrep\AstroGrep.exe" /spath="%USERPROFILE%\AppData\Local\Temp\OnboardLogs" /stypes="app*4028*20170116*" /stext=" 22:.+((SYSTEM_STATE.+slice.+state.+changed )|(ment ac)|(multiple cpu faults)|(system.+state.+changed )|(\[timeout)|(PRM\|1\|D)|(kpr)|(kdp)|(\|lc)|(penalty))" /e /r /s</v>
      </c>
      <c r="AG219" s="1" t="str">
        <f t="shared" si="73"/>
        <v>Other</v>
      </c>
      <c r="AH219" s="88" t="str">
        <f t="shared" si="74"/>
        <v>"%USERPROFILE%\Documents\GitHub\eaglep3\Utilities\RefineRTDCRunTimes.py" --tripid 904-16 --locoid 4028 --swversion DE.1.0.8.0 --startMP 300:22946 --initTime 2017-01-16T15:20:32 --startdatetime 2017-01-16T15:24:03 --delay 3 --endMP 204:670 --enddatetime 2017-01-16T15:32:50 --enforcementcount 0 &gt;&gt;C:\Users\stu\Documents\GitHub\eaglep3-reporting\EC\2017-01-16-refined-times.txt</v>
      </c>
      <c r="AI219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{"issue":{"subject":"","project_id":79,"tracker_id":40,"status_id":1,"priority_id":2,"assigned_to_id":23,"start_date":"2017-01-16","description":"","custom_fields":[{"id":1,"name":"Subdivision","value":"Other"},{"id":4,"name":"Milepost","value":"0.067"},{"id":17,"name":"Train ID","value":"904-16"},{"id":16,"name":"Locomotive ID","value":"4028"},{"id":130,"name":"Impact","value":""},{"id":150,"name":"Time of Event (Mountain Time)","value":"15:32:50"},{"id":151,"name":"Denver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76"/>
        <v>start /low /b %USERPROFILE%\Documents\GitHub\eaglep3\Utilities\DownloadLogsFromS3.py --loco 4028 --day 2017-01-16</v>
      </c>
      <c r="AN219" s="18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"%USERPROFILE%\AppData\Local\Temp\OnboardLogs"\RTDC4028\*4028*20170116* | grep -SE "(Enforcement Action)|(\[TIMEOUT)|(CHR.+\|PRM\|1\|D.+(SWITCH|SIGNAL).+UNKNOWN)" - &gt;&gt; 2017-01-16-UncaughtWiMAX.txt</v>
      </c>
    </row>
    <row r="220" spans="1:91" x14ac:dyDescent="0.25">
      <c r="A220" s="34" t="s">
        <v>685</v>
      </c>
      <c r="B220" s="7">
        <v>4028</v>
      </c>
      <c r="C220" s="22" t="s">
        <v>201</v>
      </c>
      <c r="D220" s="22" t="s">
        <v>838</v>
      </c>
      <c r="E220" s="13">
        <v>42751.796979166669</v>
      </c>
      <c r="F220" s="13">
        <v>25568.708333333332</v>
      </c>
      <c r="G220" s="7">
        <v>0</v>
      </c>
      <c r="H220" s="22" t="s">
        <v>891</v>
      </c>
      <c r="I220" s="13">
        <v>25568.708333333332</v>
      </c>
      <c r="J220" s="7">
        <v>0</v>
      </c>
      <c r="K220" s="105" t="str">
        <f t="shared" si="60"/>
        <v>4027/4028</v>
      </c>
      <c r="L220" s="22" t="str">
        <f>VLOOKUP(A220,'Trips&amp;Operators'!$C$1:$G$99999,5,FALSE)</f>
        <v>NEWELL JAMES</v>
      </c>
      <c r="M220" s="6">
        <f t="shared" si="61"/>
        <v>0</v>
      </c>
      <c r="N220" s="7">
        <f t="shared" si="62"/>
        <v>0</v>
      </c>
      <c r="O220" s="7"/>
      <c r="P220" s="7"/>
      <c r="Q220" s="23"/>
      <c r="R220" s="23"/>
      <c r="S220" s="32">
        <f t="shared" si="63"/>
        <v>0</v>
      </c>
      <c r="T220" s="47" t="str">
        <f t="shared" si="64"/>
        <v>Southbound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65"/>
        <v>https://d0f6bd738d7f1b3e5a7ca70fe4ff75f0.us-east-1.aws.found.io/app/kibana#/discover/Steve-Slow-Train-Analysis-(2080s-and-2083s)?_g=(refreshInterval:(display:Off,pause:!f,section:0,value:0),time:(from:'2017-01-16T18:07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0" s="49" t="str">
        <f t="shared" si="66"/>
        <v>Y</v>
      </c>
      <c r="X220" s="173">
        <f t="shared" si="67"/>
        <v>2</v>
      </c>
      <c r="Y220" s="64">
        <f t="shared" si="68"/>
        <v>5.8608000000000002</v>
      </c>
      <c r="Z220" s="64">
        <f t="shared" si="77"/>
        <v>2.8778000000000001</v>
      </c>
      <c r="AA220" s="64">
        <f t="shared" si="69"/>
        <v>2.9830000000000001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70"/>
        <v>0906-16</v>
      </c>
      <c r="AE220" s="87" t="str">
        <f t="shared" si="71"/>
        <v>aws s3 cp s3://rtdc.mdm.uploadarchive.raw/RTDC4028/ "%USERPROFILE%\AppData\Local\Temp\OnboardLogs"\RTDC4028\1969-12-31 --exclude "*" --recursive --include "*19691231*" &amp; "%USERPROFILE%\Documents\GitHub\mrs-test-scripts\Headless Mode &amp; Sideloading\WalkAndUnGZ.bat" "%USERPROFILE%\AppData\Local\Temp\OnboardLogs"\RTDC4028\1969-12-31 &amp; aws s3 cp s3://rtdc.mdm.uploadarchive.raw/RTDC4028/ "%USERPROFILE%\AppData\Local\Temp\OnboardLogs"\RTDC4028\1970-01-01 --exclude "*" --recursive --include "*19700101*" &amp; "%USERPROFILE%\Documents\GitHub\mrs-test-scripts\Headless Mode &amp; Sideloading\WalkAndUnGZ.bat" "%USERPROFILE%\AppData\Local\Temp\OnboardLogs"\RTDC4028\1970-01-01</v>
      </c>
      <c r="AF220" s="84" t="str">
        <f t="shared" si="72"/>
        <v>"C:\Program Files (x86)\AstroGrep\AstroGrep.exe" /spath="%USERPROFILE%\AppData\Local\Temp\OnboardLogs" /stypes="app*4028*19700101*" /stext=" 00:.+((SYSTEM_STATE.+slice.+state.+changed )|(ment ac)|(multiple cpu faults)|(system.+state.+changed )|(\[timeout)|(PRM\|1\|D)|(kpr)|(kdp)|(\|lc)|(penalty))" /e /r /s</v>
      </c>
      <c r="AG220" s="1" t="str">
        <f t="shared" si="73"/>
        <v>Other</v>
      </c>
      <c r="AH220" s="88" t="str">
        <f t="shared" si="74"/>
        <v>"%USERPROFILE%\Documents\GitHub\eaglep3\Utilities\RefineRTDCRunTimes.py" --tripid 906-16 --locoid 4028 --swversion DE.1.0.8.0 --startMP 300:58608 --initTime 2017-01-16T19:07:39 --startdatetime 1969-12-31T17:00:00 --delay 0 --endMP 300:28778 --enddatetime 1969-12-31T17:00:00 --enforcementcount 0 &gt;&gt;C:\Users\stu\Documents\GitHub\eaglep3-reporting\EC\2017-01-16-refined-times.txt</v>
      </c>
      <c r="AI220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{"issue":{"subject":"","project_id":79,"tracker_id":40,"status_id":1,"priority_id":2,"assigned_to_id":23,"start_date":"1969-12-31","description":"","custom_fields":[{"id":1,"name":"Subdivision","value":"Other"},{"id":4,"name":"Milepost","value":"2.8778"},{"id":17,"name":"Train ID","value":"906-16"},{"id":16,"name":"Locomotive ID","value":"4028"},{"id":130,"name":"Impact","value":""},{"id":150,"name":"Time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76"/>
        <v>start /low /b %USERPROFILE%\Documents\GitHub\eaglep3\Utilities\DownloadLogsFromS3.py --loco 4028 --day 1969-12-31</v>
      </c>
      <c r="AN220" s="18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"%USERPROFILE%\AppData\Local\Temp\OnboardLogs"\RTDC4028\*4028*19700101* | grep -SE "(Enforcement Action)|(\[TIMEOUT)|(CHR.+\|PRM\|1\|D.+(SWITCH|SIGNAL).+UNKNOWN)" - &gt;&gt; 2017-01-16-UncaughtWiMAX.txt</v>
      </c>
    </row>
    <row r="221" spans="1:91" x14ac:dyDescent="0.25">
      <c r="A221" s="34" t="s">
        <v>707</v>
      </c>
      <c r="B221" s="7">
        <v>4041</v>
      </c>
      <c r="C221" s="22" t="s">
        <v>201</v>
      </c>
      <c r="D221" s="22" t="s">
        <v>892</v>
      </c>
      <c r="E221" s="13">
        <v>42751.942986111113</v>
      </c>
      <c r="F221" s="13">
        <v>42751.944131944445</v>
      </c>
      <c r="G221" s="7">
        <v>0</v>
      </c>
      <c r="H221" s="22" t="s">
        <v>893</v>
      </c>
      <c r="I221" s="13">
        <v>42751.950243055559</v>
      </c>
      <c r="J221" s="7">
        <v>0</v>
      </c>
      <c r="K221" s="105" t="str">
        <f t="shared" si="60"/>
        <v>4041/4042</v>
      </c>
      <c r="L221" s="22" t="str">
        <f>VLOOKUP(A221,'Trips&amp;Operators'!$C$1:$G$99999,5,FALSE)</f>
        <v>NEWELL JAMES</v>
      </c>
      <c r="M221" s="6">
        <f t="shared" si="61"/>
        <v>6.1111111135687679E-3</v>
      </c>
      <c r="N221" s="7">
        <f t="shared" si="62"/>
        <v>8.8000000035390258</v>
      </c>
      <c r="O221" s="7"/>
      <c r="P221" s="7"/>
      <c r="Q221" s="23"/>
      <c r="R221" s="23"/>
      <c r="S221" s="32">
        <f t="shared" si="63"/>
        <v>0</v>
      </c>
      <c r="T221" s="47" t="str">
        <f t="shared" si="64"/>
        <v>Southbound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65"/>
        <v>https://d0f6bd738d7f1b3e5a7ca70fe4ff75f0.us-east-1.aws.found.io/app/kibana#/discover/Steve-Slow-Train-Analysis-(2080s-and-2083s)?_g=(refreshInterval:(display:Off,pause:!f,section:0,value:0),time:(from:'2017-01-16T21:37:54-0700',mode:absolute,to:'2017-01-16T23:48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49" t="str">
        <f t="shared" si="66"/>
        <v>Y</v>
      </c>
      <c r="X221" s="173">
        <f t="shared" si="67"/>
        <v>2</v>
      </c>
      <c r="Y221" s="64">
        <f t="shared" si="68"/>
        <v>5.8592000000000004</v>
      </c>
      <c r="Z221" s="64">
        <f t="shared" si="77"/>
        <v>2.1714000000000002</v>
      </c>
      <c r="AA221" s="64">
        <f t="shared" si="69"/>
        <v>3.6878000000000002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70"/>
        <v>0908-16</v>
      </c>
      <c r="AE221" s="87" t="str">
        <f t="shared" si="71"/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AF221" s="84" t="str">
        <f t="shared" si="72"/>
        <v>"C:\Program Files (x86)\AstroGrep\AstroGrep.exe" /spath="%USERPROFILE%\AppData\Local\Temp\OnboardLogs" /stypes="app*4041*20170117*" /stext=" 05:.+((SYSTEM_STATE.+slice.+state.+changed )|(ment ac)|(multiple cpu faults)|(system.+state.+changed )|(\[timeout)|(PRM\|1\|D)|(kpr)|(kdp)|(\|lc)|(penalty))" /e /r /s</v>
      </c>
      <c r="AG221" s="1" t="str">
        <f t="shared" si="73"/>
        <v>Other</v>
      </c>
      <c r="AH221" s="88" t="str">
        <f t="shared" si="74"/>
        <v>"%USERPROFILE%\Documents\GitHub\eaglep3\Utilities\RefineRTDCRunTimes.py" --tripid 908-16 --locoid 4041 --swversion DE.1.0.8.0 --startMP 300:58592 --initTime 2017-01-16T22:37:54 --startdatetime 2017-01-16T22:39:33 --delay 0 --endMP 300:21714 --enddatetime 2017-01-16T22:48:21 --enforcementcount 0 &gt;&gt;C:\Users\stu\Documents\GitHub\eaglep3-reporting\EC\2017-01-16-refined-times.txt</v>
      </c>
      <c r="AI221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{"issue":{"subject":"","project_id":79,"tracker_id":40,"status_id":1,"priority_id":2,"assigned_to_id":23,"start_date":"2017-01-16","description":"","custom_fields":[{"id":1,"name":"Subdivision","value":"Other"},{"id":4,"name":"Milepost","value":"2.1714"},{"id":17,"name":"Train ID","value":"908-16"},{"id":16,"name":"Locomotive ID","value":"4041"},{"id":130,"name":"Impact","value":""},{"id":150,"name":"Time of Event (Mountain Time)","value":"22:48:21"},{"id":151,"name":"Denver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76"/>
        <v>start /low /b %USERPROFILE%\Documents\GitHub\eaglep3\Utilities\DownloadLogsFromS3.py --loco 4041 --day 2017-01-16</v>
      </c>
      <c r="AN221" s="18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2017-01-16-UncaughtWiMAX.txt</v>
      </c>
    </row>
    <row r="222" spans="1:91" x14ac:dyDescent="0.25">
      <c r="A222" s="34" t="s">
        <v>582</v>
      </c>
      <c r="B222" s="7">
        <v>4043</v>
      </c>
      <c r="C222" s="22" t="s">
        <v>201</v>
      </c>
      <c r="D222" s="22" t="s">
        <v>811</v>
      </c>
      <c r="E222" s="13">
        <v>42751.45076388889</v>
      </c>
      <c r="F222" s="13">
        <v>42751.45548611111</v>
      </c>
      <c r="G222" s="7">
        <v>6</v>
      </c>
      <c r="H222" s="22" t="s">
        <v>812</v>
      </c>
      <c r="I222" s="13">
        <v>42751.461354166669</v>
      </c>
      <c r="J222" s="7">
        <v>0</v>
      </c>
      <c r="K222" s="105" t="str">
        <f t="shared" si="60"/>
        <v>4043/4044</v>
      </c>
      <c r="L222" s="22" t="str">
        <f>VLOOKUP(A222,'Trips&amp;Operators'!$C$1:$G$99999,5,FALSE)</f>
        <v>ROMERO CHAD</v>
      </c>
      <c r="M222" s="6">
        <f t="shared" si="61"/>
        <v>5.8680555594037287E-3</v>
      </c>
      <c r="N222" s="7">
        <f t="shared" si="62"/>
        <v>8.4500000055413693</v>
      </c>
      <c r="O222" s="7"/>
      <c r="P222" s="7"/>
      <c r="Q222" s="23"/>
      <c r="R222" s="23"/>
      <c r="S222" s="32">
        <f t="shared" si="63"/>
        <v>0</v>
      </c>
      <c r="T222" s="47" t="e">
        <f t="shared" si="64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65"/>
        <v>https://d0f6bd738d7f1b3e5a7ca70fe4ff75f0.us-east-1.aws.found.io/app/kibana#/discover/Steve-Slow-Train-Analysis-(2080s-and-2083s)?_g=(refreshInterval:(display:Off,pause:!f,section:0,value:0),time:(from:'2017-01-16T09:49:06-0700',mode:absolute,to:'2017-01-16T12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2" s="49" t="str">
        <f t="shared" si="66"/>
        <v>Y</v>
      </c>
      <c r="X222" s="173" t="e">
        <f t="shared" si="67"/>
        <v>#VALUE!</v>
      </c>
      <c r="Y222" s="64">
        <f t="shared" si="68"/>
        <v>2.1886000000000001</v>
      </c>
      <c r="Z222" s="64">
        <f t="shared" si="77"/>
        <v>8.7099999999999997E-2</v>
      </c>
      <c r="AA222" s="64">
        <f t="shared" si="69"/>
        <v>2.1015000000000001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70"/>
        <v>50-16</v>
      </c>
      <c r="AE222" s="87" t="str">
        <f t="shared" si="71"/>
        <v>aws s3 cp s3://rtdc.mdm.uploadarchive.raw/RTDC4043/ "%USERPROFILE%\AppData\Local\Temp\OnboardLogs"\RTDC4043\2017-01-16 --exclude "*" --recursive --include "*20170116*" &amp; "%USERPROFILE%\Documents\GitHub\mrs-test-scripts\Headless Mode &amp; Sideloading\WalkAndUnGZ.bat" "%USERPROFILE%\AppData\Local\Temp\OnboardLogs"\RTDC4043\2017-01-16 &amp; 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</v>
      </c>
      <c r="AF222" s="84" t="str">
        <f t="shared" si="72"/>
        <v>"C:\Program Files (x86)\AstroGrep\AstroGrep.exe" /spath="%USERPROFILE%\AppData\Local\Temp\OnboardLogs" /stypes="app*4043*20170116*" /stext=" 18:.+((SYSTEM_STATE.+slice.+state.+changed )|(ment ac)|(multiple cpu faults)|(system.+state.+changed )|(\[timeout)|(PRM\|1\|D)|(kpr)|(kdp)|(\|lc)|(penalty))" /e /r /s</v>
      </c>
      <c r="AG222" s="1" t="str">
        <f t="shared" si="73"/>
        <v>Other</v>
      </c>
      <c r="AH222" s="88" t="str">
        <f t="shared" si="74"/>
        <v>"%USERPROFILE%\Documents\GitHub\eaglep3\Utilities\RefineRTDCRunTimes.py" --tripid 50-16 --locoid 4043 --swversion DE.1.0.8.0 --startMP 300:21886 --initTime 2017-01-16T10:49:06 --startdatetime 2017-01-16T10:55:54 --delay 6 --endMP 204:871 --enddatetime 2017-01-16T11:04:21 --enforcementcount 0 &gt;&gt;C:\Users\stu\Documents\GitHub\eaglep3-reporting\EC\2017-01-16-refined-times.txt</v>
      </c>
      <c r="AI222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{"issue":{"subject":"","project_id":79,"tracker_id":40,"status_id":1,"priority_id":2,"assigned_to_id":23,"start_date":"2017-01-16","description":"","custom_fields":[{"id":1,"name":"Subdivision","value":"Other"},{"id":4,"name":"Milepost","value":"0.0871"},{"id":17,"name":"Train ID","value":"50-16"},{"id":16,"name":"Locomotive ID","value":"4043"},{"id":130,"name":"Impact","value":""},{"id":150,"name":"Time of Event (Mountain Time)","value":"11:04:21"},{"id":151,"name":"Denver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76"/>
        <v>start /low /b %USERPROFILE%\Documents\GitHub\eaglep3\Utilities\DownloadLogsFromS3.py --loco 4043 --day 2017-01-16</v>
      </c>
      <c r="AN222" s="18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"%USERPROFILE%\AppData\Local\Temp\OnboardLogs"\RTDC4043\*4043*20170116* | grep -SE "(Enforcement Action)|(\[TIMEOUT)|(CHR.+\|PRM\|1\|D.+(SWITCH|SIGNAL).+UNKNOWN)" - &gt;&gt; 2017-01-16-UncaughtWiMAX.txt</v>
      </c>
    </row>
    <row r="223" spans="1:91" x14ac:dyDescent="0.25">
      <c r="A223" s="34" t="s">
        <v>593</v>
      </c>
      <c r="B223" s="7">
        <v>4044</v>
      </c>
      <c r="C223" s="22" t="s">
        <v>201</v>
      </c>
      <c r="D223" s="22" t="s">
        <v>813</v>
      </c>
      <c r="E223" s="13">
        <v>42751.48133101852</v>
      </c>
      <c r="F223" s="13">
        <v>42751.490324074075</v>
      </c>
      <c r="G223" s="7">
        <v>1</v>
      </c>
      <c r="H223" s="22" t="s">
        <v>814</v>
      </c>
      <c r="I223" s="13">
        <v>42751.496354166666</v>
      </c>
      <c r="J223" s="7">
        <v>0</v>
      </c>
      <c r="K223" s="105" t="str">
        <f t="shared" si="60"/>
        <v>4043/4044</v>
      </c>
      <c r="L223" s="22" t="str">
        <f>VLOOKUP(A223,'Trips&amp;Operators'!$C$1:$G$99999,5,FALSE)</f>
        <v>YANAI IAN</v>
      </c>
      <c r="M223" s="6">
        <f t="shared" si="61"/>
        <v>6.0300925906631164E-3</v>
      </c>
      <c r="N223" s="7">
        <f t="shared" si="62"/>
        <v>8.6833333305548877</v>
      </c>
      <c r="O223" s="7"/>
      <c r="P223" s="7"/>
      <c r="Q223" s="23"/>
      <c r="R223" s="23"/>
      <c r="S223" s="32">
        <f t="shared" si="63"/>
        <v>0</v>
      </c>
      <c r="T223" s="47" t="e">
        <f t="shared" si="64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5"/>
        <v>https://d0f6bd738d7f1b3e5a7ca70fe4ff75f0.us-east-1.aws.found.io/app/kibana#/discover/Steve-Slow-Train-Analysis-(2080s-and-2083s)?_g=(refreshInterval:(display:Off,pause:!f,section:0,value:0),time:(from:'2017-01-16T10:33:07-0700',mode:absolute,to:'2017-01-16T12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3" s="49" t="str">
        <f t="shared" si="66"/>
        <v>Y</v>
      </c>
      <c r="X223" s="173" t="e">
        <f t="shared" si="67"/>
        <v>#VALUE!</v>
      </c>
      <c r="Y223" s="64">
        <f t="shared" si="68"/>
        <v>0.1179</v>
      </c>
      <c r="Z223" s="64">
        <f t="shared" si="77"/>
        <v>2.4072</v>
      </c>
      <c r="AA223" s="64">
        <f t="shared" si="69"/>
        <v>2.2892999999999999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70"/>
        <v>51-16</v>
      </c>
      <c r="AE223" s="87" t="str">
        <f t="shared" si="71"/>
        <v>aws s3 cp s3://rtdc.mdm.uploadarchive.raw/RTDC4044/ "%USERPROFILE%\AppData\Local\Temp\OnboardLogs"\RTDC4044\2017-01-16 --exclude "*" --recursive --include "*20170116*" &amp; "%USERPROFILE%\Documents\GitHub\mrs-test-scripts\Headless Mode &amp; Sideloading\WalkAndUnGZ.bat" "%USERPROFILE%\AppData\Local\Temp\OnboardLogs"\RTDC4044\2017-01-16 &amp; 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</v>
      </c>
      <c r="AF223" s="84" t="str">
        <f t="shared" si="72"/>
        <v>"C:\Program Files (x86)\AstroGrep\AstroGrep.exe" /spath="%USERPROFILE%\AppData\Local\Temp\OnboardLogs" /stypes="app*4044*20170116*" /stext=" 18:.+((SYSTEM_STATE.+slice.+state.+changed )|(ment ac)|(multiple cpu faults)|(system.+state.+changed )|(\[timeout)|(PRM\|1\|D)|(kpr)|(kdp)|(\|lc)|(penalty))" /e /r /s</v>
      </c>
      <c r="AG223" s="1" t="str">
        <f t="shared" si="73"/>
        <v>Other</v>
      </c>
      <c r="AH223" s="88" t="str">
        <f t="shared" si="74"/>
        <v>"%USERPROFILE%\Documents\GitHub\eaglep3\Utilities\RefineRTDCRunTimes.py" --tripid 51-16 --locoid 4044 --swversion DE.1.0.8.0 --startMP 204:1179 --initTime 2017-01-16T11:33:07 --startdatetime 2017-01-16T11:46:04 --delay 1 --endMP 300:24072 --enddatetime 2017-01-16T11:54:45 --enforcementcount 0 &gt;&gt;C:\Users\stu\Documents\GitHub\eaglep3-reporting\EC\2017-01-16-refined-times.txt</v>
      </c>
      <c r="AI223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{"issue":{"subject":"","project_id":79,"tracker_id":40,"status_id":1,"priority_id":2,"assigned_to_id":23,"start_date":"2017-01-16","description":"","custom_fields":[{"id":1,"name":"Subdivision","value":"Other"},{"id":4,"name":"Milepost","value":"2.4072"},{"id":17,"name":"Train ID","value":"51-16"},{"id":16,"name":"Locomotive ID","value":"4044"},{"id":130,"name":"Impact","value":""},{"id":150,"name":"Time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76"/>
        <v>start /low /b %USERPROFILE%\Documents\GitHub\eaglep3\Utilities\DownloadLogsFromS3.py --loco 4044 --day 2017-01-16</v>
      </c>
      <c r="AN223" s="189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"%USERPROFILE%\AppData\Local\Temp\OnboardLogs"\RTDC4044\*4044*20170116* | grep -SE "(Enforcement Action)|(\[TIMEOUT)|(CHR.+\|PRM\|1\|D.+(SWITCH|SIGNAL).+UNKNOWN)" - &gt;&gt; 2017-01-16-UncaughtWiMAX.txt</v>
      </c>
    </row>
    <row r="224" spans="1:91" x14ac:dyDescent="0.25">
      <c r="A224" s="34" t="s">
        <v>589</v>
      </c>
      <c r="B224" s="7">
        <v>4052</v>
      </c>
      <c r="C224" s="22" t="s">
        <v>201</v>
      </c>
      <c r="D224" s="22" t="s">
        <v>815</v>
      </c>
      <c r="E224" s="13">
        <v>42751.476550925923</v>
      </c>
      <c r="F224" s="13">
        <v>42751.478379629632</v>
      </c>
      <c r="G224" s="7">
        <v>1</v>
      </c>
      <c r="H224" s="22" t="s">
        <v>816</v>
      </c>
      <c r="I224" s="13">
        <v>42751.484652777777</v>
      </c>
      <c r="J224" s="7">
        <v>0</v>
      </c>
      <c r="K224" s="105" t="str">
        <f t="shared" si="60"/>
        <v>4051/4052</v>
      </c>
      <c r="L224" s="22" t="str">
        <f>VLOOKUP(A224,'Trips&amp;Operators'!$C$1:$G$99999,5,FALSE)</f>
        <v>YANG JAN</v>
      </c>
      <c r="M224" s="6">
        <f t="shared" si="61"/>
        <v>6.2731481448281556E-3</v>
      </c>
      <c r="N224" s="7">
        <f t="shared" si="62"/>
        <v>9.0333333285525441</v>
      </c>
      <c r="O224" s="7"/>
      <c r="P224" s="7"/>
      <c r="Q224" s="23"/>
      <c r="R224" s="23"/>
      <c r="S224" s="32">
        <f t="shared" si="63"/>
        <v>0</v>
      </c>
      <c r="T224" s="47" t="e">
        <f t="shared" si="64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5"/>
        <v>https://d0f6bd738d7f1b3e5a7ca70fe4ff75f0.us-east-1.aws.found.io/app/kibana#/discover/Steve-Slow-Train-Analysis-(2080s-and-2083s)?_g=(refreshInterval:(display:Off,pause:!f,section:0,value:0),time:(from:'2017-01-16T10:26:14-0700',mode:absolute,to:'2017-01-16T12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4" s="49" t="str">
        <f t="shared" si="66"/>
        <v>Y</v>
      </c>
      <c r="X224" s="173" t="e">
        <f t="shared" si="67"/>
        <v>#VALUE!</v>
      </c>
      <c r="Y224" s="64">
        <f t="shared" si="68"/>
        <v>2.1835</v>
      </c>
      <c r="Z224" s="64">
        <f t="shared" si="77"/>
        <v>1.4800000000000001E-2</v>
      </c>
      <c r="AA224" s="64">
        <f t="shared" si="69"/>
        <v>2.1686999999999999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70"/>
        <v>52-16</v>
      </c>
      <c r="AE224" s="87" t="str">
        <f t="shared" si="71"/>
        <v>aws s3 cp s3://rtdc.mdm.uploadarchive.raw/RTDC4052/ "%USERPROFILE%\AppData\Local\Temp\OnboardLogs"\RTDC4052\2017-01-16 --exclude "*" --recursive --include "*20170116*" &amp; "%USERPROFILE%\Documents\GitHub\mrs-test-scripts\Headless Mode &amp; Sideloading\WalkAndUnGZ.bat" "%USERPROFILE%\AppData\Local\Temp\OnboardLogs"\RTDC4052\2017-01-16 &amp; aws s3 cp s3://rtdc.mdm.uploadarchive.raw/RTDC4052/ "%USERPROFILE%\AppData\Local\Temp\OnboardLogs"\RTDC4052\2017-01-17 --exclude "*" --recursive --include "*20170117*" &amp; "%USERPROFILE%\Documents\GitHub\mrs-test-scripts\Headless Mode &amp; Sideloading\WalkAndUnGZ.bat" "%USERPROFILE%\AppData\Local\Temp\OnboardLogs"\RTDC4052\2017-01-17</v>
      </c>
      <c r="AF224" s="84" t="str">
        <f t="shared" si="72"/>
        <v>"C:\Program Files (x86)\AstroGrep\AstroGrep.exe" /spath="%USERPROFILE%\AppData\Local\Temp\OnboardLogs" /stypes="app*4052*20170116*" /stext=" 18:.+((SYSTEM_STATE.+slice.+state.+changed )|(ment ac)|(multiple cpu faults)|(system.+state.+changed )|(\[timeout)|(PRM\|1\|D)|(kpr)|(kdp)|(\|lc)|(penalty))" /e /r /s</v>
      </c>
      <c r="AG224" s="1" t="str">
        <f t="shared" si="73"/>
        <v>Other</v>
      </c>
      <c r="AH224" s="88" t="str">
        <f t="shared" si="74"/>
        <v>"%USERPROFILE%\Documents\GitHub\eaglep3\Utilities\RefineRTDCRunTimes.py" --tripid 52-16 --locoid 4052 --swversion DE.1.0.8.0 --startMP 300:21835 --initTime 2017-01-16T11:26:14 --startdatetime 2017-01-16T11:28:52 --delay 1 --endMP 204:148 --enddatetime 2017-01-16T11:37:54 --enforcementcount 0 &gt;&gt;C:\Users\stu\Documents\GitHub\eaglep3-reporting\EC\2017-01-16-refined-times.txt</v>
      </c>
      <c r="AI224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{"issue":{"subject":"","project_id":79,"tracker_id":40,"status_id":1,"priority_id":2,"assigned_to_id":23,"start_date":"2017-01-16","description":"","custom_fields":[{"id":1,"name":"Subdivision","value":"Other"},{"id":4,"name":"Milepost","value":"0.0148"},{"id":17,"name":"Train ID","value":"52-16"},{"id":16,"name":"Locomotive ID","value":"4052"},{"id":130,"name":"Impact","value":""},{"id":150,"name":"Time of Event (Mountain Time)","value":"11:37:54"},{"id":151,"name":"Denver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76"/>
        <v>start /low /b %USERPROFILE%\Documents\GitHub\eaglep3\Utilities\DownloadLogsFromS3.py --loco 4052 --day 2017-01-16</v>
      </c>
      <c r="AN224" s="189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"%USERPROFILE%\AppData\Local\Temp\OnboardLogs"\RTDC4052\*4052*20170116* | grep -SE "(Enforcement Action)|(\[TIMEOUT)|(CHR.+\|PRM\|1\|D.+(SWITCH|SIGNAL).+UNKNOWN)" - &gt;&gt; 2017-01-16-UncaughtWiMAX.txt</v>
      </c>
    </row>
    <row r="225" spans="1:40" x14ac:dyDescent="0.25">
      <c r="A225" s="34" t="s">
        <v>601</v>
      </c>
      <c r="B225" s="7">
        <v>4051</v>
      </c>
      <c r="C225" s="22" t="s">
        <v>201</v>
      </c>
      <c r="D225" s="22" t="s">
        <v>817</v>
      </c>
      <c r="E225" s="13">
        <v>42751.506168981483</v>
      </c>
      <c r="F225" s="13">
        <v>25568.708333333332</v>
      </c>
      <c r="G225" s="7">
        <v>1</v>
      </c>
      <c r="H225" s="22" t="s">
        <v>818</v>
      </c>
      <c r="I225" s="13">
        <v>25568.708333333332</v>
      </c>
      <c r="J225" s="7">
        <v>0</v>
      </c>
      <c r="K225" s="105" t="str">
        <f t="shared" si="60"/>
        <v>4051/4052</v>
      </c>
      <c r="L225" s="22" t="str">
        <f>VLOOKUP(A225,'Trips&amp;Operators'!$C$1:$G$99999,5,FALSE)</f>
        <v>YORK EDGAR</v>
      </c>
      <c r="M225" s="6">
        <f t="shared" si="61"/>
        <v>0</v>
      </c>
      <c r="N225" s="7">
        <f t="shared" si="62"/>
        <v>0</v>
      </c>
      <c r="O225" s="7"/>
      <c r="P225" s="7"/>
      <c r="Q225" s="23"/>
      <c r="R225" s="23"/>
      <c r="S225" s="32">
        <f t="shared" si="63"/>
        <v>0</v>
      </c>
      <c r="T225" s="47" t="e">
        <f t="shared" si="64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65"/>
        <v>https://d0f6bd738d7f1b3e5a7ca70fe4ff75f0.us-east-1.aws.found.io/app/kibana#/discover/Steve-Slow-Train-Analysis-(2080s-and-2083s)?_g=(refreshInterval:(display:Off,pause:!f,section:0,value:0),time:(from:'2017-01-16T11:08:53-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5" s="49" t="str">
        <f t="shared" si="66"/>
        <v>Y</v>
      </c>
      <c r="X225" s="173" t="e">
        <f t="shared" si="67"/>
        <v>#VALUE!</v>
      </c>
      <c r="Y225" s="64">
        <f t="shared" si="68"/>
        <v>4.4999999999999998E-2</v>
      </c>
      <c r="Z225" s="64">
        <f t="shared" si="77"/>
        <v>2.4224000000000001</v>
      </c>
      <c r="AA225" s="64">
        <f t="shared" si="69"/>
        <v>2.3774000000000002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70"/>
        <v>53-16</v>
      </c>
      <c r="AE225" s="87" t="str">
        <f t="shared" si="71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25" s="84" t="str">
        <f t="shared" si="72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25" s="1" t="str">
        <f t="shared" si="73"/>
        <v>Other</v>
      </c>
      <c r="AH225" s="88" t="str">
        <f t="shared" si="74"/>
        <v>"%USERPROFILE%\Documents\GitHub\eaglep3\Utilities\RefineRTDCRunTimes.py" --tripid 53-16 --locoid 4051 --swversion DE.1.0.8.0 --startMP 204:450 --initTime 2017-01-16T12:08:53 --startdatetime 1969-12-31T17:00:00 --delay 1 --endMP 300:24224 --enddatetime 1969-12-31T17:00:00 --enforcementcount 0 &gt;&gt;C:\Users\stu\Documents\GitHub\eaglep3-reporting\EC\2017-01-16-refined-times.txt</v>
      </c>
      <c r="AI225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ID","value":"53-16"},{"id":16,"name":"Locomotive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76"/>
        <v>start /low /b %USERPROFILE%\Documents\GitHub\eaglep3\Utilities\DownloadLogsFromS3.py --loco 4051 --day 1969-12-31</v>
      </c>
      <c r="AN225" s="189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2017-01-16-UncaughtWiMAX.txt</v>
      </c>
    </row>
    <row r="226" spans="1:40" x14ac:dyDescent="0.25">
      <c r="A226" s="34" t="s">
        <v>653</v>
      </c>
      <c r="B226" s="7">
        <v>4052</v>
      </c>
      <c r="C226" s="22" t="s">
        <v>201</v>
      </c>
      <c r="D226" s="22" t="s">
        <v>819</v>
      </c>
      <c r="E226" s="13">
        <v>42751.6955787037</v>
      </c>
      <c r="F226" s="13">
        <v>42751.696759259263</v>
      </c>
      <c r="G226" s="7">
        <v>1</v>
      </c>
      <c r="H226" s="22" t="s">
        <v>820</v>
      </c>
      <c r="I226" s="13">
        <v>42751.703634259262</v>
      </c>
      <c r="J226" s="7">
        <v>0</v>
      </c>
      <c r="K226" s="105" t="str">
        <f t="shared" si="60"/>
        <v>4051/4052</v>
      </c>
      <c r="L226" s="22" t="str">
        <f>VLOOKUP(A226,'Trips&amp;Operators'!$C$1:$G$99999,5,FALSE)</f>
        <v>CHANDLER KELVIN</v>
      </c>
      <c r="M226" s="6">
        <f t="shared" si="61"/>
        <v>6.8749999991268851E-3</v>
      </c>
      <c r="N226" s="7">
        <f t="shared" si="62"/>
        <v>9.8999999987427145</v>
      </c>
      <c r="O226" s="7"/>
      <c r="P226" s="7"/>
      <c r="Q226" s="23"/>
      <c r="R226" s="23"/>
      <c r="S226" s="32">
        <f t="shared" si="63"/>
        <v>0</v>
      </c>
      <c r="T226" s="47" t="e">
        <f t="shared" si="64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65"/>
        <v>https://d0f6bd738d7f1b3e5a7ca70fe4ff75f0.us-east-1.aws.found.io/app/kibana#/discover/Steve-Slow-Train-Analysis-(2080s-and-2083s)?_g=(refreshInterval:(display:Off,pause:!f,section:0,value:0),time:(from:'2017-01-16T15:41:38-0700',mode:absolute,to:'2017-01-16T17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6" s="49" t="str">
        <f t="shared" si="66"/>
        <v>Y</v>
      </c>
      <c r="X226" s="173" t="e">
        <f t="shared" si="67"/>
        <v>#VALUE!</v>
      </c>
      <c r="Y226" s="64">
        <f t="shared" si="68"/>
        <v>2.3349000000000002</v>
      </c>
      <c r="Z226" s="64">
        <f t="shared" si="77"/>
        <v>6.1000000000000004E-3</v>
      </c>
      <c r="AA226" s="64">
        <f t="shared" si="69"/>
        <v>2.3288000000000002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70"/>
        <v>54-16</v>
      </c>
      <c r="AE226" s="87" t="str">
        <f t="shared" si="71"/>
        <v>aws s3 cp s3://rtdc.mdm.uploadarchive.raw/RTDC4052/ "%USERPROFILE%\AppData\Local\Temp\OnboardLogs"\RTDC4052\2017-01-16 --exclude "*" --recursive --include "*20170116*" &amp; "%USERPROFILE%\Documents\GitHub\mrs-test-scripts\Headless Mode &amp; Sideloading\WalkAndUnGZ.bat" "%USERPROFILE%\AppData\Local\Temp\OnboardLogs"\RTDC4052\2017-01-16 &amp; aws s3 cp s3://rtdc.mdm.uploadarchive.raw/RTDC4052/ "%USERPROFILE%\AppData\Local\Temp\OnboardLogs"\RTDC4052\2017-01-17 --exclude "*" --recursive --include "*20170117*" &amp; "%USERPROFILE%\Documents\GitHub\mrs-test-scripts\Headless Mode &amp; Sideloading\WalkAndUnGZ.bat" "%USERPROFILE%\AppData\Local\Temp\OnboardLogs"\RTDC4052\2017-01-17</v>
      </c>
      <c r="AF226" s="84" t="str">
        <f t="shared" si="72"/>
        <v>"C:\Program Files (x86)\AstroGrep\AstroGrep.exe" /spath="%USERPROFILE%\AppData\Local\Temp\OnboardLogs" /stypes="app*4052*20170116*" /stext=" 23:.+((SYSTEM_STATE.+slice.+state.+changed )|(ment ac)|(multiple cpu faults)|(system.+state.+changed )|(\[timeout)|(PRM\|1\|D)|(kpr)|(kdp)|(\|lc)|(penalty))" /e /r /s</v>
      </c>
      <c r="AG226" s="1" t="str">
        <f t="shared" si="73"/>
        <v>Other</v>
      </c>
      <c r="AH226" s="88" t="str">
        <f t="shared" si="74"/>
        <v>"%USERPROFILE%\Documents\GitHub\eaglep3\Utilities\RefineRTDCRunTimes.py" --tripid 54-16 --locoid 4052 --swversion DE.1.0.8.0 --startMP 300:23349 --initTime 2017-01-16T16:41:38 --startdatetime 2017-01-16T16:43:20 --delay 1 --endMP 204:61 --enddatetime 2017-01-16T16:53:14 --enforcementcount 0 &gt;&gt;C:\Users\stu\Documents\GitHub\eaglep3-reporting\EC\2017-01-16-refined-times.txt</v>
      </c>
      <c r="AI226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{"issue":{"subject":"","project_id":79,"tracker_id":40,"status_id":1,"priority_id":2,"assigned_to_id":23,"start_date":"2017-01-16","description":"","custom_fields":[{"id":1,"name":"Subdivision","value":"Other"},{"id":4,"name":"Milepost","value":"0.0061"},{"id":17,"name":"Train ID","value":"54-16"},{"id":16,"name":"Locomotive ID","value":"4052"},{"id":130,"name":"Impact","value":""},{"id":150,"name":"Time of Event (Mountain Time)","value":"16:53:14"},{"id":151,"name":"Denver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76"/>
        <v>start /low /b %USERPROFILE%\Documents\GitHub\eaglep3\Utilities\DownloadLogsFromS3.py --loco 4052 --day 2017-01-16</v>
      </c>
      <c r="AN226" s="189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"%USERPROFILE%\AppData\Local\Temp\OnboardLogs"\RTDC4052\*4052*20170116* | grep -SE "(Enforcement Action)|(\[TIMEOUT)|(CHR.+\|PRM\|1\|D.+(SWITCH|SIGNAL).+UNKNOWN)" - &gt;&gt; 2017-01-16-UncaughtWiMAX.txt</v>
      </c>
    </row>
    <row r="227" spans="1:40" x14ac:dyDescent="0.25">
      <c r="A227" s="34" t="s">
        <v>671</v>
      </c>
      <c r="B227" s="7">
        <v>4051</v>
      </c>
      <c r="C227" s="22" t="s">
        <v>201</v>
      </c>
      <c r="D227" s="22" t="s">
        <v>821</v>
      </c>
      <c r="E227" s="13">
        <v>42751.753437500003</v>
      </c>
      <c r="F227" s="13">
        <v>42751.755324074074</v>
      </c>
      <c r="G227" s="7">
        <v>1</v>
      </c>
      <c r="H227" s="22" t="s">
        <v>416</v>
      </c>
      <c r="I227" s="13">
        <v>42751.761736111112</v>
      </c>
      <c r="J227" s="7">
        <v>0</v>
      </c>
      <c r="K227" s="105" t="str">
        <f t="shared" si="60"/>
        <v>4051/4052</v>
      </c>
      <c r="L227" s="22" t="str">
        <f>VLOOKUP(A227,'Trips&amp;Operators'!$C$1:$G$99999,5,FALSE)</f>
        <v>STEWART MICHAEL</v>
      </c>
      <c r="M227" s="6">
        <f t="shared" si="61"/>
        <v>6.4120370370801538E-3</v>
      </c>
      <c r="N227" s="7">
        <f t="shared" si="62"/>
        <v>9.2333333333954215</v>
      </c>
      <c r="O227" s="7"/>
      <c r="P227" s="7"/>
      <c r="Q227" s="23"/>
      <c r="R227" s="23"/>
      <c r="S227" s="32">
        <f t="shared" si="63"/>
        <v>0</v>
      </c>
      <c r="T227" s="47" t="e">
        <f t="shared" si="64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65"/>
        <v>https://d0f6bd738d7f1b3e5a7ca70fe4ff75f0.us-east-1.aws.found.io/app/kibana#/discover/Steve-Slow-Train-Analysis-(2080s-and-2083s)?_g=(refreshInterval:(display:Off,pause:!f,section:0,value:0),time:(from:'2017-01-16T17:04:57-0700',mode:absolute,to:'2017-01-16T19:16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49" t="str">
        <f t="shared" si="66"/>
        <v>Y</v>
      </c>
      <c r="X227" s="173" t="e">
        <f t="shared" si="67"/>
        <v>#VALUE!</v>
      </c>
      <c r="Y227" s="64">
        <f t="shared" si="68"/>
        <v>3.6499999999999998E-2</v>
      </c>
      <c r="Z227" s="64">
        <f t="shared" si="77"/>
        <v>2.3346</v>
      </c>
      <c r="AA227" s="64">
        <f t="shared" si="69"/>
        <v>2.2980999999999998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70"/>
        <v>55-16</v>
      </c>
      <c r="AE227" s="87" t="str">
        <f t="shared" si="71"/>
        <v>aws s3 cp s3://rtdc.mdm.uploadarchive.raw/RTDC4051/ "%USERPROFILE%\AppData\Local\Temp\OnboardLogs"\RTDC4051\2017-01-16 --exclude "*" --recursive --include "*20170116*" &amp; "%USERPROFILE%\Documents\GitHub\mrs-test-scripts\Headless Mode &amp; Sideloading\WalkAndUnGZ.bat" "%USERPROFILE%\AppData\Local\Temp\OnboardLogs"\RTDC4051\2017-01-16 &amp; aws s3 cp s3://rtdc.mdm.uploadarchive.raw/RTDC4051/ "%USERPROFILE%\AppData\Local\Temp\OnboardLogs"\RTDC4051\2017-01-17 --exclude "*" --recursive --include "*20170117*" &amp; "%USERPROFILE%\Documents\GitHub\mrs-test-scripts\Headless Mode &amp; Sideloading\WalkAndUnGZ.bat" "%USERPROFILE%\AppData\Local\Temp\OnboardLogs"\RTDC4051\2017-01-17</v>
      </c>
      <c r="AF227" s="84" t="str">
        <f t="shared" si="72"/>
        <v>"C:\Program Files (x86)\AstroGrep\AstroGrep.exe" /spath="%USERPROFILE%\AppData\Local\Temp\OnboardLogs" /stypes="app*4051*20170117*" /stext=" 01:.+((SYSTEM_STATE.+slice.+state.+changed )|(ment ac)|(multiple cpu faults)|(system.+state.+changed )|(\[timeout)|(PRM\|1\|D)|(kpr)|(kdp)|(\|lc)|(penalty))" /e /r /s</v>
      </c>
      <c r="AG227" s="1" t="str">
        <f t="shared" si="73"/>
        <v>Other</v>
      </c>
      <c r="AH227" s="88" t="str">
        <f t="shared" si="74"/>
        <v>"%USERPROFILE%\Documents\GitHub\eaglep3\Utilities\RefineRTDCRunTimes.py" --tripid 55-16 --locoid 4051 --swversion DE.1.0.8.0 --startMP 204:365 --initTime 2017-01-16T18:04:57 --startdatetime 2017-01-16T18:07:40 --delay 1 --endMP 300:23346 --enddatetime 2017-01-16T18:16:54 --enforcementcount 0 &gt;&gt;C:\Users\stu\Documents\GitHub\eaglep3-reporting\EC\2017-01-16-refined-times.txt</v>
      </c>
      <c r="AI227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{"issue":{"subject":"","project_id":79,"tracker_id":40,"status_id":1,"priority_id":2,"assigned_to_id":23,"start_date":"2017-01-16","description":"","custom_fields":[{"id":1,"name":"Subdivision","value":"Other"},{"id":4,"name":"Milepost","value":"2.3346"},{"id":17,"name":"Train ID","value":"55-16"},{"id":16,"name":"Locomotive ID","value":"4051"},{"id":130,"name":"Impact","value":""},{"id":150,"name":"Time of Event (Mountain Time)","value":"18:16:54"},{"id":151,"name":"Denver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76"/>
        <v>start /low /b %USERPROFILE%\Documents\GitHub\eaglep3\Utilities\DownloadLogsFromS3.py --loco 4051 --day 2017-01-16</v>
      </c>
      <c r="AN227" s="189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"%USERPROFILE%\AppData\Local\Temp\OnboardLogs"\RTDC4051\*4051*20170117* | grep -SE "(Enforcement Action)|(\[TIMEOUT)|(CHR.+\|PRM\|1\|D.+(SWITCH|SIGNAL).+UNKNOWN)" - &gt;&gt; 2017-01-16-UncaughtWiMAX.txt</v>
      </c>
    </row>
    <row r="228" spans="1:40" x14ac:dyDescent="0.25">
      <c r="A228" s="34" t="s">
        <v>658</v>
      </c>
      <c r="B228" s="7">
        <v>4043</v>
      </c>
      <c r="C228" s="22" t="s">
        <v>201</v>
      </c>
      <c r="D228" s="22" t="s">
        <v>822</v>
      </c>
      <c r="E228" s="13">
        <v>42751.714953703704</v>
      </c>
      <c r="F228" s="13">
        <v>42751.716180555559</v>
      </c>
      <c r="G228" s="7">
        <v>1</v>
      </c>
      <c r="H228" s="22" t="s">
        <v>823</v>
      </c>
      <c r="I228" s="13">
        <v>42751.723101851851</v>
      </c>
      <c r="J228" s="7">
        <v>0</v>
      </c>
      <c r="K228" s="105" t="str">
        <f t="shared" si="60"/>
        <v>4043/4044</v>
      </c>
      <c r="L228" s="22" t="str">
        <f>VLOOKUP(A228,'Trips&amp;Operators'!$C$1:$G$99999,5,FALSE)</f>
        <v>SMITH MICHAEL</v>
      </c>
      <c r="M228" s="6">
        <f t="shared" si="61"/>
        <v>6.9212962916935794E-3</v>
      </c>
      <c r="N228" s="7">
        <f t="shared" si="62"/>
        <v>9.9666666600387543</v>
      </c>
      <c r="O228" s="7"/>
      <c r="P228" s="7"/>
      <c r="Q228" s="23"/>
      <c r="R228" s="23"/>
      <c r="S228" s="32">
        <f t="shared" si="63"/>
        <v>0</v>
      </c>
      <c r="T228" s="47" t="e">
        <f t="shared" si="64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65"/>
        <v>https://d0f6bd738d7f1b3e5a7ca70fe4ff75f0.us-east-1.aws.found.io/app/kibana#/discover/Steve-Slow-Train-Analysis-(2080s-and-2083s)?_g=(refreshInterval:(display:Off,pause:!f,section:0,value:0),time:(from:'2017-01-16T16:09:32-0700',mode:absolute,to:'2017-01-16T18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49" t="str">
        <f t="shared" si="66"/>
        <v>Y</v>
      </c>
      <c r="X228" s="173" t="e">
        <f t="shared" si="67"/>
        <v>#VALUE!</v>
      </c>
      <c r="Y228" s="64">
        <f t="shared" si="68"/>
        <v>2.3340999999999998</v>
      </c>
      <c r="Z228" s="64">
        <f t="shared" si="77"/>
        <v>3.61E-2</v>
      </c>
      <c r="AA228" s="64">
        <f t="shared" si="69"/>
        <v>2.298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70"/>
        <v>56-16</v>
      </c>
      <c r="AE228" s="87" t="str">
        <f t="shared" si="71"/>
        <v>aws s3 cp s3://rtdc.mdm.uploadarchive.raw/RTDC4043/ "%USERPROFILE%\AppData\Local\Temp\OnboardLogs"\RTDC4043\2017-01-16 --exclude "*" --recursive --include "*20170116*" &amp; "%USERPROFILE%\Documents\GitHub\mrs-test-scripts\Headless Mode &amp; Sideloading\WalkAndUnGZ.bat" "%USERPROFILE%\AppData\Local\Temp\OnboardLogs"\RTDC4043\2017-01-16 &amp; 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</v>
      </c>
      <c r="AF228" s="84" t="str">
        <f t="shared" si="72"/>
        <v>"C:\Program Files (x86)\AstroGrep\AstroGrep.exe" /spath="%USERPROFILE%\AppData\Local\Temp\OnboardLogs" /stypes="app*4043*20170117*" /stext=" 00:.+((SYSTEM_STATE.+slice.+state.+changed )|(ment ac)|(multiple cpu faults)|(system.+state.+changed )|(\[timeout)|(PRM\|1\|D)|(kpr)|(kdp)|(\|lc)|(penalty))" /e /r /s</v>
      </c>
      <c r="AG228" s="1" t="str">
        <f t="shared" si="73"/>
        <v>Other</v>
      </c>
      <c r="AH228" s="88" t="str">
        <f t="shared" si="74"/>
        <v>"%USERPROFILE%\Documents\GitHub\eaglep3\Utilities\RefineRTDCRunTimes.py" --tripid 56-16 --locoid 4043 --swversion DE.1.0.8.0 --startMP 300:23341 --initTime 2017-01-16T17:09:32 --startdatetime 2017-01-16T17:11:18 --delay 1 --endMP 204:361 --enddatetime 2017-01-16T17:21:16 --enforcementcount 0 &gt;&gt;C:\Users\stu\Documents\GitHub\eaglep3-reporting\EC\2017-01-16-refined-times.txt</v>
      </c>
      <c r="AI228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{"issue":{"subject":"","project_id":79,"tracker_id":40,"status_id":1,"priority_id":2,"assigned_to_id":23,"start_date":"2017-01-16","description":"","custom_fields":[{"id":1,"name":"Subdivision","value":"Other"},{"id":4,"name":"Milepost","value":"0.0361"},{"id":17,"name":"Train ID","value":"56-16"},{"id":16,"name":"Locomotive ID","value":"4043"},{"id":130,"name":"Impact","value":""},{"id":150,"name":"Time of Event (Mountain Time)","value":"17:21:16"},{"id":151,"name":"Denver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76"/>
        <v>start /low /b %USERPROFILE%\Documents\GitHub\eaglep3\Utilities\DownloadLogsFromS3.py --loco 4043 --day 2017-01-16</v>
      </c>
      <c r="AN228" s="189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"%USERPROFILE%\AppData\Local\Temp\OnboardLogs"\RTDC4043\*4043*20170117* | grep -SE "(Enforcement Action)|(\[TIMEOUT)|(CHR.+\|PRM\|1\|D.+(SWITCH|SIGNAL).+UNKNOWN)" - &gt;&gt; 2017-01-16-UncaughtWiMAX.txt</v>
      </c>
    </row>
    <row r="229" spans="1:40" x14ac:dyDescent="0.25">
      <c r="A229" s="34" t="s">
        <v>675</v>
      </c>
      <c r="B229" s="7">
        <v>4026</v>
      </c>
      <c r="C229" s="22" t="s">
        <v>201</v>
      </c>
      <c r="D229" s="22" t="s">
        <v>824</v>
      </c>
      <c r="E229" s="13">
        <v>42751.767870370371</v>
      </c>
      <c r="F229" s="13">
        <v>42751.76939814815</v>
      </c>
      <c r="G229" s="7">
        <v>1</v>
      </c>
      <c r="H229" s="22" t="s">
        <v>825</v>
      </c>
      <c r="I229" s="13">
        <v>42751.775370370371</v>
      </c>
      <c r="J229" s="7">
        <v>0</v>
      </c>
      <c r="K229" s="105" t="str">
        <f t="shared" si="60"/>
        <v>4025/4026</v>
      </c>
      <c r="L229" s="22" t="str">
        <f>VLOOKUP(A229,'Trips&amp;Operators'!$C$1:$G$99999,5,FALSE)</f>
        <v>SAFIEF AEIMEN</v>
      </c>
      <c r="M229" s="6">
        <f t="shared" si="61"/>
        <v>5.9722222213167697E-3</v>
      </c>
      <c r="N229" s="7">
        <f t="shared" si="62"/>
        <v>8.5999999986961484</v>
      </c>
      <c r="O229" s="7"/>
      <c r="P229" s="7"/>
      <c r="Q229" s="23"/>
      <c r="R229" s="23"/>
      <c r="S229" s="32">
        <f t="shared" si="63"/>
        <v>0</v>
      </c>
      <c r="T229" s="47" t="e">
        <f t="shared" si="64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65"/>
        <v>https://d0f6bd738d7f1b3e5a7ca70fe4ff75f0.us-east-1.aws.found.io/app/kibana#/discover/Steve-Slow-Train-Analysis-(2080s-and-2083s)?_g=(refreshInterval:(display:Off,pause:!f,section:0,value:0),time:(from:'2017-01-16T17:25:44-0700',mode:absolute,to:'2017-01-16T19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9" s="49" t="str">
        <f t="shared" si="66"/>
        <v>Y</v>
      </c>
      <c r="X229" s="173" t="e">
        <f t="shared" si="67"/>
        <v>#VALUE!</v>
      </c>
      <c r="Y229" s="64">
        <f t="shared" si="68"/>
        <v>2.1890000000000001</v>
      </c>
      <c r="Z229" s="64">
        <f t="shared" si="77"/>
        <v>0.1024</v>
      </c>
      <c r="AA229" s="64">
        <f t="shared" si="69"/>
        <v>2.0866000000000002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70"/>
        <v>58-16</v>
      </c>
      <c r="AE229" s="87" t="str">
        <f t="shared" si="71"/>
        <v>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 &amp; aws s3 cp s3://rtdc.mdm.uploadarchive.raw/RTDC4026/ "%USERPROFILE%\AppData\Local\Temp\OnboardLogs"\RTDC4026\2017-01-17 --exclude "*" --recursive --include "*20170117*" &amp; "%USERPROFILE%\Documents\GitHub\mrs-test-scripts\Headless Mode &amp; Sideloading\WalkAndUnGZ.bat" "%USERPROFILE%\AppData\Local\Temp\OnboardLogs"\RTDC4026\2017-01-17</v>
      </c>
      <c r="AF229" s="84" t="str">
        <f t="shared" si="72"/>
        <v>"C:\Program Files (x86)\AstroGrep\AstroGrep.exe" /spath="%USERPROFILE%\AppData\Local\Temp\OnboardLogs" /stypes="app*4026*20170117*" /stext=" 01:.+((SYSTEM_STATE.+slice.+state.+changed )|(ment ac)|(multiple cpu faults)|(system.+state.+changed )|(\[timeout)|(PRM\|1\|D)|(kpr)|(kdp)|(\|lc)|(penalty))" /e /r /s</v>
      </c>
      <c r="AG229" s="1" t="str">
        <f t="shared" si="73"/>
        <v>Other</v>
      </c>
      <c r="AH229" s="88" t="str">
        <f t="shared" si="74"/>
        <v>"%USERPROFILE%\Documents\GitHub\eaglep3\Utilities\RefineRTDCRunTimes.py" --tripid 58-16 --locoid 4026 --swversion DE.1.0.8.0 --startMP 300:21890 --initTime 2017-01-16T18:25:44 --startdatetime 2017-01-16T18:27:56 --delay 1 --endMP 204:1024 --enddatetime 2017-01-16T18:36:32 --enforcementcount 0 &gt;&gt;C:\Users\stu\Documents\GitHub\eaglep3-reporting\EC\2017-01-16-refined-times.txt</v>
      </c>
      <c r="AI229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{"issue":{"subject":"","project_id":79,"tracker_id":40,"status_id":1,"priority_id":2,"assigned_to_id":23,"start_date":"2017-01-16","description":"","custom_fields":[{"id":1,"name":"Subdivision","value":"Other"},{"id":4,"name":"Milepost","value":"0.1024"},{"id":17,"name":"Train ID","value":"58-16"},{"id":16,"name":"Locomotive ID","value":"4026"},{"id":130,"name":"Impact","value":""},{"id":150,"name":"Time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76"/>
        <v>start /low /b %USERPROFILE%\Documents\GitHub\eaglep3\Utilities\DownloadLogsFromS3.py --loco 4026 --day 2017-01-16</v>
      </c>
      <c r="AN229" s="189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"%USERPROFILE%\AppData\Local\Temp\OnboardLogs"\RTDC4026\*4026*20170117* | grep -SE "(Enforcement Action)|(\[TIMEOUT)|(CHR.+\|PRM\|1\|D.+(SWITCH|SIGNAL).+UNKNOWN)" - &gt;&gt; 2017-01-16-UncaughtWiMAX.txt</v>
      </c>
    </row>
    <row r="230" spans="1:40" x14ac:dyDescent="0.25">
      <c r="A230" s="34" t="s">
        <v>497</v>
      </c>
      <c r="B230" s="7">
        <v>4038</v>
      </c>
      <c r="C230" s="22" t="s">
        <v>201</v>
      </c>
      <c r="D230" s="22" t="s">
        <v>826</v>
      </c>
      <c r="E230" s="13">
        <v>42751.741585648146</v>
      </c>
      <c r="F230" s="13">
        <v>42751.748032407406</v>
      </c>
      <c r="G230" s="7">
        <v>1</v>
      </c>
      <c r="H230" s="22" t="s">
        <v>827</v>
      </c>
      <c r="I230" s="13">
        <v>42751.748159722221</v>
      </c>
      <c r="J230" s="7">
        <v>0</v>
      </c>
      <c r="K230" s="105" t="str">
        <f t="shared" si="60"/>
        <v>4037/4038</v>
      </c>
      <c r="L230" s="22" t="str">
        <f>VLOOKUP(A230,'Trips&amp;Operators'!$C$1:$G$99999,5,FALSE)</f>
        <v>BRANDNER MELINDA</v>
      </c>
      <c r="M230" s="6">
        <f t="shared" si="61"/>
        <v>1.273148154723458E-4</v>
      </c>
      <c r="N230" s="7">
        <f t="shared" si="62"/>
        <v>0.18333333428017795</v>
      </c>
      <c r="O230" s="7"/>
      <c r="P230" s="7"/>
      <c r="Q230" s="23"/>
      <c r="R230" s="23"/>
      <c r="S230" s="32">
        <f t="shared" si="63"/>
        <v>0</v>
      </c>
      <c r="T230" s="47" t="e">
        <f t="shared" si="64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65"/>
        <v>https://d0f6bd738d7f1b3e5a7ca70fe4ff75f0.us-east-1.aws.found.io/app/kibana#/discover/Steve-Slow-Train-Analysis-(2080s-and-2083s)?_g=(refreshInterval:(display:Off,pause:!f,section:0,value:0),time:(from:'2017-01-16T16:47:53-0700',mode:absolute,to:'2017-01-16T18:57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30" s="49" t="str">
        <f t="shared" si="66"/>
        <v>Y</v>
      </c>
      <c r="X230" s="173" t="e">
        <f t="shared" si="67"/>
        <v>#VALUE!</v>
      </c>
      <c r="Y230" s="64">
        <f t="shared" si="68"/>
        <v>0.1484</v>
      </c>
      <c r="Z230" s="64">
        <f t="shared" si="77"/>
        <v>0.19409999999999999</v>
      </c>
      <c r="AA230" s="64">
        <f t="shared" si="69"/>
        <v>4.5699999999999991E-2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70"/>
        <v>67-16</v>
      </c>
      <c r="AE230" s="87" t="str">
        <f t="shared" si="71"/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AF230" s="84" t="str">
        <f t="shared" si="72"/>
        <v>"C:\Program Files (x86)\AstroGrep\AstroGrep.exe" /spath="%USERPROFILE%\AppData\Local\Temp\OnboardLogs" /stypes="app*4038*20170117*" /stext=" 00:.+((SYSTEM_STATE.+slice.+state.+changed )|(ment ac)|(multiple cpu faults)|(system.+state.+changed )|(\[timeout)|(PRM\|1\|D)|(kpr)|(kdp)|(\|lc)|(penalty))" /e /r /s</v>
      </c>
      <c r="AG230" s="1" t="str">
        <f t="shared" si="73"/>
        <v>Other</v>
      </c>
      <c r="AH230" s="88" t="str">
        <f t="shared" si="74"/>
        <v>"%USERPROFILE%\Documents\GitHub\eaglep3\Utilities\RefineRTDCRunTimes.py" --tripid 67-16 --locoid 4038 --swversion DE.1.0.8.0 --startMP 204:1484 --initTime 2017-01-16T17:47:53 --startdatetime 2017-01-16T17:57:10 --delay 1 --endMP 204:1941 --enddatetime 2017-01-16T17:57:21 --enforcementcount 0 &gt;&gt;C:\Users\stu\Documents\GitHub\eaglep3-reporting\EC\2017-01-16-refined-times.txt</v>
      </c>
      <c r="AI230" s="115" t="str">
        <f t="shared" si="75"/>
        <v>echo {"issue":{"subject":"","project_id":79,"tracker_id":40,"status_id":1,"priority_id":2,"assigned_to_id":23,"start_date":"2017-01-16","description":"","custom_fields":[{"id":1,"name":"Subdivision","value":"Other"},{"id":4,"name":"Milepost","value":"0.1941"},{"id":17,"name":"Train ID","value":"67-16"},{"id":16,"name":"Locomotive ID","value":"4038"},{"id":130,"name":"Impact","value":""},{"id":150,"name":"Time of Event (Mountain Time)","value":"17:57:21"},{"id":151,"name":"Denver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76"/>
        <v>start /low /b %USERPROFILE%\Documents\GitHub\eaglep3\Utilities\DownloadLogsFromS3.py --loco 4038 --day 2017-01-16</v>
      </c>
      <c r="AN230" s="189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"%USERPROFILE%\AppData\Local\Temp\OnboardLogs"\RTDC4038\*4038*20170117* | grep -SE "(Enforcement Action)|(\[TIMEOUT)|(CHR.+\|PRM\|1\|D.+(SWITCH|SIGNAL).+UNKNOWN)" - &gt;&gt; 2017-01-16-UncaughtWiMAX.txt</v>
      </c>
    </row>
    <row r="231" spans="1:40" x14ac:dyDescent="0.25">
      <c r="A231" s="34" t="s">
        <v>659</v>
      </c>
      <c r="B231" s="7">
        <v>4002</v>
      </c>
      <c r="C231" s="22" t="s">
        <v>201</v>
      </c>
      <c r="D231" s="22" t="s">
        <v>828</v>
      </c>
      <c r="E231" s="13">
        <v>42751.71607638889</v>
      </c>
      <c r="F231" s="13">
        <v>25568.708333333332</v>
      </c>
      <c r="G231" s="7">
        <v>1</v>
      </c>
      <c r="H231" s="22" t="s">
        <v>829</v>
      </c>
      <c r="I231" s="13">
        <v>25568.708333333332</v>
      </c>
      <c r="J231" s="7">
        <v>0</v>
      </c>
      <c r="K231" s="105" t="str">
        <f t="shared" si="60"/>
        <v>4001/4002</v>
      </c>
      <c r="L231" s="22" t="str">
        <f>VLOOKUP(A231,'Trips&amp;Operators'!$C$1:$G$99999,5,FALSE)</f>
        <v>BERLING GARY</v>
      </c>
      <c r="M231" s="6">
        <f t="shared" si="61"/>
        <v>0</v>
      </c>
      <c r="N231" s="7">
        <f t="shared" si="62"/>
        <v>0</v>
      </c>
      <c r="O231" s="7"/>
      <c r="P231" s="7"/>
      <c r="Q231" s="23"/>
      <c r="R231" s="23"/>
      <c r="S231" s="32">
        <f t="shared" si="63"/>
        <v>0</v>
      </c>
      <c r="T231" s="47" t="e">
        <f t="shared" si="64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65"/>
        <v>https://d0f6bd738d7f1b3e5a7ca70fe4ff75f0.us-east-1.aws.found.io/app/kibana#/discover/Steve-Slow-Train-Analysis-(2080s-and-2083s)?_g=(refreshInterval:(display:Off,pause:!f,section:0,value:0),time:(from:'2017-01-16T16:11:09-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1" s="49" t="str">
        <f t="shared" si="66"/>
        <v>Y</v>
      </c>
      <c r="X231" s="173" t="e">
        <f t="shared" si="67"/>
        <v>#VALUE!</v>
      </c>
      <c r="Y231" s="64">
        <f t="shared" si="68"/>
        <v>0.1492</v>
      </c>
      <c r="Z231" s="64">
        <f t="shared" si="77"/>
        <v>0.14710000000000001</v>
      </c>
      <c r="AA231" s="64">
        <f t="shared" si="69"/>
        <v>2.0999999999999908E-3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70"/>
        <v>69-16</v>
      </c>
      <c r="AE231" s="87" t="str">
        <f t="shared" si="71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31" s="84" t="str">
        <f t="shared" si="72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31" s="1" t="str">
        <f t="shared" si="73"/>
        <v>Other</v>
      </c>
      <c r="AH231" s="88" t="str">
        <f t="shared" si="74"/>
        <v>"%USERPROFILE%\Documents\GitHub\eaglep3\Utilities\RefineRTDCRunTimes.py" --tripid 69-16 --locoid 4002 --swversion DE.1.0.8.0 --startMP 204:1492 --initTime 2017-01-16T17:11:09 --startdatetime 1969-12-31T17:00:00 --delay 1 --endMP 204:1471 --enddatetime 1969-12-31T17:00:00 --enforcementcount 0 &gt;&gt;C:\Users\stu\Documents\GitHub\eaglep3-reporting\EC\2017-01-16-refined-times.txt</v>
      </c>
      <c r="AI231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{"issue":{"subject":"","project_id":79,"tracker_id":40,"status_id":1,"priority_id":2,"assigned_to_id":23,"start_date":"1969-12-31","description":"","custom_fields":[{"id":1,"name":"Subdivision","value":"Other"},{"id":4,"name":"Milepost","value":"0.1471"},{"id":17,"name":"Train ID","value":"69-16"},{"id":16,"name":"Locomotive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76"/>
        <v>start /low /b %USERPROFILE%\Documents\GitHub\eaglep3\Utilities\DownloadLogsFromS3.py --loco 4002 --day 1969-12-31</v>
      </c>
      <c r="AN231" s="189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2017-01-16-UncaughtWiMAX.txt</v>
      </c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</sheetData>
  <autoFilter ref="A12:AG245">
    <sortState ref="A13:AG245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31">
    <cfRule type="cellIs" dxfId="10" priority="352" operator="equal">
      <formula>"Y"</formula>
    </cfRule>
  </conditionalFormatting>
  <conditionalFormatting sqref="X260:X1048576 X13:X231">
    <cfRule type="cellIs" dxfId="9" priority="335" operator="greaterThan">
      <formula>1</formula>
    </cfRule>
  </conditionalFormatting>
  <conditionalFormatting sqref="X260:X1048576 X12:X231">
    <cfRule type="cellIs" dxfId="8" priority="332" operator="equal">
      <formula>0</formula>
    </cfRule>
  </conditionalFormatting>
  <conditionalFormatting sqref="A13:S231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7"/>
  <sheetViews>
    <sheetView tabSelected="1" topLeftCell="A5" zoomScaleNormal="100" workbookViewId="0">
      <selection activeCell="P25" activeCellId="1" sqref="P16 P2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COUNTIF($O$7:$O$326,"=Y")</f>
        <v>2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COUNTA($O$7:$O$326)-O2</f>
        <v>26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91" t="str">
        <f>"Eagle P3 Braking Events - "&amp;TEXT(Variables!$A$2,"YYYY-mm-dd")</f>
        <v>Eagle P3 Braking Events - 2017-01-16</v>
      </c>
      <c r="B5" s="191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220</v>
      </c>
      <c r="AE6" s="181" t="s">
        <v>262</v>
      </c>
    </row>
    <row r="7" spans="1:31" s="1" customFormat="1" x14ac:dyDescent="0.25">
      <c r="A7" s="33">
        <v>42751.465567129628</v>
      </c>
      <c r="B7" s="31" t="s">
        <v>266</v>
      </c>
      <c r="C7" s="31" t="s">
        <v>490</v>
      </c>
      <c r="D7" s="31" t="s">
        <v>49</v>
      </c>
      <c r="E7" s="31" t="s">
        <v>230</v>
      </c>
      <c r="F7" s="44">
        <v>240</v>
      </c>
      <c r="G7" s="44">
        <v>296</v>
      </c>
      <c r="H7" s="44">
        <v>32735</v>
      </c>
      <c r="I7" s="44">
        <v>33285</v>
      </c>
      <c r="J7" s="31" t="s">
        <v>231</v>
      </c>
      <c r="K7" s="44">
        <v>33137</v>
      </c>
      <c r="L7" s="150" t="s">
        <v>50</v>
      </c>
      <c r="M7" s="151">
        <f t="shared" ref="M7:M34" si="0">CONVERT((I7-K7)/10000,"mi","ft")*IF(L7="Increasing Mileposts (1)",-1,1)</f>
        <v>-78.144000000000005</v>
      </c>
      <c r="N7" s="152" t="str">
        <f>VLOOKUP(C7,'Trips&amp;Operators'!$C$1:$G$99999,5,FALSE)</f>
        <v>STEWART MICHAEL</v>
      </c>
      <c r="O7" s="179" t="s">
        <v>193</v>
      </c>
      <c r="P7" s="153" t="s">
        <v>418</v>
      </c>
      <c r="Q7" s="31"/>
      <c r="R7" s="96" t="str">
        <f>VLOOKUP(C7,'Train Runs'!$A$13:$AE$9983,31,0)</f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S7" s="99" t="str">
        <f>VLOOKUP(C7,'Train Runs'!$A$13:$AE$9983,22,0)</f>
        <v>https://d0f6bd738d7f1b3e5a7ca70fe4ff75f0.us-east-1.aws.found.io/app/kibana#/discover/Steve-Slow-Train-Analysis-(2080s-and-2083s)?_g=(refreshInterval:(display:Off,pause:!f,section:0,value:0),time:(from:'2017-01-16T09:54:30-0700',mode:absolute,to:'2017-01-16T12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101" t="str">
        <f t="shared" ref="T7:T3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/stypes="*4031*201701161*" /stext=" 18:.+((SYSTEM_STATE.+slice.+state.+changed )|(ment ac)|(multiple cpu faults)|(system.+state.+changed )|(\[timeout)|(PRM\|1\|D)|(kpr)|(kdp)|(\|lc)|(penalty))" /e /r /s</v>
      </c>
      <c r="U7" s="9" t="str">
        <f t="shared" ref="U7:U34" si="2">MID(B7,13,4)</f>
        <v>4031</v>
      </c>
      <c r="V7" s="33">
        <f t="shared" ref="V7:V34" si="3">A7-utc_offset/24</f>
        <v>42751.757233796292</v>
      </c>
      <c r="W7" s="47" t="str">
        <f t="shared" ref="W7:W34" si="4">IF(VALUE(LEFT(IF(LEN(C7)=6,"0"&amp;C7,C7),2))&lt;=2,"EC",IF(OR(VALUE(LEFT(IF(LEN(C7)=6,"0"&amp;C7,C7),2))=8,VALUE(LEFT(IF(LEN(C7)=6,"0"&amp;C7,C7),2))=18),"NW","Other"))</f>
        <v>EC</v>
      </c>
      <c r="X7" s="47" t="str">
        <f t="shared" ref="X7:X34" si="5">IF(AND(E7="TRACK WARRANT AUTHORITY",G7&lt;10),"OMIT","KEEP")</f>
        <v>KEEP</v>
      </c>
      <c r="Y7" s="115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arrival","project_id":79,"tracker_id":40,"status_id":1,"priority_id":2,"assigned_to_id":23,"start_date":"2017-01-16","description":"","custom_fields":[{"id":1,"name":"Subdivision","value":"EC"},{"id":4,"name":"Milepost","value":"3.3137"},{"id":17,"name":"Train ID","value":"159-16"},{"id":16,"name":"Locomotive ID","value":"4031"},{"id":130,"name":"Impact","value":""},{"id":150,"name":"Time of Event (Mountain Time)","value":"11:10:25"},{"id":151,"name":"Denver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4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"%USERPROFILE%\AppData\Local\Temp\OnboardLogs"\RTDC4031\*4031*201701161*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"%USERPROFILE%\AppData\Local\Temp\OnboardLogs"\RTDC4031\*4031*201701161* &gt;&gt; 2017-01-16-SliceDisagreementCheck.txt</v>
      </c>
      <c r="AE7" s="183" t="str">
        <f t="shared" ref="AE7" si="8">"start /low /b "&amp;dls3logs&amp;" --loco "&amp;U7&amp;" --day "&amp;TEXT(V7,"YYYY-MM-DD")</f>
        <v>start /low /b %USERPROFILE%\Documents\GitHub\eaglep3\Utilities\DownloadLogsFromS3.py --loco 4031 --day 2017-01-16</v>
      </c>
    </row>
    <row r="8" spans="1:31" s="1" customFormat="1" x14ac:dyDescent="0.25">
      <c r="A8" s="33">
        <v>42751.411006944443</v>
      </c>
      <c r="B8" s="31" t="s">
        <v>245</v>
      </c>
      <c r="C8" s="31" t="s">
        <v>485</v>
      </c>
      <c r="D8" s="31" t="s">
        <v>49</v>
      </c>
      <c r="E8" s="31" t="s">
        <v>230</v>
      </c>
      <c r="F8" s="44">
        <v>0</v>
      </c>
      <c r="G8" s="44">
        <v>529</v>
      </c>
      <c r="H8" s="44">
        <v>53761</v>
      </c>
      <c r="I8" s="44">
        <v>51817</v>
      </c>
      <c r="J8" s="31" t="s">
        <v>231</v>
      </c>
      <c r="K8" s="44">
        <v>53277</v>
      </c>
      <c r="L8" s="150" t="s">
        <v>51</v>
      </c>
      <c r="M8" s="151">
        <f t="shared" si="0"/>
        <v>-770.88</v>
      </c>
      <c r="N8" s="152" t="str">
        <f>VLOOKUP(C8,'Trips&amp;Operators'!$C$1:$G$99999,5,FALSE)</f>
        <v>DUNCAN SHEILA</v>
      </c>
      <c r="O8" s="179" t="s">
        <v>193</v>
      </c>
      <c r="P8" s="153" t="s">
        <v>418</v>
      </c>
      <c r="Q8" s="31"/>
      <c r="R8" s="96" t="str">
        <f>VLOOKUP(C8,'Train Runs'!$A$13:$AE$9983,31,0)</f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S8" s="99" t="str">
        <f>VLOOKUP(C8,'Train Runs'!$A$13:$AE$9983,22,0)</f>
        <v>https://d0f6bd738d7f1b3e5a7ca70fe4ff75f0.us-east-1.aws.found.io/app/kibana#/discover/Steve-Slow-Train-Analysis-(2080s-and-2083s)?_g=(refreshInterval:(display:Off,pause:!f,section:0,value:0),time:(from:'2017-01-16T08:11:59-0700',mode:absolute,to:'2017-01-16T11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8" s="101" t="str">
        <f t="shared" si="1"/>
        <v>"C:\Program Files (x86)\AstroGrep\AstroGrep.exe" /spath="%USERPROFILE%\AppData\Local\Temp\OnboardLogs" /stypes="*4004*201701161*" /stext=" 16:.+((SYSTEM_STATE.+slice.+state.+changed )|(ment ac)|(multiple cpu faults)|(system.+state.+changed )|(\[timeout)|(PRM\|1\|D)|(kpr)|(kdp)|(\|lc)|(penalty))" /e /r /s</v>
      </c>
      <c r="U8" s="9" t="str">
        <f t="shared" si="2"/>
        <v>4004</v>
      </c>
      <c r="V8" s="33">
        <f t="shared" si="3"/>
        <v>42751.702673611107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arrival","project_id":79,"tracker_id":40,"status_id":1,"priority_id":2,"assigned_to_id":23,"start_date":"2017-01-16","description":"","custom_fields":[{"id":1,"name":"Subdivision","value":"EC"},{"id":4,"name":"Milepost","value":"5.3277"},{"id":17,"name":"Train ID","value":"140-16"},{"id":16,"name":"Locomotive ID","value":"4004"},{"id":130,"name":"Impact","value":""},{"id":150,"name":"Time of Event (Mountain Time)","value":"09:51:51"},{"id":151,"name":"Denver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"%USERPROFILE%\AppData\Local\Temp\OnboardLogs"\RTDC4004\*4004*201701161*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"%USERPROFILE%\AppData\Local\Temp\OnboardLogs"\RTDC4004\*4004*201701161* &gt;&gt; 2017-01-16-SliceDisagreementCheck.txt</v>
      </c>
      <c r="AE8" s="183" t="str">
        <f t="shared" ref="AE8:AE34" si="9">"start /low /b "&amp;dls3logs&amp;" --loco "&amp;U8&amp;" --day "&amp;TEXT(V8,"YYYY-MM-DD")</f>
        <v>start /low /b %USERPROFILE%\Documents\GitHub\eaglep3\Utilities\DownloadLogsFromS3.py --loco 4004 --day 2017-01-16</v>
      </c>
    </row>
    <row r="9" spans="1:31" s="1" customFormat="1" x14ac:dyDescent="0.25">
      <c r="A9" s="33">
        <v>42751.504143518519</v>
      </c>
      <c r="B9" s="31" t="s">
        <v>246</v>
      </c>
      <c r="C9" s="31" t="s">
        <v>492</v>
      </c>
      <c r="D9" s="31" t="s">
        <v>98</v>
      </c>
      <c r="E9" s="31" t="s">
        <v>271</v>
      </c>
      <c r="F9" s="44">
        <v>300</v>
      </c>
      <c r="G9" s="44">
        <v>354</v>
      </c>
      <c r="H9" s="44">
        <v>20419</v>
      </c>
      <c r="I9" s="44">
        <v>21429</v>
      </c>
      <c r="J9" s="31" t="s">
        <v>272</v>
      </c>
      <c r="K9" s="44">
        <v>20338</v>
      </c>
      <c r="L9" s="150" t="s">
        <v>50</v>
      </c>
      <c r="M9" s="151">
        <f t="shared" si="0"/>
        <v>-576.048</v>
      </c>
      <c r="N9" s="152" t="str">
        <f>VLOOKUP(C9,'Trips&amp;Operators'!$C$1:$G$99999,5,FALSE)</f>
        <v>CRAYTON QUNTRELL</v>
      </c>
      <c r="O9" s="179" t="s">
        <v>193</v>
      </c>
      <c r="P9" s="153"/>
      <c r="Q9" s="31"/>
      <c r="R9" s="96" t="str">
        <f>VLOOKUP(C9,'Train Runs'!$A$13:$AE$9983,31,0)</f>
        <v>aws s3 cp s3://rtdc.mdm.uploadarchive.raw/RTDC4003/ "%USERPROFILE%\AppData\Local\Temp\OnboardLogs"\RTDC4003\2017-01-16 --exclude "*" --recursive --include "*20170116*" &amp; "%USERPROFILE%\Documents\GitHub\mrs-test-scripts\Headless Mode &amp; Sideloading\WalkAndUnGZ.bat" "%USERPROFILE%\AppData\Local\Temp\OnboardLogs"\RTDC4003\2017-01-16 &amp; aws s3 cp s3://rtdc.mdm.uploadarchive.raw/RTDC4003/ "%USERPROFILE%\AppData\Local\Temp\OnboardLogs"\RTDC4003\2017-01-17 --exclude "*" --recursive --include "*20170117*" &amp; "%USERPROFILE%\Documents\GitHub\mrs-test-scripts\Headless Mode &amp; Sideloading\WalkAndUnGZ.bat" "%USERPROFILE%\AppData\Local\Temp\OnboardLogs"\RTDC4003\2017-01-17</v>
      </c>
      <c r="S9" s="99" t="str">
        <f>VLOOKUP(C9,'Train Runs'!$A$13:$AE$9983,22,0)</f>
        <v>https://d0f6bd738d7f1b3e5a7ca70fe4ff75f0.us-east-1.aws.found.io/app/kibana#/discover/Steve-Slow-Train-Analysis-(2080s-and-2083s)?_g=(refreshInterval:(display:Off,pause:!f,section:0,value:0),time:(from:'2017-01-16T10:52:06-0700',mode:absolute,to:'2017-01-16T13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101" t="str">
        <f t="shared" si="1"/>
        <v>"C:\Program Files (x86)\AstroGrep\AstroGrep.exe" /spath="%USERPROFILE%\AppData\Local\Temp\OnboardLogs" /stypes="*4003*201701161*" /stext=" 19:.+((SYSTEM_STATE.+slice.+state.+changed )|(ment ac)|(multiple cpu faults)|(system.+state.+changed )|(\[timeout)|(PRM\|1\|D)|(kpr)|(kdp)|(\|lc)|(penalty))" /e /r /s</v>
      </c>
      <c r="U9" s="9" t="str">
        <f t="shared" si="2"/>
        <v>4003</v>
      </c>
      <c r="V9" s="33">
        <f t="shared" si="3"/>
        <v>42751.795810185184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{"issue":{"subject":"","project_id":79,"tracker_id":40,"status_id":1,"priority_id":2,"assigned_to_id":23,"start_date":"2017-01-16","description":"","custom_fields":[{"id":1,"name":"Subdivision","value":"EC"},{"id":4,"name":"Milepost","value":"2.0338"},{"id":17,"name":"Train ID","value":"167-16"},{"id":16,"name":"Locomotive ID","value":"4003"},{"id":130,"name":"Impact","value":""},{"id":150,"name":"Time of Event (Mountain Time)","value":"12:05:58"},{"id":151,"name":"Denver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"%USERPROFILE%\AppData\Local\Temp\OnboardLogs"\RTDC4003\*4003*201701161*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"%USERPROFILE%\AppData\Local\Temp\OnboardLogs"\RTDC4003\*4003*201701161* &gt;&gt; 2017-01-16-SliceDisagreementCheck.txt</v>
      </c>
      <c r="AE9" s="183" t="str">
        <f t="shared" si="9"/>
        <v>start /low /b %USERPROFILE%\Documents\GitHub\eaglep3\Utilities\DownloadLogsFromS3.py --loco 4003 --day 2017-01-16</v>
      </c>
    </row>
    <row r="10" spans="1:31" s="1" customFormat="1" x14ac:dyDescent="0.25">
      <c r="A10" s="33">
        <v>42751.264965277776</v>
      </c>
      <c r="B10" s="31" t="s">
        <v>207</v>
      </c>
      <c r="C10" s="31" t="s">
        <v>477</v>
      </c>
      <c r="D10" s="31" t="s">
        <v>49</v>
      </c>
      <c r="E10" s="31" t="s">
        <v>271</v>
      </c>
      <c r="F10" s="44">
        <v>400</v>
      </c>
      <c r="G10" s="44">
        <v>705</v>
      </c>
      <c r="H10" s="44">
        <v>113277</v>
      </c>
      <c r="I10" s="44">
        <v>116244</v>
      </c>
      <c r="J10" s="31" t="s">
        <v>272</v>
      </c>
      <c r="K10" s="44">
        <v>116838</v>
      </c>
      <c r="L10" s="150" t="s">
        <v>50</v>
      </c>
      <c r="M10" s="151">
        <f t="shared" si="0"/>
        <v>313.63200000000001</v>
      </c>
      <c r="N10" s="152" t="str">
        <f>VLOOKUP(C10,'Trips&amp;Operators'!$C$1:$G$99999,5,FALSE)</f>
        <v>STARKS ANGELINA</v>
      </c>
      <c r="O10" s="179" t="s">
        <v>193</v>
      </c>
      <c r="P10" s="153"/>
      <c r="Q10" s="31"/>
      <c r="R10" s="96" t="str">
        <f>VLOOKUP(C10,'Train Runs'!$A$13:$AE$9983,31,0)</f>
        <v>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 &amp; 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</v>
      </c>
      <c r="S10" s="99" t="str">
        <f>VLOOKUP(C10,'Train Runs'!$A$13:$AE$9983,22,0)</f>
        <v>https://d0f6bd738d7f1b3e5a7ca70fe4ff75f0.us-east-1.aws.found.io/app/kibana#/discover/Steve-Slow-Train-Analysis-(2080s-and-2083s)?_g=(refreshInterval:(display:Off,pause:!f,section:0,value:0),time:(from:'2017-01-16T04:55:36-0700',mode:absolute,to:'2017-01-16T07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0" s="101" t="str">
        <f t="shared" si="1"/>
        <v>"C:\Program Files (x86)\AstroGrep\AstroGrep.exe" /spath="%USERPROFILE%\AppData\Local\Temp\OnboardLogs" /stypes="*4002*201701161*" /stext=" 13:.+((SYSTEM_STATE.+slice.+state.+changed )|(ment ac)|(multiple cpu faults)|(system.+state.+changed )|(\[timeout)|(PRM\|1\|D)|(kpr)|(kdp)|(\|lc)|(penalty))" /e /r /s</v>
      </c>
      <c r="U10" s="9" t="str">
        <f t="shared" si="2"/>
        <v>4002</v>
      </c>
      <c r="V10" s="33">
        <f t="shared" si="3"/>
        <v>42751.556631944441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{"issue":{"subject":"","project_id":79,"tracker_id":40,"status_id":1,"priority_id":2,"assigned_to_id":23,"start_date":"2017-01-16","description":"","custom_fields":[{"id":1,"name":"Subdivision","value":"EC"},{"id":4,"name":"Milepost","value":"11.6838"},{"id":17,"name":"Train ID","value":"119-16"},{"id":16,"name":"Locomotive ID","value":"4002"},{"id":130,"name":"Impact","value":""},{"id":150,"name":"Time of Event (Mountain Time)","value":"06:21:33"},{"id":151,"name":"Denver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"%USERPROFILE%\AppData\Local\Temp\OnboardLogs"\RTDC4002\*4002*201701161*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"%USERPROFILE%\AppData\Local\Temp\OnboardLogs"\RTDC4002\*4002*201701161* &gt;&gt; 2017-01-16-SliceDisagreementCheck.txt</v>
      </c>
      <c r="AE10" s="183" t="str">
        <f t="shared" si="9"/>
        <v>start /low /b %USERPROFILE%\Documents\GitHub\eaglep3\Utilities\DownloadLogsFromS3.py --loco 4002 --day 2017-01-16</v>
      </c>
    </row>
    <row r="11" spans="1:31" s="1" customFormat="1" x14ac:dyDescent="0.25">
      <c r="A11" s="33">
        <v>42751.301504629628</v>
      </c>
      <c r="B11" s="31" t="s">
        <v>276</v>
      </c>
      <c r="C11" s="31" t="s">
        <v>478</v>
      </c>
      <c r="D11" s="31" t="s">
        <v>49</v>
      </c>
      <c r="E11" s="31" t="s">
        <v>271</v>
      </c>
      <c r="F11" s="44">
        <v>400</v>
      </c>
      <c r="G11" s="44">
        <v>500</v>
      </c>
      <c r="H11" s="44">
        <v>121446</v>
      </c>
      <c r="I11" s="44">
        <v>119818</v>
      </c>
      <c r="J11" s="31" t="s">
        <v>272</v>
      </c>
      <c r="K11" s="44">
        <v>119716</v>
      </c>
      <c r="L11" s="150" t="s">
        <v>51</v>
      </c>
      <c r="M11" s="151">
        <f t="shared" si="0"/>
        <v>53.856000000000002</v>
      </c>
      <c r="N11" s="152" t="str">
        <f>VLOOKUP(C11,'Trips&amp;Operators'!$C$1:$G$99999,5,FALSE)</f>
        <v>STARKS ANGELINA</v>
      </c>
      <c r="O11" s="179" t="s">
        <v>193</v>
      </c>
      <c r="P11" s="153"/>
      <c r="Q11" s="31"/>
      <c r="R11" s="96" t="str">
        <f>VLOOKUP(C11,'Train Runs'!$A$13:$AE$9983,31,0)</f>
        <v>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 &amp; 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</v>
      </c>
      <c r="S11" s="99" t="str">
        <f>VLOOKUP(C11,'Train Runs'!$A$13:$AE$9983,22,0)</f>
        <v>https://d0f6bd738d7f1b3e5a7ca70fe4ff75f0.us-east-1.aws.found.io/app/kibana#/discover/Steve-Slow-Train-Analysis-(2080s-and-2083s)?_g=(refreshInterval:(display:Off,pause:!f,section:0,value:0),time:(from:'2017-01-16T05:53:36-0700',mode:absolute,to:'2017-01-16T08:39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101" t="str">
        <f t="shared" si="1"/>
        <v>"C:\Program Files (x86)\AstroGrep\AstroGrep.exe" /spath="%USERPROFILE%\AppData\Local\Temp\OnboardLogs" /stypes="*4001*201701161*" /stext=" 14:.+((SYSTEM_STATE.+slice.+state.+changed )|(ment ac)|(multiple cpu faults)|(system.+state.+changed )|(\[timeout)|(PRM\|1\|D)|(kpr)|(kdp)|(\|lc)|(penalty))" /e /r /s</v>
      </c>
      <c r="U11" s="9" t="str">
        <f t="shared" si="2"/>
        <v>4001</v>
      </c>
      <c r="V11" s="33">
        <f t="shared" si="3"/>
        <v>42751.593171296292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{"issue":{"subject":"","project_id":79,"tracker_id":40,"status_id":1,"priority_id":2,"assigned_to_id":23,"start_date":"2017-01-16","description":"","custom_fields":[{"id":1,"name":"Subdivision","value":"EC"},{"id":4,"name":"Milepost","value":"11.9716"},{"id":17,"name":"Train ID","value":"120-16"},{"id":16,"name":"Locomotive ID","value":"4001"},{"id":130,"name":"Impact","value":""},{"id":150,"name":"Time of Event (Mountain Time)","value":"07:14:10"},{"id":151,"name":"Denver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"%USERPROFILE%\AppData\Local\Temp\OnboardLogs"\RTDC4001\*4001*201701161*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"%USERPROFILE%\AppData\Local\Temp\OnboardLogs"\RTDC4001\*4001*201701161* &gt;&gt; 2017-01-16-SliceDisagreementCheck.txt</v>
      </c>
      <c r="AE11" s="183" t="str">
        <f t="shared" si="9"/>
        <v>start /low /b %USERPROFILE%\Documents\GitHub\eaglep3\Utilities\DownloadLogsFromS3.py --loco 4001 --day 2017-01-16</v>
      </c>
    </row>
    <row r="12" spans="1:31" s="1" customFormat="1" x14ac:dyDescent="0.25">
      <c r="A12" s="33">
        <v>42751.426990740743</v>
      </c>
      <c r="B12" s="31" t="s">
        <v>261</v>
      </c>
      <c r="C12" s="31" t="s">
        <v>487</v>
      </c>
      <c r="D12" s="31" t="s">
        <v>49</v>
      </c>
      <c r="E12" s="31" t="s">
        <v>271</v>
      </c>
      <c r="F12" s="44">
        <v>400</v>
      </c>
      <c r="G12" s="44">
        <v>452</v>
      </c>
      <c r="H12" s="44">
        <v>120581</v>
      </c>
      <c r="I12" s="44">
        <v>119297</v>
      </c>
      <c r="J12" s="31" t="s">
        <v>272</v>
      </c>
      <c r="K12" s="44">
        <v>119716</v>
      </c>
      <c r="L12" s="150" t="s">
        <v>51</v>
      </c>
      <c r="M12" s="151">
        <f t="shared" si="0"/>
        <v>-221.232</v>
      </c>
      <c r="N12" s="152" t="str">
        <f>VLOOKUP(C12,'Trips&amp;Operators'!$C$1:$G$99999,5,FALSE)</f>
        <v>ROBINSON KADDIBA</v>
      </c>
      <c r="O12" s="179" t="s">
        <v>193</v>
      </c>
      <c r="P12" s="153"/>
      <c r="Q12" s="31"/>
      <c r="R12" s="96" t="str">
        <f>VLOOKUP(C12,'Train Runs'!$A$13:$AE$9983,31,0)</f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S12" s="99" t="str">
        <f>VLOOKUP(C12,'Train Runs'!$A$13:$AE$9983,22,0)</f>
        <v>https://d0f6bd738d7f1b3e5a7ca70fe4ff75f0.us-east-1.aws.found.io/app/kibana#/discover/Steve-Slow-Train-Analysis-(2080s-and-2083s)?_g=(refreshInterval:(display:Off,pause:!f,section:0,value:0),time:(from:'2017-01-16T08:46:37-0700',mode:absolute,to:'2017-01-16T11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101" t="str">
        <f t="shared" si="1"/>
        <v>"C:\Program Files (x86)\AstroGrep\AstroGrep.exe" /spath="%USERPROFILE%\AppData\Local\Temp\OnboardLogs" /stypes="*4030*201701161*" /stext=" 17:.+((SYSTEM_STATE.+slice.+state.+changed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3">
        <f t="shared" si="3"/>
        <v>42751.718657407408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{"issue":{"subject":"","project_id":79,"tracker_id":40,"status_id":1,"priority_id":2,"assigned_to_id":23,"start_date":"2017-01-16","description":"","custom_fields":[{"id":1,"name":"Subdivision","value":"EC"},{"id":4,"name":"Milepost","value":"11.9716"},{"id":17,"name":"Train ID","value":"144-16"},{"id":16,"name":"Locomotive ID","value":"4030"},{"id":130,"name":"Impact","value":""},{"id":150,"name":"Time of Event (Mountain Time)","value":"10:14:52"},{"id":151,"name":"Denver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"%USERPROFILE%\AppData\Local\Temp\OnboardLogs"\RTDC4030\*4030*201701161*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"%USERPROFILE%\AppData\Local\Temp\OnboardLogs"\RTDC4030\*4030*201701161* &gt;&gt; 2017-01-16-SliceDisagreementCheck.txt</v>
      </c>
      <c r="AE12" s="183" t="str">
        <f t="shared" si="9"/>
        <v>start /low /b %USERPROFILE%\Documents\GitHub\eaglep3\Utilities\DownloadLogsFromS3.py --loco 4030 --day 2017-01-16</v>
      </c>
    </row>
    <row r="13" spans="1:31" s="1" customFormat="1" x14ac:dyDescent="0.25">
      <c r="A13" s="33">
        <v>42751.562615740739</v>
      </c>
      <c r="B13" s="31" t="s">
        <v>261</v>
      </c>
      <c r="C13" s="31" t="s">
        <v>494</v>
      </c>
      <c r="D13" s="31" t="s">
        <v>98</v>
      </c>
      <c r="E13" s="31" t="s">
        <v>271</v>
      </c>
      <c r="F13" s="44">
        <v>350</v>
      </c>
      <c r="G13" s="44">
        <v>408</v>
      </c>
      <c r="H13" s="44">
        <v>224797</v>
      </c>
      <c r="I13" s="44">
        <v>223148</v>
      </c>
      <c r="J13" s="31" t="s">
        <v>272</v>
      </c>
      <c r="K13" s="44">
        <v>228668</v>
      </c>
      <c r="L13" s="150" t="s">
        <v>51</v>
      </c>
      <c r="M13" s="151">
        <f t="shared" si="0"/>
        <v>-2914.56</v>
      </c>
      <c r="N13" s="152" t="str">
        <f>VLOOKUP(C13,'Trips&amp;Operators'!$C$1:$G$99999,5,FALSE)</f>
        <v>KILLION DAVID</v>
      </c>
      <c r="O13" s="179" t="s">
        <v>193</v>
      </c>
      <c r="P13" s="153"/>
      <c r="Q13" s="31"/>
      <c r="R13" s="96" t="str">
        <f>VLOOKUP(C13,'Train Runs'!$A$13:$AE$9983,31,0)</f>
        <v>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 &amp; aws s3 cp s3://rtdc.mdm.uploadarchive.raw/RTDC4030/ "%USERPROFILE%\AppData\Local\Temp\OnboardLogs"\RTDC4030\2017-01-17 --exclude "*" --recursive --include "*20170117*" &amp; "%USERPROFILE%\Documents\GitHub\mrs-test-scripts\Headless Mode &amp; Sideloading\WalkAndUnGZ.bat" "%USERPROFILE%\AppData\Local\Temp\OnboardLogs"\RTDC4030\2017-01-17</v>
      </c>
      <c r="S13" s="99" t="str">
        <f>VLOOKUP(C13,'Train Runs'!$A$13:$AE$9983,22,0)</f>
        <v>https://d0f6bd738d7f1b3e5a7ca70fe4ff75f0.us-east-1.aws.found.io/app/kibana#/discover/Steve-Slow-Train-Analysis-(2080s-and-2083s)?_g=(refreshInterval:(display:Off,pause:!f,section:0,value:0),time:(from:'2017-01-16T12:17:14-0700',mode:absolute,to:'2017-01-16T15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101" t="str">
        <f t="shared" si="1"/>
        <v>"C:\Program Files (x86)\AstroGrep\AstroGrep.exe" /spath="%USERPROFILE%\AppData\Local\Temp\OnboardLogs" /stypes="*4030*201701162*" /stext=" 20:.+((SYSTEM_STATE.+slice.+state.+changed )|(ment ac)|(multiple cpu faults)|(system.+state.+changed )|(\[timeout)|(PRM\|1\|D)|(kpr)|(kdp)|(\|lc)|(penalty))" /e /r /s</v>
      </c>
      <c r="U13" s="9" t="str">
        <f t="shared" si="2"/>
        <v>4030</v>
      </c>
      <c r="V13" s="33">
        <f t="shared" si="3"/>
        <v>42751.854282407403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{"issue":{"subject":"","project_id":79,"tracker_id":40,"status_id":1,"priority_id":2,"assigned_to_id":23,"start_date":"2017-01-16","description":"","custom_fields":[{"id":1,"name":"Subdivision","value":"EC"},{"id":4,"name":"Milepost","value":"22.8668"},{"id":17,"name":"Train ID","value":"172-16"},{"id":16,"name":"Locomotive ID","value":"4030"},{"id":130,"name":"Impact","value":""},{"id":150,"name":"Time of Event (Mountain Time)","value":"13:30:10"},{"id":151,"name":"Denver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"%USERPROFILE%\AppData\Local\Temp\OnboardLogs"\RTDC4030\*4030*201701162*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"%USERPROFILE%\AppData\Local\Temp\OnboardLogs"\RTDC4030\*4030*201701162* &gt;&gt; 2017-01-16-SliceDisagreementCheck.txt</v>
      </c>
      <c r="AE13" s="183" t="str">
        <f t="shared" si="9"/>
        <v>start /low /b %USERPROFILE%\Documents\GitHub\eaglep3\Utilities\DownloadLogsFromS3.py --loco 4030 --day 2017-01-16</v>
      </c>
    </row>
    <row r="14" spans="1:31" s="1" customFormat="1" x14ac:dyDescent="0.25">
      <c r="A14" s="33">
        <v>42751.250428240739</v>
      </c>
      <c r="B14" s="31" t="s">
        <v>207</v>
      </c>
      <c r="C14" s="31" t="s">
        <v>477</v>
      </c>
      <c r="D14" s="31" t="s">
        <v>49</v>
      </c>
      <c r="E14" s="31" t="s">
        <v>194</v>
      </c>
      <c r="F14" s="44">
        <v>0</v>
      </c>
      <c r="G14" s="44">
        <v>105</v>
      </c>
      <c r="H14" s="44">
        <v>1207</v>
      </c>
      <c r="I14" s="44">
        <v>1390</v>
      </c>
      <c r="J14" s="31" t="s">
        <v>195</v>
      </c>
      <c r="K14" s="44">
        <v>1692</v>
      </c>
      <c r="L14" s="150" t="s">
        <v>50</v>
      </c>
      <c r="M14" s="151">
        <f t="shared" si="0"/>
        <v>159.45599999999999</v>
      </c>
      <c r="N14" s="152" t="str">
        <f>VLOOKUP(C14,'Trips&amp;Operators'!$C$1:$G$99999,5,FALSE)</f>
        <v>STARKS ANGELINA</v>
      </c>
      <c r="O14" s="179" t="s">
        <v>193</v>
      </c>
      <c r="P14" s="153" t="s">
        <v>910</v>
      </c>
      <c r="Q14" s="31"/>
      <c r="R14" s="96" t="str">
        <f>VLOOKUP(C14,'Train Runs'!$A$13:$AE$9983,31,0)</f>
        <v>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 &amp; 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</v>
      </c>
      <c r="S14" s="99" t="str">
        <f>VLOOKUP(C14,'Train Runs'!$A$13:$AE$9983,22,0)</f>
        <v>https://d0f6bd738d7f1b3e5a7ca70fe4ff75f0.us-east-1.aws.found.io/app/kibana#/discover/Steve-Slow-Train-Analysis-(2080s-and-2083s)?_g=(refreshInterval:(display:Off,pause:!f,section:0,value:0),time:(from:'2017-01-16T04:55:36-0700',mode:absolute,to:'2017-01-16T07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4" s="101" t="str">
        <f t="shared" si="1"/>
        <v>"C:\Program Files (x86)\AstroGrep\AstroGrep.exe" /spath="%USERPROFILE%\AppData\Local\Temp\OnboardLogs" /stypes="*4002*201701161*" /stext=" 13:.+((SYSTEM_STATE.+slice.+state.+changed )|(ment ac)|(multiple cpu faults)|(system.+state.+changed )|(\[timeout)|(PRM\|1\|D)|(kpr)|(kdp)|(\|lc)|(penalty))" /e /r /s</v>
      </c>
      <c r="U14" s="9" t="str">
        <f t="shared" si="2"/>
        <v>4002</v>
      </c>
      <c r="V14" s="33">
        <f t="shared" si="3"/>
        <v>42751.542094907403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{"issue":{"subject":"Operator selected wrong track","project_id":79,"tracker_id":40,"status_id":1,"priority_id":2,"assigned_to_id":23,"start_date":"2017-01-16","description":"","custom_fields":[{"id":1,"name":"Subdivision","value":"EC"},{"id":4,"name":"Milepost","value":"0.1692"},{"id":17,"name":"Train ID","value":"119-16"},{"id":16,"name":"Locomotive ID","value":"4002"},{"id":130,"name":"Impact","value":""},{"id":150,"name":"Time of Event (Mountain Time)","value":"06:00:37"},{"id":151,"name":"Denver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"%USERPROFILE%\AppData\Local\Temp\OnboardLogs"\RTDC4002\*4002*201701161*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"%USERPROFILE%\AppData\Local\Temp\OnboardLogs"\RTDC4002\*4002*201701161* &gt;&gt; 2017-01-16-SliceDisagreementCheck.txt</v>
      </c>
      <c r="AE14" s="183" t="str">
        <f t="shared" si="9"/>
        <v>start /low /b %USERPROFILE%\Documents\GitHub\eaglep3\Utilities\DownloadLogsFromS3.py --loco 4002 --day 2017-01-16</v>
      </c>
    </row>
    <row r="15" spans="1:31" s="1" customFormat="1" x14ac:dyDescent="0.25">
      <c r="A15" s="33">
        <v>42751.312881944446</v>
      </c>
      <c r="B15" s="31" t="s">
        <v>266</v>
      </c>
      <c r="C15" s="31" t="s">
        <v>480</v>
      </c>
      <c r="D15" s="31" t="s">
        <v>49</v>
      </c>
      <c r="E15" s="31" t="s">
        <v>194</v>
      </c>
      <c r="F15" s="44">
        <v>0</v>
      </c>
      <c r="G15" s="44">
        <v>155</v>
      </c>
      <c r="H15" s="44">
        <v>916</v>
      </c>
      <c r="I15" s="44">
        <v>1116</v>
      </c>
      <c r="J15" s="31" t="s">
        <v>195</v>
      </c>
      <c r="K15" s="44">
        <v>1692</v>
      </c>
      <c r="L15" s="150" t="s">
        <v>50</v>
      </c>
      <c r="M15" s="151">
        <f t="shared" si="0"/>
        <v>304.12799999999999</v>
      </c>
      <c r="N15" s="152" t="str">
        <f>VLOOKUP(C15,'Trips&amp;Operators'!$C$1:$G$99999,5,FALSE)</f>
        <v>MAELZER KURT</v>
      </c>
      <c r="O15" s="179" t="s">
        <v>193</v>
      </c>
      <c r="P15" s="153" t="s">
        <v>911</v>
      </c>
      <c r="Q15" s="31"/>
      <c r="R15" s="96" t="str">
        <f>VLOOKUP(C15,'Train Runs'!$A$13:$AE$9983,31,0)</f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S15" s="99" t="str">
        <f>VLOOKUP(C15,'Train Runs'!$A$13:$AE$9983,22,0)</f>
        <v>https://d0f6bd738d7f1b3e5a7ca70fe4ff75f0.us-east-1.aws.found.io/app/kibana#/discover/Steve-Slow-Train-Analysis-(2080s-and-2083s)?_g=(refreshInterval:(display:Off,pause:!f,section:0,value:0),time:(from:'2017-01-16T06:26:57-0700',mode:absolute,to:'2017-01-16T09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5" s="101" t="str">
        <f t="shared" si="1"/>
        <v>"C:\Program Files (x86)\AstroGrep\AstroGrep.exe" /spath="%USERPROFILE%\AppData\Local\Temp\OnboardLogs" /stypes="*4031*201701161*" /stext=" 14:.+((SYSTEM_STATE.+slice.+state.+changed )|(ment ac)|(multiple cpu faults)|(system.+state.+changed )|(\[timeout)|(PRM\|1\|D)|(kpr)|(kdp)|(\|lc)|(penalty))" /e /r /s</v>
      </c>
      <c r="U15" s="9" t="str">
        <f t="shared" si="2"/>
        <v>4031</v>
      </c>
      <c r="V15" s="33">
        <f t="shared" si="3"/>
        <v>42751.604548611111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{"issue":{"subject":"DUS 4N STOP, cleared shortly afterward","project_id":79,"tracker_id":40,"status_id":1,"priority_id":2,"assigned_to_id":23,"start_date":"2017-01-16","description":"","custom_fields":[{"id":1,"name":"Subdivision","value":"EC"},{"id":4,"name":"Milepost","value":"0.1692"},{"id":17,"name":"Train ID","value":"131-16"},{"id":16,"name":"Locomotive ID","value":"4031"},{"id":130,"name":"Impact","value":""},{"id":150,"name":"Time of Event (Mountain Time)","value":"07:30:33"},{"id":151,"name":"Denver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"%USERPROFILE%\AppData\Local\Temp\OnboardLogs"\RTDC4031\*4031*201701161*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"%USERPROFILE%\AppData\Local\Temp\OnboardLogs"\RTDC4031\*4031*201701161* &gt;&gt; 2017-01-16-SliceDisagreementCheck.txt</v>
      </c>
      <c r="AE15" s="183" t="str">
        <f t="shared" si="9"/>
        <v>start /low /b %USERPROFILE%\Documents\GitHub\eaglep3\Utilities\DownloadLogsFromS3.py --loco 4031 --day 2017-01-16</v>
      </c>
    </row>
    <row r="16" spans="1:31" s="1" customFormat="1" x14ac:dyDescent="0.25">
      <c r="A16" s="33">
        <v>42751.349942129629</v>
      </c>
      <c r="B16" s="31" t="s">
        <v>311</v>
      </c>
      <c r="C16" s="31" t="s">
        <v>482</v>
      </c>
      <c r="D16" s="31" t="s">
        <v>49</v>
      </c>
      <c r="E16" s="31" t="s">
        <v>194</v>
      </c>
      <c r="F16" s="44">
        <v>0</v>
      </c>
      <c r="G16" s="44">
        <v>86</v>
      </c>
      <c r="H16" s="44">
        <v>86380</v>
      </c>
      <c r="I16" s="44">
        <v>86847</v>
      </c>
      <c r="J16" s="31" t="s">
        <v>195</v>
      </c>
      <c r="K16" s="44">
        <v>87889</v>
      </c>
      <c r="L16" s="150" t="s">
        <v>50</v>
      </c>
      <c r="M16" s="151">
        <f t="shared" si="0"/>
        <v>550.17600000000004</v>
      </c>
      <c r="N16" s="152" t="str">
        <f>VLOOKUP(C16,'Trips&amp;Operators'!$C$1:$G$99999,5,FALSE)</f>
        <v>SIMMONS SHYHESHA</v>
      </c>
      <c r="O16" s="179" t="s">
        <v>273</v>
      </c>
      <c r="P16" s="153" t="s">
        <v>419</v>
      </c>
      <c r="Q16" s="31"/>
      <c r="R16" s="96" t="str">
        <f>VLOOKUP(C16,'Train Runs'!$A$13:$AE$9983,31,0)</f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S16" s="99" t="str">
        <f>VLOOKUP(C16,'Train Runs'!$A$13:$AE$9983,22,0)</f>
        <v>https://d0f6bd738d7f1b3e5a7ca70fe4ff75f0.us-east-1.aws.found.io/app/kibana#/discover/Steve-Slow-Train-Analysis-(2080s-and-2083s)?_g=(refreshInterval:(display:Off,pause:!f,section:0,value:0),time:(from:'2017-01-16T06:57:47-0700',mode:absolute,to:'2017-01-16T09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6" s="101" t="str">
        <f t="shared" si="1"/>
        <v>"C:\Program Files (x86)\AstroGrep\AstroGrep.exe" /spath="%USERPROFILE%\AppData\Local\Temp\OnboardLogs" /stypes="*4046*201701161*" /stext=" 15:.+((SYSTEM_STATE.+slice.+state.+changed )|(ment ac)|(multiple cpu faults)|(system.+state.+changed )|(\[timeout)|(PRM\|1\|D)|(kpr)|(kdp)|(\|lc)|(penalty))" /e /r /s</v>
      </c>
      <c r="U16" s="9" t="str">
        <f t="shared" si="2"/>
        <v>4046</v>
      </c>
      <c r="V16" s="33">
        <f t="shared" si="3"/>
        <v>42751.641608796293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2017-01-16","description":"http://stevetu21.github.io/eaglep3/load_kml.html?kml=http://rtdc.gmaps-snips.s3.amazonaws.com/3c400545-fde3-40e7-a74e-88083fdcb1bb.kml","custom_fields":[{"id":1,"name":"Subdivision","value":"EC"},{"id":4,"name":"Milepost","value":"8.7889"},{"id":17,"name":"Train ID","value":"135-16"},{"id":16,"name":"Locomotive ID","value":"4046"},{"id":130,"name":"Impact","value":"Enforcement"},{"id":150,"name":"Time of Event (Mountain Time)","value":"08:23:55"},{"id":151,"name":"Denver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90" t="s">
        <v>914</v>
      </c>
      <c r="AA16" s="50" t="s">
        <v>125</v>
      </c>
      <c r="AB16" s="50" t="s">
        <v>138</v>
      </c>
      <c r="AC16" s="134" t="str">
        <f t="shared" si="7"/>
        <v>grep -hSE -A400 "Enforcement Action" "%USERPROFILE%\AppData\Local\Temp\OnboardLogs"\RTDC4046\*4046*201701161*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"%USERPROFILE%\AppData\Local\Temp\OnboardLogs"\RTDC4046\*4046*201701161* &gt;&gt; 2017-01-16-SliceDisagreementCheck.txt</v>
      </c>
      <c r="AE16" s="183" t="str">
        <f t="shared" si="9"/>
        <v>start /low /b %USERPROFILE%\Documents\GitHub\eaglep3\Utilities\DownloadLogsFromS3.py --loco 4046 --day 2017-01-16</v>
      </c>
    </row>
    <row r="17" spans="1:32" x14ac:dyDescent="0.25">
      <c r="A17" s="33">
        <v>42751.435520833336</v>
      </c>
      <c r="B17" s="31" t="s">
        <v>270</v>
      </c>
      <c r="C17" s="31" t="s">
        <v>488</v>
      </c>
      <c r="D17" s="31" t="s">
        <v>49</v>
      </c>
      <c r="E17" s="31" t="s">
        <v>194</v>
      </c>
      <c r="F17" s="44">
        <v>0</v>
      </c>
      <c r="G17" s="44">
        <v>63</v>
      </c>
      <c r="H17" s="44">
        <v>127797</v>
      </c>
      <c r="I17" s="44">
        <v>127747</v>
      </c>
      <c r="J17" s="31" t="s">
        <v>195</v>
      </c>
      <c r="K17" s="44">
        <v>127587</v>
      </c>
      <c r="L17" s="150" t="s">
        <v>51</v>
      </c>
      <c r="M17" s="151">
        <f t="shared" si="0"/>
        <v>84.48</v>
      </c>
      <c r="N17" s="152" t="str">
        <f>VLOOKUP(C17,'Trips&amp;Operators'!$C$1:$G$99999,5,FALSE)</f>
        <v>MAELZER KURT</v>
      </c>
      <c r="O17" s="179" t="s">
        <v>193</v>
      </c>
      <c r="P17" s="153" t="s">
        <v>912</v>
      </c>
      <c r="Q17" s="31"/>
      <c r="R17" s="96" t="str">
        <f>VLOOKUP(C17,'Train Runs'!$A$13:$AE$9983,31,0)</f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S17" s="99" t="str">
        <f>VLOOKUP(C17,'Train Runs'!$A$13:$AE$9983,22,0)</f>
        <v>https://d0f6bd738d7f1b3e5a7ca70fe4ff75f0.us-east-1.aws.found.io/app/kibana#/discover/Steve-Slow-Train-Analysis-(2080s-and-2083s)?_g=(refreshInterval:(display:Off,pause:!f,section:0,value:0),time:(from:'2017-01-16T09:01:58-0700',mode:absolute,to:'2017-01-16T11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7" s="101" t="str">
        <f t="shared" si="1"/>
        <v>"C:\Program Files (x86)\AstroGrep\AstroGrep.exe" /spath="%USERPROFILE%\AppData\Local\Temp\OnboardLogs" /stypes="*4032*201701161*" /stext=" 17:.+((SYSTEM_STATE.+slice.+state.+changed )|(ment ac)|(multiple cpu faults)|(system.+state.+changed )|(\[timeout)|(PRM\|1\|D)|(kpr)|(kdp)|(\|lc)|(penalty))" /e /r /s</v>
      </c>
      <c r="U17" s="9" t="str">
        <f t="shared" si="2"/>
        <v>4032</v>
      </c>
      <c r="V17" s="33">
        <f t="shared" si="3"/>
        <v>42751.727187500001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{"issue":{"subject":"40th 4S STOP","project_id":79,"tracker_id":40,"status_id":1,"priority_id":2,"assigned_to_id":23,"start_date":"2017-01-16","description":"","custom_fields":[{"id":1,"name":"Subdivision","value":"EC"},{"id":4,"name":"Milepost","value":"12.7587"},{"id":17,"name":"Train ID","value":"146-16"},{"id":16,"name":"Locomotive ID","value":"4032"},{"id":130,"name":"Impact","value":""},{"id":150,"name":"Time of Event (Mountain Time)","value":"10:27:09"},{"id":151,"name":"Denver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"%USERPROFILE%\AppData\Local\Temp\OnboardLogs"\RTDC4032\*4032*201701161*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"%USERPROFILE%\AppData\Local\Temp\OnboardLogs"\RTDC4032\*4032*201701161* &gt;&gt; 2017-01-16-SliceDisagreementCheck.txt</v>
      </c>
      <c r="AE17" s="183" t="str">
        <f t="shared" si="9"/>
        <v>start /low /b %USERPROFILE%\Documents\GitHub\eaglep3\Utilities\DownloadLogsFromS3.py --loco 4032 --day 2017-01-16</v>
      </c>
      <c r="AF17" s="1"/>
    </row>
    <row r="18" spans="1:32" ht="15" customHeight="1" x14ac:dyDescent="0.25">
      <c r="A18" s="33">
        <v>42751.308564814812</v>
      </c>
      <c r="B18" s="31" t="s">
        <v>270</v>
      </c>
      <c r="C18" s="31" t="s">
        <v>479</v>
      </c>
      <c r="D18" s="31" t="s">
        <v>49</v>
      </c>
      <c r="E18" s="31" t="s">
        <v>196</v>
      </c>
      <c r="F18" s="44">
        <v>0</v>
      </c>
      <c r="G18" s="44">
        <v>38</v>
      </c>
      <c r="H18" s="44">
        <v>149</v>
      </c>
      <c r="I18" s="44">
        <v>114</v>
      </c>
      <c r="J18" s="31" t="s">
        <v>197</v>
      </c>
      <c r="K18" s="44">
        <v>1</v>
      </c>
      <c r="L18" s="150" t="s">
        <v>51</v>
      </c>
      <c r="M18" s="151">
        <f t="shared" si="0"/>
        <v>59.664000000000001</v>
      </c>
      <c r="N18" s="152" t="str">
        <f>VLOOKUP(C18,'Trips&amp;Operators'!$C$1:$G$99999,5,FALSE)</f>
        <v>MAELZER KURT</v>
      </c>
      <c r="O18" s="179" t="s">
        <v>193</v>
      </c>
      <c r="P18" s="153"/>
      <c r="Q18" s="31"/>
      <c r="R18" s="96" t="str">
        <f>VLOOKUP(C18,'Train Runs'!$A$13:$AE$9983,31,0)</f>
        <v>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 &amp; 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</v>
      </c>
      <c r="S18" s="99" t="str">
        <f>VLOOKUP(C18,'Train Runs'!$A$13:$AE$9983,22,0)</f>
        <v>https://d0f6bd738d7f1b3e5a7ca70fe4ff75f0.us-east-1.aws.found.io/app/kibana#/discover/Steve-Slow-Train-Analysis-(2080s-and-2083s)?_g=(refreshInterval:(display:Off,pause:!f,section:0,value:0),time:(from:'2017-01-16T05:35:22-0700',mode:absolute,to:'2017-01-16T08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8" s="101" t="str">
        <f t="shared" si="1"/>
        <v>"C:\Program Files (x86)\AstroGrep\AstroGrep.exe" /spath="%USERPROFILE%\AppData\Local\Temp\OnboardLogs" /stypes="*4032*201701161*" /stext=" 14:.+((SYSTEM_STATE.+slice.+state.+changed )|(ment ac)|(multiple cpu faults)|(system.+state.+changed )|(\[timeout)|(PRM\|1\|D)|(kpr)|(kdp)|(\|lc)|(penalty))" /e /r /s</v>
      </c>
      <c r="U18" s="9" t="str">
        <f t="shared" si="2"/>
        <v>4032</v>
      </c>
      <c r="V18" s="33">
        <f t="shared" si="3"/>
        <v>42751.600231481476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{"issue":{"subject":"","project_id":79,"tracker_id":40,"status_id":1,"priority_id":2,"assigned_to_id":23,"start_date":"2017-01-16","description":"","custom_fields":[{"id":1,"name":"Subdivision","value":"EC"},{"id":4,"name":"Milepost","value":"0.0001"},{"id":17,"name":"Train ID","value":"118-16"},{"id":16,"name":"Locomotive ID","value":"4032"},{"id":130,"name":"Impact","value":""},{"id":150,"name":"Time of Event (Mountain Time)","value":"07:24:20"},{"id":151,"name":"Denver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"%USERPROFILE%\AppData\Local\Temp\OnboardLogs"\RTDC4032\*4032*201701161*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"%USERPROFILE%\AppData\Local\Temp\OnboardLogs"\RTDC4032\*4032*201701161* &gt;&gt; 2017-01-16-SliceDisagreementCheck.txt</v>
      </c>
      <c r="AE18" s="183" t="str">
        <f t="shared" si="9"/>
        <v>start /low /b %USERPROFILE%\Documents\GitHub\eaglep3\Utilities\DownloadLogsFromS3.py --loco 4032 --day 2017-01-16</v>
      </c>
      <c r="AF18" s="1"/>
    </row>
    <row r="19" spans="1:32" x14ac:dyDescent="0.25">
      <c r="A19" s="33">
        <v>42751.492638888885</v>
      </c>
      <c r="B19" s="31" t="s">
        <v>245</v>
      </c>
      <c r="C19" s="31" t="s">
        <v>491</v>
      </c>
      <c r="D19" s="31" t="s">
        <v>49</v>
      </c>
      <c r="E19" s="31" t="s">
        <v>196</v>
      </c>
      <c r="F19" s="44">
        <v>0</v>
      </c>
      <c r="G19" s="44">
        <v>37</v>
      </c>
      <c r="H19" s="44">
        <v>163</v>
      </c>
      <c r="I19" s="44">
        <v>132</v>
      </c>
      <c r="J19" s="31" t="s">
        <v>197</v>
      </c>
      <c r="K19" s="44">
        <v>1</v>
      </c>
      <c r="L19" s="150" t="s">
        <v>51</v>
      </c>
      <c r="M19" s="151">
        <f t="shared" si="0"/>
        <v>69.168000000000006</v>
      </c>
      <c r="N19" s="152" t="str">
        <f>VLOOKUP(C19,'Trips&amp;Operators'!$C$1:$G$99999,5,FALSE)</f>
        <v>DUNCAN SHEILA</v>
      </c>
      <c r="O19" s="179" t="s">
        <v>193</v>
      </c>
      <c r="P19" s="153"/>
      <c r="Q19" s="31"/>
      <c r="R19" s="96" t="str">
        <f>VLOOKUP(C19,'Train Runs'!$A$13:$AE$9983,31,0)</f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S19" s="99" t="str">
        <f>VLOOKUP(C19,'Train Runs'!$A$13:$AE$9983,22,0)</f>
        <v>https://d0f6bd738d7f1b3e5a7ca70fe4ff75f0.us-east-1.aws.found.io/app/kibana#/discover/Steve-Slow-Train-Analysis-(2080s-and-2083s)?_g=(refreshInterval:(display:Off,pause:!f,section:0,value:0),time:(from:'2017-01-16T09:53:42-0700',mode:absolute,to:'2017-01-16T12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9" s="101" t="str">
        <f t="shared" si="1"/>
        <v>"C:\Program Files (x86)\AstroGrep\AstroGrep.exe" /spath="%USERPROFILE%\AppData\Local\Temp\OnboardLogs" /stypes="*4004*201701161*" /stext=" 18:.+((SYSTEM_STATE.+slice.+state.+changed )|(ment ac)|(multiple cpu faults)|(system.+state.+changed )|(\[timeout)|(PRM\|1\|D)|(kpr)|(kdp)|(\|lc)|(penalty))" /e /r /s</v>
      </c>
      <c r="U19" s="9" t="str">
        <f t="shared" si="2"/>
        <v>4004</v>
      </c>
      <c r="V19" s="33">
        <f t="shared" si="3"/>
        <v>42751.78430555555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{"issue":{"subject":"","project_id":79,"tracker_id":40,"status_id":1,"priority_id":2,"assigned_to_id":23,"start_date":"2017-01-16","description":"","custom_fields":[{"id":1,"name":"Subdivision","value":"EC"},{"id":4,"name":"Milepost","value":"0.0001"},{"id":17,"name":"Train ID","value":"154-16"},{"id":16,"name":"Locomotive ID","value":"4004"},{"id":130,"name":"Impact","value":""},{"id":150,"name":"Time of Event (Mountain Time)","value":"11:49:24"},{"id":151,"name":"Denver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"%USERPROFILE%\AppData\Local\Temp\OnboardLogs"\RTDC4004\*4004*201701161*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"%USERPROFILE%\AppData\Local\Temp\OnboardLogs"\RTDC4004\*4004*201701161* &gt;&gt; 2017-01-16-SliceDisagreementCheck.txt</v>
      </c>
      <c r="AE19" s="183" t="str">
        <f t="shared" si="9"/>
        <v>start /low /b %USERPROFILE%\Documents\GitHub\eaglep3\Utilities\DownloadLogsFromS3.py --loco 4004 --day 2017-01-16</v>
      </c>
      <c r="AF19" s="1"/>
    </row>
    <row r="20" spans="1:32" x14ac:dyDescent="0.25">
      <c r="A20" s="33">
        <v>42751.859027777777</v>
      </c>
      <c r="B20" s="31" t="s">
        <v>245</v>
      </c>
      <c r="C20" s="31" t="s">
        <v>500</v>
      </c>
      <c r="D20" s="31" t="s">
        <v>49</v>
      </c>
      <c r="E20" s="31" t="s">
        <v>196</v>
      </c>
      <c r="F20" s="44">
        <v>0</v>
      </c>
      <c r="G20" s="44">
        <v>24</v>
      </c>
      <c r="H20" s="44">
        <v>890</v>
      </c>
      <c r="I20" s="44">
        <v>862</v>
      </c>
      <c r="J20" s="31" t="s">
        <v>197</v>
      </c>
      <c r="K20" s="44">
        <v>839</v>
      </c>
      <c r="L20" s="150" t="s">
        <v>51</v>
      </c>
      <c r="M20" s="151">
        <f t="shared" si="0"/>
        <v>12.144</v>
      </c>
      <c r="N20" s="152" t="str">
        <f>VLOOKUP(C20,'Trips&amp;Operators'!$C$1:$G$99999,5,FALSE)</f>
        <v>CHANDLER KELVIN</v>
      </c>
      <c r="O20" s="179" t="s">
        <v>193</v>
      </c>
      <c r="P20" s="153"/>
      <c r="Q20" s="31"/>
      <c r="R20" s="96" t="str">
        <f>VLOOKUP(C20,'Train Runs'!$A$13:$AE$9983,31,0)</f>
        <v>aws s3 cp s3://rtdc.mdm.uploadarchive.raw/RTDC4004/ "%USERPROFILE%\AppData\Local\Temp\OnboardLogs"\RTDC4004\2017-01-16 --exclude "*" --recursive --include "*20170116*" &amp; "%USERPROFILE%\Documents\GitHub\mrs-test-scripts\Headless Mode &amp; Sideloading\WalkAndUnGZ.bat" "%USERPROFILE%\AppData\Local\Temp\OnboardLogs"\RTDC4004\2017-01-16 &amp; aws s3 cp s3://rtdc.mdm.uploadarchive.raw/RTDC4004/ "%USERPROFILE%\AppData\Local\Temp\OnboardLogs"\RTDC4004\2017-01-17 --exclude "*" --recursive --include "*20170117*" &amp; "%USERPROFILE%\Documents\GitHub\mrs-test-scripts\Headless Mode &amp; Sideloading\WalkAndUnGZ.bat" "%USERPROFILE%\AppData\Local\Temp\OnboardLogs"\RTDC4004\2017-01-17</v>
      </c>
      <c r="S20" s="99" t="str">
        <f>VLOOKUP(C20,'Train Runs'!$A$13:$AE$9983,22,0)</f>
        <v>https://d0f6bd738d7f1b3e5a7ca70fe4ff75f0.us-east-1.aws.found.io/app/kibana#/discover/Steve-Slow-Train-Analysis-(2080s-and-2083s)?_g=(refreshInterval:(display:Off,pause:!f,section:0,value:0),time:(from:'2017-01-16T18:52:14-0700',mode:absolute,to:'2017-01-16T21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101" t="str">
        <f t="shared" si="1"/>
        <v>"C:\Program Files (x86)\AstroGrep\AstroGrep.exe" /spath="%USERPROFILE%\AppData\Local\Temp\OnboardLogs" /stypes="*4004*201701170*" /stext=" 03:.+((SYSTEM_STATE.+slice.+state.+changed )|(ment ac)|(multiple cpu faults)|(system.+state.+changed )|(\[timeout)|(PRM\|1\|D)|(kpr)|(kdp)|(\|lc)|(penalty))" /e /r /s</v>
      </c>
      <c r="U20" s="9" t="str">
        <f t="shared" si="2"/>
        <v>4004</v>
      </c>
      <c r="V20" s="33">
        <f t="shared" si="3"/>
        <v>42752.150694444441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{"issue":{"subject":"","project_id":79,"tracker_id":40,"status_id":1,"priority_id":2,"assigned_to_id":23,"start_date":"2017-01-16","description":"","custom_fields":[{"id":1,"name":"Subdivision","value":"EC"},{"id":4,"name":"Milepost","value":"0.0839"},{"id":17,"name":"Train ID","value":"222-16"},{"id":16,"name":"Locomotive ID","value":"4004"},{"id":130,"name":"Impact","value":""},{"id":150,"name":"Time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"%USERPROFILE%\AppData\Local\Temp\OnboardLogs"\RTDC4004\*4004*201701170*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"%USERPROFILE%\AppData\Local\Temp\OnboardLogs"\RTDC4004\*4004*201701170* &gt;&gt; 2017-01-16-SliceDisagreementCheck.txt</v>
      </c>
      <c r="AE20" s="183" t="str">
        <f t="shared" si="9"/>
        <v>start /low /b %USERPROFILE%\Documents\GitHub\eaglep3\Utilities\DownloadLogsFromS3.py --loco 4004 --day 2017-01-17</v>
      </c>
      <c r="AF20" s="1"/>
    </row>
    <row r="21" spans="1:32" x14ac:dyDescent="0.25">
      <c r="A21" s="33">
        <v>42751.411631944444</v>
      </c>
      <c r="B21" s="31" t="s">
        <v>266</v>
      </c>
      <c r="C21" s="31" t="s">
        <v>486</v>
      </c>
      <c r="D21" s="31" t="s">
        <v>49</v>
      </c>
      <c r="E21" s="31" t="s">
        <v>196</v>
      </c>
      <c r="F21" s="44">
        <v>0</v>
      </c>
      <c r="G21" s="44">
        <v>150</v>
      </c>
      <c r="H21" s="44">
        <v>232658</v>
      </c>
      <c r="I21" s="44">
        <v>232892</v>
      </c>
      <c r="J21" s="31" t="s">
        <v>197</v>
      </c>
      <c r="K21" s="44">
        <v>233491</v>
      </c>
      <c r="L21" s="150" t="s">
        <v>50</v>
      </c>
      <c r="M21" s="151">
        <f t="shared" si="0"/>
        <v>316.27199999999999</v>
      </c>
      <c r="N21" s="152" t="str">
        <f>VLOOKUP(C21,'Trips&amp;Operators'!$C$1:$G$99999,5,FALSE)</f>
        <v>MAELZER KURT</v>
      </c>
      <c r="O21" s="179" t="s">
        <v>193</v>
      </c>
      <c r="P21" s="153"/>
      <c r="Q21" s="31"/>
      <c r="R21" s="96" t="str">
        <f>VLOOKUP(C21,'Train Runs'!$A$13:$AE$9983,31,0)</f>
        <v>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 &amp; 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</v>
      </c>
      <c r="S21" s="99" t="str">
        <f>VLOOKUP(C21,'Train Runs'!$A$13:$AE$9983,22,0)</f>
        <v>https://d0f6bd738d7f1b3e5a7ca70fe4ff75f0.us-east-1.aws.found.io/app/kibana#/discover/Steve-Slow-Train-Analysis-(2080s-and-2083s)?_g=(refreshInterval:(display:Off,pause:!f,section:0,value:0),time:(from:'2017-01-16T08:07:47-0700',mode:absolute,to:'2017-01-16T10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101" t="str">
        <f t="shared" si="1"/>
        <v>"C:\Program Files (x86)\AstroGrep\AstroGrep.exe" /spath="%USERPROFILE%\AppData\Local\Temp\OnboardLogs" /stypes="*4031*201701161*" /stext=" 16:.+((SYSTEM_STATE.+slice.+state.+changed )|(ment ac)|(multiple cpu faults)|(system.+state.+changed )|(\[timeout)|(PRM\|1\|D)|(kpr)|(kdp)|(\|lc)|(penalty))" /e /r /s</v>
      </c>
      <c r="U21" s="9" t="str">
        <f t="shared" si="2"/>
        <v>4031</v>
      </c>
      <c r="V21" s="33">
        <f t="shared" si="3"/>
        <v>42751.703298611108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{"issue":{"subject":"","project_id":79,"tracker_id":40,"status_id":1,"priority_id":2,"assigned_to_id":23,"start_date":"2017-01-16","description":"","custom_fields":[{"id":1,"name":"Subdivision","value":"EC"},{"id":4,"name":"Milepost","value":"23.3491"},{"id":17,"name":"Train ID","value":"145-16"},{"id":16,"name":"Locomotive ID","value":"4031"},{"id":130,"name":"Impact","value":""},{"id":150,"name":"Time of Event (Mountain Time)","value":"09:52:45"},{"id":151,"name":"Denver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"%USERPROFILE%\AppData\Local\Temp\OnboardLogs"\RTDC4031\*4031*201701161*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"%USERPROFILE%\AppData\Local\Temp\OnboardLogs"\RTDC4031\*4031*201701161* &gt;&gt; 2017-01-16-SliceDisagreementCheck.txt</v>
      </c>
      <c r="AE21" s="183" t="str">
        <f t="shared" si="9"/>
        <v>start /low /b %USERPROFILE%\Documents\GitHub\eaglep3\Utilities\DownloadLogsFromS3.py --loco 4031 --day 2017-01-16</v>
      </c>
      <c r="AF21" s="1"/>
    </row>
    <row r="22" spans="1:32" ht="15" customHeight="1" x14ac:dyDescent="0.25">
      <c r="A22" s="33">
        <v>42751.797777777778</v>
      </c>
      <c r="B22" s="31" t="s">
        <v>311</v>
      </c>
      <c r="C22" s="31" t="s">
        <v>499</v>
      </c>
      <c r="D22" s="31" t="s">
        <v>49</v>
      </c>
      <c r="E22" s="31" t="s">
        <v>196</v>
      </c>
      <c r="F22" s="44">
        <v>0</v>
      </c>
      <c r="G22" s="44">
        <v>81</v>
      </c>
      <c r="H22" s="44">
        <v>233168</v>
      </c>
      <c r="I22" s="44">
        <v>233345</v>
      </c>
      <c r="J22" s="31" t="s">
        <v>197</v>
      </c>
      <c r="K22" s="44">
        <v>233491</v>
      </c>
      <c r="L22" s="150" t="s">
        <v>50</v>
      </c>
      <c r="M22" s="151">
        <f t="shared" si="0"/>
        <v>77.087999999999994</v>
      </c>
      <c r="N22" s="152" t="str">
        <f>VLOOKUP(C22,'Trips&amp;Operators'!$C$1:$G$99999,5,FALSE)</f>
        <v>STORY SAMANTHA</v>
      </c>
      <c r="O22" s="179" t="s">
        <v>193</v>
      </c>
      <c r="P22" s="153"/>
      <c r="Q22" s="31"/>
      <c r="R22" s="96" t="str">
        <f>VLOOKUP(C22,'Train Runs'!$A$13:$AE$9983,31,0)</f>
        <v>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 &amp; aws s3 cp s3://rtdc.mdm.uploadarchive.raw/RTDC4046/ "%USERPROFILE%\AppData\Local\Temp\OnboardLogs"\RTDC4046\2017-01-17 --exclude "*" --recursive --include "*20170117*" &amp; "%USERPROFILE%\Documents\GitHub\mrs-test-scripts\Headless Mode &amp; Sideloading\WalkAndUnGZ.bat" "%USERPROFILE%\AppData\Local\Temp\OnboardLogs"\RTDC4046\2017-01-17</v>
      </c>
      <c r="S22" s="99" t="str">
        <f>VLOOKUP(C22,'Train Runs'!$A$13:$AE$9983,22,0)</f>
        <v>https://d0f6bd738d7f1b3e5a7ca70fe4ff75f0.us-east-1.aws.found.io/app/kibana#/discover/Steve-Slow-Train-Analysis-(2080s-and-2083s)?_g=(refreshInterval:(display:Off,pause:!f,section:0,value:0),time:(from:'2017-01-16T17:27:36-0700',mode:absolute,to:'2017-01-16T20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2" s="101" t="str">
        <f t="shared" si="1"/>
        <v>"C:\Program Files (x86)\AstroGrep\AstroGrep.exe" /spath="%USERPROFILE%\AppData\Local\Temp\OnboardLogs" /stypes="*4046*201701170*" /stext=" 02:.+((SYSTEM_STATE.+slice.+state.+changed )|(ment ac)|(multiple cpu faults)|(system.+state.+changed )|(\[timeout)|(PRM\|1\|D)|(kpr)|(kdp)|(\|lc)|(penalty))" /e /r /s</v>
      </c>
      <c r="U22" s="9" t="str">
        <f t="shared" si="2"/>
        <v>4046</v>
      </c>
      <c r="V22" s="33">
        <f t="shared" si="3"/>
        <v>42752.089444444442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{"issue":{"subject":"","project_id":79,"tracker_id":40,"status_id":1,"priority_id":2,"assigned_to_id":23,"start_date":"2017-01-16","description":"","custom_fields":[{"id":1,"name":"Subdivision","value":"EC"},{"id":4,"name":"Milepost","value":"23.3491"},{"id":17,"name":"Train ID","value":"219-16"},{"id":16,"name":"Locomotive ID","value":"4046"},{"id":130,"name":"Impact","value":""},{"id":150,"name":"Time of Event (Mountain Time)","value":"19:08:48"},{"id":151,"name":"Denver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"%USERPROFILE%\AppData\Local\Temp\OnboardLogs"\RTDC4046\*4046*201701170*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"%USERPROFILE%\AppData\Local\Temp\OnboardLogs"\RTDC4046\*4046*201701170* &gt;&gt; 2017-01-16-SliceDisagreementCheck.txt</v>
      </c>
      <c r="AE22" s="183" t="str">
        <f t="shared" si="9"/>
        <v>start /low /b %USERPROFILE%\Documents\GitHub\eaglep3\Utilities\DownloadLogsFromS3.py --loco 4046 --day 2017-01-17</v>
      </c>
      <c r="AF22" s="1"/>
    </row>
    <row r="23" spans="1:32" ht="15" customHeight="1" x14ac:dyDescent="0.25">
      <c r="A23" s="33">
        <v>42751.41028935185</v>
      </c>
      <c r="B23" s="31" t="s">
        <v>363</v>
      </c>
      <c r="C23" s="31" t="s">
        <v>484</v>
      </c>
      <c r="D23" s="31" t="s">
        <v>49</v>
      </c>
      <c r="E23" s="31" t="s">
        <v>230</v>
      </c>
      <c r="F23" s="44">
        <v>90</v>
      </c>
      <c r="G23" s="44">
        <v>269</v>
      </c>
      <c r="H23" s="44">
        <v>12082</v>
      </c>
      <c r="I23" s="44">
        <v>11524</v>
      </c>
      <c r="J23" s="31" t="s">
        <v>231</v>
      </c>
      <c r="K23" s="44">
        <v>10988</v>
      </c>
      <c r="L23" s="150" t="s">
        <v>51</v>
      </c>
      <c r="M23" s="151">
        <f t="shared" si="0"/>
        <v>283.00799999999998</v>
      </c>
      <c r="N23" s="152" t="str">
        <f>VLOOKUP(C23,'Trips&amp;Operators'!$C$1:$G$99999,5,FALSE)</f>
        <v>MAHAN DUANE</v>
      </c>
      <c r="O23" s="179" t="s">
        <v>193</v>
      </c>
      <c r="P23" s="153" t="s">
        <v>418</v>
      </c>
      <c r="Q23" s="31"/>
      <c r="R23" s="96" t="str">
        <f>VLOOKUP(C23,'Train Runs'!$A$13:$AE$9983,31,0)</f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S23" s="99" t="str">
        <f>VLOOKUP(C23,'Train Runs'!$A$13:$AE$9983,22,0)</f>
        <v>https://d0f6bd738d7f1b3e5a7ca70fe4ff75f0.us-east-1.aws.found.io/app/kibana#/discover/Steve-Slow-Train-Analysis-(2080s-and-2083s)?_g=(refreshInterval:(display:Off,pause:!f,section:0,value:0),time:(from:'2017-01-16T08:37:19-0700',mode:absolute,to:'2017-01-16T10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101" t="str">
        <f t="shared" si="1"/>
        <v>"C:\Program Files (x86)\AstroGrep\AstroGrep.exe" /spath="%USERPROFILE%\AppData\Local\Temp\OnboardLogs" /stypes="*4041*201701161*" /stext=" 16:.+((SYSTEM_STATE.+slice.+state.+changed )|(ment ac)|(multiple cpu faults)|(system.+state.+changed )|(\[timeout)|(PRM\|1\|D)|(kpr)|(kdp)|(\|lc)|(penalty))" /e /r /s</v>
      </c>
      <c r="U23" s="9" t="str">
        <f t="shared" si="2"/>
        <v>4041</v>
      </c>
      <c r="V23" s="33">
        <f t="shared" si="3"/>
        <v>42751.701956018514</v>
      </c>
      <c r="W23" s="47" t="str">
        <f t="shared" si="4"/>
        <v>NW</v>
      </c>
      <c r="X23" s="47" t="str">
        <f t="shared" si="5"/>
        <v>KEEP</v>
      </c>
      <c r="Y23" s="115" t="str">
        <f t="shared" si="6"/>
        <v>echo {"issue":{"subject":"Early arrival","project_id":79,"tracker_id":40,"status_id":1,"priority_id":2,"assigned_to_id":23,"start_date":"2017-01-16","description":"","custom_fields":[{"id":1,"name":"Subdivision","value":"NW"},{"id":4,"name":"Milepost","value":"1.0988"},{"id":17,"name":"Train ID","value":"814-16"},{"id":16,"name":"Locomotive ID","value":"4041"},{"id":130,"name":"Impact","value":""},{"id":150,"name":"Time of Event (Mountain Time)","value":"09:50:49"},{"id":151,"name":"Denver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"%USERPROFILE%\AppData\Local\Temp\OnboardLogs"\RTDC4041\*4041*201701161*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"%USERPROFILE%\AppData\Local\Temp\OnboardLogs"\RTDC4041\*4041*201701161* &gt;&gt; 2017-01-16-SliceDisagreementCheck.txt</v>
      </c>
      <c r="AE23" s="183" t="str">
        <f t="shared" si="9"/>
        <v>start /low /b %USERPROFILE%\Documents\GitHub\eaglep3\Utilities\DownloadLogsFromS3.py --loco 4041 --day 2017-01-16</v>
      </c>
      <c r="AF23" s="1"/>
    </row>
    <row r="24" spans="1:32" x14ac:dyDescent="0.25">
      <c r="A24" s="33">
        <v>42751.765844907408</v>
      </c>
      <c r="B24" s="31" t="s">
        <v>325</v>
      </c>
      <c r="C24" s="31" t="s">
        <v>498</v>
      </c>
      <c r="D24" s="31" t="s">
        <v>49</v>
      </c>
      <c r="E24" s="31" t="s">
        <v>194</v>
      </c>
      <c r="F24" s="44">
        <v>0</v>
      </c>
      <c r="G24" s="44">
        <v>340</v>
      </c>
      <c r="H24" s="44">
        <v>8903</v>
      </c>
      <c r="I24" s="44">
        <v>8311</v>
      </c>
      <c r="J24" s="31" t="s">
        <v>195</v>
      </c>
      <c r="K24" s="44">
        <v>6799</v>
      </c>
      <c r="L24" s="150" t="s">
        <v>51</v>
      </c>
      <c r="M24" s="151">
        <f t="shared" si="0"/>
        <v>798.33600000000001</v>
      </c>
      <c r="N24" s="152" t="str">
        <f>VLOOKUP(C24,'Trips&amp;Operators'!$C$1:$G$99999,5,FALSE)</f>
        <v>NEWELL JAMES</v>
      </c>
      <c r="O24" s="179" t="s">
        <v>193</v>
      </c>
      <c r="P24" s="153" t="s">
        <v>913</v>
      </c>
      <c r="Q24" s="31"/>
      <c r="R24" s="96" t="str">
        <f>VLOOKUP(C24,'Train Runs'!$A$13:$AE$9983,31,0)</f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S24" s="99" t="str">
        <f>VLOOKUP(C24,'Train Runs'!$A$13:$AE$9983,22,0)</f>
        <v>https://d0f6bd738d7f1b3e5a7ca70fe4ff75f0.us-east-1.aws.found.io/app/kibana#/discover/Steve-Slow-Train-Analysis-(2080s-and-2083s)?_g=(refreshInterval:(display:Off,pause:!f,section:0,value:0),time:(from:'2017-01-16T17:06:34-0700',mode:absolute,to:'2017-01-16T19:26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101" t="str">
        <f t="shared" si="1"/>
        <v>"C:\Program Files (x86)\AstroGrep\AstroGrep.exe" /spath="%USERPROFILE%\AppData\Local\Temp\OnboardLogs" /stypes="*4028*201701170*" /stext=" 01:.+((SYSTEM_STATE.+slice.+state.+changed )|(ment ac)|(multiple cpu faults)|(system.+state.+changed )|(\[timeout)|(PRM\|1\|D)|(kpr)|(kdp)|(\|lc)|(penalty))" /e /r /s</v>
      </c>
      <c r="U24" s="9" t="str">
        <f t="shared" si="2"/>
        <v>4028</v>
      </c>
      <c r="V24" s="33">
        <f t="shared" si="3"/>
        <v>42752.057511574072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{"issue":{"subject":"RESTRICTING aspect","project_id":79,"tracker_id":40,"status_id":1,"priority_id":2,"assigned_to_id":23,"start_date":"2017-01-16","description":"","custom_fields":[{"id":1,"name":"Subdivision","value":"NW"},{"id":4,"name":"Milepost","value":"0.6799"},{"id":17,"name":"Train ID","value":"836-16"},{"id":16,"name":"Locomotive ID","value":"4028"},{"id":130,"name":"Impact","value":""},{"id":150,"name":"Time of Event (Mountain Time)","value":"18:22:49"},{"id":151,"name":"Denver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"%USERPROFILE%\AppData\Local\Temp\OnboardLogs"\RTDC4028\*4028*201701170*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"%USERPROFILE%\AppData\Local\Temp\OnboardLogs"\RTDC4028\*4028*201701170* &gt;&gt; 2017-01-16-SliceDisagreementCheck.txt</v>
      </c>
      <c r="AE24" s="183" t="str">
        <f t="shared" si="9"/>
        <v>start /low /b %USERPROFILE%\Documents\GitHub\eaglep3\Utilities\DownloadLogsFromS3.py --loco 4028 --day 2017-01-17</v>
      </c>
      <c r="AF24" s="1"/>
    </row>
    <row r="25" spans="1:32" x14ac:dyDescent="0.25">
      <c r="A25" s="33">
        <v>42751.935798611114</v>
      </c>
      <c r="B25" s="31" t="s">
        <v>222</v>
      </c>
      <c r="C25" s="31" t="s">
        <v>501</v>
      </c>
      <c r="D25" s="31" t="s">
        <v>49</v>
      </c>
      <c r="E25" s="31" t="s">
        <v>194</v>
      </c>
      <c r="F25" s="44">
        <v>0</v>
      </c>
      <c r="G25" s="44">
        <v>369</v>
      </c>
      <c r="H25" s="44">
        <v>24490</v>
      </c>
      <c r="I25" s="44">
        <v>25951</v>
      </c>
      <c r="J25" s="31" t="s">
        <v>195</v>
      </c>
      <c r="K25" s="44">
        <v>26941</v>
      </c>
      <c r="L25" s="150" t="s">
        <v>50</v>
      </c>
      <c r="M25" s="151">
        <f t="shared" si="0"/>
        <v>522.72</v>
      </c>
      <c r="N25" s="152" t="str">
        <f>VLOOKUP(C25,'Trips&amp;Operators'!$C$1:$G$99999,5,FALSE)</f>
        <v>NEWELL JAMES</v>
      </c>
      <c r="O25" s="179" t="s">
        <v>273</v>
      </c>
      <c r="P25" s="153" t="s">
        <v>419</v>
      </c>
      <c r="Q25" s="31"/>
      <c r="R25" s="96" t="str">
        <f>VLOOKUP(C25,'Train Runs'!$A$13:$AE$9983,31,0)</f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S25" s="99" t="str">
        <f>VLOOKUP(C25,'Train Runs'!$A$13:$AE$9983,22,0)</f>
        <v>https://d0f6bd738d7f1b3e5a7ca70fe4ff75f0.us-east-1.aws.found.io/app/kibana#/discover/Steve-Slow-Train-Analysis-(2080s-and-2083s)?_g=(refreshInterval:(display:Off,pause:!f,section:0,value:0),time:(from:'2017-01-16T21:04:40-0700',mode:absolute,to:'2017-01-16T23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101" t="str">
        <f t="shared" si="1"/>
        <v>"C:\Program Files (x86)\AstroGrep\AstroGrep.exe" /spath="%USERPROFILE%\AppData\Local\Temp\OnboardLogs" /stypes="*4042*201701170*" /stext=" 05:.+((SYSTEM_STATE.+slice.+state.+changed )|(ment ac)|(multiple cpu faults)|(system.+state.+changed )|(\[timeout)|(PRM\|1\|D)|(kpr)|(kdp)|(\|lc)|(penalty))" /e /r /s</v>
      </c>
      <c r="U25" s="9" t="str">
        <f t="shared" si="2"/>
        <v>4042</v>
      </c>
      <c r="V25" s="33">
        <f t="shared" si="3"/>
        <v>42752.227465277778</v>
      </c>
      <c r="W25" s="47" t="str">
        <f t="shared" si="4"/>
        <v>NW</v>
      </c>
      <c r="X25" s="47" t="str">
        <f t="shared" si="5"/>
        <v>KEEP</v>
      </c>
      <c r="Y25" s="115" t="str">
        <f t="shared" si="6"/>
        <v>echo {"issue":{"subject":"Wi-MAX data drop","project_id":79,"tracker_id":40,"status_id":1,"priority_id":2,"assigned_to_id":23,"start_date":"2017-01-16","description":"http://stevetu21.github.io/eaglep3/load_kml.html?kml=http://rtdc.gmaps-snips.s3.amazonaws.com/36e30954-f8a0-4415-8c77-b3bca58db0e9.kml","custom_fields":[{"id":1,"name":"Subdivision","value":"NW"},{"id":4,"name":"Milepost","value":"2.6941"},{"id":17,"name":"Train ID","value":"847-16"},{"id":16,"name":"Locomotive ID","value":"4042"},{"id":130,"name":"Impact","value":"Enforcement"},{"id":150,"name":"Time of Event (Mountain Time)","value":"22:27:33"},{"id":151,"name":"Denver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915</v>
      </c>
      <c r="AA25" s="50" t="s">
        <v>125</v>
      </c>
      <c r="AB25" s="50" t="s">
        <v>138</v>
      </c>
      <c r="AC25" s="134" t="str">
        <f t="shared" si="7"/>
        <v>grep -hSE -A400 "Enforcement Action" "%USERPROFILE%\AppData\Local\Temp\OnboardLogs"\RTDC4042\*4042*201701170*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"%USERPROFILE%\AppData\Local\Temp\OnboardLogs"\RTDC4042\*4042*201701170* &gt;&gt; 2017-01-16-SliceDisagreementCheck.txt</v>
      </c>
      <c r="AE25" s="183" t="str">
        <f t="shared" si="9"/>
        <v>start /low /b %USERPROFILE%\Documents\GitHub\eaglep3\Utilities\DownloadLogsFromS3.py --loco 4042 --day 2017-01-17</v>
      </c>
      <c r="AF25" s="1"/>
    </row>
    <row r="26" spans="1:32" x14ac:dyDescent="0.25">
      <c r="A26" s="33">
        <v>42751.371828703705</v>
      </c>
      <c r="B26" s="31" t="s">
        <v>363</v>
      </c>
      <c r="C26" s="31" t="s">
        <v>483</v>
      </c>
      <c r="D26" s="31" t="s">
        <v>49</v>
      </c>
      <c r="E26" s="31" t="s">
        <v>196</v>
      </c>
      <c r="F26" s="44">
        <v>0</v>
      </c>
      <c r="G26" s="44">
        <v>149</v>
      </c>
      <c r="H26" s="44">
        <v>1252</v>
      </c>
      <c r="I26" s="44">
        <v>1051</v>
      </c>
      <c r="J26" s="31" t="s">
        <v>197</v>
      </c>
      <c r="K26" s="44">
        <v>575</v>
      </c>
      <c r="L26" s="150" t="s">
        <v>51</v>
      </c>
      <c r="M26" s="151">
        <f t="shared" si="0"/>
        <v>251.328</v>
      </c>
      <c r="N26" s="152" t="str">
        <f>VLOOKUP(C26,'Trips&amp;Operators'!$C$1:$G$99999,5,FALSE)</f>
        <v>MAHAN DUANE</v>
      </c>
      <c r="O26" s="179" t="s">
        <v>193</v>
      </c>
      <c r="P26" s="153"/>
      <c r="Q26" s="31"/>
      <c r="R26" s="96" t="str">
        <f>VLOOKUP(C26,'Train Runs'!$A$13:$AE$9983,31,0)</f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S26" s="99" t="str">
        <f>VLOOKUP(C26,'Train Runs'!$A$13:$AE$9983,22,0)</f>
        <v>https://d0f6bd738d7f1b3e5a7ca70fe4ff75f0.us-east-1.aws.found.io/app/kibana#/discover/Steve-Slow-Train-Analysis-(2080s-and-2083s)?_g=(refreshInterval:(display:Off,pause:!f,section:0,value:0),time:(from:'2017-01-16T07:38:42-0700',mode:absolute,to:'2017-01-16T09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101" t="str">
        <f t="shared" si="1"/>
        <v>"C:\Program Files (x86)\AstroGrep\AstroGrep.exe" /spath="%USERPROFILE%\AppData\Local\Temp\OnboardLogs" /stypes="*4041*201701161*" /stext=" 15:.+((SYSTEM_STATE.+slice.+state.+changed )|(ment ac)|(multiple cpu faults)|(system.+state.+changed )|(\[timeout)|(PRM\|1\|D)|(kpr)|(kdp)|(\|lc)|(penalty))" /e /r /s</v>
      </c>
      <c r="U26" s="9" t="str">
        <f t="shared" si="2"/>
        <v>4041</v>
      </c>
      <c r="V26" s="33">
        <f t="shared" si="3"/>
        <v>42751.663495370369</v>
      </c>
      <c r="W26" s="47" t="str">
        <f t="shared" si="4"/>
        <v>NW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{"issue":{"subject":"","project_id":79,"tracker_id":40,"status_id":1,"priority_id":2,"assigned_to_id":23,"start_date":"2017-01-16","description":"","custom_fields":[{"id":1,"name":"Subdivision","value":"NW"},{"id":4,"name":"Milepost","value":"0.0575"},{"id":17,"name":"Train ID","value":"812-16"},{"id":16,"name":"Locomotive ID","value":"4041"},{"id":130,"name":"Impact","value":""},{"id":150,"name":"Time of Event (Mountain Time)","value":"08:55:26"},{"id":151,"name":"Denver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"%USERPROFILE%\AppData\Local\Temp\OnboardLogs"\RTDC4041\*4041*201701161*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"%USERPROFILE%\AppData\Local\Temp\OnboardLogs"\RTDC4041\*4041*201701161* &gt;&gt; 2017-01-16-SliceDisagreementCheck.txt</v>
      </c>
      <c r="AE26" s="183" t="str">
        <f t="shared" si="9"/>
        <v>start /low /b %USERPROFILE%\Documents\GitHub\eaglep3\Utilities\DownloadLogsFromS3.py --loco 4041 --day 2017-01-16</v>
      </c>
      <c r="AF26" s="1"/>
    </row>
    <row r="27" spans="1:32" x14ac:dyDescent="0.25">
      <c r="A27" s="33">
        <v>42751.37226851852</v>
      </c>
      <c r="B27" s="31" t="s">
        <v>363</v>
      </c>
      <c r="C27" s="31" t="s">
        <v>483</v>
      </c>
      <c r="D27" s="31" t="s">
        <v>49</v>
      </c>
      <c r="E27" s="31" t="s">
        <v>196</v>
      </c>
      <c r="F27" s="44">
        <v>0</v>
      </c>
      <c r="G27" s="44">
        <v>72</v>
      </c>
      <c r="H27" s="44">
        <v>916</v>
      </c>
      <c r="I27" s="44">
        <v>841</v>
      </c>
      <c r="J27" s="31" t="s">
        <v>197</v>
      </c>
      <c r="K27" s="44">
        <v>575</v>
      </c>
      <c r="L27" s="150" t="s">
        <v>51</v>
      </c>
      <c r="M27" s="151">
        <f t="shared" si="0"/>
        <v>140.44800000000001</v>
      </c>
      <c r="N27" s="152" t="str">
        <f>VLOOKUP(C27,'Trips&amp;Operators'!$C$1:$G$99999,5,FALSE)</f>
        <v>MAHAN DUANE</v>
      </c>
      <c r="O27" s="179" t="s">
        <v>193</v>
      </c>
      <c r="P27" s="153"/>
      <c r="Q27" s="31"/>
      <c r="R27" s="96" t="str">
        <f>VLOOKUP(C27,'Train Runs'!$A$13:$AE$9983,31,0)</f>
        <v>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 &amp; 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</v>
      </c>
      <c r="S27" s="99" t="str">
        <f>VLOOKUP(C27,'Train Runs'!$A$13:$AE$9983,22,0)</f>
        <v>https://d0f6bd738d7f1b3e5a7ca70fe4ff75f0.us-east-1.aws.found.io/app/kibana#/discover/Steve-Slow-Train-Analysis-(2080s-and-2083s)?_g=(refreshInterval:(display:Off,pause:!f,section:0,value:0),time:(from:'2017-01-16T07:38:42-0700',mode:absolute,to:'2017-01-16T09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101" t="str">
        <f t="shared" si="1"/>
        <v>"C:\Program Files (x86)\AstroGrep\AstroGrep.exe" /spath="%USERPROFILE%\AppData\Local\Temp\OnboardLogs" /stypes="*4041*201701161*" /stext=" 15:.+((SYSTEM_STATE.+slice.+state.+changed )|(ment ac)|(multiple cpu faults)|(system.+state.+changed )|(\[timeout)|(PRM\|1\|D)|(kpr)|(kdp)|(\|lc)|(penalty))" /e /r /s</v>
      </c>
      <c r="U27" s="9" t="str">
        <f t="shared" si="2"/>
        <v>4041</v>
      </c>
      <c r="V27" s="33">
        <f t="shared" si="3"/>
        <v>42751.663935185185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{"issue":{"subject":"","project_id":79,"tracker_id":40,"status_id":1,"priority_id":2,"assigned_to_id":23,"start_date":"2017-01-16","description":"","custom_fields":[{"id":1,"name":"Subdivision","value":"NW"},{"id":4,"name":"Milepost","value":"0.0575"},{"id":17,"name":"Train ID","value":"812-16"},{"id":16,"name":"Locomotive ID","value":"4041"},{"id":130,"name":"Impact","value":""},{"id":150,"name":"Time of Event (Mountain Time)","value":"08:56:04"},{"id":151,"name":"Denver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"%USERPROFILE%\AppData\Local\Temp\OnboardLogs"\RTDC4041\*4041*201701161*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"%USERPROFILE%\AppData\Local\Temp\OnboardLogs"\RTDC4041\*4041*201701161* &gt;&gt; 2017-01-16-SliceDisagreementCheck.txt</v>
      </c>
      <c r="AE27" s="183" t="str">
        <f t="shared" si="9"/>
        <v>start /low /b %USERPROFILE%\Documents\GitHub\eaglep3\Utilities\DownloadLogsFromS3.py --loco 4041 --day 2017-01-16</v>
      </c>
      <c r="AF27" s="1"/>
    </row>
    <row r="28" spans="1:32" x14ac:dyDescent="0.25">
      <c r="A28" s="33">
        <v>42751.684178240743</v>
      </c>
      <c r="B28" s="31" t="s">
        <v>325</v>
      </c>
      <c r="C28" s="31" t="s">
        <v>495</v>
      </c>
      <c r="D28" s="31" t="s">
        <v>49</v>
      </c>
      <c r="E28" s="31" t="s">
        <v>196</v>
      </c>
      <c r="F28" s="44">
        <v>0</v>
      </c>
      <c r="G28" s="44">
        <v>39</v>
      </c>
      <c r="H28" s="44">
        <v>706</v>
      </c>
      <c r="I28" s="44">
        <v>671</v>
      </c>
      <c r="J28" s="31" t="s">
        <v>197</v>
      </c>
      <c r="K28" s="44">
        <v>575</v>
      </c>
      <c r="L28" s="150" t="s">
        <v>51</v>
      </c>
      <c r="M28" s="151">
        <f t="shared" si="0"/>
        <v>50.688000000000002</v>
      </c>
      <c r="N28" s="152" t="str">
        <f>VLOOKUP(C28,'Trips&amp;Operators'!$C$1:$G$99999,5,FALSE)</f>
        <v>NEWELL JAMES</v>
      </c>
      <c r="O28" s="179" t="s">
        <v>193</v>
      </c>
      <c r="P28" s="153"/>
      <c r="Q28" s="31"/>
      <c r="R28" s="96" t="str">
        <f>VLOOKUP(C28,'Train Runs'!$A$13:$AE$9983,31,0)</f>
        <v>aws s3 cp s3://rtdc.mdm.uploadarchive.raw/RTDC4028/ "%USERPROFILE%\AppData\Local\Temp\OnboardLogs"\RTDC4028\2017-01-16 --exclude "*" --recursive --include "*20170116*" &amp; "%USERPROFILE%\Documents\GitHub\mrs-test-scripts\Headless Mode &amp; Sideloading\WalkAndUnGZ.bat" "%USERPROFILE%\AppData\Local\Temp\OnboardLogs"\RTDC4028\2017-01-16 &amp; 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</v>
      </c>
      <c r="S28" s="99" t="str">
        <f>VLOOKUP(C28,'Train Runs'!$A$13:$AE$9983,22,0)</f>
        <v>https://d0f6bd738d7f1b3e5a7ca70fe4ff75f0.us-east-1.aws.found.io/app/kibana#/discover/Steve-Slow-Train-Analysis-(2080s-and-2083s)?_g=(refreshInterval:(display:Off,pause:!f,section:0,value:0),time:(from:'2017-01-16T15:06:26-0700',mode:absolute,to:'2017-01-16T17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101" t="str">
        <f t="shared" si="1"/>
        <v>"C:\Program Files (x86)\AstroGrep\AstroGrep.exe" /spath="%USERPROFILE%\AppData\Local\Temp\OnboardLogs" /stypes="*4028*201701162*" /stext=" 23:.+((SYSTEM_STATE.+slice.+state.+changed )|(ment ac)|(multiple cpu faults)|(system.+state.+changed )|(\[timeout)|(PRM\|1\|D)|(kpr)|(kdp)|(\|lc)|(penalty))" /e /r /s</v>
      </c>
      <c r="U28" s="9" t="str">
        <f t="shared" si="2"/>
        <v>4028</v>
      </c>
      <c r="V28" s="33">
        <f t="shared" si="3"/>
        <v>42751.975844907407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{"issue":{"subject":"","project_id":79,"tracker_id":40,"status_id":1,"priority_id":2,"assigned_to_id":23,"start_date":"2017-01-16","description":"","custom_fields":[{"id":1,"name":"Subdivision","value":"NW"},{"id":4,"name":"Milepost","value":"0.0575"},{"id":17,"name":"Train ID","value":"828-16"},{"id":16,"name":"Locomotive ID","value":"4028"},{"id":130,"name":"Impact","value":""},{"id":150,"name":"Time of Event (Mountain Time)","value":"16:25:13"},{"id":151,"name":"Denver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"%USERPROFILE%\AppData\Local\Temp\OnboardLogs"\RTDC4028\*4028*201701162*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"%USERPROFILE%\AppData\Local\Temp\OnboardLogs"\RTDC4028\*4028*201701162* &gt;&gt; 2017-01-16-SliceDisagreementCheck.txt</v>
      </c>
      <c r="AE28" s="183" t="str">
        <f t="shared" si="9"/>
        <v>start /low /b %USERPROFILE%\Documents\GitHub\eaglep3\Utilities\DownloadLogsFromS3.py --loco 4028 --day 2017-01-16</v>
      </c>
      <c r="AF28" s="1"/>
    </row>
    <row r="29" spans="1:32" x14ac:dyDescent="0.25">
      <c r="A29" s="33">
        <v>42751.31659722222</v>
      </c>
      <c r="B29" s="31" t="s">
        <v>222</v>
      </c>
      <c r="C29" s="31" t="s">
        <v>481</v>
      </c>
      <c r="D29" s="31" t="s">
        <v>49</v>
      </c>
      <c r="E29" s="31" t="s">
        <v>196</v>
      </c>
      <c r="F29" s="44">
        <v>0</v>
      </c>
      <c r="G29" s="44">
        <v>144</v>
      </c>
      <c r="H29" s="44">
        <v>57865</v>
      </c>
      <c r="I29" s="44">
        <v>58161</v>
      </c>
      <c r="J29" s="31" t="s">
        <v>197</v>
      </c>
      <c r="K29" s="44">
        <v>59048</v>
      </c>
      <c r="L29" s="150" t="s">
        <v>50</v>
      </c>
      <c r="M29" s="151">
        <f t="shared" si="0"/>
        <v>468.33600000000001</v>
      </c>
      <c r="N29" s="152" t="str">
        <f>VLOOKUP(C29,'Trips&amp;Operators'!$C$1:$G$99999,5,FALSE)</f>
        <v>MAHAN DUANE</v>
      </c>
      <c r="O29" s="179" t="s">
        <v>193</v>
      </c>
      <c r="P29" s="153"/>
      <c r="Q29" s="31"/>
      <c r="R29" s="96" t="str">
        <f>VLOOKUP(C29,'Train Runs'!$A$13:$AE$9983,31,0)</f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S29" s="99" t="str">
        <f>VLOOKUP(C29,'Train Runs'!$A$13:$AE$9983,22,0)</f>
        <v>https://d0f6bd738d7f1b3e5a7ca70fe4ff75f0.us-east-1.aws.found.io/app/kibana#/discover/Steve-Slow-Train-Analysis-(2080s-and-2083s)?_g=(refreshInterval:(display:Off,pause:!f,section:0,value:0),time:(from:'2017-01-16T06:09:12-0700',mode:absolute,to:'2017-01-16T08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9" s="101" t="str">
        <f t="shared" si="1"/>
        <v>"C:\Program Files (x86)\AstroGrep\AstroGrep.exe" /spath="%USERPROFILE%\AppData\Local\Temp\OnboardLogs" /stypes="*4042*201701161*" /stext=" 14:.+((SYSTEM_STATE.+slice.+state.+changed )|(ment ac)|(multiple cpu faults)|(system.+state.+changed )|(\[timeout)|(PRM\|1\|D)|(kpr)|(kdp)|(\|lc)|(penalty))" /e /r /s</v>
      </c>
      <c r="U29" s="9" t="str">
        <f t="shared" si="2"/>
        <v>4042</v>
      </c>
      <c r="V29" s="33">
        <f t="shared" si="3"/>
        <v>42751.608263888884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{"issue":{"subject":"","project_id":79,"tracker_id":40,"status_id":1,"priority_id":2,"assigned_to_id":23,"start_date":"2017-01-16","description":"","custom_fields":[{"id":1,"name":"Subdivision","value":"NW"},{"id":4,"name":"Milepost","value":"5.9048"},{"id":17,"name":"Train ID","value":"807-16"},{"id":16,"name":"Locomotive ID","value":"4042"},{"id":130,"name":"Impact","value":""},{"id":150,"name":"Time of Event (Mountain Time)","value":"07:35:54"},{"id":151,"name":"Denver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"%USERPROFILE%\AppData\Local\Temp\OnboardLogs"\RTDC4042\*4042*201701161*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"%USERPROFILE%\AppData\Local\Temp\OnboardLogs"\RTDC4042\*4042*201701161* &gt;&gt; 2017-01-16-SliceDisagreementCheck.txt</v>
      </c>
      <c r="AE29" s="183" t="str">
        <f t="shared" si="9"/>
        <v>start /low /b %USERPROFILE%\Documents\GitHub\eaglep3\Utilities\DownloadLogsFromS3.py --loco 4042 --day 2017-01-16</v>
      </c>
      <c r="AF29" s="1"/>
    </row>
    <row r="30" spans="1:32" x14ac:dyDescent="0.25">
      <c r="A30" s="33">
        <v>42751.441238425927</v>
      </c>
      <c r="B30" s="31" t="s">
        <v>222</v>
      </c>
      <c r="C30" s="31" t="s">
        <v>489</v>
      </c>
      <c r="D30" s="31" t="s">
        <v>49</v>
      </c>
      <c r="E30" s="31" t="s">
        <v>196</v>
      </c>
      <c r="F30" s="44">
        <v>0</v>
      </c>
      <c r="G30" s="44">
        <v>137</v>
      </c>
      <c r="H30" s="44">
        <v>58443</v>
      </c>
      <c r="I30" s="44">
        <v>58602</v>
      </c>
      <c r="J30" s="31" t="s">
        <v>197</v>
      </c>
      <c r="K30" s="44">
        <v>59048</v>
      </c>
      <c r="L30" s="150" t="s">
        <v>50</v>
      </c>
      <c r="M30" s="151">
        <f t="shared" si="0"/>
        <v>235.488</v>
      </c>
      <c r="N30" s="152" t="str">
        <f>VLOOKUP(C30,'Trips&amp;Operators'!$C$1:$G$99999,5,FALSE)</f>
        <v>MAHAN DUANE</v>
      </c>
      <c r="O30" s="179" t="s">
        <v>193</v>
      </c>
      <c r="P30" s="153"/>
      <c r="Q30" s="31"/>
      <c r="R30" s="96" t="str">
        <f>VLOOKUP(C30,'Train Runs'!$A$13:$AE$9983,31,0)</f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S30" s="99" t="str">
        <f>VLOOKUP(C30,'Train Runs'!$A$13:$AE$9983,22,0)</f>
        <v>https://d0f6bd738d7f1b3e5a7ca70fe4ff75f0.us-east-1.aws.found.io/app/kibana#/discover/Steve-Slow-Train-Analysis-(2080s-and-2083s)?_g=(refreshInterval:(display:Off,pause:!f,section:0,value:0),time:(from:'2017-01-16T09:06:46-0700',mode:absolute,to:'2017-01-16T11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101" t="str">
        <f t="shared" si="1"/>
        <v>"C:\Program Files (x86)\AstroGrep\AstroGrep.exe" /spath="%USERPROFILE%\AppData\Local\Temp\OnboardLogs" /stypes="*4042*201701161*" /stext=" 17:.+((SYSTEM_STATE.+slice.+state.+changed )|(ment ac)|(multiple cpu faults)|(system.+state.+changed )|(\[timeout)|(PRM\|1\|D)|(kpr)|(kdp)|(\|lc)|(penalty))" /e /r /s</v>
      </c>
      <c r="U30" s="9" t="str">
        <f t="shared" si="2"/>
        <v>4042</v>
      </c>
      <c r="V30" s="33">
        <f t="shared" si="3"/>
        <v>42751.732905092591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{"issue":{"subject":"","project_id":79,"tracker_id":40,"status_id":1,"priority_id":2,"assigned_to_id":23,"start_date":"2017-01-16","description":"","custom_fields":[{"id":1,"name":"Subdivision","value":"NW"},{"id":4,"name":"Milepost","value":"5.9048"},{"id":17,"name":"Train ID","value":"815-16"},{"id":16,"name":"Locomotive ID","value":"4042"},{"id":130,"name":"Impact","value":""},{"id":150,"name":"Time of Event (Mountain Time)","value":"10:35:23"},{"id":151,"name":"Denver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"%USERPROFILE%\AppData\Local\Temp\OnboardLogs"\RTDC4042\*4042*201701161*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"%USERPROFILE%\AppData\Local\Temp\OnboardLogs"\RTDC4042\*4042*201701161* &gt;&gt; 2017-01-16-SliceDisagreementCheck.txt</v>
      </c>
      <c r="AE30" s="183" t="str">
        <f t="shared" si="9"/>
        <v>start /low /b %USERPROFILE%\Documents\GitHub\eaglep3\Utilities\DownloadLogsFromS3.py --loco 4042 --day 2017-01-16</v>
      </c>
      <c r="AF30" s="1"/>
    </row>
    <row r="31" spans="1:32" x14ac:dyDescent="0.25">
      <c r="A31" s="33">
        <v>42751.441817129627</v>
      </c>
      <c r="B31" s="31" t="s">
        <v>222</v>
      </c>
      <c r="C31" s="31" t="s">
        <v>489</v>
      </c>
      <c r="D31" s="31" t="s">
        <v>49</v>
      </c>
      <c r="E31" s="31" t="s">
        <v>196</v>
      </c>
      <c r="F31" s="44">
        <v>0</v>
      </c>
      <c r="G31" s="44">
        <v>46</v>
      </c>
      <c r="H31" s="44">
        <v>58632</v>
      </c>
      <c r="I31" s="44">
        <v>58737</v>
      </c>
      <c r="J31" s="31" t="s">
        <v>197</v>
      </c>
      <c r="K31" s="44">
        <v>59048</v>
      </c>
      <c r="L31" s="150" t="s">
        <v>50</v>
      </c>
      <c r="M31" s="151">
        <f t="shared" si="0"/>
        <v>164.208</v>
      </c>
      <c r="N31" s="152" t="str">
        <f>VLOOKUP(C31,'Trips&amp;Operators'!$C$1:$G$99999,5,FALSE)</f>
        <v>MAHAN DUANE</v>
      </c>
      <c r="O31" s="179" t="s">
        <v>193</v>
      </c>
      <c r="P31" s="153"/>
      <c r="Q31" s="31"/>
      <c r="R31" s="96" t="str">
        <f>VLOOKUP(C31,'Train Runs'!$A$13:$AE$9983,31,0)</f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S31" s="99" t="str">
        <f>VLOOKUP(C31,'Train Runs'!$A$13:$AE$9983,22,0)</f>
        <v>https://d0f6bd738d7f1b3e5a7ca70fe4ff75f0.us-east-1.aws.found.io/app/kibana#/discover/Steve-Slow-Train-Analysis-(2080s-and-2083s)?_g=(refreshInterval:(display:Off,pause:!f,section:0,value:0),time:(from:'2017-01-16T09:06:46-0700',mode:absolute,to:'2017-01-16T11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1" s="101" t="str">
        <f t="shared" si="1"/>
        <v>"C:\Program Files (x86)\AstroGrep\AstroGrep.exe" /spath="%USERPROFILE%\AppData\Local\Temp\OnboardLogs" /stypes="*4042*201701161*" /stext=" 17:.+((SYSTEM_STATE.+slice.+state.+changed )|(ment ac)|(multiple cpu faults)|(system.+state.+changed )|(\[timeout)|(PRM\|1\|D)|(kpr)|(kdp)|(\|lc)|(penalty))" /e /r /s</v>
      </c>
      <c r="U31" s="9" t="str">
        <f t="shared" si="2"/>
        <v>4042</v>
      </c>
      <c r="V31" s="33">
        <f t="shared" si="3"/>
        <v>42751.733483796292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{"issue":{"subject":"","project_id":79,"tracker_id":40,"status_id":1,"priority_id":2,"assigned_to_id":23,"start_date":"2017-01-16","description":"","custom_fields":[{"id":1,"name":"Subdivision","value":"NW"},{"id":4,"name":"Milepost","value":"5.9048"},{"id":17,"name":"Train ID","value":"815-16"},{"id":16,"name":"Locomotive ID","value":"4042"},{"id":130,"name":"Impact","value":""},{"id":150,"name":"Time of Event (Mountain Time)","value":"10:36:13"},{"id":151,"name":"Denver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"%USERPROFILE%\AppData\Local\Temp\OnboardLogs"\RTDC4042\*4042*201701161*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"%USERPROFILE%\AppData\Local\Temp\OnboardLogs"\RTDC4042\*4042*201701161* &gt;&gt; 2017-01-16-SliceDisagreementCheck.txt</v>
      </c>
      <c r="AE31" s="183" t="str">
        <f t="shared" si="9"/>
        <v>start /low /b %USERPROFILE%\Documents\GitHub\eaglep3\Utilities\DownloadLogsFromS3.py --loco 4042 --day 2017-01-16</v>
      </c>
      <c r="AF31" s="1"/>
    </row>
    <row r="32" spans="1:32" x14ac:dyDescent="0.25">
      <c r="A32" s="33">
        <v>42751.525868055556</v>
      </c>
      <c r="B32" s="31" t="s">
        <v>222</v>
      </c>
      <c r="C32" s="31" t="s">
        <v>493</v>
      </c>
      <c r="D32" s="31" t="s">
        <v>49</v>
      </c>
      <c r="E32" s="31" t="s">
        <v>196</v>
      </c>
      <c r="F32" s="44">
        <v>0</v>
      </c>
      <c r="G32" s="44">
        <v>11</v>
      </c>
      <c r="H32" s="44">
        <v>59005</v>
      </c>
      <c r="I32" s="44">
        <v>59008</v>
      </c>
      <c r="J32" s="31" t="s">
        <v>197</v>
      </c>
      <c r="K32" s="44">
        <v>59048</v>
      </c>
      <c r="L32" s="150" t="s">
        <v>50</v>
      </c>
      <c r="M32" s="151">
        <f t="shared" si="0"/>
        <v>21.12</v>
      </c>
      <c r="N32" s="152" t="str">
        <f>VLOOKUP(C32,'Trips&amp;Operators'!$C$1:$G$99999,5,FALSE)</f>
        <v>LALONDE GREGORY</v>
      </c>
      <c r="O32" s="179" t="s">
        <v>193</v>
      </c>
      <c r="P32" s="153"/>
      <c r="Q32" s="31"/>
      <c r="R32" s="96" t="str">
        <f>VLOOKUP(C32,'Train Runs'!$A$13:$AE$9983,31,0)</f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S32" s="99" t="str">
        <f>VLOOKUP(C32,'Train Runs'!$A$13:$AE$9983,22,0)</f>
        <v>https://d0f6bd738d7f1b3e5a7ca70fe4ff75f0.us-east-1.aws.found.io/app/kibana#/discover/Steve-Slow-Train-Analysis-(2080s-and-2083s)?_g=(refreshInterval:(display:Off,pause:!f,section:0,value:0),time:(from:'2017-01-16T11:12:34-0700',mode:absolute,to:'2017-01-16T13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2" s="101" t="str">
        <f t="shared" si="1"/>
        <v>"C:\Program Files (x86)\AstroGrep\AstroGrep.exe" /spath="%USERPROFILE%\AppData\Local\Temp\OnboardLogs" /stypes="*4042*201701161*" /stext=" 19:.+((SYSTEM_STATE.+slice.+state.+changed )|(ment ac)|(multiple cpu faults)|(system.+state.+changed )|(\[timeout)|(PRM\|1\|D)|(kpr)|(kdp)|(\|lc)|(penalty))" /e /r /s</v>
      </c>
      <c r="U32" s="9" t="str">
        <f t="shared" si="2"/>
        <v>4042</v>
      </c>
      <c r="V32" s="33">
        <f t="shared" si="3"/>
        <v>42751.81753472222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{"issue":{"subject":"","project_id":79,"tracker_id":40,"status_id":1,"priority_id":2,"assigned_to_id":23,"start_date":"2017-01-16","description":"","custom_fields":[{"id":1,"name":"Subdivision","value":"NW"},{"id":4,"name":"Milepost","value":"5.9048"},{"id":17,"name":"Train ID","value":"819-16"},{"id":16,"name":"Locomotive ID","value":"4042"},{"id":130,"name":"Impact","value":""},{"id":150,"name":"Time of Event (Mountain Time)","value":"12:37:15"},{"id":151,"name":"Denver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"%USERPROFILE%\AppData\Local\Temp\OnboardLogs"\RTDC4042\*4042*201701161*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"%USERPROFILE%\AppData\Local\Temp\OnboardLogs"\RTDC4042\*4042*201701161* &gt;&gt; 2017-01-16-SliceDisagreementCheck.txt</v>
      </c>
      <c r="AE32" s="183" t="str">
        <f t="shared" si="9"/>
        <v>start /low /b %USERPROFILE%\Documents\GitHub\eaglep3\Utilities\DownloadLogsFromS3.py --loco 4042 --day 2017-01-16</v>
      </c>
      <c r="AF32" s="1"/>
    </row>
    <row r="33" spans="1:32" x14ac:dyDescent="0.25">
      <c r="A33" s="33">
        <v>42751.690891203703</v>
      </c>
      <c r="B33" s="31" t="s">
        <v>222</v>
      </c>
      <c r="C33" s="31" t="s">
        <v>496</v>
      </c>
      <c r="D33" s="31" t="s">
        <v>49</v>
      </c>
      <c r="E33" s="31" t="s">
        <v>196</v>
      </c>
      <c r="F33" s="44">
        <v>0</v>
      </c>
      <c r="G33" s="44">
        <v>94</v>
      </c>
      <c r="H33" s="44">
        <v>58670</v>
      </c>
      <c r="I33" s="44">
        <v>58798</v>
      </c>
      <c r="J33" s="31" t="s">
        <v>197</v>
      </c>
      <c r="K33" s="44">
        <v>59048</v>
      </c>
      <c r="L33" s="150" t="s">
        <v>50</v>
      </c>
      <c r="M33" s="151">
        <f t="shared" si="0"/>
        <v>132</v>
      </c>
      <c r="N33" s="152" t="str">
        <f>VLOOKUP(C33,'Trips&amp;Operators'!$C$1:$G$99999,5,FALSE)</f>
        <v>LEVIN SCOTT</v>
      </c>
      <c r="O33" s="179" t="s">
        <v>193</v>
      </c>
      <c r="P33" s="153"/>
      <c r="Q33" s="31"/>
      <c r="R33" s="96" t="str">
        <f>VLOOKUP(C33,'Train Runs'!$A$13:$AE$9983,31,0)</f>
        <v>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 &amp; 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</v>
      </c>
      <c r="S33" s="99" t="str">
        <f>VLOOKUP(C33,'Train Runs'!$A$13:$AE$9983,22,0)</f>
        <v>https://d0f6bd738d7f1b3e5a7ca70fe4ff75f0.us-east-1.aws.found.io/app/kibana#/discover/Steve-Slow-Train-Analysis-(2080s-and-2083s)?_g=(refreshInterval:(display:Off,pause:!f,section:0,value:0),time:(from:'2017-01-16T15:15:23-0700',mode:absolute,to:'2017-01-16T17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3" s="101" t="str">
        <f t="shared" si="1"/>
        <v>"C:\Program Files (x86)\AstroGrep\AstroGrep.exe" /spath="%USERPROFILE%\AppData\Local\Temp\OnboardLogs" /stypes="*4042*201701162*" /stext=" 23:.+((SYSTEM_STATE.+slice.+state.+changed )|(ment ac)|(multiple cpu faults)|(system.+state.+changed )|(\[timeout)|(PRM\|1\|D)|(kpr)|(kdp)|(\|lc)|(penalty))" /e /r /s</v>
      </c>
      <c r="U33" s="9" t="str">
        <f t="shared" si="2"/>
        <v>4042</v>
      </c>
      <c r="V33" s="33">
        <f t="shared" si="3"/>
        <v>42751.982557870368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{"issue":{"subject":"","project_id":79,"tracker_id":40,"status_id":1,"priority_id":2,"assigned_to_id":23,"start_date":"2017-01-16","description":"","custom_fields":[{"id":1,"name":"Subdivision","value":"NW"},{"id":4,"name":"Milepost","value":"5.9048"},{"id":17,"name":"Train ID","value":"829-16"},{"id":16,"name":"Locomotive ID","value":"4042"},{"id":130,"name":"Impact","value":""},{"id":150,"name":"Time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"%USERPROFILE%\AppData\Local\Temp\OnboardLogs"\RTDC4042\*4042*201701162*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"%USERPROFILE%\AppData\Local\Temp\OnboardLogs"\RTDC4042\*4042*201701162* &gt;&gt; 2017-01-16-SliceDisagreementCheck.txt</v>
      </c>
      <c r="AE33" s="183" t="str">
        <f t="shared" si="9"/>
        <v>start /low /b %USERPROFILE%\Documents\GitHub\eaglep3\Utilities\DownloadLogsFromS3.py --loco 4042 --day 2017-01-16</v>
      </c>
      <c r="AF33" s="1"/>
    </row>
    <row r="34" spans="1:32" x14ac:dyDescent="0.25">
      <c r="A34" s="33">
        <v>42751.748159722221</v>
      </c>
      <c r="B34" s="31" t="s">
        <v>211</v>
      </c>
      <c r="C34" s="31" t="s">
        <v>497</v>
      </c>
      <c r="D34" s="31" t="s">
        <v>98</v>
      </c>
      <c r="E34" s="31" t="s">
        <v>194</v>
      </c>
      <c r="F34" s="44">
        <v>0</v>
      </c>
      <c r="G34" s="44">
        <v>38</v>
      </c>
      <c r="H34" s="44">
        <v>1948</v>
      </c>
      <c r="I34" s="44">
        <v>1982</v>
      </c>
      <c r="J34" s="31" t="s">
        <v>195</v>
      </c>
      <c r="K34" s="44">
        <v>1692</v>
      </c>
      <c r="L34" s="150" t="s">
        <v>50</v>
      </c>
      <c r="M34" s="151">
        <f t="shared" si="0"/>
        <v>-153.12</v>
      </c>
      <c r="N34" s="152" t="str">
        <f>VLOOKUP(C34,'Trips&amp;Operators'!$C$1:$G$99999,5,FALSE)</f>
        <v>BRANDNER MELINDA</v>
      </c>
      <c r="O34" s="179" t="s">
        <v>193</v>
      </c>
      <c r="P34" s="153"/>
      <c r="Q34" s="31"/>
      <c r="R34" s="96" t="str">
        <f>VLOOKUP(C34,'Train Runs'!$A$13:$AE$9983,31,0)</f>
        <v>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 &amp; 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</v>
      </c>
      <c r="S34" s="99" t="str">
        <f>VLOOKUP(C34,'Train Runs'!$A$13:$AE$9983,22,0)</f>
        <v>https://d0f6bd738d7f1b3e5a7ca70fe4ff75f0.us-east-1.aws.found.io/app/kibana#/discover/Steve-Slow-Train-Analysis-(2080s-and-2083s)?_g=(refreshInterval:(display:Off,pause:!f,section:0,value:0),time:(from:'2017-01-16T16:47:53-0700',mode:absolute,to:'2017-01-16T18:57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4" s="101" t="str">
        <f t="shared" si="1"/>
        <v>"C:\Program Files (x86)\AstroGrep\AstroGrep.exe" /spath="%USERPROFILE%\AppData\Local\Temp\OnboardLogs" /stypes="*4038*201701170*" /stext=" 00:.+((SYSTEM_STATE.+slice.+state.+changed )|(ment ac)|(multiple cpu faults)|(system.+state.+changed )|(\[timeout)|(PRM\|1\|D)|(kpr)|(kdp)|(\|lc)|(penalty))" /e /r /s</v>
      </c>
      <c r="U34" s="9" t="str">
        <f t="shared" si="2"/>
        <v>4038</v>
      </c>
      <c r="V34" s="33">
        <f t="shared" si="3"/>
        <v>42752.039826388886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{"issue":{"subject":"","project_id":79,"tracker_id":40,"status_id":1,"priority_id":2,"assigned_to_id":23,"start_date":"2017-01-16","description":"","custom_fields":[{"id":1,"name":"Subdivision","value":"Other"},{"id":4,"name":"Milepost","value":"0.1692"},{"id":17,"name":"Train ID","value":"67-16"},{"id":16,"name":"Locomotive ID","value":"4038"},{"id":130,"name":"Impact","value":""},{"id":150,"name":"Time of Event (Mountain Time)","value":"17:57:21"},{"id":151,"name":"Denver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"%USERPROFILE%\AppData\Local\Temp\OnboardLogs"\RTDC4038\*4038*201701170*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"%USERPROFILE%\AppData\Local\Temp\OnboardLogs"\RTDC4038\*4038*201701170* &gt;&gt; 2017-01-16-SliceDisagreementCheck.txt</v>
      </c>
      <c r="AE34" s="183" t="str">
        <f t="shared" si="9"/>
        <v>start /low /b %USERPROFILE%\Documents\GitHub\eaglep3\Utilities\DownloadLogsFromS3.py --loco 4038 --day 2017-01-17</v>
      </c>
      <c r="AF34" s="1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38">
    <sortState ref="A7:AC38">
      <sortCondition ref="W7:W34"/>
      <sortCondition ref="E7:E34"/>
      <sortCondition ref="K7:K34"/>
      <sortCondition ref="F7:F34"/>
    </sortState>
  </autoFilter>
  <sortState ref="A7:AE34">
    <sortCondition ref="W7:W34"/>
    <sortCondition ref="E7:E34"/>
    <sortCondition ref="K7:K34"/>
    <sortCondition ref="C7:C34"/>
    <sortCondition ref="F7:F34"/>
  </sortState>
  <mergeCells count="1">
    <mergeCell ref="A5:O5"/>
  </mergeCells>
  <conditionalFormatting sqref="O6:P6 R6 O68:O1048576 O7:O3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4">
    <cfRule type="expression" dxfId="1" priority="20">
      <formula>$O7="Y"</formula>
    </cfRule>
  </conditionalFormatting>
  <hyperlinks>
    <hyperlink ref="Z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7"/>
  <sheetViews>
    <sheetView workbookViewId="0">
      <selection activeCell="A3" sqref="A3:XFD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5"/>
      <c r="B1" s="192" t="str">
        <f>"Trips that did not appear in PTC Data "&amp;TEXT(Variables!$A$2,"YYYY-mm-dd")</f>
        <v>Trips that did not appear in PTC Data 2017-01-16</v>
      </c>
      <c r="C1" s="192"/>
      <c r="D1" s="192"/>
      <c r="E1" s="192"/>
      <c r="F1" s="192"/>
    </row>
    <row r="2" spans="1:10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7"/>
      <c r="B3" s="44" t="str">
        <f>A3&amp;"-"&amp;IF(DAY(Variables!$A$2)&lt;10,0,"")&amp;DAY(Variables!$A$2)</f>
        <v>-16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1" t="e">
        <f>VLOOKUP(B3,'Train Runs'!$A$13:$A$99980,1,FALSE)</f>
        <v>#N/A</v>
      </c>
    </row>
    <row r="4" spans="1:10" x14ac:dyDescent="0.25">
      <c r="A4" s="167"/>
      <c r="B4" s="44" t="str">
        <f>A4&amp;"-"&amp;IF(DAY(Variables!$A$2)&lt;10,0,"")&amp;DAY(Variables!$A$2)</f>
        <v>-16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1" t="e">
        <f>VLOOKUP(B4,'Train Runs'!$A$13:$A$99980,1,FALSE)</f>
        <v>#N/A</v>
      </c>
    </row>
    <row r="5" spans="1:10" x14ac:dyDescent="0.25">
      <c r="A5" s="167"/>
      <c r="B5" s="44" t="str">
        <f>A5&amp;"-"&amp;IF(DAY(Variables!$A$2)&lt;10,0,"")&amp;DAY(Variables!$A$2)</f>
        <v>-16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1" t="e">
        <f>VLOOKUP(B5,'Train Runs'!$A$13:$A$99980,1,FALSE)</f>
        <v>#N/A</v>
      </c>
    </row>
    <row r="6" spans="1:10" x14ac:dyDescent="0.25">
      <c r="A6" s="167"/>
      <c r="B6" s="44" t="str">
        <f>A6&amp;"-"&amp;IF(DAY(Variables!$A$2)&lt;10,0,"")&amp;DAY(Variables!$A$2)</f>
        <v>-16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1" t="e">
        <f>VLOOKUP(B6,'Train Runs'!$A$13:$A$99980,1,FALSE)</f>
        <v>#N/A</v>
      </c>
    </row>
    <row r="7" spans="1:10" x14ac:dyDescent="0.25">
      <c r="A7" s="167"/>
      <c r="B7" s="44" t="str">
        <f>A7&amp;"-"&amp;IF(DAY(Variables!$A$2)&lt;10,0,"")&amp;DAY(Variables!$A$2)</f>
        <v>-16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1" t="e">
        <f>VLOOKUP(B7,'Train Runs'!$A$13:$A$99980,1,FALSE)</f>
        <v>#N/A</v>
      </c>
    </row>
    <row r="8" spans="1:10" x14ac:dyDescent="0.25">
      <c r="A8" s="167"/>
      <c r="B8" s="44" t="str">
        <f>A8&amp;"-"&amp;IF(DAY(Variables!$A$2)&lt;10,0,"")&amp;DAY(Variables!$A$2)</f>
        <v>-16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1" t="e">
        <f>VLOOKUP(B8,'Train Runs'!$A$13:$A$99980,1,FALSE)</f>
        <v>#N/A</v>
      </c>
    </row>
    <row r="9" spans="1:10" x14ac:dyDescent="0.25">
      <c r="A9" s="167"/>
      <c r="B9" s="44" t="str">
        <f>A9&amp;"-"&amp;IF(DAY(Variables!$A$2)&lt;10,0,"")&amp;DAY(Variables!$A$2)</f>
        <v>-16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1" t="e">
        <f>VLOOKUP(B9,'Train Runs'!$A$13:$A$99980,1,FALSE)</f>
        <v>#N/A</v>
      </c>
    </row>
    <row r="10" spans="1:10" x14ac:dyDescent="0.25">
      <c r="A10" s="167"/>
      <c r="B10" s="44" t="str">
        <f>A10&amp;"-"&amp;IF(DAY(Variables!$A$2)&lt;10,0,"")&amp;DAY(Variables!$A$2)</f>
        <v>-16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1" t="e">
        <f>VLOOKUP(B10,'Train Runs'!$A$13:$A$99980,1,FALSE)</f>
        <v>#N/A</v>
      </c>
    </row>
    <row r="11" spans="1:10" x14ac:dyDescent="0.25">
      <c r="A11" s="167"/>
      <c r="B11" s="44" t="str">
        <f>A11&amp;"-"&amp;IF(DAY(Variables!$A$2)&lt;10,0,"")&amp;DAY(Variables!$A$2)</f>
        <v>-16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1" t="e">
        <f>VLOOKUP(B11,'Train Runs'!$A$13:$A$99980,1,FALSE)</f>
        <v>#N/A</v>
      </c>
    </row>
    <row r="12" spans="1:10" x14ac:dyDescent="0.25">
      <c r="A12" s="167"/>
      <c r="B12" s="44" t="str">
        <f>A12&amp;"-"&amp;IF(DAY(Variables!$A$2)&lt;10,0,"")&amp;DAY(Variables!$A$2)</f>
        <v>-16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1" t="e">
        <f>VLOOKUP(B12,'Train Runs'!$A$13:$A$99980,1,FALSE)</f>
        <v>#N/A</v>
      </c>
    </row>
    <row r="13" spans="1:10" x14ac:dyDescent="0.25">
      <c r="A13" s="167"/>
      <c r="B13" s="44" t="str">
        <f>A13&amp;"-"&amp;IF(DAY(Variables!$A$2)&lt;10,0,"")&amp;DAY(Variables!$A$2)</f>
        <v>-16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1" t="e">
        <f>VLOOKUP(B13,'Train Runs'!$A$13:$A$99980,1,FALSE)</f>
        <v>#N/A</v>
      </c>
    </row>
    <row r="14" spans="1:10" x14ac:dyDescent="0.25">
      <c r="A14" s="167"/>
      <c r="B14" s="44" t="str">
        <f>A14&amp;"-"&amp;IF(DAY(Variables!$A$2)&lt;10,0,"")&amp;DAY(Variables!$A$2)</f>
        <v>-16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1" t="e">
        <f>VLOOKUP(B14,'Train Runs'!$A$13:$A$99980,1,FALSE)</f>
        <v>#N/A</v>
      </c>
    </row>
    <row r="15" spans="1:10" x14ac:dyDescent="0.25">
      <c r="A15" s="167"/>
      <c r="B15" s="44" t="str">
        <f>A15&amp;"-"&amp;IF(DAY(Variables!$A$2)&lt;10,0,"")&amp;DAY(Variables!$A$2)</f>
        <v>-16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1" t="e">
        <f>VLOOKUP(B15,'Train Runs'!$A$13:$A$99980,1,FALSE)</f>
        <v>#N/A</v>
      </c>
    </row>
    <row r="16" spans="1:10" x14ac:dyDescent="0.25">
      <c r="A16" s="167"/>
      <c r="B16" s="44" t="str">
        <f>A16&amp;"-"&amp;IF(DAY(Variables!$A$2)&lt;10,0,"")&amp;DAY(Variables!$A$2)</f>
        <v>-16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1" t="e">
        <f>VLOOKUP(B16,'Train Runs'!$A$13:$A$99980,1,FALSE)</f>
        <v>#N/A</v>
      </c>
    </row>
    <row r="17" spans="1:10" x14ac:dyDescent="0.25">
      <c r="A17" s="167"/>
      <c r="B17" s="44" t="str">
        <f>A17&amp;"-"&amp;IF(DAY(Variables!$A$2)&lt;10,0,"")&amp;DAY(Variables!$A$2)</f>
        <v>-16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1" t="e">
        <f>VLOOKUP(B17,'Train Runs'!$A$13:$A$99980,1,FALSE)</f>
        <v>#N/A</v>
      </c>
    </row>
    <row r="18" spans="1:10" x14ac:dyDescent="0.25">
      <c r="A18" s="167"/>
      <c r="B18" s="44" t="str">
        <f>A18&amp;"-"&amp;IF(DAY(Variables!$A$2)&lt;10,0,"")&amp;DAY(Variables!$A$2)</f>
        <v>-16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1" t="e">
        <f>VLOOKUP(B18,'Train Runs'!$A$13:$A$99980,1,FALSE)</f>
        <v>#N/A</v>
      </c>
    </row>
    <row r="19" spans="1:10" x14ac:dyDescent="0.25">
      <c r="A19" s="167"/>
      <c r="B19" s="44" t="str">
        <f>A19&amp;"-"&amp;IF(DAY(Variables!$A$2)&lt;10,0,"")&amp;DAY(Variables!$A$2)</f>
        <v>-16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9" s="31" t="e">
        <f>VLOOKUP(B19,'Train Runs'!$A$13:$A$99980,1,FALSE)</f>
        <v>#N/A</v>
      </c>
    </row>
    <row r="20" spans="1:10" x14ac:dyDescent="0.25">
      <c r="A20" s="167"/>
      <c r="B20" s="44" t="str">
        <f>A20&amp;"-"&amp;IF(DAY(Variables!$A$2)&lt;10,0,"")&amp;DAY(Variables!$A$2)</f>
        <v>-16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0" s="31" t="e">
        <f>VLOOKUP(B20,'Train Runs'!$A$13:$A$99980,1,FALSE)</f>
        <v>#N/A</v>
      </c>
    </row>
    <row r="21" spans="1:10" x14ac:dyDescent="0.25">
      <c r="A21" s="167"/>
      <c r="B21" s="44" t="str">
        <f>A21&amp;"-"&amp;IF(DAY(Variables!$A$2)&lt;10,0,"")&amp;DAY(Variables!$A$2)</f>
        <v>-16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1" s="31" t="e">
        <f>VLOOKUP(B21,'Train Runs'!$A$13:$A$99980,1,FALSE)</f>
        <v>#N/A</v>
      </c>
    </row>
    <row r="22" spans="1:10" x14ac:dyDescent="0.25">
      <c r="A22" s="167"/>
      <c r="B22" s="44" t="str">
        <f>A22&amp;"-"&amp;IF(DAY(Variables!$A$2)&lt;10,0,"")&amp;DAY(Variables!$A$2)</f>
        <v>-16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2" s="31" t="e">
        <f>VLOOKUP(B22,'Train Runs'!$A$13:$A$99980,1,FALSE)</f>
        <v>#N/A</v>
      </c>
    </row>
    <row r="23" spans="1:10" x14ac:dyDescent="0.25">
      <c r="A23" s="167"/>
      <c r="B23" s="44" t="str">
        <f>A23&amp;"-"&amp;IF(DAY(Variables!$A$2)&lt;10,0,"")&amp;DAY(Variables!$A$2)</f>
        <v>-16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3" s="31" t="e">
        <f>VLOOKUP(B23,'Train Runs'!$A$13:$A$99980,1,FALSE)</f>
        <v>#N/A</v>
      </c>
    </row>
    <row r="24" spans="1:10" x14ac:dyDescent="0.25">
      <c r="A24" s="167"/>
      <c r="B24" s="44" t="str">
        <f>A24&amp;"-"&amp;IF(DAY(Variables!$A$2)&lt;10,0,"")&amp;DAY(Variables!$A$2)</f>
        <v>-16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4" s="31" t="e">
        <f>VLOOKUP(B24,'Train Runs'!$A$13:$A$99980,1,FALSE)</f>
        <v>#N/A</v>
      </c>
    </row>
    <row r="25" spans="1:10" x14ac:dyDescent="0.25">
      <c r="A25" s="167"/>
      <c r="B25" s="44" t="str">
        <f>A25&amp;"-"&amp;IF(DAY(Variables!$A$2)&lt;10,0,"")&amp;DAY(Variables!$A$2)</f>
        <v>-16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5" s="31" t="e">
        <f>VLOOKUP(B25,'Train Runs'!$A$13:$A$99980,1,FALSE)</f>
        <v>#N/A</v>
      </c>
    </row>
    <row r="26" spans="1:10" x14ac:dyDescent="0.25">
      <c r="A26" s="167"/>
      <c r="B26" s="44" t="str">
        <f>A26&amp;"-"&amp;IF(DAY(Variables!$A$2)&lt;10,0,"")&amp;DAY(Variables!$A$2)</f>
        <v>-16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6" s="31" t="e">
        <f>VLOOKUP(B26,'Train Runs'!$A$13:$A$99980,1,FALSE)</f>
        <v>#N/A</v>
      </c>
    </row>
    <row r="27" spans="1:10" x14ac:dyDescent="0.25">
      <c r="A27" s="167"/>
      <c r="B27" s="44" t="str">
        <f>A27&amp;"-"&amp;IF(DAY(Variables!$A$2)&lt;10,0,"")&amp;DAY(Variables!$A$2)</f>
        <v>-16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7" s="31" t="e">
        <f>VLOOKUP(B27,'Train Runs'!$A$13:$A$99980,1,FALSE)</f>
        <v>#N/A</v>
      </c>
    </row>
    <row r="28" spans="1:10" x14ac:dyDescent="0.25">
      <c r="A28" s="167"/>
      <c r="B28" s="44" t="str">
        <f>A28&amp;"-"&amp;IF(DAY(Variables!$A$2)&lt;10,0,"")&amp;DAY(Variables!$A$2)</f>
        <v>-16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8" s="31" t="e">
        <f>VLOOKUP(B28,'Train Runs'!$A$13:$A$99980,1,FALSE)</f>
        <v>#N/A</v>
      </c>
    </row>
    <row r="29" spans="1:10" x14ac:dyDescent="0.25">
      <c r="A29" s="167"/>
      <c r="B29" s="44" t="str">
        <f>A29&amp;"-"&amp;IF(DAY(Variables!$A$2)&lt;10,0,"")&amp;DAY(Variables!$A$2)</f>
        <v>-16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9" s="31" t="e">
        <f>VLOOKUP(B29,'Train Runs'!$A$13:$A$99980,1,FALSE)</f>
        <v>#N/A</v>
      </c>
    </row>
    <row r="30" spans="1:10" x14ac:dyDescent="0.25">
      <c r="A30" s="167"/>
      <c r="B30" s="44" t="str">
        <f>A30&amp;"-"&amp;IF(DAY(Variables!$A$2)&lt;10,0,"")&amp;DAY(Variables!$A$2)</f>
        <v>-16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0" s="31" t="e">
        <f>VLOOKUP(B30,'Train Runs'!$A$13:$A$99980,1,FALSE)</f>
        <v>#N/A</v>
      </c>
    </row>
    <row r="31" spans="1:10" x14ac:dyDescent="0.25">
      <c r="A31" s="167"/>
      <c r="B31" s="44" t="str">
        <f>A31&amp;"-"&amp;IF(DAY(Variables!$A$2)&lt;10,0,"")&amp;DAY(Variables!$A$2)</f>
        <v>-16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1" s="31" t="e">
        <f>VLOOKUP(B31,'Train Runs'!$A$13:$A$99980,1,FALSE)</f>
        <v>#N/A</v>
      </c>
    </row>
    <row r="32" spans="1:10" x14ac:dyDescent="0.25">
      <c r="A32" s="167"/>
      <c r="B32" s="44" t="str">
        <f>A32&amp;"-"&amp;IF(DAY(Variables!$A$2)&lt;10,0,"")&amp;DAY(Variables!$A$2)</f>
        <v>-16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2" s="31" t="e">
        <f>VLOOKUP(B32,'Train Runs'!$A$13:$A$99980,1,FALSE)</f>
        <v>#N/A</v>
      </c>
    </row>
    <row r="33" spans="1:10" x14ac:dyDescent="0.25">
      <c r="A33" s="167"/>
      <c r="B33" s="44" t="str">
        <f>A33&amp;"-"&amp;IF(DAY(Variables!$A$2)&lt;10,0,"")&amp;DAY(Variables!$A$2)</f>
        <v>-16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3" s="31" t="e">
        <f>VLOOKUP(B33,'Train Runs'!$A$13:$A$99980,1,FALSE)</f>
        <v>#N/A</v>
      </c>
    </row>
    <row r="34" spans="1:10" x14ac:dyDescent="0.25">
      <c r="A34" s="167"/>
      <c r="B34" s="44" t="str">
        <f>A34&amp;"-"&amp;IF(DAY(Variables!$A$2)&lt;10,0,"")&amp;DAY(Variables!$A$2)</f>
        <v>-16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4" s="31" t="e">
        <f>VLOOKUP(B34,'Train Runs'!$A$13:$A$99980,1,FALSE)</f>
        <v>#N/A</v>
      </c>
    </row>
    <row r="35" spans="1:10" x14ac:dyDescent="0.25">
      <c r="A35" s="167"/>
      <c r="B35" s="44" t="str">
        <f>A35&amp;"-"&amp;IF(DAY(Variables!$A$2)&lt;10,0,"")&amp;DAY(Variables!$A$2)</f>
        <v>-16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5" s="31" t="e">
        <f>VLOOKUP(B35,'Train Runs'!$A$13:$A$99980,1,FALSE)</f>
        <v>#N/A</v>
      </c>
    </row>
    <row r="36" spans="1:10" x14ac:dyDescent="0.25">
      <c r="A36" s="167"/>
      <c r="B36" s="44" t="str">
        <f>A36&amp;"-"&amp;IF(DAY(Variables!$A$2)&lt;10,0,"")&amp;DAY(Variables!$A$2)</f>
        <v>-16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6" s="31" t="e">
        <f>VLOOKUP(B36,'Train Runs'!$A$13:$A$99980,1,FALSE)</f>
        <v>#N/A</v>
      </c>
    </row>
    <row r="37" spans="1:10" x14ac:dyDescent="0.25">
      <c r="A37" s="167"/>
      <c r="B37" s="44" t="str">
        <f>A37&amp;"-"&amp;IF(DAY(Variables!$A$2)&lt;10,0,"")&amp;DAY(Variables!$A$2)</f>
        <v>-16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7" s="31" t="e">
        <f>VLOOKUP(B37,'Train Runs'!$A$13:$A$99980,1,FALSE)</f>
        <v>#N/A</v>
      </c>
    </row>
    <row r="38" spans="1:10" x14ac:dyDescent="0.25">
      <c r="A38" s="167"/>
      <c r="B38" s="44" t="str">
        <f>A38&amp;"-"&amp;IF(DAY(Variables!$A$2)&lt;10,0,"")&amp;DAY(Variables!$A$2)</f>
        <v>-16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8" s="31" t="e">
        <f>VLOOKUP(B38,'Train Runs'!$A$13:$A$99980,1,FALSE)</f>
        <v>#N/A</v>
      </c>
    </row>
    <row r="39" spans="1:10" x14ac:dyDescent="0.25">
      <c r="A39" s="167"/>
      <c r="B39" s="44" t="str">
        <f>A39&amp;"-"&amp;IF(DAY(Variables!$A$2)&lt;10,0,"")&amp;DAY(Variables!$A$2)</f>
        <v>-16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9" s="31" t="e">
        <f>VLOOKUP(B39,'Train Runs'!$A$13:$A$99980,1,FALSE)</f>
        <v>#N/A</v>
      </c>
    </row>
    <row r="40" spans="1:10" x14ac:dyDescent="0.25">
      <c r="A40" s="167"/>
      <c r="B40" s="44" t="str">
        <f>A40&amp;"-"&amp;IF(DAY(Variables!$A$2)&lt;10,0,"")&amp;DAY(Variables!$A$2)</f>
        <v>-16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0" s="31" t="e">
        <f>VLOOKUP(B40,'Train Runs'!$A$13:$A$99980,1,FALSE)</f>
        <v>#N/A</v>
      </c>
    </row>
    <row r="41" spans="1:10" x14ac:dyDescent="0.25">
      <c r="A41" s="167"/>
      <c r="B41" s="44" t="str">
        <f>A41&amp;"-"&amp;IF(DAY(Variables!$A$2)&lt;10,0,"")&amp;DAY(Variables!$A$2)</f>
        <v>-16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1" s="31" t="e">
        <f>VLOOKUP(B41,'Train Runs'!$A$13:$A$99980,1,FALSE)</f>
        <v>#N/A</v>
      </c>
    </row>
    <row r="42" spans="1:10" x14ac:dyDescent="0.25">
      <c r="A42" s="167"/>
      <c r="B42" s="44" t="str">
        <f>A42&amp;"-"&amp;IF(DAY(Variables!$A$2)&lt;10,0,"")&amp;DAY(Variables!$A$2)</f>
        <v>-16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2" s="31" t="e">
        <f>VLOOKUP(B42,'Train Runs'!$A$13:$A$99980,1,FALSE)</f>
        <v>#N/A</v>
      </c>
    </row>
    <row r="43" spans="1:10" x14ac:dyDescent="0.25">
      <c r="A43" s="167"/>
      <c r="B43" s="44" t="str">
        <f>A43&amp;"-"&amp;IF(DAY(Variables!$A$2)&lt;10,0,"")&amp;DAY(Variables!$A$2)</f>
        <v>-16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3" s="31" t="e">
        <f>VLOOKUP(B43,'Train Runs'!$A$13:$A$99980,1,FALSE)</f>
        <v>#N/A</v>
      </c>
    </row>
    <row r="44" spans="1:10" x14ac:dyDescent="0.25">
      <c r="A44" s="167"/>
      <c r="B44" s="44" t="str">
        <f>A44&amp;"-"&amp;IF(DAY(Variables!$A$2)&lt;10,0,"")&amp;DAY(Variables!$A$2)</f>
        <v>-16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4" s="31" t="e">
        <f>VLOOKUP(B44,'Train Runs'!$A$13:$A$99980,1,FALSE)</f>
        <v>#N/A</v>
      </c>
    </row>
    <row r="45" spans="1:10" x14ac:dyDescent="0.25">
      <c r="A45" s="167"/>
      <c r="B45" s="44" t="str">
        <f>A45&amp;"-"&amp;IF(DAY(Variables!$A$2)&lt;10,0,"")&amp;DAY(Variables!$A$2)</f>
        <v>-16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5" s="31" t="e">
        <f>VLOOKUP(B45,'Train Runs'!$A$13:$A$99980,1,FALSE)</f>
        <v>#N/A</v>
      </c>
    </row>
    <row r="46" spans="1:10" x14ac:dyDescent="0.25">
      <c r="A46" s="167"/>
      <c r="B46" s="44" t="str">
        <f>A46&amp;"-"&amp;IF(DAY(Variables!$A$2)&lt;10,0,"")&amp;DAY(Variables!$A$2)</f>
        <v>-16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6" s="31" t="e">
        <f>VLOOKUP(B46,'Train Runs'!$A$13:$A$99980,1,FALSE)</f>
        <v>#N/A</v>
      </c>
    </row>
    <row r="47" spans="1:10" x14ac:dyDescent="0.25">
      <c r="A47" s="167"/>
      <c r="B47" s="44" t="str">
        <f>A47&amp;"-"&amp;IF(DAY(Variables!$A$2)&lt;10,0,"")&amp;DAY(Variables!$A$2)</f>
        <v>-16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7" s="31" t="e">
        <f>VLOOKUP(B47,'Train Runs'!$A$13:$A$99980,1,FALSE)</f>
        <v>#N/A</v>
      </c>
    </row>
    <row r="48" spans="1:10" x14ac:dyDescent="0.25">
      <c r="A48" s="167"/>
      <c r="B48" s="44" t="str">
        <f>A48&amp;"-"&amp;IF(DAY(Variables!$A$2)&lt;10,0,"")&amp;DAY(Variables!$A$2)</f>
        <v>-16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8" s="31" t="e">
        <f>VLOOKUP(B48,'Train Runs'!$A$13:$A$99980,1,FALSE)</f>
        <v>#N/A</v>
      </c>
    </row>
    <row r="49" spans="1:10" x14ac:dyDescent="0.25">
      <c r="A49" s="167"/>
      <c r="B49" s="44" t="str">
        <f>A49&amp;"-"&amp;IF(DAY(Variables!$A$2)&lt;10,0,"")&amp;DAY(Variables!$A$2)</f>
        <v>-16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9" s="31" t="e">
        <f>VLOOKUP(B49,'Train Runs'!$A$13:$A$99980,1,FALSE)</f>
        <v>#N/A</v>
      </c>
    </row>
    <row r="50" spans="1:10" x14ac:dyDescent="0.25">
      <c r="A50" s="167"/>
      <c r="B50" s="44" t="str">
        <f>A50&amp;"-"&amp;IF(DAY(Variables!$A$2)&lt;10,0,"")&amp;DAY(Variables!$A$2)</f>
        <v>-16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0" s="31" t="e">
        <f>VLOOKUP(B50,'Train Runs'!$A$13:$A$99980,1,FALSE)</f>
        <v>#N/A</v>
      </c>
    </row>
    <row r="51" spans="1:10" x14ac:dyDescent="0.25">
      <c r="A51" s="167"/>
      <c r="B51" s="44" t="str">
        <f>A51&amp;"-"&amp;IF(DAY(Variables!$A$2)&lt;10,0,"")&amp;DAY(Variables!$A$2)</f>
        <v>-16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1" s="31" t="e">
        <f>VLOOKUP(B51,'Train Runs'!$A$13:$A$99980,1,FALSE)</f>
        <v>#N/A</v>
      </c>
    </row>
    <row r="52" spans="1:10" x14ac:dyDescent="0.25">
      <c r="A52" s="167"/>
      <c r="B52" s="44" t="str">
        <f>A52&amp;"-"&amp;IF(DAY(Variables!$A$2)&lt;10,0,"")&amp;DAY(Variables!$A$2)</f>
        <v>-16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2" s="31" t="e">
        <f>VLOOKUP(B52,'Train Runs'!$A$13:$A$99980,1,FALSE)</f>
        <v>#N/A</v>
      </c>
    </row>
    <row r="53" spans="1:10" x14ac:dyDescent="0.25">
      <c r="A53" s="167"/>
      <c r="B53" s="44" t="str">
        <f>A53&amp;"-"&amp;IF(DAY(Variables!$A$2)&lt;10,0,"")&amp;DAY(Variables!$A$2)</f>
        <v>-16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3" s="31" t="e">
        <f>VLOOKUP(B53,'Train Runs'!$A$13:$A$99980,1,FALSE)</f>
        <v>#N/A</v>
      </c>
    </row>
    <row r="54" spans="1:10" x14ac:dyDescent="0.25">
      <c r="A54" s="167"/>
      <c r="B54" s="44" t="str">
        <f>A54&amp;"-"&amp;IF(DAY(Variables!$A$2)&lt;10,0,"")&amp;DAY(Variables!$A$2)</f>
        <v>-16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4" s="31" t="e">
        <f>VLOOKUP(B54,'Train Runs'!$A$13:$A$99980,1,FALSE)</f>
        <v>#N/A</v>
      </c>
    </row>
    <row r="55" spans="1:10" x14ac:dyDescent="0.25">
      <c r="A55" s="167"/>
      <c r="B55" s="44" t="str">
        <f>A55&amp;"-"&amp;IF(DAY(Variables!$A$2)&lt;10,0,"")&amp;DAY(Variables!$A$2)</f>
        <v>-16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5" s="31" t="e">
        <f>VLOOKUP(B55,'Train Runs'!$A$13:$A$99980,1,FALSE)</f>
        <v>#N/A</v>
      </c>
    </row>
    <row r="56" spans="1:10" x14ac:dyDescent="0.25">
      <c r="A56" s="167"/>
      <c r="B56" s="44" t="str">
        <f>A56&amp;"-"&amp;IF(DAY(Variables!$A$2)&lt;10,0,"")&amp;DAY(Variables!$A$2)</f>
        <v>-16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6" s="31" t="e">
        <f>VLOOKUP(B56,'Train Runs'!$A$13:$A$99980,1,FALSE)</f>
        <v>#N/A</v>
      </c>
    </row>
    <row r="57" spans="1:10" x14ac:dyDescent="0.25">
      <c r="A57" s="167"/>
      <c r="B57" s="44" t="str">
        <f>A57&amp;"-"&amp;IF(DAY(Variables!$A$2)&lt;10,0,"")&amp;DAY(Variables!$A$2)</f>
        <v>-16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7" s="31" t="e">
        <f>VLOOKUP(B57,'Train Runs'!$A$13:$A$99980,1,FALSE)</f>
        <v>#N/A</v>
      </c>
    </row>
    <row r="58" spans="1:10" x14ac:dyDescent="0.25">
      <c r="A58" s="167"/>
      <c r="B58" s="44" t="str">
        <f>A58&amp;"-"&amp;IF(DAY(Variables!$A$2)&lt;10,0,"")&amp;DAY(Variables!$A$2)</f>
        <v>-16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8" s="31" t="e">
        <f>VLOOKUP(B58,'Train Runs'!$A$13:$A$99980,1,FALSE)</f>
        <v>#N/A</v>
      </c>
    </row>
    <row r="59" spans="1:10" x14ac:dyDescent="0.25">
      <c r="A59" s="167"/>
      <c r="B59" s="44" t="str">
        <f>A59&amp;"-"&amp;IF(DAY(Variables!$A$2)&lt;10,0,"")&amp;DAY(Variables!$A$2)</f>
        <v>-16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9" s="31" t="e">
        <f>VLOOKUP(B59,'Train Runs'!$A$13:$A$99980,1,FALSE)</f>
        <v>#N/A</v>
      </c>
    </row>
    <row r="60" spans="1:10" x14ac:dyDescent="0.25">
      <c r="A60" s="167"/>
      <c r="B60" s="44" t="str">
        <f>A60&amp;"-"&amp;IF(DAY(Variables!$A$2)&lt;10,0,"")&amp;DAY(Variables!$A$2)</f>
        <v>-16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0" s="31" t="e">
        <f>VLOOKUP(B60,'Train Runs'!$A$13:$A$99980,1,FALSE)</f>
        <v>#N/A</v>
      </c>
    </row>
    <row r="61" spans="1:10" x14ac:dyDescent="0.25">
      <c r="A61" s="167"/>
      <c r="B61" s="44" t="str">
        <f>A61&amp;"-"&amp;IF(DAY(Variables!$A$2)&lt;10,0,"")&amp;DAY(Variables!$A$2)</f>
        <v>-16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1" s="31" t="e">
        <f>VLOOKUP(B61,'Train Runs'!$A$13:$A$99980,1,FALSE)</f>
        <v>#N/A</v>
      </c>
    </row>
    <row r="62" spans="1:10" x14ac:dyDescent="0.25">
      <c r="A62" s="167"/>
      <c r="B62" s="44" t="str">
        <f>A62&amp;"-"&amp;IF(DAY(Variables!$A$2)&lt;10,0,"")&amp;DAY(Variables!$A$2)</f>
        <v>-16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2" s="31" t="e">
        <f>VLOOKUP(B62,'Train Runs'!$A$13:$A$99980,1,FALSE)</f>
        <v>#N/A</v>
      </c>
    </row>
    <row r="63" spans="1:10" x14ac:dyDescent="0.25">
      <c r="A63" s="167"/>
      <c r="B63" s="44" t="str">
        <f>A63&amp;"-"&amp;IF(DAY(Variables!$A$2)&lt;10,0,"")&amp;DAY(Variables!$A$2)</f>
        <v>-16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3" s="31" t="e">
        <f>VLOOKUP(B63,'Train Runs'!$A$13:$A$99980,1,FALSE)</f>
        <v>#N/A</v>
      </c>
    </row>
    <row r="64" spans="1:10" x14ac:dyDescent="0.25">
      <c r="A64" s="167"/>
      <c r="B64" s="44" t="str">
        <f>A64&amp;"-"&amp;IF(DAY(Variables!$A$2)&lt;10,0,"")&amp;DAY(Variables!$A$2)</f>
        <v>-16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4" s="31" t="e">
        <f>VLOOKUP(B64,'Train Runs'!$A$13:$A$99980,1,FALSE)</f>
        <v>#N/A</v>
      </c>
    </row>
    <row r="65" spans="1:10" x14ac:dyDescent="0.25">
      <c r="A65" s="167"/>
      <c r="B65" s="44" t="str">
        <f>A65&amp;"-"&amp;IF(DAY(Variables!$A$2)&lt;10,0,"")&amp;DAY(Variables!$A$2)</f>
        <v>-16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5" s="31" t="e">
        <f>VLOOKUP(B65,'Train Runs'!$A$13:$A$99980,1,FALSE)</f>
        <v>#N/A</v>
      </c>
    </row>
    <row r="66" spans="1:10" x14ac:dyDescent="0.25">
      <c r="A66" s="167"/>
      <c r="B66" s="44" t="str">
        <f>A66&amp;"-"&amp;IF(DAY(Variables!$A$2)&lt;10,0,"")&amp;DAY(Variables!$A$2)</f>
        <v>-16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6" s="31" t="e">
        <f>VLOOKUP(B66,'Train Runs'!$A$13:$A$99980,1,FALSE)</f>
        <v>#N/A</v>
      </c>
    </row>
    <row r="67" spans="1:10" x14ac:dyDescent="0.25">
      <c r="A67" s="167"/>
      <c r="B67" s="44" t="str">
        <f>A67&amp;"-"&amp;IF(DAY(Variables!$A$2)&lt;10,0,"")&amp;DAY(Variables!$A$2)</f>
        <v>-16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ref="I67:I13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7" s="31" t="e">
        <f>VLOOKUP(B67,'Train Runs'!$A$13:$A$99980,1,FALSE)</f>
        <v>#N/A</v>
      </c>
    </row>
    <row r="68" spans="1:10" x14ac:dyDescent="0.25">
      <c r="A68" s="167"/>
      <c r="B68" s="44" t="str">
        <f>A68&amp;"-"&amp;IF(DAY(Variables!$A$2)&lt;10,0,"")&amp;DAY(Variables!$A$2)</f>
        <v>-16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8" s="31" t="e">
        <f>VLOOKUP(B68,'Train Runs'!$A$13:$A$99980,1,FALSE)</f>
        <v>#N/A</v>
      </c>
    </row>
    <row r="69" spans="1:10" x14ac:dyDescent="0.25">
      <c r="A69" s="167"/>
      <c r="B69" s="44" t="str">
        <f>A69&amp;"-"&amp;IF(DAY(Variables!$A$2)&lt;10,0,"")&amp;DAY(Variables!$A$2)</f>
        <v>-16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9" s="31" t="e">
        <f>VLOOKUP(B69,'Train Runs'!$A$13:$A$99980,1,FALSE)</f>
        <v>#N/A</v>
      </c>
    </row>
    <row r="70" spans="1:10" x14ac:dyDescent="0.25">
      <c r="A70" s="167"/>
      <c r="B70" s="44" t="str">
        <f>A70&amp;"-"&amp;IF(DAY(Variables!$A$2)&lt;10,0,"")&amp;DAY(Variables!$A$2)</f>
        <v>-16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0" s="31" t="e">
        <f>VLOOKUP(B70,'Train Runs'!$A$13:$A$99980,1,FALSE)</f>
        <v>#N/A</v>
      </c>
    </row>
    <row r="71" spans="1:10" x14ac:dyDescent="0.25">
      <c r="A71" s="167"/>
      <c r="B71" s="44" t="str">
        <f>A71&amp;"-"&amp;IF(DAY(Variables!$A$2)&lt;10,0,"")&amp;DAY(Variables!$A$2)</f>
        <v>-16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1" s="31" t="e">
        <f>VLOOKUP(B71,'Train Runs'!$A$13:$A$99980,1,FALSE)</f>
        <v>#N/A</v>
      </c>
    </row>
    <row r="72" spans="1:10" x14ac:dyDescent="0.25">
      <c r="A72" s="167"/>
      <c r="B72" s="44" t="str">
        <f>A72&amp;"-"&amp;IF(DAY(Variables!$A$2)&lt;10,0,"")&amp;DAY(Variables!$A$2)</f>
        <v>-16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2" s="31" t="e">
        <f>VLOOKUP(B72,'Train Runs'!$A$13:$A$99980,1,FALSE)</f>
        <v>#N/A</v>
      </c>
    </row>
    <row r="73" spans="1:10" x14ac:dyDescent="0.25">
      <c r="A73" s="167"/>
      <c r="B73" s="44" t="str">
        <f>A73&amp;"-"&amp;IF(DAY(Variables!$A$2)&lt;10,0,"")&amp;DAY(Variables!$A$2)</f>
        <v>-16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3" s="31" t="e">
        <f>VLOOKUP(B73,'Train Runs'!$A$13:$A$99980,1,FALSE)</f>
        <v>#N/A</v>
      </c>
    </row>
    <row r="74" spans="1:10" x14ac:dyDescent="0.25">
      <c r="A74" s="167"/>
      <c r="B74" s="44" t="str">
        <f>A74&amp;"-"&amp;IF(DAY(Variables!$A$2)&lt;10,0,"")&amp;DAY(Variables!$A$2)</f>
        <v>-16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4" s="31" t="e">
        <f>VLOOKUP(B74,'Train Runs'!$A$13:$A$99980,1,FALSE)</f>
        <v>#N/A</v>
      </c>
    </row>
    <row r="75" spans="1:10" x14ac:dyDescent="0.25">
      <c r="A75" s="167"/>
      <c r="B75" s="44" t="str">
        <f>A75&amp;"-"&amp;IF(DAY(Variables!$A$2)&lt;10,0,"")&amp;DAY(Variables!$A$2)</f>
        <v>-16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5" s="31" t="e">
        <f>VLOOKUP(B75,'Train Runs'!$A$13:$A$99980,1,FALSE)</f>
        <v>#N/A</v>
      </c>
    </row>
    <row r="76" spans="1:10" x14ac:dyDescent="0.25">
      <c r="A76" s="167"/>
      <c r="B76" s="44" t="str">
        <f>A76&amp;"-"&amp;IF(DAY(Variables!$A$2)&lt;10,0,"")&amp;DAY(Variables!$A$2)</f>
        <v>-16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6" s="31" t="e">
        <f>VLOOKUP(B76,'Train Runs'!$A$13:$A$99980,1,FALSE)</f>
        <v>#N/A</v>
      </c>
    </row>
    <row r="77" spans="1:10" x14ac:dyDescent="0.25">
      <c r="A77" s="167"/>
      <c r="B77" s="44" t="str">
        <f>A77&amp;"-"&amp;IF(DAY(Variables!$A$2)&lt;10,0,"")&amp;DAY(Variables!$A$2)</f>
        <v>-16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7" s="31" t="e">
        <f>VLOOKUP(B77,'Train Runs'!$A$13:$A$99980,1,FALSE)</f>
        <v>#N/A</v>
      </c>
    </row>
    <row r="78" spans="1:10" x14ac:dyDescent="0.25">
      <c r="A78" s="167"/>
      <c r="B78" s="44" t="str">
        <f>A78&amp;"-"&amp;IF(DAY(Variables!$A$2)&lt;10,0,"")&amp;DAY(Variables!$A$2)</f>
        <v>-16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8" s="31" t="e">
        <f>VLOOKUP(B78,'Train Runs'!$A$13:$A$99980,1,FALSE)</f>
        <v>#N/A</v>
      </c>
    </row>
    <row r="79" spans="1:10" x14ac:dyDescent="0.25">
      <c r="A79" s="167"/>
      <c r="B79" s="44" t="str">
        <f>A79&amp;"-"&amp;IF(DAY(Variables!$A$2)&lt;10,0,"")&amp;DAY(Variables!$A$2)</f>
        <v>-16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9" s="31" t="e">
        <f>VLOOKUP(B79,'Train Runs'!$A$13:$A$99980,1,FALSE)</f>
        <v>#N/A</v>
      </c>
    </row>
    <row r="80" spans="1:10" x14ac:dyDescent="0.25">
      <c r="A80" s="167"/>
      <c r="B80" s="44" t="str">
        <f>A80&amp;"-"&amp;IF(DAY(Variables!$A$2)&lt;10,0,"")&amp;DAY(Variables!$A$2)</f>
        <v>-16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0" s="31" t="e">
        <f>VLOOKUP(B80,'Train Runs'!$A$13:$A$99980,1,FALSE)</f>
        <v>#N/A</v>
      </c>
    </row>
    <row r="81" spans="1:10" x14ac:dyDescent="0.25">
      <c r="A81" s="167"/>
      <c r="B81" s="44" t="str">
        <f>A81&amp;"-"&amp;IF(DAY(Variables!$A$2)&lt;10,0,"")&amp;DAY(Variables!$A$2)</f>
        <v>-16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1" s="31" t="e">
        <f>VLOOKUP(B81,'Train Runs'!$A$13:$A$99980,1,FALSE)</f>
        <v>#N/A</v>
      </c>
    </row>
    <row r="82" spans="1:10" x14ac:dyDescent="0.25">
      <c r="A82" s="167"/>
      <c r="B82" s="44" t="str">
        <f>A82&amp;"-"&amp;IF(DAY(Variables!$A$2)&lt;10,0,"")&amp;DAY(Variables!$A$2)</f>
        <v>-16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2" s="31" t="e">
        <f>VLOOKUP(B82,'Train Runs'!$A$13:$A$99980,1,FALSE)</f>
        <v>#N/A</v>
      </c>
    </row>
    <row r="83" spans="1:10" x14ac:dyDescent="0.25">
      <c r="A83" s="167"/>
      <c r="B83" s="44" t="str">
        <f>A83&amp;"-"&amp;IF(DAY(Variables!$A$2)&lt;10,0,"")&amp;DAY(Variables!$A$2)</f>
        <v>-16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3" s="31" t="e">
        <f>VLOOKUP(B83,'Train Runs'!$A$13:$A$99980,1,FALSE)</f>
        <v>#N/A</v>
      </c>
    </row>
    <row r="84" spans="1:10" x14ac:dyDescent="0.25">
      <c r="A84" s="167"/>
      <c r="B84" s="44" t="str">
        <f>A84&amp;"-"&amp;IF(DAY(Variables!$A$2)&lt;10,0,"")&amp;DAY(Variables!$A$2)</f>
        <v>-16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4" s="31" t="e">
        <f>VLOOKUP(B84,'Train Runs'!$A$13:$A$99980,1,FALSE)</f>
        <v>#N/A</v>
      </c>
    </row>
    <row r="85" spans="1:10" x14ac:dyDescent="0.25">
      <c r="A85" s="167"/>
      <c r="B85" s="44" t="str">
        <f>A85&amp;"-"&amp;IF(DAY(Variables!$A$2)&lt;10,0,"")&amp;DAY(Variables!$A$2)</f>
        <v>-16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5" s="31" t="e">
        <f>VLOOKUP(B85,'Train Runs'!$A$13:$A$99980,1,FALSE)</f>
        <v>#N/A</v>
      </c>
    </row>
    <row r="86" spans="1:10" x14ac:dyDescent="0.25">
      <c r="A86" s="167"/>
      <c r="B86" s="44" t="str">
        <f>A86&amp;"-"&amp;IF(DAY(Variables!$A$2)&lt;10,0,"")&amp;DAY(Variables!$A$2)</f>
        <v>-16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6" s="31" t="e">
        <f>VLOOKUP(B86,'Train Runs'!$A$13:$A$99980,1,FALSE)</f>
        <v>#N/A</v>
      </c>
    </row>
    <row r="87" spans="1:10" x14ac:dyDescent="0.25">
      <c r="A87" s="167"/>
      <c r="B87" s="44" t="str">
        <f>A87&amp;"-"&amp;IF(DAY(Variables!$A$2)&lt;10,0,"")&amp;DAY(Variables!$A$2)</f>
        <v>-16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7" s="31" t="e">
        <f>VLOOKUP(B87,'Train Runs'!$A$13:$A$99980,1,FALSE)</f>
        <v>#N/A</v>
      </c>
    </row>
    <row r="88" spans="1:10" x14ac:dyDescent="0.25">
      <c r="A88" s="167"/>
      <c r="B88" s="44" t="str">
        <f>A88&amp;"-"&amp;IF(DAY(Variables!$A$2)&lt;10,0,"")&amp;DAY(Variables!$A$2)</f>
        <v>-16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8" s="31" t="e">
        <f>VLOOKUP(B88,'Train Runs'!$A$13:$A$99980,1,FALSE)</f>
        <v>#N/A</v>
      </c>
    </row>
    <row r="89" spans="1:10" x14ac:dyDescent="0.25">
      <c r="A89" s="167"/>
      <c r="B89" s="44" t="str">
        <f>A89&amp;"-"&amp;IF(DAY(Variables!$A$2)&lt;10,0,"")&amp;DAY(Variables!$A$2)</f>
        <v>-16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9" s="31" t="e">
        <f>VLOOKUP(B89,'Train Runs'!$A$13:$A$99980,1,FALSE)</f>
        <v>#N/A</v>
      </c>
    </row>
    <row r="90" spans="1:10" x14ac:dyDescent="0.25">
      <c r="A90" s="167"/>
      <c r="B90" s="44" t="str">
        <f>A90&amp;"-"&amp;IF(DAY(Variables!$A$2)&lt;10,0,"")&amp;DAY(Variables!$A$2)</f>
        <v>-16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0" s="31" t="e">
        <f>VLOOKUP(B90,'Train Runs'!$A$13:$A$99980,1,FALSE)</f>
        <v>#N/A</v>
      </c>
    </row>
    <row r="91" spans="1:10" x14ac:dyDescent="0.25">
      <c r="A91" s="167"/>
      <c r="B91" s="44" t="str">
        <f>A91&amp;"-"&amp;IF(DAY(Variables!$A$2)&lt;10,0,"")&amp;DAY(Variables!$A$2)</f>
        <v>-16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1" s="31" t="e">
        <f>VLOOKUP(B91,'Train Runs'!$A$13:$A$99980,1,FALSE)</f>
        <v>#N/A</v>
      </c>
    </row>
    <row r="92" spans="1:10" x14ac:dyDescent="0.25">
      <c r="A92" s="167"/>
      <c r="B92" s="44" t="str">
        <f>A92&amp;"-"&amp;IF(DAY(Variables!$A$2)&lt;10,0,"")&amp;DAY(Variables!$A$2)</f>
        <v>-16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2" s="31" t="e">
        <f>VLOOKUP(B92,'Train Runs'!$A$13:$A$99980,1,FALSE)</f>
        <v>#N/A</v>
      </c>
    </row>
    <row r="93" spans="1:10" x14ac:dyDescent="0.25">
      <c r="A93" s="167"/>
      <c r="B93" s="44" t="str">
        <f>A93&amp;"-"&amp;IF(DAY(Variables!$A$2)&lt;10,0,"")&amp;DAY(Variables!$A$2)</f>
        <v>-16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3" s="31" t="e">
        <f>VLOOKUP(B93,'Train Runs'!$A$13:$A$99980,1,FALSE)</f>
        <v>#N/A</v>
      </c>
    </row>
    <row r="94" spans="1:10" x14ac:dyDescent="0.25">
      <c r="A94" s="167"/>
      <c r="B94" s="44" t="str">
        <f>A94&amp;"-"&amp;IF(DAY(Variables!$A$2)&lt;10,0,"")&amp;DAY(Variables!$A$2)</f>
        <v>-16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4" s="31" t="e">
        <f>VLOOKUP(B94,'Train Runs'!$A$13:$A$99980,1,FALSE)</f>
        <v>#N/A</v>
      </c>
    </row>
    <row r="95" spans="1:10" x14ac:dyDescent="0.25">
      <c r="A95" s="167"/>
      <c r="B95" s="44" t="str">
        <f>A95&amp;"-"&amp;IF(DAY(Variables!$A$2)&lt;10,0,"")&amp;DAY(Variables!$A$2)</f>
        <v>-16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5" s="31" t="e">
        <f>VLOOKUP(B95,'Train Runs'!$A$13:$A$99980,1,FALSE)</f>
        <v>#N/A</v>
      </c>
    </row>
    <row r="96" spans="1:10" x14ac:dyDescent="0.25">
      <c r="A96" s="167"/>
      <c r="B96" s="44" t="str">
        <f>A96&amp;"-"&amp;IF(DAY(Variables!$A$2)&lt;10,0,"")&amp;DAY(Variables!$A$2)</f>
        <v>-16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6" s="31" t="e">
        <f>VLOOKUP(B96,'Train Runs'!$A$13:$A$99980,1,FALSE)</f>
        <v>#N/A</v>
      </c>
    </row>
    <row r="97" spans="1:10" x14ac:dyDescent="0.25">
      <c r="A97" s="167"/>
      <c r="B97" s="44" t="str">
        <f>A97&amp;"-"&amp;IF(DAY(Variables!$A$2)&lt;10,0,"")&amp;DAY(Variables!$A$2)</f>
        <v>-16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7" s="31" t="e">
        <f>VLOOKUP(B97,'Train Runs'!$A$13:$A$99980,1,FALSE)</f>
        <v>#N/A</v>
      </c>
    </row>
    <row r="98" spans="1:10" x14ac:dyDescent="0.25">
      <c r="A98" s="167"/>
      <c r="B98" s="44" t="str">
        <f>A98&amp;"-"&amp;IF(DAY(Variables!$A$2)&lt;10,0,"")&amp;DAY(Variables!$A$2)</f>
        <v>-16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8" s="31" t="e">
        <f>VLOOKUP(B98,'Train Runs'!$A$13:$A$99980,1,FALSE)</f>
        <v>#N/A</v>
      </c>
    </row>
    <row r="99" spans="1:10" x14ac:dyDescent="0.25">
      <c r="A99" s="167"/>
      <c r="B99" s="44" t="str">
        <f>A99&amp;"-"&amp;IF(DAY(Variables!$A$2)&lt;10,0,"")&amp;DAY(Variables!$A$2)</f>
        <v>-16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9" s="31" t="e">
        <f>VLOOKUP(B99,'Train Runs'!$A$13:$A$99980,1,FALSE)</f>
        <v>#N/A</v>
      </c>
    </row>
    <row r="100" spans="1:10" x14ac:dyDescent="0.25">
      <c r="A100" s="167"/>
      <c r="B100" s="44" t="str">
        <f>A100&amp;"-"&amp;IF(DAY(Variables!$A$2)&lt;10,0,"")&amp;DAY(Variables!$A$2)</f>
        <v>-16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0" s="31" t="e">
        <f>VLOOKUP(B100,'Train Runs'!$A$13:$A$99980,1,FALSE)</f>
        <v>#N/A</v>
      </c>
    </row>
    <row r="101" spans="1:10" x14ac:dyDescent="0.25">
      <c r="A101" s="167"/>
      <c r="B101" s="44" t="str">
        <f>A101&amp;"-"&amp;IF(DAY(Variables!$A$2)&lt;10,0,"")&amp;DAY(Variables!$A$2)</f>
        <v>-16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1" s="31" t="e">
        <f>VLOOKUP(B101,'Train Runs'!$A$13:$A$99980,1,FALSE)</f>
        <v>#N/A</v>
      </c>
    </row>
    <row r="102" spans="1:10" x14ac:dyDescent="0.25">
      <c r="A102" s="167"/>
      <c r="B102" s="44" t="str">
        <f>A102&amp;"-"&amp;IF(DAY(Variables!$A$2)&lt;10,0,"")&amp;DAY(Variables!$A$2)</f>
        <v>-16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2" s="31" t="e">
        <f>VLOOKUP(B102,'Train Runs'!$A$13:$A$99980,1,FALSE)</f>
        <v>#N/A</v>
      </c>
    </row>
    <row r="103" spans="1:10" x14ac:dyDescent="0.25">
      <c r="A103" s="167"/>
      <c r="B103" s="44" t="str">
        <f>A103&amp;"-"&amp;IF(DAY(Variables!$A$2)&lt;10,0,"")&amp;DAY(Variables!$A$2)</f>
        <v>-16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3" s="31" t="e">
        <f>VLOOKUP(B103,'Train Runs'!$A$13:$A$99980,1,FALSE)</f>
        <v>#N/A</v>
      </c>
    </row>
    <row r="104" spans="1:10" x14ac:dyDescent="0.25">
      <c r="A104" s="167"/>
      <c r="B104" s="44" t="str">
        <f>A104&amp;"-"&amp;IF(DAY(Variables!$A$2)&lt;10,0,"")&amp;DAY(Variables!$A$2)</f>
        <v>-16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4" s="31" t="e">
        <f>VLOOKUP(B104,'Train Runs'!$A$13:$A$99980,1,FALSE)</f>
        <v>#N/A</v>
      </c>
    </row>
    <row r="105" spans="1:10" x14ac:dyDescent="0.25">
      <c r="A105" s="167"/>
      <c r="B105" s="44" t="str">
        <f>A105&amp;"-"&amp;IF(DAY(Variables!$A$2)&lt;10,0,"")&amp;DAY(Variables!$A$2)</f>
        <v>-16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5" s="31" t="e">
        <f>VLOOKUP(B105,'Train Runs'!$A$13:$A$99980,1,FALSE)</f>
        <v>#N/A</v>
      </c>
    </row>
    <row r="106" spans="1:10" x14ac:dyDescent="0.25">
      <c r="A106" s="167"/>
      <c r="B106" s="44" t="str">
        <f>A106&amp;"-"&amp;IF(DAY(Variables!$A$2)&lt;10,0,"")&amp;DAY(Variables!$A$2)</f>
        <v>-16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6" s="31" t="e">
        <f>VLOOKUP(B106,'Train Runs'!$A$13:$A$99980,1,FALSE)</f>
        <v>#N/A</v>
      </c>
    </row>
    <row r="107" spans="1:10" x14ac:dyDescent="0.25">
      <c r="A107" s="167"/>
      <c r="B107" s="44" t="str">
        <f>A107&amp;"-"&amp;IF(DAY(Variables!$A$2)&lt;10,0,"")&amp;DAY(Variables!$A$2)</f>
        <v>-16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7" s="31" t="e">
        <f>VLOOKUP(B107,'Train Runs'!$A$13:$A$99980,1,FALSE)</f>
        <v>#N/A</v>
      </c>
    </row>
    <row r="108" spans="1:10" x14ac:dyDescent="0.25">
      <c r="A108" s="167"/>
      <c r="B108" s="44" t="str">
        <f>A108&amp;"-"&amp;IF(DAY(Variables!$A$2)&lt;10,0,"")&amp;DAY(Variables!$A$2)</f>
        <v>-16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8" s="31" t="e">
        <f>VLOOKUP(B108,'Train Runs'!$A$13:$A$99980,1,FALSE)</f>
        <v>#N/A</v>
      </c>
    </row>
    <row r="109" spans="1:10" x14ac:dyDescent="0.25">
      <c r="A109" s="167"/>
      <c r="B109" s="44" t="str">
        <f>A109&amp;"-"&amp;IF(DAY(Variables!$A$2)&lt;10,0,"")&amp;DAY(Variables!$A$2)</f>
        <v>-16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9" s="31" t="e">
        <f>VLOOKUP(B109,'Train Runs'!$A$13:$A$99980,1,FALSE)</f>
        <v>#N/A</v>
      </c>
    </row>
    <row r="110" spans="1:10" x14ac:dyDescent="0.25">
      <c r="A110" s="167"/>
      <c r="B110" s="44" t="str">
        <f>A110&amp;"-"&amp;IF(DAY(Variables!$A$2)&lt;10,0,"")&amp;DAY(Variables!$A$2)</f>
        <v>-16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0" s="31" t="e">
        <f>VLOOKUP(B110,'Train Runs'!$A$13:$A$99980,1,FALSE)</f>
        <v>#N/A</v>
      </c>
    </row>
    <row r="111" spans="1:10" x14ac:dyDescent="0.25">
      <c r="A111" s="167"/>
      <c r="B111" s="44" t="str">
        <f>A111&amp;"-"&amp;IF(DAY(Variables!$A$2)&lt;10,0,"")&amp;DAY(Variables!$A$2)</f>
        <v>-16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1" s="31" t="e">
        <f>VLOOKUP(B111,'Train Runs'!$A$13:$A$99980,1,FALSE)</f>
        <v>#N/A</v>
      </c>
    </row>
    <row r="112" spans="1:10" x14ac:dyDescent="0.25">
      <c r="A112" s="167"/>
      <c r="B112" s="44" t="str">
        <f>A112&amp;"-"&amp;IF(DAY(Variables!$A$2)&lt;10,0,"")&amp;DAY(Variables!$A$2)</f>
        <v>-16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2" s="31" t="e">
        <f>VLOOKUP(B112,'Train Runs'!$A$13:$A$99980,1,FALSE)</f>
        <v>#N/A</v>
      </c>
    </row>
    <row r="113" spans="1:10" x14ac:dyDescent="0.25">
      <c r="A113" s="167"/>
      <c r="B113" s="44" t="str">
        <f>A113&amp;"-"&amp;IF(DAY(Variables!$A$2)&lt;10,0,"")&amp;DAY(Variables!$A$2)</f>
        <v>-16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3" s="31" t="e">
        <f>VLOOKUP(B113,'Train Runs'!$A$13:$A$99980,1,FALSE)</f>
        <v>#N/A</v>
      </c>
    </row>
    <row r="114" spans="1:10" x14ac:dyDescent="0.25">
      <c r="A114" s="167"/>
      <c r="B114" s="44" t="str">
        <f>A114&amp;"-"&amp;IF(DAY(Variables!$A$2)&lt;10,0,"")&amp;DAY(Variables!$A$2)</f>
        <v>-16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4" s="31" t="e">
        <f>VLOOKUP(B114,'Train Runs'!$A$13:$A$99980,1,FALSE)</f>
        <v>#N/A</v>
      </c>
    </row>
    <row r="115" spans="1:10" x14ac:dyDescent="0.25">
      <c r="A115" s="167"/>
      <c r="B115" s="44" t="str">
        <f>A115&amp;"-"&amp;IF(DAY(Variables!$A$2)&lt;10,0,"")&amp;DAY(Variables!$A$2)</f>
        <v>-16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5" s="31" t="e">
        <f>VLOOKUP(B115,'Train Runs'!$A$13:$A$99980,1,FALSE)</f>
        <v>#N/A</v>
      </c>
    </row>
    <row r="116" spans="1:10" x14ac:dyDescent="0.25">
      <c r="A116" s="167"/>
      <c r="B116" s="44" t="str">
        <f>A116&amp;"-"&amp;IF(DAY(Variables!$A$2)&lt;10,0,"")&amp;DAY(Variables!$A$2)</f>
        <v>-16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6" s="31" t="e">
        <f>VLOOKUP(B116,'Train Runs'!$A$13:$A$99980,1,FALSE)</f>
        <v>#N/A</v>
      </c>
    </row>
    <row r="117" spans="1:10" x14ac:dyDescent="0.25">
      <c r="A117" s="167"/>
      <c r="B117" s="44" t="str">
        <f>A117&amp;"-"&amp;IF(DAY(Variables!$A$2)&lt;10,0,"")&amp;DAY(Variables!$A$2)</f>
        <v>-16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7" s="31" t="e">
        <f>VLOOKUP(B117,'Train Runs'!$A$13:$A$99980,1,FALSE)</f>
        <v>#N/A</v>
      </c>
    </row>
    <row r="118" spans="1:10" x14ac:dyDescent="0.25">
      <c r="A118" s="167"/>
      <c r="B118" s="44" t="str">
        <f>A118&amp;"-"&amp;IF(DAY(Variables!$A$2)&lt;10,0,"")&amp;DAY(Variables!$A$2)</f>
        <v>-16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8" s="31" t="e">
        <f>VLOOKUP(B118,'Train Runs'!$A$13:$A$99980,1,FALSE)</f>
        <v>#N/A</v>
      </c>
    </row>
    <row r="119" spans="1:10" x14ac:dyDescent="0.25">
      <c r="A119" s="167"/>
      <c r="B119" s="44" t="str">
        <f>A119&amp;"-"&amp;IF(DAY(Variables!$A$2)&lt;10,0,"")&amp;DAY(Variables!$A$2)</f>
        <v>-16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9" s="31" t="e">
        <f>VLOOKUP(B119,'Train Runs'!$A$13:$A$99980,1,FALSE)</f>
        <v>#N/A</v>
      </c>
    </row>
    <row r="120" spans="1:10" x14ac:dyDescent="0.25">
      <c r="A120" s="167"/>
      <c r="B120" s="44" t="str">
        <f>A120&amp;"-"&amp;IF(DAY(Variables!$A$2)&lt;10,0,"")&amp;DAY(Variables!$A$2)</f>
        <v>-16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0" s="31" t="e">
        <f>VLOOKUP(B120,'Train Runs'!$A$13:$A$99980,1,FALSE)</f>
        <v>#N/A</v>
      </c>
    </row>
    <row r="121" spans="1:10" x14ac:dyDescent="0.25">
      <c r="A121" s="167"/>
      <c r="B121" s="44" t="str">
        <f>A121&amp;"-"&amp;IF(DAY(Variables!$A$2)&lt;10,0,"")&amp;DAY(Variables!$A$2)</f>
        <v>-16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1" s="31" t="e">
        <f>VLOOKUP(B121,'Train Runs'!$A$13:$A$99980,1,FALSE)</f>
        <v>#N/A</v>
      </c>
    </row>
    <row r="122" spans="1:10" x14ac:dyDescent="0.25">
      <c r="A122" s="167"/>
      <c r="B122" s="44" t="str">
        <f>A122&amp;"-"&amp;IF(DAY(Variables!$A$2)&lt;10,0,"")&amp;DAY(Variables!$A$2)</f>
        <v>-16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2" s="31" t="e">
        <f>VLOOKUP(B122,'Train Runs'!$A$13:$A$99980,1,FALSE)</f>
        <v>#N/A</v>
      </c>
    </row>
    <row r="123" spans="1:10" x14ac:dyDescent="0.25">
      <c r="A123" s="167"/>
      <c r="B123" s="44" t="str">
        <f>A123&amp;"-"&amp;IF(DAY(Variables!$A$2)&lt;10,0,"")&amp;DAY(Variables!$A$2)</f>
        <v>-16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3" s="31" t="e">
        <f>VLOOKUP(B123,'Train Runs'!$A$13:$A$99980,1,FALSE)</f>
        <v>#N/A</v>
      </c>
    </row>
    <row r="124" spans="1:10" x14ac:dyDescent="0.25">
      <c r="A124" s="167"/>
      <c r="B124" s="44" t="str">
        <f>A124&amp;"-"&amp;IF(DAY(Variables!$A$2)&lt;10,0,"")&amp;DAY(Variables!$A$2)</f>
        <v>-16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4" s="31" t="e">
        <f>VLOOKUP(B124,'Train Runs'!$A$13:$A$99980,1,FALSE)</f>
        <v>#N/A</v>
      </c>
    </row>
    <row r="125" spans="1:10" x14ac:dyDescent="0.25">
      <c r="A125" s="167"/>
      <c r="B125" s="44" t="str">
        <f>A125&amp;"-"&amp;IF(DAY(Variables!$A$2)&lt;10,0,"")&amp;DAY(Variables!$A$2)</f>
        <v>-16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5" s="31" t="e">
        <f>VLOOKUP(B125,'Train Runs'!$A$13:$A$99980,1,FALSE)</f>
        <v>#N/A</v>
      </c>
    </row>
    <row r="126" spans="1:10" x14ac:dyDescent="0.25">
      <c r="A126" s="167"/>
      <c r="B126" s="44" t="str">
        <f>A126&amp;"-"&amp;IF(DAY(Variables!$A$2)&lt;10,0,"")&amp;DAY(Variables!$A$2)</f>
        <v>-16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6" s="31" t="e">
        <f>VLOOKUP(B126,'Train Runs'!$A$13:$A$99980,1,FALSE)</f>
        <v>#N/A</v>
      </c>
    </row>
    <row r="127" spans="1:10" x14ac:dyDescent="0.25">
      <c r="A127" s="167"/>
      <c r="B127" s="44" t="str">
        <f>A127&amp;"-"&amp;IF(DAY(Variables!$A$2)&lt;10,0,"")&amp;DAY(Variables!$A$2)</f>
        <v>-16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7" s="31" t="e">
        <f>VLOOKUP(B127,'Train Runs'!$A$13:$A$99980,1,FALSE)</f>
        <v>#N/A</v>
      </c>
    </row>
    <row r="128" spans="1:10" x14ac:dyDescent="0.25">
      <c r="A128" s="167"/>
      <c r="B128" s="44" t="str">
        <f>A128&amp;"-"&amp;IF(DAY(Variables!$A$2)&lt;10,0,"")&amp;DAY(Variables!$A$2)</f>
        <v>-16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8" s="31" t="e">
        <f>VLOOKUP(B128,'Train Runs'!$A$13:$A$99980,1,FALSE)</f>
        <v>#N/A</v>
      </c>
    </row>
    <row r="129" spans="1:10" x14ac:dyDescent="0.25">
      <c r="A129" s="167"/>
      <c r="B129" s="44" t="str">
        <f>A129&amp;"-"&amp;IF(DAY(Variables!$A$2)&lt;10,0,"")&amp;DAY(Variables!$A$2)</f>
        <v>-16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9" s="31" t="e">
        <f>VLOOKUP(B129,'Train Runs'!$A$13:$A$99980,1,FALSE)</f>
        <v>#N/A</v>
      </c>
    </row>
    <row r="130" spans="1:10" x14ac:dyDescent="0.25">
      <c r="A130" s="167"/>
      <c r="B130" s="44" t="str">
        <f>A130&amp;"-"&amp;IF(DAY(Variables!$A$2)&lt;10,0,"")&amp;DAY(Variables!$A$2)</f>
        <v>-16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0" s="31" t="e">
        <f>VLOOKUP(B130,'Train Runs'!$A$13:$A$99980,1,FALSE)</f>
        <v>#N/A</v>
      </c>
    </row>
    <row r="131" spans="1:10" x14ac:dyDescent="0.25">
      <c r="A131" s="167"/>
      <c r="B131" s="44" t="str">
        <f>A131&amp;"-"&amp;IF(DAY(Variables!$A$2)&lt;10,0,"")&amp;DAY(Variables!$A$2)</f>
        <v>-16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ref="I131:I13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1" s="31" t="e">
        <f>VLOOKUP(B131,'Train Runs'!$A$13:$A$99980,1,FALSE)</f>
        <v>#N/A</v>
      </c>
    </row>
    <row r="132" spans="1:10" x14ac:dyDescent="0.25">
      <c r="A132" s="167"/>
      <c r="B132" s="44" t="str">
        <f>A132&amp;"-"&amp;IF(DAY(Variables!$A$2)&lt;10,0,"")&amp;DAY(Variables!$A$2)</f>
        <v>-16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2" s="31" t="e">
        <f>VLOOKUP(B132,'Train Runs'!$A$13:$A$99980,1,FALSE)</f>
        <v>#N/A</v>
      </c>
    </row>
    <row r="133" spans="1:10" x14ac:dyDescent="0.25">
      <c r="A133" s="167"/>
      <c r="B133" s="44" t="str">
        <f>A133&amp;"-"&amp;IF(DAY(Variables!$A$2)&lt;10,0,"")&amp;DAY(Variables!$A$2)</f>
        <v>-16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3" s="31" t="e">
        <f>VLOOKUP(B133,'Train Runs'!$A$13:$A$99980,1,FALSE)</f>
        <v>#N/A</v>
      </c>
    </row>
    <row r="134" spans="1:10" x14ac:dyDescent="0.25">
      <c r="A134" s="167"/>
      <c r="B134" s="44" t="str">
        <f>A134&amp;"-"&amp;IF(DAY(Variables!$A$2)&lt;10,0,"")&amp;DAY(Variables!$A$2)</f>
        <v>-16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4" s="31" t="e">
        <f>VLOOKUP(B134,'Train Runs'!$A$13:$A$99980,1,FALSE)</f>
        <v>#N/A</v>
      </c>
    </row>
    <row r="135" spans="1:10" x14ac:dyDescent="0.25">
      <c r="A135" s="167"/>
      <c r="B135" s="44" t="str">
        <f>A135&amp;"-"&amp;IF(DAY(Variables!$A$2)&lt;10,0,"")&amp;DAY(Variables!$A$2)</f>
        <v>-16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5" s="31" t="e">
        <f>VLOOKUP(B135,'Train Runs'!$A$13:$A$99980,1,FALSE)</f>
        <v>#N/A</v>
      </c>
    </row>
    <row r="136" spans="1:10" x14ac:dyDescent="0.25">
      <c r="A136" s="167"/>
      <c r="B136" s="44" t="str">
        <f>A136&amp;"-"&amp;IF(DAY(Variables!$A$2)&lt;10,0,"")&amp;DAY(Variables!$A$2)</f>
        <v>-16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6" s="31" t="e">
        <f>VLOOKUP(B136,'Train Runs'!$A$13:$A$99980,1,FALSE)</f>
        <v>#N/A</v>
      </c>
    </row>
    <row r="137" spans="1:10" x14ac:dyDescent="0.25">
      <c r="A137" s="167"/>
      <c r="B137" s="44" t="str">
        <f>A137&amp;"-"&amp;IF(DAY(Variables!$A$2)&lt;10,0,"")&amp;DAY(Variables!$A$2)</f>
        <v>-16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7" s="31" t="e">
        <f>VLOOKUP(B137,'Train Runs'!$A$13:$A$99980,1,FALSE)</f>
        <v>#N/A</v>
      </c>
    </row>
  </sheetData>
  <autoFilter ref="A2:J137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234</v>
      </c>
      <c r="G1" s="8" t="s">
        <v>233</v>
      </c>
    </row>
    <row r="2" spans="1:7" x14ac:dyDescent="0.25">
      <c r="A2" s="8">
        <v>42751.051678240743</v>
      </c>
      <c r="B2" s="21" t="s">
        <v>281</v>
      </c>
      <c r="C2" s="21" t="s">
        <v>379</v>
      </c>
      <c r="D2" s="160">
        <v>2600000</v>
      </c>
      <c r="E2" s="21" t="s">
        <v>223</v>
      </c>
      <c r="F2" s="21" t="s">
        <v>330</v>
      </c>
      <c r="G2" s="8" t="str">
        <f>E2&amp;" "&amp;F2</f>
        <v>DAVIDSON DAVID</v>
      </c>
    </row>
    <row r="3" spans="1:7" x14ac:dyDescent="0.25">
      <c r="A3" s="8">
        <v>42751.052905092591</v>
      </c>
      <c r="B3" s="21" t="s">
        <v>281</v>
      </c>
      <c r="C3" s="21" t="s">
        <v>379</v>
      </c>
      <c r="D3" s="160">
        <v>2600000</v>
      </c>
      <c r="E3" s="21" t="s">
        <v>223</v>
      </c>
      <c r="F3" s="21" t="s">
        <v>330</v>
      </c>
      <c r="G3" s="8" t="str">
        <f t="shared" ref="G3:G66" si="0">E3&amp;" "&amp;F3</f>
        <v>DAVIDSON DAVID</v>
      </c>
    </row>
    <row r="4" spans="1:7" x14ac:dyDescent="0.25">
      <c r="A4" s="8">
        <v>42751.054201388892</v>
      </c>
      <c r="B4" s="21" t="s">
        <v>281</v>
      </c>
      <c r="C4" s="21" t="s">
        <v>379</v>
      </c>
      <c r="D4" s="160">
        <v>2600000</v>
      </c>
      <c r="E4" s="21" t="s">
        <v>223</v>
      </c>
      <c r="F4" s="21" t="s">
        <v>330</v>
      </c>
      <c r="G4" s="8" t="str">
        <f t="shared" si="0"/>
        <v>DAVIDSON DAVID</v>
      </c>
    </row>
    <row r="5" spans="1:7" x14ac:dyDescent="0.25">
      <c r="A5" s="8">
        <v>42751.059479166666</v>
      </c>
      <c r="B5" s="21" t="s">
        <v>244</v>
      </c>
      <c r="C5" s="21" t="s">
        <v>380</v>
      </c>
      <c r="D5" s="160">
        <v>2000000</v>
      </c>
      <c r="E5" s="21" t="s">
        <v>204</v>
      </c>
      <c r="F5" s="21" t="s">
        <v>232</v>
      </c>
      <c r="G5" s="8" t="str">
        <f t="shared" si="0"/>
        <v>STAMBAUGH JAMES</v>
      </c>
    </row>
    <row r="6" spans="1:7" x14ac:dyDescent="0.25">
      <c r="A6" s="8">
        <v>42751.068020833336</v>
      </c>
      <c r="B6" s="21" t="s">
        <v>304</v>
      </c>
      <c r="C6" s="21" t="s">
        <v>381</v>
      </c>
      <c r="D6" s="160">
        <v>2230000</v>
      </c>
      <c r="E6" s="21" t="s">
        <v>249</v>
      </c>
      <c r="F6" s="21" t="s">
        <v>240</v>
      </c>
      <c r="G6" s="8" t="str">
        <f t="shared" si="0"/>
        <v>SMITH MICHAEL</v>
      </c>
    </row>
    <row r="7" spans="1:7" x14ac:dyDescent="0.25">
      <c r="A7" s="8">
        <v>42751.088587962964</v>
      </c>
      <c r="B7" s="21" t="s">
        <v>219</v>
      </c>
      <c r="C7" s="21" t="s">
        <v>382</v>
      </c>
      <c r="D7" s="160">
        <v>2000000</v>
      </c>
      <c r="E7" s="21" t="s">
        <v>204</v>
      </c>
      <c r="F7" s="21" t="s">
        <v>232</v>
      </c>
      <c r="G7" s="8" t="str">
        <f t="shared" si="0"/>
        <v>STAMBAUGH JAMES</v>
      </c>
    </row>
    <row r="8" spans="1:7" x14ac:dyDescent="0.25">
      <c r="A8" s="8">
        <v>42751.089259259257</v>
      </c>
      <c r="B8" s="21" t="s">
        <v>219</v>
      </c>
      <c r="C8" s="21" t="s">
        <v>382</v>
      </c>
      <c r="D8" s="160">
        <v>2000000</v>
      </c>
      <c r="E8" s="21" t="s">
        <v>204</v>
      </c>
      <c r="F8" s="21" t="s">
        <v>232</v>
      </c>
      <c r="G8" s="8" t="str">
        <f t="shared" si="0"/>
        <v>STAMBAUGH JAMES</v>
      </c>
    </row>
    <row r="9" spans="1:7" ht="15.75" thickBot="1" x14ac:dyDescent="0.3">
      <c r="A9" s="25">
        <v>42751.090277777781</v>
      </c>
      <c r="B9" s="21" t="s">
        <v>219</v>
      </c>
      <c r="C9" s="21" t="s">
        <v>382</v>
      </c>
      <c r="D9" s="160">
        <v>2000000</v>
      </c>
      <c r="E9" s="21" t="s">
        <v>204</v>
      </c>
      <c r="F9" s="21" t="s">
        <v>232</v>
      </c>
      <c r="G9" s="8" t="str">
        <f t="shared" si="0"/>
        <v>STAMBAUGH JAMES</v>
      </c>
    </row>
    <row r="10" spans="1:7" x14ac:dyDescent="0.25">
      <c r="A10" s="8">
        <v>42751.116064814814</v>
      </c>
      <c r="B10" s="21" t="s">
        <v>212</v>
      </c>
      <c r="C10" s="21" t="s">
        <v>502</v>
      </c>
      <c r="D10" s="160">
        <v>2110000</v>
      </c>
      <c r="E10" s="21" t="s">
        <v>253</v>
      </c>
      <c r="F10" s="21" t="s">
        <v>254</v>
      </c>
      <c r="G10" s="8" t="str">
        <f t="shared" si="0"/>
        <v>OUN ZACK</v>
      </c>
    </row>
    <row r="11" spans="1:7" x14ac:dyDescent="0.25">
      <c r="A11" s="8">
        <v>42751.127384259256</v>
      </c>
      <c r="B11" s="21" t="s">
        <v>246</v>
      </c>
      <c r="C11" s="21" t="s">
        <v>503</v>
      </c>
      <c r="D11" s="160">
        <v>2110000</v>
      </c>
      <c r="E11" s="21" t="s">
        <v>253</v>
      </c>
      <c r="F11" s="21" t="s">
        <v>254</v>
      </c>
      <c r="G11" s="8" t="str">
        <f t="shared" si="0"/>
        <v>OUN ZACK</v>
      </c>
    </row>
    <row r="12" spans="1:7" x14ac:dyDescent="0.25">
      <c r="A12" s="8">
        <v>42751.128796296296</v>
      </c>
      <c r="B12" s="21" t="s">
        <v>246</v>
      </c>
      <c r="C12" s="21" t="s">
        <v>503</v>
      </c>
      <c r="D12" s="160">
        <v>2110000</v>
      </c>
      <c r="E12" s="21" t="s">
        <v>253</v>
      </c>
      <c r="F12" s="21" t="s">
        <v>254</v>
      </c>
      <c r="G12" s="8" t="str">
        <f t="shared" si="0"/>
        <v>OUN ZACK</v>
      </c>
    </row>
    <row r="13" spans="1:7" x14ac:dyDescent="0.25">
      <c r="A13" s="8">
        <v>42751.138865740744</v>
      </c>
      <c r="B13" s="21" t="s">
        <v>270</v>
      </c>
      <c r="C13" s="21" t="s">
        <v>504</v>
      </c>
      <c r="D13" s="160">
        <v>2010000</v>
      </c>
      <c r="E13" s="21" t="s">
        <v>366</v>
      </c>
      <c r="F13" s="21" t="s">
        <v>367</v>
      </c>
      <c r="G13" s="8" t="str">
        <f t="shared" si="0"/>
        <v>MAELZER KURT</v>
      </c>
    </row>
    <row r="14" spans="1:7" x14ac:dyDescent="0.25">
      <c r="A14" s="8">
        <v>42751.150243055556</v>
      </c>
      <c r="B14" s="21" t="s">
        <v>378</v>
      </c>
      <c r="C14" s="21" t="s">
        <v>505</v>
      </c>
      <c r="D14" s="160">
        <v>2010000</v>
      </c>
      <c r="E14" s="21" t="s">
        <v>366</v>
      </c>
      <c r="F14" s="21" t="s">
        <v>367</v>
      </c>
      <c r="G14" s="8" t="str">
        <f t="shared" si="0"/>
        <v>MAELZER KURT</v>
      </c>
    </row>
    <row r="15" spans="1:7" x14ac:dyDescent="0.25">
      <c r="A15" s="8">
        <v>42751.162546296298</v>
      </c>
      <c r="B15" s="21" t="s">
        <v>362</v>
      </c>
      <c r="C15" s="21" t="s">
        <v>506</v>
      </c>
      <c r="D15" s="160">
        <v>1110000</v>
      </c>
      <c r="E15" s="21" t="s">
        <v>507</v>
      </c>
      <c r="F15" s="21" t="s">
        <v>508</v>
      </c>
      <c r="G15" s="8" t="str">
        <f t="shared" si="0"/>
        <v>STARKS ANGELINA</v>
      </c>
    </row>
    <row r="16" spans="1:7" x14ac:dyDescent="0.25">
      <c r="A16" s="8">
        <v>42751.163402777776</v>
      </c>
      <c r="B16" s="21" t="s">
        <v>362</v>
      </c>
      <c r="C16" s="21" t="s">
        <v>509</v>
      </c>
      <c r="D16" s="160">
        <v>1110000</v>
      </c>
      <c r="E16" s="21" t="s">
        <v>507</v>
      </c>
      <c r="F16" s="21" t="s">
        <v>508</v>
      </c>
      <c r="G16" s="8" t="str">
        <f t="shared" si="0"/>
        <v>STARKS ANGELINA</v>
      </c>
    </row>
    <row r="17" spans="1:7" x14ac:dyDescent="0.25">
      <c r="A17" s="8">
        <v>42751.169317129628</v>
      </c>
      <c r="B17" s="21" t="s">
        <v>212</v>
      </c>
      <c r="C17" s="21" t="s">
        <v>510</v>
      </c>
      <c r="D17" s="160">
        <v>2110000</v>
      </c>
      <c r="E17" s="21" t="s">
        <v>253</v>
      </c>
      <c r="F17" s="21" t="s">
        <v>254</v>
      </c>
      <c r="G17" s="8" t="str">
        <f t="shared" si="0"/>
        <v>OUN ZACK</v>
      </c>
    </row>
    <row r="18" spans="1:7" x14ac:dyDescent="0.25">
      <c r="A18" s="8">
        <v>42751.171782407408</v>
      </c>
      <c r="B18" s="21" t="s">
        <v>312</v>
      </c>
      <c r="C18" s="21" t="s">
        <v>511</v>
      </c>
      <c r="D18" s="160">
        <v>2710000</v>
      </c>
      <c r="E18" s="21" t="s">
        <v>512</v>
      </c>
      <c r="F18" s="21" t="s">
        <v>513</v>
      </c>
      <c r="G18" s="8" t="str">
        <f t="shared" si="0"/>
        <v>SIMMONS SHYHESHA</v>
      </c>
    </row>
    <row r="19" spans="1:7" x14ac:dyDescent="0.25">
      <c r="A19" s="8">
        <v>42751.173020833332</v>
      </c>
      <c r="B19" s="21" t="s">
        <v>312</v>
      </c>
      <c r="C19" s="21" t="s">
        <v>511</v>
      </c>
      <c r="D19" s="160">
        <v>2710000</v>
      </c>
      <c r="E19" s="21" t="s">
        <v>512</v>
      </c>
      <c r="F19" s="21" t="s">
        <v>513</v>
      </c>
      <c r="G19" s="8" t="str">
        <f t="shared" si="0"/>
        <v>SIMMONS SHYHESHA</v>
      </c>
    </row>
    <row r="20" spans="1:7" x14ac:dyDescent="0.25">
      <c r="A20" s="8">
        <v>42751.175555555557</v>
      </c>
      <c r="B20" s="21" t="s">
        <v>207</v>
      </c>
      <c r="C20" s="21" t="s">
        <v>506</v>
      </c>
      <c r="D20" s="160">
        <v>1110000</v>
      </c>
      <c r="E20" s="21" t="s">
        <v>507</v>
      </c>
      <c r="F20" s="21" t="s">
        <v>508</v>
      </c>
      <c r="G20" s="8" t="str">
        <f t="shared" si="0"/>
        <v>STARKS ANGELINA</v>
      </c>
    </row>
    <row r="21" spans="1:7" x14ac:dyDescent="0.25">
      <c r="A21" s="8">
        <v>42751.178807870368</v>
      </c>
      <c r="B21" s="21" t="s">
        <v>323</v>
      </c>
      <c r="C21" s="21" t="s">
        <v>514</v>
      </c>
      <c r="D21" s="160">
        <v>2150000</v>
      </c>
      <c r="E21" s="21" t="s">
        <v>515</v>
      </c>
      <c r="F21" s="21" t="s">
        <v>516</v>
      </c>
      <c r="G21" s="8" t="str">
        <f t="shared" si="0"/>
        <v>SWANSON BRYCE</v>
      </c>
    </row>
    <row r="22" spans="1:7" x14ac:dyDescent="0.25">
      <c r="A22" s="27">
        <v>42751.183599537035</v>
      </c>
      <c r="B22" s="21" t="s">
        <v>311</v>
      </c>
      <c r="C22" s="21" t="s">
        <v>517</v>
      </c>
      <c r="D22" s="160">
        <v>2710000</v>
      </c>
      <c r="E22" s="21" t="s">
        <v>512</v>
      </c>
      <c r="F22" s="21" t="s">
        <v>513</v>
      </c>
      <c r="G22" s="8" t="str">
        <f t="shared" si="0"/>
        <v>SIMMONS SHYHESHA</v>
      </c>
    </row>
    <row r="23" spans="1:7" x14ac:dyDescent="0.25">
      <c r="A23" s="8">
        <v>42751.189293981479</v>
      </c>
      <c r="B23" s="21" t="s">
        <v>270</v>
      </c>
      <c r="C23" s="21" t="s">
        <v>518</v>
      </c>
      <c r="D23" s="160">
        <v>2010000</v>
      </c>
      <c r="E23" s="21" t="s">
        <v>366</v>
      </c>
      <c r="F23" s="21" t="s">
        <v>367</v>
      </c>
      <c r="G23" s="8" t="str">
        <f t="shared" si="0"/>
        <v>MAELZER KURT</v>
      </c>
    </row>
    <row r="24" spans="1:7" x14ac:dyDescent="0.25">
      <c r="A24" s="8">
        <v>42751.193136574075</v>
      </c>
      <c r="B24" s="21" t="s">
        <v>209</v>
      </c>
      <c r="C24" s="21" t="s">
        <v>519</v>
      </c>
      <c r="D24" s="160">
        <v>2150000</v>
      </c>
      <c r="E24" s="21" t="s">
        <v>515</v>
      </c>
      <c r="F24" s="21" t="s">
        <v>516</v>
      </c>
      <c r="G24" s="8" t="str">
        <f t="shared" si="0"/>
        <v>SWANSON BRYCE</v>
      </c>
    </row>
    <row r="25" spans="1:7" x14ac:dyDescent="0.25">
      <c r="A25" s="8">
        <v>42751.205289351848</v>
      </c>
      <c r="B25" s="21" t="s">
        <v>246</v>
      </c>
      <c r="C25" s="21" t="s">
        <v>520</v>
      </c>
      <c r="D25" s="160">
        <v>2680000</v>
      </c>
      <c r="E25" s="21" t="s">
        <v>521</v>
      </c>
      <c r="F25" s="21" t="s">
        <v>522</v>
      </c>
      <c r="G25" s="8" t="str">
        <f t="shared" si="0"/>
        <v>DUNCAN SHEILA</v>
      </c>
    </row>
    <row r="26" spans="1:7" x14ac:dyDescent="0.25">
      <c r="A26" s="8">
        <v>42751.207187499997</v>
      </c>
      <c r="B26" s="21" t="s">
        <v>328</v>
      </c>
      <c r="C26" s="21" t="s">
        <v>523</v>
      </c>
      <c r="D26" s="160">
        <v>2090000</v>
      </c>
      <c r="E26" s="21" t="s">
        <v>524</v>
      </c>
      <c r="F26" s="21" t="s">
        <v>240</v>
      </c>
      <c r="G26" s="8" t="str">
        <f t="shared" si="0"/>
        <v>HAITHCOX MICHAEL</v>
      </c>
    </row>
    <row r="27" spans="1:7" x14ac:dyDescent="0.25">
      <c r="A27" s="8">
        <v>42751.211192129631</v>
      </c>
      <c r="B27" s="21" t="s">
        <v>211</v>
      </c>
      <c r="C27" s="21" t="s">
        <v>525</v>
      </c>
      <c r="D27" s="160">
        <v>2110000</v>
      </c>
      <c r="E27" s="21" t="s">
        <v>253</v>
      </c>
      <c r="F27" s="21" t="s">
        <v>254</v>
      </c>
      <c r="G27" s="8" t="str">
        <f t="shared" si="0"/>
        <v>OUN ZACK</v>
      </c>
    </row>
    <row r="28" spans="1:7" x14ac:dyDescent="0.25">
      <c r="A28" s="8">
        <v>42751.216111111113</v>
      </c>
      <c r="B28" s="21" t="s">
        <v>325</v>
      </c>
      <c r="C28" s="21" t="s">
        <v>526</v>
      </c>
      <c r="D28" s="160">
        <v>2090000</v>
      </c>
      <c r="E28" s="21" t="s">
        <v>524</v>
      </c>
      <c r="F28" s="21" t="s">
        <v>240</v>
      </c>
      <c r="G28" s="8" t="str">
        <f t="shared" si="0"/>
        <v>HAITHCOX MICHAEL</v>
      </c>
    </row>
    <row r="29" spans="1:7" x14ac:dyDescent="0.25">
      <c r="A29" s="8">
        <v>42751.216504629629</v>
      </c>
      <c r="B29" s="21" t="s">
        <v>362</v>
      </c>
      <c r="C29" s="21" t="s">
        <v>527</v>
      </c>
      <c r="D29" s="160">
        <v>1110000</v>
      </c>
      <c r="E29" s="21" t="s">
        <v>507</v>
      </c>
      <c r="F29" s="21" t="s">
        <v>508</v>
      </c>
      <c r="G29" s="8" t="str">
        <f t="shared" si="0"/>
        <v>STARKS ANGELINA</v>
      </c>
    </row>
    <row r="30" spans="1:7" x14ac:dyDescent="0.25">
      <c r="A30" s="8">
        <v>42751.222962962966</v>
      </c>
      <c r="B30" s="21" t="s">
        <v>312</v>
      </c>
      <c r="C30" s="21" t="s">
        <v>528</v>
      </c>
      <c r="D30" s="160">
        <v>2710000</v>
      </c>
      <c r="E30" s="21" t="s">
        <v>512</v>
      </c>
      <c r="F30" s="21" t="s">
        <v>513</v>
      </c>
      <c r="G30" s="8" t="str">
        <f t="shared" si="0"/>
        <v>SIMMONS SHYHESHA</v>
      </c>
    </row>
    <row r="31" spans="1:7" x14ac:dyDescent="0.25">
      <c r="A31" s="8">
        <v>42751.227071759262</v>
      </c>
      <c r="B31" s="21" t="s">
        <v>266</v>
      </c>
      <c r="C31" s="21" t="s">
        <v>529</v>
      </c>
      <c r="D31" s="160">
        <v>2010000</v>
      </c>
      <c r="E31" s="21" t="s">
        <v>366</v>
      </c>
      <c r="F31" s="21" t="s">
        <v>367</v>
      </c>
      <c r="G31" s="8" t="str">
        <f t="shared" si="0"/>
        <v>MAELZER KURT</v>
      </c>
    </row>
    <row r="32" spans="1:7" x14ac:dyDescent="0.25">
      <c r="A32" s="8">
        <v>42751.227106481485</v>
      </c>
      <c r="B32" s="21" t="s">
        <v>378</v>
      </c>
      <c r="C32" s="21" t="s">
        <v>530</v>
      </c>
      <c r="D32" s="160">
        <v>2140000</v>
      </c>
      <c r="E32" s="21" t="s">
        <v>326</v>
      </c>
      <c r="F32" s="21" t="s">
        <v>327</v>
      </c>
      <c r="G32" s="8" t="str">
        <f t="shared" si="0"/>
        <v>ROBINSON KADDIBA</v>
      </c>
    </row>
    <row r="33" spans="1:7" x14ac:dyDescent="0.25">
      <c r="A33" s="8">
        <v>42751.227893518517</v>
      </c>
      <c r="B33" s="21" t="s">
        <v>378</v>
      </c>
      <c r="C33" s="21" t="s">
        <v>530</v>
      </c>
      <c r="D33" s="160">
        <v>2140000</v>
      </c>
      <c r="E33" s="21" t="s">
        <v>326</v>
      </c>
      <c r="F33" s="21" t="s">
        <v>327</v>
      </c>
      <c r="G33" s="8" t="str">
        <f t="shared" si="0"/>
        <v>ROBINSON KADDIBA</v>
      </c>
    </row>
    <row r="34" spans="1:7" x14ac:dyDescent="0.25">
      <c r="A34" s="8">
        <v>42751.228090277778</v>
      </c>
      <c r="B34" s="21" t="s">
        <v>323</v>
      </c>
      <c r="C34" s="21" t="s">
        <v>531</v>
      </c>
      <c r="D34" s="160">
        <v>2150000</v>
      </c>
      <c r="E34" s="21" t="s">
        <v>515</v>
      </c>
      <c r="F34" s="21" t="s">
        <v>516</v>
      </c>
      <c r="G34" s="8" t="str">
        <f t="shared" si="0"/>
        <v>SWANSON BRYCE</v>
      </c>
    </row>
    <row r="35" spans="1:7" x14ac:dyDescent="0.25">
      <c r="A35" s="8">
        <v>42751.236481481479</v>
      </c>
      <c r="B35" s="21" t="s">
        <v>245</v>
      </c>
      <c r="C35" s="21" t="s">
        <v>532</v>
      </c>
      <c r="D35" s="160">
        <v>2680000</v>
      </c>
      <c r="E35" s="21" t="s">
        <v>521</v>
      </c>
      <c r="F35" s="21" t="s">
        <v>522</v>
      </c>
      <c r="G35" s="8" t="str">
        <f t="shared" si="0"/>
        <v>DUNCAN SHEILA</v>
      </c>
    </row>
    <row r="36" spans="1:7" x14ac:dyDescent="0.25">
      <c r="A36" s="8">
        <v>42751.239363425928</v>
      </c>
      <c r="B36" s="21" t="s">
        <v>328</v>
      </c>
      <c r="C36" s="21" t="s">
        <v>533</v>
      </c>
      <c r="D36" s="160">
        <v>2090000</v>
      </c>
      <c r="E36" s="21" t="s">
        <v>524</v>
      </c>
      <c r="F36" s="21" t="s">
        <v>240</v>
      </c>
      <c r="G36" s="8" t="str">
        <f t="shared" si="0"/>
        <v>HAITHCOX MICHAEL</v>
      </c>
    </row>
    <row r="37" spans="1:7" x14ac:dyDescent="0.25">
      <c r="A37" s="8">
        <v>42751.247743055559</v>
      </c>
      <c r="B37" s="21" t="s">
        <v>207</v>
      </c>
      <c r="C37" s="21" t="s">
        <v>477</v>
      </c>
      <c r="D37" s="160">
        <v>1110000</v>
      </c>
      <c r="E37" s="21" t="s">
        <v>507</v>
      </c>
      <c r="F37" s="21" t="s">
        <v>508</v>
      </c>
      <c r="G37" s="8" t="str">
        <f t="shared" si="0"/>
        <v>STARKS ANGELINA</v>
      </c>
    </row>
    <row r="38" spans="1:7" x14ac:dyDescent="0.25">
      <c r="A38" s="8">
        <v>42751.25340277778</v>
      </c>
      <c r="B38" s="21" t="s">
        <v>363</v>
      </c>
      <c r="C38" s="21" t="s">
        <v>534</v>
      </c>
      <c r="D38" s="160">
        <v>2280000</v>
      </c>
      <c r="E38" s="21" t="s">
        <v>368</v>
      </c>
      <c r="F38" s="21" t="s">
        <v>369</v>
      </c>
      <c r="G38" s="8" t="str">
        <f t="shared" si="0"/>
        <v>MAHAN DUANE</v>
      </c>
    </row>
    <row r="39" spans="1:7" x14ac:dyDescent="0.25">
      <c r="A39" s="8">
        <v>42751.254120370373</v>
      </c>
      <c r="B39" s="21" t="s">
        <v>212</v>
      </c>
      <c r="C39" s="21" t="s">
        <v>535</v>
      </c>
      <c r="D39" s="160">
        <v>2110000</v>
      </c>
      <c r="E39" s="21" t="s">
        <v>253</v>
      </c>
      <c r="F39" s="21" t="s">
        <v>254</v>
      </c>
      <c r="G39" s="8" t="str">
        <f t="shared" si="0"/>
        <v>OUN ZACK</v>
      </c>
    </row>
    <row r="40" spans="1:7" x14ac:dyDescent="0.25">
      <c r="A40" s="8">
        <v>42751.255949074075</v>
      </c>
      <c r="B40" s="26" t="s">
        <v>325</v>
      </c>
      <c r="C40" s="21" t="s">
        <v>536</v>
      </c>
      <c r="D40" s="160">
        <v>2090000</v>
      </c>
      <c r="E40" s="21" t="s">
        <v>524</v>
      </c>
      <c r="F40" s="21" t="s">
        <v>240</v>
      </c>
      <c r="G40" s="8" t="str">
        <f t="shared" si="0"/>
        <v>HAITHCOX MICHAEL</v>
      </c>
    </row>
    <row r="41" spans="1:7" x14ac:dyDescent="0.25">
      <c r="A41" s="8">
        <v>42751.256990740738</v>
      </c>
      <c r="B41" s="21" t="s">
        <v>311</v>
      </c>
      <c r="C41" s="21" t="s">
        <v>537</v>
      </c>
      <c r="D41" s="160">
        <v>2710000</v>
      </c>
      <c r="E41" s="21" t="s">
        <v>512</v>
      </c>
      <c r="F41" s="21" t="s">
        <v>513</v>
      </c>
      <c r="G41" s="8" t="str">
        <f t="shared" si="0"/>
        <v>SIMMONS SHYHESHA</v>
      </c>
    </row>
    <row r="42" spans="1:7" x14ac:dyDescent="0.25">
      <c r="A42" s="8">
        <v>42751.262060185189</v>
      </c>
      <c r="B42" s="21" t="s">
        <v>261</v>
      </c>
      <c r="C42" s="21" t="s">
        <v>538</v>
      </c>
      <c r="D42" s="160">
        <v>2140000</v>
      </c>
      <c r="E42" s="21" t="s">
        <v>326</v>
      </c>
      <c r="F42" s="21" t="s">
        <v>327</v>
      </c>
      <c r="G42" s="8" t="str">
        <f t="shared" si="0"/>
        <v>ROBINSON KADDIBA</v>
      </c>
    </row>
    <row r="43" spans="1:7" x14ac:dyDescent="0.25">
      <c r="A43" s="8">
        <v>42751.263819444444</v>
      </c>
      <c r="B43" s="21" t="s">
        <v>222</v>
      </c>
      <c r="C43" s="21" t="s">
        <v>539</v>
      </c>
      <c r="D43" s="160">
        <v>2280000</v>
      </c>
      <c r="E43" s="21" t="s">
        <v>368</v>
      </c>
      <c r="F43" s="21" t="s">
        <v>369</v>
      </c>
      <c r="G43" s="8" t="str">
        <f t="shared" si="0"/>
        <v>MAHAN DUANE</v>
      </c>
    </row>
    <row r="44" spans="1:7" x14ac:dyDescent="0.25">
      <c r="A44" s="8">
        <v>42751.267777777779</v>
      </c>
      <c r="B44" s="21" t="s">
        <v>209</v>
      </c>
      <c r="C44" s="21" t="s">
        <v>540</v>
      </c>
      <c r="D44" s="160">
        <v>2150000</v>
      </c>
      <c r="E44" s="21" t="s">
        <v>515</v>
      </c>
      <c r="F44" s="21" t="s">
        <v>516</v>
      </c>
      <c r="G44" s="8" t="str">
        <f t="shared" si="0"/>
        <v>SWANSON BRYCE</v>
      </c>
    </row>
    <row r="45" spans="1:7" x14ac:dyDescent="0.25">
      <c r="A45" s="8">
        <v>42751.274895833332</v>
      </c>
      <c r="B45" s="21" t="s">
        <v>270</v>
      </c>
      <c r="C45" s="21" t="s">
        <v>479</v>
      </c>
      <c r="D45" s="160">
        <v>2010000</v>
      </c>
      <c r="E45" s="21" t="s">
        <v>366</v>
      </c>
      <c r="F45" s="21" t="s">
        <v>367</v>
      </c>
      <c r="G45" s="8" t="str">
        <f t="shared" si="0"/>
        <v>MAELZER KURT</v>
      </c>
    </row>
    <row r="46" spans="1:7" x14ac:dyDescent="0.25">
      <c r="A46" s="8">
        <v>42751.276087962964</v>
      </c>
      <c r="B46" s="21" t="s">
        <v>328</v>
      </c>
      <c r="C46" s="21" t="s">
        <v>541</v>
      </c>
      <c r="D46" s="160">
        <v>2090000</v>
      </c>
      <c r="E46" s="21" t="s">
        <v>524</v>
      </c>
      <c r="F46" s="21" t="s">
        <v>240</v>
      </c>
      <c r="G46" s="8" t="str">
        <f t="shared" si="0"/>
        <v>HAITHCOX MICHAEL</v>
      </c>
    </row>
    <row r="47" spans="1:7" x14ac:dyDescent="0.25">
      <c r="A47" s="8">
        <v>42751.276331018518</v>
      </c>
      <c r="B47" s="21" t="s">
        <v>246</v>
      </c>
      <c r="C47" s="21" t="s">
        <v>542</v>
      </c>
      <c r="D47" s="160">
        <v>2680000</v>
      </c>
      <c r="E47" s="21" t="s">
        <v>521</v>
      </c>
      <c r="F47" s="21" t="s">
        <v>522</v>
      </c>
      <c r="G47" s="8" t="str">
        <f t="shared" si="0"/>
        <v>DUNCAN SHEILA</v>
      </c>
    </row>
    <row r="48" spans="1:7" x14ac:dyDescent="0.25">
      <c r="A48" s="8">
        <v>42751.277384259258</v>
      </c>
      <c r="B48" s="21" t="s">
        <v>363</v>
      </c>
      <c r="C48" s="21" t="s">
        <v>543</v>
      </c>
      <c r="D48" s="160">
        <v>2280000</v>
      </c>
      <c r="E48" s="21" t="s">
        <v>368</v>
      </c>
      <c r="F48" s="21" t="s">
        <v>369</v>
      </c>
      <c r="G48" s="8" t="str">
        <f t="shared" si="0"/>
        <v>MAHAN DUANE</v>
      </c>
    </row>
    <row r="49" spans="1:7" x14ac:dyDescent="0.25">
      <c r="A49" s="8">
        <v>42751.286736111113</v>
      </c>
      <c r="B49" s="21" t="s">
        <v>211</v>
      </c>
      <c r="C49" s="21" t="s">
        <v>544</v>
      </c>
      <c r="D49" s="160">
        <v>2110000</v>
      </c>
      <c r="E49" s="21" t="s">
        <v>253</v>
      </c>
      <c r="F49" s="21" t="s">
        <v>254</v>
      </c>
      <c r="G49" s="8" t="str">
        <f t="shared" si="0"/>
        <v>OUN ZACK</v>
      </c>
    </row>
    <row r="50" spans="1:7" x14ac:dyDescent="0.25">
      <c r="A50" s="8">
        <v>42751.287789351853</v>
      </c>
      <c r="B50" s="21" t="s">
        <v>276</v>
      </c>
      <c r="C50" s="21" t="s">
        <v>478</v>
      </c>
      <c r="D50" s="160">
        <v>1110000</v>
      </c>
      <c r="E50" s="21" t="s">
        <v>507</v>
      </c>
      <c r="F50" s="21" t="s">
        <v>508</v>
      </c>
      <c r="G50" s="8" t="str">
        <f t="shared" si="0"/>
        <v>STARKS ANGELINA</v>
      </c>
    </row>
    <row r="51" spans="1:7" x14ac:dyDescent="0.25">
      <c r="A51" s="8">
        <v>42751.293043981481</v>
      </c>
      <c r="B51" s="21" t="s">
        <v>312</v>
      </c>
      <c r="C51" s="21" t="s">
        <v>545</v>
      </c>
      <c r="D51" s="160">
        <v>2710000</v>
      </c>
      <c r="E51" s="21" t="s">
        <v>512</v>
      </c>
      <c r="F51" s="21" t="s">
        <v>513</v>
      </c>
      <c r="G51" s="8" t="str">
        <f t="shared" si="0"/>
        <v>SIMMONS SHYHESHA</v>
      </c>
    </row>
    <row r="52" spans="1:7" x14ac:dyDescent="0.25">
      <c r="A52" s="8">
        <v>42751.297569444447</v>
      </c>
      <c r="B52" s="21" t="s">
        <v>325</v>
      </c>
      <c r="C52" s="21" t="s">
        <v>546</v>
      </c>
      <c r="D52" s="160">
        <v>2090000</v>
      </c>
      <c r="E52" s="21" t="s">
        <v>524</v>
      </c>
      <c r="F52" s="21" t="s">
        <v>240</v>
      </c>
      <c r="G52" s="8" t="str">
        <f t="shared" si="0"/>
        <v>HAITHCOX MICHAEL</v>
      </c>
    </row>
    <row r="53" spans="1:7" x14ac:dyDescent="0.25">
      <c r="A53" s="8">
        <v>42751.29855324074</v>
      </c>
      <c r="B53" s="21" t="s">
        <v>222</v>
      </c>
      <c r="C53" s="21" t="s">
        <v>481</v>
      </c>
      <c r="D53" s="160">
        <v>2280000</v>
      </c>
      <c r="E53" s="21" t="s">
        <v>368</v>
      </c>
      <c r="F53" s="21" t="s">
        <v>369</v>
      </c>
      <c r="G53" s="8" t="str">
        <f t="shared" si="0"/>
        <v>MAHAN DUANE</v>
      </c>
    </row>
    <row r="54" spans="1:7" x14ac:dyDescent="0.25">
      <c r="A54" s="8">
        <v>42751.301157407404</v>
      </c>
      <c r="B54" s="21" t="s">
        <v>323</v>
      </c>
      <c r="C54" s="21" t="s">
        <v>547</v>
      </c>
      <c r="D54" s="160">
        <v>2150000</v>
      </c>
      <c r="E54" s="21" t="s">
        <v>515</v>
      </c>
      <c r="F54" s="21" t="s">
        <v>516</v>
      </c>
      <c r="G54" s="8" t="str">
        <f t="shared" si="0"/>
        <v>SWANSON BRYCE</v>
      </c>
    </row>
    <row r="55" spans="1:7" x14ac:dyDescent="0.25">
      <c r="A55" s="8">
        <v>42751.301192129627</v>
      </c>
      <c r="B55" s="21" t="s">
        <v>378</v>
      </c>
      <c r="C55" s="21" t="s">
        <v>548</v>
      </c>
      <c r="D55" s="160">
        <v>2140000</v>
      </c>
      <c r="E55" s="21" t="s">
        <v>326</v>
      </c>
      <c r="F55" s="21" t="s">
        <v>327</v>
      </c>
      <c r="G55" s="8" t="str">
        <f t="shared" si="0"/>
        <v>ROBINSON KADDIBA</v>
      </c>
    </row>
    <row r="56" spans="1:7" x14ac:dyDescent="0.25">
      <c r="A56" s="8">
        <v>42751.308356481481</v>
      </c>
      <c r="B56" s="21" t="s">
        <v>245</v>
      </c>
      <c r="C56" s="21" t="s">
        <v>549</v>
      </c>
      <c r="D56" s="160">
        <v>2680000</v>
      </c>
      <c r="E56" s="21" t="s">
        <v>521</v>
      </c>
      <c r="F56" s="21" t="s">
        <v>522</v>
      </c>
      <c r="G56" s="8" t="str">
        <f t="shared" si="0"/>
        <v>DUNCAN SHEILA</v>
      </c>
    </row>
    <row r="57" spans="1:7" x14ac:dyDescent="0.25">
      <c r="A57" s="8">
        <v>42751.310648148145</v>
      </c>
      <c r="B57" s="21" t="s">
        <v>266</v>
      </c>
      <c r="C57" s="21" t="s">
        <v>480</v>
      </c>
      <c r="D57" s="160">
        <v>2010000</v>
      </c>
      <c r="E57" s="21" t="s">
        <v>366</v>
      </c>
      <c r="F57" s="21" t="s">
        <v>367</v>
      </c>
      <c r="G57" s="8" t="str">
        <f t="shared" si="0"/>
        <v>MAELZER KURT</v>
      </c>
    </row>
    <row r="58" spans="1:7" x14ac:dyDescent="0.25">
      <c r="A58" s="8">
        <v>42751.312430555554</v>
      </c>
      <c r="B58" s="21" t="s">
        <v>328</v>
      </c>
      <c r="C58" s="21" t="s">
        <v>550</v>
      </c>
      <c r="D58" s="160">
        <v>2090000</v>
      </c>
      <c r="E58" s="21" t="s">
        <v>524</v>
      </c>
      <c r="F58" s="21" t="s">
        <v>240</v>
      </c>
      <c r="G58" s="8" t="str">
        <f t="shared" si="0"/>
        <v>HAITHCOX MICHAEL</v>
      </c>
    </row>
    <row r="59" spans="1:7" x14ac:dyDescent="0.25">
      <c r="A59" s="8">
        <v>42751.319039351853</v>
      </c>
      <c r="B59" s="21" t="s">
        <v>363</v>
      </c>
      <c r="C59" s="21" t="s">
        <v>551</v>
      </c>
      <c r="D59" s="160">
        <v>2280000</v>
      </c>
      <c r="E59" s="21" t="s">
        <v>368</v>
      </c>
      <c r="F59" s="21" t="s">
        <v>369</v>
      </c>
      <c r="G59" s="8" t="str">
        <f t="shared" si="0"/>
        <v>MAHAN DUANE</v>
      </c>
    </row>
    <row r="60" spans="1:7" x14ac:dyDescent="0.25">
      <c r="A60" s="8">
        <v>42751.319722222222</v>
      </c>
      <c r="B60" s="21" t="s">
        <v>371</v>
      </c>
      <c r="C60" s="21" t="s">
        <v>552</v>
      </c>
      <c r="D60" s="160">
        <v>1090000</v>
      </c>
      <c r="E60" s="21" t="s">
        <v>553</v>
      </c>
      <c r="F60" s="21" t="s">
        <v>240</v>
      </c>
      <c r="G60" s="8" t="str">
        <f t="shared" si="0"/>
        <v>SPECTOR MICHAEL</v>
      </c>
    </row>
    <row r="61" spans="1:7" x14ac:dyDescent="0.25">
      <c r="A61" s="8">
        <v>42751.325601851851</v>
      </c>
      <c r="B61" s="21" t="s">
        <v>212</v>
      </c>
      <c r="C61" s="21" t="s">
        <v>554</v>
      </c>
      <c r="D61" s="160">
        <v>2110000</v>
      </c>
      <c r="E61" s="21" t="s">
        <v>253</v>
      </c>
      <c r="F61" s="21" t="s">
        <v>254</v>
      </c>
      <c r="G61" s="8" t="str">
        <f t="shared" si="0"/>
        <v>OUN ZACK</v>
      </c>
    </row>
    <row r="62" spans="1:7" x14ac:dyDescent="0.25">
      <c r="A62" s="8">
        <v>42751.33221064815</v>
      </c>
      <c r="B62" s="21" t="s">
        <v>311</v>
      </c>
      <c r="C62" s="21" t="s">
        <v>482</v>
      </c>
      <c r="D62" s="160">
        <v>2710000</v>
      </c>
      <c r="E62" s="21" t="s">
        <v>512</v>
      </c>
      <c r="F62" s="21" t="s">
        <v>513</v>
      </c>
      <c r="G62" s="8" t="str">
        <f t="shared" si="0"/>
        <v>SIMMONS SHYHESHA</v>
      </c>
    </row>
    <row r="63" spans="1:7" x14ac:dyDescent="0.25">
      <c r="A63" s="8">
        <v>42751.334999999999</v>
      </c>
      <c r="B63" s="21" t="s">
        <v>261</v>
      </c>
      <c r="C63" s="21" t="s">
        <v>555</v>
      </c>
      <c r="D63" s="160">
        <v>2140000</v>
      </c>
      <c r="E63" s="21" t="s">
        <v>326</v>
      </c>
      <c r="F63" s="21" t="s">
        <v>327</v>
      </c>
      <c r="G63" s="8" t="str">
        <f t="shared" si="0"/>
        <v>ROBINSON KADDIBA</v>
      </c>
    </row>
    <row r="64" spans="1:7" x14ac:dyDescent="0.25">
      <c r="A64" s="27">
        <v>42751.338171296295</v>
      </c>
      <c r="B64" s="21" t="s">
        <v>222</v>
      </c>
      <c r="C64" s="21" t="s">
        <v>556</v>
      </c>
      <c r="D64" s="160">
        <v>2280000</v>
      </c>
      <c r="E64" s="21" t="s">
        <v>368</v>
      </c>
      <c r="F64" s="21" t="s">
        <v>369</v>
      </c>
      <c r="G64" s="8" t="str">
        <f t="shared" si="0"/>
        <v>MAHAN DUANE</v>
      </c>
    </row>
    <row r="65" spans="1:7" x14ac:dyDescent="0.25">
      <c r="A65" s="8">
        <v>42751.342152777775</v>
      </c>
      <c r="B65" s="21" t="s">
        <v>325</v>
      </c>
      <c r="C65" s="21" t="s">
        <v>557</v>
      </c>
      <c r="D65" s="160">
        <v>2090000</v>
      </c>
      <c r="E65" s="21" t="s">
        <v>524</v>
      </c>
      <c r="F65" s="21" t="s">
        <v>240</v>
      </c>
      <c r="G65" s="8" t="str">
        <f t="shared" si="0"/>
        <v>HAITHCOX MICHAEL</v>
      </c>
    </row>
    <row r="66" spans="1:7" x14ac:dyDescent="0.25">
      <c r="A66" s="8">
        <v>42751.343229166669</v>
      </c>
      <c r="B66" s="21" t="s">
        <v>209</v>
      </c>
      <c r="C66" s="21" t="s">
        <v>558</v>
      </c>
      <c r="D66" s="160">
        <v>2150000</v>
      </c>
      <c r="E66" s="21" t="s">
        <v>515</v>
      </c>
      <c r="F66" s="21" t="s">
        <v>516</v>
      </c>
      <c r="G66" s="8" t="str">
        <f t="shared" si="0"/>
        <v>SWANSON BRYCE</v>
      </c>
    </row>
    <row r="67" spans="1:7" x14ac:dyDescent="0.25">
      <c r="A67" s="8">
        <v>42751.348807870374</v>
      </c>
      <c r="B67" s="21" t="s">
        <v>270</v>
      </c>
      <c r="C67" s="21" t="s">
        <v>559</v>
      </c>
      <c r="D67" s="160">
        <v>2010000</v>
      </c>
      <c r="E67" s="21" t="s">
        <v>366</v>
      </c>
      <c r="F67" s="21" t="s">
        <v>367</v>
      </c>
      <c r="G67" s="8" t="str">
        <f t="shared" ref="G67:G130" si="1">E67&amp;" "&amp;F67</f>
        <v>MAELZER KURT</v>
      </c>
    </row>
    <row r="68" spans="1:7" x14ac:dyDescent="0.25">
      <c r="A68" s="8">
        <v>42751.352337962962</v>
      </c>
      <c r="B68" s="21" t="s">
        <v>246</v>
      </c>
      <c r="C68" s="21" t="s">
        <v>560</v>
      </c>
      <c r="D68" s="160">
        <v>2680000</v>
      </c>
      <c r="E68" s="21" t="s">
        <v>521</v>
      </c>
      <c r="F68" s="21" t="s">
        <v>522</v>
      </c>
      <c r="G68" s="8" t="str">
        <f t="shared" si="1"/>
        <v>DUNCAN SHEILA</v>
      </c>
    </row>
    <row r="69" spans="1:7" x14ac:dyDescent="0.25">
      <c r="A69" s="8">
        <v>42751.355011574073</v>
      </c>
      <c r="B69" s="21" t="s">
        <v>328</v>
      </c>
      <c r="C69" s="21" t="s">
        <v>561</v>
      </c>
      <c r="D69" s="160">
        <v>2090000</v>
      </c>
      <c r="E69" s="21" t="s">
        <v>524</v>
      </c>
      <c r="F69" s="21" t="s">
        <v>240</v>
      </c>
      <c r="G69" s="8" t="str">
        <f t="shared" si="1"/>
        <v>HAITHCOX MICHAEL</v>
      </c>
    </row>
    <row r="70" spans="1:7" x14ac:dyDescent="0.25">
      <c r="A70" s="8">
        <v>42751.357638888891</v>
      </c>
      <c r="B70" s="21" t="s">
        <v>362</v>
      </c>
      <c r="C70" s="21" t="s">
        <v>562</v>
      </c>
      <c r="D70" s="160">
        <v>1090000</v>
      </c>
      <c r="E70" s="21" t="s">
        <v>553</v>
      </c>
      <c r="F70" s="21" t="s">
        <v>240</v>
      </c>
      <c r="G70" s="8" t="str">
        <f t="shared" si="1"/>
        <v>SPECTOR MICHAEL</v>
      </c>
    </row>
    <row r="71" spans="1:7" x14ac:dyDescent="0.25">
      <c r="A71" s="8">
        <v>42751.360648148147</v>
      </c>
      <c r="B71" s="21" t="s">
        <v>363</v>
      </c>
      <c r="C71" s="21" t="s">
        <v>483</v>
      </c>
      <c r="D71" s="160">
        <v>2280000</v>
      </c>
      <c r="E71" s="21" t="s">
        <v>368</v>
      </c>
      <c r="F71" s="21" t="s">
        <v>369</v>
      </c>
      <c r="G71" s="8" t="str">
        <f t="shared" si="1"/>
        <v>MAHAN DUANE</v>
      </c>
    </row>
    <row r="72" spans="1:7" x14ac:dyDescent="0.25">
      <c r="A72" s="8">
        <v>42751.361608796295</v>
      </c>
      <c r="B72" s="21" t="s">
        <v>211</v>
      </c>
      <c r="C72" s="21" t="s">
        <v>563</v>
      </c>
      <c r="D72" s="160">
        <v>2110000</v>
      </c>
      <c r="E72" s="21" t="s">
        <v>253</v>
      </c>
      <c r="F72" s="21" t="s">
        <v>254</v>
      </c>
      <c r="G72" s="8" t="str">
        <f t="shared" si="1"/>
        <v>OUN ZACK</v>
      </c>
    </row>
    <row r="73" spans="1:7" x14ac:dyDescent="0.25">
      <c r="A73" s="8">
        <v>42751.369432870371</v>
      </c>
      <c r="B73" s="21" t="s">
        <v>312</v>
      </c>
      <c r="C73" s="21" t="s">
        <v>564</v>
      </c>
      <c r="D73" s="160">
        <v>2710000</v>
      </c>
      <c r="E73" s="21" t="s">
        <v>512</v>
      </c>
      <c r="F73" s="21" t="s">
        <v>513</v>
      </c>
      <c r="G73" s="8" t="str">
        <f t="shared" si="1"/>
        <v>SIMMONS SHYHESHA</v>
      </c>
    </row>
    <row r="74" spans="1:7" x14ac:dyDescent="0.25">
      <c r="A74" s="8">
        <v>42751.371817129628</v>
      </c>
      <c r="B74" s="21" t="s">
        <v>378</v>
      </c>
      <c r="C74" s="21" t="s">
        <v>565</v>
      </c>
      <c r="D74" s="160">
        <v>2140000</v>
      </c>
      <c r="E74" s="21" t="s">
        <v>326</v>
      </c>
      <c r="F74" s="21" t="s">
        <v>327</v>
      </c>
      <c r="G74" s="8" t="str">
        <f t="shared" si="1"/>
        <v>ROBINSON KADDIBA</v>
      </c>
    </row>
    <row r="75" spans="1:7" x14ac:dyDescent="0.25">
      <c r="A75" s="8">
        <v>42751.379340277781</v>
      </c>
      <c r="B75" s="21" t="s">
        <v>222</v>
      </c>
      <c r="C75" s="21" t="s">
        <v>566</v>
      </c>
      <c r="D75" s="160">
        <v>2280000</v>
      </c>
      <c r="E75" s="21" t="s">
        <v>368</v>
      </c>
      <c r="F75" s="21" t="s">
        <v>369</v>
      </c>
      <c r="G75" s="8" t="str">
        <f t="shared" si="1"/>
        <v>MAHAN DUANE</v>
      </c>
    </row>
    <row r="76" spans="1:7" x14ac:dyDescent="0.25">
      <c r="A76" s="8">
        <v>42751.380428240744</v>
      </c>
      <c r="B76" s="21" t="s">
        <v>323</v>
      </c>
      <c r="C76" s="21" t="s">
        <v>567</v>
      </c>
      <c r="D76" s="160">
        <v>2150000</v>
      </c>
      <c r="E76" s="21" t="s">
        <v>515</v>
      </c>
      <c r="F76" s="21" t="s">
        <v>516</v>
      </c>
      <c r="G76" s="8" t="str">
        <f t="shared" si="1"/>
        <v>SWANSON BRYCE</v>
      </c>
    </row>
    <row r="77" spans="1:7" x14ac:dyDescent="0.25">
      <c r="A77" s="8">
        <v>42751.380671296298</v>
      </c>
      <c r="B77" s="21" t="s">
        <v>266</v>
      </c>
      <c r="C77" s="21" t="s">
        <v>486</v>
      </c>
      <c r="D77" s="160">
        <v>2010000</v>
      </c>
      <c r="E77" s="21" t="s">
        <v>366</v>
      </c>
      <c r="F77" s="21" t="s">
        <v>367</v>
      </c>
      <c r="G77" s="8" t="str">
        <f t="shared" si="1"/>
        <v>MAELZER KURT</v>
      </c>
    </row>
    <row r="78" spans="1:7" x14ac:dyDescent="0.25">
      <c r="A78" s="8">
        <v>42751.385034722225</v>
      </c>
      <c r="B78" s="21" t="s">
        <v>245</v>
      </c>
      <c r="C78" s="21" t="s">
        <v>485</v>
      </c>
      <c r="D78" s="160">
        <v>2680000</v>
      </c>
      <c r="E78" s="21" t="s">
        <v>521</v>
      </c>
      <c r="F78" s="21" t="s">
        <v>522</v>
      </c>
      <c r="G78" s="8" t="str">
        <f t="shared" si="1"/>
        <v>DUNCAN SHEILA</v>
      </c>
    </row>
    <row r="79" spans="1:7" x14ac:dyDescent="0.25">
      <c r="A79" s="8">
        <v>42751.393321759257</v>
      </c>
      <c r="B79" s="21" t="s">
        <v>371</v>
      </c>
      <c r="C79" s="21" t="s">
        <v>568</v>
      </c>
      <c r="D79" s="160">
        <v>1110000</v>
      </c>
      <c r="E79" s="21" t="s">
        <v>507</v>
      </c>
      <c r="F79" s="21" t="s">
        <v>508</v>
      </c>
      <c r="G79" s="8" t="str">
        <f t="shared" si="1"/>
        <v>STARKS ANGELINA</v>
      </c>
    </row>
    <row r="80" spans="1:7" x14ac:dyDescent="0.25">
      <c r="A80" s="8">
        <v>42751.399016203701</v>
      </c>
      <c r="B80" s="21" t="s">
        <v>212</v>
      </c>
      <c r="C80" s="21" t="s">
        <v>569</v>
      </c>
      <c r="D80" s="160">
        <v>2110000</v>
      </c>
      <c r="E80" s="21" t="s">
        <v>253</v>
      </c>
      <c r="F80" s="21" t="s">
        <v>254</v>
      </c>
      <c r="G80" s="8" t="str">
        <f t="shared" si="1"/>
        <v>OUN ZACK</v>
      </c>
    </row>
    <row r="81" spans="1:7" x14ac:dyDescent="0.25">
      <c r="A81" s="8">
        <v>42751.401365740741</v>
      </c>
      <c r="B81" s="21" t="s">
        <v>363</v>
      </c>
      <c r="C81" s="21" t="s">
        <v>484</v>
      </c>
      <c r="D81" s="160">
        <v>2280000</v>
      </c>
      <c r="E81" s="21" t="s">
        <v>368</v>
      </c>
      <c r="F81" s="21" t="s">
        <v>369</v>
      </c>
      <c r="G81" s="8" t="str">
        <f t="shared" si="1"/>
        <v>MAHAN DUANE</v>
      </c>
    </row>
    <row r="82" spans="1:7" x14ac:dyDescent="0.25">
      <c r="A82" s="8">
        <v>42751.403912037036</v>
      </c>
      <c r="B82" s="21" t="s">
        <v>311</v>
      </c>
      <c r="C82" s="21" t="s">
        <v>570</v>
      </c>
      <c r="D82" s="160">
        <v>1230000</v>
      </c>
      <c r="E82" s="21" t="s">
        <v>571</v>
      </c>
      <c r="F82" s="21" t="s">
        <v>572</v>
      </c>
      <c r="G82" s="8" t="str">
        <f t="shared" si="1"/>
        <v>YANAI IAN</v>
      </c>
    </row>
    <row r="83" spans="1:7" x14ac:dyDescent="0.25">
      <c r="A83" s="8">
        <v>42751.407777777778</v>
      </c>
      <c r="B83" s="21" t="s">
        <v>261</v>
      </c>
      <c r="C83" s="21" t="s">
        <v>487</v>
      </c>
      <c r="D83" s="160">
        <v>2140000</v>
      </c>
      <c r="E83" s="21" t="s">
        <v>326</v>
      </c>
      <c r="F83" s="21" t="s">
        <v>327</v>
      </c>
      <c r="G83" s="8" t="str">
        <f t="shared" si="1"/>
        <v>ROBINSON KADDIBA</v>
      </c>
    </row>
    <row r="84" spans="1:7" x14ac:dyDescent="0.25">
      <c r="A84" s="8">
        <v>42751.414525462962</v>
      </c>
      <c r="B84" s="21" t="s">
        <v>209</v>
      </c>
      <c r="C84" s="21" t="s">
        <v>573</v>
      </c>
      <c r="D84" s="160">
        <v>2150000</v>
      </c>
      <c r="E84" s="21" t="s">
        <v>515</v>
      </c>
      <c r="F84" s="21" t="s">
        <v>516</v>
      </c>
      <c r="G84" s="8" t="str">
        <f t="shared" si="1"/>
        <v>SWANSON BRYCE</v>
      </c>
    </row>
    <row r="85" spans="1:7" x14ac:dyDescent="0.25">
      <c r="A85" s="8">
        <v>42751.418310185189</v>
      </c>
      <c r="B85" s="21" t="s">
        <v>270</v>
      </c>
      <c r="C85" s="21" t="s">
        <v>488</v>
      </c>
      <c r="D85" s="160">
        <v>2010000</v>
      </c>
      <c r="E85" s="21" t="s">
        <v>366</v>
      </c>
      <c r="F85" s="21" t="s">
        <v>367</v>
      </c>
      <c r="G85" s="8" t="str">
        <f t="shared" si="1"/>
        <v>MAELZER KURT</v>
      </c>
    </row>
    <row r="86" spans="1:7" x14ac:dyDescent="0.25">
      <c r="A86" s="8">
        <v>42751.421631944446</v>
      </c>
      <c r="B86" s="21" t="s">
        <v>246</v>
      </c>
      <c r="C86" s="21" t="s">
        <v>574</v>
      </c>
      <c r="D86" s="160">
        <v>2680000</v>
      </c>
      <c r="E86" s="21" t="s">
        <v>521</v>
      </c>
      <c r="F86" s="21" t="s">
        <v>522</v>
      </c>
      <c r="G86" s="8" t="str">
        <f t="shared" si="1"/>
        <v>DUNCAN SHEILA</v>
      </c>
    </row>
    <row r="87" spans="1:7" x14ac:dyDescent="0.25">
      <c r="A87" s="8">
        <v>42751.421875</v>
      </c>
      <c r="B87" s="21" t="s">
        <v>222</v>
      </c>
      <c r="C87" s="21" t="s">
        <v>489</v>
      </c>
      <c r="D87" s="160">
        <v>2280000</v>
      </c>
      <c r="E87" s="21" t="s">
        <v>368</v>
      </c>
      <c r="F87" s="21" t="s">
        <v>369</v>
      </c>
      <c r="G87" s="8" t="str">
        <f t="shared" si="1"/>
        <v>MAHAN DUANE</v>
      </c>
    </row>
    <row r="88" spans="1:7" x14ac:dyDescent="0.25">
      <c r="A88" s="8">
        <v>42751.433344907404</v>
      </c>
      <c r="B88" s="21" t="s">
        <v>211</v>
      </c>
      <c r="C88" s="21" t="s">
        <v>575</v>
      </c>
      <c r="D88" s="160">
        <v>2090000</v>
      </c>
      <c r="E88" s="21" t="s">
        <v>524</v>
      </c>
      <c r="F88" s="21" t="s">
        <v>240</v>
      </c>
      <c r="G88" s="8" t="str">
        <f t="shared" si="1"/>
        <v>HAITHCOX MICHAEL</v>
      </c>
    </row>
    <row r="89" spans="1:7" x14ac:dyDescent="0.25">
      <c r="A89" s="8">
        <v>42751.433518518519</v>
      </c>
      <c r="B89" s="21" t="s">
        <v>362</v>
      </c>
      <c r="C89" s="21" t="s">
        <v>576</v>
      </c>
      <c r="D89" s="160">
        <v>1110000</v>
      </c>
      <c r="E89" s="21" t="s">
        <v>507</v>
      </c>
      <c r="F89" s="21" t="s">
        <v>508</v>
      </c>
      <c r="G89" s="8" t="str">
        <f t="shared" si="1"/>
        <v>STARKS ANGELINA</v>
      </c>
    </row>
    <row r="90" spans="1:7" x14ac:dyDescent="0.25">
      <c r="A90" s="8">
        <v>42751.433807870373</v>
      </c>
      <c r="B90" s="21" t="s">
        <v>312</v>
      </c>
      <c r="C90" s="21" t="s">
        <v>577</v>
      </c>
      <c r="D90" s="160">
        <v>1230000</v>
      </c>
      <c r="E90" s="21" t="s">
        <v>571</v>
      </c>
      <c r="F90" s="21" t="s">
        <v>572</v>
      </c>
      <c r="G90" s="8" t="str">
        <f t="shared" si="1"/>
        <v>YANAI IAN</v>
      </c>
    </row>
    <row r="91" spans="1:7" x14ac:dyDescent="0.25">
      <c r="A91" s="8">
        <v>42751.44462962963</v>
      </c>
      <c r="B91" s="21" t="s">
        <v>363</v>
      </c>
      <c r="C91" s="21" t="s">
        <v>578</v>
      </c>
      <c r="D91" s="160">
        <v>2280000</v>
      </c>
      <c r="E91" s="21" t="s">
        <v>368</v>
      </c>
      <c r="F91" s="21" t="s">
        <v>369</v>
      </c>
      <c r="G91" s="8" t="str">
        <f t="shared" si="1"/>
        <v>MAHAN DUANE</v>
      </c>
    </row>
    <row r="92" spans="1:7" x14ac:dyDescent="0.25">
      <c r="A92" s="8">
        <v>42751.445474537039</v>
      </c>
      <c r="B92" s="21" t="s">
        <v>378</v>
      </c>
      <c r="C92" s="21" t="s">
        <v>579</v>
      </c>
      <c r="D92" s="160">
        <v>2140000</v>
      </c>
      <c r="E92" s="21" t="s">
        <v>326</v>
      </c>
      <c r="F92" s="21" t="s">
        <v>327</v>
      </c>
      <c r="G92" s="8" t="str">
        <f t="shared" si="1"/>
        <v>ROBINSON KADDIBA</v>
      </c>
    </row>
    <row r="93" spans="1:7" x14ac:dyDescent="0.25">
      <c r="A93" s="8">
        <v>42751.446851851855</v>
      </c>
      <c r="B93" s="21" t="s">
        <v>323</v>
      </c>
      <c r="C93" s="21" t="s">
        <v>580</v>
      </c>
      <c r="D93" s="160">
        <v>2150000</v>
      </c>
      <c r="E93" s="21" t="s">
        <v>515</v>
      </c>
      <c r="F93" s="21" t="s">
        <v>516</v>
      </c>
      <c r="G93" s="8" t="str">
        <f t="shared" si="1"/>
        <v>SWANSON BRYCE</v>
      </c>
    </row>
    <row r="94" spans="1:7" x14ac:dyDescent="0.25">
      <c r="A94" s="8">
        <v>42751.451284722221</v>
      </c>
      <c r="B94" s="21" t="s">
        <v>581</v>
      </c>
      <c r="C94" s="21" t="s">
        <v>582</v>
      </c>
      <c r="D94" s="160">
        <v>2470000</v>
      </c>
      <c r="E94" s="21" t="s">
        <v>374</v>
      </c>
      <c r="F94" s="21" t="s">
        <v>375</v>
      </c>
      <c r="G94" s="8" t="str">
        <f t="shared" si="1"/>
        <v>ROMERO CHAD</v>
      </c>
    </row>
    <row r="95" spans="1:7" x14ac:dyDescent="0.25">
      <c r="A95" s="8">
        <v>42751.454282407409</v>
      </c>
      <c r="B95" s="21" t="s">
        <v>245</v>
      </c>
      <c r="C95" s="21" t="s">
        <v>491</v>
      </c>
      <c r="D95" s="160">
        <v>2680000</v>
      </c>
      <c r="E95" s="21" t="s">
        <v>521</v>
      </c>
      <c r="F95" s="21" t="s">
        <v>522</v>
      </c>
      <c r="G95" s="8" t="str">
        <f t="shared" si="1"/>
        <v>DUNCAN SHEILA</v>
      </c>
    </row>
    <row r="96" spans="1:7" x14ac:dyDescent="0.25">
      <c r="A96" s="8">
        <v>42751.455555555556</v>
      </c>
      <c r="B96" s="21" t="s">
        <v>266</v>
      </c>
      <c r="C96" s="21" t="s">
        <v>490</v>
      </c>
      <c r="D96" s="160">
        <v>880000</v>
      </c>
      <c r="E96" s="21" t="s">
        <v>376</v>
      </c>
      <c r="F96" s="21" t="s">
        <v>240</v>
      </c>
      <c r="G96" s="8" t="str">
        <f t="shared" si="1"/>
        <v>STEWART MICHAEL</v>
      </c>
    </row>
    <row r="97" spans="1:7" x14ac:dyDescent="0.25">
      <c r="A97" s="8">
        <v>42751.461956018517</v>
      </c>
      <c r="B97" s="21" t="s">
        <v>222</v>
      </c>
      <c r="C97" s="21" t="s">
        <v>583</v>
      </c>
      <c r="D97" s="160">
        <v>2280000</v>
      </c>
      <c r="E97" s="21" t="s">
        <v>368</v>
      </c>
      <c r="F97" s="21" t="s">
        <v>369</v>
      </c>
      <c r="G97" s="8" t="str">
        <f t="shared" si="1"/>
        <v>MAHAN DUANE</v>
      </c>
    </row>
    <row r="98" spans="1:7" x14ac:dyDescent="0.25">
      <c r="A98" s="8">
        <v>42751.467037037037</v>
      </c>
      <c r="B98" s="21" t="s">
        <v>371</v>
      </c>
      <c r="C98" s="21" t="s">
        <v>584</v>
      </c>
      <c r="D98" s="160">
        <v>920000</v>
      </c>
      <c r="E98" s="21" t="s">
        <v>370</v>
      </c>
      <c r="F98" s="21" t="s">
        <v>240</v>
      </c>
      <c r="G98" s="8" t="str">
        <f t="shared" si="1"/>
        <v>DAVIS MICHAEL</v>
      </c>
    </row>
    <row r="99" spans="1:7" x14ac:dyDescent="0.25">
      <c r="A99" s="8">
        <v>42751.471342592595</v>
      </c>
      <c r="B99" s="21" t="s">
        <v>212</v>
      </c>
      <c r="C99" s="21" t="s">
        <v>585</v>
      </c>
      <c r="D99" s="160">
        <v>2090000</v>
      </c>
      <c r="E99" s="21" t="s">
        <v>524</v>
      </c>
      <c r="F99" s="21" t="s">
        <v>240</v>
      </c>
      <c r="G99" s="8" t="str">
        <f t="shared" si="1"/>
        <v>HAITHCOX MICHAEL</v>
      </c>
    </row>
    <row r="100" spans="1:7" x14ac:dyDescent="0.25">
      <c r="A100" s="8">
        <v>42751.474305555559</v>
      </c>
      <c r="B100" s="21" t="s">
        <v>311</v>
      </c>
      <c r="C100" s="21" t="s">
        <v>586</v>
      </c>
      <c r="D100" s="160">
        <v>930000</v>
      </c>
      <c r="E100" s="21" t="s">
        <v>587</v>
      </c>
      <c r="F100" s="21" t="s">
        <v>588</v>
      </c>
      <c r="G100" s="8" t="str">
        <f t="shared" si="1"/>
        <v>CLARK KATHLEEN</v>
      </c>
    </row>
    <row r="101" spans="1:7" x14ac:dyDescent="0.25">
      <c r="A101" s="8">
        <v>42751.477372685185</v>
      </c>
      <c r="B101" s="21" t="s">
        <v>155</v>
      </c>
      <c r="C101" s="21" t="s">
        <v>589</v>
      </c>
      <c r="D101" s="160">
        <v>2730000</v>
      </c>
      <c r="E101" s="21" t="s">
        <v>590</v>
      </c>
      <c r="F101" s="21" t="s">
        <v>591</v>
      </c>
      <c r="G101" s="8" t="str">
        <f t="shared" si="1"/>
        <v>YANG JAN</v>
      </c>
    </row>
    <row r="102" spans="1:7" x14ac:dyDescent="0.25">
      <c r="A102" s="8">
        <v>42751.481712962966</v>
      </c>
      <c r="B102" s="21" t="s">
        <v>592</v>
      </c>
      <c r="C102" s="21" t="s">
        <v>593</v>
      </c>
      <c r="D102" s="160">
        <v>1230000</v>
      </c>
      <c r="E102" s="21" t="s">
        <v>571</v>
      </c>
      <c r="F102" s="21" t="s">
        <v>572</v>
      </c>
      <c r="G102" s="8" t="str">
        <f t="shared" si="1"/>
        <v>YANAI IAN</v>
      </c>
    </row>
    <row r="103" spans="1:7" x14ac:dyDescent="0.25">
      <c r="A103" s="8">
        <v>42751.482291666667</v>
      </c>
      <c r="B103" s="21" t="s">
        <v>261</v>
      </c>
      <c r="C103" s="21" t="s">
        <v>594</v>
      </c>
      <c r="D103" s="160">
        <v>2140000</v>
      </c>
      <c r="E103" s="21" t="s">
        <v>326</v>
      </c>
      <c r="F103" s="21" t="s">
        <v>327</v>
      </c>
      <c r="G103" s="8" t="str">
        <f t="shared" si="1"/>
        <v>ROBINSON KADDIBA</v>
      </c>
    </row>
    <row r="104" spans="1:7" x14ac:dyDescent="0.25">
      <c r="A104" s="8">
        <v>42751.485682870371</v>
      </c>
      <c r="B104" s="21" t="s">
        <v>363</v>
      </c>
      <c r="C104" s="21" t="s">
        <v>595</v>
      </c>
      <c r="D104" s="160">
        <v>2280000</v>
      </c>
      <c r="E104" s="21" t="s">
        <v>368</v>
      </c>
      <c r="F104" s="21" t="s">
        <v>369</v>
      </c>
      <c r="G104" s="8" t="str">
        <f t="shared" si="1"/>
        <v>MAHAN DUANE</v>
      </c>
    </row>
    <row r="105" spans="1:7" x14ac:dyDescent="0.25">
      <c r="A105" s="8">
        <v>42751.488425925927</v>
      </c>
      <c r="B105" s="21" t="s">
        <v>209</v>
      </c>
      <c r="C105" s="21" t="s">
        <v>596</v>
      </c>
      <c r="D105" s="160">
        <v>2470000</v>
      </c>
      <c r="E105" s="21" t="s">
        <v>374</v>
      </c>
      <c r="F105" s="21" t="s">
        <v>375</v>
      </c>
      <c r="G105" s="8" t="str">
        <f t="shared" si="1"/>
        <v>ROMERO CHAD</v>
      </c>
    </row>
    <row r="106" spans="1:7" x14ac:dyDescent="0.25">
      <c r="A106" s="8">
        <v>42751.495173611111</v>
      </c>
      <c r="B106" s="21" t="s">
        <v>246</v>
      </c>
      <c r="C106" s="21" t="s">
        <v>492</v>
      </c>
      <c r="D106" s="160">
        <v>2250000</v>
      </c>
      <c r="E106" s="21" t="s">
        <v>597</v>
      </c>
      <c r="F106" s="21" t="s">
        <v>598</v>
      </c>
      <c r="G106" s="8" t="str">
        <f t="shared" si="1"/>
        <v>CRAYTON QUNTRELL</v>
      </c>
    </row>
    <row r="107" spans="1:7" x14ac:dyDescent="0.25">
      <c r="A107" s="8">
        <v>42751.495729166665</v>
      </c>
      <c r="B107" s="21" t="s">
        <v>270</v>
      </c>
      <c r="C107" s="21" t="s">
        <v>599</v>
      </c>
      <c r="D107" s="160">
        <v>880000</v>
      </c>
      <c r="E107" s="21" t="s">
        <v>376</v>
      </c>
      <c r="F107" s="21" t="s">
        <v>240</v>
      </c>
      <c r="G107" s="8" t="str">
        <f t="shared" si="1"/>
        <v>STEWART MICHAEL</v>
      </c>
    </row>
    <row r="108" spans="1:7" x14ac:dyDescent="0.25">
      <c r="A108" s="8">
        <v>42751.504027777781</v>
      </c>
      <c r="B108" s="21" t="s">
        <v>362</v>
      </c>
      <c r="C108" s="21" t="s">
        <v>600</v>
      </c>
      <c r="D108" s="160">
        <v>920000</v>
      </c>
      <c r="E108" s="21" t="s">
        <v>370</v>
      </c>
      <c r="F108" s="21" t="s">
        <v>240</v>
      </c>
      <c r="G108" s="8" t="str">
        <f t="shared" si="1"/>
        <v>DAVIS MICHAEL</v>
      </c>
    </row>
    <row r="109" spans="1:7" x14ac:dyDescent="0.25">
      <c r="A109" s="8">
        <v>42751.506851851853</v>
      </c>
      <c r="B109" s="21" t="s">
        <v>154</v>
      </c>
      <c r="C109" s="21" t="s">
        <v>601</v>
      </c>
      <c r="D109" s="160">
        <v>1830000</v>
      </c>
      <c r="E109" s="21" t="s">
        <v>602</v>
      </c>
      <c r="F109" s="21" t="s">
        <v>603</v>
      </c>
      <c r="G109" s="8" t="str">
        <f t="shared" si="1"/>
        <v>YORK EDGAR</v>
      </c>
    </row>
    <row r="110" spans="1:7" x14ac:dyDescent="0.25">
      <c r="A110" s="8">
        <v>42751.508993055555</v>
      </c>
      <c r="B110" s="21" t="s">
        <v>211</v>
      </c>
      <c r="C110" s="21" t="s">
        <v>604</v>
      </c>
      <c r="D110" s="160">
        <v>2730000</v>
      </c>
      <c r="E110" s="21" t="s">
        <v>590</v>
      </c>
      <c r="F110" s="21" t="s">
        <v>591</v>
      </c>
      <c r="G110" s="8" t="str">
        <f t="shared" si="1"/>
        <v>YANG JAN</v>
      </c>
    </row>
    <row r="111" spans="1:7" x14ac:dyDescent="0.25">
      <c r="A111" s="8">
        <v>42751.509270833332</v>
      </c>
      <c r="B111" s="21" t="s">
        <v>222</v>
      </c>
      <c r="C111" s="21" t="s">
        <v>493</v>
      </c>
      <c r="D111" s="160">
        <v>2530000</v>
      </c>
      <c r="E111" s="21" t="s">
        <v>226</v>
      </c>
      <c r="F111" s="21" t="s">
        <v>313</v>
      </c>
      <c r="G111" s="8" t="str">
        <f t="shared" si="1"/>
        <v>LALONDE GREGORY</v>
      </c>
    </row>
    <row r="112" spans="1:7" x14ac:dyDescent="0.25">
      <c r="A112" s="8">
        <v>42751.513599537036</v>
      </c>
      <c r="B112" s="21" t="s">
        <v>312</v>
      </c>
      <c r="C112" s="21" t="s">
        <v>605</v>
      </c>
      <c r="D112" s="160">
        <v>930000</v>
      </c>
      <c r="E112" s="21" t="s">
        <v>587</v>
      </c>
      <c r="F112" s="21" t="s">
        <v>588</v>
      </c>
      <c r="G112" s="8" t="str">
        <f t="shared" si="1"/>
        <v>CLARK KATHLEEN</v>
      </c>
    </row>
    <row r="113" spans="1:7" x14ac:dyDescent="0.25">
      <c r="A113" s="8">
        <v>42751.516145833331</v>
      </c>
      <c r="B113" s="21" t="s">
        <v>378</v>
      </c>
      <c r="C113" s="21" t="s">
        <v>606</v>
      </c>
      <c r="D113" s="160">
        <v>2030000</v>
      </c>
      <c r="E113" s="21" t="s">
        <v>329</v>
      </c>
      <c r="F113" s="21" t="s">
        <v>330</v>
      </c>
      <c r="G113" s="8" t="str">
        <f t="shared" si="1"/>
        <v>KILLION DAVID</v>
      </c>
    </row>
    <row r="114" spans="1:7" x14ac:dyDescent="0.25">
      <c r="A114" s="8">
        <v>42751.519166666665</v>
      </c>
      <c r="B114" s="21" t="s">
        <v>323</v>
      </c>
      <c r="C114" s="21" t="s">
        <v>607</v>
      </c>
      <c r="D114" s="160">
        <v>2470000</v>
      </c>
      <c r="E114" s="21" t="s">
        <v>374</v>
      </c>
      <c r="F114" s="21" t="s">
        <v>375</v>
      </c>
      <c r="G114" s="8" t="str">
        <f t="shared" si="1"/>
        <v>ROMERO CHAD</v>
      </c>
    </row>
    <row r="115" spans="1:7" x14ac:dyDescent="0.25">
      <c r="A115" s="8">
        <v>42751.527256944442</v>
      </c>
      <c r="B115" s="21" t="s">
        <v>363</v>
      </c>
      <c r="C115" s="21" t="s">
        <v>608</v>
      </c>
      <c r="D115" s="160">
        <v>2530000</v>
      </c>
      <c r="E115" s="21" t="s">
        <v>226</v>
      </c>
      <c r="F115" s="21" t="s">
        <v>313</v>
      </c>
      <c r="G115" s="8" t="str">
        <f t="shared" si="1"/>
        <v>LALONDE GREGORY</v>
      </c>
    </row>
    <row r="116" spans="1:7" x14ac:dyDescent="0.25">
      <c r="A116" s="8">
        <v>42751.527939814812</v>
      </c>
      <c r="B116" s="21" t="s">
        <v>363</v>
      </c>
      <c r="C116" s="21" t="s">
        <v>608</v>
      </c>
      <c r="D116" s="160">
        <v>2530000</v>
      </c>
      <c r="E116" s="21" t="s">
        <v>226</v>
      </c>
      <c r="F116" s="21" t="s">
        <v>313</v>
      </c>
      <c r="G116" s="8" t="str">
        <f t="shared" si="1"/>
        <v>LALONDE GREGORY</v>
      </c>
    </row>
    <row r="117" spans="1:7" x14ac:dyDescent="0.25">
      <c r="A117" s="8">
        <v>42751.528645833336</v>
      </c>
      <c r="B117" s="21" t="s">
        <v>266</v>
      </c>
      <c r="C117" s="21" t="s">
        <v>609</v>
      </c>
      <c r="D117" s="160">
        <v>880000</v>
      </c>
      <c r="E117" s="21" t="s">
        <v>376</v>
      </c>
      <c r="F117" s="21" t="s">
        <v>240</v>
      </c>
      <c r="G117" s="8" t="str">
        <f t="shared" si="1"/>
        <v>STEWART MICHAEL</v>
      </c>
    </row>
    <row r="118" spans="1:7" x14ac:dyDescent="0.25">
      <c r="A118" s="8">
        <v>42751.52988425926</v>
      </c>
      <c r="B118" s="21" t="s">
        <v>363</v>
      </c>
      <c r="C118" s="21" t="s">
        <v>610</v>
      </c>
      <c r="D118" s="160">
        <v>2530000</v>
      </c>
      <c r="E118" s="21" t="s">
        <v>226</v>
      </c>
      <c r="F118" s="21" t="s">
        <v>313</v>
      </c>
      <c r="G118" s="8" t="str">
        <f t="shared" si="1"/>
        <v>LALONDE GREGORY</v>
      </c>
    </row>
    <row r="119" spans="1:7" x14ac:dyDescent="0.25">
      <c r="A119" s="8">
        <v>42751.5312037037</v>
      </c>
      <c r="B119" s="21" t="s">
        <v>245</v>
      </c>
      <c r="C119" s="21" t="s">
        <v>611</v>
      </c>
      <c r="D119" s="160">
        <v>2250000</v>
      </c>
      <c r="E119" s="21" t="s">
        <v>597</v>
      </c>
      <c r="F119" s="21" t="s">
        <v>598</v>
      </c>
      <c r="G119" s="8" t="str">
        <f t="shared" si="1"/>
        <v>CRAYTON QUNTRELL</v>
      </c>
    </row>
    <row r="120" spans="1:7" x14ac:dyDescent="0.25">
      <c r="A120" s="8">
        <v>42751.539004629631</v>
      </c>
      <c r="B120" s="21" t="s">
        <v>371</v>
      </c>
      <c r="C120" s="21" t="s">
        <v>612</v>
      </c>
      <c r="D120" s="160">
        <v>920000</v>
      </c>
      <c r="E120" s="21" t="s">
        <v>370</v>
      </c>
      <c r="F120" s="21" t="s">
        <v>240</v>
      </c>
      <c r="G120" s="8" t="str">
        <f t="shared" si="1"/>
        <v>DAVIS MICHAEL</v>
      </c>
    </row>
    <row r="121" spans="1:7" x14ac:dyDescent="0.25">
      <c r="A121" s="8">
        <v>42751.544641203705</v>
      </c>
      <c r="B121" s="21" t="s">
        <v>222</v>
      </c>
      <c r="C121" s="21" t="s">
        <v>608</v>
      </c>
      <c r="D121" s="160">
        <v>2530000</v>
      </c>
      <c r="E121" s="21" t="s">
        <v>226</v>
      </c>
      <c r="F121" s="21" t="s">
        <v>313</v>
      </c>
      <c r="G121" s="8" t="str">
        <f t="shared" si="1"/>
        <v>LALONDE GREGORY</v>
      </c>
    </row>
    <row r="122" spans="1:7" x14ac:dyDescent="0.25">
      <c r="A122" s="8">
        <v>42751.545312499999</v>
      </c>
      <c r="B122" s="26" t="s">
        <v>212</v>
      </c>
      <c r="C122" s="21" t="s">
        <v>613</v>
      </c>
      <c r="D122" s="160">
        <v>2730000</v>
      </c>
      <c r="E122" s="21" t="s">
        <v>590</v>
      </c>
      <c r="F122" s="21" t="s">
        <v>591</v>
      </c>
      <c r="G122" s="8" t="str">
        <f t="shared" si="1"/>
        <v>YANG JAN</v>
      </c>
    </row>
    <row r="123" spans="1:7" x14ac:dyDescent="0.25">
      <c r="A123" s="8">
        <v>42751.548946759256</v>
      </c>
      <c r="B123" s="21" t="s">
        <v>311</v>
      </c>
      <c r="C123" s="21" t="s">
        <v>614</v>
      </c>
      <c r="D123" s="160">
        <v>930000</v>
      </c>
      <c r="E123" s="21" t="s">
        <v>587</v>
      </c>
      <c r="F123" s="21" t="s">
        <v>588</v>
      </c>
      <c r="G123" s="8" t="str">
        <f t="shared" si="1"/>
        <v>CLARK KATHLEEN</v>
      </c>
    </row>
    <row r="124" spans="1:7" x14ac:dyDescent="0.25">
      <c r="A124" s="8">
        <v>42751.554224537038</v>
      </c>
      <c r="B124" s="21" t="s">
        <v>261</v>
      </c>
      <c r="C124" s="21" t="s">
        <v>494</v>
      </c>
      <c r="D124" s="160">
        <v>2030000</v>
      </c>
      <c r="E124" s="21" t="s">
        <v>329</v>
      </c>
      <c r="F124" s="21" t="s">
        <v>330</v>
      </c>
      <c r="G124" s="8" t="str">
        <f t="shared" si="1"/>
        <v>KILLION DAVID</v>
      </c>
    </row>
    <row r="125" spans="1:7" x14ac:dyDescent="0.25">
      <c r="A125" s="8">
        <v>42751.558310185188</v>
      </c>
      <c r="B125" s="21" t="s">
        <v>209</v>
      </c>
      <c r="C125" s="21" t="s">
        <v>615</v>
      </c>
      <c r="D125" s="160">
        <v>2470000</v>
      </c>
      <c r="E125" s="21" t="s">
        <v>374</v>
      </c>
      <c r="F125" s="21" t="s">
        <v>375</v>
      </c>
      <c r="G125" s="8" t="str">
        <f t="shared" si="1"/>
        <v>ROMERO CHAD</v>
      </c>
    </row>
    <row r="126" spans="1:7" x14ac:dyDescent="0.25">
      <c r="A126" s="8">
        <v>42751.566435185188</v>
      </c>
      <c r="B126" s="21" t="s">
        <v>270</v>
      </c>
      <c r="C126" s="21" t="s">
        <v>616</v>
      </c>
      <c r="D126" s="160">
        <v>880000</v>
      </c>
      <c r="E126" s="21" t="s">
        <v>376</v>
      </c>
      <c r="F126" s="21" t="s">
        <v>240</v>
      </c>
      <c r="G126" s="8" t="str">
        <f t="shared" si="1"/>
        <v>STEWART MICHAEL</v>
      </c>
    </row>
    <row r="127" spans="1:7" x14ac:dyDescent="0.25">
      <c r="A127" s="8">
        <v>42751.56763888889</v>
      </c>
      <c r="B127" s="21" t="s">
        <v>363</v>
      </c>
      <c r="C127" s="21" t="s">
        <v>617</v>
      </c>
      <c r="D127" s="160">
        <v>2530000</v>
      </c>
      <c r="E127" s="21" t="s">
        <v>226</v>
      </c>
      <c r="F127" s="21" t="s">
        <v>313</v>
      </c>
      <c r="G127" s="8" t="str">
        <f t="shared" si="1"/>
        <v>LALONDE GREGORY</v>
      </c>
    </row>
    <row r="128" spans="1:7" x14ac:dyDescent="0.25">
      <c r="A128" s="8">
        <v>42751.568877314814</v>
      </c>
      <c r="B128" s="21" t="s">
        <v>246</v>
      </c>
      <c r="C128" s="21" t="s">
        <v>618</v>
      </c>
      <c r="D128" s="160">
        <v>2250000</v>
      </c>
      <c r="E128" s="21" t="s">
        <v>597</v>
      </c>
      <c r="F128" s="21" t="s">
        <v>598</v>
      </c>
      <c r="G128" s="8" t="str">
        <f t="shared" si="1"/>
        <v>CRAYTON QUNTRELL</v>
      </c>
    </row>
    <row r="129" spans="1:7" x14ac:dyDescent="0.25">
      <c r="A129" s="8">
        <v>42751.578136574077</v>
      </c>
      <c r="B129" s="21" t="s">
        <v>362</v>
      </c>
      <c r="C129" s="21" t="s">
        <v>619</v>
      </c>
      <c r="D129" s="160">
        <v>920000</v>
      </c>
      <c r="E129" s="21" t="s">
        <v>370</v>
      </c>
      <c r="F129" s="21" t="s">
        <v>240</v>
      </c>
      <c r="G129" s="8" t="str">
        <f t="shared" si="1"/>
        <v>DAVIS MICHAEL</v>
      </c>
    </row>
    <row r="130" spans="1:7" x14ac:dyDescent="0.25">
      <c r="A130" s="8">
        <v>42751.579861111109</v>
      </c>
      <c r="B130" s="21" t="s">
        <v>211</v>
      </c>
      <c r="C130" s="21" t="s">
        <v>620</v>
      </c>
      <c r="D130" s="160">
        <v>2730000</v>
      </c>
      <c r="E130" s="21" t="s">
        <v>590</v>
      </c>
      <c r="F130" s="21" t="s">
        <v>591</v>
      </c>
      <c r="G130" s="8" t="str">
        <f t="shared" si="1"/>
        <v>YANG JAN</v>
      </c>
    </row>
    <row r="131" spans="1:7" x14ac:dyDescent="0.25">
      <c r="A131" s="8">
        <v>42751.584826388891</v>
      </c>
      <c r="B131" s="21" t="s">
        <v>312</v>
      </c>
      <c r="C131" s="21" t="s">
        <v>621</v>
      </c>
      <c r="D131" s="160">
        <v>930000</v>
      </c>
      <c r="E131" s="21" t="s">
        <v>587</v>
      </c>
      <c r="F131" s="21" t="s">
        <v>588</v>
      </c>
      <c r="G131" s="8" t="str">
        <f t="shared" ref="G131:G194" si="2">E131&amp;" "&amp;F131</f>
        <v>CLARK KATHLEEN</v>
      </c>
    </row>
    <row r="132" spans="1:7" x14ac:dyDescent="0.25">
      <c r="A132" s="8">
        <v>42751.586226851854</v>
      </c>
      <c r="B132" s="21" t="s">
        <v>222</v>
      </c>
      <c r="C132" s="21" t="s">
        <v>622</v>
      </c>
      <c r="D132" s="160">
        <v>2360000</v>
      </c>
      <c r="E132" s="21" t="s">
        <v>623</v>
      </c>
      <c r="F132" s="21" t="s">
        <v>624</v>
      </c>
      <c r="G132" s="8" t="str">
        <f t="shared" si="2"/>
        <v>BRANDNER MELINDA</v>
      </c>
    </row>
    <row r="133" spans="1:7" x14ac:dyDescent="0.25">
      <c r="A133" s="8">
        <v>42751.588506944441</v>
      </c>
      <c r="B133" s="21" t="s">
        <v>323</v>
      </c>
      <c r="C133" s="21" t="s">
        <v>625</v>
      </c>
      <c r="D133" s="160">
        <v>2470000</v>
      </c>
      <c r="E133" s="21" t="s">
        <v>374</v>
      </c>
      <c r="F133" s="21" t="s">
        <v>375</v>
      </c>
      <c r="G133" s="8" t="str">
        <f t="shared" si="2"/>
        <v>ROMERO CHAD</v>
      </c>
    </row>
    <row r="134" spans="1:7" x14ac:dyDescent="0.25">
      <c r="A134" s="8">
        <v>42751.591319444444</v>
      </c>
      <c r="B134" s="21" t="s">
        <v>378</v>
      </c>
      <c r="C134" s="21" t="s">
        <v>626</v>
      </c>
      <c r="D134" s="160">
        <v>2030000</v>
      </c>
      <c r="E134" s="21" t="s">
        <v>329</v>
      </c>
      <c r="F134" s="21" t="s">
        <v>330</v>
      </c>
      <c r="G134" s="8" t="str">
        <f t="shared" si="2"/>
        <v>KILLION DAVID</v>
      </c>
    </row>
    <row r="135" spans="1:7" x14ac:dyDescent="0.25">
      <c r="A135" s="8">
        <v>42751.600925925923</v>
      </c>
      <c r="B135" s="21" t="s">
        <v>266</v>
      </c>
      <c r="C135" s="21" t="s">
        <v>627</v>
      </c>
      <c r="D135" s="160">
        <v>880000</v>
      </c>
      <c r="E135" s="21" t="s">
        <v>376</v>
      </c>
      <c r="F135" s="21" t="s">
        <v>240</v>
      </c>
      <c r="G135" s="8" t="str">
        <f t="shared" si="2"/>
        <v>STEWART MICHAEL</v>
      </c>
    </row>
    <row r="136" spans="1:7" x14ac:dyDescent="0.25">
      <c r="A136" s="8">
        <v>42751.604201388887</v>
      </c>
      <c r="B136" s="21" t="s">
        <v>245</v>
      </c>
      <c r="C136" s="21" t="s">
        <v>628</v>
      </c>
      <c r="D136" s="160">
        <v>2250000</v>
      </c>
      <c r="E136" s="21" t="s">
        <v>597</v>
      </c>
      <c r="F136" s="21" t="s">
        <v>598</v>
      </c>
      <c r="G136" s="8" t="str">
        <f t="shared" si="2"/>
        <v>CRAYTON QUNTRELL</v>
      </c>
    </row>
    <row r="137" spans="1:7" x14ac:dyDescent="0.25">
      <c r="A137" s="8">
        <v>42751.610763888886</v>
      </c>
      <c r="B137" s="21" t="s">
        <v>363</v>
      </c>
      <c r="C137" s="21" t="s">
        <v>629</v>
      </c>
      <c r="D137" s="160">
        <v>2360000</v>
      </c>
      <c r="E137" s="21" t="s">
        <v>623</v>
      </c>
      <c r="F137" s="21" t="s">
        <v>624</v>
      </c>
      <c r="G137" s="8" t="str">
        <f t="shared" si="2"/>
        <v>BRANDNER MELINDA</v>
      </c>
    </row>
    <row r="138" spans="1:7" x14ac:dyDescent="0.25">
      <c r="A138" s="8">
        <v>42751.612488425926</v>
      </c>
      <c r="B138" s="21" t="s">
        <v>371</v>
      </c>
      <c r="C138" s="21" t="s">
        <v>630</v>
      </c>
      <c r="D138" s="160">
        <v>920000</v>
      </c>
      <c r="E138" s="21" t="s">
        <v>370</v>
      </c>
      <c r="F138" s="21" t="s">
        <v>240</v>
      </c>
      <c r="G138" s="8" t="str">
        <f t="shared" si="2"/>
        <v>DAVIS MICHAEL</v>
      </c>
    </row>
    <row r="139" spans="1:7" x14ac:dyDescent="0.25">
      <c r="A139" s="8">
        <v>42751.616967592592</v>
      </c>
      <c r="B139" s="21" t="s">
        <v>212</v>
      </c>
      <c r="C139" s="21" t="s">
        <v>631</v>
      </c>
      <c r="D139" s="160">
        <v>2730000</v>
      </c>
      <c r="E139" s="21" t="s">
        <v>590</v>
      </c>
      <c r="F139" s="21" t="s">
        <v>591</v>
      </c>
      <c r="G139" s="8" t="str">
        <f t="shared" si="2"/>
        <v>YANG JAN</v>
      </c>
    </row>
    <row r="140" spans="1:7" x14ac:dyDescent="0.25">
      <c r="A140" s="8">
        <v>42751.621122685188</v>
      </c>
      <c r="B140" s="21" t="s">
        <v>311</v>
      </c>
      <c r="C140" s="21" t="s">
        <v>632</v>
      </c>
      <c r="D140" s="160">
        <v>930000</v>
      </c>
      <c r="E140" s="21" t="s">
        <v>587</v>
      </c>
      <c r="F140" s="21" t="s">
        <v>588</v>
      </c>
      <c r="G140" s="8" t="str">
        <f t="shared" si="2"/>
        <v>CLARK KATHLEEN</v>
      </c>
    </row>
    <row r="141" spans="1:7" x14ac:dyDescent="0.25">
      <c r="A141" s="8">
        <v>42751.626631944448</v>
      </c>
      <c r="B141" s="21" t="s">
        <v>261</v>
      </c>
      <c r="C141" s="21" t="s">
        <v>633</v>
      </c>
      <c r="D141" s="160">
        <v>2030000</v>
      </c>
      <c r="E141" s="21" t="s">
        <v>329</v>
      </c>
      <c r="F141" s="21" t="s">
        <v>330</v>
      </c>
      <c r="G141" s="8" t="str">
        <f t="shared" si="2"/>
        <v>KILLION DAVID</v>
      </c>
    </row>
    <row r="142" spans="1:7" x14ac:dyDescent="0.25">
      <c r="A142" s="8">
        <v>42751.629513888889</v>
      </c>
      <c r="B142" s="21" t="s">
        <v>209</v>
      </c>
      <c r="C142" s="21" t="s">
        <v>634</v>
      </c>
      <c r="D142" s="160">
        <v>2470000</v>
      </c>
      <c r="E142" s="21" t="s">
        <v>374</v>
      </c>
      <c r="F142" s="21" t="s">
        <v>375</v>
      </c>
      <c r="G142" s="8" t="str">
        <f t="shared" si="2"/>
        <v>ROMERO CHAD</v>
      </c>
    </row>
    <row r="143" spans="1:7" x14ac:dyDescent="0.25">
      <c r="A143" s="8">
        <v>42751.630196759259</v>
      </c>
      <c r="B143" s="21" t="s">
        <v>222</v>
      </c>
      <c r="C143" s="21" t="s">
        <v>635</v>
      </c>
      <c r="D143" s="160">
        <v>2360000</v>
      </c>
      <c r="E143" s="21" t="s">
        <v>623</v>
      </c>
      <c r="F143" s="21" t="s">
        <v>624</v>
      </c>
      <c r="G143" s="8" t="str">
        <f t="shared" si="2"/>
        <v>BRANDNER MELINDA</v>
      </c>
    </row>
    <row r="144" spans="1:7" x14ac:dyDescent="0.25">
      <c r="A144" s="8">
        <v>42751.639768518522</v>
      </c>
      <c r="B144" s="21" t="s">
        <v>325</v>
      </c>
      <c r="C144" s="21" t="s">
        <v>636</v>
      </c>
      <c r="D144" s="160">
        <v>1810000</v>
      </c>
      <c r="E144" s="21" t="s">
        <v>250</v>
      </c>
      <c r="F144" s="21" t="s">
        <v>232</v>
      </c>
      <c r="G144" s="8" t="str">
        <f t="shared" si="2"/>
        <v>NEWELL JAMES</v>
      </c>
    </row>
    <row r="145" spans="1:7" x14ac:dyDescent="0.25">
      <c r="A145" s="8">
        <v>42751.640335648146</v>
      </c>
      <c r="B145" s="21" t="s">
        <v>270</v>
      </c>
      <c r="C145" s="21" t="s">
        <v>637</v>
      </c>
      <c r="D145" s="160">
        <v>880000</v>
      </c>
      <c r="E145" s="21" t="s">
        <v>376</v>
      </c>
      <c r="F145" s="21" t="s">
        <v>240</v>
      </c>
      <c r="G145" s="8" t="str">
        <f t="shared" si="2"/>
        <v>STEWART MICHAEL</v>
      </c>
    </row>
    <row r="146" spans="1:7" x14ac:dyDescent="0.25">
      <c r="A146" s="8">
        <v>42751.640960648147</v>
      </c>
      <c r="B146" s="21" t="s">
        <v>246</v>
      </c>
      <c r="C146" s="21" t="s">
        <v>638</v>
      </c>
      <c r="D146" s="160">
        <v>2250000</v>
      </c>
      <c r="E146" s="21" t="s">
        <v>597</v>
      </c>
      <c r="F146" s="21" t="s">
        <v>598</v>
      </c>
      <c r="G146" s="8" t="str">
        <f t="shared" si="2"/>
        <v>CRAYTON QUNTRELL</v>
      </c>
    </row>
    <row r="147" spans="1:7" x14ac:dyDescent="0.25">
      <c r="A147" s="8">
        <v>42751.650277777779</v>
      </c>
      <c r="B147" s="21" t="s">
        <v>328</v>
      </c>
      <c r="C147" s="21" t="s">
        <v>639</v>
      </c>
      <c r="D147" s="160">
        <v>1810000</v>
      </c>
      <c r="E147" s="21" t="s">
        <v>250</v>
      </c>
      <c r="F147" s="21" t="s">
        <v>232</v>
      </c>
      <c r="G147" s="8" t="str">
        <f t="shared" si="2"/>
        <v>NEWELL JAMES</v>
      </c>
    </row>
    <row r="148" spans="1:7" x14ac:dyDescent="0.25">
      <c r="A148" s="8">
        <v>42751.650601851848</v>
      </c>
      <c r="B148" s="21" t="s">
        <v>362</v>
      </c>
      <c r="C148" s="21" t="s">
        <v>640</v>
      </c>
      <c r="D148" s="160">
        <v>920000</v>
      </c>
      <c r="E148" s="21" t="s">
        <v>370</v>
      </c>
      <c r="F148" s="21" t="s">
        <v>240</v>
      </c>
      <c r="G148" s="8" t="str">
        <f t="shared" si="2"/>
        <v>DAVIS MICHAEL</v>
      </c>
    </row>
    <row r="149" spans="1:7" x14ac:dyDescent="0.25">
      <c r="A149" s="8">
        <v>42751.652615740742</v>
      </c>
      <c r="B149" s="21" t="s">
        <v>211</v>
      </c>
      <c r="C149" s="21" t="s">
        <v>641</v>
      </c>
      <c r="D149" s="160">
        <v>2730000</v>
      </c>
      <c r="E149" s="21" t="s">
        <v>590</v>
      </c>
      <c r="F149" s="21" t="s">
        <v>591</v>
      </c>
      <c r="G149" s="8" t="str">
        <f t="shared" si="2"/>
        <v>YANG JAN</v>
      </c>
    </row>
    <row r="150" spans="1:7" x14ac:dyDescent="0.25">
      <c r="A150" s="8">
        <v>42751.654409722221</v>
      </c>
      <c r="B150" s="21" t="s">
        <v>363</v>
      </c>
      <c r="C150" s="21" t="s">
        <v>635</v>
      </c>
      <c r="D150" s="160">
        <v>2360000</v>
      </c>
      <c r="E150" s="21" t="s">
        <v>623</v>
      </c>
      <c r="F150" s="21" t="s">
        <v>624</v>
      </c>
      <c r="G150" s="8" t="str">
        <f t="shared" si="2"/>
        <v>BRANDNER MELINDA</v>
      </c>
    </row>
    <row r="151" spans="1:7" x14ac:dyDescent="0.25">
      <c r="A151" s="8">
        <v>42751.655243055553</v>
      </c>
      <c r="B151" s="21" t="s">
        <v>363</v>
      </c>
      <c r="C151" s="21" t="s">
        <v>642</v>
      </c>
      <c r="D151" s="160">
        <v>2360000</v>
      </c>
      <c r="E151" s="21" t="s">
        <v>623</v>
      </c>
      <c r="F151" s="21" t="s">
        <v>624</v>
      </c>
      <c r="G151" s="8" t="str">
        <f t="shared" si="2"/>
        <v>BRANDNER MELINDA</v>
      </c>
    </row>
    <row r="152" spans="1:7" x14ac:dyDescent="0.25">
      <c r="A152" s="8">
        <v>42751.659722222219</v>
      </c>
      <c r="B152" s="21" t="s">
        <v>312</v>
      </c>
      <c r="C152" s="21" t="s">
        <v>643</v>
      </c>
      <c r="D152" s="160">
        <v>930000</v>
      </c>
      <c r="E152" s="21" t="s">
        <v>587</v>
      </c>
      <c r="F152" s="21" t="s">
        <v>588</v>
      </c>
      <c r="G152" s="8" t="str">
        <f t="shared" si="2"/>
        <v>CLARK KATHLEEN</v>
      </c>
    </row>
    <row r="153" spans="1:7" x14ac:dyDescent="0.25">
      <c r="A153" s="8">
        <v>42751.662083333336</v>
      </c>
      <c r="B153" s="21" t="s">
        <v>323</v>
      </c>
      <c r="C153" s="21" t="s">
        <v>644</v>
      </c>
      <c r="D153" s="160">
        <v>2470000</v>
      </c>
      <c r="E153" s="21" t="s">
        <v>374</v>
      </c>
      <c r="F153" s="21" t="s">
        <v>375</v>
      </c>
      <c r="G153" s="8" t="str">
        <f t="shared" si="2"/>
        <v>ROMERO CHAD</v>
      </c>
    </row>
    <row r="154" spans="1:7" x14ac:dyDescent="0.25">
      <c r="A154" s="8">
        <v>42751.662291666667</v>
      </c>
      <c r="B154" s="21" t="s">
        <v>378</v>
      </c>
      <c r="C154" s="21" t="s">
        <v>645</v>
      </c>
      <c r="D154" s="160">
        <v>2030000</v>
      </c>
      <c r="E154" s="21" t="s">
        <v>329</v>
      </c>
      <c r="F154" s="21" t="s">
        <v>330</v>
      </c>
      <c r="G154" s="8" t="str">
        <f t="shared" si="2"/>
        <v>KILLION DAVID</v>
      </c>
    </row>
    <row r="155" spans="1:7" x14ac:dyDescent="0.25">
      <c r="A155" s="8">
        <v>42751.671550925923</v>
      </c>
      <c r="B155" s="21" t="s">
        <v>325</v>
      </c>
      <c r="C155" s="21" t="s">
        <v>495</v>
      </c>
      <c r="D155" s="160">
        <v>1810000</v>
      </c>
      <c r="E155" s="21" t="s">
        <v>250</v>
      </c>
      <c r="F155" s="21" t="s">
        <v>232</v>
      </c>
      <c r="G155" s="8" t="str">
        <f t="shared" si="2"/>
        <v>NEWELL JAMES</v>
      </c>
    </row>
    <row r="156" spans="1:7" x14ac:dyDescent="0.25">
      <c r="A156" s="8">
        <v>42751.674537037034</v>
      </c>
      <c r="B156" s="21" t="s">
        <v>266</v>
      </c>
      <c r="C156" s="21" t="s">
        <v>646</v>
      </c>
      <c r="D156" s="160">
        <v>880000</v>
      </c>
      <c r="E156" s="21" t="s">
        <v>376</v>
      </c>
      <c r="F156" s="21" t="s">
        <v>240</v>
      </c>
      <c r="G156" s="8" t="str">
        <f t="shared" si="2"/>
        <v>STEWART MICHAEL</v>
      </c>
    </row>
    <row r="157" spans="1:7" x14ac:dyDescent="0.25">
      <c r="A157" s="8">
        <v>42751.677881944444</v>
      </c>
      <c r="B157" s="21" t="s">
        <v>222</v>
      </c>
      <c r="C157" s="21" t="s">
        <v>496</v>
      </c>
      <c r="D157" s="160">
        <v>1300000</v>
      </c>
      <c r="E157" s="21" t="s">
        <v>113</v>
      </c>
      <c r="F157" s="21" t="s">
        <v>377</v>
      </c>
      <c r="G157" s="8" t="str">
        <f t="shared" si="2"/>
        <v>LEVIN SCOTT</v>
      </c>
    </row>
    <row r="158" spans="1:7" x14ac:dyDescent="0.25">
      <c r="A158" s="8">
        <v>42751.678969907407</v>
      </c>
      <c r="B158" s="21" t="s">
        <v>245</v>
      </c>
      <c r="C158" s="21" t="s">
        <v>647</v>
      </c>
      <c r="D158" s="160">
        <v>2250000</v>
      </c>
      <c r="E158" s="21" t="s">
        <v>597</v>
      </c>
      <c r="F158" s="21" t="s">
        <v>598</v>
      </c>
      <c r="G158" s="8" t="str">
        <f t="shared" si="2"/>
        <v>CRAYTON QUNTRELL</v>
      </c>
    </row>
    <row r="159" spans="1:7" x14ac:dyDescent="0.25">
      <c r="A159" s="8">
        <v>42751.685648148145</v>
      </c>
      <c r="B159" s="21" t="s">
        <v>371</v>
      </c>
      <c r="C159" s="21" t="s">
        <v>648</v>
      </c>
      <c r="D159" s="160">
        <v>920000</v>
      </c>
      <c r="E159" s="21" t="s">
        <v>370</v>
      </c>
      <c r="F159" s="21" t="s">
        <v>240</v>
      </c>
      <c r="G159" s="8" t="str">
        <f t="shared" si="2"/>
        <v>DAVIS MICHAEL</v>
      </c>
    </row>
    <row r="160" spans="1:7" x14ac:dyDescent="0.25">
      <c r="A160" s="8">
        <v>42751.685925925929</v>
      </c>
      <c r="B160" s="21" t="s">
        <v>328</v>
      </c>
      <c r="C160" s="21" t="s">
        <v>649</v>
      </c>
      <c r="D160" s="160">
        <v>1810000</v>
      </c>
      <c r="E160" s="21" t="s">
        <v>250</v>
      </c>
      <c r="F160" s="21" t="s">
        <v>232</v>
      </c>
      <c r="G160" s="8" t="str">
        <f t="shared" si="2"/>
        <v>NEWELL JAMES</v>
      </c>
    </row>
    <row r="161" spans="1:7" x14ac:dyDescent="0.25">
      <c r="A161" s="8">
        <v>42751.69121527778</v>
      </c>
      <c r="B161" s="21" t="s">
        <v>212</v>
      </c>
      <c r="C161" s="21" t="s">
        <v>650</v>
      </c>
      <c r="D161" s="160">
        <v>2730000</v>
      </c>
      <c r="E161" s="21" t="s">
        <v>590</v>
      </c>
      <c r="F161" s="21" t="s">
        <v>591</v>
      </c>
      <c r="G161" s="8" t="str">
        <f t="shared" si="2"/>
        <v>YANG JAN</v>
      </c>
    </row>
    <row r="162" spans="1:7" x14ac:dyDescent="0.25">
      <c r="A162" s="8">
        <v>42751.693252314813</v>
      </c>
      <c r="B162" s="21" t="s">
        <v>363</v>
      </c>
      <c r="C162" s="21" t="s">
        <v>651</v>
      </c>
      <c r="D162" s="160">
        <v>1300000</v>
      </c>
      <c r="E162" s="21" t="s">
        <v>113</v>
      </c>
      <c r="F162" s="21" t="s">
        <v>377</v>
      </c>
      <c r="G162" s="8" t="str">
        <f t="shared" si="2"/>
        <v>LEVIN SCOTT</v>
      </c>
    </row>
    <row r="163" spans="1:7" x14ac:dyDescent="0.25">
      <c r="A163" s="8">
        <v>42751.694224537037</v>
      </c>
      <c r="B163" s="21" t="s">
        <v>311</v>
      </c>
      <c r="C163" s="21" t="s">
        <v>652</v>
      </c>
      <c r="D163" s="160">
        <v>930000</v>
      </c>
      <c r="E163" s="21" t="s">
        <v>587</v>
      </c>
      <c r="F163" s="21" t="s">
        <v>588</v>
      </c>
      <c r="G163" s="8" t="str">
        <f t="shared" si="2"/>
        <v>CLARK KATHLEEN</v>
      </c>
    </row>
    <row r="164" spans="1:7" x14ac:dyDescent="0.25">
      <c r="A164" s="8">
        <v>42751.696030092593</v>
      </c>
      <c r="B164" s="21" t="s">
        <v>155</v>
      </c>
      <c r="C164" s="21" t="s">
        <v>653</v>
      </c>
      <c r="D164" s="160">
        <v>1800000</v>
      </c>
      <c r="E164" s="21" t="s">
        <v>225</v>
      </c>
      <c r="F164" s="21" t="s">
        <v>235</v>
      </c>
      <c r="G164" s="8" t="str">
        <f t="shared" si="2"/>
        <v>CHANDLER KELVIN</v>
      </c>
    </row>
    <row r="165" spans="1:7" x14ac:dyDescent="0.25">
      <c r="A165" s="8">
        <v>42751.702511574076</v>
      </c>
      <c r="B165" s="21" t="s">
        <v>209</v>
      </c>
      <c r="C165" s="21" t="s">
        <v>654</v>
      </c>
      <c r="D165" s="160">
        <v>2470000</v>
      </c>
      <c r="E165" s="21" t="s">
        <v>374</v>
      </c>
      <c r="F165" s="21" t="s">
        <v>375</v>
      </c>
      <c r="G165" s="8" t="str">
        <f t="shared" si="2"/>
        <v>ROMERO CHAD</v>
      </c>
    </row>
    <row r="166" spans="1:7" x14ac:dyDescent="0.25">
      <c r="A166" s="8">
        <v>42751.7031712963</v>
      </c>
      <c r="B166" s="21" t="s">
        <v>261</v>
      </c>
      <c r="C166" s="21" t="s">
        <v>655</v>
      </c>
      <c r="D166" s="160">
        <v>2030000</v>
      </c>
      <c r="E166" s="21" t="s">
        <v>329</v>
      </c>
      <c r="F166" s="21" t="s">
        <v>330</v>
      </c>
      <c r="G166" s="8" t="str">
        <f t="shared" si="2"/>
        <v>KILLION DAVID</v>
      </c>
    </row>
    <row r="167" spans="1:7" x14ac:dyDescent="0.25">
      <c r="A167" s="8">
        <v>42751.713263888887</v>
      </c>
      <c r="B167" s="21" t="s">
        <v>325</v>
      </c>
      <c r="C167" s="21" t="s">
        <v>656</v>
      </c>
      <c r="D167" s="160">
        <v>1810000</v>
      </c>
      <c r="E167" s="21" t="s">
        <v>250</v>
      </c>
      <c r="F167" s="21" t="s">
        <v>232</v>
      </c>
      <c r="G167" s="8" t="str">
        <f t="shared" si="2"/>
        <v>NEWELL JAMES</v>
      </c>
    </row>
    <row r="168" spans="1:7" x14ac:dyDescent="0.25">
      <c r="A168" s="8">
        <v>42751.714525462965</v>
      </c>
      <c r="B168" s="21" t="s">
        <v>270</v>
      </c>
      <c r="C168" s="21" t="s">
        <v>657</v>
      </c>
      <c r="D168" s="160">
        <v>880000</v>
      </c>
      <c r="E168" s="21" t="s">
        <v>376</v>
      </c>
      <c r="F168" s="21" t="s">
        <v>240</v>
      </c>
      <c r="G168" s="8" t="str">
        <f t="shared" si="2"/>
        <v>STEWART MICHAEL</v>
      </c>
    </row>
    <row r="169" spans="1:7" x14ac:dyDescent="0.25">
      <c r="A169" s="8">
        <v>42751.715509259258</v>
      </c>
      <c r="B169" s="21" t="s">
        <v>581</v>
      </c>
      <c r="C169" s="21" t="s">
        <v>658</v>
      </c>
      <c r="D169" s="160">
        <v>2230000</v>
      </c>
      <c r="E169" s="21" t="s">
        <v>249</v>
      </c>
      <c r="F169" s="21" t="s">
        <v>240</v>
      </c>
      <c r="G169" s="8" t="str">
        <f t="shared" si="2"/>
        <v>SMITH MICHAEL</v>
      </c>
    </row>
    <row r="170" spans="1:7" x14ac:dyDescent="0.25">
      <c r="A170" s="8">
        <v>42751.71670138889</v>
      </c>
      <c r="B170" s="21" t="s">
        <v>207</v>
      </c>
      <c r="C170" s="21" t="s">
        <v>659</v>
      </c>
      <c r="D170" s="160">
        <v>2350000</v>
      </c>
      <c r="E170" s="21" t="s">
        <v>372</v>
      </c>
      <c r="F170" s="21" t="s">
        <v>373</v>
      </c>
      <c r="G170" s="8" t="str">
        <f t="shared" si="2"/>
        <v>BERLING GARY</v>
      </c>
    </row>
    <row r="171" spans="1:7" x14ac:dyDescent="0.25">
      <c r="A171" s="8">
        <v>42751.717083333337</v>
      </c>
      <c r="B171" s="21" t="s">
        <v>222</v>
      </c>
      <c r="C171" s="21" t="s">
        <v>660</v>
      </c>
      <c r="D171" s="160">
        <v>1300000</v>
      </c>
      <c r="E171" s="21" t="s">
        <v>113</v>
      </c>
      <c r="F171" s="21" t="s">
        <v>377</v>
      </c>
      <c r="G171" s="8" t="str">
        <f t="shared" si="2"/>
        <v>LEVIN SCOTT</v>
      </c>
    </row>
    <row r="172" spans="1:7" x14ac:dyDescent="0.25">
      <c r="A172" s="8">
        <v>42751.720081018517</v>
      </c>
      <c r="B172" s="21" t="s">
        <v>246</v>
      </c>
      <c r="C172" s="21" t="s">
        <v>661</v>
      </c>
      <c r="D172" s="160">
        <v>1800000</v>
      </c>
      <c r="E172" s="21" t="s">
        <v>225</v>
      </c>
      <c r="F172" s="21" t="s">
        <v>235</v>
      </c>
      <c r="G172" s="8" t="str">
        <f t="shared" si="2"/>
        <v>CHANDLER KELVIN</v>
      </c>
    </row>
    <row r="173" spans="1:7" x14ac:dyDescent="0.25">
      <c r="A173" s="8">
        <v>42751.723981481482</v>
      </c>
      <c r="B173" s="21" t="s">
        <v>362</v>
      </c>
      <c r="C173" s="21" t="s">
        <v>662</v>
      </c>
      <c r="D173" s="160">
        <v>920000</v>
      </c>
      <c r="E173" s="21" t="s">
        <v>370</v>
      </c>
      <c r="F173" s="21" t="s">
        <v>240</v>
      </c>
      <c r="G173" s="8" t="str">
        <f t="shared" si="2"/>
        <v>DAVIS MICHAEL</v>
      </c>
    </row>
    <row r="174" spans="1:7" x14ac:dyDescent="0.25">
      <c r="A174" s="8">
        <v>42751.728738425925</v>
      </c>
      <c r="B174" s="21" t="s">
        <v>328</v>
      </c>
      <c r="C174" s="21" t="s">
        <v>663</v>
      </c>
      <c r="D174" s="160">
        <v>1810000</v>
      </c>
      <c r="E174" s="21" t="s">
        <v>250</v>
      </c>
      <c r="F174" s="21" t="s">
        <v>232</v>
      </c>
      <c r="G174" s="8" t="str">
        <f t="shared" si="2"/>
        <v>NEWELL JAMES</v>
      </c>
    </row>
    <row r="175" spans="1:7" x14ac:dyDescent="0.25">
      <c r="A175" s="8">
        <v>42751.729212962964</v>
      </c>
      <c r="B175" s="21" t="s">
        <v>207</v>
      </c>
      <c r="C175" s="21" t="s">
        <v>664</v>
      </c>
      <c r="D175" s="160">
        <v>2250000</v>
      </c>
      <c r="E175" s="21" t="s">
        <v>597</v>
      </c>
      <c r="F175" s="21" t="s">
        <v>598</v>
      </c>
      <c r="G175" s="8" t="str">
        <f t="shared" si="2"/>
        <v>CRAYTON QUNTRELL</v>
      </c>
    </row>
    <row r="176" spans="1:7" x14ac:dyDescent="0.25">
      <c r="A176" s="8">
        <v>42751.733425925922</v>
      </c>
      <c r="B176" s="21" t="s">
        <v>312</v>
      </c>
      <c r="C176" s="21" t="s">
        <v>665</v>
      </c>
      <c r="D176" s="160">
        <v>930000</v>
      </c>
      <c r="E176" s="21" t="s">
        <v>587</v>
      </c>
      <c r="F176" s="21" t="s">
        <v>588</v>
      </c>
      <c r="G176" s="8" t="str">
        <f t="shared" si="2"/>
        <v>CLARK KATHLEEN</v>
      </c>
    </row>
    <row r="177" spans="1:7" x14ac:dyDescent="0.25">
      <c r="A177" s="8">
        <v>42751.733796296299</v>
      </c>
      <c r="B177" s="21" t="s">
        <v>592</v>
      </c>
      <c r="C177" s="21" t="s">
        <v>659</v>
      </c>
      <c r="D177" s="160">
        <v>2350000</v>
      </c>
      <c r="E177" s="21" t="s">
        <v>372</v>
      </c>
      <c r="F177" s="21" t="s">
        <v>373</v>
      </c>
      <c r="G177" s="8" t="str">
        <f t="shared" si="2"/>
        <v>BERLING GARY</v>
      </c>
    </row>
    <row r="178" spans="1:7" x14ac:dyDescent="0.25">
      <c r="A178" s="8">
        <v>42751.734479166669</v>
      </c>
      <c r="B178" s="21" t="s">
        <v>592</v>
      </c>
      <c r="C178" s="21" t="s">
        <v>659</v>
      </c>
      <c r="D178" s="160">
        <v>2350000</v>
      </c>
      <c r="E178" s="21" t="s">
        <v>372</v>
      </c>
      <c r="F178" s="21" t="s">
        <v>373</v>
      </c>
      <c r="G178" s="8" t="str">
        <f t="shared" si="2"/>
        <v>BERLING GARY</v>
      </c>
    </row>
    <row r="179" spans="1:7" x14ac:dyDescent="0.25">
      <c r="A179" s="8">
        <v>42751.734513888892</v>
      </c>
      <c r="B179" s="21" t="s">
        <v>363</v>
      </c>
      <c r="C179" s="21" t="s">
        <v>666</v>
      </c>
      <c r="D179" s="160">
        <v>1300000</v>
      </c>
      <c r="E179" s="21" t="s">
        <v>113</v>
      </c>
      <c r="F179" s="21" t="s">
        <v>377</v>
      </c>
      <c r="G179" s="8" t="str">
        <f t="shared" si="2"/>
        <v>LEVIN SCOTT</v>
      </c>
    </row>
    <row r="180" spans="1:7" x14ac:dyDescent="0.25">
      <c r="A180" s="8">
        <v>42751.737685185188</v>
      </c>
      <c r="B180" s="21" t="s">
        <v>211</v>
      </c>
      <c r="C180" s="21" t="s">
        <v>497</v>
      </c>
      <c r="D180" s="160">
        <v>2360000</v>
      </c>
      <c r="E180" s="21" t="s">
        <v>623</v>
      </c>
      <c r="F180" s="21" t="s">
        <v>624</v>
      </c>
      <c r="G180" s="8" t="str">
        <f t="shared" si="2"/>
        <v>BRANDNER MELINDA</v>
      </c>
    </row>
    <row r="181" spans="1:7" x14ac:dyDescent="0.25">
      <c r="A181" s="8">
        <v>42751.739016203705</v>
      </c>
      <c r="B181" s="21" t="s">
        <v>323</v>
      </c>
      <c r="C181" s="21" t="s">
        <v>667</v>
      </c>
      <c r="D181" s="160">
        <v>2470000</v>
      </c>
      <c r="E181" s="21" t="s">
        <v>374</v>
      </c>
      <c r="F181" s="21" t="s">
        <v>375</v>
      </c>
      <c r="G181" s="8" t="str">
        <f t="shared" si="2"/>
        <v>ROMERO CHAD</v>
      </c>
    </row>
    <row r="182" spans="1:7" x14ac:dyDescent="0.25">
      <c r="A182" s="8">
        <v>42751.739675925928</v>
      </c>
      <c r="B182" s="21" t="s">
        <v>211</v>
      </c>
      <c r="C182" s="21" t="s">
        <v>497</v>
      </c>
      <c r="D182" s="160">
        <v>2360000</v>
      </c>
      <c r="E182" s="21" t="s">
        <v>623</v>
      </c>
      <c r="F182" s="21" t="s">
        <v>624</v>
      </c>
      <c r="G182" s="8" t="str">
        <f t="shared" si="2"/>
        <v>BRANDNER MELINDA</v>
      </c>
    </row>
    <row r="183" spans="1:7" x14ac:dyDescent="0.25">
      <c r="A183" s="8">
        <v>42751.740601851852</v>
      </c>
      <c r="B183" s="21" t="s">
        <v>378</v>
      </c>
      <c r="C183" s="21" t="s">
        <v>668</v>
      </c>
      <c r="D183" s="160">
        <v>2230000</v>
      </c>
      <c r="E183" s="21" t="s">
        <v>249</v>
      </c>
      <c r="F183" s="21" t="s">
        <v>240</v>
      </c>
      <c r="G183" s="8" t="str">
        <f t="shared" si="2"/>
        <v>SMITH MICHAEL</v>
      </c>
    </row>
    <row r="184" spans="1:7" x14ac:dyDescent="0.25">
      <c r="A184" s="8">
        <v>42751.74077546296</v>
      </c>
      <c r="B184" s="21" t="s">
        <v>211</v>
      </c>
      <c r="C184" s="21" t="s">
        <v>497</v>
      </c>
      <c r="D184" s="160">
        <v>2360000</v>
      </c>
      <c r="E184" s="21" t="s">
        <v>623</v>
      </c>
      <c r="F184" s="21" t="s">
        <v>624</v>
      </c>
      <c r="G184" s="8" t="str">
        <f t="shared" si="2"/>
        <v>BRANDNER MELINDA</v>
      </c>
    </row>
    <row r="185" spans="1:7" x14ac:dyDescent="0.25">
      <c r="A185" s="8">
        <v>42751.741979166669</v>
      </c>
      <c r="B185" s="21" t="s">
        <v>211</v>
      </c>
      <c r="C185" s="21" t="s">
        <v>497</v>
      </c>
      <c r="D185" s="160">
        <v>2360000</v>
      </c>
      <c r="E185" s="21" t="s">
        <v>623</v>
      </c>
      <c r="F185" s="21" t="s">
        <v>624</v>
      </c>
      <c r="G185" s="8" t="str">
        <f t="shared" si="2"/>
        <v>BRANDNER MELINDA</v>
      </c>
    </row>
    <row r="186" spans="1:7" x14ac:dyDescent="0.25">
      <c r="A186" s="8">
        <v>42751.750104166669</v>
      </c>
      <c r="B186" s="21" t="s">
        <v>266</v>
      </c>
      <c r="C186" s="21" t="s">
        <v>669</v>
      </c>
      <c r="D186" s="160">
        <v>2030000</v>
      </c>
      <c r="E186" s="21" t="s">
        <v>329</v>
      </c>
      <c r="F186" s="21" t="s">
        <v>330</v>
      </c>
      <c r="G186" s="8" t="str">
        <f t="shared" si="2"/>
        <v>KILLION DAVID</v>
      </c>
    </row>
    <row r="187" spans="1:7" x14ac:dyDescent="0.25">
      <c r="A187" s="8">
        <v>42751.752233796295</v>
      </c>
      <c r="B187" s="21" t="s">
        <v>245</v>
      </c>
      <c r="C187" s="21" t="s">
        <v>670</v>
      </c>
      <c r="D187" s="160">
        <v>1800000</v>
      </c>
      <c r="E187" s="21" t="s">
        <v>225</v>
      </c>
      <c r="F187" s="21" t="s">
        <v>235</v>
      </c>
      <c r="G187" s="8" t="str">
        <f t="shared" si="2"/>
        <v>CHANDLER KELVIN</v>
      </c>
    </row>
    <row r="188" spans="1:7" x14ac:dyDescent="0.25">
      <c r="A188" s="8">
        <v>42751.753993055558</v>
      </c>
      <c r="B188" s="21" t="s">
        <v>154</v>
      </c>
      <c r="C188" s="21" t="s">
        <v>671</v>
      </c>
      <c r="D188" s="160">
        <v>880000</v>
      </c>
      <c r="E188" s="21" t="s">
        <v>376</v>
      </c>
      <c r="F188" s="21" t="s">
        <v>240</v>
      </c>
      <c r="G188" s="8" t="str">
        <f t="shared" si="2"/>
        <v>STEWART MICHAEL</v>
      </c>
    </row>
    <row r="189" spans="1:7" x14ac:dyDescent="0.25">
      <c r="A189" s="8">
        <v>42751.754837962966</v>
      </c>
      <c r="B189" s="21" t="s">
        <v>325</v>
      </c>
      <c r="C189" s="21" t="s">
        <v>498</v>
      </c>
      <c r="D189" s="160">
        <v>1810000</v>
      </c>
      <c r="E189" s="21" t="s">
        <v>250</v>
      </c>
      <c r="F189" s="21" t="s">
        <v>232</v>
      </c>
      <c r="G189" s="8" t="str">
        <f t="shared" si="2"/>
        <v>NEWELL JAMES</v>
      </c>
    </row>
    <row r="190" spans="1:7" x14ac:dyDescent="0.25">
      <c r="A190" s="8">
        <v>42751.760034722225</v>
      </c>
      <c r="B190" s="21" t="s">
        <v>371</v>
      </c>
      <c r="C190" s="21" t="s">
        <v>672</v>
      </c>
      <c r="D190" s="160">
        <v>2000000</v>
      </c>
      <c r="E190" s="21" t="s">
        <v>204</v>
      </c>
      <c r="F190" s="21" t="s">
        <v>232</v>
      </c>
      <c r="G190" s="8" t="str">
        <f t="shared" si="2"/>
        <v>STAMBAUGH JAMES</v>
      </c>
    </row>
    <row r="191" spans="1:7" x14ac:dyDescent="0.25">
      <c r="A191" s="8">
        <v>42751.76021990741</v>
      </c>
      <c r="B191" s="21" t="s">
        <v>276</v>
      </c>
      <c r="C191" s="21" t="s">
        <v>673</v>
      </c>
      <c r="D191" s="160">
        <v>2250000</v>
      </c>
      <c r="E191" s="21" t="s">
        <v>597</v>
      </c>
      <c r="F191" s="21" t="s">
        <v>598</v>
      </c>
      <c r="G191" s="8" t="str">
        <f t="shared" si="2"/>
        <v>CRAYTON QUNTRELL</v>
      </c>
    </row>
    <row r="192" spans="1:7" x14ac:dyDescent="0.25">
      <c r="A192" s="8">
        <v>42751.760648148149</v>
      </c>
      <c r="B192" s="21" t="s">
        <v>222</v>
      </c>
      <c r="C192" s="21" t="s">
        <v>674</v>
      </c>
      <c r="D192" s="160">
        <v>1300000</v>
      </c>
      <c r="E192" s="21" t="s">
        <v>113</v>
      </c>
      <c r="F192" s="21" t="s">
        <v>377</v>
      </c>
      <c r="G192" s="8" t="str">
        <f t="shared" si="2"/>
        <v>LEVIN SCOTT</v>
      </c>
    </row>
    <row r="193" spans="1:7" x14ac:dyDescent="0.25">
      <c r="A193" s="8">
        <v>42751.768541666665</v>
      </c>
      <c r="B193" s="21" t="s">
        <v>287</v>
      </c>
      <c r="C193" s="21" t="s">
        <v>675</v>
      </c>
      <c r="D193" s="160">
        <v>2630000</v>
      </c>
      <c r="E193" s="21" t="s">
        <v>364</v>
      </c>
      <c r="F193" s="21" t="s">
        <v>365</v>
      </c>
      <c r="G193" s="8" t="str">
        <f t="shared" si="2"/>
        <v>SAFIEF AEIMEN</v>
      </c>
    </row>
    <row r="194" spans="1:7" x14ac:dyDescent="0.25">
      <c r="A194" s="8">
        <v>42751.769675925927</v>
      </c>
      <c r="B194" s="21" t="s">
        <v>311</v>
      </c>
      <c r="C194" s="21" t="s">
        <v>499</v>
      </c>
      <c r="D194" s="160">
        <v>1740000</v>
      </c>
      <c r="E194" s="21" t="s">
        <v>676</v>
      </c>
      <c r="F194" s="21" t="s">
        <v>677</v>
      </c>
      <c r="G194" s="8" t="str">
        <f t="shared" si="2"/>
        <v>STORY SAMANTHA</v>
      </c>
    </row>
    <row r="195" spans="1:7" x14ac:dyDescent="0.25">
      <c r="A195" s="8">
        <v>42751.770150462966</v>
      </c>
      <c r="B195" s="21" t="s">
        <v>328</v>
      </c>
      <c r="C195" s="21" t="s">
        <v>678</v>
      </c>
      <c r="D195" s="160">
        <v>1810000</v>
      </c>
      <c r="E195" s="21" t="s">
        <v>250</v>
      </c>
      <c r="F195" s="21" t="s">
        <v>232</v>
      </c>
      <c r="G195" s="8" t="str">
        <f t="shared" ref="G195:G258" si="3">E195&amp;" "&amp;F195</f>
        <v>NEWELL JAMES</v>
      </c>
    </row>
    <row r="196" spans="1:7" x14ac:dyDescent="0.25">
      <c r="A196" s="8">
        <v>42751.770995370367</v>
      </c>
      <c r="B196" s="21" t="s">
        <v>261</v>
      </c>
      <c r="C196" s="21" t="s">
        <v>679</v>
      </c>
      <c r="D196" s="160">
        <v>2230000</v>
      </c>
      <c r="E196" s="21" t="s">
        <v>249</v>
      </c>
      <c r="F196" s="21" t="s">
        <v>240</v>
      </c>
      <c r="G196" s="8" t="str">
        <f t="shared" si="3"/>
        <v>SMITH MICHAEL</v>
      </c>
    </row>
    <row r="197" spans="1:7" x14ac:dyDescent="0.25">
      <c r="A197" s="8">
        <v>42751.776122685187</v>
      </c>
      <c r="B197" s="21" t="s">
        <v>363</v>
      </c>
      <c r="C197" s="21" t="s">
        <v>680</v>
      </c>
      <c r="D197" s="160">
        <v>1300000</v>
      </c>
      <c r="E197" s="21" t="s">
        <v>113</v>
      </c>
      <c r="F197" s="21" t="s">
        <v>377</v>
      </c>
      <c r="G197" s="8" t="str">
        <f t="shared" si="3"/>
        <v>LEVIN SCOTT</v>
      </c>
    </row>
    <row r="198" spans="1:7" x14ac:dyDescent="0.25">
      <c r="A198" s="8">
        <v>42751.777141203704</v>
      </c>
      <c r="B198" s="21" t="s">
        <v>209</v>
      </c>
      <c r="C198" s="21" t="s">
        <v>681</v>
      </c>
      <c r="D198" s="160">
        <v>2470000</v>
      </c>
      <c r="E198" s="21" t="s">
        <v>374</v>
      </c>
      <c r="F198" s="21" t="s">
        <v>375</v>
      </c>
      <c r="G198" s="8" t="str">
        <f t="shared" si="3"/>
        <v>ROMERO CHAD</v>
      </c>
    </row>
    <row r="199" spans="1:7" x14ac:dyDescent="0.25">
      <c r="A199" s="8">
        <v>42751.785532407404</v>
      </c>
      <c r="B199" s="21" t="s">
        <v>270</v>
      </c>
      <c r="C199" s="21" t="s">
        <v>682</v>
      </c>
      <c r="D199" s="160">
        <v>2030000</v>
      </c>
      <c r="E199" s="21" t="s">
        <v>329</v>
      </c>
      <c r="F199" s="21" t="s">
        <v>330</v>
      </c>
      <c r="G199" s="8" t="str">
        <f t="shared" si="3"/>
        <v>KILLION DAVID</v>
      </c>
    </row>
    <row r="200" spans="1:7" x14ac:dyDescent="0.25">
      <c r="A200" s="8">
        <v>42751.788877314815</v>
      </c>
      <c r="B200" s="21" t="s">
        <v>362</v>
      </c>
      <c r="C200" s="21" t="s">
        <v>683</v>
      </c>
      <c r="D200" s="160">
        <v>2000000</v>
      </c>
      <c r="E200" s="21" t="s">
        <v>204</v>
      </c>
      <c r="F200" s="21" t="s">
        <v>232</v>
      </c>
      <c r="G200" s="8" t="str">
        <f t="shared" si="3"/>
        <v>STAMBAUGH JAMES</v>
      </c>
    </row>
    <row r="201" spans="1:7" x14ac:dyDescent="0.25">
      <c r="A201" s="8">
        <v>42751.79047453704</v>
      </c>
      <c r="B201" s="21" t="s">
        <v>246</v>
      </c>
      <c r="C201" s="21" t="s">
        <v>684</v>
      </c>
      <c r="D201" s="160">
        <v>1800000</v>
      </c>
      <c r="E201" s="21" t="s">
        <v>225</v>
      </c>
      <c r="F201" s="21" t="s">
        <v>235</v>
      </c>
      <c r="G201" s="8" t="str">
        <f t="shared" si="3"/>
        <v>CHANDLER KELVIN</v>
      </c>
    </row>
    <row r="202" spans="1:7" x14ac:dyDescent="0.25">
      <c r="A202" s="27">
        <v>42751.797280092593</v>
      </c>
      <c r="B202" s="21" t="s">
        <v>325</v>
      </c>
      <c r="C202" s="21" t="s">
        <v>685</v>
      </c>
      <c r="D202" s="160">
        <v>1810000</v>
      </c>
      <c r="E202" s="21" t="s">
        <v>250</v>
      </c>
      <c r="F202" s="21" t="s">
        <v>232</v>
      </c>
      <c r="G202" s="8" t="str">
        <f t="shared" si="3"/>
        <v>NEWELL JAMES</v>
      </c>
    </row>
    <row r="203" spans="1:7" x14ac:dyDescent="0.25">
      <c r="A203" s="8">
        <v>42751.798819444448</v>
      </c>
      <c r="B203" s="21" t="s">
        <v>207</v>
      </c>
      <c r="C203" s="21" t="s">
        <v>686</v>
      </c>
      <c r="D203" s="160">
        <v>2250000</v>
      </c>
      <c r="E203" s="21" t="s">
        <v>597</v>
      </c>
      <c r="F203" s="21" t="s">
        <v>598</v>
      </c>
      <c r="G203" s="8" t="str">
        <f t="shared" si="3"/>
        <v>CRAYTON QUNTRELL</v>
      </c>
    </row>
    <row r="204" spans="1:7" x14ac:dyDescent="0.25">
      <c r="A204" s="8">
        <v>42751.801388888889</v>
      </c>
      <c r="B204" s="21" t="s">
        <v>222</v>
      </c>
      <c r="C204" s="21" t="s">
        <v>687</v>
      </c>
      <c r="D204" s="160">
        <v>1300000</v>
      </c>
      <c r="E204" s="21" t="s">
        <v>113</v>
      </c>
      <c r="F204" s="21" t="s">
        <v>377</v>
      </c>
      <c r="G204" s="8" t="str">
        <f t="shared" si="3"/>
        <v>LEVIN SCOTT</v>
      </c>
    </row>
    <row r="205" spans="1:7" x14ac:dyDescent="0.25">
      <c r="A205" s="8">
        <v>42751.807766203703</v>
      </c>
      <c r="B205" s="21" t="s">
        <v>312</v>
      </c>
      <c r="C205" s="21" t="s">
        <v>688</v>
      </c>
      <c r="D205" s="160">
        <v>1740000</v>
      </c>
      <c r="E205" s="21" t="s">
        <v>676</v>
      </c>
      <c r="F205" s="21" t="s">
        <v>677</v>
      </c>
      <c r="G205" s="8" t="str">
        <f t="shared" si="3"/>
        <v>STORY SAMANTHA</v>
      </c>
    </row>
    <row r="206" spans="1:7" x14ac:dyDescent="0.25">
      <c r="A206" s="8">
        <v>42751.808506944442</v>
      </c>
      <c r="B206" s="21" t="s">
        <v>378</v>
      </c>
      <c r="C206" s="21" t="s">
        <v>689</v>
      </c>
      <c r="D206" s="160">
        <v>2230000</v>
      </c>
      <c r="E206" s="21" t="s">
        <v>249</v>
      </c>
      <c r="F206" s="21" t="s">
        <v>240</v>
      </c>
      <c r="G206" s="8" t="str">
        <f t="shared" si="3"/>
        <v>SMITH MICHAEL</v>
      </c>
    </row>
    <row r="207" spans="1:7" x14ac:dyDescent="0.25">
      <c r="A207" s="8">
        <v>42751.817858796298</v>
      </c>
      <c r="B207" s="21" t="s">
        <v>363</v>
      </c>
      <c r="C207" s="21" t="s">
        <v>690</v>
      </c>
      <c r="D207" s="160">
        <v>1300000</v>
      </c>
      <c r="E207" s="21" t="s">
        <v>113</v>
      </c>
      <c r="F207" s="21" t="s">
        <v>377</v>
      </c>
      <c r="G207" s="8" t="str">
        <f t="shared" si="3"/>
        <v>LEVIN SCOTT</v>
      </c>
    </row>
    <row r="208" spans="1:7" x14ac:dyDescent="0.25">
      <c r="A208" s="8">
        <v>42751.818067129629</v>
      </c>
      <c r="B208" s="21" t="s">
        <v>266</v>
      </c>
      <c r="C208" s="21" t="s">
        <v>691</v>
      </c>
      <c r="D208" s="160">
        <v>2030000</v>
      </c>
      <c r="E208" s="21" t="s">
        <v>329</v>
      </c>
      <c r="F208" s="21" t="s">
        <v>330</v>
      </c>
      <c r="G208" s="8" t="str">
        <f t="shared" si="3"/>
        <v>KILLION DAVID</v>
      </c>
    </row>
    <row r="209" spans="1:7" x14ac:dyDescent="0.25">
      <c r="A209" s="8">
        <v>42751.827951388892</v>
      </c>
      <c r="B209" s="21" t="s">
        <v>371</v>
      </c>
      <c r="C209" s="21" t="s">
        <v>692</v>
      </c>
      <c r="D209" s="160">
        <v>2000000</v>
      </c>
      <c r="E209" s="21" t="s">
        <v>204</v>
      </c>
      <c r="F209" s="21" t="s">
        <v>232</v>
      </c>
      <c r="G209" s="8" t="str">
        <f t="shared" si="3"/>
        <v>STAMBAUGH JAMES</v>
      </c>
    </row>
    <row r="210" spans="1:7" x14ac:dyDescent="0.25">
      <c r="A210" s="8">
        <v>42751.828229166669</v>
      </c>
      <c r="B210" s="21" t="s">
        <v>245</v>
      </c>
      <c r="C210" s="21" t="s">
        <v>500</v>
      </c>
      <c r="D210" s="160">
        <v>1800000</v>
      </c>
      <c r="E210" s="21" t="s">
        <v>225</v>
      </c>
      <c r="F210" s="21" t="s">
        <v>235</v>
      </c>
      <c r="G210" s="8" t="str">
        <f t="shared" si="3"/>
        <v>CHANDLER KELVIN</v>
      </c>
    </row>
    <row r="211" spans="1:7" x14ac:dyDescent="0.25">
      <c r="A211" s="8">
        <v>42751.840138888889</v>
      </c>
      <c r="B211" s="21" t="s">
        <v>222</v>
      </c>
      <c r="C211" s="21" t="s">
        <v>693</v>
      </c>
      <c r="D211" s="160">
        <v>1300000</v>
      </c>
      <c r="E211" s="21" t="s">
        <v>113</v>
      </c>
      <c r="F211" s="21" t="s">
        <v>377</v>
      </c>
      <c r="G211" s="8" t="str">
        <f t="shared" si="3"/>
        <v>LEVIN SCOTT</v>
      </c>
    </row>
    <row r="212" spans="1:7" x14ac:dyDescent="0.25">
      <c r="A212" s="8">
        <v>42751.844849537039</v>
      </c>
      <c r="B212" s="21" t="s">
        <v>261</v>
      </c>
      <c r="C212" s="21" t="s">
        <v>694</v>
      </c>
      <c r="D212" s="160">
        <v>2230000</v>
      </c>
      <c r="E212" s="21" t="s">
        <v>249</v>
      </c>
      <c r="F212" s="21" t="s">
        <v>240</v>
      </c>
      <c r="G212" s="8" t="str">
        <f t="shared" si="3"/>
        <v>SMITH MICHAEL</v>
      </c>
    </row>
    <row r="213" spans="1:7" x14ac:dyDescent="0.25">
      <c r="A213" s="8">
        <v>42751.845196759263</v>
      </c>
      <c r="B213" s="21" t="s">
        <v>311</v>
      </c>
      <c r="C213" s="21" t="s">
        <v>695</v>
      </c>
      <c r="D213" s="160">
        <v>1740000</v>
      </c>
      <c r="E213" s="21" t="s">
        <v>676</v>
      </c>
      <c r="F213" s="21" t="s">
        <v>677</v>
      </c>
      <c r="G213" s="8" t="str">
        <f t="shared" si="3"/>
        <v>STORY SAMANTHA</v>
      </c>
    </row>
    <row r="214" spans="1:7" x14ac:dyDescent="0.25">
      <c r="A214" s="8">
        <v>42751.858935185184</v>
      </c>
      <c r="B214" s="21" t="s">
        <v>363</v>
      </c>
      <c r="C214" s="21" t="s">
        <v>696</v>
      </c>
      <c r="D214" s="160">
        <v>1300000</v>
      </c>
      <c r="E214" s="21" t="s">
        <v>113</v>
      </c>
      <c r="F214" s="21" t="s">
        <v>377</v>
      </c>
      <c r="G214" s="8" t="str">
        <f t="shared" si="3"/>
        <v>LEVIN SCOTT</v>
      </c>
    </row>
    <row r="215" spans="1:7" x14ac:dyDescent="0.25">
      <c r="A215" s="8">
        <v>42751.861840277779</v>
      </c>
      <c r="B215" s="21" t="s">
        <v>362</v>
      </c>
      <c r="C215" s="21" t="s">
        <v>697</v>
      </c>
      <c r="D215" s="160">
        <v>2000000</v>
      </c>
      <c r="E215" s="21" t="s">
        <v>204</v>
      </c>
      <c r="F215" s="21" t="s">
        <v>232</v>
      </c>
      <c r="G215" s="8" t="str">
        <f t="shared" si="3"/>
        <v>STAMBAUGH JAMES</v>
      </c>
    </row>
    <row r="216" spans="1:7" x14ac:dyDescent="0.25">
      <c r="A216" s="8">
        <v>42751.874803240738</v>
      </c>
      <c r="B216" s="21" t="s">
        <v>304</v>
      </c>
      <c r="C216" s="21" t="s">
        <v>698</v>
      </c>
      <c r="D216" s="160">
        <v>1800000</v>
      </c>
      <c r="E216" s="21" t="s">
        <v>225</v>
      </c>
      <c r="F216" s="21" t="s">
        <v>235</v>
      </c>
      <c r="G216" s="8" t="str">
        <f t="shared" si="3"/>
        <v>CHANDLER KELVIN</v>
      </c>
    </row>
    <row r="217" spans="1:7" x14ac:dyDescent="0.25">
      <c r="A217" s="8">
        <v>42751.876250000001</v>
      </c>
      <c r="B217" s="21" t="s">
        <v>222</v>
      </c>
      <c r="C217" s="21" t="s">
        <v>699</v>
      </c>
      <c r="D217" s="160">
        <v>1810000</v>
      </c>
      <c r="E217" s="21" t="s">
        <v>250</v>
      </c>
      <c r="F217" s="21" t="s">
        <v>232</v>
      </c>
      <c r="G217" s="8" t="str">
        <f t="shared" si="3"/>
        <v>NEWELL JAMES</v>
      </c>
    </row>
    <row r="218" spans="1:7" x14ac:dyDescent="0.25">
      <c r="A218" s="8">
        <v>42751.885787037034</v>
      </c>
      <c r="B218" s="21" t="s">
        <v>378</v>
      </c>
      <c r="C218" s="21" t="s">
        <v>700</v>
      </c>
      <c r="D218" s="160">
        <v>2230000</v>
      </c>
      <c r="E218" s="21" t="s">
        <v>249</v>
      </c>
      <c r="F218" s="21" t="s">
        <v>240</v>
      </c>
      <c r="G218" s="8" t="str">
        <f t="shared" si="3"/>
        <v>SMITH MICHAEL</v>
      </c>
    </row>
    <row r="219" spans="1:7" x14ac:dyDescent="0.25">
      <c r="A219" s="8">
        <v>42751.886388888888</v>
      </c>
      <c r="B219" s="21" t="s">
        <v>312</v>
      </c>
      <c r="C219" s="21" t="s">
        <v>701</v>
      </c>
      <c r="D219" s="160">
        <v>1740000</v>
      </c>
      <c r="E219" s="21" t="s">
        <v>676</v>
      </c>
      <c r="F219" s="21" t="s">
        <v>677</v>
      </c>
      <c r="G219" s="8" t="str">
        <f t="shared" si="3"/>
        <v>STORY SAMANTHA</v>
      </c>
    </row>
    <row r="220" spans="1:7" x14ac:dyDescent="0.25">
      <c r="A220" s="8">
        <v>42751.901030092595</v>
      </c>
      <c r="B220" s="21" t="s">
        <v>371</v>
      </c>
      <c r="C220" s="21" t="s">
        <v>702</v>
      </c>
      <c r="D220" s="160">
        <v>2000000</v>
      </c>
      <c r="E220" s="21" t="s">
        <v>204</v>
      </c>
      <c r="F220" s="21" t="s">
        <v>232</v>
      </c>
      <c r="G220" s="8" t="str">
        <f t="shared" si="3"/>
        <v>STAMBAUGH JAMES</v>
      </c>
    </row>
    <row r="221" spans="1:7" x14ac:dyDescent="0.25">
      <c r="A221" s="8">
        <v>42751.903356481482</v>
      </c>
      <c r="B221" s="21" t="s">
        <v>363</v>
      </c>
      <c r="C221" s="21" t="s">
        <v>699</v>
      </c>
      <c r="D221" s="160">
        <v>1810000</v>
      </c>
      <c r="E221" s="21" t="s">
        <v>250</v>
      </c>
      <c r="F221" s="21" t="s">
        <v>232</v>
      </c>
      <c r="G221" s="8" t="str">
        <f t="shared" si="3"/>
        <v>NEWELL JAMES</v>
      </c>
    </row>
    <row r="222" spans="1:7" x14ac:dyDescent="0.25">
      <c r="A222" s="8">
        <v>42751.904409722221</v>
      </c>
      <c r="B222" s="21" t="s">
        <v>363</v>
      </c>
      <c r="C222" s="21" t="s">
        <v>703</v>
      </c>
      <c r="D222" s="160">
        <v>1810000</v>
      </c>
      <c r="E222" s="21" t="s">
        <v>250</v>
      </c>
      <c r="F222" s="21" t="s">
        <v>232</v>
      </c>
      <c r="G222" s="8" t="str">
        <f t="shared" si="3"/>
        <v>NEWELL JAMES</v>
      </c>
    </row>
    <row r="223" spans="1:7" x14ac:dyDescent="0.25">
      <c r="A223" s="8">
        <v>42751.910486111112</v>
      </c>
      <c r="B223" s="21" t="s">
        <v>287</v>
      </c>
      <c r="C223" s="21" t="s">
        <v>704</v>
      </c>
      <c r="D223" s="160">
        <v>1800000</v>
      </c>
      <c r="E223" s="21" t="s">
        <v>225</v>
      </c>
      <c r="F223" s="21" t="s">
        <v>235</v>
      </c>
      <c r="G223" s="8" t="str">
        <f t="shared" si="3"/>
        <v>CHANDLER KELVIN</v>
      </c>
    </row>
    <row r="224" spans="1:7" x14ac:dyDescent="0.25">
      <c r="A224" s="8">
        <v>42751.920231481483</v>
      </c>
      <c r="B224" t="s">
        <v>222</v>
      </c>
      <c r="C224" t="s">
        <v>501</v>
      </c>
      <c r="D224" s="160">
        <v>1810000</v>
      </c>
      <c r="E224" t="s">
        <v>250</v>
      </c>
      <c r="F224" s="21" t="s">
        <v>232</v>
      </c>
      <c r="G224" s="8" t="str">
        <f t="shared" si="3"/>
        <v>NEWELL JAMES</v>
      </c>
    </row>
    <row r="225" spans="1:7" x14ac:dyDescent="0.25">
      <c r="A225" s="8">
        <v>42751.924722222226</v>
      </c>
      <c r="B225" t="s">
        <v>261</v>
      </c>
      <c r="C225" t="s">
        <v>705</v>
      </c>
      <c r="D225" s="160">
        <v>2230000</v>
      </c>
      <c r="E225" t="s">
        <v>249</v>
      </c>
      <c r="F225" s="21" t="s">
        <v>240</v>
      </c>
      <c r="G225" s="8" t="str">
        <f t="shared" si="3"/>
        <v>SMITH MICHAEL</v>
      </c>
    </row>
    <row r="226" spans="1:7" x14ac:dyDescent="0.25">
      <c r="A226" s="8">
        <v>42751.926805555559</v>
      </c>
      <c r="B226" t="s">
        <v>311</v>
      </c>
      <c r="C226" t="s">
        <v>706</v>
      </c>
      <c r="D226" s="160">
        <v>1740000</v>
      </c>
      <c r="E226" t="s">
        <v>676</v>
      </c>
      <c r="F226" s="21" t="s">
        <v>677</v>
      </c>
      <c r="G226" s="8" t="str">
        <f t="shared" si="3"/>
        <v>STORY SAMANTHA</v>
      </c>
    </row>
    <row r="227" spans="1:7" x14ac:dyDescent="0.25">
      <c r="A227" s="8">
        <v>42751.943310185183</v>
      </c>
      <c r="B227" t="s">
        <v>363</v>
      </c>
      <c r="C227" t="s">
        <v>707</v>
      </c>
      <c r="D227" s="160">
        <v>1810000</v>
      </c>
      <c r="E227" t="s">
        <v>250</v>
      </c>
      <c r="F227" s="21" t="s">
        <v>232</v>
      </c>
      <c r="G227" s="8" t="str">
        <f t="shared" si="3"/>
        <v>NEWELL JAMES</v>
      </c>
    </row>
    <row r="228" spans="1:7" x14ac:dyDescent="0.25">
      <c r="A228" s="8">
        <v>42751.954027777778</v>
      </c>
      <c r="B228" t="s">
        <v>362</v>
      </c>
      <c r="C228" t="s">
        <v>708</v>
      </c>
      <c r="D228" s="160">
        <v>2000000</v>
      </c>
      <c r="E228" t="s">
        <v>204</v>
      </c>
      <c r="F228" s="21" t="s">
        <v>232</v>
      </c>
      <c r="G228" s="8" t="str">
        <f t="shared" si="3"/>
        <v>STAMBAUGH JAMES</v>
      </c>
    </row>
    <row r="229" spans="1:7" x14ac:dyDescent="0.25">
      <c r="A229" s="8">
        <v>42751.957175925927</v>
      </c>
      <c r="B229" t="s">
        <v>304</v>
      </c>
      <c r="C229" t="s">
        <v>709</v>
      </c>
      <c r="D229" s="160">
        <v>1800000</v>
      </c>
      <c r="E229" t="s">
        <v>225</v>
      </c>
      <c r="F229" s="21" t="s">
        <v>235</v>
      </c>
      <c r="G229" s="8" t="str">
        <f t="shared" si="3"/>
        <v>CHANDLER KELVIN</v>
      </c>
    </row>
    <row r="230" spans="1:7" x14ac:dyDescent="0.25">
      <c r="A230" s="8">
        <v>42751.966851851852</v>
      </c>
      <c r="B230" t="s">
        <v>378</v>
      </c>
      <c r="C230" t="s">
        <v>710</v>
      </c>
      <c r="D230" s="160">
        <v>2230000</v>
      </c>
      <c r="E230" t="s">
        <v>249</v>
      </c>
      <c r="F230" s="21" t="s">
        <v>240</v>
      </c>
      <c r="G230" s="8" t="str">
        <f t="shared" si="3"/>
        <v>SMITH MICHAEL</v>
      </c>
    </row>
    <row r="231" spans="1:7" x14ac:dyDescent="0.25">
      <c r="A231" s="8">
        <v>42751.968773148146</v>
      </c>
      <c r="B231" t="s">
        <v>312</v>
      </c>
      <c r="C231" t="s">
        <v>711</v>
      </c>
      <c r="D231" s="160">
        <v>1740000</v>
      </c>
      <c r="E231" t="s">
        <v>676</v>
      </c>
      <c r="F231" s="21" t="s">
        <v>677</v>
      </c>
      <c r="G231" s="8" t="str">
        <f t="shared" si="3"/>
        <v>STORY SAMANTHA</v>
      </c>
    </row>
    <row r="232" spans="1:7" x14ac:dyDescent="0.25">
      <c r="A232" s="8">
        <v>42751.984560185185</v>
      </c>
      <c r="B232" t="s">
        <v>371</v>
      </c>
      <c r="C232" t="s">
        <v>712</v>
      </c>
      <c r="D232" s="160">
        <v>2000000</v>
      </c>
      <c r="E232" t="s">
        <v>204</v>
      </c>
      <c r="F232" s="21" t="s">
        <v>232</v>
      </c>
      <c r="G232" s="8" t="str">
        <f t="shared" si="3"/>
        <v>STAMBAUGH JAMES</v>
      </c>
    </row>
    <row r="233" spans="1:7" x14ac:dyDescent="0.25">
      <c r="A233" s="8">
        <v>42751.99559027778</v>
      </c>
      <c r="B233" t="s">
        <v>287</v>
      </c>
      <c r="C233" t="s">
        <v>713</v>
      </c>
      <c r="D233" s="160">
        <v>1800000</v>
      </c>
      <c r="E233" t="s">
        <v>225</v>
      </c>
      <c r="F233" s="21" t="s">
        <v>235</v>
      </c>
      <c r="G233" s="8" t="str">
        <f t="shared" si="3"/>
        <v>CHANDLER KELVIN</v>
      </c>
    </row>
    <row r="234" spans="1:7" x14ac:dyDescent="0.25">
      <c r="A234" s="8">
        <v>42752.009062500001</v>
      </c>
      <c r="B234" t="s">
        <v>311</v>
      </c>
      <c r="C234" t="s">
        <v>714</v>
      </c>
      <c r="D234" s="160">
        <v>1740000</v>
      </c>
      <c r="E234" t="s">
        <v>676</v>
      </c>
      <c r="F234" s="21" t="s">
        <v>677</v>
      </c>
      <c r="G234" s="8" t="str">
        <f t="shared" si="3"/>
        <v>STORY SAMANTHA</v>
      </c>
    </row>
    <row r="235" spans="1:7" x14ac:dyDescent="0.25">
      <c r="A235" s="8">
        <v>42752.01054398148</v>
      </c>
      <c r="B235" t="s">
        <v>261</v>
      </c>
      <c r="C235" t="s">
        <v>715</v>
      </c>
      <c r="D235" s="160">
        <v>2230000</v>
      </c>
      <c r="E235" t="s">
        <v>249</v>
      </c>
      <c r="F235" s="21" t="s">
        <v>240</v>
      </c>
      <c r="G235" s="8" t="str">
        <f t="shared" si="3"/>
        <v>SMITH MICHAEL</v>
      </c>
    </row>
    <row r="236" spans="1:7" x14ac:dyDescent="0.25">
      <c r="A236" s="8">
        <v>42752.0315162037</v>
      </c>
      <c r="B236" t="s">
        <v>246</v>
      </c>
      <c r="C236" t="s">
        <v>716</v>
      </c>
      <c r="D236" s="160">
        <v>1800000</v>
      </c>
      <c r="E236" t="s">
        <v>225</v>
      </c>
      <c r="F236" s="21" t="s">
        <v>235</v>
      </c>
      <c r="G236" s="8" t="str">
        <f t="shared" si="3"/>
        <v>CHANDLER KELVIN</v>
      </c>
    </row>
    <row r="237" spans="1:7" x14ac:dyDescent="0.25">
      <c r="A237" s="8">
        <v>42752.032581018517</v>
      </c>
      <c r="B237" t="s">
        <v>246</v>
      </c>
      <c r="C237" t="s">
        <v>716</v>
      </c>
      <c r="D237" s="160">
        <v>1800000</v>
      </c>
      <c r="E237" t="s">
        <v>225</v>
      </c>
      <c r="F237" s="21" t="s">
        <v>235</v>
      </c>
      <c r="G237" s="8" t="str">
        <f t="shared" si="3"/>
        <v>CHANDLER KELVIN</v>
      </c>
    </row>
    <row r="238" spans="1:7" x14ac:dyDescent="0.25">
      <c r="A238" s="8">
        <v>42752.037789351853</v>
      </c>
      <c r="B238" t="s">
        <v>362</v>
      </c>
      <c r="C238" t="s">
        <v>717</v>
      </c>
      <c r="D238" s="160">
        <v>2000000</v>
      </c>
      <c r="E238" t="s">
        <v>204</v>
      </c>
      <c r="F238" s="21" t="s">
        <v>232</v>
      </c>
      <c r="G238" s="8" t="str">
        <f t="shared" si="3"/>
        <v>STAMBAUGH JAMES</v>
      </c>
    </row>
    <row r="239" spans="1:7" x14ac:dyDescent="0.25">
      <c r="A239" s="8">
        <v>42752.048483796294</v>
      </c>
      <c r="B239" t="s">
        <v>378</v>
      </c>
      <c r="C239" t="s">
        <v>718</v>
      </c>
      <c r="D239" s="160">
        <v>2230000</v>
      </c>
      <c r="E239" t="s">
        <v>249</v>
      </c>
      <c r="F239" s="21" t="s">
        <v>240</v>
      </c>
      <c r="G239" s="8" t="str">
        <f t="shared" si="3"/>
        <v>SMITH MICHAEL</v>
      </c>
    </row>
    <row r="240" spans="1:7" x14ac:dyDescent="0.25">
      <c r="A240" s="8">
        <v>42752.051863425928</v>
      </c>
      <c r="B240" t="s">
        <v>312</v>
      </c>
      <c r="C240" t="s">
        <v>719</v>
      </c>
      <c r="D240" s="160">
        <v>1740000</v>
      </c>
      <c r="E240" t="s">
        <v>676</v>
      </c>
      <c r="F240" s="21" t="s">
        <v>677</v>
      </c>
      <c r="G240" s="8" t="str">
        <f t="shared" si="3"/>
        <v>STORY SAMANTHA</v>
      </c>
    </row>
    <row r="241" spans="1:7" x14ac:dyDescent="0.25">
      <c r="A241" s="8">
        <v>42752.067928240744</v>
      </c>
      <c r="B241" t="s">
        <v>371</v>
      </c>
      <c r="C241" t="s">
        <v>720</v>
      </c>
      <c r="D241" s="160">
        <v>2000000</v>
      </c>
      <c r="E241" t="s">
        <v>204</v>
      </c>
      <c r="F241" s="21" t="s">
        <v>232</v>
      </c>
      <c r="G241" s="8" t="str">
        <f t="shared" si="3"/>
        <v>STAMBAUGH JAMES</v>
      </c>
    </row>
    <row r="242" spans="1:7" x14ac:dyDescent="0.25">
      <c r="A242" s="8">
        <v>42752.090439814812</v>
      </c>
      <c r="B242" t="s">
        <v>311</v>
      </c>
      <c r="C242" t="s">
        <v>721</v>
      </c>
      <c r="D242" s="160">
        <v>1740000</v>
      </c>
      <c r="E242" t="s">
        <v>676</v>
      </c>
      <c r="F242" s="21" t="s">
        <v>677</v>
      </c>
      <c r="G242" s="8" t="str">
        <f t="shared" si="3"/>
        <v>STORY SAMANTHA</v>
      </c>
    </row>
    <row r="243" spans="1:7" x14ac:dyDescent="0.25">
      <c r="A243" s="8">
        <v>42752.091921296298</v>
      </c>
      <c r="B243" t="s">
        <v>311</v>
      </c>
      <c r="C243" t="s">
        <v>721</v>
      </c>
      <c r="D243" s="160">
        <v>1740000</v>
      </c>
      <c r="E243" t="s">
        <v>676</v>
      </c>
      <c r="F243" s="21" t="s">
        <v>677</v>
      </c>
      <c r="G243" s="8" t="str">
        <f t="shared" si="3"/>
        <v>STORY SAMANTHA</v>
      </c>
    </row>
    <row r="244" spans="1:7" x14ac:dyDescent="0.25">
      <c r="A244" s="8">
        <v>42748.013229166667</v>
      </c>
      <c r="B244" t="s">
        <v>209</v>
      </c>
      <c r="C244" t="s">
        <v>332</v>
      </c>
      <c r="D244" s="160">
        <v>2220000</v>
      </c>
      <c r="E244" t="s">
        <v>305</v>
      </c>
      <c r="F244" s="21" t="s">
        <v>306</v>
      </c>
      <c r="G244" s="8" t="str">
        <f t="shared" si="3"/>
        <v>HILLS DUSTIN</v>
      </c>
    </row>
    <row r="245" spans="1:7" x14ac:dyDescent="0.25">
      <c r="A245" s="8">
        <v>42748.015185185184</v>
      </c>
      <c r="B245" t="s">
        <v>270</v>
      </c>
      <c r="C245" t="s">
        <v>333</v>
      </c>
      <c r="D245" s="160">
        <v>1810000</v>
      </c>
      <c r="E245" t="s">
        <v>250</v>
      </c>
      <c r="F245" s="21" t="s">
        <v>232</v>
      </c>
      <c r="G245" s="8" t="str">
        <f t="shared" si="3"/>
        <v>NEWELL JAMES</v>
      </c>
    </row>
    <row r="246" spans="1:7" x14ac:dyDescent="0.25">
      <c r="A246" s="8">
        <v>42748.017465277779</v>
      </c>
      <c r="B246" t="s">
        <v>303</v>
      </c>
      <c r="C246" t="s">
        <v>334</v>
      </c>
      <c r="D246" s="160">
        <v>2540000</v>
      </c>
      <c r="E246" t="s">
        <v>335</v>
      </c>
      <c r="F246" s="21" t="s">
        <v>336</v>
      </c>
      <c r="G246" s="8" t="str">
        <f t="shared" si="3"/>
        <v>MCREYNOLDS KYLE</v>
      </c>
    </row>
    <row r="247" spans="1:7" x14ac:dyDescent="0.25">
      <c r="A247" s="8">
        <v>42748.031099537038</v>
      </c>
      <c r="B247" t="s">
        <v>246</v>
      </c>
      <c r="C247" t="s">
        <v>337</v>
      </c>
      <c r="D247" s="160">
        <v>1800000</v>
      </c>
      <c r="E247" t="s">
        <v>225</v>
      </c>
      <c r="F247" s="21" t="s">
        <v>235</v>
      </c>
      <c r="G247" s="8" t="str">
        <f t="shared" si="3"/>
        <v>CHANDLER KELVIN</v>
      </c>
    </row>
    <row r="248" spans="1:7" x14ac:dyDescent="0.25">
      <c r="A248" s="8">
        <v>42748.032673611109</v>
      </c>
      <c r="B248" t="s">
        <v>325</v>
      </c>
      <c r="C248" t="s">
        <v>338</v>
      </c>
      <c r="D248" s="160">
        <v>2480000</v>
      </c>
      <c r="E248" t="s">
        <v>331</v>
      </c>
      <c r="F248" s="21" t="s">
        <v>306</v>
      </c>
      <c r="G248" s="8" t="str">
        <f t="shared" si="3"/>
        <v>WHITED DUSTIN</v>
      </c>
    </row>
    <row r="249" spans="1:7" x14ac:dyDescent="0.25">
      <c r="A249" s="8">
        <v>42748.048483796294</v>
      </c>
      <c r="B249" t="s">
        <v>266</v>
      </c>
      <c r="C249" t="s">
        <v>339</v>
      </c>
      <c r="D249" s="160">
        <v>1810000</v>
      </c>
      <c r="E249" t="s">
        <v>250</v>
      </c>
      <c r="F249" s="21" t="s">
        <v>232</v>
      </c>
      <c r="G249" s="8" t="str">
        <f t="shared" si="3"/>
        <v>NEWELL JAMES</v>
      </c>
    </row>
    <row r="250" spans="1:7" x14ac:dyDescent="0.25">
      <c r="A250" s="8">
        <v>42748.049641203703</v>
      </c>
      <c r="B250" t="s">
        <v>266</v>
      </c>
      <c r="C250" t="s">
        <v>339</v>
      </c>
      <c r="D250" s="160">
        <v>1810000</v>
      </c>
      <c r="E250" t="s">
        <v>250</v>
      </c>
      <c r="F250" s="21" t="s">
        <v>232</v>
      </c>
      <c r="G250" s="8" t="str">
        <f t="shared" si="3"/>
        <v>NEWELL JAMES</v>
      </c>
    </row>
    <row r="251" spans="1:7" x14ac:dyDescent="0.25">
      <c r="A251" s="8">
        <v>42748.051203703704</v>
      </c>
      <c r="B251" t="s">
        <v>323</v>
      </c>
      <c r="C251" t="s">
        <v>340</v>
      </c>
      <c r="D251" s="160">
        <v>2220000</v>
      </c>
      <c r="E251" t="s">
        <v>305</v>
      </c>
      <c r="F251" s="21" t="s">
        <v>306</v>
      </c>
      <c r="G251" s="8" t="str">
        <f t="shared" si="3"/>
        <v>HILLS DUSTIN</v>
      </c>
    </row>
    <row r="252" spans="1:7" x14ac:dyDescent="0.25">
      <c r="A252" s="8">
        <v>42748.073344907411</v>
      </c>
      <c r="B252" t="s">
        <v>328</v>
      </c>
      <c r="C252" t="s">
        <v>341</v>
      </c>
      <c r="D252" s="160">
        <v>2480000</v>
      </c>
      <c r="E252" t="s">
        <v>331</v>
      </c>
      <c r="F252" s="21" t="s">
        <v>306</v>
      </c>
      <c r="G252" s="8" t="str">
        <f t="shared" si="3"/>
        <v>WHITED DUSTIN</v>
      </c>
    </row>
    <row r="253" spans="1:7" x14ac:dyDescent="0.25">
      <c r="A253" s="8">
        <v>42748.08971064815</v>
      </c>
      <c r="B253" t="s">
        <v>209</v>
      </c>
      <c r="C253" t="s">
        <v>342</v>
      </c>
      <c r="D253" s="160">
        <v>2220000</v>
      </c>
      <c r="E253" t="s">
        <v>305</v>
      </c>
      <c r="F253" s="21" t="s">
        <v>306</v>
      </c>
      <c r="G253" s="8" t="str">
        <f t="shared" si="3"/>
        <v>HILLS DUSTIN</v>
      </c>
    </row>
    <row r="254" spans="1:7" x14ac:dyDescent="0.25">
      <c r="A254" s="8">
        <v>42748.090231481481</v>
      </c>
      <c r="B254" t="s">
        <v>209</v>
      </c>
      <c r="C254" t="s">
        <v>342</v>
      </c>
      <c r="D254" s="160">
        <v>2220000</v>
      </c>
      <c r="E254" t="s">
        <v>305</v>
      </c>
      <c r="F254" s="21" t="s">
        <v>306</v>
      </c>
      <c r="G254" s="8" t="str">
        <f t="shared" si="3"/>
        <v>HILLS DUSTIN</v>
      </c>
    </row>
    <row r="255" spans="1:7" x14ac:dyDescent="0.25">
      <c r="A255" s="8">
        <v>42748.090856481482</v>
      </c>
      <c r="B255" t="s">
        <v>209</v>
      </c>
      <c r="C255" t="s">
        <v>342</v>
      </c>
      <c r="D255" s="160">
        <v>2220000</v>
      </c>
      <c r="E255" t="s">
        <v>305</v>
      </c>
      <c r="F255" s="21" t="s">
        <v>306</v>
      </c>
      <c r="G255" s="8" t="str">
        <f t="shared" si="3"/>
        <v>HILLS DUSTIN</v>
      </c>
    </row>
    <row r="256" spans="1:7" x14ac:dyDescent="0.25">
      <c r="A256" s="8">
        <v>42748.091747685183</v>
      </c>
      <c r="B256" t="s">
        <v>209</v>
      </c>
      <c r="C256" t="s">
        <v>342</v>
      </c>
      <c r="D256" s="160">
        <v>2220000</v>
      </c>
      <c r="E256" t="s">
        <v>305</v>
      </c>
      <c r="F256" s="21" t="s">
        <v>306</v>
      </c>
      <c r="G256" s="8" t="str">
        <f t="shared" si="3"/>
        <v>HILLS DUSTIN</v>
      </c>
    </row>
    <row r="257" spans="1:7" x14ac:dyDescent="0.25">
      <c r="A257" s="8">
        <v>42748.1012962963</v>
      </c>
      <c r="B257" t="s">
        <v>323</v>
      </c>
      <c r="C257" t="s">
        <v>342</v>
      </c>
      <c r="D257" s="160">
        <v>2220000</v>
      </c>
      <c r="E257" t="s">
        <v>305</v>
      </c>
      <c r="F257" s="21" t="s">
        <v>306</v>
      </c>
      <c r="G257" s="8" t="str">
        <f t="shared" si="3"/>
        <v>HILLS DUSTIN</v>
      </c>
    </row>
    <row r="258" spans="1:7" x14ac:dyDescent="0.25">
      <c r="A258" s="8">
        <v>42723.111840277779</v>
      </c>
      <c r="B258" t="s">
        <v>205</v>
      </c>
      <c r="C258" t="s">
        <v>255</v>
      </c>
      <c r="D258" s="160">
        <v>2110000</v>
      </c>
      <c r="E258" t="s">
        <v>253</v>
      </c>
      <c r="F258" s="21" t="s">
        <v>254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205</v>
      </c>
      <c r="C259" t="s">
        <v>255</v>
      </c>
      <c r="D259" s="160">
        <v>2110000</v>
      </c>
      <c r="E259" t="s">
        <v>253</v>
      </c>
      <c r="F259" s="21" t="s">
        <v>254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222</v>
      </c>
      <c r="C260" t="s">
        <v>228</v>
      </c>
      <c r="D260" s="160">
        <v>2000000</v>
      </c>
      <c r="E260" t="s">
        <v>204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227</v>
      </c>
      <c r="D261" s="160">
        <v>2530000</v>
      </c>
      <c r="E261" t="s">
        <v>226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202</v>
      </c>
      <c r="C262" t="s">
        <v>229</v>
      </c>
      <c r="D262" s="160">
        <v>2600000</v>
      </c>
      <c r="E262" t="s">
        <v>223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200</v>
      </c>
      <c r="C263" t="s">
        <v>213</v>
      </c>
      <c r="D263" s="160">
        <v>2000000</v>
      </c>
      <c r="E263" t="s">
        <v>204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209</v>
      </c>
      <c r="C264" t="s">
        <v>214</v>
      </c>
      <c r="D264" s="160">
        <v>2550000</v>
      </c>
      <c r="E264" t="s">
        <v>208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212</v>
      </c>
      <c r="C265" t="s">
        <v>215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207</v>
      </c>
      <c r="C266" t="s">
        <v>216</v>
      </c>
      <c r="D266" s="160">
        <v>2420000</v>
      </c>
      <c r="E266" t="s">
        <v>210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205</v>
      </c>
      <c r="C267" t="s">
        <v>217</v>
      </c>
      <c r="D267" s="160">
        <v>2000000</v>
      </c>
      <c r="E267" t="s">
        <v>204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211</v>
      </c>
      <c r="C268" t="s">
        <v>218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314</v>
      </c>
      <c r="I1" s="175" t="s">
        <v>171</v>
      </c>
      <c r="J1" s="175" t="s">
        <v>172</v>
      </c>
      <c r="K1" s="175" t="s">
        <v>274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28.51</v>
      </c>
      <c r="B2" s="165">
        <v>0.83</v>
      </c>
      <c r="C2" s="165">
        <v>26.73</v>
      </c>
      <c r="D2" s="8">
        <v>42751</v>
      </c>
      <c r="E2" s="165">
        <v>0.81</v>
      </c>
      <c r="F2" s="165" t="s">
        <v>383</v>
      </c>
      <c r="G2" s="165">
        <v>286.45999999999998</v>
      </c>
      <c r="H2" s="165"/>
      <c r="I2" s="165">
        <v>1.77E-2</v>
      </c>
      <c r="J2" s="165">
        <v>0.55000000000000004</v>
      </c>
      <c r="K2" s="165" t="s">
        <v>383</v>
      </c>
      <c r="L2" s="165">
        <v>1016.66</v>
      </c>
      <c r="M2" s="165" t="s">
        <v>384</v>
      </c>
      <c r="N2" s="165">
        <v>31.76</v>
      </c>
      <c r="O2" s="165">
        <v>1484550000</v>
      </c>
      <c r="P2" s="165">
        <v>1.74</v>
      </c>
      <c r="Q2" s="165">
        <v>331</v>
      </c>
      <c r="R2" s="165">
        <v>3.4</v>
      </c>
    </row>
    <row r="3" spans="1:18" x14ac:dyDescent="0.25">
      <c r="A3" s="165">
        <v>27.14</v>
      </c>
      <c r="B3" s="165">
        <v>0.77</v>
      </c>
      <c r="C3" s="165">
        <v>26.85</v>
      </c>
      <c r="D3" s="8">
        <v>42751.041666666664</v>
      </c>
      <c r="E3" s="165">
        <v>0.86</v>
      </c>
      <c r="F3" s="165" t="s">
        <v>383</v>
      </c>
      <c r="G3" s="165">
        <v>287.07</v>
      </c>
      <c r="H3" s="165"/>
      <c r="I3" s="165">
        <v>2.2499999999999999E-2</v>
      </c>
      <c r="J3" s="165">
        <v>0.57999999999999996</v>
      </c>
      <c r="K3" s="165" t="s">
        <v>383</v>
      </c>
      <c r="L3" s="165">
        <v>1016.84</v>
      </c>
      <c r="M3" s="165" t="s">
        <v>384</v>
      </c>
      <c r="N3" s="165">
        <v>30.55</v>
      </c>
      <c r="O3" s="165">
        <v>1484553600</v>
      </c>
      <c r="P3" s="165">
        <v>1.1200000000000001</v>
      </c>
      <c r="Q3" s="165">
        <v>328</v>
      </c>
      <c r="R3" s="165">
        <v>3.39</v>
      </c>
    </row>
    <row r="4" spans="1:18" x14ac:dyDescent="0.25">
      <c r="A4" s="165">
        <v>26.77</v>
      </c>
      <c r="B4" s="165">
        <v>0.66</v>
      </c>
      <c r="C4" s="165">
        <v>27.96</v>
      </c>
      <c r="D4" s="8">
        <v>42751.083333333336</v>
      </c>
      <c r="E4" s="165">
        <v>0.92</v>
      </c>
      <c r="F4" s="165" t="s">
        <v>315</v>
      </c>
      <c r="G4" s="165">
        <v>287.67</v>
      </c>
      <c r="H4" s="165">
        <v>0.22800000000000001</v>
      </c>
      <c r="I4" s="165">
        <v>2.5899999999999999E-2</v>
      </c>
      <c r="J4" s="165">
        <v>0.6</v>
      </c>
      <c r="K4" s="165" t="s">
        <v>315</v>
      </c>
      <c r="L4" s="165">
        <v>1017.06</v>
      </c>
      <c r="M4" s="165" t="s">
        <v>345</v>
      </c>
      <c r="N4" s="165">
        <v>30.09</v>
      </c>
      <c r="O4" s="165">
        <v>1484557200</v>
      </c>
      <c r="P4" s="165">
        <v>1.02</v>
      </c>
      <c r="Q4" s="165">
        <v>335</v>
      </c>
      <c r="R4" s="165">
        <v>3.27</v>
      </c>
    </row>
    <row r="5" spans="1:18" x14ac:dyDescent="0.25">
      <c r="A5" s="165">
        <v>29.96</v>
      </c>
      <c r="B5" s="165">
        <v>0.67</v>
      </c>
      <c r="C5" s="165">
        <v>28.15</v>
      </c>
      <c r="D5" s="8">
        <v>42751.125</v>
      </c>
      <c r="E5" s="165">
        <v>0.93</v>
      </c>
      <c r="F5" s="165" t="s">
        <v>315</v>
      </c>
      <c r="G5" s="165">
        <v>288</v>
      </c>
      <c r="H5" s="165">
        <v>0.218</v>
      </c>
      <c r="I5" s="165">
        <v>2.46E-2</v>
      </c>
      <c r="J5" s="165">
        <v>0.59</v>
      </c>
      <c r="K5" s="165" t="s">
        <v>315</v>
      </c>
      <c r="L5" s="165">
        <v>1017.13</v>
      </c>
      <c r="M5" s="165" t="s">
        <v>345</v>
      </c>
      <c r="N5" s="165">
        <v>29.96</v>
      </c>
      <c r="O5" s="165">
        <v>1484560800</v>
      </c>
      <c r="P5" s="165">
        <v>1</v>
      </c>
      <c r="Q5" s="165">
        <v>346</v>
      </c>
      <c r="R5" s="165">
        <v>2.9</v>
      </c>
    </row>
    <row r="6" spans="1:18" x14ac:dyDescent="0.25">
      <c r="A6" s="165">
        <v>26.26</v>
      </c>
      <c r="B6" s="165">
        <v>0.75</v>
      </c>
      <c r="C6" s="165">
        <v>28.56</v>
      </c>
      <c r="D6" s="8">
        <v>42751.166666666664</v>
      </c>
      <c r="E6" s="165">
        <v>0.94</v>
      </c>
      <c r="F6" s="165" t="s">
        <v>315</v>
      </c>
      <c r="G6" s="165">
        <v>288.2</v>
      </c>
      <c r="H6" s="165">
        <v>0.254</v>
      </c>
      <c r="I6" s="165">
        <v>2.8799999999999999E-2</v>
      </c>
      <c r="J6" s="165">
        <v>0.61</v>
      </c>
      <c r="K6" s="165" t="s">
        <v>315</v>
      </c>
      <c r="L6" s="165">
        <v>1017.2</v>
      </c>
      <c r="M6" s="165" t="s">
        <v>345</v>
      </c>
      <c r="N6" s="165">
        <v>30.05</v>
      </c>
      <c r="O6" s="165">
        <v>1484564400</v>
      </c>
      <c r="P6" s="165">
        <v>0.96</v>
      </c>
      <c r="Q6" s="165">
        <v>356</v>
      </c>
      <c r="R6" s="165">
        <v>3.64</v>
      </c>
    </row>
    <row r="7" spans="1:18" x14ac:dyDescent="0.25">
      <c r="A7" s="165">
        <v>25.35</v>
      </c>
      <c r="B7" s="165">
        <v>0.8</v>
      </c>
      <c r="C7" s="165">
        <v>28.56</v>
      </c>
      <c r="D7" s="8">
        <v>42751.208333333336</v>
      </c>
      <c r="E7" s="165">
        <v>0.94</v>
      </c>
      <c r="F7" s="165" t="s">
        <v>315</v>
      </c>
      <c r="G7" s="165">
        <v>288.20999999999998</v>
      </c>
      <c r="H7" s="165">
        <v>0.28599999999999998</v>
      </c>
      <c r="I7" s="165">
        <v>3.2399999999999998E-2</v>
      </c>
      <c r="J7" s="165">
        <v>0.62</v>
      </c>
      <c r="K7" s="165" t="s">
        <v>315</v>
      </c>
      <c r="L7" s="165">
        <v>1017.43</v>
      </c>
      <c r="M7" s="165" t="s">
        <v>345</v>
      </c>
      <c r="N7" s="165">
        <v>30.03</v>
      </c>
      <c r="O7" s="165">
        <v>1484568000</v>
      </c>
      <c r="P7" s="165">
        <v>0.94</v>
      </c>
      <c r="Q7" s="165">
        <v>353</v>
      </c>
      <c r="R7" s="165">
        <v>4.41</v>
      </c>
    </row>
    <row r="8" spans="1:18" x14ac:dyDescent="0.25">
      <c r="A8" s="165">
        <v>25.11</v>
      </c>
      <c r="B8" s="165">
        <v>0.68</v>
      </c>
      <c r="C8" s="165">
        <v>28</v>
      </c>
      <c r="D8" s="8">
        <v>42751.25</v>
      </c>
      <c r="E8" s="165">
        <v>0.95</v>
      </c>
      <c r="F8" s="165" t="s">
        <v>315</v>
      </c>
      <c r="G8" s="165">
        <v>287.83</v>
      </c>
      <c r="H8" s="165">
        <v>0.33400000000000002</v>
      </c>
      <c r="I8" s="165">
        <v>3.5999999999999997E-2</v>
      </c>
      <c r="J8" s="165">
        <v>0.63</v>
      </c>
      <c r="K8" s="165" t="s">
        <v>315</v>
      </c>
      <c r="L8" s="165">
        <v>1017.87</v>
      </c>
      <c r="M8" s="165" t="s">
        <v>345</v>
      </c>
      <c r="N8" s="165">
        <v>29.3</v>
      </c>
      <c r="O8" s="165">
        <v>1484571600</v>
      </c>
      <c r="P8" s="165">
        <v>0.68</v>
      </c>
      <c r="Q8" s="165">
        <v>356</v>
      </c>
      <c r="R8" s="165">
        <v>3.87</v>
      </c>
    </row>
    <row r="9" spans="1:18" x14ac:dyDescent="0.25">
      <c r="A9" s="165">
        <v>25.31</v>
      </c>
      <c r="B9" s="165">
        <v>0.55000000000000004</v>
      </c>
      <c r="C9" s="165">
        <v>28.12</v>
      </c>
      <c r="D9" s="8">
        <v>42751.291666666664</v>
      </c>
      <c r="E9" s="165">
        <v>0.94</v>
      </c>
      <c r="F9" s="165" t="s">
        <v>315</v>
      </c>
      <c r="G9" s="165">
        <v>287.27</v>
      </c>
      <c r="H9" s="165">
        <v>0.34399999999999997</v>
      </c>
      <c r="I9" s="165">
        <v>3.7600000000000001E-2</v>
      </c>
      <c r="J9" s="165">
        <v>0.64</v>
      </c>
      <c r="K9" s="165" t="s">
        <v>315</v>
      </c>
      <c r="L9" s="165">
        <v>1018.4</v>
      </c>
      <c r="M9" s="165" t="s">
        <v>345</v>
      </c>
      <c r="N9" s="165">
        <v>29.53</v>
      </c>
      <c r="O9" s="165">
        <v>1484575200</v>
      </c>
      <c r="P9" s="165">
        <v>0.82</v>
      </c>
      <c r="Q9" s="165">
        <v>341</v>
      </c>
      <c r="R9" s="165">
        <v>3.92</v>
      </c>
    </row>
    <row r="10" spans="1:18" x14ac:dyDescent="0.25">
      <c r="A10" s="165">
        <v>24.94</v>
      </c>
      <c r="B10" s="165">
        <v>0.48</v>
      </c>
      <c r="C10" s="165">
        <v>28.14</v>
      </c>
      <c r="D10" s="8">
        <v>42751.333333333336</v>
      </c>
      <c r="E10" s="165">
        <v>0.94</v>
      </c>
      <c r="F10" s="165" t="s">
        <v>315</v>
      </c>
      <c r="G10" s="165">
        <v>287.11</v>
      </c>
      <c r="H10" s="165">
        <v>0.34499999999999997</v>
      </c>
      <c r="I10" s="165">
        <v>3.7699999999999997E-2</v>
      </c>
      <c r="J10" s="165">
        <v>0.64</v>
      </c>
      <c r="K10" s="165" t="s">
        <v>315</v>
      </c>
      <c r="L10" s="165">
        <v>1018.98</v>
      </c>
      <c r="M10" s="165" t="s">
        <v>345</v>
      </c>
      <c r="N10" s="165">
        <v>29.52</v>
      </c>
      <c r="O10" s="165">
        <v>1484578800</v>
      </c>
      <c r="P10" s="165">
        <v>0.45</v>
      </c>
      <c r="Q10" s="165">
        <v>332</v>
      </c>
      <c r="R10" s="165">
        <v>4.25</v>
      </c>
    </row>
    <row r="11" spans="1:18" x14ac:dyDescent="0.25">
      <c r="A11" s="165">
        <v>24.93</v>
      </c>
      <c r="B11" s="165">
        <v>0.5</v>
      </c>
      <c r="C11" s="165">
        <v>28.57</v>
      </c>
      <c r="D11" s="8">
        <v>42751.375</v>
      </c>
      <c r="E11" s="165">
        <v>0.95</v>
      </c>
      <c r="F11" s="165" t="s">
        <v>315</v>
      </c>
      <c r="G11" s="165">
        <v>287.79000000000002</v>
      </c>
      <c r="H11" s="165">
        <v>0.307</v>
      </c>
      <c r="I11" s="165">
        <v>3.4299999999999997E-2</v>
      </c>
      <c r="J11" s="165">
        <v>0.63</v>
      </c>
      <c r="K11" s="165" t="s">
        <v>315</v>
      </c>
      <c r="L11" s="165">
        <v>1019.76</v>
      </c>
      <c r="M11" s="165" t="s">
        <v>345</v>
      </c>
      <c r="N11" s="165">
        <v>29.84</v>
      </c>
      <c r="O11" s="165">
        <v>1484582400</v>
      </c>
      <c r="P11" s="165">
        <v>0.79</v>
      </c>
      <c r="Q11" s="165">
        <v>344</v>
      </c>
      <c r="R11" s="165">
        <v>4.6100000000000003</v>
      </c>
    </row>
    <row r="12" spans="1:18" x14ac:dyDescent="0.25">
      <c r="A12" s="165">
        <v>26.78</v>
      </c>
      <c r="B12" s="165">
        <v>0.64</v>
      </c>
      <c r="C12" s="165">
        <v>29.88</v>
      </c>
      <c r="D12" s="8">
        <v>42751.416666666664</v>
      </c>
      <c r="E12" s="165">
        <v>0.95</v>
      </c>
      <c r="F12" s="165" t="s">
        <v>383</v>
      </c>
      <c r="G12" s="165">
        <v>288.87</v>
      </c>
      <c r="H12" s="165"/>
      <c r="I12" s="165">
        <v>2.2100000000000002E-2</v>
      </c>
      <c r="J12" s="165">
        <v>0.57999999999999996</v>
      </c>
      <c r="K12" s="165" t="s">
        <v>383</v>
      </c>
      <c r="L12" s="165">
        <v>1020.69</v>
      </c>
      <c r="M12" s="165" t="s">
        <v>384</v>
      </c>
      <c r="N12" s="165">
        <v>31.23</v>
      </c>
      <c r="O12" s="165">
        <v>1484586000</v>
      </c>
      <c r="P12" s="165">
        <v>0.5</v>
      </c>
      <c r="Q12" s="165">
        <v>340</v>
      </c>
      <c r="R12" s="165">
        <v>4.38</v>
      </c>
    </row>
    <row r="13" spans="1:18" x14ac:dyDescent="0.25">
      <c r="A13" s="165">
        <v>28.49</v>
      </c>
      <c r="B13" s="165">
        <v>0.69</v>
      </c>
      <c r="C13" s="165">
        <v>30.85</v>
      </c>
      <c r="D13" s="8">
        <v>42751.458333333336</v>
      </c>
      <c r="E13" s="165">
        <v>0.93</v>
      </c>
      <c r="F13" s="165" t="s">
        <v>383</v>
      </c>
      <c r="G13" s="165">
        <v>289.55</v>
      </c>
      <c r="H13" s="165"/>
      <c r="I13" s="165">
        <v>1.4200000000000001E-2</v>
      </c>
      <c r="J13" s="165">
        <v>0.52</v>
      </c>
      <c r="K13" s="165" t="s">
        <v>383</v>
      </c>
      <c r="L13" s="165">
        <v>1021.1</v>
      </c>
      <c r="M13" s="165" t="s">
        <v>384</v>
      </c>
      <c r="N13" s="165">
        <v>32.57</v>
      </c>
      <c r="O13" s="165">
        <v>1484589600</v>
      </c>
      <c r="P13" s="165">
        <v>0.99</v>
      </c>
      <c r="Q13" s="165">
        <v>341</v>
      </c>
      <c r="R13" s="165">
        <v>4.2300000000000004</v>
      </c>
    </row>
    <row r="14" spans="1:18" x14ac:dyDescent="0.25">
      <c r="A14" s="165">
        <v>29.34</v>
      </c>
      <c r="B14" s="165">
        <v>0.62</v>
      </c>
      <c r="C14" s="165">
        <v>30.77</v>
      </c>
      <c r="D14" s="8">
        <v>42751.5</v>
      </c>
      <c r="E14" s="165">
        <v>0.9</v>
      </c>
      <c r="F14" s="165" t="s">
        <v>344</v>
      </c>
      <c r="G14" s="165">
        <v>289.39999999999998</v>
      </c>
      <c r="H14" s="165"/>
      <c r="I14" s="165">
        <v>8.0999999999999996E-3</v>
      </c>
      <c r="J14" s="165">
        <v>0.4</v>
      </c>
      <c r="K14" s="165" t="s">
        <v>344</v>
      </c>
      <c r="L14" s="165">
        <v>1020.87</v>
      </c>
      <c r="M14" s="165" t="s">
        <v>722</v>
      </c>
      <c r="N14" s="165">
        <v>33.33</v>
      </c>
      <c r="O14" s="165">
        <v>1484593200</v>
      </c>
      <c r="P14" s="165">
        <v>1.89</v>
      </c>
      <c r="Q14" s="165">
        <v>347</v>
      </c>
      <c r="R14" s="165">
        <v>4.26</v>
      </c>
    </row>
    <row r="15" spans="1:18" x14ac:dyDescent="0.25">
      <c r="A15" s="165">
        <v>34.119999999999997</v>
      </c>
      <c r="B15" s="165">
        <v>0.5</v>
      </c>
      <c r="C15" s="165">
        <v>30.9</v>
      </c>
      <c r="D15" s="8">
        <v>42751.541666666664</v>
      </c>
      <c r="E15" s="165">
        <v>0.88</v>
      </c>
      <c r="F15" s="165" t="s">
        <v>288</v>
      </c>
      <c r="G15" s="165">
        <v>288.85000000000002</v>
      </c>
      <c r="H15" s="165"/>
      <c r="I15" s="165">
        <v>3.5000000000000001E-3</v>
      </c>
      <c r="J15" s="165">
        <v>0.12</v>
      </c>
      <c r="K15" s="165" t="s">
        <v>344</v>
      </c>
      <c r="L15" s="165">
        <v>1020.3</v>
      </c>
      <c r="M15" s="165" t="s">
        <v>723</v>
      </c>
      <c r="N15" s="165">
        <v>34.119999999999997</v>
      </c>
      <c r="O15" s="165">
        <v>1484596800</v>
      </c>
      <c r="P15" s="165">
        <v>2.89</v>
      </c>
      <c r="Q15" s="165">
        <v>340</v>
      </c>
      <c r="R15" s="165">
        <v>2.91</v>
      </c>
    </row>
    <row r="16" spans="1:18" x14ac:dyDescent="0.25">
      <c r="A16" s="165">
        <v>34.770000000000003</v>
      </c>
      <c r="B16" s="165">
        <v>0.44</v>
      </c>
      <c r="C16" s="165">
        <v>30.72</v>
      </c>
      <c r="D16" s="8">
        <v>42751.583333333336</v>
      </c>
      <c r="E16" s="165">
        <v>0.85</v>
      </c>
      <c r="F16" s="165" t="s">
        <v>288</v>
      </c>
      <c r="G16" s="165">
        <v>288.45999999999998</v>
      </c>
      <c r="H16" s="165"/>
      <c r="I16" s="165">
        <v>2.3999999999999998E-3</v>
      </c>
      <c r="J16" s="165">
        <v>7.0000000000000007E-2</v>
      </c>
      <c r="K16" s="165" t="s">
        <v>344</v>
      </c>
      <c r="L16" s="165">
        <v>1019.88</v>
      </c>
      <c r="M16" s="165" t="s">
        <v>723</v>
      </c>
      <c r="N16" s="165">
        <v>34.770000000000003</v>
      </c>
      <c r="O16" s="165">
        <v>1484600400</v>
      </c>
      <c r="P16" s="165">
        <v>4.0199999999999996</v>
      </c>
      <c r="Q16" s="165">
        <v>332</v>
      </c>
      <c r="R16" s="165">
        <v>1.55</v>
      </c>
    </row>
    <row r="17" spans="1:18" x14ac:dyDescent="0.25">
      <c r="A17" s="165">
        <v>35.299999999999997</v>
      </c>
      <c r="B17" s="165">
        <v>0.5</v>
      </c>
      <c r="C17" s="165">
        <v>30.58</v>
      </c>
      <c r="D17" s="8">
        <v>42751.625</v>
      </c>
      <c r="E17" s="165">
        <v>0.83</v>
      </c>
      <c r="F17" s="165" t="s">
        <v>288</v>
      </c>
      <c r="G17" s="165">
        <v>288.39999999999998</v>
      </c>
      <c r="H17" s="165"/>
      <c r="I17" s="165">
        <v>1.6000000000000001E-3</v>
      </c>
      <c r="J17" s="165">
        <v>0.03</v>
      </c>
      <c r="K17" s="165" t="s">
        <v>344</v>
      </c>
      <c r="L17" s="165">
        <v>1019.84</v>
      </c>
      <c r="M17" s="165" t="s">
        <v>723</v>
      </c>
      <c r="N17" s="165">
        <v>35.299999999999997</v>
      </c>
      <c r="O17" s="165">
        <v>1484604000</v>
      </c>
      <c r="P17" s="165">
        <v>9</v>
      </c>
      <c r="Q17" s="165">
        <v>274</v>
      </c>
      <c r="R17" s="165">
        <v>0.9</v>
      </c>
    </row>
    <row r="18" spans="1:18" x14ac:dyDescent="0.25">
      <c r="A18" s="165">
        <v>35.33</v>
      </c>
      <c r="B18" s="165">
        <v>0.65</v>
      </c>
      <c r="C18" s="165">
        <v>29.8</v>
      </c>
      <c r="D18" s="8">
        <v>42751.666666666664</v>
      </c>
      <c r="E18" s="165">
        <v>0.8</v>
      </c>
      <c r="F18" s="165" t="s">
        <v>288</v>
      </c>
      <c r="G18" s="165">
        <v>288.5</v>
      </c>
      <c r="H18" s="165"/>
      <c r="I18" s="165">
        <v>1.6000000000000001E-3</v>
      </c>
      <c r="J18" s="165">
        <v>0.04</v>
      </c>
      <c r="K18" s="165" t="s">
        <v>344</v>
      </c>
      <c r="L18" s="165">
        <v>1020.11</v>
      </c>
      <c r="M18" s="165" t="s">
        <v>343</v>
      </c>
      <c r="N18" s="165">
        <v>35.33</v>
      </c>
      <c r="O18" s="165">
        <v>1484607600</v>
      </c>
      <c r="P18" s="165">
        <v>4.84</v>
      </c>
      <c r="Q18" s="165">
        <v>219</v>
      </c>
      <c r="R18" s="165">
        <v>0.15</v>
      </c>
    </row>
    <row r="19" spans="1:18" x14ac:dyDescent="0.25">
      <c r="A19" s="165">
        <v>34.53</v>
      </c>
      <c r="B19" s="165">
        <v>0.83</v>
      </c>
      <c r="C19" s="165">
        <v>29.31</v>
      </c>
      <c r="D19" s="8">
        <v>42751.708333333336</v>
      </c>
      <c r="E19" s="165">
        <v>0.81</v>
      </c>
      <c r="F19" s="165" t="s">
        <v>724</v>
      </c>
      <c r="G19" s="165">
        <v>288.77999999999997</v>
      </c>
      <c r="H19" s="165">
        <v>1.0999999999999999E-2</v>
      </c>
      <c r="I19" s="165">
        <v>1.5E-3</v>
      </c>
      <c r="J19" s="165">
        <v>0.03</v>
      </c>
      <c r="K19" s="165" t="s">
        <v>315</v>
      </c>
      <c r="L19" s="165">
        <v>1020.52</v>
      </c>
      <c r="M19" s="165" t="s">
        <v>343</v>
      </c>
      <c r="N19" s="165">
        <v>34.53</v>
      </c>
      <c r="O19" s="165">
        <v>1484611200</v>
      </c>
      <c r="P19" s="165">
        <v>5.17</v>
      </c>
      <c r="Q19" s="165">
        <v>219</v>
      </c>
      <c r="R19" s="165">
        <v>1.67</v>
      </c>
    </row>
    <row r="20" spans="1:18" x14ac:dyDescent="0.25">
      <c r="A20" s="165">
        <v>32.520000000000003</v>
      </c>
      <c r="B20" s="165">
        <v>0.87</v>
      </c>
      <c r="C20" s="165">
        <v>28.07</v>
      </c>
      <c r="D20" s="8">
        <v>42751.75</v>
      </c>
      <c r="E20" s="165">
        <v>0.83</v>
      </c>
      <c r="F20" s="165" t="s">
        <v>724</v>
      </c>
      <c r="G20" s="165">
        <v>289.27</v>
      </c>
      <c r="H20" s="165">
        <v>8.9999999999999993E-3</v>
      </c>
      <c r="I20" s="165">
        <v>1.1999999999999999E-3</v>
      </c>
      <c r="J20" s="165">
        <v>0.02</v>
      </c>
      <c r="K20" s="165" t="s">
        <v>315</v>
      </c>
      <c r="L20" s="165">
        <v>1021.01</v>
      </c>
      <c r="M20" s="165" t="s">
        <v>343</v>
      </c>
      <c r="N20" s="165">
        <v>32.520000000000003</v>
      </c>
      <c r="O20" s="165">
        <v>1484614800</v>
      </c>
      <c r="P20" s="165">
        <v>5.64</v>
      </c>
      <c r="Q20" s="165">
        <v>228</v>
      </c>
      <c r="R20" s="165">
        <v>2.5099999999999998</v>
      </c>
    </row>
    <row r="21" spans="1:18" x14ac:dyDescent="0.25">
      <c r="A21" s="165">
        <v>32.659999999999997</v>
      </c>
      <c r="B21" s="165">
        <v>0.64</v>
      </c>
      <c r="C21" s="165">
        <v>28.67</v>
      </c>
      <c r="D21" s="8">
        <v>42751.791666666664</v>
      </c>
      <c r="E21" s="165">
        <v>0.85</v>
      </c>
      <c r="F21" s="165" t="s">
        <v>724</v>
      </c>
      <c r="G21" s="165">
        <v>289.94</v>
      </c>
      <c r="H21" s="165">
        <v>0.01</v>
      </c>
      <c r="I21" s="165">
        <v>1.2999999999999999E-3</v>
      </c>
      <c r="J21" s="165">
        <v>0.02</v>
      </c>
      <c r="K21" s="165" t="s">
        <v>315</v>
      </c>
      <c r="L21" s="165">
        <v>1021.67</v>
      </c>
      <c r="M21" s="165" t="s">
        <v>343</v>
      </c>
      <c r="N21" s="165">
        <v>32.659999999999997</v>
      </c>
      <c r="O21" s="165">
        <v>1484618400</v>
      </c>
      <c r="P21" s="165">
        <v>4.3099999999999996</v>
      </c>
      <c r="Q21" s="165">
        <v>220</v>
      </c>
      <c r="R21" s="165">
        <v>2.61</v>
      </c>
    </row>
    <row r="22" spans="1:18" x14ac:dyDescent="0.25">
      <c r="A22" s="165">
        <v>32.29</v>
      </c>
      <c r="B22" s="165">
        <v>0.48</v>
      </c>
      <c r="C22" s="165">
        <v>28.55</v>
      </c>
      <c r="D22" s="8">
        <v>42751.833333333336</v>
      </c>
      <c r="E22" s="165">
        <v>0.86</v>
      </c>
      <c r="F22" s="165" t="s">
        <v>724</v>
      </c>
      <c r="G22" s="165">
        <v>290.69</v>
      </c>
      <c r="H22" s="165">
        <v>0.01</v>
      </c>
      <c r="I22" s="165">
        <v>1.2999999999999999E-3</v>
      </c>
      <c r="J22" s="165">
        <v>0.02</v>
      </c>
      <c r="K22" s="165" t="s">
        <v>315</v>
      </c>
      <c r="L22" s="165">
        <v>1022.1</v>
      </c>
      <c r="M22" s="165" t="s">
        <v>723</v>
      </c>
      <c r="N22" s="165">
        <v>32.29</v>
      </c>
      <c r="O22" s="165">
        <v>1484622000</v>
      </c>
      <c r="P22" s="165">
        <v>4.01</v>
      </c>
      <c r="Q22" s="165">
        <v>227</v>
      </c>
      <c r="R22" s="165">
        <v>2.13</v>
      </c>
    </row>
    <row r="23" spans="1:18" x14ac:dyDescent="0.25">
      <c r="A23" s="165">
        <v>31.75</v>
      </c>
      <c r="B23" s="165">
        <v>0.49</v>
      </c>
      <c r="C23" s="165">
        <v>27.84</v>
      </c>
      <c r="D23" s="8">
        <v>42751.875</v>
      </c>
      <c r="E23" s="165">
        <v>0.85</v>
      </c>
      <c r="F23" s="165" t="s">
        <v>724</v>
      </c>
      <c r="G23" s="165">
        <v>291.56</v>
      </c>
      <c r="H23" s="165"/>
      <c r="I23" s="165">
        <v>0</v>
      </c>
      <c r="J23" s="165">
        <v>0</v>
      </c>
      <c r="K23" s="165"/>
      <c r="L23" s="165">
        <v>1021.97</v>
      </c>
      <c r="M23" s="165" t="s">
        <v>723</v>
      </c>
      <c r="N23" s="165">
        <v>31.75</v>
      </c>
      <c r="O23" s="165">
        <v>1484625600</v>
      </c>
      <c r="P23" s="165">
        <v>3.81</v>
      </c>
      <c r="Q23" s="165">
        <v>195</v>
      </c>
      <c r="R23" s="165">
        <v>2.1800000000000002</v>
      </c>
    </row>
    <row r="24" spans="1:18" x14ac:dyDescent="0.25">
      <c r="A24" s="165">
        <v>30.51</v>
      </c>
      <c r="B24" s="165">
        <v>0.5</v>
      </c>
      <c r="C24" s="165">
        <v>26.36</v>
      </c>
      <c r="D24" s="8">
        <v>42751.916666666664</v>
      </c>
      <c r="E24" s="165">
        <v>0.84</v>
      </c>
      <c r="F24" s="165" t="s">
        <v>724</v>
      </c>
      <c r="G24" s="165">
        <v>292.5</v>
      </c>
      <c r="H24" s="165"/>
      <c r="I24" s="165">
        <v>0</v>
      </c>
      <c r="J24" s="165">
        <v>0</v>
      </c>
      <c r="K24" s="165"/>
      <c r="L24" s="165">
        <v>1021.56</v>
      </c>
      <c r="M24" s="165" t="s">
        <v>723</v>
      </c>
      <c r="N24" s="165">
        <v>30.51</v>
      </c>
      <c r="O24" s="165">
        <v>1484629200</v>
      </c>
      <c r="P24" s="165">
        <v>4.0999999999999996</v>
      </c>
      <c r="Q24" s="165">
        <v>203</v>
      </c>
      <c r="R24" s="165">
        <v>2.69</v>
      </c>
    </row>
    <row r="25" spans="1:18" x14ac:dyDescent="0.25">
      <c r="A25" s="165">
        <v>25.7</v>
      </c>
      <c r="B25" s="165">
        <v>0.5</v>
      </c>
      <c r="C25" s="165">
        <v>25.04</v>
      </c>
      <c r="D25" s="8">
        <v>42751.958333333336</v>
      </c>
      <c r="E25" s="165">
        <v>0.83</v>
      </c>
      <c r="F25" s="165" t="s">
        <v>724</v>
      </c>
      <c r="G25" s="165">
        <v>293.29000000000002</v>
      </c>
      <c r="H25" s="165"/>
      <c r="I25" s="165">
        <v>0</v>
      </c>
      <c r="J25" s="165">
        <v>0</v>
      </c>
      <c r="K25" s="165"/>
      <c r="L25" s="165">
        <v>1021.33</v>
      </c>
      <c r="M25" s="165" t="s">
        <v>723</v>
      </c>
      <c r="N25" s="165">
        <v>29.68</v>
      </c>
      <c r="O25" s="165">
        <v>1484632800</v>
      </c>
      <c r="P25" s="165">
        <v>3.47</v>
      </c>
      <c r="Q25" s="165">
        <v>206</v>
      </c>
      <c r="R25" s="165">
        <v>3.75</v>
      </c>
    </row>
    <row r="26" spans="1:18" x14ac:dyDescent="0.25">
      <c r="A26" s="165">
        <v>28.97</v>
      </c>
      <c r="B26" s="165">
        <v>0.64</v>
      </c>
      <c r="C26" s="165">
        <v>24.3</v>
      </c>
      <c r="D26" s="8">
        <v>42752</v>
      </c>
      <c r="E26" s="165">
        <v>0.82</v>
      </c>
      <c r="F26" s="165" t="s">
        <v>724</v>
      </c>
      <c r="G26" s="165">
        <v>293.7</v>
      </c>
      <c r="H26" s="165"/>
      <c r="I26" s="165">
        <v>0</v>
      </c>
      <c r="J26" s="165">
        <v>0</v>
      </c>
      <c r="K26" s="165"/>
      <c r="L26" s="165">
        <v>1021.62</v>
      </c>
      <c r="M26" s="165" t="s">
        <v>343</v>
      </c>
      <c r="N26" s="165">
        <v>28.97</v>
      </c>
      <c r="O26" s="165">
        <v>1484636400</v>
      </c>
      <c r="P26" s="165">
        <v>3.58</v>
      </c>
      <c r="Q26" s="165">
        <v>199</v>
      </c>
      <c r="R26" s="165">
        <v>2.0299999999999998</v>
      </c>
    </row>
    <row r="27" spans="1:18" x14ac:dyDescent="0.25">
      <c r="A27" s="165">
        <v>27.19</v>
      </c>
      <c r="B27" s="165">
        <v>0.66</v>
      </c>
      <c r="C27" s="165">
        <v>22.77</v>
      </c>
      <c r="D27" s="8">
        <v>42752.041666666664</v>
      </c>
      <c r="E27" s="165">
        <v>0.83</v>
      </c>
      <c r="F27" s="165" t="s">
        <v>724</v>
      </c>
      <c r="G27" s="165">
        <v>294.10000000000002</v>
      </c>
      <c r="H27" s="165"/>
      <c r="I27" s="165">
        <v>0</v>
      </c>
      <c r="J27" s="165">
        <v>0</v>
      </c>
      <c r="K27" s="165"/>
      <c r="L27" s="165">
        <v>1021.92</v>
      </c>
      <c r="M27" s="165" t="s">
        <v>343</v>
      </c>
      <c r="N27" s="165">
        <v>27.19</v>
      </c>
      <c r="O27" s="165">
        <v>1484640000</v>
      </c>
      <c r="P27" s="165">
        <v>3.2</v>
      </c>
      <c r="Q27" s="165">
        <v>177</v>
      </c>
      <c r="R27" s="165">
        <v>1.72</v>
      </c>
    </row>
    <row r="28" spans="1:18" x14ac:dyDescent="0.25">
      <c r="A28" s="165">
        <v>25.82</v>
      </c>
      <c r="B28" s="165">
        <v>0.62</v>
      </c>
      <c r="C28" s="165">
        <v>22.05</v>
      </c>
      <c r="D28" s="8">
        <v>42752.083333333336</v>
      </c>
      <c r="E28" s="165">
        <v>0.85</v>
      </c>
      <c r="F28" s="165" t="s">
        <v>724</v>
      </c>
      <c r="G28" s="165">
        <v>294.51</v>
      </c>
      <c r="H28" s="165"/>
      <c r="I28" s="165">
        <v>0</v>
      </c>
      <c r="J28" s="165">
        <v>0</v>
      </c>
      <c r="K28" s="165"/>
      <c r="L28" s="165">
        <v>1022.2</v>
      </c>
      <c r="M28" s="165" t="s">
        <v>343</v>
      </c>
      <c r="N28" s="165">
        <v>25.82</v>
      </c>
      <c r="O28" s="165">
        <v>1484643600</v>
      </c>
      <c r="P28" s="165">
        <v>3.09</v>
      </c>
      <c r="Q28" s="165">
        <v>226</v>
      </c>
      <c r="R28" s="165">
        <v>2.08</v>
      </c>
    </row>
    <row r="29" spans="1:18" x14ac:dyDescent="0.25">
      <c r="A29" s="165">
        <v>21.17</v>
      </c>
      <c r="B29" s="165">
        <v>0.48</v>
      </c>
      <c r="C29" s="165">
        <v>16.91</v>
      </c>
      <c r="D29" s="8">
        <v>42752.125</v>
      </c>
      <c r="E29" s="165">
        <v>0.83</v>
      </c>
      <c r="F29" s="165" t="s">
        <v>724</v>
      </c>
      <c r="G29" s="165">
        <v>295.60000000000002</v>
      </c>
      <c r="H29" s="165"/>
      <c r="I29" s="165">
        <v>0</v>
      </c>
      <c r="J29" s="165">
        <v>0</v>
      </c>
      <c r="K29" s="165"/>
      <c r="L29" s="165">
        <v>1022.46</v>
      </c>
      <c r="M29" s="165" t="s">
        <v>723</v>
      </c>
      <c r="N29" s="165">
        <v>21.17</v>
      </c>
      <c r="O29" s="165">
        <v>1484647200</v>
      </c>
      <c r="P29" s="165">
        <v>5.75</v>
      </c>
      <c r="Q29" s="165">
        <v>225</v>
      </c>
      <c r="R29" s="165">
        <v>2.68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198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42751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199</v>
      </c>
      <c r="J17" s="186"/>
      <c r="K17" s="187"/>
      <c r="L17" s="187"/>
    </row>
    <row r="18" spans="3:13" x14ac:dyDescent="0.25">
      <c r="C18" t="s">
        <v>894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895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896</v>
      </c>
      <c r="J20" s="165" t="s">
        <v>87</v>
      </c>
      <c r="M20" s="165" t="s">
        <v>265</v>
      </c>
    </row>
    <row r="21" spans="3:13" x14ac:dyDescent="0.25">
      <c r="C21" t="s">
        <v>897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898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899</v>
      </c>
      <c r="J23" s="188" t="s">
        <v>95</v>
      </c>
      <c r="M23" s="165" t="str">
        <f>"-07"</f>
        <v>-07</v>
      </c>
    </row>
    <row r="24" spans="3:13" x14ac:dyDescent="0.25">
      <c r="C24" t="s">
        <v>900</v>
      </c>
      <c r="J24" s="165" t="s">
        <v>108</v>
      </c>
      <c r="M24" s="165" t="s">
        <v>110</v>
      </c>
    </row>
    <row r="25" spans="3:13" x14ac:dyDescent="0.25">
      <c r="C25" t="s">
        <v>901</v>
      </c>
      <c r="J25" s="165" t="s">
        <v>151</v>
      </c>
      <c r="M25" s="165" t="b">
        <v>1</v>
      </c>
    </row>
    <row r="26" spans="3:13" x14ac:dyDescent="0.25">
      <c r="C26" t="s">
        <v>902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C:\Users\stu\Documents\GitHub\eaglep3-reporting\EC\2017-01-16-refined-times.txt</v>
      </c>
    </row>
    <row r="27" spans="3:13" x14ac:dyDescent="0.25">
      <c r="C27" t="s">
        <v>903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C:\Users\stu\Documents\GitHub\eaglep3-reporting\EC\2017-01-16-Enforcements.txt</v>
      </c>
    </row>
    <row r="28" spans="3:13" x14ac:dyDescent="0.25">
      <c r="C28" t="s">
        <v>904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C:\Users\stu\Documents\GitHub\eaglep3-reporting\EC\2017-01-16-Runs-refined.txt</v>
      </c>
    </row>
    <row r="29" spans="3:13" x14ac:dyDescent="0.25">
      <c r="C29" t="s">
        <v>905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C:\Users\stu\Documents\GitHub\eaglep3-reporting\EC\2017-01-16-Trips.txt</v>
      </c>
    </row>
    <row r="30" spans="3:13" x14ac:dyDescent="0.25">
      <c r="C30" t="s">
        <v>906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C:\Users\stu\Documents\GitHub\eaglep3-reporting\EC\2017-01-16-Weather.txt</v>
      </c>
    </row>
    <row r="31" spans="3:13" x14ac:dyDescent="0.25">
      <c r="C31" t="s">
        <v>907</v>
      </c>
      <c r="J31" s="165" t="s">
        <v>263</v>
      </c>
      <c r="M31" s="165" t="s">
        <v>264</v>
      </c>
    </row>
    <row r="32" spans="3:13" x14ac:dyDescent="0.25">
      <c r="C32" t="s">
        <v>908</v>
      </c>
    </row>
    <row r="33" spans="3:3" x14ac:dyDescent="0.25">
      <c r="C33" t="s">
        <v>909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1" workbookViewId="0">
      <selection activeCell="C68" sqref="C6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420</v>
      </c>
      <c r="B1" t="str">
        <f t="shared" ref="B1:B30" si="0">MID(A1,6,23)</f>
        <v>2017/01/15 12:31:00.852</v>
      </c>
      <c r="C1" t="e">
        <f>ABS(B1-#REF!)</f>
        <v>#REF!</v>
      </c>
    </row>
    <row r="2" spans="1:3" x14ac:dyDescent="0.25">
      <c r="A2" t="s">
        <v>421</v>
      </c>
      <c r="B2" s="21" t="str">
        <f t="shared" si="0"/>
        <v>2017/01/15 12:31:00.862</v>
      </c>
      <c r="C2">
        <f>ABS(B2-B1)</f>
        <v>1.1573865776881576E-7</v>
      </c>
    </row>
    <row r="3" spans="1:3" x14ac:dyDescent="0.25">
      <c r="A3" t="s">
        <v>422</v>
      </c>
      <c r="B3" s="21" t="str">
        <f t="shared" si="0"/>
        <v>2017/01/15 12:31:00.873</v>
      </c>
      <c r="C3" s="21">
        <f t="shared" ref="C3:C30" si="1">ABS(B3-B2)</f>
        <v>1.2731470633298159E-7</v>
      </c>
    </row>
    <row r="4" spans="1:3" x14ac:dyDescent="0.25">
      <c r="A4" t="s">
        <v>423</v>
      </c>
      <c r="B4" s="21" t="str">
        <f t="shared" si="0"/>
        <v>2017/01/15 12:31:00.881</v>
      </c>
      <c r="C4" s="21">
        <f t="shared" si="1"/>
        <v>9.2593836598098278E-8</v>
      </c>
    </row>
    <row r="5" spans="1:3" x14ac:dyDescent="0.25">
      <c r="A5" t="s">
        <v>424</v>
      </c>
      <c r="B5" s="21" t="str">
        <f t="shared" si="0"/>
        <v>2017/01/15 15:22:20.279</v>
      </c>
      <c r="C5" s="21">
        <f t="shared" si="1"/>
        <v>0.118974513890862</v>
      </c>
    </row>
    <row r="6" spans="1:3" x14ac:dyDescent="0.25">
      <c r="A6" t="s">
        <v>425</v>
      </c>
      <c r="B6" s="21" t="str">
        <f t="shared" si="0"/>
        <v>2017/01/15 15:22:20.894</v>
      </c>
      <c r="C6" s="21">
        <f t="shared" si="1"/>
        <v>7.1180547820404172E-6</v>
      </c>
    </row>
    <row r="7" spans="1:3" x14ac:dyDescent="0.25">
      <c r="A7" t="s">
        <v>426</v>
      </c>
      <c r="B7" s="21" t="str">
        <f t="shared" si="0"/>
        <v>2017/01/15 15:22:20.997</v>
      </c>
      <c r="C7" s="21">
        <f t="shared" si="1"/>
        <v>1.1921292752958834E-6</v>
      </c>
    </row>
    <row r="8" spans="1:3" x14ac:dyDescent="0.25">
      <c r="A8" t="s">
        <v>427</v>
      </c>
      <c r="B8" s="21" t="str">
        <f t="shared" si="0"/>
        <v>2017/01/15 16:06:22.298</v>
      </c>
      <c r="C8" s="21">
        <f t="shared" si="1"/>
        <v>3.0570613424060866E-2</v>
      </c>
    </row>
    <row r="9" spans="1:3" x14ac:dyDescent="0.25">
      <c r="A9" t="s">
        <v>428</v>
      </c>
      <c r="B9" s="21" t="str">
        <f t="shared" si="0"/>
        <v>2017/01/15 16:06:24.894</v>
      </c>
      <c r="C9" s="21">
        <f t="shared" si="1"/>
        <v>3.0046299798414111E-5</v>
      </c>
    </row>
    <row r="10" spans="1:3" x14ac:dyDescent="0.25">
      <c r="A10" t="s">
        <v>429</v>
      </c>
      <c r="B10" s="21" t="str">
        <f t="shared" si="0"/>
        <v>2017/01/15 16:06:25.021</v>
      </c>
      <c r="C10" s="21">
        <f t="shared" si="1"/>
        <v>1.4699035091325641E-6</v>
      </c>
    </row>
    <row r="11" spans="1:3" x14ac:dyDescent="0.25">
      <c r="A11" t="s">
        <v>430</v>
      </c>
      <c r="B11" s="21" t="str">
        <f t="shared" si="0"/>
        <v>2017/01/15 16:35:13.922</v>
      </c>
      <c r="C11" s="21">
        <f t="shared" si="1"/>
        <v>2.0010428241221234E-2</v>
      </c>
    </row>
    <row r="12" spans="1:3" x14ac:dyDescent="0.25">
      <c r="A12" t="s">
        <v>431</v>
      </c>
      <c r="B12" s="21" t="str">
        <f t="shared" si="0"/>
        <v>2017/01/15 16:35:14.705</v>
      </c>
      <c r="C12" s="21">
        <f t="shared" si="1"/>
        <v>9.0625035227276385E-6</v>
      </c>
    </row>
    <row r="13" spans="1:3" x14ac:dyDescent="0.25">
      <c r="A13" t="s">
        <v>432</v>
      </c>
      <c r="B13" s="21" t="str">
        <f t="shared" si="0"/>
        <v>2017/01/15 17:20:34.633</v>
      </c>
      <c r="C13" s="21">
        <f t="shared" si="1"/>
        <v>3.1480648147407919E-2</v>
      </c>
    </row>
    <row r="14" spans="1:3" x14ac:dyDescent="0.25">
      <c r="A14" t="s">
        <v>433</v>
      </c>
      <c r="B14" s="21" t="str">
        <f t="shared" si="0"/>
        <v>2017/01/15 17:20:34.637</v>
      </c>
      <c r="C14" s="21">
        <f t="shared" si="1"/>
        <v>4.6296918299049139E-8</v>
      </c>
    </row>
    <row r="15" spans="1:3" x14ac:dyDescent="0.25">
      <c r="A15" t="s">
        <v>434</v>
      </c>
      <c r="B15" s="21" t="str">
        <f t="shared" si="0"/>
        <v>2017/01/15 17:20:34.818</v>
      </c>
      <c r="C15" s="21">
        <f t="shared" si="1"/>
        <v>2.0949082681909204E-6</v>
      </c>
    </row>
    <row r="16" spans="1:3" x14ac:dyDescent="0.25">
      <c r="A16" t="s">
        <v>435</v>
      </c>
      <c r="B16" s="21" t="str">
        <f t="shared" si="0"/>
        <v>2017/01/15 17:27:42.907</v>
      </c>
      <c r="C16" s="21">
        <f t="shared" si="1"/>
        <v>4.954733798513189E-3</v>
      </c>
    </row>
    <row r="17" spans="1:3" x14ac:dyDescent="0.25">
      <c r="A17" t="s">
        <v>436</v>
      </c>
      <c r="B17" s="21" t="str">
        <f t="shared" si="0"/>
        <v>2017/01/15 17:27:43.036</v>
      </c>
      <c r="C17" s="21">
        <f t="shared" si="1"/>
        <v>1.4930556062608957E-6</v>
      </c>
    </row>
    <row r="18" spans="1:3" x14ac:dyDescent="0.25">
      <c r="A18" t="s">
        <v>437</v>
      </c>
      <c r="B18" s="21" t="str">
        <f t="shared" si="0"/>
        <v>2017/01/15 17:27:43.327</v>
      </c>
      <c r="C18" s="21">
        <f t="shared" si="1"/>
        <v>3.3680553315207362E-6</v>
      </c>
    </row>
    <row r="19" spans="1:3" x14ac:dyDescent="0.25">
      <c r="A19" t="s">
        <v>438</v>
      </c>
      <c r="B19" s="21" t="str">
        <f t="shared" si="0"/>
        <v>2017/01/15 18:36:40.270</v>
      </c>
      <c r="C19" s="21">
        <f t="shared" si="1"/>
        <v>4.7881284721370321E-2</v>
      </c>
    </row>
    <row r="20" spans="1:3" x14ac:dyDescent="0.25">
      <c r="A20" t="s">
        <v>439</v>
      </c>
      <c r="B20" s="21" t="str">
        <f t="shared" si="0"/>
        <v>2017/01/15 18:36:40.887</v>
      </c>
      <c r="C20" s="21">
        <f t="shared" si="1"/>
        <v>7.1411996032111347E-6</v>
      </c>
    </row>
    <row r="21" spans="1:3" x14ac:dyDescent="0.25">
      <c r="A21" t="s">
        <v>440</v>
      </c>
      <c r="B21" s="21" t="str">
        <f t="shared" si="0"/>
        <v>2017/01/15 18:36:41.000</v>
      </c>
      <c r="C21" s="21">
        <f t="shared" si="1"/>
        <v>1.3078752090223134E-6</v>
      </c>
    </row>
    <row r="22" spans="1:3" x14ac:dyDescent="0.25">
      <c r="A22" t="s">
        <v>441</v>
      </c>
      <c r="B22" s="21" t="str">
        <f t="shared" si="0"/>
        <v>2017/01/15 18:37:16.758</v>
      </c>
      <c r="C22" s="21">
        <f t="shared" si="1"/>
        <v>4.1386573866475374E-4</v>
      </c>
    </row>
    <row r="23" spans="1:3" x14ac:dyDescent="0.25">
      <c r="A23" t="s">
        <v>442</v>
      </c>
      <c r="B23" s="21" t="str">
        <f t="shared" si="0"/>
        <v>2017/01/15 18:37:16.850</v>
      </c>
      <c r="C23" s="21">
        <f t="shared" si="1"/>
        <v>1.0648145689629018E-6</v>
      </c>
    </row>
    <row r="24" spans="1:3" x14ac:dyDescent="0.25">
      <c r="A24" t="s">
        <v>443</v>
      </c>
      <c r="B24" s="21" t="str">
        <f t="shared" si="0"/>
        <v>2017/01/15 18:37:16.879</v>
      </c>
      <c r="C24" s="21">
        <f t="shared" si="1"/>
        <v>3.3564720069989562E-7</v>
      </c>
    </row>
    <row r="25" spans="1:3" x14ac:dyDescent="0.25">
      <c r="A25" t="s">
        <v>444</v>
      </c>
      <c r="B25" s="21" t="str">
        <f t="shared" si="0"/>
        <v>2017/01/15 19:07:05.858</v>
      </c>
      <c r="C25" s="21">
        <f t="shared" si="1"/>
        <v>2.0705775459646247E-2</v>
      </c>
    </row>
    <row r="26" spans="1:3" x14ac:dyDescent="0.25">
      <c r="A26" t="s">
        <v>445</v>
      </c>
      <c r="B26" s="21" t="str">
        <f t="shared" si="0"/>
        <v>2017/01/15 19:07:06.249</v>
      </c>
      <c r="C26" s="21">
        <f t="shared" si="1"/>
        <v>4.5254637370817363E-6</v>
      </c>
    </row>
    <row r="27" spans="1:3" x14ac:dyDescent="0.25">
      <c r="A27" t="s">
        <v>446</v>
      </c>
      <c r="B27" s="21" t="str">
        <f t="shared" si="0"/>
        <v>2017/01/15 20:23:36.712</v>
      </c>
      <c r="C27" s="21">
        <f t="shared" si="1"/>
        <v>5.3130358799535315E-2</v>
      </c>
    </row>
    <row r="28" spans="1:3" x14ac:dyDescent="0.25">
      <c r="A28" t="s">
        <v>447</v>
      </c>
      <c r="B28" s="21" t="str">
        <f t="shared" si="0"/>
        <v>2017/01/15 20:23:36.936</v>
      </c>
      <c r="C28" s="21">
        <f t="shared" si="1"/>
        <v>2.5925910449586809E-6</v>
      </c>
    </row>
    <row r="29" spans="1:3" x14ac:dyDescent="0.25">
      <c r="A29" t="s">
        <v>448</v>
      </c>
      <c r="B29" s="21" t="str">
        <f t="shared" si="0"/>
        <v>2017/01/15 20:23:37.038</v>
      </c>
      <c r="C29" s="21">
        <f t="shared" si="1"/>
        <v>1.1805532267317176E-6</v>
      </c>
    </row>
    <row r="30" spans="1:3" x14ac:dyDescent="0.25">
      <c r="A30" t="s">
        <v>449</v>
      </c>
      <c r="B30" s="21" t="str">
        <f t="shared" si="0"/>
        <v>2017/01/15 21:58:38.659</v>
      </c>
      <c r="C30" s="21">
        <f t="shared" si="1"/>
        <v>6.5990983799565583E-2</v>
      </c>
    </row>
    <row r="31" spans="1:3" x14ac:dyDescent="0.25">
      <c r="A31" t="s">
        <v>450</v>
      </c>
      <c r="B31" s="21" t="str">
        <f t="shared" ref="B31:B57" si="2">MID(A31,6,23)</f>
        <v>2017/01/15 21:58:38.678</v>
      </c>
      <c r="C31" s="21">
        <f t="shared" ref="C31:C57" si="3">ABS(B31-B30)</f>
        <v>2.1990854293107986E-7</v>
      </c>
    </row>
    <row r="32" spans="1:3" x14ac:dyDescent="0.25">
      <c r="A32" t="s">
        <v>451</v>
      </c>
      <c r="B32" s="21" t="str">
        <f t="shared" si="2"/>
        <v>2017/01/15 21:58:38.832</v>
      </c>
      <c r="C32" s="21">
        <f t="shared" si="3"/>
        <v>1.7824058886617422E-6</v>
      </c>
    </row>
    <row r="33" spans="1:3" x14ac:dyDescent="0.25">
      <c r="A33" t="s">
        <v>452</v>
      </c>
      <c r="B33" s="21" t="str">
        <f t="shared" si="2"/>
        <v>2017/01/15 22:27:04.796</v>
      </c>
      <c r="C33" s="21">
        <f t="shared" si="3"/>
        <v>1.9744953700865153E-2</v>
      </c>
    </row>
    <row r="34" spans="1:3" x14ac:dyDescent="0.25">
      <c r="A34" t="s">
        <v>453</v>
      </c>
      <c r="B34" s="21" t="str">
        <f t="shared" si="2"/>
        <v>2017/01/15 22:27:05.653</v>
      </c>
      <c r="C34" s="21">
        <f t="shared" si="3"/>
        <v>9.9189855973236263E-6</v>
      </c>
    </row>
    <row r="35" spans="1:3" x14ac:dyDescent="0.25">
      <c r="A35" t="s">
        <v>454</v>
      </c>
      <c r="B35" s="21" t="str">
        <f t="shared" si="2"/>
        <v>2017/01/15 22:27:05.808</v>
      </c>
      <c r="C35" s="21">
        <f t="shared" si="3"/>
        <v>1.793981937225908E-6</v>
      </c>
    </row>
    <row r="36" spans="1:3" x14ac:dyDescent="0.25">
      <c r="A36" t="s">
        <v>455</v>
      </c>
      <c r="B36" s="21" t="str">
        <f t="shared" si="2"/>
        <v>2017/01/15 22:27:56.937</v>
      </c>
      <c r="C36" s="21">
        <f t="shared" si="3"/>
        <v>5.9177083312533796E-4</v>
      </c>
    </row>
    <row r="37" spans="1:3" x14ac:dyDescent="0.25">
      <c r="A37" t="s">
        <v>456</v>
      </c>
      <c r="B37" s="21" t="str">
        <f t="shared" si="2"/>
        <v>2017/01/15 22:27:57.484</v>
      </c>
      <c r="C37" s="21">
        <f t="shared" si="3"/>
        <v>6.331014446914196E-6</v>
      </c>
    </row>
    <row r="38" spans="1:3" x14ac:dyDescent="0.25">
      <c r="A38" t="s">
        <v>457</v>
      </c>
      <c r="B38" s="21" t="str">
        <f t="shared" si="2"/>
        <v>2017/01/15 22:27:57.742</v>
      </c>
      <c r="C38" s="21">
        <f t="shared" si="3"/>
        <v>2.9861112125217915E-6</v>
      </c>
    </row>
    <row r="39" spans="1:3" x14ac:dyDescent="0.25">
      <c r="A39" t="s">
        <v>458</v>
      </c>
      <c r="B39" s="21" t="str">
        <f t="shared" si="2"/>
        <v>2017/01/15 23:07:50.786</v>
      </c>
      <c r="C39" s="21">
        <f t="shared" si="3"/>
        <v>2.7697268524207175E-2</v>
      </c>
    </row>
    <row r="40" spans="1:3" x14ac:dyDescent="0.25">
      <c r="A40" t="s">
        <v>459</v>
      </c>
      <c r="B40" s="21" t="str">
        <f t="shared" si="2"/>
        <v>2017/01/15 23:16:19.645</v>
      </c>
      <c r="C40" s="21">
        <f t="shared" si="3"/>
        <v>5.8895717593259178E-3</v>
      </c>
    </row>
    <row r="41" spans="1:3" x14ac:dyDescent="0.25">
      <c r="A41" t="s">
        <v>460</v>
      </c>
      <c r="B41" s="21" t="str">
        <f t="shared" si="2"/>
        <v>2017/01/15 23:16:20.230</v>
      </c>
      <c r="C41" s="21">
        <f t="shared" si="3"/>
        <v>6.7708315327763557E-6</v>
      </c>
    </row>
    <row r="42" spans="1:3" x14ac:dyDescent="0.25">
      <c r="A42" t="s">
        <v>461</v>
      </c>
      <c r="B42" s="21" t="str">
        <f t="shared" si="2"/>
        <v>2017/01/15 23:16:20.269</v>
      </c>
      <c r="C42" s="21">
        <f t="shared" si="3"/>
        <v>4.5138585846871138E-7</v>
      </c>
    </row>
    <row r="43" spans="1:3" x14ac:dyDescent="0.25">
      <c r="A43" t="s">
        <v>462</v>
      </c>
      <c r="B43" s="21" t="str">
        <f t="shared" si="2"/>
        <v>2017/01/15 23:26:50.433</v>
      </c>
      <c r="C43" s="21">
        <f t="shared" si="3"/>
        <v>7.2935648131533526E-3</v>
      </c>
    </row>
    <row r="44" spans="1:3" x14ac:dyDescent="0.25">
      <c r="A44" t="s">
        <v>463</v>
      </c>
      <c r="B44" s="21" t="str">
        <f t="shared" si="2"/>
        <v>2017/01/15 23:26:50.435</v>
      </c>
      <c r="C44" s="21">
        <f t="shared" si="3"/>
        <v>2.3152097128331661E-8</v>
      </c>
    </row>
    <row r="45" spans="1:3" x14ac:dyDescent="0.25">
      <c r="A45" t="s">
        <v>464</v>
      </c>
      <c r="B45" s="21" t="str">
        <f t="shared" si="2"/>
        <v>2017/01/15 23:26:50.763</v>
      </c>
      <c r="C45" s="21">
        <f t="shared" si="3"/>
        <v>3.7962963688187301E-6</v>
      </c>
    </row>
    <row r="46" spans="1:3" x14ac:dyDescent="0.25">
      <c r="A46" t="s">
        <v>465</v>
      </c>
      <c r="B46" s="21" t="str">
        <f t="shared" si="2"/>
        <v>2017/01/15 23:45:32.997</v>
      </c>
      <c r="C46" s="21">
        <f t="shared" si="3"/>
        <v>1.298881944239838E-2</v>
      </c>
    </row>
    <row r="47" spans="1:3" x14ac:dyDescent="0.25">
      <c r="A47" t="s">
        <v>466</v>
      </c>
      <c r="B47" s="21" t="str">
        <f t="shared" si="2"/>
        <v>2017/01/15 23:45:33.392</v>
      </c>
      <c r="C47" s="21">
        <f t="shared" si="3"/>
        <v>4.5717606553807855E-6</v>
      </c>
    </row>
    <row r="48" spans="1:3" x14ac:dyDescent="0.25">
      <c r="A48" t="s">
        <v>467</v>
      </c>
      <c r="B48" s="21" t="str">
        <f t="shared" si="2"/>
        <v>2017/01/16 00:59:37.644</v>
      </c>
      <c r="C48" s="21">
        <f t="shared" si="3"/>
        <v>5.1438101851090323E-2</v>
      </c>
    </row>
    <row r="49" spans="1:3" x14ac:dyDescent="0.25">
      <c r="A49" t="s">
        <v>468</v>
      </c>
      <c r="B49" s="21" t="str">
        <f t="shared" si="2"/>
        <v>2017/01/16 00:59:38.230</v>
      </c>
      <c r="C49" s="21">
        <f t="shared" si="3"/>
        <v>6.7824075813405216E-6</v>
      </c>
    </row>
    <row r="50" spans="1:3" x14ac:dyDescent="0.25">
      <c r="A50" t="s">
        <v>469</v>
      </c>
      <c r="B50" s="21" t="str">
        <f t="shared" si="2"/>
        <v>2017/01/16 00:59:38.257</v>
      </c>
      <c r="C50" s="21">
        <f t="shared" si="3"/>
        <v>3.1250237952917814E-7</v>
      </c>
    </row>
    <row r="51" spans="1:3" x14ac:dyDescent="0.25">
      <c r="A51" t="s">
        <v>470</v>
      </c>
      <c r="B51" s="21" t="str">
        <f t="shared" si="2"/>
        <v>2017/01/16 01:22:12.441</v>
      </c>
      <c r="C51" s="21">
        <f t="shared" si="3"/>
        <v>1.567342592170462E-2</v>
      </c>
    </row>
    <row r="52" spans="1:3" x14ac:dyDescent="0.25">
      <c r="A52" t="s">
        <v>471</v>
      </c>
      <c r="B52" s="21" t="str">
        <f t="shared" si="2"/>
        <v>2017/01/16 01:22:12.535</v>
      </c>
      <c r="C52" s="21">
        <f t="shared" si="3"/>
        <v>1.0879666660912335E-6</v>
      </c>
    </row>
    <row r="53" spans="1:3" x14ac:dyDescent="0.25">
      <c r="A53" t="s">
        <v>472</v>
      </c>
      <c r="B53" s="21" t="str">
        <f t="shared" si="2"/>
        <v>2017/01/16 01:22:12.945</v>
      </c>
      <c r="C53" s="21">
        <f t="shared" si="3"/>
        <v>4.7453722800128162E-6</v>
      </c>
    </row>
    <row r="54" spans="1:3" x14ac:dyDescent="0.25">
      <c r="A54" t="s">
        <v>473</v>
      </c>
      <c r="B54" s="21" t="str">
        <f t="shared" si="2"/>
        <v>2017/01/16 02:06:31.251</v>
      </c>
      <c r="C54" s="21">
        <f t="shared" si="3"/>
        <v>3.0767430551350117E-2</v>
      </c>
    </row>
    <row r="55" spans="1:3" x14ac:dyDescent="0.25">
      <c r="A55" t="s">
        <v>474</v>
      </c>
      <c r="B55" s="21" t="str">
        <f t="shared" si="2"/>
        <v>2017/01/16 02:06:31.990</v>
      </c>
      <c r="C55" s="21">
        <f t="shared" si="3"/>
        <v>8.5532446973957121E-6</v>
      </c>
    </row>
    <row r="56" spans="1:3" x14ac:dyDescent="0.25">
      <c r="A56" t="s">
        <v>475</v>
      </c>
      <c r="B56" s="21" t="str">
        <f t="shared" si="2"/>
        <v>2017/01/16 03:37:50.988</v>
      </c>
      <c r="C56" s="21">
        <f t="shared" si="3"/>
        <v>6.3414328702492639E-2</v>
      </c>
    </row>
    <row r="57" spans="1:3" x14ac:dyDescent="0.25">
      <c r="A57" t="s">
        <v>476</v>
      </c>
      <c r="B57" s="21" t="str">
        <f t="shared" si="2"/>
        <v>2017/01/16 03:37:51.256</v>
      </c>
      <c r="C57" s="21">
        <f t="shared" si="3"/>
        <v>3.1018498702906072E-6</v>
      </c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2017-01-18T16:46:59Z</dcterms:modified>
</cp:coreProperties>
</file>