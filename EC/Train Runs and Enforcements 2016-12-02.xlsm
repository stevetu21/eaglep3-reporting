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Enforcements!$A$6:$AC$45</definedName>
    <definedName name="_xlnm._FilterDatabase" localSheetId="2" hidden="1">'Missing Trips'!$B$2:$I$2</definedName>
    <definedName name="_xlnm._FilterDatabase" localSheetId="0" hidden="1">'Train Runs'!$A$12:$AG$238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8" i="9" l="1"/>
  <c r="C98" i="9"/>
  <c r="K146" i="1" l="1"/>
  <c r="L146" i="1"/>
  <c r="M146" i="1"/>
  <c r="P146" i="1" s="1"/>
  <c r="V146" i="1"/>
  <c r="Y146" i="1"/>
  <c r="Z146" i="1"/>
  <c r="AB146" i="1"/>
  <c r="AC146" i="1"/>
  <c r="AD146" i="1"/>
  <c r="AG146" i="1" s="1"/>
  <c r="AE146" i="1"/>
  <c r="AF146" i="1"/>
  <c r="AH146" i="1"/>
  <c r="K71" i="1"/>
  <c r="L71" i="1"/>
  <c r="M71" i="1"/>
  <c r="P71" i="1" s="1"/>
  <c r="V71" i="1"/>
  <c r="AA71" i="1"/>
  <c r="AB71" i="1"/>
  <c r="AC71" i="1"/>
  <c r="AD71" i="1"/>
  <c r="T71" i="1" s="1"/>
  <c r="AE71" i="1"/>
  <c r="AF71" i="1"/>
  <c r="AH71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G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S21" i="3" s="1"/>
  <c r="Y34" i="1"/>
  <c r="Z34" i="1"/>
  <c r="AB34" i="1"/>
  <c r="AC34" i="1"/>
  <c r="AD34" i="1"/>
  <c r="AE34" i="1"/>
  <c r="R21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S7" i="3" s="1"/>
  <c r="Y38" i="1"/>
  <c r="Z38" i="1"/>
  <c r="AB38" i="1"/>
  <c r="AC38" i="1"/>
  <c r="AD38" i="1"/>
  <c r="AE38" i="1"/>
  <c r="R10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S13" i="3" s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T60" i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A61" i="1"/>
  <c r="W61" i="1" s="1"/>
  <c r="AB61" i="1"/>
  <c r="AC61" i="1"/>
  <c r="AD61" i="1"/>
  <c r="AG61" i="1" s="1"/>
  <c r="AE61" i="1"/>
  <c r="AF61" i="1"/>
  <c r="AH61" i="1"/>
  <c r="AI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T64" i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S22" i="3" s="1"/>
  <c r="Y68" i="1"/>
  <c r="Z68" i="1"/>
  <c r="AB68" i="1"/>
  <c r="AC68" i="1"/>
  <c r="AD68" i="1"/>
  <c r="X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S24" i="3" s="1"/>
  <c r="Y76" i="1"/>
  <c r="Z76" i="1"/>
  <c r="AB76" i="1"/>
  <c r="AC76" i="1"/>
  <c r="AD76" i="1"/>
  <c r="T76" i="1" s="1"/>
  <c r="AE76" i="1"/>
  <c r="R24" i="3" s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X80" i="1" s="1"/>
  <c r="AE80" i="1"/>
  <c r="AF80" i="1"/>
  <c r="AH80" i="1"/>
  <c r="K81" i="1"/>
  <c r="L81" i="1"/>
  <c r="M81" i="1"/>
  <c r="N81" i="1" s="1"/>
  <c r="V81" i="1"/>
  <c r="S27" i="3" s="1"/>
  <c r="Y81" i="1"/>
  <c r="Z81" i="1"/>
  <c r="AB81" i="1"/>
  <c r="AC81" i="1"/>
  <c r="AD81" i="1"/>
  <c r="T81" i="1" s="1"/>
  <c r="AE81" i="1"/>
  <c r="R27" i="3" s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S11" i="3" s="1"/>
  <c r="Y83" i="1"/>
  <c r="Z83" i="1"/>
  <c r="AB83" i="1"/>
  <c r="AC83" i="1"/>
  <c r="AD83" i="1"/>
  <c r="T83" i="1" s="1"/>
  <c r="AE83" i="1"/>
  <c r="R11" i="3" s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S25" i="3" s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K93" i="1"/>
  <c r="L93" i="1"/>
  <c r="M93" i="1"/>
  <c r="N93" i="1" s="1"/>
  <c r="V93" i="1"/>
  <c r="S28" i="3" s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S12" i="3" s="1"/>
  <c r="Y97" i="1"/>
  <c r="Z97" i="1"/>
  <c r="AB97" i="1"/>
  <c r="AC97" i="1"/>
  <c r="AD97" i="1"/>
  <c r="T97" i="1" s="1"/>
  <c r="AE97" i="1"/>
  <c r="R12" i="3" s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00" i="1"/>
  <c r="K101" i="1"/>
  <c r="L101" i="1"/>
  <c r="M101" i="1"/>
  <c r="N101" i="1" s="1"/>
  <c r="V101" i="1"/>
  <c r="Y101" i="1"/>
  <c r="Z101" i="1"/>
  <c r="AI101" i="1" s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S18" i="3" s="1"/>
  <c r="Y105" i="1"/>
  <c r="Z105" i="1"/>
  <c r="AB105" i="1"/>
  <c r="AC105" i="1"/>
  <c r="AD105" i="1"/>
  <c r="AG105" i="1" s="1"/>
  <c r="AE105" i="1"/>
  <c r="R18" i="3" s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S16" i="3" s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G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S8" i="3" s="1"/>
  <c r="Y136" i="1"/>
  <c r="Z136" i="1"/>
  <c r="AB136" i="1"/>
  <c r="AC136" i="1"/>
  <c r="AD136" i="1"/>
  <c r="X136" i="1" s="1"/>
  <c r="AE136" i="1"/>
  <c r="R8" i="3" s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R9" i="3" s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K142" i="1"/>
  <c r="L142" i="1"/>
  <c r="M142" i="1"/>
  <c r="N142" i="1" s="1"/>
  <c r="V142" i="1"/>
  <c r="S20" i="3" s="1"/>
  <c r="Y142" i="1"/>
  <c r="Z142" i="1"/>
  <c r="AB142" i="1"/>
  <c r="AC142" i="1"/>
  <c r="AD142" i="1"/>
  <c r="T142" i="1" s="1"/>
  <c r="AE142" i="1"/>
  <c r="R20" i="3" s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S26" i="3" s="1"/>
  <c r="Y152" i="1"/>
  <c r="Z152" i="1"/>
  <c r="AB152" i="1"/>
  <c r="AC152" i="1"/>
  <c r="AD152" i="1"/>
  <c r="AE152" i="1"/>
  <c r="AF152" i="1"/>
  <c r="AH152" i="1"/>
  <c r="K153" i="1"/>
  <c r="L153" i="1"/>
  <c r="M153" i="1"/>
  <c r="V153" i="1"/>
  <c r="S15" i="3" s="1"/>
  <c r="Y153" i="1"/>
  <c r="Z153" i="1"/>
  <c r="AB153" i="1"/>
  <c r="AC153" i="1"/>
  <c r="AD153" i="1"/>
  <c r="AE153" i="1"/>
  <c r="AF153" i="1"/>
  <c r="AH153" i="1"/>
  <c r="K154" i="1"/>
  <c r="L154" i="1"/>
  <c r="M154" i="1"/>
  <c r="V154" i="1"/>
  <c r="Y154" i="1"/>
  <c r="Z154" i="1"/>
  <c r="AB154" i="1"/>
  <c r="AC154" i="1"/>
  <c r="AD154" i="1"/>
  <c r="AE154" i="1"/>
  <c r="AF154" i="1"/>
  <c r="AH154" i="1"/>
  <c r="K155" i="1"/>
  <c r="L155" i="1"/>
  <c r="M155" i="1"/>
  <c r="N155" i="1" s="1"/>
  <c r="V155" i="1"/>
  <c r="S17" i="3" s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K213" i="1"/>
  <c r="L213" i="1"/>
  <c r="M213" i="1"/>
  <c r="N213" i="1" s="1"/>
  <c r="V213" i="1"/>
  <c r="Y213" i="1"/>
  <c r="Z213" i="1"/>
  <c r="AB213" i="1"/>
  <c r="AC213" i="1"/>
  <c r="AD213" i="1"/>
  <c r="AG213" i="1" s="1"/>
  <c r="AI213" i="1" s="1"/>
  <c r="AE213" i="1"/>
  <c r="AF213" i="1"/>
  <c r="AH164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K216" i="1"/>
  <c r="L216" i="1"/>
  <c r="M216" i="1"/>
  <c r="N216" i="1" s="1"/>
  <c r="V216" i="1"/>
  <c r="S42" i="3" s="1"/>
  <c r="Y216" i="1"/>
  <c r="Z216" i="1"/>
  <c r="AB216" i="1"/>
  <c r="AC216" i="1"/>
  <c r="AD216" i="1"/>
  <c r="T216" i="1" s="1"/>
  <c r="AE216" i="1"/>
  <c r="R42" i="3" s="1"/>
  <c r="AF216" i="1"/>
  <c r="AH167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8" i="1"/>
  <c r="K218" i="1"/>
  <c r="L218" i="1"/>
  <c r="M218" i="1"/>
  <c r="N218" i="1" s="1"/>
  <c r="T218" i="1"/>
  <c r="V218" i="1"/>
  <c r="Y218" i="1"/>
  <c r="Z218" i="1"/>
  <c r="AB218" i="1"/>
  <c r="AC218" i="1"/>
  <c r="AD218" i="1"/>
  <c r="AG218" i="1" s="1"/>
  <c r="AE218" i="1"/>
  <c r="AF218" i="1"/>
  <c r="AH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K227" i="1"/>
  <c r="L227" i="1"/>
  <c r="M227" i="1"/>
  <c r="N227" i="1" s="1"/>
  <c r="V227" i="1"/>
  <c r="S41" i="3" s="1"/>
  <c r="Y227" i="1"/>
  <c r="Z227" i="1"/>
  <c r="AB227" i="1"/>
  <c r="AC227" i="1"/>
  <c r="AD227" i="1"/>
  <c r="AG227" i="1" s="1"/>
  <c r="AE227" i="1"/>
  <c r="R41" i="3" s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K230" i="1"/>
  <c r="L230" i="1"/>
  <c r="M230" i="1"/>
  <c r="N230" i="1" s="1"/>
  <c r="V230" i="1"/>
  <c r="S43" i="3" s="1"/>
  <c r="Y230" i="1"/>
  <c r="Z230" i="1"/>
  <c r="AB230" i="1"/>
  <c r="AC230" i="1"/>
  <c r="AD230" i="1"/>
  <c r="T230" i="1" s="1"/>
  <c r="AE230" i="1"/>
  <c r="AF230" i="1"/>
  <c r="AH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8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2" i="1"/>
  <c r="K163" i="1"/>
  <c r="L163" i="1"/>
  <c r="M163" i="1"/>
  <c r="N163" i="1" s="1"/>
  <c r="V163" i="1"/>
  <c r="S29" i="3" s="1"/>
  <c r="Y163" i="1"/>
  <c r="Z163" i="1"/>
  <c r="AB163" i="1"/>
  <c r="AC163" i="1"/>
  <c r="AD163" i="1"/>
  <c r="T163" i="1" s="1"/>
  <c r="AE163" i="1"/>
  <c r="R29" i="3" s="1"/>
  <c r="AF163" i="1"/>
  <c r="AH183" i="1"/>
  <c r="K164" i="1"/>
  <c r="L164" i="1"/>
  <c r="M164" i="1"/>
  <c r="N164" i="1" s="1"/>
  <c r="V164" i="1"/>
  <c r="S30" i="3" s="1"/>
  <c r="Y164" i="1"/>
  <c r="Z164" i="1"/>
  <c r="AB164" i="1"/>
  <c r="AC164" i="1"/>
  <c r="AD164" i="1"/>
  <c r="AG164" i="1" s="1"/>
  <c r="AE164" i="1"/>
  <c r="R30" i="3" s="1"/>
  <c r="AF164" i="1"/>
  <c r="AH18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5" i="1"/>
  <c r="K166" i="1"/>
  <c r="L166" i="1"/>
  <c r="M166" i="1"/>
  <c r="N166" i="1" s="1"/>
  <c r="V166" i="1"/>
  <c r="S35" i="3" s="1"/>
  <c r="Y166" i="1"/>
  <c r="Z166" i="1"/>
  <c r="AB166" i="1"/>
  <c r="AC166" i="1"/>
  <c r="AD166" i="1"/>
  <c r="AE166" i="1"/>
  <c r="R35" i="3" s="1"/>
  <c r="AF166" i="1"/>
  <c r="AH18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8" i="1"/>
  <c r="K169" i="1"/>
  <c r="L169" i="1"/>
  <c r="M169" i="1"/>
  <c r="N169" i="1" s="1"/>
  <c r="V169" i="1"/>
  <c r="S32" i="3" s="1"/>
  <c r="Y169" i="1"/>
  <c r="Z169" i="1"/>
  <c r="AB169" i="1"/>
  <c r="AC169" i="1"/>
  <c r="AD169" i="1"/>
  <c r="T169" i="1" s="1"/>
  <c r="AE169" i="1"/>
  <c r="R32" i="3" s="1"/>
  <c r="AF169" i="1"/>
  <c r="AH189" i="1"/>
  <c r="K170" i="1"/>
  <c r="L170" i="1"/>
  <c r="M170" i="1"/>
  <c r="N170" i="1"/>
  <c r="V170" i="1"/>
  <c r="Y170" i="1"/>
  <c r="Z170" i="1"/>
  <c r="AB170" i="1"/>
  <c r="AC170" i="1"/>
  <c r="AD170" i="1"/>
  <c r="AE170" i="1"/>
  <c r="AF170" i="1"/>
  <c r="AH19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2" i="1"/>
  <c r="K173" i="1"/>
  <c r="L173" i="1"/>
  <c r="M173" i="1"/>
  <c r="N173" i="1" s="1"/>
  <c r="V173" i="1"/>
  <c r="S31" i="3" s="1"/>
  <c r="Y173" i="1"/>
  <c r="Z173" i="1"/>
  <c r="AA173" i="1" s="1"/>
  <c r="AB173" i="1"/>
  <c r="AC173" i="1"/>
  <c r="AD173" i="1"/>
  <c r="T173" i="1" s="1"/>
  <c r="AE173" i="1"/>
  <c r="R31" i="3" s="1"/>
  <c r="AF173" i="1"/>
  <c r="AH193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9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4" i="1"/>
  <c r="K185" i="1"/>
  <c r="L185" i="1"/>
  <c r="M185" i="1"/>
  <c r="N185" i="1" s="1"/>
  <c r="V185" i="1"/>
  <c r="S40" i="3" s="1"/>
  <c r="Y185" i="1"/>
  <c r="Z185" i="1"/>
  <c r="AB185" i="1"/>
  <c r="AC185" i="1"/>
  <c r="AD185" i="1"/>
  <c r="T185" i="1" s="1"/>
  <c r="AE185" i="1"/>
  <c r="R34" i="3" s="1"/>
  <c r="AF185" i="1"/>
  <c r="AH20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7" i="1"/>
  <c r="K188" i="1"/>
  <c r="L188" i="1"/>
  <c r="M188" i="1"/>
  <c r="N188" i="1" s="1"/>
  <c r="V188" i="1"/>
  <c r="S38" i="3" s="1"/>
  <c r="Y188" i="1"/>
  <c r="Z188" i="1"/>
  <c r="AB188" i="1"/>
  <c r="AC188" i="1"/>
  <c r="AD188" i="1"/>
  <c r="AG188" i="1" s="1"/>
  <c r="AE188" i="1"/>
  <c r="R38" i="3" s="1"/>
  <c r="AF188" i="1"/>
  <c r="AH20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3" i="1"/>
  <c r="K204" i="1"/>
  <c r="L204" i="1"/>
  <c r="M204" i="1"/>
  <c r="N204" i="1"/>
  <c r="V204" i="1"/>
  <c r="Y204" i="1"/>
  <c r="Z204" i="1"/>
  <c r="AB204" i="1"/>
  <c r="AC204" i="1"/>
  <c r="AD204" i="1"/>
  <c r="AG204" i="1" s="1"/>
  <c r="AE204" i="1"/>
  <c r="AF204" i="1"/>
  <c r="AH22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2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28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9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0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1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32" i="1"/>
  <c r="M29" i="3"/>
  <c r="U29" i="3"/>
  <c r="T29" i="3" s="1"/>
  <c r="V29" i="3"/>
  <c r="W29" i="3"/>
  <c r="X29" i="3"/>
  <c r="M30" i="3"/>
  <c r="U30" i="3"/>
  <c r="T30" i="3" s="1"/>
  <c r="V30" i="3"/>
  <c r="W30" i="3"/>
  <c r="X30" i="3"/>
  <c r="AC30" i="3"/>
  <c r="M36" i="3"/>
  <c r="R36" i="3"/>
  <c r="U36" i="3"/>
  <c r="T36" i="3" s="1"/>
  <c r="V36" i="3"/>
  <c r="W36" i="3"/>
  <c r="X36" i="3"/>
  <c r="M35" i="3"/>
  <c r="U35" i="3"/>
  <c r="T35" i="3" s="1"/>
  <c r="V35" i="3"/>
  <c r="W35" i="3"/>
  <c r="X35" i="3"/>
  <c r="AC35" i="3"/>
  <c r="M37" i="3"/>
  <c r="U37" i="3"/>
  <c r="T37" i="3" s="1"/>
  <c r="V37" i="3"/>
  <c r="W37" i="3"/>
  <c r="X37" i="3"/>
  <c r="AC37" i="3"/>
  <c r="M21" i="3"/>
  <c r="U21" i="3"/>
  <c r="T21" i="3" s="1"/>
  <c r="V21" i="3"/>
  <c r="W21" i="3"/>
  <c r="X21" i="3"/>
  <c r="AC21" i="3"/>
  <c r="M32" i="3"/>
  <c r="U32" i="3"/>
  <c r="T32" i="3" s="1"/>
  <c r="V32" i="3"/>
  <c r="W32" i="3"/>
  <c r="X32" i="3"/>
  <c r="M33" i="3"/>
  <c r="U33" i="3"/>
  <c r="T33" i="3" s="1"/>
  <c r="V33" i="3"/>
  <c r="W33" i="3"/>
  <c r="X33" i="3"/>
  <c r="AC33" i="3"/>
  <c r="M39" i="3"/>
  <c r="U39" i="3"/>
  <c r="T39" i="3" s="1"/>
  <c r="V39" i="3"/>
  <c r="W39" i="3"/>
  <c r="X39" i="3"/>
  <c r="AC39" i="3"/>
  <c r="M7" i="3"/>
  <c r="R7" i="3"/>
  <c r="U7" i="3"/>
  <c r="T7" i="3" s="1"/>
  <c r="V7" i="3"/>
  <c r="W7" i="3"/>
  <c r="X7" i="3"/>
  <c r="AC7" i="3"/>
  <c r="M10" i="3"/>
  <c r="U10" i="3"/>
  <c r="T10" i="3" s="1"/>
  <c r="V10" i="3"/>
  <c r="W10" i="3"/>
  <c r="X10" i="3"/>
  <c r="M13" i="3"/>
  <c r="R13" i="3"/>
  <c r="U13" i="3"/>
  <c r="T13" i="3" s="1"/>
  <c r="V13" i="3"/>
  <c r="W13" i="3"/>
  <c r="X13" i="3"/>
  <c r="AC13" i="3"/>
  <c r="M14" i="3"/>
  <c r="R14" i="3"/>
  <c r="U14" i="3"/>
  <c r="T14" i="3" s="1"/>
  <c r="V14" i="3"/>
  <c r="W14" i="3"/>
  <c r="X14" i="3"/>
  <c r="AC14" i="3"/>
  <c r="M31" i="3"/>
  <c r="U31" i="3"/>
  <c r="T31" i="3" s="1"/>
  <c r="V31" i="3"/>
  <c r="W31" i="3"/>
  <c r="X31" i="3"/>
  <c r="M41" i="3"/>
  <c r="U41" i="3"/>
  <c r="T41" i="3" s="1"/>
  <c r="V41" i="3"/>
  <c r="W41" i="3"/>
  <c r="X41" i="3"/>
  <c r="M22" i="3"/>
  <c r="R22" i="3"/>
  <c r="U22" i="3"/>
  <c r="T22" i="3" s="1"/>
  <c r="V22" i="3"/>
  <c r="W22" i="3"/>
  <c r="X22" i="3"/>
  <c r="AC22" i="3"/>
  <c r="M23" i="3"/>
  <c r="R23" i="3"/>
  <c r="U23" i="3"/>
  <c r="T23" i="3" s="1"/>
  <c r="V23" i="3"/>
  <c r="W23" i="3"/>
  <c r="X23" i="3"/>
  <c r="AC23" i="3"/>
  <c r="M27" i="3"/>
  <c r="U27" i="3"/>
  <c r="T27" i="3" s="1"/>
  <c r="V27" i="3"/>
  <c r="W27" i="3"/>
  <c r="X27" i="3"/>
  <c r="M11" i="3"/>
  <c r="U11" i="3"/>
  <c r="T11" i="3" s="1"/>
  <c r="V11" i="3"/>
  <c r="W11" i="3"/>
  <c r="X11" i="3"/>
  <c r="M24" i="3"/>
  <c r="U24" i="3"/>
  <c r="T24" i="3" s="1"/>
  <c r="V24" i="3"/>
  <c r="W24" i="3"/>
  <c r="X24" i="3"/>
  <c r="AC24" i="3"/>
  <c r="M28" i="3"/>
  <c r="R28" i="3"/>
  <c r="U28" i="3"/>
  <c r="T28" i="3" s="1"/>
  <c r="V28" i="3"/>
  <c r="W28" i="3"/>
  <c r="X28" i="3"/>
  <c r="AC28" i="3"/>
  <c r="M12" i="3"/>
  <c r="U12" i="3"/>
  <c r="T12" i="3" s="1"/>
  <c r="V12" i="3"/>
  <c r="W12" i="3"/>
  <c r="X12" i="3"/>
  <c r="M25" i="3"/>
  <c r="R25" i="3"/>
  <c r="U25" i="3"/>
  <c r="T25" i="3" s="1"/>
  <c r="V25" i="3"/>
  <c r="W25" i="3"/>
  <c r="X25" i="3"/>
  <c r="AC25" i="3"/>
  <c r="M34" i="3"/>
  <c r="U34" i="3"/>
  <c r="T34" i="3" s="1"/>
  <c r="V34" i="3"/>
  <c r="W34" i="3"/>
  <c r="X34" i="3"/>
  <c r="AC34" i="3"/>
  <c r="M40" i="3"/>
  <c r="U40" i="3"/>
  <c r="T40" i="3" s="1"/>
  <c r="V40" i="3"/>
  <c r="W40" i="3"/>
  <c r="X40" i="3"/>
  <c r="AC40" i="3"/>
  <c r="M18" i="3"/>
  <c r="U18" i="3"/>
  <c r="T18" i="3" s="1"/>
  <c r="V18" i="3"/>
  <c r="W18" i="3"/>
  <c r="X18" i="3"/>
  <c r="M38" i="3"/>
  <c r="U38" i="3"/>
  <c r="T38" i="3" s="1"/>
  <c r="V38" i="3"/>
  <c r="W38" i="3"/>
  <c r="X38" i="3"/>
  <c r="AC38" i="3"/>
  <c r="M16" i="3"/>
  <c r="R16" i="3"/>
  <c r="U16" i="3"/>
  <c r="T16" i="3" s="1"/>
  <c r="V16" i="3"/>
  <c r="W16" i="3"/>
  <c r="X16" i="3"/>
  <c r="AC16" i="3"/>
  <c r="M43" i="3"/>
  <c r="R43" i="3"/>
  <c r="U43" i="3"/>
  <c r="T43" i="3" s="1"/>
  <c r="V43" i="3"/>
  <c r="W43" i="3"/>
  <c r="X43" i="3"/>
  <c r="AC43" i="3"/>
  <c r="M9" i="3"/>
  <c r="S9" i="3"/>
  <c r="U9" i="3"/>
  <c r="T9" i="3" s="1"/>
  <c r="V9" i="3"/>
  <c r="W9" i="3"/>
  <c r="X9" i="3"/>
  <c r="M8" i="3"/>
  <c r="U8" i="3"/>
  <c r="T8" i="3" s="1"/>
  <c r="V8" i="3"/>
  <c r="W8" i="3"/>
  <c r="X8" i="3"/>
  <c r="AC8" i="3"/>
  <c r="M20" i="3"/>
  <c r="U20" i="3"/>
  <c r="T20" i="3" s="1"/>
  <c r="V20" i="3"/>
  <c r="W20" i="3"/>
  <c r="X20" i="3"/>
  <c r="AC20" i="3"/>
  <c r="M15" i="3"/>
  <c r="R15" i="3"/>
  <c r="U15" i="3"/>
  <c r="T15" i="3" s="1"/>
  <c r="V15" i="3"/>
  <c r="W15" i="3"/>
  <c r="X15" i="3"/>
  <c r="M26" i="3"/>
  <c r="R26" i="3"/>
  <c r="U26" i="3"/>
  <c r="T26" i="3" s="1"/>
  <c r="V26" i="3"/>
  <c r="W26" i="3"/>
  <c r="X26" i="3"/>
  <c r="AC26" i="3"/>
  <c r="M42" i="3"/>
  <c r="U42" i="3"/>
  <c r="T42" i="3" s="1"/>
  <c r="V42" i="3"/>
  <c r="W42" i="3"/>
  <c r="X42" i="3"/>
  <c r="AC42" i="3"/>
  <c r="M17" i="3"/>
  <c r="R17" i="3"/>
  <c r="U17" i="3"/>
  <c r="T17" i="3" s="1"/>
  <c r="V17" i="3"/>
  <c r="W17" i="3"/>
  <c r="X17" i="3"/>
  <c r="AC17" i="3"/>
  <c r="M28" i="5"/>
  <c r="AC31" i="3" l="1"/>
  <c r="AC29" i="3"/>
  <c r="AC18" i="3"/>
  <c r="AC11" i="3"/>
  <c r="Y17" i="3"/>
  <c r="AC36" i="3"/>
  <c r="S23" i="3"/>
  <c r="S37" i="3"/>
  <c r="AA171" i="1"/>
  <c r="X140" i="1"/>
  <c r="T192" i="1"/>
  <c r="P153" i="1"/>
  <c r="S33" i="3"/>
  <c r="AA202" i="1"/>
  <c r="AA201" i="1"/>
  <c r="AA200" i="1"/>
  <c r="W200" i="1" s="1"/>
  <c r="AA165" i="1"/>
  <c r="AA218" i="1"/>
  <c r="W218" i="1" s="1"/>
  <c r="T108" i="1"/>
  <c r="S39" i="3"/>
  <c r="AA197" i="1"/>
  <c r="AA193" i="1"/>
  <c r="AA192" i="1"/>
  <c r="W192" i="1" s="1"/>
  <c r="AI227" i="1"/>
  <c r="T214" i="1"/>
  <c r="U214" i="1" s="1"/>
  <c r="S214" i="1" s="1"/>
  <c r="AG95" i="1"/>
  <c r="AI95" i="1" s="1"/>
  <c r="AA81" i="1"/>
  <c r="AA64" i="1"/>
  <c r="T43" i="1"/>
  <c r="U43" i="1" s="1"/>
  <c r="S43" i="1" s="1"/>
  <c r="AA41" i="1"/>
  <c r="X142" i="1"/>
  <c r="T146" i="1"/>
  <c r="U146" i="1" s="1"/>
  <c r="S146" i="1" s="1"/>
  <c r="X149" i="1"/>
  <c r="AG147" i="1"/>
  <c r="AI147" i="1" s="1"/>
  <c r="X144" i="1"/>
  <c r="AA126" i="1"/>
  <c r="AA125" i="1"/>
  <c r="AA101" i="1"/>
  <c r="W101" i="1" s="1"/>
  <c r="AA98" i="1"/>
  <c r="AA97" i="1"/>
  <c r="AA146" i="1"/>
  <c r="W146" i="1" s="1"/>
  <c r="T160" i="1"/>
  <c r="U160" i="1" s="1"/>
  <c r="S160" i="1" s="1"/>
  <c r="AA189" i="1"/>
  <c r="AA161" i="1"/>
  <c r="AA160" i="1"/>
  <c r="W160" i="1" s="1"/>
  <c r="AA210" i="1"/>
  <c r="W210" i="1" s="1"/>
  <c r="AA158" i="1"/>
  <c r="AI157" i="1"/>
  <c r="AA156" i="1"/>
  <c r="AA117" i="1"/>
  <c r="AA111" i="1"/>
  <c r="AA110" i="1"/>
  <c r="AA14" i="1"/>
  <c r="X147" i="1"/>
  <c r="X146" i="1"/>
  <c r="AI146" i="1"/>
  <c r="Y20" i="3"/>
  <c r="S34" i="3"/>
  <c r="AG71" i="1"/>
  <c r="X71" i="1"/>
  <c r="AC12" i="3"/>
  <c r="AC41" i="3"/>
  <c r="R40" i="3"/>
  <c r="Y34" i="3"/>
  <c r="Y24" i="3"/>
  <c r="AA208" i="1"/>
  <c r="W208" i="1" s="1"/>
  <c r="AA207" i="1"/>
  <c r="T200" i="1"/>
  <c r="T183" i="1"/>
  <c r="U183" i="1" s="1"/>
  <c r="S183" i="1" s="1"/>
  <c r="AA135" i="1"/>
  <c r="AA134" i="1"/>
  <c r="AA133" i="1"/>
  <c r="AA132" i="1"/>
  <c r="U108" i="1"/>
  <c r="AA77" i="1"/>
  <c r="X77" i="1"/>
  <c r="S10" i="3"/>
  <c r="AA224" i="1"/>
  <c r="W224" i="1" s="1"/>
  <c r="AA169" i="1"/>
  <c r="AG226" i="1"/>
  <c r="AI217" i="1"/>
  <c r="AG113" i="1"/>
  <c r="X113" i="1"/>
  <c r="AA25" i="1"/>
  <c r="X76" i="1"/>
  <c r="AC15" i="3"/>
  <c r="Y22" i="3"/>
  <c r="S14" i="3"/>
  <c r="AA214" i="1"/>
  <c r="W214" i="1" s="1"/>
  <c r="T210" i="1"/>
  <c r="U210" i="1" s="1"/>
  <c r="S210" i="1" s="1"/>
  <c r="AA147" i="1"/>
  <c r="AA145" i="1"/>
  <c r="AA144" i="1"/>
  <c r="W144" i="1" s="1"/>
  <c r="AA105" i="1"/>
  <c r="W105" i="1" s="1"/>
  <c r="AA80" i="1"/>
  <c r="AG65" i="1"/>
  <c r="U65" i="1" s="1"/>
  <c r="S65" i="1" s="1"/>
  <c r="X65" i="1"/>
  <c r="X64" i="1"/>
  <c r="AA38" i="1"/>
  <c r="AA34" i="1"/>
  <c r="AG25" i="1"/>
  <c r="AI25" i="1" s="1"/>
  <c r="AA17" i="1"/>
  <c r="X75" i="1"/>
  <c r="AA181" i="1"/>
  <c r="AA178" i="1"/>
  <c r="AA177" i="1"/>
  <c r="AA176" i="1"/>
  <c r="W176" i="1" s="1"/>
  <c r="AA217" i="1"/>
  <c r="W217" i="1" s="1"/>
  <c r="T217" i="1"/>
  <c r="U217" i="1" s="1"/>
  <c r="S217" i="1" s="1"/>
  <c r="AA213" i="1"/>
  <c r="W213" i="1" s="1"/>
  <c r="AA155" i="1"/>
  <c r="AA154" i="1"/>
  <c r="AA153" i="1"/>
  <c r="AA138" i="1"/>
  <c r="AA137" i="1"/>
  <c r="T116" i="1"/>
  <c r="X108" i="1"/>
  <c r="AA106" i="1"/>
  <c r="T100" i="1"/>
  <c r="X88" i="1"/>
  <c r="AA82" i="1"/>
  <c r="T80" i="1"/>
  <c r="T73" i="1"/>
  <c r="U73" i="1" s="1"/>
  <c r="S73" i="1" s="1"/>
  <c r="X51" i="1"/>
  <c r="AA29" i="1"/>
  <c r="AA28" i="1"/>
  <c r="T28" i="1"/>
  <c r="AC10" i="3"/>
  <c r="Y16" i="3"/>
  <c r="Y14" i="3"/>
  <c r="AA195" i="1"/>
  <c r="X227" i="1"/>
  <c r="X217" i="1"/>
  <c r="AG155" i="1"/>
  <c r="AI155" i="1" s="1"/>
  <c r="AA149" i="1"/>
  <c r="AI105" i="1"/>
  <c r="AG100" i="1"/>
  <c r="U100" i="1" s="1"/>
  <c r="S100" i="1" s="1"/>
  <c r="X81" i="1"/>
  <c r="X28" i="1"/>
  <c r="AA21" i="1"/>
  <c r="AG17" i="1"/>
  <c r="AI17" i="1" s="1"/>
  <c r="X223" i="1"/>
  <c r="Y39" i="3"/>
  <c r="S36" i="3"/>
  <c r="AA204" i="1"/>
  <c r="W204" i="1" s="1"/>
  <c r="AG163" i="1"/>
  <c r="U163" i="1" s="1"/>
  <c r="S163" i="1" s="1"/>
  <c r="Y37" i="3"/>
  <c r="R37" i="3"/>
  <c r="Y29" i="3"/>
  <c r="AA223" i="1"/>
  <c r="W223" i="1" s="1"/>
  <c r="AA187" i="1"/>
  <c r="AA182" i="1"/>
  <c r="T176" i="1"/>
  <c r="U176" i="1" s="1"/>
  <c r="S176" i="1" s="1"/>
  <c r="T168" i="1"/>
  <c r="X160" i="1"/>
  <c r="T213" i="1"/>
  <c r="U213" i="1" s="1"/>
  <c r="S213" i="1" s="1"/>
  <c r="AG159" i="1"/>
  <c r="AI159" i="1" s="1"/>
  <c r="AA141" i="1"/>
  <c r="AA140" i="1"/>
  <c r="T136" i="1"/>
  <c r="X124" i="1"/>
  <c r="AA123" i="1"/>
  <c r="AA122" i="1"/>
  <c r="AA121" i="1"/>
  <c r="AG119" i="1"/>
  <c r="AI119" i="1" s="1"/>
  <c r="AG112" i="1"/>
  <c r="AI112" i="1" s="1"/>
  <c r="AA95" i="1"/>
  <c r="AA94" i="1"/>
  <c r="AA93" i="1"/>
  <c r="AA90" i="1"/>
  <c r="T77" i="1"/>
  <c r="U77" i="1" s="1"/>
  <c r="S77" i="1" s="1"/>
  <c r="AG64" i="1"/>
  <c r="T47" i="1"/>
  <c r="U47" i="1" s="1"/>
  <c r="S47" i="1" s="1"/>
  <c r="AA33" i="1"/>
  <c r="AA30" i="1"/>
  <c r="AA26" i="1"/>
  <c r="T16" i="1"/>
  <c r="U16" i="1" s="1"/>
  <c r="S16" i="1" s="1"/>
  <c r="AA74" i="1"/>
  <c r="AI224" i="1"/>
  <c r="T223" i="1"/>
  <c r="AA203" i="1"/>
  <c r="W203" i="1" s="1"/>
  <c r="T199" i="1"/>
  <c r="U199" i="1" s="1"/>
  <c r="S199" i="1" s="1"/>
  <c r="T191" i="1"/>
  <c r="U191" i="1" s="1"/>
  <c r="S191" i="1" s="1"/>
  <c r="T184" i="1"/>
  <c r="AA179" i="1"/>
  <c r="W179" i="1" s="1"/>
  <c r="T175" i="1"/>
  <c r="AI228" i="1"/>
  <c r="X213" i="1"/>
  <c r="T143" i="1"/>
  <c r="X137" i="1"/>
  <c r="X125" i="1"/>
  <c r="AA73" i="1"/>
  <c r="W73" i="1" s="1"/>
  <c r="AA60" i="1"/>
  <c r="T56" i="1"/>
  <c r="T48" i="1"/>
  <c r="U48" i="1" s="1"/>
  <c r="S48" i="1" s="1"/>
  <c r="AA47" i="1"/>
  <c r="W47" i="1" s="1"/>
  <c r="AA45" i="1"/>
  <c r="W45" i="1" s="1"/>
  <c r="AA44" i="1"/>
  <c r="T36" i="1"/>
  <c r="U36" i="1" s="1"/>
  <c r="S36" i="1" s="1"/>
  <c r="U223" i="1"/>
  <c r="S223" i="1" s="1"/>
  <c r="AA186" i="1"/>
  <c r="AA185" i="1"/>
  <c r="AA184" i="1"/>
  <c r="W184" i="1" s="1"/>
  <c r="AG169" i="1"/>
  <c r="AI169" i="1" s="1"/>
  <c r="AA166" i="1"/>
  <c r="X164" i="1"/>
  <c r="AA231" i="1"/>
  <c r="AG220" i="1"/>
  <c r="U220" i="1" s="1"/>
  <c r="AG216" i="1"/>
  <c r="U216" i="1" s="1"/>
  <c r="S216" i="1" s="1"/>
  <c r="AA211" i="1"/>
  <c r="X157" i="1"/>
  <c r="AG151" i="1"/>
  <c r="U151" i="1" s="1"/>
  <c r="S151" i="1" s="1"/>
  <c r="AA143" i="1"/>
  <c r="AA109" i="1"/>
  <c r="AA89" i="1"/>
  <c r="AA88" i="1"/>
  <c r="AG83" i="1"/>
  <c r="AI83" i="1" s="1"/>
  <c r="AG80" i="1"/>
  <c r="U80" i="1" s="1"/>
  <c r="S80" i="1" s="1"/>
  <c r="AA79" i="1"/>
  <c r="AA78" i="1"/>
  <c r="AI75" i="1"/>
  <c r="X74" i="1"/>
  <c r="T68" i="1"/>
  <c r="AA62" i="1"/>
  <c r="AA58" i="1"/>
  <c r="AA57" i="1"/>
  <c r="AA56" i="1"/>
  <c r="T52" i="1"/>
  <c r="AA37" i="1"/>
  <c r="AA36" i="1"/>
  <c r="W36" i="1" s="1"/>
  <c r="T31" i="1"/>
  <c r="U31" i="1" s="1"/>
  <c r="S31" i="1" s="1"/>
  <c r="AG21" i="1"/>
  <c r="X21" i="1"/>
  <c r="AG19" i="1"/>
  <c r="AI19" i="1" s="1"/>
  <c r="X17" i="1"/>
  <c r="AA16" i="1"/>
  <c r="W16" i="1" s="1"/>
  <c r="X207" i="1"/>
  <c r="AA205" i="1"/>
  <c r="AA198" i="1"/>
  <c r="AA194" i="1"/>
  <c r="AA190" i="1"/>
  <c r="X209" i="1"/>
  <c r="X93" i="1"/>
  <c r="T92" i="1"/>
  <c r="AA86" i="1"/>
  <c r="AA70" i="1"/>
  <c r="AA69" i="1"/>
  <c r="AA68" i="1"/>
  <c r="AA65" i="1"/>
  <c r="W65" i="1" s="1"/>
  <c r="AA54" i="1"/>
  <c r="AA53" i="1"/>
  <c r="AA52" i="1"/>
  <c r="W52" i="1" s="1"/>
  <c r="AG41" i="1"/>
  <c r="AA168" i="1"/>
  <c r="W168" i="1" s="1"/>
  <c r="AA164" i="1"/>
  <c r="W164" i="1" s="1"/>
  <c r="T164" i="1"/>
  <c r="U164" i="1" s="1"/>
  <c r="S164" i="1" s="1"/>
  <c r="AG161" i="1"/>
  <c r="AI161" i="1" s="1"/>
  <c r="AG232" i="1"/>
  <c r="AI232" i="1" s="1"/>
  <c r="AA215" i="1"/>
  <c r="AG212" i="1"/>
  <c r="U212" i="1" s="1"/>
  <c r="S212" i="1" s="1"/>
  <c r="AA157" i="1"/>
  <c r="W157" i="1" s="1"/>
  <c r="AA151" i="1"/>
  <c r="AG149" i="1"/>
  <c r="U149" i="1" s="1"/>
  <c r="S149" i="1" s="1"/>
  <c r="AA136" i="1"/>
  <c r="X132" i="1"/>
  <c r="AA131" i="1"/>
  <c r="AA130" i="1"/>
  <c r="AA129" i="1"/>
  <c r="W129" i="1" s="1"/>
  <c r="AA124" i="1"/>
  <c r="X117" i="1"/>
  <c r="AA116" i="1"/>
  <c r="AA113" i="1"/>
  <c r="W113" i="1" s="1"/>
  <c r="AA102" i="1"/>
  <c r="AA96" i="1"/>
  <c r="AA92" i="1"/>
  <c r="AG20" i="1"/>
  <c r="U20" i="1" s="1"/>
  <c r="S20" i="1" s="1"/>
  <c r="X20" i="1"/>
  <c r="AA18" i="1"/>
  <c r="T224" i="1"/>
  <c r="U224" i="1" s="1"/>
  <c r="S224" i="1" s="1"/>
  <c r="X153" i="1"/>
  <c r="AG153" i="1"/>
  <c r="X129" i="1"/>
  <c r="AG129" i="1"/>
  <c r="AG109" i="1"/>
  <c r="X109" i="1"/>
  <c r="AG201" i="1"/>
  <c r="AI201" i="1" s="1"/>
  <c r="X196" i="1"/>
  <c r="AG195" i="1"/>
  <c r="W195" i="1" s="1"/>
  <c r="AG193" i="1"/>
  <c r="AI193" i="1" s="1"/>
  <c r="X188" i="1"/>
  <c r="AG187" i="1"/>
  <c r="AI187" i="1" s="1"/>
  <c r="AG185" i="1"/>
  <c r="AI185" i="1" s="1"/>
  <c r="X180" i="1"/>
  <c r="AG179" i="1"/>
  <c r="AI179" i="1" s="1"/>
  <c r="AG177" i="1"/>
  <c r="AI177" i="1" s="1"/>
  <c r="X172" i="1"/>
  <c r="AG171" i="1"/>
  <c r="AI171" i="1" s="1"/>
  <c r="AG230" i="1"/>
  <c r="U230" i="1" s="1"/>
  <c r="S230" i="1" s="1"/>
  <c r="X229" i="1"/>
  <c r="T152" i="1"/>
  <c r="X152" i="1"/>
  <c r="AG152" i="1"/>
  <c r="AI149" i="1"/>
  <c r="T148" i="1"/>
  <c r="AG148" i="1"/>
  <c r="AI137" i="1"/>
  <c r="T128" i="1"/>
  <c r="X128" i="1"/>
  <c r="AG128" i="1"/>
  <c r="U113" i="1"/>
  <c r="S113" i="1" s="1"/>
  <c r="AI113" i="1"/>
  <c r="T46" i="1"/>
  <c r="X46" i="1"/>
  <c r="T45" i="1"/>
  <c r="AG45" i="1"/>
  <c r="AI45" i="1" s="1"/>
  <c r="AG40" i="1"/>
  <c r="AI40" i="1" s="1"/>
  <c r="X40" i="1"/>
  <c r="T40" i="1"/>
  <c r="X224" i="1"/>
  <c r="AG207" i="1"/>
  <c r="W207" i="1" s="1"/>
  <c r="AA199" i="1"/>
  <c r="W199" i="1" s="1"/>
  <c r="AA191" i="1"/>
  <c r="W191" i="1" s="1"/>
  <c r="AA183" i="1"/>
  <c r="W183" i="1" s="1"/>
  <c r="AA175" i="1"/>
  <c r="W175" i="1" s="1"/>
  <c r="AA167" i="1"/>
  <c r="AG165" i="1"/>
  <c r="AI165" i="1" s="1"/>
  <c r="U218" i="1"/>
  <c r="S218" i="1" s="1"/>
  <c r="X156" i="1"/>
  <c r="AG156" i="1"/>
  <c r="T153" i="1"/>
  <c r="AG140" i="1"/>
  <c r="T129" i="1"/>
  <c r="X121" i="1"/>
  <c r="AG121" i="1"/>
  <c r="T115" i="1"/>
  <c r="AG115" i="1"/>
  <c r="U115" i="1" s="1"/>
  <c r="S115" i="1" s="1"/>
  <c r="T109" i="1"/>
  <c r="X104" i="1"/>
  <c r="AG104" i="1"/>
  <c r="T104" i="1"/>
  <c r="AG89" i="1"/>
  <c r="X89" i="1"/>
  <c r="T89" i="1"/>
  <c r="T59" i="1"/>
  <c r="AG59" i="1"/>
  <c r="AI59" i="1" s="1"/>
  <c r="X57" i="1"/>
  <c r="AG57" i="1"/>
  <c r="T57" i="1"/>
  <c r="T207" i="1"/>
  <c r="X204" i="1"/>
  <c r="AG203" i="1"/>
  <c r="AA221" i="1"/>
  <c r="T204" i="1"/>
  <c r="X200" i="1"/>
  <c r="AG197" i="1"/>
  <c r="AA196" i="1"/>
  <c r="W196" i="1" s="1"/>
  <c r="T196" i="1"/>
  <c r="X192" i="1"/>
  <c r="AG189" i="1"/>
  <c r="AA188" i="1"/>
  <c r="W188" i="1" s="1"/>
  <c r="T188" i="1"/>
  <c r="U188" i="1" s="1"/>
  <c r="S188" i="1" s="1"/>
  <c r="X184" i="1"/>
  <c r="AG181" i="1"/>
  <c r="U181" i="1" s="1"/>
  <c r="S181" i="1" s="1"/>
  <c r="AA180" i="1"/>
  <c r="W180" i="1" s="1"/>
  <c r="T180" i="1"/>
  <c r="U180" i="1" s="1"/>
  <c r="S180" i="1" s="1"/>
  <c r="X176" i="1"/>
  <c r="AG173" i="1"/>
  <c r="W173" i="1" s="1"/>
  <c r="AA172" i="1"/>
  <c r="W172" i="1" s="1"/>
  <c r="T172" i="1"/>
  <c r="X168" i="1"/>
  <c r="AG167" i="1"/>
  <c r="AA232" i="1"/>
  <c r="W232" i="1" s="1"/>
  <c r="AA230" i="1"/>
  <c r="AA229" i="1"/>
  <c r="T229" i="1"/>
  <c r="AA216" i="1"/>
  <c r="W216" i="1" s="1"/>
  <c r="AG209" i="1"/>
  <c r="AI209" i="1" s="1"/>
  <c r="T209" i="1"/>
  <c r="T157" i="1"/>
  <c r="U157" i="1" s="1"/>
  <c r="S157" i="1" s="1"/>
  <c r="W155" i="1"/>
  <c r="AI144" i="1"/>
  <c r="T139" i="1"/>
  <c r="AG139" i="1"/>
  <c r="AI139" i="1" s="1"/>
  <c r="AI125" i="1"/>
  <c r="T120" i="1"/>
  <c r="X120" i="1"/>
  <c r="AG120" i="1"/>
  <c r="AI120" i="1" s="1"/>
  <c r="X85" i="1"/>
  <c r="T85" i="1"/>
  <c r="AG85" i="1"/>
  <c r="X69" i="1"/>
  <c r="AG69" i="1"/>
  <c r="W69" i="1" s="1"/>
  <c r="T69" i="1"/>
  <c r="W137" i="1"/>
  <c r="T133" i="1"/>
  <c r="W125" i="1"/>
  <c r="T105" i="1"/>
  <c r="U105" i="1" s="1"/>
  <c r="S105" i="1" s="1"/>
  <c r="AA103" i="1"/>
  <c r="W103" i="1" s="1"/>
  <c r="T101" i="1"/>
  <c r="U101" i="1" s="1"/>
  <c r="S101" i="1" s="1"/>
  <c r="X96" i="1"/>
  <c r="AG96" i="1"/>
  <c r="AI65" i="1"/>
  <c r="U41" i="1"/>
  <c r="S41" i="1" s="1"/>
  <c r="AI41" i="1"/>
  <c r="T39" i="1"/>
  <c r="AG39" i="1"/>
  <c r="T37" i="1"/>
  <c r="AG37" i="1"/>
  <c r="AG24" i="1"/>
  <c r="X24" i="1"/>
  <c r="T24" i="1"/>
  <c r="U21" i="1"/>
  <c r="S21" i="1" s="1"/>
  <c r="AI21" i="1"/>
  <c r="W151" i="1"/>
  <c r="T144" i="1"/>
  <c r="U144" i="1" s="1"/>
  <c r="S144" i="1" s="1"/>
  <c r="AG142" i="1"/>
  <c r="U142" i="1" s="1"/>
  <c r="S142" i="1" s="1"/>
  <c r="T137" i="1"/>
  <c r="U137" i="1" s="1"/>
  <c r="S137" i="1" s="1"/>
  <c r="AG135" i="1"/>
  <c r="U135" i="1" s="1"/>
  <c r="S135" i="1" s="1"/>
  <c r="AG133" i="1"/>
  <c r="W133" i="1" s="1"/>
  <c r="AG131" i="1"/>
  <c r="AI131" i="1" s="1"/>
  <c r="T125" i="1"/>
  <c r="U125" i="1" s="1"/>
  <c r="S125" i="1" s="1"/>
  <c r="AG123" i="1"/>
  <c r="U123" i="1" s="1"/>
  <c r="S123" i="1" s="1"/>
  <c r="AG117" i="1"/>
  <c r="AG116" i="1"/>
  <c r="U116" i="1" s="1"/>
  <c r="X97" i="1"/>
  <c r="T91" i="1"/>
  <c r="AG91" i="1"/>
  <c r="X84" i="1"/>
  <c r="T84" i="1"/>
  <c r="T67" i="1"/>
  <c r="AG67" i="1"/>
  <c r="T55" i="1"/>
  <c r="AG55" i="1"/>
  <c r="AI55" i="1" s="1"/>
  <c r="T23" i="1"/>
  <c r="AG23" i="1"/>
  <c r="U23" i="1" s="1"/>
  <c r="S23" i="1" s="1"/>
  <c r="AA170" i="1"/>
  <c r="AA163" i="1"/>
  <c r="W163" i="1" s="1"/>
  <c r="AA162" i="1"/>
  <c r="AA228" i="1"/>
  <c r="W228" i="1" s="1"/>
  <c r="AA227" i="1"/>
  <c r="AA226" i="1"/>
  <c r="W226" i="1" s="1"/>
  <c r="AA225" i="1"/>
  <c r="AA220" i="1"/>
  <c r="AA219" i="1"/>
  <c r="AA212" i="1"/>
  <c r="AA209" i="1"/>
  <c r="W209" i="1" s="1"/>
  <c r="AA152" i="1"/>
  <c r="W152" i="1" s="1"/>
  <c r="AA150" i="1"/>
  <c r="AA148" i="1"/>
  <c r="W148" i="1" s="1"/>
  <c r="AG143" i="1"/>
  <c r="AA139" i="1"/>
  <c r="AG136" i="1"/>
  <c r="AG132" i="1"/>
  <c r="U132" i="1" s="1"/>
  <c r="AA128" i="1"/>
  <c r="W128" i="1" s="1"/>
  <c r="U127" i="1"/>
  <c r="S127" i="1" s="1"/>
  <c r="AG124" i="1"/>
  <c r="AA120" i="1"/>
  <c r="AA118" i="1"/>
  <c r="U112" i="1"/>
  <c r="S112" i="1" s="1"/>
  <c r="X105" i="1"/>
  <c r="AA104" i="1"/>
  <c r="X101" i="1"/>
  <c r="T99" i="1"/>
  <c r="AG99" i="1"/>
  <c r="AG97" i="1"/>
  <c r="W97" i="1" s="1"/>
  <c r="T96" i="1"/>
  <c r="AG93" i="1"/>
  <c r="T87" i="1"/>
  <c r="AG87" i="1"/>
  <c r="AA85" i="1"/>
  <c r="AG84" i="1"/>
  <c r="U84" i="1" s="1"/>
  <c r="S84" i="1" s="1"/>
  <c r="AI77" i="1"/>
  <c r="X60" i="1"/>
  <c r="T15" i="1"/>
  <c r="X16" i="1"/>
  <c r="AG15" i="1"/>
  <c r="AI15" i="1" s="1"/>
  <c r="AA119" i="1"/>
  <c r="AA115" i="1"/>
  <c r="AA114" i="1"/>
  <c r="AG92" i="1"/>
  <c r="AI92" i="1" s="1"/>
  <c r="AG88" i="1"/>
  <c r="AA84" i="1"/>
  <c r="U83" i="1"/>
  <c r="S83" i="1" s="1"/>
  <c r="AG81" i="1"/>
  <c r="AG79" i="1"/>
  <c r="U79" i="1" s="1"/>
  <c r="S79" i="1" s="1"/>
  <c r="AG74" i="1"/>
  <c r="AI74" i="1" s="1"/>
  <c r="AA72" i="1"/>
  <c r="AA66" i="1"/>
  <c r="AG63" i="1"/>
  <c r="U63" i="1" s="1"/>
  <c r="S63" i="1" s="1"/>
  <c r="X61" i="1"/>
  <c r="AA59" i="1"/>
  <c r="AA55" i="1"/>
  <c r="X52" i="1"/>
  <c r="AG51" i="1"/>
  <c r="U51" i="1" s="1"/>
  <c r="S51" i="1" s="1"/>
  <c r="X48" i="1"/>
  <c r="AA46" i="1"/>
  <c r="AA42" i="1"/>
  <c r="AA40" i="1"/>
  <c r="T35" i="1"/>
  <c r="U35" i="1" s="1"/>
  <c r="S35" i="1" s="1"/>
  <c r="X32" i="1"/>
  <c r="AG29" i="1"/>
  <c r="U27" i="1"/>
  <c r="S27" i="1" s="1"/>
  <c r="AA27" i="1"/>
  <c r="W27" i="1" s="1"/>
  <c r="AA24" i="1"/>
  <c r="AA23" i="1"/>
  <c r="AA22" i="1"/>
  <c r="AA15" i="1"/>
  <c r="W81" i="1"/>
  <c r="W79" i="1"/>
  <c r="W77" i="1"/>
  <c r="T61" i="1"/>
  <c r="U61" i="1" s="1"/>
  <c r="S61" i="1" s="1"/>
  <c r="AA32" i="1"/>
  <c r="T32" i="1"/>
  <c r="U32" i="1" s="1"/>
  <c r="S32" i="1" s="1"/>
  <c r="AG68" i="1"/>
  <c r="W64" i="1"/>
  <c r="AG60" i="1"/>
  <c r="U60" i="1" s="1"/>
  <c r="S60" i="1" s="1"/>
  <c r="AG56" i="1"/>
  <c r="U56" i="1" s="1"/>
  <c r="S56" i="1" s="1"/>
  <c r="AI52" i="1"/>
  <c r="AA51" i="1"/>
  <c r="AG50" i="1"/>
  <c r="U50" i="1" s="1"/>
  <c r="S50" i="1" s="1"/>
  <c r="X50" i="1"/>
  <c r="X36" i="1"/>
  <c r="AG33" i="1"/>
  <c r="W33" i="1" s="1"/>
  <c r="AA20" i="1"/>
  <c r="T222" i="1"/>
  <c r="AI223" i="1"/>
  <c r="AI207" i="1"/>
  <c r="AI203" i="1"/>
  <c r="AI199" i="1"/>
  <c r="AI191" i="1"/>
  <c r="AI183" i="1"/>
  <c r="T231" i="1"/>
  <c r="X231" i="1"/>
  <c r="AG231" i="1"/>
  <c r="AI231" i="1" s="1"/>
  <c r="T114" i="1"/>
  <c r="X114" i="1"/>
  <c r="AG114" i="1"/>
  <c r="AI49" i="1"/>
  <c r="AG222" i="1"/>
  <c r="X222" i="1"/>
  <c r="T208" i="1"/>
  <c r="U208" i="1" s="1"/>
  <c r="S208" i="1" s="1"/>
  <c r="AA206" i="1"/>
  <c r="T205" i="1"/>
  <c r="X205" i="1"/>
  <c r="AG205" i="1"/>
  <c r="AI205" i="1" s="1"/>
  <c r="U203" i="1"/>
  <c r="S203" i="1" s="1"/>
  <c r="T202" i="1"/>
  <c r="X202" i="1"/>
  <c r="AG202" i="1"/>
  <c r="X203" i="1"/>
  <c r="T198" i="1"/>
  <c r="X198" i="1"/>
  <c r="AG198" i="1"/>
  <c r="X199" i="1"/>
  <c r="U197" i="1"/>
  <c r="S197" i="1" s="1"/>
  <c r="T194" i="1"/>
  <c r="X194" i="1"/>
  <c r="AG194" i="1"/>
  <c r="X195" i="1"/>
  <c r="U193" i="1"/>
  <c r="S193" i="1" s="1"/>
  <c r="T190" i="1"/>
  <c r="X190" i="1"/>
  <c r="AG190" i="1"/>
  <c r="W190" i="1" s="1"/>
  <c r="X191" i="1"/>
  <c r="U189" i="1"/>
  <c r="S189" i="1" s="1"/>
  <c r="T186" i="1"/>
  <c r="X186" i="1"/>
  <c r="AG186" i="1"/>
  <c r="X187" i="1"/>
  <c r="T182" i="1"/>
  <c r="X182" i="1"/>
  <c r="AG182" i="1"/>
  <c r="X183" i="1"/>
  <c r="U179" i="1"/>
  <c r="S179" i="1" s="1"/>
  <c r="T178" i="1"/>
  <c r="X178" i="1"/>
  <c r="AG178" i="1"/>
  <c r="X179" i="1"/>
  <c r="U175" i="1"/>
  <c r="S175" i="1" s="1"/>
  <c r="T174" i="1"/>
  <c r="X174" i="1"/>
  <c r="AG174" i="1"/>
  <c r="W174" i="1" s="1"/>
  <c r="X175" i="1"/>
  <c r="U173" i="1"/>
  <c r="S173" i="1" s="1"/>
  <c r="U171" i="1"/>
  <c r="S171" i="1" s="1"/>
  <c r="T170" i="1"/>
  <c r="X170" i="1"/>
  <c r="AG170" i="1"/>
  <c r="X171" i="1"/>
  <c r="U167" i="1"/>
  <c r="S167" i="1" s="1"/>
  <c r="T166" i="1"/>
  <c r="X166" i="1"/>
  <c r="AG166" i="1"/>
  <c r="X167" i="1"/>
  <c r="T162" i="1"/>
  <c r="X162" i="1"/>
  <c r="AG162" i="1"/>
  <c r="X163" i="1"/>
  <c r="U161" i="1"/>
  <c r="S161" i="1" s="1"/>
  <c r="W229" i="1"/>
  <c r="T130" i="1"/>
  <c r="X130" i="1"/>
  <c r="AG130" i="1"/>
  <c r="T206" i="1"/>
  <c r="X206" i="1"/>
  <c r="U229" i="1"/>
  <c r="S229" i="1" s="1"/>
  <c r="AI176" i="1"/>
  <c r="U226" i="1"/>
  <c r="AI173" i="1"/>
  <c r="S226" i="1"/>
  <c r="AG225" i="1"/>
  <c r="X226" i="1"/>
  <c r="T225" i="1"/>
  <c r="X225" i="1"/>
  <c r="T145" i="1"/>
  <c r="X145" i="1"/>
  <c r="AG145" i="1"/>
  <c r="W145" i="1" s="1"/>
  <c r="T221" i="1"/>
  <c r="X221" i="1"/>
  <c r="X208" i="1"/>
  <c r="U204" i="1"/>
  <c r="S204" i="1" s="1"/>
  <c r="AA222" i="1"/>
  <c r="AG221" i="1"/>
  <c r="AG206" i="1"/>
  <c r="U200" i="1"/>
  <c r="S200" i="1" s="1"/>
  <c r="U196" i="1"/>
  <c r="S196" i="1" s="1"/>
  <c r="AI216" i="1"/>
  <c r="U192" i="1"/>
  <c r="S192" i="1" s="1"/>
  <c r="AI208" i="1"/>
  <c r="U184" i="1"/>
  <c r="S184" i="1" s="1"/>
  <c r="AI204" i="1"/>
  <c r="AI200" i="1"/>
  <c r="AI196" i="1"/>
  <c r="U172" i="1"/>
  <c r="S172" i="1" s="1"/>
  <c r="AI192" i="1"/>
  <c r="W171" i="1"/>
  <c r="R33" i="3"/>
  <c r="R39" i="3"/>
  <c r="U168" i="1"/>
  <c r="S168" i="1" s="1"/>
  <c r="AI188" i="1"/>
  <c r="AI184" i="1"/>
  <c r="AI180" i="1"/>
  <c r="W231" i="1"/>
  <c r="X232" i="1"/>
  <c r="AI175" i="1"/>
  <c r="W227" i="1"/>
  <c r="T227" i="1"/>
  <c r="AI168" i="1"/>
  <c r="AI164" i="1"/>
  <c r="U209" i="1"/>
  <c r="S209" i="1" s="1"/>
  <c r="AI160" i="1"/>
  <c r="T158" i="1"/>
  <c r="X158" i="1"/>
  <c r="AG158" i="1"/>
  <c r="T141" i="1"/>
  <c r="AG141" i="1"/>
  <c r="W141" i="1" s="1"/>
  <c r="AI127" i="1"/>
  <c r="T126" i="1"/>
  <c r="X126" i="1"/>
  <c r="AG126" i="1"/>
  <c r="T111" i="1"/>
  <c r="X111" i="1"/>
  <c r="X112" i="1"/>
  <c r="AG111" i="1"/>
  <c r="T102" i="1"/>
  <c r="X102" i="1"/>
  <c r="AG102" i="1"/>
  <c r="T86" i="1"/>
  <c r="X86" i="1"/>
  <c r="AG86" i="1"/>
  <c r="W86" i="1" s="1"/>
  <c r="T66" i="1"/>
  <c r="X66" i="1"/>
  <c r="AG66" i="1"/>
  <c r="T228" i="1"/>
  <c r="U228" i="1" s="1"/>
  <c r="S228" i="1" s="1"/>
  <c r="X228" i="1"/>
  <c r="U227" i="1"/>
  <c r="S227" i="1" s="1"/>
  <c r="S220" i="1"/>
  <c r="T219" i="1"/>
  <c r="X219" i="1"/>
  <c r="AG219" i="1"/>
  <c r="AI219" i="1" s="1"/>
  <c r="AI167" i="1"/>
  <c r="T215" i="1"/>
  <c r="X215" i="1"/>
  <c r="AG215" i="1"/>
  <c r="AI215" i="1" s="1"/>
  <c r="AI163" i="1"/>
  <c r="T211" i="1"/>
  <c r="X211" i="1"/>
  <c r="AG211" i="1"/>
  <c r="T154" i="1"/>
  <c r="X154" i="1"/>
  <c r="AG154" i="1"/>
  <c r="W154" i="1" s="1"/>
  <c r="T138" i="1"/>
  <c r="AG138" i="1"/>
  <c r="U128" i="1"/>
  <c r="S128" i="1" s="1"/>
  <c r="T122" i="1"/>
  <c r="X122" i="1"/>
  <c r="AG122" i="1"/>
  <c r="W122" i="1" s="1"/>
  <c r="AI87" i="1"/>
  <c r="T70" i="1"/>
  <c r="X70" i="1"/>
  <c r="AG70" i="1"/>
  <c r="X201" i="1"/>
  <c r="X197" i="1"/>
  <c r="X193" i="1"/>
  <c r="X189" i="1"/>
  <c r="X185" i="1"/>
  <c r="X181" i="1"/>
  <c r="X177" i="1"/>
  <c r="X173" i="1"/>
  <c r="X169" i="1"/>
  <c r="X165" i="1"/>
  <c r="X161" i="1"/>
  <c r="X230" i="1"/>
  <c r="AA159" i="1"/>
  <c r="U156" i="1"/>
  <c r="S156" i="1" s="1"/>
  <c r="U155" i="1"/>
  <c r="S155" i="1" s="1"/>
  <c r="T150" i="1"/>
  <c r="X150" i="1"/>
  <c r="AG150" i="1"/>
  <c r="W150" i="1" s="1"/>
  <c r="AA142" i="1"/>
  <c r="AI135" i="1"/>
  <c r="T134" i="1"/>
  <c r="X134" i="1"/>
  <c r="AG134" i="1"/>
  <c r="AA127" i="1"/>
  <c r="W127" i="1" s="1"/>
  <c r="U124" i="1"/>
  <c r="S124" i="1" s="1"/>
  <c r="T118" i="1"/>
  <c r="X118" i="1"/>
  <c r="AG118" i="1"/>
  <c r="X220" i="1"/>
  <c r="X216" i="1"/>
  <c r="X212" i="1"/>
  <c r="X159" i="1"/>
  <c r="X155" i="1"/>
  <c r="AI152" i="1"/>
  <c r="X151" i="1"/>
  <c r="AI148" i="1"/>
  <c r="AI136" i="1"/>
  <c r="X135" i="1"/>
  <c r="X131" i="1"/>
  <c r="AI128" i="1"/>
  <c r="X127" i="1"/>
  <c r="AI124" i="1"/>
  <c r="X123" i="1"/>
  <c r="X119" i="1"/>
  <c r="X115" i="1"/>
  <c r="AA112" i="1"/>
  <c r="W112" i="1" s="1"/>
  <c r="AA108" i="1"/>
  <c r="W108" i="1" s="1"/>
  <c r="AA107" i="1"/>
  <c r="W107" i="1" s="1"/>
  <c r="T106" i="1"/>
  <c r="X106" i="1"/>
  <c r="AG106" i="1"/>
  <c r="W106" i="1" s="1"/>
  <c r="T103" i="1"/>
  <c r="U103" i="1" s="1"/>
  <c r="S103" i="1" s="1"/>
  <c r="X103" i="1"/>
  <c r="AI100" i="1"/>
  <c r="AI99" i="1"/>
  <c r="T98" i="1"/>
  <c r="X98" i="1"/>
  <c r="AG98" i="1"/>
  <c r="AA91" i="1"/>
  <c r="T82" i="1"/>
  <c r="X82" i="1"/>
  <c r="AG82" i="1"/>
  <c r="AG76" i="1"/>
  <c r="AA50" i="1"/>
  <c r="U40" i="1"/>
  <c r="S40" i="1" s="1"/>
  <c r="AA39" i="1"/>
  <c r="T110" i="1"/>
  <c r="X110" i="1"/>
  <c r="AG110" i="1"/>
  <c r="T107" i="1"/>
  <c r="U107" i="1" s="1"/>
  <c r="S107" i="1" s="1"/>
  <c r="X107" i="1"/>
  <c r="AI104" i="1"/>
  <c r="AI103" i="1"/>
  <c r="T94" i="1"/>
  <c r="X94" i="1"/>
  <c r="AG94" i="1"/>
  <c r="W94" i="1" s="1"/>
  <c r="AA87" i="1"/>
  <c r="T78" i="1"/>
  <c r="X78" i="1"/>
  <c r="AG78" i="1"/>
  <c r="X218" i="1"/>
  <c r="X214" i="1"/>
  <c r="X210" i="1"/>
  <c r="S108" i="1"/>
  <c r="AI108" i="1"/>
  <c r="AI107" i="1"/>
  <c r="AA100" i="1"/>
  <c r="AA99" i="1"/>
  <c r="W99" i="1" s="1"/>
  <c r="T90" i="1"/>
  <c r="X90" i="1"/>
  <c r="AG90" i="1"/>
  <c r="W90" i="1" s="1"/>
  <c r="AA83" i="1"/>
  <c r="W83" i="1" s="1"/>
  <c r="X99" i="1"/>
  <c r="X95" i="1"/>
  <c r="X91" i="1"/>
  <c r="X87" i="1"/>
  <c r="X83" i="1"/>
  <c r="AI80" i="1"/>
  <c r="X79" i="1"/>
  <c r="AA75" i="1"/>
  <c r="W75" i="1" s="1"/>
  <c r="T72" i="1"/>
  <c r="U68" i="1"/>
  <c r="S68" i="1" s="1"/>
  <c r="T62" i="1"/>
  <c r="X62" i="1"/>
  <c r="AG62" i="1"/>
  <c r="W62" i="1" s="1"/>
  <c r="AG44" i="1"/>
  <c r="W44" i="1" s="1"/>
  <c r="T44" i="1"/>
  <c r="X44" i="1"/>
  <c r="AI36" i="1"/>
  <c r="AA35" i="1"/>
  <c r="W35" i="1" s="1"/>
  <c r="T22" i="1"/>
  <c r="X22" i="1"/>
  <c r="AG22" i="1"/>
  <c r="T75" i="1"/>
  <c r="U75" i="1" s="1"/>
  <c r="S75" i="1" s="1"/>
  <c r="AI73" i="1"/>
  <c r="X73" i="1"/>
  <c r="AG72" i="1"/>
  <c r="AA67" i="1"/>
  <c r="U64" i="1"/>
  <c r="S64" i="1" s="1"/>
  <c r="T58" i="1"/>
  <c r="X58" i="1"/>
  <c r="AG58" i="1"/>
  <c r="AA49" i="1"/>
  <c r="W49" i="1" s="1"/>
  <c r="AI32" i="1"/>
  <c r="AA31" i="1"/>
  <c r="W31" i="1" s="1"/>
  <c r="AA76" i="1"/>
  <c r="AA63" i="1"/>
  <c r="W63" i="1" s="1"/>
  <c r="T54" i="1"/>
  <c r="X54" i="1"/>
  <c r="AG54" i="1"/>
  <c r="W54" i="1" s="1"/>
  <c r="T53" i="1"/>
  <c r="X53" i="1"/>
  <c r="AG53" i="1"/>
  <c r="AA48" i="1"/>
  <c r="W48" i="1" s="1"/>
  <c r="AI48" i="1"/>
  <c r="AA43" i="1"/>
  <c r="W43" i="1" s="1"/>
  <c r="U28" i="1"/>
  <c r="S28" i="1" s="1"/>
  <c r="AI28" i="1"/>
  <c r="AI68" i="1"/>
  <c r="X67" i="1"/>
  <c r="AI64" i="1"/>
  <c r="X63" i="1"/>
  <c r="AI60" i="1"/>
  <c r="X59" i="1"/>
  <c r="AI56" i="1"/>
  <c r="X55" i="1"/>
  <c r="AI47" i="1"/>
  <c r="AI43" i="1"/>
  <c r="AI39" i="1"/>
  <c r="AI35" i="1"/>
  <c r="AI31" i="1"/>
  <c r="AI27" i="1"/>
  <c r="T26" i="1"/>
  <c r="X26" i="1"/>
  <c r="AG26" i="1"/>
  <c r="W26" i="1" s="1"/>
  <c r="T18" i="1"/>
  <c r="X18" i="1"/>
  <c r="AG18" i="1"/>
  <c r="W18" i="1" s="1"/>
  <c r="U52" i="1"/>
  <c r="S52" i="1" s="1"/>
  <c r="AI50" i="1"/>
  <c r="T42" i="1"/>
  <c r="X42" i="1"/>
  <c r="AG42" i="1"/>
  <c r="X43" i="1"/>
  <c r="T38" i="1"/>
  <c r="X38" i="1"/>
  <c r="AG38" i="1"/>
  <c r="X39" i="1"/>
  <c r="T34" i="1"/>
  <c r="X34" i="1"/>
  <c r="AG34" i="1"/>
  <c r="X35" i="1"/>
  <c r="T30" i="1"/>
  <c r="X30" i="1"/>
  <c r="AG30" i="1"/>
  <c r="X31" i="1"/>
  <c r="T14" i="1"/>
  <c r="AG14" i="1"/>
  <c r="W14" i="1" s="1"/>
  <c r="T49" i="1"/>
  <c r="U49" i="1" s="1"/>
  <c r="S49" i="1" s="1"/>
  <c r="X49" i="1"/>
  <c r="AG46" i="1"/>
  <c r="W46" i="1" s="1"/>
  <c r="X47" i="1"/>
  <c r="W32" i="1"/>
  <c r="W28" i="1"/>
  <c r="AI24" i="1"/>
  <c r="AA19" i="1"/>
  <c r="W19" i="1" s="1"/>
  <c r="X27" i="1"/>
  <c r="X23" i="1"/>
  <c r="X19" i="1"/>
  <c r="AI16" i="1"/>
  <c r="X15" i="1"/>
  <c r="X45" i="1"/>
  <c r="X41" i="1"/>
  <c r="X37" i="1"/>
  <c r="X33" i="1"/>
  <c r="X29" i="1"/>
  <c r="X25" i="1"/>
  <c r="AC9" i="3"/>
  <c r="AC27" i="3"/>
  <c r="AC32" i="3"/>
  <c r="Y26" i="3"/>
  <c r="Y9" i="3"/>
  <c r="Y18" i="3"/>
  <c r="Y12" i="3"/>
  <c r="Y27" i="3"/>
  <c r="Y10" i="3"/>
  <c r="Y32" i="3"/>
  <c r="Y36" i="3"/>
  <c r="AD29" i="3"/>
  <c r="Y15" i="3"/>
  <c r="Y8" i="3"/>
  <c r="Y43" i="3"/>
  <c r="Y38" i="3"/>
  <c r="Y28" i="3"/>
  <c r="Y31" i="3"/>
  <c r="Y13" i="3"/>
  <c r="Y7" i="3"/>
  <c r="AD42" i="3"/>
  <c r="AD15" i="3"/>
  <c r="AD8" i="3"/>
  <c r="AD43" i="3"/>
  <c r="AD38" i="3"/>
  <c r="AD40" i="3"/>
  <c r="AD25" i="3"/>
  <c r="AD28" i="3"/>
  <c r="AD11" i="3"/>
  <c r="AD23" i="3"/>
  <c r="AD41" i="3"/>
  <c r="AD31" i="3"/>
  <c r="AD13" i="3"/>
  <c r="AD7" i="3"/>
  <c r="AD33" i="3"/>
  <c r="AD21" i="3"/>
  <c r="AD35" i="3"/>
  <c r="AD30" i="3"/>
  <c r="AD17" i="3"/>
  <c r="AD26" i="3"/>
  <c r="AD20" i="3"/>
  <c r="AD9" i="3"/>
  <c r="AD16" i="3"/>
  <c r="AD18" i="3"/>
  <c r="AD34" i="3"/>
  <c r="AD12" i="3"/>
  <c r="AD24" i="3"/>
  <c r="AD27" i="3"/>
  <c r="AD22" i="3"/>
  <c r="AD10" i="3"/>
  <c r="AD39" i="3"/>
  <c r="AD32" i="3"/>
  <c r="AD37" i="3"/>
  <c r="AD36" i="3"/>
  <c r="Y42" i="3"/>
  <c r="Y40" i="3"/>
  <c r="Y25" i="3"/>
  <c r="Y11" i="3"/>
  <c r="Y23" i="3"/>
  <c r="Y41" i="3"/>
  <c r="Y33" i="3"/>
  <c r="Y21" i="3"/>
  <c r="Y35" i="3"/>
  <c r="Y30" i="3"/>
  <c r="M19" i="3"/>
  <c r="R19" i="3"/>
  <c r="S19" i="3"/>
  <c r="U19" i="3"/>
  <c r="T19" i="3" s="1"/>
  <c r="V19" i="3"/>
  <c r="W19" i="3"/>
  <c r="X19" i="3"/>
  <c r="AI23" i="1" l="1"/>
  <c r="U147" i="1"/>
  <c r="S147" i="1" s="1"/>
  <c r="W222" i="1"/>
  <c r="W22" i="1"/>
  <c r="W40" i="1"/>
  <c r="W84" i="1"/>
  <c r="W115" i="1"/>
  <c r="W143" i="1"/>
  <c r="AI116" i="1"/>
  <c r="AI212" i="1"/>
  <c r="W104" i="1"/>
  <c r="W95" i="1"/>
  <c r="U39" i="1"/>
  <c r="S39" i="1" s="1"/>
  <c r="U95" i="1"/>
  <c r="S95" i="1" s="1"/>
  <c r="W147" i="1"/>
  <c r="AI84" i="1"/>
  <c r="W66" i="1"/>
  <c r="W156" i="1"/>
  <c r="W41" i="1"/>
  <c r="W30" i="1"/>
  <c r="W38" i="1"/>
  <c r="U25" i="1"/>
  <c r="S25" i="1" s="1"/>
  <c r="U165" i="1"/>
  <c r="S165" i="1" s="1"/>
  <c r="U201" i="1"/>
  <c r="S201" i="1" s="1"/>
  <c r="U17" i="1"/>
  <c r="S17" i="1" s="1"/>
  <c r="W23" i="1"/>
  <c r="W29" i="1"/>
  <c r="W88" i="1"/>
  <c r="W119" i="1"/>
  <c r="W96" i="1"/>
  <c r="W230" i="1"/>
  <c r="W167" i="1"/>
  <c r="W57" i="1"/>
  <c r="W109" i="1"/>
  <c r="W58" i="1"/>
  <c r="W67" i="1"/>
  <c r="U74" i="1"/>
  <c r="S74" i="1" s="1"/>
  <c r="AI132" i="1"/>
  <c r="W134" i="1"/>
  <c r="W142" i="1"/>
  <c r="AI151" i="1"/>
  <c r="W70" i="1"/>
  <c r="AI123" i="1"/>
  <c r="W211" i="1"/>
  <c r="U232" i="1"/>
  <c r="S232" i="1" s="1"/>
  <c r="U185" i="1"/>
  <c r="S185" i="1" s="1"/>
  <c r="U195" i="1"/>
  <c r="S195" i="1" s="1"/>
  <c r="AI195" i="1"/>
  <c r="W225" i="1"/>
  <c r="U67" i="1"/>
  <c r="AI71" i="1"/>
  <c r="U71" i="1"/>
  <c r="S71" i="1" s="1"/>
  <c r="W71" i="1"/>
  <c r="AI143" i="1"/>
  <c r="W118" i="1"/>
  <c r="U139" i="1"/>
  <c r="S139" i="1" s="1"/>
  <c r="U159" i="1"/>
  <c r="S159" i="1" s="1"/>
  <c r="AI115" i="1"/>
  <c r="W153" i="1"/>
  <c r="W149" i="1"/>
  <c r="AI79" i="1"/>
  <c r="W220" i="1"/>
  <c r="U169" i="1"/>
  <c r="S169" i="1" s="1"/>
  <c r="U19" i="1"/>
  <c r="S19" i="1" s="1"/>
  <c r="W68" i="1"/>
  <c r="U92" i="1"/>
  <c r="S92" i="1" s="1"/>
  <c r="W212" i="1"/>
  <c r="U119" i="1"/>
  <c r="S119" i="1" s="1"/>
  <c r="W25" i="1"/>
  <c r="AI20" i="1"/>
  <c r="AI88" i="1"/>
  <c r="W159" i="1"/>
  <c r="U143" i="1"/>
  <c r="S143" i="1" s="1"/>
  <c r="AI51" i="1"/>
  <c r="AI63" i="1"/>
  <c r="AI96" i="1"/>
  <c r="W100" i="1"/>
  <c r="W78" i="1"/>
  <c r="W39" i="1"/>
  <c r="W50" i="1"/>
  <c r="W82" i="1"/>
  <c r="U88" i="1"/>
  <c r="S88" i="1" s="1"/>
  <c r="AI156" i="1"/>
  <c r="AI174" i="1"/>
  <c r="AI142" i="1"/>
  <c r="AI220" i="1"/>
  <c r="U207" i="1"/>
  <c r="S207" i="1" s="1"/>
  <c r="W20" i="1"/>
  <c r="W80" i="1"/>
  <c r="W15" i="1"/>
  <c r="W59" i="1"/>
  <c r="W124" i="1"/>
  <c r="U136" i="1"/>
  <c r="S136" i="1" s="1"/>
  <c r="U148" i="1"/>
  <c r="S148" i="1" s="1"/>
  <c r="W21" i="1"/>
  <c r="W138" i="1"/>
  <c r="U24" i="1"/>
  <c r="S24" i="1" s="1"/>
  <c r="W17" i="1"/>
  <c r="W123" i="1"/>
  <c r="U59" i="1"/>
  <c r="S59" i="1" s="1"/>
  <c r="W74" i="1"/>
  <c r="U87" i="1"/>
  <c r="S87" i="1" s="1"/>
  <c r="W120" i="1"/>
  <c r="U55" i="1"/>
  <c r="S55" i="1" s="1"/>
  <c r="W135" i="1"/>
  <c r="AI211" i="1"/>
  <c r="W51" i="1"/>
  <c r="W114" i="1"/>
  <c r="W169" i="1"/>
  <c r="S67" i="1"/>
  <c r="U91" i="1"/>
  <c r="S91" i="1" s="1"/>
  <c r="W161" i="1"/>
  <c r="W221" i="1"/>
  <c r="AI221" i="1"/>
  <c r="U109" i="1"/>
  <c r="S109" i="1" s="1"/>
  <c r="AI109" i="1"/>
  <c r="W177" i="1"/>
  <c r="W87" i="1"/>
  <c r="AI67" i="1"/>
  <c r="W91" i="1"/>
  <c r="W131" i="1"/>
  <c r="W219" i="1"/>
  <c r="U177" i="1"/>
  <c r="S177" i="1" s="1"/>
  <c r="U117" i="1"/>
  <c r="S117" i="1" s="1"/>
  <c r="AI117" i="1"/>
  <c r="U133" i="1"/>
  <c r="S133" i="1" s="1"/>
  <c r="AI133" i="1"/>
  <c r="U37" i="1"/>
  <c r="S37" i="1" s="1"/>
  <c r="AI37" i="1"/>
  <c r="W136" i="1"/>
  <c r="U85" i="1"/>
  <c r="S85" i="1" s="1"/>
  <c r="AI85" i="1"/>
  <c r="W117" i="1"/>
  <c r="AI181" i="1"/>
  <c r="W181" i="1"/>
  <c r="AI189" i="1"/>
  <c r="W189" i="1"/>
  <c r="AI197" i="1"/>
  <c r="W197" i="1"/>
  <c r="W116" i="1"/>
  <c r="U129" i="1"/>
  <c r="S129" i="1" s="1"/>
  <c r="AI129" i="1"/>
  <c r="W165" i="1"/>
  <c r="W185" i="1"/>
  <c r="U97" i="1"/>
  <c r="S97" i="1" s="1"/>
  <c r="AI97" i="1"/>
  <c r="W55" i="1"/>
  <c r="AI91" i="1"/>
  <c r="W187" i="1"/>
  <c r="U131" i="1"/>
  <c r="S131" i="1" s="1"/>
  <c r="U187" i="1"/>
  <c r="S187" i="1" s="1"/>
  <c r="U29" i="1"/>
  <c r="S29" i="1" s="1"/>
  <c r="AI29" i="1"/>
  <c r="U93" i="1"/>
  <c r="S93" i="1" s="1"/>
  <c r="AI93" i="1"/>
  <c r="U99" i="1"/>
  <c r="S99" i="1" s="1"/>
  <c r="W139" i="1"/>
  <c r="W60" i="1"/>
  <c r="W93" i="1"/>
  <c r="U120" i="1"/>
  <c r="S120" i="1" s="1"/>
  <c r="U89" i="1"/>
  <c r="S89" i="1" s="1"/>
  <c r="AI89" i="1"/>
  <c r="U104" i="1"/>
  <c r="S104" i="1" s="1"/>
  <c r="U140" i="1"/>
  <c r="S140" i="1" s="1"/>
  <c r="AI140" i="1"/>
  <c r="W37" i="1"/>
  <c r="W56" i="1"/>
  <c r="U152" i="1"/>
  <c r="S152" i="1" s="1"/>
  <c r="W193" i="1"/>
  <c r="S116" i="1"/>
  <c r="S132" i="1"/>
  <c r="W206" i="1"/>
  <c r="U33" i="1"/>
  <c r="S33" i="1" s="1"/>
  <c r="AI33" i="1"/>
  <c r="W24" i="1"/>
  <c r="U81" i="1"/>
  <c r="S81" i="1" s="1"/>
  <c r="AI81" i="1"/>
  <c r="U15" i="1"/>
  <c r="S15" i="1" s="1"/>
  <c r="W85" i="1"/>
  <c r="U96" i="1"/>
  <c r="S96" i="1" s="1"/>
  <c r="W132" i="1"/>
  <c r="U69" i="1"/>
  <c r="S69" i="1" s="1"/>
  <c r="AI69" i="1"/>
  <c r="U57" i="1"/>
  <c r="S57" i="1" s="1"/>
  <c r="AI57" i="1"/>
  <c r="W92" i="1"/>
  <c r="U121" i="1"/>
  <c r="S121" i="1" s="1"/>
  <c r="AI121" i="1"/>
  <c r="U45" i="1"/>
  <c r="S45" i="1" s="1"/>
  <c r="W89" i="1"/>
  <c r="W121" i="1"/>
  <c r="W140" i="1"/>
  <c r="U153" i="1"/>
  <c r="AI153" i="1"/>
  <c r="W201" i="1"/>
  <c r="AI53" i="1"/>
  <c r="U53" i="1"/>
  <c r="S53" i="1" s="1"/>
  <c r="AI166" i="1"/>
  <c r="U215" i="1"/>
  <c r="S215" i="1" s="1"/>
  <c r="AI111" i="1"/>
  <c r="U111" i="1"/>
  <c r="S111" i="1" s="1"/>
  <c r="AI130" i="1"/>
  <c r="U130" i="1"/>
  <c r="S130" i="1" s="1"/>
  <c r="AI182" i="1"/>
  <c r="U162" i="1"/>
  <c r="S162" i="1" s="1"/>
  <c r="AI190" i="1"/>
  <c r="U170" i="1"/>
  <c r="S170" i="1" s="1"/>
  <c r="AI198" i="1"/>
  <c r="U178" i="1"/>
  <c r="S178" i="1" s="1"/>
  <c r="AI206" i="1"/>
  <c r="U186" i="1"/>
  <c r="S186" i="1" s="1"/>
  <c r="AI214" i="1"/>
  <c r="U194" i="1"/>
  <c r="S194" i="1" s="1"/>
  <c r="AI222" i="1"/>
  <c r="U202" i="1"/>
  <c r="S202" i="1" s="1"/>
  <c r="AI14" i="1"/>
  <c r="U14" i="1"/>
  <c r="S14" i="1" s="1"/>
  <c r="AI30" i="1"/>
  <c r="U30" i="1"/>
  <c r="S30" i="1" s="1"/>
  <c r="AI34" i="1"/>
  <c r="U34" i="1"/>
  <c r="S34" i="1" s="1"/>
  <c r="AI38" i="1"/>
  <c r="U38" i="1"/>
  <c r="S38" i="1" s="1"/>
  <c r="AI42" i="1"/>
  <c r="U42" i="1"/>
  <c r="S42" i="1" s="1"/>
  <c r="AI18" i="1"/>
  <c r="U18" i="1"/>
  <c r="S18" i="1" s="1"/>
  <c r="W42" i="1"/>
  <c r="AI58" i="1"/>
  <c r="U58" i="1"/>
  <c r="S58" i="1" s="1"/>
  <c r="AI150" i="1"/>
  <c r="U150" i="1"/>
  <c r="S150" i="1" s="1"/>
  <c r="AI122" i="1"/>
  <c r="U122" i="1"/>
  <c r="S122" i="1" s="1"/>
  <c r="AI138" i="1"/>
  <c r="U138" i="1"/>
  <c r="S138" i="1" s="1"/>
  <c r="AI154" i="1"/>
  <c r="U154" i="1"/>
  <c r="AI170" i="1"/>
  <c r="U219" i="1"/>
  <c r="S219" i="1" s="1"/>
  <c r="U102" i="1"/>
  <c r="S102" i="1" s="1"/>
  <c r="AI102" i="1"/>
  <c r="AI126" i="1"/>
  <c r="U126" i="1"/>
  <c r="S126" i="1" s="1"/>
  <c r="AI158" i="1"/>
  <c r="U158" i="1"/>
  <c r="S158" i="1" s="1"/>
  <c r="W102" i="1"/>
  <c r="W126" i="1"/>
  <c r="AI145" i="1"/>
  <c r="U145" i="1"/>
  <c r="S145" i="1" s="1"/>
  <c r="U205" i="1"/>
  <c r="S205" i="1" s="1"/>
  <c r="AI225" i="1"/>
  <c r="AI230" i="1"/>
  <c r="U222" i="1"/>
  <c r="S222" i="1" s="1"/>
  <c r="W158" i="1"/>
  <c r="W170" i="1"/>
  <c r="W186" i="1"/>
  <c r="W202" i="1"/>
  <c r="AI72" i="1"/>
  <c r="U72" i="1"/>
  <c r="S72" i="1" s="1"/>
  <c r="U44" i="1"/>
  <c r="S44" i="1" s="1"/>
  <c r="AI44" i="1"/>
  <c r="AI46" i="1"/>
  <c r="U46" i="1"/>
  <c r="S46" i="1" s="1"/>
  <c r="AI22" i="1"/>
  <c r="U22" i="1"/>
  <c r="S22" i="1" s="1"/>
  <c r="AI76" i="1"/>
  <c r="U76" i="1"/>
  <c r="S76" i="1" s="1"/>
  <c r="AI98" i="1"/>
  <c r="U98" i="1"/>
  <c r="S98" i="1" s="1"/>
  <c r="AI86" i="1"/>
  <c r="U86" i="1"/>
  <c r="S86" i="1" s="1"/>
  <c r="W215" i="1"/>
  <c r="AI226" i="1"/>
  <c r="U206" i="1"/>
  <c r="S206" i="1" s="1"/>
  <c r="AI186" i="1"/>
  <c r="U166" i="1"/>
  <c r="S166" i="1" s="1"/>
  <c r="AI194" i="1"/>
  <c r="U174" i="1"/>
  <c r="S174" i="1" s="1"/>
  <c r="AI202" i="1"/>
  <c r="U182" i="1"/>
  <c r="S182" i="1" s="1"/>
  <c r="AI210" i="1"/>
  <c r="U190" i="1"/>
  <c r="S190" i="1" s="1"/>
  <c r="AI218" i="1"/>
  <c r="U198" i="1"/>
  <c r="S198" i="1" s="1"/>
  <c r="AI114" i="1"/>
  <c r="U114" i="1"/>
  <c r="S114" i="1" s="1"/>
  <c r="AI178" i="1"/>
  <c r="U231" i="1"/>
  <c r="S231" i="1" s="1"/>
  <c r="W166" i="1"/>
  <c r="W182" i="1"/>
  <c r="W198" i="1"/>
  <c r="W72" i="1"/>
  <c r="AI118" i="1"/>
  <c r="U118" i="1"/>
  <c r="S118" i="1" s="1"/>
  <c r="AI134" i="1"/>
  <c r="U134" i="1"/>
  <c r="S134" i="1" s="1"/>
  <c r="W111" i="1"/>
  <c r="U110" i="1"/>
  <c r="S110" i="1" s="1"/>
  <c r="AI110" i="1"/>
  <c r="W110" i="1"/>
  <c r="AI82" i="1"/>
  <c r="U82" i="1"/>
  <c r="S82" i="1" s="1"/>
  <c r="AI26" i="1"/>
  <c r="U26" i="1"/>
  <c r="S26" i="1" s="1"/>
  <c r="W34" i="1"/>
  <c r="AI54" i="1"/>
  <c r="U54" i="1"/>
  <c r="S54" i="1" s="1"/>
  <c r="W76" i="1"/>
  <c r="W53" i="1"/>
  <c r="AI62" i="1"/>
  <c r="U62" i="1"/>
  <c r="S62" i="1" s="1"/>
  <c r="AI90" i="1"/>
  <c r="U90" i="1"/>
  <c r="S90" i="1" s="1"/>
  <c r="AI78" i="1"/>
  <c r="U78" i="1"/>
  <c r="S78" i="1" s="1"/>
  <c r="AI94" i="1"/>
  <c r="U94" i="1"/>
  <c r="S94" i="1" s="1"/>
  <c r="U106" i="1"/>
  <c r="S106" i="1" s="1"/>
  <c r="AI106" i="1"/>
  <c r="W130" i="1"/>
  <c r="U70" i="1"/>
  <c r="S70" i="1" s="1"/>
  <c r="AI70" i="1"/>
  <c r="AI162" i="1"/>
  <c r="U211" i="1"/>
  <c r="S211" i="1" s="1"/>
  <c r="AI66" i="1"/>
  <c r="U66" i="1"/>
  <c r="S66" i="1" s="1"/>
  <c r="AI141" i="1"/>
  <c r="U141" i="1"/>
  <c r="S141" i="1" s="1"/>
  <c r="U221" i="1"/>
  <c r="S221" i="1" s="1"/>
  <c r="AI229" i="1"/>
  <c r="W98" i="1"/>
  <c r="U225" i="1"/>
  <c r="S225" i="1" s="1"/>
  <c r="AI172" i="1"/>
  <c r="W162" i="1"/>
  <c r="W178" i="1"/>
  <c r="W194" i="1"/>
  <c r="W205" i="1"/>
  <c r="AC19" i="3"/>
  <c r="AD14" i="3"/>
  <c r="Y19" i="3"/>
  <c r="S153" i="1" l="1"/>
  <c r="AD19" i="3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25" i="3" l="1"/>
  <c r="N42" i="3"/>
  <c r="N11" i="3"/>
  <c r="N22" i="3"/>
  <c r="N23" i="3"/>
  <c r="N29" i="3"/>
  <c r="N43" i="3"/>
  <c r="N40" i="3"/>
  <c r="N34" i="3"/>
  <c r="N27" i="3"/>
  <c r="N39" i="3"/>
  <c r="N32" i="3"/>
  <c r="N33" i="3"/>
  <c r="N35" i="3"/>
  <c r="N37" i="3"/>
  <c r="N26" i="3"/>
  <c r="N38" i="3"/>
  <c r="N31" i="3"/>
  <c r="N7" i="3"/>
  <c r="N10" i="3"/>
  <c r="N17" i="3"/>
  <c r="N8" i="3"/>
  <c r="N15" i="3"/>
  <c r="N20" i="3"/>
  <c r="N9" i="3"/>
  <c r="N16" i="3"/>
  <c r="N18" i="3"/>
  <c r="N12" i="3"/>
  <c r="N28" i="3"/>
  <c r="N24" i="3"/>
  <c r="N41" i="3"/>
  <c r="N14" i="3"/>
  <c r="N13" i="3"/>
  <c r="N21" i="3"/>
  <c r="N30" i="3"/>
  <c r="N36" i="3"/>
  <c r="N19" i="3"/>
  <c r="L13" i="1"/>
  <c r="B82" i="9" l="1"/>
  <c r="B83" i="9"/>
  <c r="B84" i="9"/>
  <c r="B85" i="9"/>
  <c r="B86" i="9"/>
  <c r="B87" i="9"/>
  <c r="C88" i="9" s="1"/>
  <c r="B88" i="9"/>
  <c r="B89" i="9"/>
  <c r="C89" i="9"/>
  <c r="B90" i="9"/>
  <c r="B91" i="9"/>
  <c r="B92" i="9"/>
  <c r="B93" i="9"/>
  <c r="C94" i="9" s="1"/>
  <c r="B94" i="9"/>
  <c r="B95" i="9"/>
  <c r="C95" i="9"/>
  <c r="B96" i="9"/>
  <c r="C97" i="9" s="1"/>
  <c r="B97" i="9"/>
  <c r="C83" i="9" l="1"/>
  <c r="C96" i="9"/>
  <c r="C86" i="9"/>
  <c r="C91" i="9"/>
  <c r="C87" i="9"/>
  <c r="C90" i="9"/>
  <c r="C93" i="9"/>
  <c r="C92" i="9"/>
  <c r="C85" i="9"/>
  <c r="C84" i="9"/>
  <c r="B76" i="9"/>
  <c r="B77" i="9"/>
  <c r="B78" i="9"/>
  <c r="B79" i="9"/>
  <c r="B80" i="9"/>
  <c r="B81" i="9"/>
  <c r="C82" i="9" s="1"/>
  <c r="B4" i="6"/>
  <c r="H4" i="6" s="1"/>
  <c r="K4" i="6"/>
  <c r="B5" i="6"/>
  <c r="F5" i="6" s="1"/>
  <c r="K5" i="6"/>
  <c r="B6" i="6"/>
  <c r="G6" i="6" s="1"/>
  <c r="K6" i="6"/>
  <c r="B7" i="6"/>
  <c r="H7" i="6" s="1"/>
  <c r="K7" i="6"/>
  <c r="B8" i="6"/>
  <c r="H8" i="6" s="1"/>
  <c r="K8" i="6"/>
  <c r="C80" i="9" l="1"/>
  <c r="C81" i="9"/>
  <c r="F6" i="6"/>
  <c r="J7" i="6"/>
  <c r="I4" i="6"/>
  <c r="C77" i="9"/>
  <c r="C79" i="9"/>
  <c r="C78" i="9"/>
  <c r="G8" i="6"/>
  <c r="J8" i="6"/>
  <c r="F8" i="6"/>
  <c r="I7" i="6"/>
  <c r="G4" i="6"/>
  <c r="G7" i="6"/>
  <c r="J6" i="6"/>
  <c r="J4" i="6"/>
  <c r="F4" i="6"/>
  <c r="I8" i="6"/>
  <c r="F7" i="6"/>
  <c r="I6" i="6"/>
  <c r="I5" i="6"/>
  <c r="H5" i="6"/>
  <c r="H6" i="6"/>
  <c r="G5" i="6"/>
  <c r="J5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C76" i="9" s="1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K3" i="6"/>
  <c r="I3" i="6" l="1"/>
  <c r="J3" i="6"/>
  <c r="F3" i="6"/>
  <c r="M30" i="5" l="1"/>
  <c r="M29" i="5"/>
  <c r="M27" i="5"/>
  <c r="F250" i="4" l="1"/>
  <c r="F251" i="4"/>
  <c r="G3" i="6" l="1"/>
  <c r="H3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2" i="4" l="1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<sst xmlns="http://schemas.openxmlformats.org/spreadsheetml/2006/main" count="2633" uniqueCount="969">
  <si>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</si>
  <si>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</si>
  <si>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</si>
  <si>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</si>
  <si>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</si>
  <si>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</si>
  <si>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</si>
  <si>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</si>
  <si>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</si>
  <si>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</si>
  <si>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</si>
  <si>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</si>
  <si>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</si>
  <si>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</si>
  <si>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</si>
  <si>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</si>
  <si>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</si>
  <si>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</si>
  <si>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</si>
  <si>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</si>
  <si>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</si>
  <si>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</si>
  <si>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</si>
  <si>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</si>
  <si>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</si>
  <si>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</si>
  <si>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</si>
  <si>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</si>
  <si>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</si>
  <si>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</si>
  <si>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</si>
  <si>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</si>
  <si>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</si>
  <si>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</si>
  <si>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</si>
  <si>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</si>
  <si>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</si>
  <si>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</si>
  <si>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</si>
  <si>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</si>
  <si>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</si>
  <si>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</si>
  <si>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</si>
  <si>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</si>
  <si>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</si>
  <si>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</si>
  <si>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</si>
  <si>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</si>
  <si>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</si>
  <si>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</si>
  <si>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</si>
  <si>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</si>
  <si>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</si>
  <si>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</si>
  <si>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</si>
  <si>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</si>
  <si>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</si>
  <si>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</si>
  <si>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</si>
  <si>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</si>
  <si>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</si>
  <si>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</si>
  <si>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</si>
  <si>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</si>
  <si>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</si>
  <si>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</si>
  <si>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</si>
  <si>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</si>
  <si>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</si>
  <si>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</si>
  <si>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</si>
  <si>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</si>
  <si>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</si>
  <si>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</si>
  <si>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</si>
  <si>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</si>
  <si>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</si>
  <si>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</si>
  <si>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</si>
  <si>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</si>
  <si>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</si>
  <si>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</si>
  <si>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</si>
  <si>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</si>
  <si>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</si>
  <si>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</si>
  <si>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</si>
  <si>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</si>
  <si>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</si>
  <si>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</si>
  <si>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</si>
  <si>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</si>
  <si>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</si>
  <si>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</si>
  <si>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</si>
  <si>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</si>
  <si>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</si>
  <si>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</si>
  <si>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</si>
  <si>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</si>
  <si>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</si>
  <si>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</si>
  <si>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</si>
  <si>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</si>
  <si>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</si>
  <si>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</si>
  <si>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</si>
  <si>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</si>
  <si>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</si>
  <si>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</si>
  <si>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</si>
  <si>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</si>
  <si>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</si>
  <si>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</si>
  <si>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</si>
  <si>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</si>
  <si>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</si>
  <si>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</si>
  <si>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</si>
  <si>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</si>
  <si>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</si>
  <si>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</si>
  <si>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</si>
  <si>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</si>
  <si>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</si>
  <si>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</si>
  <si>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</si>
  <si>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</si>
  <si>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</si>
  <si>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</si>
  <si>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</si>
  <si>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</si>
  <si>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</si>
  <si>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</si>
  <si>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</si>
  <si>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</si>
  <si>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</si>
  <si>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</si>
  <si>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</si>
  <si>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</si>
  <si>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</si>
  <si>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</si>
  <si>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</si>
  <si>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</si>
  <si>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</si>
  <si>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</si>
  <si>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</si>
  <si>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</si>
  <si>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</si>
  <si>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</si>
  <si>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</si>
  <si>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</si>
  <si>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</si>
  <si>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</si>
  <si>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</si>
  <si>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</si>
  <si>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</si>
  <si>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</si>
  <si>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</si>
  <si>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</si>
  <si>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</si>
  <si>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</si>
  <si>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</si>
  <si>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</si>
  <si>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</si>
  <si>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</si>
  <si>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</si>
  <si>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</si>
  <si>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</si>
  <si>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</si>
  <si>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</si>
  <si>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</si>
  <si>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</si>
  <si>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</si>
  <si>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</si>
  <si>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</si>
  <si>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</si>
  <si>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</si>
  <si>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</si>
  <si>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</si>
  <si>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</si>
  <si>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</si>
  <si>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</si>
  <si>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</si>
  <si>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</si>
  <si>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</si>
  <si>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</si>
  <si>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</si>
  <si>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</si>
  <si>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</si>
  <si>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</si>
  <si>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</si>
  <si>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</si>
  <si>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</si>
  <si>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</si>
  <si>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</si>
  <si>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</si>
  <si>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</si>
  <si>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</si>
  <si>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</si>
  <si>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</si>
  <si>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</si>
  <si>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</si>
  <si>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</si>
  <si>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</si>
  <si>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</si>
  <si>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</si>
  <si>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204:462</t>
  </si>
  <si>
    <t>rtdc.l.rtdc.4011:itc</t>
  </si>
  <si>
    <t>204:464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</si>
  <si>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</si>
  <si>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</si>
  <si>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</si>
  <si>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</si>
  <si>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</si>
  <si>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</si>
  <si>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</si>
  <si>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</si>
  <si>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</si>
  <si>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</si>
  <si>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</si>
  <si>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</si>
  <si>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</si>
  <si>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</si>
  <si>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</si>
  <si>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</si>
  <si>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</si>
  <si>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</si>
  <si>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</si>
  <si>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</si>
  <si>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</si>
  <si>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</si>
  <si>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</si>
  <si>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</si>
  <si>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rtdc.l.rtdc.4014:itc</t>
  </si>
  <si>
    <t>rtdc.l.rtdc.4013:itc</t>
  </si>
  <si>
    <t>204:232975</t>
  </si>
  <si>
    <t>204:232994</t>
  </si>
  <si>
    <t>CLI Grep2 (for slice disagreement)</t>
  </si>
  <si>
    <t>204:232998</t>
  </si>
  <si>
    <t>Y</t>
  </si>
  <si>
    <t>204:147</t>
  </si>
  <si>
    <t>204:232993</t>
  </si>
  <si>
    <t>204:165</t>
  </si>
  <si>
    <t>204:233314</t>
  </si>
  <si>
    <t>204:455</t>
  </si>
  <si>
    <t>rtdc.l.rtdc.4031:itc</t>
  </si>
  <si>
    <t>204:442</t>
  </si>
  <si>
    <t>rtdc.l.rtdc.4046:itc</t>
  </si>
  <si>
    <t>204:460</t>
  </si>
  <si>
    <t>204:233302</t>
  </si>
  <si>
    <t>204:139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</si>
  <si>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</si>
  <si>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</si>
  <si>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</si>
  <si>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</si>
  <si>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</si>
  <si>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</si>
  <si>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</si>
  <si>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204:233308</t>
  </si>
  <si>
    <t>rtdc.l.rtdc.4003:itc</t>
  </si>
  <si>
    <t>rtdc.l.rtdc.4004:itc</t>
  </si>
  <si>
    <t>204:233303</t>
  </si>
  <si>
    <t>204:232989</t>
  </si>
  <si>
    <t>rtdc.l.rtdc.4010:itc</t>
  </si>
  <si>
    <t>204:145</t>
  </si>
  <si>
    <t>204:232996</t>
  </si>
  <si>
    <t>204:232980</t>
  </si>
  <si>
    <t>204:467</t>
  </si>
  <si>
    <t>204:233298</t>
  </si>
  <si>
    <t>300:58611</t>
  </si>
  <si>
    <t>rtdc.l.rtdc.4032:itc</t>
  </si>
  <si>
    <t>242-25</t>
  </si>
  <si>
    <t>CHANDLER</t>
  </si>
  <si>
    <t>LALONDE</t>
  </si>
  <si>
    <t>81-25</t>
  </si>
  <si>
    <t>80-25</t>
  </si>
  <si>
    <t>245-25</t>
  </si>
  <si>
    <t>309-25</t>
  </si>
  <si>
    <t>244-25</t>
  </si>
  <si>
    <t>311-25</t>
  </si>
  <si>
    <t>246-25</t>
  </si>
  <si>
    <t>313-25</t>
  </si>
  <si>
    <t>315-25</t>
  </si>
  <si>
    <t>204:233301</t>
  </si>
  <si>
    <t>partly-cloudy-night</t>
  </si>
  <si>
    <t>partly-cloudy-day</t>
  </si>
  <si>
    <t>204:160</t>
  </si>
  <si>
    <t>204:232982</t>
  </si>
  <si>
    <t>204:458</t>
  </si>
  <si>
    <t>204:233325</t>
  </si>
  <si>
    <t>rtdc.l.rtdc.4016:itc</t>
  </si>
  <si>
    <t>rtdc.l.rtdc.4001:itc</t>
  </si>
  <si>
    <t>LEVERE</t>
  </si>
  <si>
    <t>COOLAHAN</t>
  </si>
  <si>
    <t>204:163</t>
  </si>
  <si>
    <t>204:233297</t>
  </si>
  <si>
    <t>:.+((SYSTEM_STATE.+slice.+state.+changed )|(ment ac)|(multiple cpu faults)|(system.+state.+changed )|(\[timeout)|(PRM\|1\|D)|(kpr)|(kdp)|(\|lc)|(penalty))</t>
  </si>
  <si>
    <t>rtdc.l.rtdc.4008:itc</t>
  </si>
  <si>
    <t>rtdc.l.rtdc.4007:itc</t>
  </si>
  <si>
    <t>PERKINS</t>
  </si>
  <si>
    <t>SPECTOR</t>
  </si>
  <si>
    <t>BONDS</t>
  </si>
  <si>
    <t>YANAI</t>
  </si>
  <si>
    <t>Partly Cloudy</t>
  </si>
  <si>
    <t>204:233013</t>
  </si>
  <si>
    <t>204:152</t>
  </si>
  <si>
    <t>204:233011</t>
  </si>
  <si>
    <t>204:437</t>
  </si>
  <si>
    <t>204:233280</t>
  </si>
  <si>
    <t>204:978</t>
  </si>
  <si>
    <t>300:58935</t>
  </si>
  <si>
    <t>300:58636</t>
  </si>
  <si>
    <t>rtdc.l.rtdc.4030:itc</t>
  </si>
  <si>
    <t>GRADE CROSSING</t>
  </si>
  <si>
    <t>Bulletin (2)</t>
  </si>
  <si>
    <t>rtdc.l.rtdc.4029:itc</t>
  </si>
  <si>
    <t>TEMPORARY SPEED RESTRICTION</t>
  </si>
  <si>
    <t>rtdc.l.rtdc.4021:itc</t>
  </si>
  <si>
    <t>rtdc.l.rtdc.4043:itc</t>
  </si>
  <si>
    <t>STORY</t>
  </si>
  <si>
    <t>204:233310</t>
  </si>
  <si>
    <t>204:233005</t>
  </si>
  <si>
    <t>204:233312</t>
  </si>
  <si>
    <t>204:233321</t>
  </si>
  <si>
    <t>204:233008</t>
  </si>
  <si>
    <t>204:169</t>
  </si>
  <si>
    <t>204:431</t>
  </si>
  <si>
    <t>ADANE</t>
  </si>
  <si>
    <t>MOSES</t>
  </si>
  <si>
    <t>BROWN</t>
  </si>
  <si>
    <t>204:446</t>
  </si>
  <si>
    <t>204:232987</t>
  </si>
  <si>
    <t>204:233311</t>
  </si>
  <si>
    <t>204:233305</t>
  </si>
  <si>
    <t>204:233003</t>
  </si>
  <si>
    <t>204:233021</t>
  </si>
  <si>
    <t>204:232991</t>
  </si>
  <si>
    <t>204:755</t>
  </si>
  <si>
    <t>204:1049</t>
  </si>
  <si>
    <t>204:664</t>
  </si>
  <si>
    <t>JOHN</t>
  </si>
  <si>
    <t>IAN</t>
  </si>
  <si>
    <t>MICHAEL</t>
  </si>
  <si>
    <t>DAVID</t>
  </si>
  <si>
    <t>AEIMEN</t>
  </si>
  <si>
    <t>DARREN</t>
  </si>
  <si>
    <t>REYNALDO</t>
  </si>
  <si>
    <t>ELSHADAY</t>
  </si>
  <si>
    <t>SAMANTHA</t>
  </si>
  <si>
    <t>BRADLEY</t>
  </si>
  <si>
    <t>CRAIG</t>
  </si>
  <si>
    <t>JACOB</t>
  </si>
  <si>
    <t>SCOTT</t>
  </si>
  <si>
    <t>JAMES</t>
  </si>
  <si>
    <t>Last + First</t>
  </si>
  <si>
    <t>Employee First Name</t>
  </si>
  <si>
    <t>SWITCH UNKNOWN</t>
  </si>
  <si>
    <t>Track device (7)</t>
  </si>
  <si>
    <t>rtdc.l.rtdc.4015:itc</t>
  </si>
  <si>
    <t>rtdc.l.rtdc.4017:itc</t>
  </si>
  <si>
    <t>242-01</t>
  </si>
  <si>
    <t>240-01</t>
  </si>
  <si>
    <t>ROBINSON</t>
  </si>
  <si>
    <t>KADDIBA</t>
  </si>
  <si>
    <t>STRICKLAND</t>
  </si>
  <si>
    <t>EVAN</t>
  </si>
  <si>
    <t>rtdc.l.rtdc.4028:itc</t>
  </si>
  <si>
    <t>rtdc.l.rtdc.4027:itc</t>
  </si>
  <si>
    <t>YORK</t>
  </si>
  <si>
    <t>EDGAR</t>
  </si>
  <si>
    <t>GRASTON</t>
  </si>
  <si>
    <t>MATHEU</t>
  </si>
  <si>
    <t>rtdc.l.rtdc.4019:itc</t>
  </si>
  <si>
    <t>SHOOK</t>
  </si>
  <si>
    <t>rtdc.l.rtdc.4018:itc</t>
  </si>
  <si>
    <t>MACDONALD</t>
  </si>
  <si>
    <t>THOMAS</t>
  </si>
  <si>
    <t>GREGORY</t>
  </si>
  <si>
    <t>235-01</t>
  </si>
  <si>
    <t>232-01</t>
  </si>
  <si>
    <t>908-01</t>
  </si>
  <si>
    <t>237-01</t>
  </si>
  <si>
    <t>234-01</t>
  </si>
  <si>
    <t>236-01</t>
  </si>
  <si>
    <t>239-01</t>
  </si>
  <si>
    <t>238-01</t>
  </si>
  <si>
    <t>241-01</t>
  </si>
  <si>
    <t>243-01</t>
  </si>
  <si>
    <t>309-01</t>
  </si>
  <si>
    <t>311-01</t>
  </si>
  <si>
    <t>244-01</t>
  </si>
  <si>
    <t>313-01</t>
  </si>
  <si>
    <t>Mostly Cloudy</t>
  </si>
  <si>
    <t>204:469</t>
  </si>
  <si>
    <t>204:233282</t>
  </si>
  <si>
    <t>204:167</t>
  </si>
  <si>
    <t>204:233000</t>
  </si>
  <si>
    <t>204:232978</t>
  </si>
  <si>
    <t>204:232971</t>
  </si>
  <si>
    <t>204:233332</t>
  </si>
  <si>
    <t>204:233028</t>
  </si>
  <si>
    <t>204:233023</t>
  </si>
  <si>
    <t>204:233323</t>
  </si>
  <si>
    <t>204:232976</t>
  </si>
  <si>
    <t>204:233327</t>
  </si>
  <si>
    <t>204:902</t>
  </si>
  <si>
    <t>204:233336</t>
  </si>
  <si>
    <t>204:233324</t>
  </si>
  <si>
    <t>204:232983</t>
  </si>
  <si>
    <t>204:114</t>
  </si>
  <si>
    <t>204:233340</t>
  </si>
  <si>
    <t>300:23308</t>
  </si>
  <si>
    <t>204:1203</t>
  </si>
  <si>
    <t>300:23310</t>
  </si>
  <si>
    <t>300:58928</t>
  </si>
  <si>
    <t>204:743</t>
  </si>
  <si>
    <t>300:58619</t>
  </si>
  <si>
    <t>300:58926</t>
  </si>
  <si>
    <t>300:58617</t>
  </si>
  <si>
    <t>204:731</t>
  </si>
  <si>
    <t>204:1025</t>
  </si>
  <si>
    <t>300:58941</t>
  </si>
  <si>
    <t>300:58626</t>
  </si>
  <si>
    <t>300:58613</t>
  </si>
  <si>
    <t>204:974</t>
  </si>
  <si>
    <t>300:58924</t>
  </si>
  <si>
    <t>204:754</t>
  </si>
  <si>
    <t>300:58944</t>
  </si>
  <si>
    <t>300:58621</t>
  </si>
  <si>
    <t>300:58609</t>
  </si>
  <si>
    <t>204:951</t>
  </si>
  <si>
    <t>117-02</t>
  </si>
  <si>
    <t>803-02</t>
  </si>
  <si>
    <t>804-02</t>
  </si>
  <si>
    <t>806-02</t>
  </si>
  <si>
    <t>122-02</t>
  </si>
  <si>
    <t>809-02</t>
  </si>
  <si>
    <t>126-02</t>
  </si>
  <si>
    <t>141-02</t>
  </si>
  <si>
    <t>813-02</t>
  </si>
  <si>
    <t>153-02</t>
  </si>
  <si>
    <t>rtdc.l.rtdc.4054:itc</t>
  </si>
  <si>
    <t>52-02</t>
  </si>
  <si>
    <t>156-02</t>
  </si>
  <si>
    <t>169-02</t>
  </si>
  <si>
    <t>171-02</t>
  </si>
  <si>
    <t>164-02</t>
  </si>
  <si>
    <t>181-02</t>
  </si>
  <si>
    <t>185-02</t>
  </si>
  <si>
    <t>178-02</t>
  </si>
  <si>
    <t>825-02</t>
  </si>
  <si>
    <t>193-02</t>
  </si>
  <si>
    <t>828-02</t>
  </si>
  <si>
    <t>211-02</t>
  </si>
  <si>
    <t>68-02</t>
  </si>
  <si>
    <t>225-02</t>
  </si>
  <si>
    <t>224-02</t>
  </si>
  <si>
    <t>230-02</t>
  </si>
  <si>
    <t>241-02</t>
  </si>
  <si>
    <t>240-02</t>
  </si>
  <si>
    <t>309-02</t>
  </si>
  <si>
    <t>242-02</t>
  </si>
  <si>
    <t>302-02</t>
  </si>
  <si>
    <t>101-02</t>
  </si>
  <si>
    <t>304-02</t>
  </si>
  <si>
    <t>DAVIS</t>
  </si>
  <si>
    <t>WENDY</t>
  </si>
  <si>
    <t>103-02</t>
  </si>
  <si>
    <t>306-02</t>
  </si>
  <si>
    <t>102-02</t>
  </si>
  <si>
    <t>105-02</t>
  </si>
  <si>
    <t>308-02</t>
  </si>
  <si>
    <t>BRANNON</t>
  </si>
  <si>
    <t>JEFFREY</t>
  </si>
  <si>
    <t>107-02</t>
  </si>
  <si>
    <t>310-02</t>
  </si>
  <si>
    <t>MAGEE</t>
  </si>
  <si>
    <t>KENYA</t>
  </si>
  <si>
    <t>104-02</t>
  </si>
  <si>
    <t>109-02</t>
  </si>
  <si>
    <t>901-02</t>
  </si>
  <si>
    <t>111-02</t>
  </si>
  <si>
    <t>106-02</t>
  </si>
  <si>
    <t>113-02</t>
  </si>
  <si>
    <t>800-02</t>
  </si>
  <si>
    <t>108-02</t>
  </si>
  <si>
    <t>115-02</t>
  </si>
  <si>
    <t>801-02</t>
  </si>
  <si>
    <t>110-02</t>
  </si>
  <si>
    <t>112-02</t>
  </si>
  <si>
    <t>119-02</t>
  </si>
  <si>
    <t>902-02</t>
  </si>
  <si>
    <t>121-02</t>
  </si>
  <si>
    <t>114-02</t>
  </si>
  <si>
    <t>802-02</t>
  </si>
  <si>
    <t>116-02</t>
  </si>
  <si>
    <t>123-02</t>
  </si>
  <si>
    <t>118-02</t>
  </si>
  <si>
    <t>805-02</t>
  </si>
  <si>
    <t>125-02</t>
  </si>
  <si>
    <t>120-02</t>
  </si>
  <si>
    <t>127-02</t>
  </si>
  <si>
    <t>807-02</t>
  </si>
  <si>
    <t>129-02</t>
  </si>
  <si>
    <t>124-02</t>
  </si>
  <si>
    <t>131-02</t>
  </si>
  <si>
    <t>808-02</t>
  </si>
  <si>
    <t>133-02</t>
  </si>
  <si>
    <t>135-02</t>
  </si>
  <si>
    <t>128-02</t>
  </si>
  <si>
    <t>130-02</t>
  </si>
  <si>
    <t>811-02</t>
  </si>
  <si>
    <t>137-02</t>
  </si>
  <si>
    <t>810-02</t>
  </si>
  <si>
    <t>132-02</t>
  </si>
  <si>
    <t>139-02</t>
  </si>
  <si>
    <t>903-02</t>
  </si>
  <si>
    <t>134-02</t>
  </si>
  <si>
    <t>136-02</t>
  </si>
  <si>
    <t>812-02</t>
  </si>
  <si>
    <t>143-02</t>
  </si>
  <si>
    <t>138-02</t>
  </si>
  <si>
    <t>145-02</t>
  </si>
  <si>
    <t>140-02</t>
  </si>
  <si>
    <t>147-02</t>
  </si>
  <si>
    <t>142-02</t>
  </si>
  <si>
    <t>149-02</t>
  </si>
  <si>
    <t>814-02</t>
  </si>
  <si>
    <t>151-02</t>
  </si>
  <si>
    <t>144-02</t>
  </si>
  <si>
    <t>815-02</t>
  </si>
  <si>
    <t>146-02</t>
  </si>
  <si>
    <t>148-02</t>
  </si>
  <si>
    <t>155-02</t>
  </si>
  <si>
    <t>50-02</t>
  </si>
  <si>
    <t>150-02</t>
  </si>
  <si>
    <t>157-02</t>
  </si>
  <si>
    <t>816-02</t>
  </si>
  <si>
    <t>152-02</t>
  </si>
  <si>
    <t>159-02</t>
  </si>
  <si>
    <t>STEWART</t>
  </si>
  <si>
    <t>SMITH</t>
  </si>
  <si>
    <t>154-02</t>
  </si>
  <si>
    <t>161-02</t>
  </si>
  <si>
    <t>CLARK</t>
  </si>
  <si>
    <t>KATHLEEN</t>
  </si>
  <si>
    <t>51-02</t>
  </si>
  <si>
    <t>CUSHING</t>
  </si>
  <si>
    <t>HARRY</t>
  </si>
  <si>
    <t>817-02</t>
  </si>
  <si>
    <t>163-02</t>
  </si>
  <si>
    <t>158-02</t>
  </si>
  <si>
    <t>rtdc.l.rtdc.4053:itc</t>
  </si>
  <si>
    <t>53-02</t>
  </si>
  <si>
    <t>165-02</t>
  </si>
  <si>
    <t>818-02</t>
  </si>
  <si>
    <t>160-02</t>
  </si>
  <si>
    <t>167-02</t>
  </si>
  <si>
    <t>819-02</t>
  </si>
  <si>
    <t>162-02</t>
  </si>
  <si>
    <t>166-02</t>
  </si>
  <si>
    <t>820-02</t>
  </si>
  <si>
    <t>173-02</t>
  </si>
  <si>
    <t>168-02</t>
  </si>
  <si>
    <t>175-02</t>
  </si>
  <si>
    <t>177-02</t>
  </si>
  <si>
    <t>170-02</t>
  </si>
  <si>
    <t>821-02</t>
  </si>
  <si>
    <t>172-02</t>
  </si>
  <si>
    <t>179-02</t>
  </si>
  <si>
    <t>822-02</t>
  </si>
  <si>
    <t>174-02</t>
  </si>
  <si>
    <t>176-02</t>
  </si>
  <si>
    <t>183-02</t>
  </si>
  <si>
    <t>823-02</t>
  </si>
  <si>
    <t>180-02</t>
  </si>
  <si>
    <t>187-02</t>
  </si>
  <si>
    <t>182-02</t>
  </si>
  <si>
    <t>189-02</t>
  </si>
  <si>
    <t>824-02</t>
  </si>
  <si>
    <t>191-02</t>
  </si>
  <si>
    <t>184-02</t>
  </si>
  <si>
    <t>186-02</t>
  </si>
  <si>
    <t>904-02</t>
  </si>
  <si>
    <t>NEWELL</t>
  </si>
  <si>
    <t>195-02</t>
  </si>
  <si>
    <t>188-02</t>
  </si>
  <si>
    <t>827-02</t>
  </si>
  <si>
    <t>190-02</t>
  </si>
  <si>
    <t>826-02</t>
  </si>
  <si>
    <t>197-02</t>
  </si>
  <si>
    <t>192-02</t>
  </si>
  <si>
    <t>199-02</t>
  </si>
  <si>
    <t>194-02</t>
  </si>
  <si>
    <t>201-02</t>
  </si>
  <si>
    <t>829-02</t>
  </si>
  <si>
    <t>196-02</t>
  </si>
  <si>
    <t>203-02</t>
  </si>
  <si>
    <t>831-02</t>
  </si>
  <si>
    <t>198-02</t>
  </si>
  <si>
    <t>205-02</t>
  </si>
  <si>
    <t>830-02</t>
  </si>
  <si>
    <t>200-02</t>
  </si>
  <si>
    <t>207-02</t>
  </si>
  <si>
    <t>832-02</t>
  </si>
  <si>
    <t>202-02</t>
  </si>
  <si>
    <t>209-02</t>
  </si>
  <si>
    <t>833-02</t>
  </si>
  <si>
    <t>65-02</t>
  </si>
  <si>
    <t>204-02</t>
  </si>
  <si>
    <t>206-02</t>
  </si>
  <si>
    <t>835-02</t>
  </si>
  <si>
    <t>834-02</t>
  </si>
  <si>
    <t>213-02</t>
  </si>
  <si>
    <t>KELVIN</t>
  </si>
  <si>
    <t>208-02</t>
  </si>
  <si>
    <t>215-02</t>
  </si>
  <si>
    <t>210-02</t>
  </si>
  <si>
    <t>72-02</t>
  </si>
  <si>
    <t>836-02</t>
  </si>
  <si>
    <t>837-02</t>
  </si>
  <si>
    <t>217-02</t>
  </si>
  <si>
    <t>69-02</t>
  </si>
  <si>
    <t>212-02</t>
  </si>
  <si>
    <t>214-02</t>
  </si>
  <si>
    <t>219-02</t>
  </si>
  <si>
    <t>839-02</t>
  </si>
  <si>
    <t>838-02</t>
  </si>
  <si>
    <t>303-02</t>
  </si>
  <si>
    <t>221-02</t>
  </si>
  <si>
    <t>216-02</t>
  </si>
  <si>
    <t>906-02</t>
  </si>
  <si>
    <t>218-02</t>
  </si>
  <si>
    <t>305-02</t>
  </si>
  <si>
    <t>841-02</t>
  </si>
  <si>
    <t>220-02</t>
  </si>
  <si>
    <t>223-02</t>
  </si>
  <si>
    <t>840-02</t>
  </si>
  <si>
    <t>307-02</t>
  </si>
  <si>
    <t>222-02</t>
  </si>
  <si>
    <t>843-02</t>
  </si>
  <si>
    <t>227-02</t>
  </si>
  <si>
    <t>842-02</t>
  </si>
  <si>
    <t>229-02</t>
  </si>
  <si>
    <t>226-02</t>
  </si>
  <si>
    <t>845-02</t>
  </si>
  <si>
    <t>231-02</t>
  </si>
  <si>
    <t>228-02</t>
  </si>
  <si>
    <t>844-02</t>
  </si>
  <si>
    <t>233-02</t>
  </si>
  <si>
    <t>847-02</t>
  </si>
  <si>
    <t>235-02</t>
  </si>
  <si>
    <t>232-02</t>
  </si>
  <si>
    <t>846-02</t>
  </si>
  <si>
    <t>237-02</t>
  </si>
  <si>
    <t>849-02</t>
  </si>
  <si>
    <t>239-02</t>
  </si>
  <si>
    <t>236-02</t>
  </si>
  <si>
    <t>238-02</t>
  </si>
  <si>
    <t>243-02</t>
  </si>
  <si>
    <t>245-02</t>
  </si>
  <si>
    <t>244-02</t>
  </si>
  <si>
    <t>311-02</t>
  </si>
  <si>
    <t>246-02</t>
  </si>
  <si>
    <t>313-02</t>
  </si>
  <si>
    <t>315-02</t>
  </si>
  <si>
    <t>precipAccumulation</t>
  </si>
  <si>
    <t>precipType</t>
  </si>
  <si>
    <t>rain</t>
  </si>
  <si>
    <t>snow</t>
  </si>
  <si>
    <t>Light Snow</t>
  </si>
  <si>
    <t>Flurries</t>
  </si>
  <si>
    <t>clear-night</t>
  </si>
  <si>
    <t>Clear</t>
  </si>
  <si>
    <t>204:728</t>
  </si>
  <si>
    <t>204:233342</t>
  </si>
  <si>
    <t>204:232711</t>
  </si>
  <si>
    <t>204:724</t>
  </si>
  <si>
    <t>204:232698</t>
  </si>
  <si>
    <t>204:121</t>
  </si>
  <si>
    <t>204:690</t>
  </si>
  <si>
    <t>204:232677</t>
  </si>
  <si>
    <t>204:730</t>
  </si>
  <si>
    <t>204:233001</t>
  </si>
  <si>
    <t>204:233317</t>
  </si>
  <si>
    <t>204:415</t>
  </si>
  <si>
    <t>204:136</t>
  </si>
  <si>
    <t>204:739</t>
  </si>
  <si>
    <t>204:134</t>
  </si>
  <si>
    <t>204:172</t>
  </si>
  <si>
    <t>204:444</t>
  </si>
  <si>
    <t>204:233293</t>
  </si>
  <si>
    <t>204:233338</t>
  </si>
  <si>
    <t>204:233002</t>
  </si>
  <si>
    <t>204:233357</t>
  </si>
  <si>
    <t>204:488</t>
  </si>
  <si>
    <t>204:440</t>
  </si>
  <si>
    <t>204:233304</t>
  </si>
  <si>
    <t>204:233339</t>
  </si>
  <si>
    <t>204:138</t>
  </si>
  <si>
    <t>204:232984</t>
  </si>
  <si>
    <t>204:216</t>
  </si>
  <si>
    <t>204:435</t>
  </si>
  <si>
    <t>204:528</t>
  </si>
  <si>
    <t>204:233330</t>
  </si>
  <si>
    <t>204:233007</t>
  </si>
  <si>
    <t>204:209</t>
  </si>
  <si>
    <t>204:233326</t>
  </si>
  <si>
    <t>204:233362</t>
  </si>
  <si>
    <t>204:233055</t>
  </si>
  <si>
    <t>204:233291</t>
  </si>
  <si>
    <t>204:232986</t>
  </si>
  <si>
    <t>204:233295</t>
  </si>
  <si>
    <t>204:170</t>
  </si>
  <si>
    <t>204:506</t>
  </si>
  <si>
    <t>204:232965</t>
  </si>
  <si>
    <t>204:233380</t>
  </si>
  <si>
    <t>204:233053</t>
  </si>
  <si>
    <t>204:233360</t>
  </si>
  <si>
    <t>204:233038</t>
  </si>
  <si>
    <t>204:233270</t>
  </si>
  <si>
    <t>204:232952</t>
  </si>
  <si>
    <t>204:475</t>
  </si>
  <si>
    <t>204:233374</t>
  </si>
  <si>
    <t>204:233048</t>
  </si>
  <si>
    <t>204:233300</t>
  </si>
  <si>
    <t>204:480</t>
  </si>
  <si>
    <t>204:233318</t>
  </si>
  <si>
    <t>204:88</t>
  </si>
  <si>
    <t>204:353</t>
  </si>
  <si>
    <t>204:453</t>
  </si>
  <si>
    <t>204:491</t>
  </si>
  <si>
    <t>204:409</t>
  </si>
  <si>
    <t>204:677</t>
  </si>
  <si>
    <t>204:232690</t>
  </si>
  <si>
    <t>204:116</t>
  </si>
  <si>
    <t>204:781</t>
  </si>
  <si>
    <t>204:233331</t>
  </si>
  <si>
    <t>204:232694</t>
  </si>
  <si>
    <t>204:679</t>
  </si>
  <si>
    <t>204:232683</t>
  </si>
  <si>
    <t>204:699</t>
  </si>
  <si>
    <t>204:233378</t>
  </si>
  <si>
    <t>204:232740</t>
  </si>
  <si>
    <t>204:1928</t>
  </si>
  <si>
    <t>204:748</t>
  </si>
  <si>
    <t>204:232689</t>
  </si>
  <si>
    <t>204:232687</t>
  </si>
  <si>
    <t>204:231</t>
  </si>
  <si>
    <t>204:2587</t>
  </si>
  <si>
    <t>204:3173</t>
  </si>
  <si>
    <t>204:64706</t>
  </si>
  <si>
    <t>204:774</t>
  </si>
  <si>
    <t>204:726</t>
  </si>
  <si>
    <t>204:233353</t>
  </si>
  <si>
    <t>204:232723</t>
  </si>
  <si>
    <t>300:22817</t>
  </si>
  <si>
    <t>204:103</t>
  </si>
  <si>
    <t>300:23293</t>
  </si>
  <si>
    <t>300:23180</t>
  </si>
  <si>
    <t>204:109</t>
  </si>
  <si>
    <t>300:23211</t>
  </si>
  <si>
    <t>204:79</t>
  </si>
  <si>
    <t>300:23622</t>
  </si>
  <si>
    <t>204:130</t>
  </si>
  <si>
    <t>204:892</t>
  </si>
  <si>
    <t>300:23132</t>
  </si>
  <si>
    <t>300:23510</t>
  </si>
  <si>
    <t>300:22850</t>
  </si>
  <si>
    <t>204:1302</t>
  </si>
  <si>
    <t>300:23297</t>
  </si>
  <si>
    <t>204:765</t>
  </si>
  <si>
    <t>300:23312</t>
  </si>
  <si>
    <t>300:21926</t>
  </si>
  <si>
    <t>204:120</t>
  </si>
  <si>
    <t>204:412</t>
  </si>
  <si>
    <t>300:24229</t>
  </si>
  <si>
    <t>300:22181</t>
  </si>
  <si>
    <t>204:1216</t>
  </si>
  <si>
    <t>300:24205</t>
  </si>
  <si>
    <t>204:1490</t>
  </si>
  <si>
    <t>300:23161</t>
  </si>
  <si>
    <t>204:350</t>
  </si>
  <si>
    <t>300:21795</t>
  </si>
  <si>
    <t>204:1873</t>
  </si>
  <si>
    <t>204:1055</t>
  </si>
  <si>
    <t>300:58939</t>
  </si>
  <si>
    <t>204:719</t>
  </si>
  <si>
    <t>204:1032</t>
  </si>
  <si>
    <t>300:58920</t>
  </si>
  <si>
    <t>300:58600</t>
  </si>
  <si>
    <t>204:1039</t>
  </si>
  <si>
    <t>300:58948</t>
  </si>
  <si>
    <t>204:761</t>
  </si>
  <si>
    <t>204:1016</t>
  </si>
  <si>
    <t>204:727</t>
  </si>
  <si>
    <t>204:1062</t>
  </si>
  <si>
    <t>300:58602</t>
  </si>
  <si>
    <t>204:792</t>
  </si>
  <si>
    <t>204:1014</t>
  </si>
  <si>
    <t>300:58933</t>
  </si>
  <si>
    <t>300:58606</t>
  </si>
  <si>
    <t>204:1007</t>
  </si>
  <si>
    <t>204:736</t>
  </si>
  <si>
    <t>204:1018</t>
  </si>
  <si>
    <t>204:673</t>
  </si>
  <si>
    <t>300:58598</t>
  </si>
  <si>
    <t>204:752</t>
  </si>
  <si>
    <t>204:757</t>
  </si>
  <si>
    <t>204:1037</t>
  </si>
  <si>
    <t>204:750</t>
  </si>
  <si>
    <t>204:1046</t>
  </si>
  <si>
    <t>300:58632</t>
  </si>
  <si>
    <t>204:759</t>
  </si>
  <si>
    <t>204:948</t>
  </si>
  <si>
    <t>204:661</t>
  </si>
  <si>
    <t>300:58918</t>
  </si>
  <si>
    <t>204:1034</t>
  </si>
  <si>
    <t>300:58608</t>
  </si>
  <si>
    <t>204:957</t>
  </si>
  <si>
    <t>300:58912</t>
  </si>
  <si>
    <t>204:666</t>
  </si>
  <si>
    <t>300:58914</t>
  </si>
  <si>
    <t>204:696</t>
  </si>
  <si>
    <t>300:58950</t>
  </si>
  <si>
    <t>204:652</t>
  </si>
  <si>
    <t>204:967</t>
  </si>
  <si>
    <t>300:58916</t>
  </si>
  <si>
    <t>300:23324</t>
  </si>
  <si>
    <t>204:722</t>
  </si>
  <si>
    <t>300:31848</t>
  </si>
  <si>
    <t>300:23646</t>
  </si>
  <si>
    <t>300:28778</t>
  </si>
  <si>
    <t>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 &amp; 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</t>
  </si>
  <si>
    <t>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 &amp; aws s3 cp s3://rtdc.mdm.uploadarchive.raw/RTDC4011/ "%USERPROFILE%\AppData\Local\Temp\OnboardLogs"\RTDC4011\2016-12-04 --exclude "*" --recursive --include "*20161204*" &amp; "%USERPROFILE%\Documents\GitHub\mrs-test-scripts\Headless Mode &amp; Sideloading\WalkAndUnGZ.bat" "%USERPROFILE%\AppData\Local\Temp\OnboardLogs"\RTDC4011\2016-12-04</t>
  </si>
  <si>
    <t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t>
  </si>
  <si>
    <t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t>
  </si>
  <si>
    <t>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 &amp; 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</t>
  </si>
  <si>
    <t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t>
  </si>
  <si>
    <t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t>
  </si>
  <si>
    <t>aws s3 cp s3://rtdc.mdm.uploadarchive.raw/RTDC4042/ "%USERPROFILE%\AppData\Local\Temp\OnboardLogs"\RTDC4042\2016-12-02 --exclude "*" --recursive --include "*20161202*" &amp; "%USERPROFILE%\Documents\GitHub\mrs-test-scripts\Headless Mode &amp; Sideloading\WalkAndUnGZ.bat" "%USERPROFILE%\AppData\Local\Temp\OnboardLogs"\RTDC4042\2016-12-02 &amp; 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</t>
  </si>
  <si>
    <t>aws s3 cp s3://rtdc.mdm.uploadarchive.raw/RTDC4027/ "%USERPROFILE%\AppData\Local\Temp\OnboardLogs"\RTDC4027\2016-12-02 --exclude "*" --recursive --include "*20161202*" &amp; "%USERPROFILE%\Documents\GitHub\mrs-test-scripts\Headless Mode &amp; Sideloading\WalkAndUnGZ.bat" "%USERPROFILE%\AppData\Local\Temp\OnboardLogs"\RTDC4027\2016-12-02 &amp; 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</t>
  </si>
  <si>
    <t>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 &amp; aws s3 cp s3://rtdc.mdm.uploadarchive.raw/RTDC4012/ "%USERPROFILE%\AppData\Local\Temp\OnboardLogs"\RTDC4012\2016-12-04 --exclude "*" --recursive --include "*20161204*" &amp; "%USERPROFILE%\Documents\GitHub\mrs-test-scripts\Headless Mode &amp; Sideloading\WalkAndUnGZ.bat" "%USERPROFILE%\AppData\Local\Temp\OnboardLogs"\RTDC4012\2016-12-04</t>
  </si>
  <si>
    <t>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 &amp; 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</t>
  </si>
  <si>
    <t>aws s3 cp s3://rtdc.mdm.uploadarchive.raw/RTDC4014/ "%USERPROFILE%\AppData\Local\Temp\OnboardLogs"\RTDC4014\2016-12-02 --exclude "*" --recursive --include "*20161202*" &amp; "%USERPROFILE%\Documents\GitHub\mrs-test-scripts\Headless Mode &amp; Sideloading\WalkAndUnGZ.bat" "%USERPROFILE%\AppData\Local\Temp\OnboardLogs"\RTDC4014\2016-12-02 &amp; 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</t>
  </si>
  <si>
    <t>aws s3 cp s3://rtdc.mdm.uploadarchive.raw/RTDC4019/ "%USERPROFILE%\AppData\Local\Temp\OnboardLogs"\RTDC4019\2016-12-02 --exclude "*" --recursive --include "*20161202*" &amp; "%USERPROFILE%\Documents\GitHub\mrs-test-scripts\Headless Mode &amp; Sideloading\WalkAndUnGZ.bat" "%USERPROFILE%\AppData\Local\Temp\OnboardLogs"\RTDC4019\2016-12-02 &amp; 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</t>
  </si>
  <si>
    <t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t>
  </si>
  <si>
    <t>aws s3 cp s3://rtdc.mdm.uploadarchive.raw/RTDC4041/ "%USERPROFILE%\AppData\Local\Temp\OnboardLogs"\RTDC4041\2016-12-02 --exclude "*" --recursive --include "*20161202*" &amp; "%USERPROFILE%\Documents\GitHub\mrs-test-scripts\Headless Mode &amp; Sideloading\WalkAndUnGZ.bat" "%USERPROFILE%\AppData\Local\Temp\OnboardLogs"\RTDC4041\2016-12-02 &amp; 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</t>
  </si>
  <si>
    <t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t>
  </si>
  <si>
    <t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t>
  </si>
  <si>
    <t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t>
  </si>
  <si>
    <t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t>
  </si>
  <si>
    <t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t>
  </si>
  <si>
    <t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t>
  </si>
  <si>
    <t>Wheel tach fault</t>
  </si>
  <si>
    <t>Went active too close to signal</t>
  </si>
  <si>
    <t>Onboard in-route failure</t>
  </si>
  <si>
    <t>234-02</t>
  </si>
  <si>
    <t>Extended Onboard Wi-MAX outage</t>
  </si>
  <si>
    <t>Early arrival</t>
  </si>
  <si>
    <t>At 17:46:11, EC0816RH 75-1T 1N dropped from 270 to STOP &amp; PROCEED. Do logs show anything going wrong during this time?</t>
  </si>
  <si>
    <t>Code 9 issue at EC0816RH 75-1T 1N</t>
  </si>
  <si>
    <t>Wi-MAX data drop</t>
  </si>
  <si>
    <t>http://stevetu21.github.io/eaglep3/load_kml.html?kml=http://rtdc.gmaps-snips.s3.amazonaws.com/90d77b6b-a4c7-4678-a63e-30fce996c252.kml</t>
  </si>
  <si>
    <t>RESTRICTED aspect</t>
  </si>
  <si>
    <t>STOP aspect</t>
  </si>
  <si>
    <t>SYS :2016/12/02 12:51:26.988:ENFORCEMENT:Predictive Enforcement Action:  Target Number: 0000A006  Target Speed:  15.0  Current Speed:  22.3</t>
  </si>
  <si>
    <t>SYS :2016/12/02 12:51:27.488:ENFORCEMENT:Predictive Enforcement Action:  Target Number: 0000A006  Target Speed:  15.0  Current Speed:  22.2</t>
  </si>
  <si>
    <t>SYS :2016/12/02 13:26:11.692:ENFORCEMENT:Predictive Enforcement Action:  Target Number: 0000A001  Target Speed:  10.0  Current Speed:  34.6</t>
  </si>
  <si>
    <t>SYS :2016/12/02 13:26:11.719:ENFORCEMENT:Predictive Enforcement Action:  Target Number: 00017001  Target Speed:   9.0  Current Speed:  34.6</t>
  </si>
  <si>
    <t>SYS :2016/12/02 13:26:12.199:ENFORCEMENT:Predictive Enforcement Action:  Target Number: 0000A001  Target Speed:  10.0  Current Speed:  34.6</t>
  </si>
  <si>
    <t>SYS :2016/12/02 13:26:12.208:ENFORCEMENT:Predictive Enforcement Action:  Target Number: 00017001  Target Speed:   9.0  Current Speed:  34.6</t>
  </si>
  <si>
    <t>SYS :2016/12/02 13:26:12.358:ENFORCEMENT:Predictive Enforcement Action:  Target Number: 0000A001  Target Speed:  10.0  Current Speed:  34.6</t>
  </si>
  <si>
    <t>SYS :2016/12/02 13:26:12.367:ENFORCEMENT:Predictive Enforcement Action:  Target Number: 00017001  Target Speed:   9.0  Current Speed:  34.6</t>
  </si>
  <si>
    <t>SYS :2016/12/02 13:51:01.607:ENFORCEMENT:Predictive Enforcement Action:  Target Number: 00017004  Target Speed:   9.0  Current Speed:  14.1</t>
  </si>
  <si>
    <t>SYS :2016/12/02 13:51:01.701:ENFORCEMENT:Predictive Enforcement Action:  Target Number: 00017004  Target Speed:   9.0  Current Speed:  14.1</t>
  </si>
  <si>
    <t>SYS :2016/12/02 13:51:01.751:ENFORCEMENT:Predictive Enforcement Action:  Target Number: 00017004  Target Speed:   9.0  Current Speed:  14.1</t>
  </si>
  <si>
    <t>SYS :2016/12/02 13:52:34.615:ENFORCEMENT:Predictive Enforcement Action:  Target Number: 0000603B  Target Speed:   0.0  Current Speed:  34.1</t>
  </si>
  <si>
    <t>SYS :2016/12/02 13:52:34.710:ENFORCEMENT:Predictive Enforcement Action:  Target Number: 00006035  Target Speed:   0.0  Current Speed:  34.1</t>
  </si>
  <si>
    <t>SYS :2016/12/02 13:52:34.759:ENFORCEMENT:Predictive Enforcement Action:  Target Number: 00006035  Target Speed:   0.0  Current Speed:  34.1</t>
  </si>
  <si>
    <t>SYS :2016/12/02 14:13:37.501:ENFORCEMENT:Reactive Enforcement Action:  Target Number: 0001001E  Target Speed:  15.0  Current Speed:  20.1</t>
  </si>
  <si>
    <t>SYS :2016/12/02 14:13:37.969:ENFORCEMENT:Reactive Enforcement Action:  Target Number: 00010039  Target Speed:  15.0  Current Speed:  20.1</t>
  </si>
  <si>
    <t>SYS :2016/12/02 14:13:38.434:ENFORCEMENT:Reactive Enforcement Action:  Target Number: 00010039  Target Speed:  15.0  Current Speed:  20.1</t>
  </si>
  <si>
    <t>SYS :2016/12/02 14:22:04.387:ENFORCEMENT:Reactive Enforcement Action:  Target Number: 0000604A  Target Speed:   0.0  Current Speed:   9.4</t>
  </si>
  <si>
    <t>SYS :2016/12/02 14:22:04.457:ENFORCEMENT:Reactive Enforcement Action:  Target Number: 00006024  Target Speed:   0.0  Current Speed:   9.7</t>
  </si>
  <si>
    <t>SYS :2016/12/02 14:48:37.340:ENFORCEMENT:Predictive Enforcement Action:  Target Number: 00001009  Target Speed:   0.0  Current Speed:   5.6</t>
  </si>
  <si>
    <t>SYS :2016/12/02 14:48:37.753:ENFORCEMENT:Predictive Enforcement Action:  Target Number: 00001009  Target Speed:   0.0  Current Speed:   5.6</t>
  </si>
  <si>
    <t>SYS :2016/12/02 14:48:38.154:ENFORCEMENT:Predictive Enforcement Action:  Target Number: 00001009  Target Speed:   0.0  Current Speed:   5.7</t>
  </si>
  <si>
    <t>SYS :2016/12/02 15:00:34.041:ENFORCEMENT:Predictive Enforcement Action:  Target Number: 00010064  Target Speed:  30.0  Current Speed:  39.2</t>
  </si>
  <si>
    <t>SYS :2016/12/02 15:00:34.179:ENFORCEMENT:Predictive Enforcement Action:  Target Number: 00010064  Target Speed:  30.0  Current Speed:  39.2</t>
  </si>
  <si>
    <t>SYS :2016/12/02 15:00:34.356:ENFORCEMENT:Predictive Enforcement Action:  Target Number: 00010064  Target Speed:  30.0  Current Speed:  39.2</t>
  </si>
  <si>
    <t>SYS :2016/12/02 15:02:08.042:ENFORCEMENT:Reactive Enforcement Action:  Target Number: 00010065  Target Speed:  40.0  Current Speed:  45.0</t>
  </si>
  <si>
    <t>SYS :2016/12/02 15:02:08.186:ENFORCEMENT:Reactive Enforcement Action:  Target Number: 00010065  Target Speed:  40.0  Current Speed:  45.0</t>
  </si>
  <si>
    <t>SYS :2016/12/02 15:02:08.355:ENFORCEMENT:Reactive Enforcement Action:  Target Number: 00010065  Target Speed:  40.0  Current Speed:  45.0</t>
  </si>
  <si>
    <t>SYS :2016/12/02 15:07:01.338:ENFORCEMENT:Predictive Enforcement Action:  Target Number: 00001009  Target Speed:   0.0  Current Speed:  11.2</t>
  </si>
  <si>
    <t>SYS :2016/12/02 15:07:27.028:ENFORCEMENT:Predictive Enforcement Action:  Target Number: 00001009  Target Speed:   0.0  Current Speed:   4.5</t>
  </si>
  <si>
    <t>SYS :2016/12/02 15:07:27.161:ENFORCEMENT:Predictive Enforcement Action:  Target Number: 00001009  Target Speed:   0.0  Current Speed:   4.5</t>
  </si>
  <si>
    <t>SYS :2016/12/02 15:11:28.410:ENFORCEMENT:Predictive Enforcement Action:  Target Number: 0001702F  Target Speed:   0.0  Current Speed:  11.3</t>
  </si>
  <si>
    <t>SYS :2016/12/02 15:11:28.847:ENFORCEMENT:Reactive Enforcement Action:  Target Number: 0001702F  Target Speed:   0.0  Current Speed:  11.3</t>
  </si>
  <si>
    <t>SYS :2016/12/02 15:11:29.753:ENFORCEMENT:Reactive Enforcement Action:  Target Number: 0001702F  Target Speed:   0.0  Current Speed:  10.7</t>
  </si>
  <si>
    <t>SYS :2016/12/02 15:13:29.419:ENFORCEMENT:Predictive Enforcement Action:  Target Number: 0001003B  Target Speed:  30.0  Current Speed:  45.9</t>
  </si>
  <si>
    <t>SYS :2016/12/02 15:13:29.767:ENFORCEMENT:Predictive Enforcement Action:  Target Number: 0001003B  Target Speed:  30.0  Current Speed:  45.8</t>
  </si>
  <si>
    <t>SYS :2016/12/02 15:13:29.897:ENFORCEMENT:Predictive Enforcement Action:  Target Number: 0001003B  Target Speed:  30.0  Current Speed:  45.9</t>
  </si>
  <si>
    <t>SYS :2016/12/02 16:21:00.786:ENFORCEMENT:Predictive Enforcement Action:  Target Number: 00010019  Target Speed:  15.0  Current Speed:  31.2</t>
  </si>
  <si>
    <t>SYS :2016/12/02 16:21:00.801:ENFORCEMENT:Predictive Enforcement Action:  Target Number: 0001003F  Target Speed:  15.0  Current Speed:  31.2</t>
  </si>
  <si>
    <t>SYS :2016/12/02 16:21:01.528:ENFORCEMENT:Predictive Enforcement Action:  Target Number: 0001006F  Target Speed:  15.0  Current Speed:  31.8</t>
  </si>
  <si>
    <t>SYS :2016/12/02 16:22:35.522:ENFORCEMENT:Reactive Enforcement Action:  Target Number: 0001006F  Target Speed:  15.0  Current Speed:  20.5</t>
  </si>
  <si>
    <t>SYS :2016/12/02 16:22:35.782:ENFORCEMENT:Reactive Enforcement Action:  Target Number: 00010019  Target Speed:  15.0  Current Speed:  20.5</t>
  </si>
  <si>
    <t>SYS :2016/12/02 16:22:35.797:ENFORCEMENT:Reactive Enforcement Action:  Target Number: 0001003F  Target Speed:  15.0  Current Speed:  20.5</t>
  </si>
  <si>
    <t>SYS :2016/12/02 16:26:11.178:ENFORCEMENT:Predictive Enforcement Action:  Target Number: 0001006A  Target Speed:  30.0  Current Speed:  46.2</t>
  </si>
  <si>
    <t>SYS :2016/12/02 16:26:11.711:ENFORCEMENT:Predictive Enforcement Action:  Target Number: 00010065  Target Speed:  30.0  Current Speed:  45.7</t>
  </si>
  <si>
    <t>SYS :2016/12/02 16:26:12.310:ENFORCEMENT:Predictive Enforcement Action:  Target Number: 00010069  Target Speed:  30.0  Current Speed:  45.7</t>
  </si>
  <si>
    <t>SYS :2016/12/02 16:33:52.752:ENFORCEMENT:Predictive Enforcement Action:  Target Number: 0000100B  Target Speed:   0.0  Current Speed:   6.7</t>
  </si>
  <si>
    <t>SYS :2016/12/02 16:43:07.683:ENFORCEMENT:Reactive Enforcement Action:  Target Number: 0001008E  Target Speed:  35.0  Current Speed:  40.2</t>
  </si>
  <si>
    <t>SYS :2016/12/02 17:23:50.164:ENFORCEMENT:Reactive Enforcement Action:  Target Number: 0001706C  Target Speed:  31.0  Current Speed:  36.1</t>
  </si>
  <si>
    <t>SYS :2016/12/02 19:12:50.355:ENFORCEMENT:Predictive Enforcement Action:  Target Number: 00001010  Target Speed:   0.0  Current Speed:   7.0</t>
  </si>
  <si>
    <t>SYS :2016/12/02 19:12:50.493:ENFORCEMENT:Predictive Enforcement Action:  Target Number: 00001004  Target Speed:   0.0  Current Speed:   7.0</t>
  </si>
  <si>
    <t>SYS :2016/12/02 19:12:50.922:ENFORCEMENT:Predictive Enforcement Action:  Target Number: 0000100A  Target Speed:   0.0  Current Speed:   7.0</t>
  </si>
  <si>
    <t>SYS :2016/12/02 19:13:35.356:ENFORCEMENT:Predictive Enforcement Action:  Target Number: 00001010  Target Speed:   0.0  Current Speed:   3.9</t>
  </si>
  <si>
    <t>SYS :2016/12/02 19:13:35.489:ENFORCEMENT:Predictive Enforcement Action:  Target Number: 00001004  Target Speed:   0.0  Current Speed:   3.9</t>
  </si>
  <si>
    <t>SYS :2016/12/02 19:13:35.920:ENFORCEMENT:Predictive Enforcement Action:  Target Number: 0000100A  Target Speed:   0.0  Current Speed:   3.9</t>
  </si>
  <si>
    <t>SYS :2016/12/02 19:55:17.794:ENFORCEMENT:Predictive Enforcement Action:  Target Number: 00001007  Target Speed:   0.0  Current Speed:   3.9</t>
  </si>
  <si>
    <t>SYS :2016/12/02 19:55:20.521:ENFORCEMENT:Predictive Enforcement Action:  Target Number: 0000100B  Target Speed:   0.0  Current Speed:   4.7</t>
  </si>
  <si>
    <t>SYS :2016/12/02 19:55:20.775:ENFORCEMENT:Predictive Enforcement Action:  Target Number: 00001005  Target Speed:   0.0  Current Speed:   4.7</t>
  </si>
  <si>
    <t>SYS :2016/12/02 20:00:00.752:ENFORCEMENT:Predictive Enforcement Action:  Target Number: 000100CB  Target Speed:  60.0  Current Speed:  65.8</t>
  </si>
  <si>
    <t>SYS :2016/12/02 20:00:01.102:ENFORCEMENT:Predictive Enforcement Action:  Target Number: 000100CE  Target Speed:  60.0  Current Speed:  65.8</t>
  </si>
  <si>
    <t>SYS :2016/12/02 20:05:28.759:ENFORCEMENT:Predictive Enforcement Action:  Target Number: 00001010  Target Speed:   0.0  Current Speed:   5.2</t>
  </si>
  <si>
    <t>SYS :2016/12/02 20:05:29.152:ENFORCEMENT:Predictive Enforcement Action:  Target Number: 00001010  Target Speed:   0.0  Current Speed:   5.2</t>
  </si>
  <si>
    <t>SYS :2016/12/02 20:05:29.331:ENFORCEMENT:Predictive Enforcement Action:  Target Number: 00001010  Target Speed:   0.0  Current Speed:   5.2</t>
  </si>
  <si>
    <t>SYS :2016/12/02 21:20:07.145:ENFORCEMENT:Predictive Enforcement Action:  Target Number: 0000100F  Target Speed:   0.0  Current Speed:  12.8</t>
  </si>
  <si>
    <t>SYS :2016/12/02 21:20:07.531:ENFORCEMENT:Predictive Enforcement Action:  Target Number: 0000100E  Target Speed:   0.0  Current Speed:  12.7</t>
  </si>
  <si>
    <t>SYS :2016/12/02 21:47:30.743:ENFORCEMENT:Predictive Enforcement Action:  Target Number: 000100F0  Target Speed:  45.0  Current Speed:  54.0</t>
  </si>
  <si>
    <t>SYS :2016/12/02 21:47:32.094:ENFORCEMENT:Predictive Enforcement Action:  Target Number: 000100F4  Target Speed:  45.0  Current Speed:  53.0</t>
  </si>
  <si>
    <t>SYS :2016/12/02 21:49:17.753:ENFORCEMENT:Predictive Enforcement Action:  Target Number: 00001013  Target Speed:   0.0  Current Speed:   7.2</t>
  </si>
  <si>
    <t>SYS :2016/12/02 21:49:18.152:ENFORCEMENT:Predictive Enforcement Action:  Target Number: 00001013  Target Speed:   0.0  Current Speed:   7.2</t>
  </si>
  <si>
    <t>SYS :2016/12/02 22:30:27.687:ENFORCEMENT:Reactive Enforcement Action:  Target Number: 00010115  Target Speed:  40.0  Current Speed:  45.1</t>
  </si>
  <si>
    <t>SYS :2016/12/02 22:30:28.176:ENFORCEMENT:Reactive Enforcement Action:  Target Number: 0001011A  Target Speed:  40.0  Current Speed:  45.1</t>
  </si>
  <si>
    <t>SYS :2016/12/02 22:30:28.303:ENFORCEMENT:Reactive Enforcement Action:  Target Number: 00010119  Target Speed:  40.0  Current Speed:  45.1</t>
  </si>
  <si>
    <t>SYS :2016/12/02 22:35:50.671:ENFORCEMENT:Predictive Enforcement Action:  Target Number: 0000101C  Target Speed:   0.0  Current Speed:   3.1</t>
  </si>
  <si>
    <t>SYS :2016/12/02 22:35:51.272:ENFORCEMENT:Predictive Enforcement Action:  Target Number: 0000101D  Target Speed:   0.0  Current Speed:   3.1</t>
  </si>
  <si>
    <t>SYS :2016/12/02 22:37:00.710:ENFORCEMENT:Predictive Enforcement Action:  Target Number: 00004322  Target Speed:   0.0  Current Speed:  38.5</t>
  </si>
  <si>
    <t>SYS :2016/12/02 22:37:00.830:ENFORCEMENT:Predictive Enforcement Action:  Target Number: 0000420B  Target Speed:   0.0  Current Speed:  38.5</t>
  </si>
  <si>
    <t>SYS :2016/12/02 22:37:01.762:ENFORCEMENT:Predictive Enforcement Action:  Target Number: 00004381  Target Speed:   0.0  Current Speed:  38.5</t>
  </si>
  <si>
    <t>SYS :2016/12/02 23:26:27.924:ENFORCEMENT:Predictive Enforcement Action:  Target Number: 00001013  Target Speed:   0.0  Current Speed:   3.8</t>
  </si>
  <si>
    <t>SYS :2016/12/03 00:46:13.082:ENFORCEMENT:Predictive Enforcement Action:  Target Number: 00006055  Target Speed:   0.0  Current Speed:  65.3</t>
  </si>
  <si>
    <t>SYS :2016/12/03 00:46:13.129:ENFORCEMENT:Predictive Enforcement Action:  Target Number: 0000606C  Target Speed:   0.0  Current Speed:  65.8</t>
  </si>
  <si>
    <t>SYS :2016/12/03 00:46:13.578:ENFORCEMENT:Predictive Enforcement Action:  Target Number: 0000606A  Target Speed:   0.0  Current Speed:  65.8</t>
  </si>
  <si>
    <t>SYS :2016/12/03 03:03:55.772:ENFORCEMENT:Predictive Enforcement Action:  Target Number: 00010147  Target Speed:  40.0  Current Speed:  49.8</t>
  </si>
  <si>
    <t>SYS :2016/12/03 03:03:56.102:ENFORCEMENT:Predictive Enforcement Action:  Target Number: 00010146  Target Speed:  40.0  Current Speed:  49.8</t>
  </si>
  <si>
    <t>SYS :2016/12/03 03:53:46.395:ENFORCEMENT:Predictive Enforcement Action:  Target Number: 000170D2  Target Speed:  31.0  Current Speed:  37.1</t>
  </si>
  <si>
    <t>SYS :2016/12/03 03:53:46.495:ENFORCEMENT:Predictive Enforcement Action:  Target Number: 000170D2  Target Speed:  31.0  Current Speed:  37.1</t>
  </si>
  <si>
    <t>SYS :2016/12/03 03:53:46.559:ENFORCEMENT:Predictive Enforcement Action:  Target Number: 000170D2  Target Speed:  31.0  Current Speed:  37.1</t>
  </si>
  <si>
    <t>SYS :2016/12/03 05:27:19.540:ENFORCEMENT:Reactive Enforcement Action:  Target Number: 0000A001  Target Speed:  15.0  Current Speed:  21.8</t>
  </si>
  <si>
    <t>SYS :2016/12/03 05:27:20.378:ENFORCEMENT:Reactive Enforcement Action:  Target Number: 0000A001  Target Speed:  15.0  Current Speed:  21.8</t>
  </si>
  <si>
    <t>SYS :2016/12/03 05:27:20.601:ENFORCEMENT:Reactive Enforcement Action:  Target Number: 0000A001  Target Speed:  15.0  Current Speed:  21.8</t>
  </si>
  <si>
    <t>SYS :2016/12/03 07:01:56.088:ENFORCEMENT:Reactive Enforcement Action:  Target Number: 000062DA  Target Speed:   0.0  Current Speed:  10.1</t>
  </si>
  <si>
    <t>SYS :2016/12/03 07:01:56.760:ENFORCEMENT:Reactive Enforcement Action:  Target Number: 000062D0  Target Speed:   0.0  Current Speed:  10.1</t>
  </si>
  <si>
    <t>SYS :2016/12/03 08:05:15.914:ENFORCEMENT:Predictive Enforcement Action:  Target Number: 00001003  Target Speed:   0.0  Current Speed:   7.1</t>
  </si>
  <si>
    <t>SYS :2016/12/03 08:05:15.915:ENFORCEMENT:Predictive Enforcement Action:  Target Number: 00001003  Target Speed:   0.0  Current Speed:   7.2</t>
  </si>
  <si>
    <t>SYS :2016/12/03 08:05:16.375:ENFORCEMENT:Predictive Enforcement Action:  Target Number: 00001003  Target Speed:   0.0  Current Speed:   7.2</t>
  </si>
  <si>
    <t>SYS :2016/12/03 08:31:50.098:ENFORCEMENT:Reactive Enforcement Action:  Target Number: 00004115  Target Speed:   0.0  Current Speed:  54.5</t>
  </si>
  <si>
    <t>SYS :2016/12/03 08:31:50.688:ENFORCEMENT:Reactive Enforcement Action:  Target Number: 00004115  Target Speed:   0.0  Current Speed:  54.5</t>
  </si>
  <si>
    <t>SYS :2016/12/03 08:31:50.980:ENFORCEMENT:Reactive Enforcement Action:  Target Number: 0000407A  Target Speed:   0.0  Current Speed:  53.9</t>
  </si>
  <si>
    <t>SYS :2016/12/03 09:33:25.531:ENFORCEMENT:Predictive Enforcement Action:  Target Number: 00001006  Target Speed:   0.0  Current Speed:   4.0</t>
  </si>
  <si>
    <t>Banner without braking</t>
  </si>
  <si>
    <t>CPU2 commanded, others did not</t>
  </si>
  <si>
    <t>CPU1 commanded, others did not</t>
  </si>
  <si>
    <t>CCROC/crew/equipment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</si>
</sst>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7"/>
  <sheetViews>
    <sheetView tabSelected="1" topLeftCell="A43" zoomScaleNormal="100" workbookViewId="0">
      <selection activeCell="K61" sqref="K61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0.8554687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42706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42706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49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COUNTIFS($N$13:$N$9371,"&gt;0",$AG$13:$AG$9371,I1)</f>
        <v>143</v>
      </c>
      <c r="K5" s="44"/>
      <c r="L5" s="44"/>
      <c r="M5" s="45">
        <f>AVERAGEIFS($N$13:$N$9371,$AG$13:$AG$9371,I1)</f>
        <v>37.417482517340538</v>
      </c>
      <c r="N5" s="43">
        <f t="array" ref="N5">MIN(IF($AG$13:$AG$9371=I1,IF(ISNUMBER($N$13:$N$9371),IF($N$13:$N$9371&gt;0,$N$13:$N$9371))))</f>
        <v>34.083333337912336</v>
      </c>
      <c r="O5" s="3">
        <f t="array" ref="O5">MAX(IF($AG$13:$AG$9371=I1,IF(ISNUMBER($N$13:$N$9371),IF($N$13:$N$9371&gt;0,$N$13:$N$9371))))</f>
        <v>52.866666672052816</v>
      </c>
      <c r="P5" s="2"/>
      <c r="R5" s="80" t="s">
        <v>17</v>
      </c>
      <c r="S5" s="55">
        <f>COUNTIFS($N$13:$N$9371,"&gt;0",$AG$13:$AG$9371,R1)</f>
        <v>49</v>
      </c>
      <c r="T5" s="44"/>
      <c r="U5" s="169"/>
      <c r="V5" s="45">
        <f>AVERAGEIFS($N$13:$N$9371,$AG$13:$AG$9371,R1)</f>
        <v>15.02006802648515</v>
      </c>
      <c r="W5" s="43">
        <f t="array" ref="W5">MIN(IF($AG$13:$AG$9371=R1,IF(ISNUMBER($N$13:$N$9371),IF($N$13:$N$9371&gt;0,$N$13:$N$9371))))</f>
        <v>12.533333329483867</v>
      </c>
      <c r="X5" s="173">
        <f t="array" ref="X5">MAX(IF($AG$13:$AG$9371=R1,IF(ISNUMBER($N$13:$N$9371),IF($N$13:$N$9371&gt;0,$N$13:$N$9371))))</f>
        <v>21.51666666730307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COUNT($O$13:$O$153)</f>
        <v>0</v>
      </c>
      <c r="K6" s="44"/>
      <c r="L6" s="44"/>
      <c r="M6" s="45">
        <f>IFERROR(AVERAGE($O$13:$O$153),0)</f>
        <v>0</v>
      </c>
      <c r="N6" s="43">
        <f>MIN($O$13:$O$153)</f>
        <v>0</v>
      </c>
      <c r="O6" s="3">
        <f>MAX($O$13:$O$153)</f>
        <v>0</v>
      </c>
      <c r="P6" s="2"/>
      <c r="R6" s="81" t="s">
        <v>43</v>
      </c>
      <c r="S6" s="55">
        <f>COUNT($O$13:$O$153)</f>
        <v>0</v>
      </c>
      <c r="T6" s="44"/>
      <c r="U6" s="169"/>
      <c r="V6" s="45">
        <f>IFERROR(AVERAGE($O$13:$O$153),0)</f>
        <v>0</v>
      </c>
      <c r="W6" s="43">
        <f>MIN($O$13:$O$153)</f>
        <v>0</v>
      </c>
      <c r="X6" s="173">
        <f>MAX($O$13:$O$153)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COUNTIFS($P$13:$P$9371,"&gt;0",$AG$13:$AG$9371,I1)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COUNTIFS($P$13:$P$9371,"&gt;0",$AG$13:$AG$9371,R1)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37.417482517340538</v>
      </c>
      <c r="N8" s="43">
        <f>N5</f>
        <v>34.083333337912336</v>
      </c>
      <c r="O8" s="3">
        <f>O5</f>
        <v>52.866666672052816</v>
      </c>
      <c r="P8" s="2"/>
      <c r="R8" s="80" t="s">
        <v>16</v>
      </c>
      <c r="S8" s="55">
        <f>S5</f>
        <v>49</v>
      </c>
      <c r="T8" s="44"/>
      <c r="U8" s="169"/>
      <c r="V8" s="45">
        <f>V5</f>
        <v>15.02006802648515</v>
      </c>
      <c r="W8" s="43">
        <f>W5</f>
        <v>12.533333329483867</v>
      </c>
      <c r="X8" s="173">
        <f>X5</f>
        <v>21.51666666730307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0.97945205479452058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- 2016-12-02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AVERAGE(S13:S104)</f>
        <v>0.98913043478260865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464</v>
      </c>
      <c r="B13" s="7">
        <v>4044</v>
      </c>
      <c r="C13" s="22" t="s">
        <v>210</v>
      </c>
      <c r="D13" s="22" t="s">
        <v>675</v>
      </c>
      <c r="E13" s="13">
        <v>42706.130231481482</v>
      </c>
      <c r="F13" s="13">
        <v>42706.135706018518</v>
      </c>
      <c r="G13" s="7">
        <v>1</v>
      </c>
      <c r="H13" s="22" t="s">
        <v>676</v>
      </c>
      <c r="I13" s="13">
        <v>42706.160115740742</v>
      </c>
      <c r="J13" s="7">
        <v>0</v>
      </c>
      <c r="K13" s="109" t="str">
        <f t="shared" ref="K13:K76" si="0">IF(ISEVEN(B13),(B13-1)&amp;"/"&amp;B13,B13&amp;"/"&amp;(B13+1))</f>
        <v>4043/4044</v>
      </c>
      <c r="L13" s="22" t="str">
        <f>VLOOKUP(A13,'Trips&amp;Operators'!$C$1:$G$99999,5,FALSE)</f>
        <v>GRASTON MATHEU</v>
      </c>
      <c r="M13" s="6">
        <f t="shared" ref="M13:M76" si="1">I13-F13</f>
        <v>2.4409722223936114E-2</v>
      </c>
      <c r="N13" s="7">
        <f t="shared" ref="N13:N44" si="2">24*60*SUM($M13:$M13)</f>
        <v>35.150000002468005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https://search-rtdc-monitor-bjffxe2xuh6vdkpspy63sjmuny.us-east-1.es.amazonaws.com/_plugin/kibana/#/discover/Steve-Slow-Train-Analysis-(2080s-and-2083s)?_g=(refreshInterval:(display:Off,section:0,value:0),time:(from:'2016-12-02 02:07:32-700',mode:absolute,to:'2016-12-02 04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76" si="6">IF(AA13&lt;IF(AG13="EC",23,5.65),"Y","N")</f>
        <v>N</v>
      </c>
      <c r="X13" s="177" t="e">
        <f t="shared" ref="X13:X44" si="7">VALUE(LEFT(AD13,4))-VALUE(LEFT(AD12,4))</f>
        <v>#VALUE!</v>
      </c>
      <c r="Y13" s="67">
        <f t="shared" ref="Y13:Y44" si="8">RIGHT(D13,LEN(D13)-4)/10000</f>
        <v>7.2800000000000004E-2</v>
      </c>
      <c r="Z13" s="67">
        <f t="shared" ref="Z13:Z44" si="9">RIGHT(H13,LEN(H13)-4)/10000</f>
        <v>23.334199999999999</v>
      </c>
      <c r="AA13" s="67">
        <f t="shared" ref="AA13:AA76" si="10">ABS(Z13-Y13)</f>
        <v>23.261399999999998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0101-02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/stypes="app*4044*20161202*"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4044 --swversion DE.1.0.8.0 --startMP 204:728 --initTime 2016-12-02T03:07:32 --startdatetime 2016-12-02T03:15:25 --delay 1 --endMP 204:233342 --enddatetime 2016-12-02T03:50:34 --enforcementcount 0 &gt;&gt;C:\Users\stu\Documents\GitHub\eaglep3-reporting\EC\2016-12-02-refined-times.txt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{"issue":{"subject":"","project_id":79,"tracker_id":40,"status_id":1,"priority_id":2,"assigned_to_id":23,"start_date":"2016-12-02","description":"","custom_fields":[{"id":1,"name":"Subdivision","value":"EC"},{"id":4,"name":"Milepost","value":"23.3342"},{"id":17,"name":"Train ID","value":"101-02"},{"id":16,"name":"Locomotive ID","value":"4044"},{"id":130,"name":"Impact","value":""},{"id":150,"name":"Time of Event (Mountain Time)","value":"03:50:34"},{"id":151,"name":"Denver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470</v>
      </c>
      <c r="B14" s="7">
        <v>4041</v>
      </c>
      <c r="C14" s="22" t="s">
        <v>210</v>
      </c>
      <c r="D14" s="22" t="s">
        <v>677</v>
      </c>
      <c r="E14" s="13">
        <v>42706.163842592592</v>
      </c>
      <c r="F14" s="13">
        <v>42706.17454861111</v>
      </c>
      <c r="G14" s="7">
        <v>1</v>
      </c>
      <c r="H14" s="22" t="s">
        <v>287</v>
      </c>
      <c r="I14" s="13">
        <v>42706.200775462959</v>
      </c>
      <c r="J14" s="7">
        <v>0</v>
      </c>
      <c r="K14" s="109" t="str">
        <f t="shared" si="0"/>
        <v>4041/4042</v>
      </c>
      <c r="L14" s="22" t="str">
        <f>VLOOKUP(A14,'Trips&amp;Operators'!$C$1:$G$99999,5,FALSE)</f>
        <v>GRASTON MATHEU</v>
      </c>
      <c r="M14" s="6">
        <f t="shared" si="1"/>
        <v>2.622685184906004E-2</v>
      </c>
      <c r="N14" s="7">
        <f t="shared" si="2"/>
        <v>37.766666662646458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02:55:56-700',mode:absolute,to:'2016-12-02 05:49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23.271100000000001</v>
      </c>
      <c r="Z14" s="67">
        <f t="shared" si="9"/>
        <v>1.6E-2</v>
      </c>
      <c r="AA14" s="67">
        <f t="shared" si="10"/>
        <v>23.255100000000002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0102-02</v>
      </c>
      <c r="AE14" s="91" t="str">
        <f t="shared" si="12"/>
        <v>aws s3 cp s3://rtdc.mdm.uploadarchive.raw/RTDC4041/ "%USERPROFILE%\AppData\Local\Temp\OnboardLogs"\RTDC4041\2016-12-02 --exclude "*" --recursive --include "*20161202*" &amp; "%USERPROFILE%\Documents\GitHub\mrs-test-scripts\Headless Mode &amp; Sideloading\WalkAndUnGZ.bat" "%USERPROFILE%\AppData\Local\Temp\OnboardLogs"\RTDC4041\2016-12-02 &amp; 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</v>
      </c>
      <c r="AF14" s="88" t="str">
        <f t="shared" si="13"/>
        <v>"C:\Program Files (x86)\AstroGrep\AstroGrep.exe" /spath="%USERPROFILE%\AppData\Local\Temp\OnboardLogs" /stypes="app*4041*20161202*"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4041 --swversion DE.1.0.8.0 --startMP 204:232711 --initTime 2016-12-02T03:55:56 --startdatetime 2016-12-02T04:11:21 --delay 1 --endMP 204:160 --enddatetime 2016-12-02T04:49:07 --enforcementcount 0 &gt;&gt;C:\Users\stu\Documents\GitHub\eaglep3-reporting\EC\2016-12-02-refined-times.txt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{"issue":{"subject":"","project_id":79,"tracker_id":40,"status_id":1,"priority_id":2,"assigned_to_id":23,"start_date":"2016-12-02","description":"","custom_fields":[{"id":1,"name":"Subdivision","value":"EC"},{"id":4,"name":"Milepost","value":"0.016"},{"id":17,"name":"Train ID","value":"102-02"},{"id":16,"name":"Locomotive ID","value":"4041"},{"id":130,"name":"Impact","value":""},{"id":150,"name":"Time of Event (Mountain Time)","value":"04:49:07"},{"id":151,"name":"Denver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468</v>
      </c>
      <c r="B15" s="7">
        <v>4022</v>
      </c>
      <c r="C15" s="22" t="s">
        <v>210</v>
      </c>
      <c r="D15" s="22" t="s">
        <v>678</v>
      </c>
      <c r="E15" s="13">
        <v>42706.153564814813</v>
      </c>
      <c r="F15" s="13">
        <v>42706.156435185185</v>
      </c>
      <c r="G15" s="7">
        <v>1</v>
      </c>
      <c r="H15" s="22" t="s">
        <v>411</v>
      </c>
      <c r="I15" s="13">
        <v>42706.181539351855</v>
      </c>
      <c r="J15" s="7">
        <v>0</v>
      </c>
      <c r="K15" s="109" t="str">
        <f t="shared" si="0"/>
        <v>4021/4022</v>
      </c>
      <c r="L15" s="22" t="str">
        <f>VLOOKUP(A15,'Trips&amp;Operators'!$C$1:$G$99999,5,FALSE)</f>
        <v>DAVIS WENDY</v>
      </c>
      <c r="M15" s="6">
        <f t="shared" si="1"/>
        <v>2.510416667064419E-2</v>
      </c>
      <c r="N15" s="7">
        <f t="shared" si="2"/>
        <v>36.150000005727634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02:41:08-700',mode:absolute,to:'2016-12-02 05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7.2400000000000006E-2</v>
      </c>
      <c r="Z15" s="67">
        <f t="shared" si="9"/>
        <v>23.334</v>
      </c>
      <c r="AA15" s="67">
        <f t="shared" si="10"/>
        <v>23.261600000000001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0103-02</v>
      </c>
      <c r="AE15" s="91" t="str">
        <f t="shared" si="12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15" s="88" t="str">
        <f t="shared" si="13"/>
        <v>"C:\Program Files (x86)\AstroGrep\AstroGrep.exe" /spath="%USERPROFILE%\AppData\Local\Temp\OnboardLogs" /stypes="app*4022*20161202*"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103-02 --locoid 4022 --swversion DE.1.0.8.0 --startMP 204:724 --initTime 2016-12-02T03:41:08 --startdatetime 2016-12-02T03:45:16 --delay 1 --endMP 204:233340 --enddatetime 2016-12-02T04:21:25 --enforcementcount 0 &gt;&gt;C:\Users\stu\Documents\GitHub\eaglep3-reporting\EC\2016-12-02-refined-times.txt</v>
      </c>
      <c r="AI15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{"issue":{"subject":"","project_id":79,"tracker_id":40,"status_id":1,"priority_id":2,"assigned_to_id":23,"start_date":"2016-12-02","description":"","custom_fields":[{"id":1,"name":"Subdivision","value":"EC"},{"id":4,"name":"Milepost","value":"23.334"},{"id":17,"name":"Train ID","value":"103-02"},{"id":16,"name":"Locomotive ID","value":"4022"},{"id":130,"name":"Impact","value":""},{"id":150,"name":"Time of Event (Mountain Time)","value":"04:21:25"},{"id":151,"name":"Denver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479</v>
      </c>
      <c r="B16" s="7">
        <v>4013</v>
      </c>
      <c r="C16" s="22" t="s">
        <v>210</v>
      </c>
      <c r="D16" s="22" t="s">
        <v>679</v>
      </c>
      <c r="E16" s="13">
        <v>42706.190335648149</v>
      </c>
      <c r="F16" s="13">
        <v>42706.195277777777</v>
      </c>
      <c r="G16" s="7">
        <v>1</v>
      </c>
      <c r="H16" s="22" t="s">
        <v>680</v>
      </c>
      <c r="I16" s="13">
        <v>42706.222488425927</v>
      </c>
      <c r="J16" s="7">
        <v>0</v>
      </c>
      <c r="K16" s="109" t="str">
        <f t="shared" si="0"/>
        <v>4013/4014</v>
      </c>
      <c r="L16" s="22" t="str">
        <f>VLOOKUP(A16,'Trips&amp;Operators'!$C$1:$G$99999,5,FALSE)</f>
        <v>DAVIS WENDY</v>
      </c>
      <c r="M16" s="6">
        <f t="shared" si="1"/>
        <v>2.7210648149775807E-2</v>
      </c>
      <c r="N16" s="7">
        <f t="shared" si="2"/>
        <v>39.183333335677162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03:34:05-700',mode:absolute,to:'2016-12-02 06:20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23.2698</v>
      </c>
      <c r="Z16" s="67">
        <f t="shared" si="9"/>
        <v>1.21E-2</v>
      </c>
      <c r="AA16" s="67">
        <f t="shared" si="10"/>
        <v>23.2577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0104-02</v>
      </c>
      <c r="AE16" s="91" t="str">
        <f t="shared" si="12"/>
        <v>aws s3 cp s3://rtdc.mdm.uploadarchive.raw/RTDC4013/ "%USERPROFILE%\AppData\Local\Temp\OnboardLogs"\RTDC4013\2016-12-02 --exclude "*" --recursive --include "*20161202*" &amp; "%USERPROFILE%\Documents\GitHub\mrs-test-scripts\Headless Mode &amp; Sideloading\WalkAndUnGZ.bat" "%USERPROFILE%\AppData\Local\Temp\OnboardLogs"\RTDC4013\2016-12-02 &amp; 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</v>
      </c>
      <c r="AF16" s="88" t="str">
        <f t="shared" si="13"/>
        <v>"C:\Program Files (x86)\AstroGrep\AstroGrep.exe" /spath="%USERPROFILE%\AppData\Local\Temp\OnboardLogs" /stypes="app*4013*20161202*"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104-02 --locoid 4013 --swversion DE.1.0.8.0 --startMP 204:232698 --initTime 2016-12-02T04:34:05 --startdatetime 2016-12-02T04:41:12 --delay 1 --endMP 204:121 --enddatetime 2016-12-02T05:20:23 --enforcementcount 0 &gt;&gt;C:\Users\stu\Documents\GitHub\eaglep3-reporting\EC\2016-12-02-refined-times.txt</v>
      </c>
      <c r="AI16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{"issue":{"subject":"","project_id":79,"tracker_id":40,"status_id":1,"priority_id":2,"assigned_to_id":23,"start_date":"2016-12-02","description":"","custom_fields":[{"id":1,"name":"Subdivision","value":"EC"},{"id":4,"name":"Milepost","value":"0.0121"},{"id":17,"name":"Train ID","value":"104-02"},{"id":16,"name":"Locomotive ID","value":"4013"},{"id":130,"name":"Impact","value":""},{"id":150,"name":"Time of Event (Mountain Time)","value":"05:20:23"},{"id":151,"name":"Denver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471</v>
      </c>
      <c r="B17" s="7">
        <v>4011</v>
      </c>
      <c r="C17" s="22" t="s">
        <v>210</v>
      </c>
      <c r="D17" s="22" t="s">
        <v>681</v>
      </c>
      <c r="E17" s="13">
        <v>42706.167962962965</v>
      </c>
      <c r="F17" s="13">
        <v>42706.177361111113</v>
      </c>
      <c r="G17" s="7">
        <v>1</v>
      </c>
      <c r="H17" s="22" t="s">
        <v>296</v>
      </c>
      <c r="I17" s="13">
        <v>42706.201469907406</v>
      </c>
      <c r="J17" s="7">
        <v>0</v>
      </c>
      <c r="K17" s="109" t="str">
        <f t="shared" si="0"/>
        <v>4011/4012</v>
      </c>
      <c r="L17" s="22" t="str">
        <f>VLOOKUP(A17,'Trips&amp;Operators'!$C$1:$G$99999,5,FALSE)</f>
        <v>ROBINSON KADDIBA</v>
      </c>
      <c r="M17" s="6">
        <f t="shared" si="1"/>
        <v>2.4108796293148771E-2</v>
      </c>
      <c r="N17" s="7">
        <f t="shared" si="2"/>
        <v>34.71666666213423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03:01:52-700',mode:absolute,to:'2016-12-02 05:50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6.9000000000000006E-2</v>
      </c>
      <c r="Z17" s="67">
        <f t="shared" si="9"/>
        <v>23.329699999999999</v>
      </c>
      <c r="AA17" s="67">
        <f t="shared" si="10"/>
        <v>23.2607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0105-02</v>
      </c>
      <c r="AE17" s="91" t="str">
        <f t="shared" si="12"/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AF17" s="88" t="str">
        <f t="shared" si="13"/>
        <v>"C:\Program Files (x86)\AstroGrep\AstroGrep.exe" /spath="%USERPROFILE%\AppData\Local\Temp\OnboardLogs" /stypes="app*4011*20161202*"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105-02 --locoid 4011 --swversion DE.1.0.8.0 --startMP 204:690 --initTime 2016-12-02T04:01:52 --startdatetime 2016-12-02T04:15:24 --delay 1 --endMP 204:233297 --enddatetime 2016-12-02T04:50:07 --enforcementcount 0 &gt;&gt;C:\Users\stu\Documents\GitHub\eaglep3-reporting\EC\2016-12-02-refined-times.txt</v>
      </c>
      <c r="AI17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{"issue":{"subject":"","project_id":79,"tracker_id":40,"status_id":1,"priority_id":2,"assigned_to_id":23,"start_date":"2016-12-02","description":"","custom_fields":[{"id":1,"name":"Subdivision","value":"EC"},{"id":4,"name":"Milepost","value":"23.3297"},{"id":17,"name":"Train ID","value":"105-02"},{"id":16,"name":"Locomotive ID","value":"4011"},{"id":130,"name":"Impact","value":""},{"id":150,"name":"Time of Event (Mountain Time)","value":"04:50:07"},{"id":151,"name":"Denver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483</v>
      </c>
      <c r="B18" s="7">
        <v>4028</v>
      </c>
      <c r="C18" s="22" t="s">
        <v>210</v>
      </c>
      <c r="D18" s="22" t="s">
        <v>682</v>
      </c>
      <c r="E18" s="13">
        <v>42706.20480324074</v>
      </c>
      <c r="F18" s="13">
        <v>42706.216192129628</v>
      </c>
      <c r="G18" s="7">
        <v>7</v>
      </c>
      <c r="H18" s="22" t="s">
        <v>410</v>
      </c>
      <c r="I18" s="13">
        <v>42706.242476851854</v>
      </c>
      <c r="J18" s="7">
        <v>0</v>
      </c>
      <c r="K18" s="109" t="str">
        <f t="shared" si="0"/>
        <v>4027/4028</v>
      </c>
      <c r="L18" s="22" t="str">
        <f>VLOOKUP(A18,'Trips&amp;Operators'!$C$1:$G$99999,5,FALSE)</f>
        <v>ROBINSON KADDIBA</v>
      </c>
      <c r="M18" s="6">
        <f t="shared" si="1"/>
        <v>2.6284722225682344E-2</v>
      </c>
      <c r="N18" s="7">
        <f t="shared" si="2"/>
        <v>37.850000004982576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03:54:55-700',mode:absolute,to:'2016-12-02 06:49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23.267700000000001</v>
      </c>
      <c r="Z18" s="67">
        <f t="shared" si="9"/>
        <v>1.14E-2</v>
      </c>
      <c r="AA18" s="67">
        <f t="shared" si="10"/>
        <v>23.256300000000003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0106-02</v>
      </c>
      <c r="AE18" s="91" t="str">
        <f t="shared" si="12"/>
        <v>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 &amp; 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</v>
      </c>
      <c r="AF18" s="88" t="str">
        <f t="shared" si="13"/>
        <v>"C:\Program Files (x86)\AstroGrep\AstroGrep.exe" /spath="%USERPROFILE%\AppData\Local\Temp\OnboardLogs" /stypes="app*4028*20161202*"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106-02 --locoid 4028 --swversion DE.1.0.8.0 --startMP 204:232677 --initTime 2016-12-02T04:54:55 --startdatetime 2016-12-02T05:11:19 --delay 7 --endMP 204:114 --enddatetime 2016-12-02T05:49:10 --enforcementcount 0 &gt;&gt;C:\Users\stu\Documents\GitHub\eaglep3-reporting\EC\2016-12-02-refined-times.txt</v>
      </c>
      <c r="AI18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{"issue":{"subject":"","project_id":79,"tracker_id":40,"status_id":1,"priority_id":2,"assigned_to_id":23,"start_date":"2016-12-02","description":"","custom_fields":[{"id":1,"name":"Subdivision","value":"EC"},{"id":4,"name":"Milepost","value":"0.0114"},{"id":17,"name":"Train ID","value":"106-02"},{"id":16,"name":"Locomotive ID","value":"4028"},{"id":130,"name":"Impact","value":""},{"id":150,"name":"Time of Event (Mountain Time)","value":"05:49:10"},{"id":151,"name":"Denver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475</v>
      </c>
      <c r="B19" s="7">
        <v>4002</v>
      </c>
      <c r="C19" s="22" t="s">
        <v>210</v>
      </c>
      <c r="D19" s="22" t="s">
        <v>247</v>
      </c>
      <c r="E19" s="13">
        <v>42706.181712962964</v>
      </c>
      <c r="F19" s="13">
        <v>42706.187754629631</v>
      </c>
      <c r="G19" s="7">
        <v>2</v>
      </c>
      <c r="H19" s="22" t="s">
        <v>323</v>
      </c>
      <c r="I19" s="13">
        <v>42706.212592592594</v>
      </c>
      <c r="J19" s="7">
        <v>0</v>
      </c>
      <c r="K19" s="109" t="str">
        <f t="shared" si="0"/>
        <v>4001/4002</v>
      </c>
      <c r="L19" s="22" t="str">
        <f>VLOOKUP(A19,'Trips&amp;Operators'!$C$1:$G$99999,5,FALSE)</f>
        <v>BRANNON JEFFREY</v>
      </c>
      <c r="M19" s="6">
        <f t="shared" si="1"/>
        <v>2.4837962962919846E-2</v>
      </c>
      <c r="N19" s="7">
        <f t="shared" si="2"/>
        <v>35.766666666604578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03:21:40-700',mode:absolute,to:'2016-12-02 06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4.4200000000000003E-2</v>
      </c>
      <c r="Z19" s="67">
        <f t="shared" si="9"/>
        <v>23.331199999999999</v>
      </c>
      <c r="AA19" s="67">
        <f t="shared" si="10"/>
        <v>23.286999999999999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0107-02</v>
      </c>
      <c r="AE19" s="91" t="str">
        <f t="shared" si="12"/>
        <v>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 &amp; 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</v>
      </c>
      <c r="AF19" s="88" t="str">
        <f t="shared" si="13"/>
        <v>"C:\Program Files (x86)\AstroGrep\AstroGrep.exe" /spath="%USERPROFILE%\AppData\Local\Temp\OnboardLogs" /stypes="app*4002*20161202*"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107-02 --locoid 4002 --swversion DE.1.0.8.0 --startMP 204:442 --initTime 2016-12-02T04:21:40 --startdatetime 2016-12-02T04:30:22 --delay 2 --endMP 204:233312 --enddatetime 2016-12-02T05:06:08 --enforcementcount 0 &gt;&gt;C:\Users\stu\Documents\GitHub\eaglep3-reporting\EC\2016-12-02-refined-times.txt</v>
      </c>
      <c r="AI19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{"issue":{"subject":"","project_id":79,"tracker_id":40,"status_id":1,"priority_id":2,"assigned_to_id":23,"start_date":"2016-12-02","description":"","custom_fields":[{"id":1,"name":"Subdivision","value":"EC"},{"id":4,"name":"Milepost","value":"23.3312"},{"id":17,"name":"Train ID","value":"107-02"},{"id":16,"name":"Locomotive ID","value":"4002"},{"id":130,"name":"Impact","value":""},{"id":150,"name":"Time of Event (Mountain Time)","value":"05:06:08"},{"id":151,"name":"Denver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486</v>
      </c>
      <c r="B20" s="7">
        <v>4001</v>
      </c>
      <c r="C20" s="22" t="s">
        <v>210</v>
      </c>
      <c r="D20" s="22" t="s">
        <v>267</v>
      </c>
      <c r="E20" s="13">
        <v>42706.21601851852</v>
      </c>
      <c r="F20" s="13">
        <v>42706.226550925923</v>
      </c>
      <c r="G20" s="7">
        <v>1</v>
      </c>
      <c r="H20" s="22" t="s">
        <v>241</v>
      </c>
      <c r="I20" s="13">
        <v>42706.252418981479</v>
      </c>
      <c r="J20" s="7">
        <v>0</v>
      </c>
      <c r="K20" s="109" t="str">
        <f t="shared" si="0"/>
        <v>4001/4002</v>
      </c>
      <c r="L20" s="22" t="str">
        <f>VLOOKUP(A20,'Trips&amp;Operators'!$C$1:$G$99999,5,FALSE)</f>
        <v>BRANNON JEFFREY</v>
      </c>
      <c r="M20" s="6">
        <f t="shared" si="1"/>
        <v>2.5868055556202307E-2</v>
      </c>
      <c r="N20" s="7">
        <f t="shared" si="2"/>
        <v>37.250000000931323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04:11:04-700',mode:absolute,to:'2016-12-02 07:03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23.297999999999998</v>
      </c>
      <c r="Z20" s="67">
        <f t="shared" si="9"/>
        <v>1.47E-2</v>
      </c>
      <c r="AA20" s="67">
        <f t="shared" si="10"/>
        <v>23.283299999999997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0108-02</v>
      </c>
      <c r="AE20" s="91" t="str">
        <f t="shared" si="12"/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AF20" s="88" t="str">
        <f t="shared" si="13"/>
        <v>"C:\Program Files (x86)\AstroGrep\AstroGrep.exe" /spath="%USERPROFILE%\AppData\Local\Temp\OnboardLogs" /stypes="app*4001*20161202*"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108-02 --locoid 4001 --swversion DE.1.0.8.0 --startMP 204:232980 --initTime 2016-12-02T05:11:04 --startdatetime 2016-12-02T05:26:14 --delay 1 --endMP 204:147 --enddatetime 2016-12-02T06:03:29 --enforcementcount 0 &gt;&gt;C:\Users\stu\Documents\GitHub\eaglep3-reporting\EC\2016-12-02-refined-times.txt</v>
      </c>
      <c r="AI20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{"issue":{"subject":"","project_id":79,"tracker_id":40,"status_id":1,"priority_id":2,"assigned_to_id":23,"start_date":"2016-12-02","description":"","custom_fields":[{"id":1,"name":"Subdivision","value":"EC"},{"id":4,"name":"Milepost","value":"0.0147"},{"id":17,"name":"Train ID","value":"108-02"},{"id":16,"name":"Locomotive ID","value":"4001"},{"id":130,"name":"Impact","value":""},{"id":150,"name":"Time of Event (Mountain Time)","value":"06:03:29"},{"id":151,"name":"Denver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480</v>
      </c>
      <c r="B21" s="7">
        <v>4003</v>
      </c>
      <c r="C21" s="22" t="s">
        <v>210</v>
      </c>
      <c r="D21" s="22" t="s">
        <v>207</v>
      </c>
      <c r="E21" s="13">
        <v>42706.194687499999</v>
      </c>
      <c r="F21" s="13">
        <v>42706.198125000003</v>
      </c>
      <c r="G21" s="7">
        <v>2</v>
      </c>
      <c r="H21" s="22" t="s">
        <v>309</v>
      </c>
      <c r="I21" s="13">
        <v>42706.22314814815</v>
      </c>
      <c r="J21" s="7">
        <v>0</v>
      </c>
      <c r="K21" s="109" t="str">
        <f t="shared" si="0"/>
        <v>4003/4004</v>
      </c>
      <c r="L21" s="22" t="str">
        <f>VLOOKUP(A21,'Trips&amp;Operators'!$C$1:$G$99999,5,FALSE)</f>
        <v>MAGEE KENYA</v>
      </c>
      <c r="M21" s="6">
        <f t="shared" si="1"/>
        <v>2.5023148147738539E-2</v>
      </c>
      <c r="N21" s="7">
        <f t="shared" si="2"/>
        <v>36.033333332743496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03:40:21-700',mode:absolute,to:'2016-12-02 06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4.6199999999999998E-2</v>
      </c>
      <c r="Z21" s="67">
        <f t="shared" si="9"/>
        <v>23.327999999999999</v>
      </c>
      <c r="AA21" s="67">
        <f t="shared" si="10"/>
        <v>23.2818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0109-02</v>
      </c>
      <c r="AE21" s="91" t="str">
        <f t="shared" si="12"/>
        <v>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 &amp; 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</v>
      </c>
      <c r="AF21" s="88" t="str">
        <f t="shared" si="13"/>
        <v>"C:\Program Files (x86)\AstroGrep\AstroGrep.exe" /spath="%USERPROFILE%\AppData\Local\Temp\OnboardLogs" /stypes="app*4003*20161202*"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109-02 --locoid 4003 --swversion DE.1.0.8.0 --startMP 204:462 --initTime 2016-12-02T04:40:21 --startdatetime 2016-12-02T04:45:18 --delay 2 --endMP 204:233280 --enddatetime 2016-12-02T05:21:20 --enforcementcount 0 &gt;&gt;C:\Users\stu\Documents\GitHub\eaglep3-reporting\EC\2016-12-02-refined-times.txt</v>
      </c>
      <c r="AI21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{"issue":{"subject":"","project_id":79,"tracker_id":40,"status_id":1,"priority_id":2,"assigned_to_id":23,"start_date":"2016-12-02","description":"","custom_fields":[{"id":1,"name":"Subdivision","value":"EC"},{"id":4,"name":"Milepost","value":"23.328"},{"id":17,"name":"Train ID","value":"109-02"},{"id":16,"name":"Locomotive ID","value":"4003"},{"id":130,"name":"Impact","value":""},{"id":150,"name":"Time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489</v>
      </c>
      <c r="B22" s="7">
        <v>4004</v>
      </c>
      <c r="C22" s="22" t="s">
        <v>210</v>
      </c>
      <c r="D22" s="22" t="s">
        <v>337</v>
      </c>
      <c r="E22" s="13">
        <v>42706.233784722222</v>
      </c>
      <c r="F22" s="13">
        <v>42706.237129629626</v>
      </c>
      <c r="G22" s="7">
        <v>1</v>
      </c>
      <c r="H22" s="22" t="s">
        <v>265</v>
      </c>
      <c r="I22" s="13">
        <v>42706.26326388889</v>
      </c>
      <c r="J22" s="7">
        <v>0</v>
      </c>
      <c r="K22" s="109" t="str">
        <f t="shared" si="0"/>
        <v>4003/4004</v>
      </c>
      <c r="L22" s="22" t="str">
        <f>VLOOKUP(A22,'Trips&amp;Operators'!$C$1:$G$99999,5,FALSE)</f>
        <v>MAGEE KENYA</v>
      </c>
      <c r="M22" s="6">
        <f t="shared" si="1"/>
        <v>2.6134259263926651E-2</v>
      </c>
      <c r="N22" s="7">
        <f t="shared" si="2"/>
        <v>37.633333340054378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04:36:39-700',mode:absolute,to:'2016-12-02 07:19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23.299099999999999</v>
      </c>
      <c r="Z22" s="67">
        <f t="shared" si="9"/>
        <v>1.4500000000000001E-2</v>
      </c>
      <c r="AA22" s="67">
        <f t="shared" si="10"/>
        <v>23.284599999999998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0110-02</v>
      </c>
      <c r="AE22" s="91" t="str">
        <f t="shared" si="12"/>
        <v>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 &amp; 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</v>
      </c>
      <c r="AF22" s="88" t="str">
        <f t="shared" si="13"/>
        <v>"C:\Program Files (x86)\AstroGrep\AstroGrep.exe" /spath="%USERPROFILE%\AppData\Local\Temp\OnboardLogs" /stypes="app*4004*20161202*"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110-02 --locoid 4004 --swversion DE.1.0.8.0 --startMP 204:232991 --initTime 2016-12-02T05:36:39 --startdatetime 2016-12-02T05:41:28 --delay 1 --endMP 204:145 --enddatetime 2016-12-02T06:19:06 --enforcementcount 0 &gt;&gt;C:\Users\stu\Documents\GitHub\eaglep3-reporting\EC\2016-12-02-refined-times.txt</v>
      </c>
      <c r="AI22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{"issue":{"subject":"","project_id":79,"tracker_id":40,"status_id":1,"priority_id":2,"assigned_to_id":23,"start_date":"2016-12-02","description":"","custom_fields":[{"id":1,"name":"Subdivision","value":"EC"},{"id":4,"name":"Milepost","value":"0.0145"},{"id":17,"name":"Train ID","value":"110-02"},{"id":16,"name":"Locomotive ID","value":"4004"},{"id":130,"name":"Impact","value":""},{"id":150,"name":"Time of Event (Mountain Time)","value":"06:19:06"},{"id":151,"name":"Denver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482</v>
      </c>
      <c r="B23" s="7">
        <v>4044</v>
      </c>
      <c r="C23" s="22" t="s">
        <v>210</v>
      </c>
      <c r="D23" s="22" t="s">
        <v>683</v>
      </c>
      <c r="E23" s="13">
        <v>42706.204976851855</v>
      </c>
      <c r="F23" s="13">
        <v>42706.208506944444</v>
      </c>
      <c r="G23" s="7">
        <v>3</v>
      </c>
      <c r="H23" s="22" t="s">
        <v>244</v>
      </c>
      <c r="I23" s="13">
        <v>42706.234027777777</v>
      </c>
      <c r="J23" s="7">
        <v>0</v>
      </c>
      <c r="K23" s="109" t="str">
        <f t="shared" si="0"/>
        <v>4043/4044</v>
      </c>
      <c r="L23" s="22" t="str">
        <f>VLOOKUP(A23,'Trips&amp;Operators'!$C$1:$G$99999,5,FALSE)</f>
        <v>SPECTOR MICHAEL</v>
      </c>
      <c r="M23" s="6">
        <f t="shared" si="1"/>
        <v>2.5520833332848269E-2</v>
      </c>
      <c r="N23" s="7">
        <f t="shared" si="2"/>
        <v>36.749999999301508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03:55:10-700',mode:absolute,to:'2016-12-02 06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7.2999999999999995E-2</v>
      </c>
      <c r="Z23" s="67">
        <f t="shared" si="9"/>
        <v>23.331399999999999</v>
      </c>
      <c r="AA23" s="67">
        <f t="shared" si="10"/>
        <v>23.258399999999998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0111-02</v>
      </c>
      <c r="AE23" s="91" t="str">
        <f t="shared" si="12"/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23" s="88" t="str">
        <f t="shared" si="13"/>
        <v>"C:\Program Files (x86)\AstroGrep\AstroGrep.exe" /spath="%USERPROFILE%\AppData\Local\Temp\OnboardLogs" /stypes="app*4044*20161202*"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111-02 --locoid 4044 --swversion DE.1.0.8.0 --startMP 204:730 --initTime 2016-12-02T04:55:10 --startdatetime 2016-12-02T05:00:15 --delay 3 --endMP 204:233314 --enddatetime 2016-12-02T05:37:00 --enforcementcount 0 &gt;&gt;C:\Users\stu\Documents\GitHub\eaglep3-reporting\EC\2016-12-02-refined-times.txt</v>
      </c>
      <c r="AI23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{"issue":{"subject":"","project_id":79,"tracker_id":40,"status_id":1,"priority_id":2,"assigned_to_id":23,"start_date":"2016-12-02","description":"","custom_fields":[{"id":1,"name":"Subdivision","value":"EC"},{"id":4,"name":"Milepost","value":"23.3314"},{"id":17,"name":"Train ID","value":"111-02"},{"id":16,"name":"Locomotive ID","value":"4044"},{"id":130,"name":"Impact","value":""},{"id":150,"name":"Time of Event (Mountain Time)","value":"05:37:00"},{"id":151,"name":"Denver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490</v>
      </c>
      <c r="B24" s="7">
        <v>4043</v>
      </c>
      <c r="C24" s="22" t="s">
        <v>210</v>
      </c>
      <c r="D24" s="22" t="s">
        <v>684</v>
      </c>
      <c r="E24" s="13">
        <v>42706.243576388886</v>
      </c>
      <c r="F24" s="13">
        <v>42706.247685185182</v>
      </c>
      <c r="G24" s="7">
        <v>2</v>
      </c>
      <c r="H24" s="22" t="s">
        <v>212</v>
      </c>
      <c r="I24" s="13">
        <v>42706.273912037039</v>
      </c>
      <c r="J24" s="7">
        <v>0</v>
      </c>
      <c r="K24" s="109" t="str">
        <f t="shared" si="0"/>
        <v>4043/4044</v>
      </c>
      <c r="L24" s="22" t="str">
        <f>VLOOKUP(A24,'Trips&amp;Operators'!$C$1:$G$99999,5,FALSE)</f>
        <v>SPECTOR MICHAEL</v>
      </c>
      <c r="M24" s="6">
        <f t="shared" si="1"/>
        <v>2.6226851856335998E-2</v>
      </c>
      <c r="N24" s="7">
        <f t="shared" si="2"/>
        <v>37.766666673123837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04:50:45-700',mode:absolute,to:'2016-12-02 07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23.3001</v>
      </c>
      <c r="Z24" s="67">
        <f t="shared" si="9"/>
        <v>1.5800000000000002E-2</v>
      </c>
      <c r="AA24" s="67">
        <f t="shared" si="10"/>
        <v>23.284300000000002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0112-02</v>
      </c>
      <c r="AE24" s="91" t="str">
        <f t="shared" si="12"/>
        <v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v>
      </c>
      <c r="AF24" s="88" t="str">
        <f t="shared" si="13"/>
        <v>"C:\Program Files (x86)\AstroGrep\AstroGrep.exe" /spath="%USERPROFILE%\AppData\Local\Temp\OnboardLogs" /stypes="app*4043*20161202*"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112-02 --locoid 4043 --swversion DE.1.0.8.0 --startMP 204:233001 --initTime 2016-12-02T05:50:45 --startdatetime 2016-12-02T05:56:40 --delay 2 --endMP 204:158 --enddatetime 2016-12-02T06:34:26 --enforcementcount 0 &gt;&gt;C:\Users\stu\Documents\GitHub\eaglep3-reporting\EC\2016-12-02-refined-times.txt</v>
      </c>
      <c r="AI24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{"issue":{"subject":"","project_id":79,"tracker_id":40,"status_id":1,"priority_id":2,"assigned_to_id":23,"start_date":"2016-12-02","description":"","custom_fields":[{"id":1,"name":"Subdivision","value":"EC"},{"id":4,"name":"Milepost","value":"0.0158"},{"id":17,"name":"Train ID","value":"112-02"},{"id":16,"name":"Locomotive ID","value":"4043"},{"id":130,"name":"Impact","value":""},{"id":150,"name":"Time of Event (Mountain Time)","value":"06:34:26"},{"id":151,"name":"Denver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484</v>
      </c>
      <c r="B25" s="7">
        <v>4042</v>
      </c>
      <c r="C25" s="22" t="s">
        <v>210</v>
      </c>
      <c r="D25" s="22" t="s">
        <v>252</v>
      </c>
      <c r="E25" s="13">
        <v>42706.209687499999</v>
      </c>
      <c r="F25" s="13">
        <v>42706.219131944446</v>
      </c>
      <c r="G25" s="7">
        <v>1</v>
      </c>
      <c r="H25" s="22" t="s">
        <v>685</v>
      </c>
      <c r="I25" s="13">
        <v>42706.24428240741</v>
      </c>
      <c r="J25" s="7">
        <v>0</v>
      </c>
      <c r="K25" s="109" t="str">
        <f t="shared" si="0"/>
        <v>4041/4042</v>
      </c>
      <c r="L25" s="22" t="str">
        <f>VLOOKUP(A25,'Trips&amp;Operators'!$C$1:$G$99999,5,FALSE)</f>
        <v>GRASTON MATHEU</v>
      </c>
      <c r="M25" s="6">
        <f t="shared" si="1"/>
        <v>2.5150462963210884E-2</v>
      </c>
      <c r="N25" s="7">
        <f t="shared" si="2"/>
        <v>36.216666667023674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04:01:57-700',mode:absolute,to:'2016-12-02 06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4.5699999999999998E-2</v>
      </c>
      <c r="Z25" s="67">
        <f t="shared" si="9"/>
        <v>23.331700000000001</v>
      </c>
      <c r="AA25" s="67">
        <f t="shared" si="10"/>
        <v>23.286000000000001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0113-02</v>
      </c>
      <c r="AE25" s="91" t="str">
        <f t="shared" si="12"/>
        <v>aws s3 cp s3://rtdc.mdm.uploadarchive.raw/RTDC4042/ "%USERPROFILE%\AppData\Local\Temp\OnboardLogs"\RTDC4042\2016-12-02 --exclude "*" --recursive --include "*20161202*" &amp; "%USERPROFILE%\Documents\GitHub\mrs-test-scripts\Headless Mode &amp; Sideloading\WalkAndUnGZ.bat" "%USERPROFILE%\AppData\Local\Temp\OnboardLogs"\RTDC4042\2016-12-02 &amp; 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</v>
      </c>
      <c r="AF25" s="88" t="str">
        <f t="shared" si="13"/>
        <v>"C:\Program Files (x86)\AstroGrep\AstroGrep.exe" /spath="%USERPROFILE%\AppData\Local\Temp\OnboardLogs" /stypes="app*4042*20161202*"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113-02 --locoid 4042 --swversion DE.1.0.8.0 --startMP 204:457 --initTime 2016-12-02T05:01:57 --startdatetime 2016-12-02T05:15:33 --delay 1 --endMP 204:233317 --enddatetime 2016-12-02T05:51:46 --enforcementcount 0 &gt;&gt;C:\Users\stu\Documents\GitHub\eaglep3-reporting\EC\2016-12-02-refined-times.txt</v>
      </c>
      <c r="AI25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{"issue":{"subject":"","project_id":79,"tracker_id":40,"status_id":1,"priority_id":2,"assigned_to_id":23,"start_date":"2016-12-02","description":"","custom_fields":[{"id":1,"name":"Subdivision","value":"EC"},{"id":4,"name":"Milepost","value":"23.3317"},{"id":17,"name":"Train ID","value":"113-02"},{"id":16,"name":"Locomotive ID","value":"4042"},{"id":130,"name":"Impact","value":""},{"id":150,"name":"Time of Event (Mountain Time)","value":"05:51:46"},{"id":151,"name":"Denver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494</v>
      </c>
      <c r="B26" s="7">
        <v>4041</v>
      </c>
      <c r="C26" s="22" t="s">
        <v>210</v>
      </c>
      <c r="D26" s="22" t="s">
        <v>325</v>
      </c>
      <c r="E26" s="13">
        <v>42706.25476851852</v>
      </c>
      <c r="F26" s="13">
        <v>42706.257928240739</v>
      </c>
      <c r="G26" s="7">
        <v>0</v>
      </c>
      <c r="H26" s="22" t="s">
        <v>243</v>
      </c>
      <c r="I26" s="13">
        <v>42706.283854166664</v>
      </c>
      <c r="J26" s="7">
        <v>0</v>
      </c>
      <c r="K26" s="109" t="str">
        <f t="shared" si="0"/>
        <v>4041/4042</v>
      </c>
      <c r="L26" s="22" t="str">
        <f>VLOOKUP(A26,'Trips&amp;Operators'!$C$1:$G$99999,5,FALSE)</f>
        <v>GRASTON MATHEU</v>
      </c>
      <c r="M26" s="6">
        <f t="shared" si="1"/>
        <v>2.5925925925548654E-2</v>
      </c>
      <c r="N26" s="7">
        <f t="shared" si="2"/>
        <v>37.333333332790062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05:06:52-700',mode:absolute,to:'2016-12-02 07:48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23.300799999999999</v>
      </c>
      <c r="Z26" s="67">
        <f t="shared" si="9"/>
        <v>1.6500000000000001E-2</v>
      </c>
      <c r="AA26" s="67">
        <f t="shared" si="10"/>
        <v>23.284299999999998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0114-02</v>
      </c>
      <c r="AE26" s="91" t="str">
        <f t="shared" si="12"/>
        <v>aws s3 cp s3://rtdc.mdm.uploadarchive.raw/RTDC4041/ "%USERPROFILE%\AppData\Local\Temp\OnboardLogs"\RTDC4041\2016-12-02 --exclude "*" --recursive --include "*20161202*" &amp; "%USERPROFILE%\Documents\GitHub\mrs-test-scripts\Headless Mode &amp; Sideloading\WalkAndUnGZ.bat" "%USERPROFILE%\AppData\Local\Temp\OnboardLogs"\RTDC4041\2016-12-02 &amp; 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</v>
      </c>
      <c r="AF26" s="88" t="str">
        <f t="shared" si="13"/>
        <v>"C:\Program Files (x86)\AstroGrep\AstroGrep.exe" /spath="%USERPROFILE%\AppData\Local\Temp\OnboardLogs" /stypes="app*4041*20161202*"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114-02 --locoid 4041 --swversion DE.1.0.8.0 --startMP 204:233008 --initTime 2016-12-02T06:06:52 --startdatetime 2016-12-02T06:11:25 --delay 0 --endMP 204:165 --enddatetime 2016-12-02T06:48:45 --enforcementcount 0 &gt;&gt;C:\Users\stu\Documents\GitHub\eaglep3-reporting\EC\2016-12-02-refined-times.txt</v>
      </c>
      <c r="AI26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{"issue":{"subject":"","project_id":79,"tracker_id":40,"status_id":1,"priority_id":2,"assigned_to_id":23,"start_date":"2016-12-02","description":"","custom_fields":[{"id":1,"name":"Subdivision","value":"EC"},{"id":4,"name":"Milepost","value":"0.0165"},{"id":17,"name":"Train ID","value":"114-02"},{"id":16,"name":"Locomotive ID","value":"4041"},{"id":130,"name":"Impact","value":""},{"id":150,"name":"Time of Event (Mountain Time)","value":"06:48:45"},{"id":151,"name":"Denver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487</v>
      </c>
      <c r="B27" s="7">
        <v>4022</v>
      </c>
      <c r="C27" s="22" t="s">
        <v>210</v>
      </c>
      <c r="D27" s="22" t="s">
        <v>427</v>
      </c>
      <c r="E27" s="13">
        <v>42706.227407407408</v>
      </c>
      <c r="F27" s="13">
        <v>42706.229548611111</v>
      </c>
      <c r="G27" s="7">
        <v>1</v>
      </c>
      <c r="H27" s="22" t="s">
        <v>296</v>
      </c>
      <c r="I27" s="13">
        <v>42706.253460648149</v>
      </c>
      <c r="J27" s="7">
        <v>0</v>
      </c>
      <c r="K27" s="109" t="str">
        <f t="shared" si="0"/>
        <v>4021/4022</v>
      </c>
      <c r="L27" s="22" t="str">
        <f>VLOOKUP(A27,'Trips&amp;Operators'!$C$1:$G$99999,5,FALSE)</f>
        <v>SAFIEF AEIMEN</v>
      </c>
      <c r="M27" s="6">
        <f t="shared" si="1"/>
        <v>2.3912037038826384E-2</v>
      </c>
      <c r="N27" s="7">
        <f t="shared" si="2"/>
        <v>34.433333335909992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04:27:28-700',mode:absolute,to:'2016-12-02 07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7.5399999999999995E-2</v>
      </c>
      <c r="Z27" s="67">
        <f t="shared" si="9"/>
        <v>23.329699999999999</v>
      </c>
      <c r="AA27" s="67">
        <f t="shared" si="10"/>
        <v>23.254300000000001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0115-02</v>
      </c>
      <c r="AE27" s="91" t="str">
        <f t="shared" si="12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27" s="88" t="str">
        <f t="shared" si="13"/>
        <v>"C:\Program Files (x86)\AstroGrep\AstroGrep.exe" /spath="%USERPROFILE%\AppData\Local\Temp\OnboardLogs" /stypes="app*4022*20161202*"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115-02 --locoid 4022 --swversion DE.1.0.8.0 --startMP 204:754 --initTime 2016-12-02T05:27:28 --startdatetime 2016-12-02T05:30:33 --delay 1 --endMP 204:233297 --enddatetime 2016-12-02T06:04:59 --enforcementcount 0 &gt;&gt;C:\Users\stu\Documents\GitHub\eaglep3-reporting\EC\2016-12-02-refined-times.txt</v>
      </c>
      <c r="AI27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{"issue":{"subject":"","project_id":79,"tracker_id":40,"status_id":1,"priority_id":2,"assigned_to_id":23,"start_date":"2016-12-02","description":"","custom_fields":[{"id":1,"name":"Subdivision","value":"EC"},{"id":4,"name":"Milepost","value":"23.3297"},{"id":17,"name":"Train ID","value":"115-02"},{"id":16,"name":"Locomotive ID","value":"4022"},{"id":130,"name":"Impact","value":""},{"id":150,"name":"Time of Event (Mountain Time)","value":"06:04:59"},{"id":151,"name":"Denver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496</v>
      </c>
      <c r="B28" s="7">
        <v>4021</v>
      </c>
      <c r="C28" s="22" t="s">
        <v>210</v>
      </c>
      <c r="D28" s="22" t="s">
        <v>267</v>
      </c>
      <c r="E28" s="13">
        <v>42706.265023148146</v>
      </c>
      <c r="F28" s="13">
        <v>42706.26829861111</v>
      </c>
      <c r="G28" s="7">
        <v>2</v>
      </c>
      <c r="H28" s="22" t="s">
        <v>287</v>
      </c>
      <c r="I28" s="13">
        <v>42706.293993055559</v>
      </c>
      <c r="J28" s="7">
        <v>0</v>
      </c>
      <c r="K28" s="109" t="str">
        <f t="shared" si="0"/>
        <v>4021/4022</v>
      </c>
      <c r="L28" s="22" t="str">
        <f>VLOOKUP(A28,'Trips&amp;Operators'!$C$1:$G$99999,5,FALSE)</f>
        <v>SAFIEF AEIMEN</v>
      </c>
      <c r="M28" s="6">
        <f t="shared" si="1"/>
        <v>2.5694444448163267E-2</v>
      </c>
      <c r="N28" s="7">
        <f t="shared" si="2"/>
        <v>37.000000005355105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05:21:38-700',mode:absolute,to:'2016-12-02 08:03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23.297999999999998</v>
      </c>
      <c r="Z28" s="67">
        <f t="shared" si="9"/>
        <v>1.6E-2</v>
      </c>
      <c r="AA28" s="67">
        <f t="shared" si="10"/>
        <v>23.282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0116-02</v>
      </c>
      <c r="AE28" s="91" t="str">
        <f t="shared" si="12"/>
        <v>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 &amp; 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</v>
      </c>
      <c r="AF28" s="88" t="str">
        <f t="shared" si="13"/>
        <v>"C:\Program Files (x86)\AstroGrep\AstroGrep.exe" /spath="%USERPROFILE%\AppData\Local\Temp\OnboardLogs" /stypes="app*4021*20161202*"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116-02 --locoid 4021 --swversion DE.1.0.8.0 --startMP 204:232980 --initTime 2016-12-02T06:21:38 --startdatetime 2016-12-02T06:26:21 --delay 2 --endMP 204:160 --enddatetime 2016-12-02T07:03:21 --enforcementcount 0 &gt;&gt;C:\Users\stu\Documents\GitHub\eaglep3-reporting\EC\2016-12-02-refined-times.txt</v>
      </c>
      <c r="AI28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{"issue":{"subject":"","project_id":79,"tracker_id":40,"status_id":1,"priority_id":2,"assigned_to_id":23,"start_date":"2016-12-02","description":"","custom_fields":[{"id":1,"name":"Subdivision","value":"EC"},{"id":4,"name":"Milepost","value":"0.016"},{"id":17,"name":"Train ID","value":"116-02"},{"id":16,"name":"Locomotive ID","value":"4021"},{"id":130,"name":"Impact","value":""},{"id":150,"name":"Time of Event (Mountain Time)","value":"07:03:21"},{"id":151,"name":"Denver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432</v>
      </c>
      <c r="B29" s="7">
        <v>4014</v>
      </c>
      <c r="C29" s="22" t="s">
        <v>210</v>
      </c>
      <c r="D29" s="22" t="s">
        <v>686</v>
      </c>
      <c r="E29" s="13">
        <v>42706.230034722219</v>
      </c>
      <c r="F29" s="13">
        <v>42706.239745370367</v>
      </c>
      <c r="G29" s="7">
        <v>1</v>
      </c>
      <c r="H29" s="22" t="s">
        <v>244</v>
      </c>
      <c r="I29" s="13">
        <v>42706.265219907407</v>
      </c>
      <c r="J29" s="7">
        <v>0</v>
      </c>
      <c r="K29" s="109" t="str">
        <f t="shared" si="0"/>
        <v>4013/4014</v>
      </c>
      <c r="L29" s="22" t="str">
        <f>VLOOKUP(A29,'Trips&amp;Operators'!$C$1:$G$99999,5,FALSE)</f>
        <v>DAVIS WENDY</v>
      </c>
      <c r="M29" s="6">
        <f t="shared" si="1"/>
        <v>2.5474537040281575E-2</v>
      </c>
      <c r="N29" s="7">
        <f t="shared" si="2"/>
        <v>36.683333338005468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04:31:15-700',mode:absolute,to:'2016-12-02 07:21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4.1500000000000002E-2</v>
      </c>
      <c r="Z29" s="67">
        <f t="shared" si="9"/>
        <v>23.331399999999999</v>
      </c>
      <c r="AA29" s="67">
        <f t="shared" si="10"/>
        <v>23.289899999999999</v>
      </c>
      <c r="AB29" s="64" t="str">
        <f>VLOOKUP(A29,Enforcements!$C$7:$K$19,8,0)</f>
        <v>Bulletin (2)</v>
      </c>
      <c r="AC29" s="60" t="str">
        <f>VLOOKUP(A29,Enforcements!$C$7:$E$19,3,0)</f>
        <v>TEMPORARY SPEED RESTRICTION</v>
      </c>
      <c r="AD29" s="61" t="str">
        <f t="shared" si="11"/>
        <v>0117-02</v>
      </c>
      <c r="AE29" s="91" t="str">
        <f t="shared" si="12"/>
        <v>aws s3 cp s3://rtdc.mdm.uploadarchive.raw/RTDC4014/ "%USERPROFILE%\AppData\Local\Temp\OnboardLogs"\RTDC4014\2016-12-02 --exclude "*" --recursive --include "*20161202*" &amp; "%USERPROFILE%\Documents\GitHub\mrs-test-scripts\Headless Mode &amp; Sideloading\WalkAndUnGZ.bat" "%USERPROFILE%\AppData\Local\Temp\OnboardLogs"\RTDC4014\2016-12-02 &amp; 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</v>
      </c>
      <c r="AF29" s="88" t="str">
        <f t="shared" si="13"/>
        <v>"C:\Program Files (x86)\AstroGrep\AstroGrep.exe" /spath="%USERPROFILE%\AppData\Local\Temp\OnboardLogs" /stypes="app*4014*20161202*"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117-02 --locoid 4014 --swversion DE.1.0.8.0 --startMP 204:415 --initTime 2016-12-02T05:31:15 --startdatetime 2016-12-02T05:45:14 --delay 1 --endMP 204:233314 --enddatetime 2016-12-02T06:21:55 --enforcementcount 0 &gt;&gt;C:\Users\stu\Documents\GitHub\eaglep3-reporting\EC\2016-12-02-refined-times.txt</v>
      </c>
      <c r="AI29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{"issue":{"subject":"","project_id":79,"tracker_id":40,"status_id":1,"priority_id":2,"assigned_to_id":23,"start_date":"2016-12-02","description":"","custom_fields":[{"id":1,"name":"Subdivision","value":"EC"},{"id":4,"name":"Milepost","value":"23.3314"},{"id":17,"name":"Train ID","value":"117-02"},{"id":16,"name":"Locomotive ID","value":"4014"},{"id":130,"name":"Impact","value":""},{"id":150,"name":"Time of Event (Mountain Time)","value":"06:21:55"},{"id":151,"name":"Denver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498</v>
      </c>
      <c r="B30" s="7">
        <v>4013</v>
      </c>
      <c r="C30" s="22" t="s">
        <v>210</v>
      </c>
      <c r="D30" s="22" t="s">
        <v>332</v>
      </c>
      <c r="E30" s="13">
        <v>42706.273032407407</v>
      </c>
      <c r="F30" s="13">
        <v>42706.279004629629</v>
      </c>
      <c r="G30" s="7">
        <v>1</v>
      </c>
      <c r="H30" s="22" t="s">
        <v>687</v>
      </c>
      <c r="I30" s="13">
        <v>42706.306030092594</v>
      </c>
      <c r="J30" s="7">
        <v>0</v>
      </c>
      <c r="K30" s="109" t="str">
        <f t="shared" si="0"/>
        <v>4013/4014</v>
      </c>
      <c r="L30" s="22" t="str">
        <f>VLOOKUP(A30,'Trips&amp;Operators'!$C$1:$G$99999,5,FALSE)</f>
        <v>DAVIS WENDY</v>
      </c>
      <c r="M30" s="6">
        <f t="shared" si="1"/>
        <v>2.7025462964957114E-2</v>
      </c>
      <c r="N30" s="7">
        <f t="shared" si="2"/>
        <v>38.916666669538245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05:33:10-700',mode:absolute,to:'2016-12-02 08:20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23.2987</v>
      </c>
      <c r="Z30" s="67">
        <f t="shared" si="9"/>
        <v>1.3599999999999999E-2</v>
      </c>
      <c r="AA30" s="67">
        <f t="shared" si="10"/>
        <v>23.2851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0118-02</v>
      </c>
      <c r="AE30" s="91" t="str">
        <f t="shared" si="12"/>
        <v>aws s3 cp s3://rtdc.mdm.uploadarchive.raw/RTDC4013/ "%USERPROFILE%\AppData\Local\Temp\OnboardLogs"\RTDC4013\2016-12-02 --exclude "*" --recursive --include "*20161202*" &amp; "%USERPROFILE%\Documents\GitHub\mrs-test-scripts\Headless Mode &amp; Sideloading\WalkAndUnGZ.bat" "%USERPROFILE%\AppData\Local\Temp\OnboardLogs"\RTDC4013\2016-12-02 &amp; 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</v>
      </c>
      <c r="AF30" s="88" t="str">
        <f t="shared" si="13"/>
        <v>"C:\Program Files (x86)\AstroGrep\AstroGrep.exe" /spath="%USERPROFILE%\AppData\Local\Temp\OnboardLogs" /stypes="app*4013*20161202*"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118-02 --locoid 4013 --swversion DE.1.0.8.0 --startMP 204:232987 --initTime 2016-12-02T06:33:10 --startdatetime 2016-12-02T06:41:46 --delay 1 --endMP 204:136 --enddatetime 2016-12-02T07:20:41 --enforcementcount 0 &gt;&gt;C:\Users\stu\Documents\GitHub\eaglep3-reporting\EC\2016-12-02-refined-times.txt</v>
      </c>
      <c r="AI30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{"issue":{"subject":"","project_id":79,"tracker_id":40,"status_id":1,"priority_id":2,"assigned_to_id":23,"start_date":"2016-12-02","description":"","custom_fields":[{"id":1,"name":"Subdivision","value":"EC"},{"id":4,"name":"Milepost","value":"0.0136"},{"id":17,"name":"Train ID","value":"118-02"},{"id":16,"name":"Locomotive ID","value":"4013"},{"id":130,"name":"Impact","value":""},{"id":150,"name":"Time of Event (Mountain Time)","value":"07:20:41"},{"id":151,"name":"Denver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491</v>
      </c>
      <c r="B31" s="7">
        <v>4011</v>
      </c>
      <c r="C31" s="22" t="s">
        <v>210</v>
      </c>
      <c r="D31" s="22" t="s">
        <v>688</v>
      </c>
      <c r="E31" s="13">
        <v>42706.246562499997</v>
      </c>
      <c r="F31" s="13">
        <v>42706.250196759262</v>
      </c>
      <c r="G31" s="7">
        <v>1</v>
      </c>
      <c r="H31" s="22" t="s">
        <v>296</v>
      </c>
      <c r="I31" s="13">
        <v>42706.275127314817</v>
      </c>
      <c r="J31" s="7">
        <v>0</v>
      </c>
      <c r="K31" s="109" t="str">
        <f t="shared" si="0"/>
        <v>4011/4012</v>
      </c>
      <c r="L31" s="22" t="str">
        <f>VLOOKUP(A31,'Trips&amp;Operators'!$C$1:$G$99999,5,FALSE)</f>
        <v>ROBINSON KADDIBA</v>
      </c>
      <c r="M31" s="6">
        <f t="shared" si="1"/>
        <v>2.4930555555329192E-2</v>
      </c>
      <c r="N31" s="7">
        <f t="shared" si="2"/>
        <v>35.899999999674037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04:55:03-700',mode:absolute,to:'2016-12-02 07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7.3899999999999993E-2</v>
      </c>
      <c r="Z31" s="67">
        <f t="shared" si="9"/>
        <v>23.329699999999999</v>
      </c>
      <c r="AA31" s="67">
        <f t="shared" si="10"/>
        <v>23.255800000000001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0119-02</v>
      </c>
      <c r="AE31" s="91" t="str">
        <f t="shared" si="12"/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AF31" s="88" t="str">
        <f t="shared" si="13"/>
        <v>"C:\Program Files (x86)\AstroGrep\AstroGrep.exe" /spath="%USERPROFILE%\AppData\Local\Temp\OnboardLogs" /stypes="app*4011*20161202*"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119-02 --locoid 4011 --swversion DE.1.0.8.0 --startMP 204:739 --initTime 2016-12-02T05:55:03 --startdatetime 2016-12-02T06:00:17 --delay 1 --endMP 204:233297 --enddatetime 2016-12-02T06:36:11 --enforcementcount 0 &gt;&gt;C:\Users\stu\Documents\GitHub\eaglep3-reporting\EC\2016-12-02-refined-times.txt</v>
      </c>
      <c r="AI31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{"issue":{"subject":"","project_id":79,"tracker_id":40,"status_id":1,"priority_id":2,"assigned_to_id":23,"start_date":"2016-12-02","description":"","custom_fields":[{"id":1,"name":"Subdivision","value":"EC"},{"id":4,"name":"Milepost","value":"23.3297"},{"id":17,"name":"Train ID","value":"119-02"},{"id":16,"name":"Locomotive ID","value":"4011"},{"id":130,"name":"Impact","value":""},{"id":150,"name":"Time of Event (Mountain Time)","value":"06:36:11"},{"id":151,"name":"Denver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501</v>
      </c>
      <c r="B32" s="7">
        <v>4012</v>
      </c>
      <c r="C32" s="22" t="s">
        <v>210</v>
      </c>
      <c r="D32" s="22" t="s">
        <v>288</v>
      </c>
      <c r="E32" s="13">
        <v>42706.282222222224</v>
      </c>
      <c r="F32" s="13">
        <v>42706.2890625</v>
      </c>
      <c r="G32" s="7">
        <v>1</v>
      </c>
      <c r="H32" s="22" t="s">
        <v>689</v>
      </c>
      <c r="I32" s="13">
        <v>42706.315023148149</v>
      </c>
      <c r="J32" s="7">
        <v>0</v>
      </c>
      <c r="K32" s="109" t="str">
        <f t="shared" si="0"/>
        <v>4011/4012</v>
      </c>
      <c r="L32" s="22" t="str">
        <f>VLOOKUP(A32,'Trips&amp;Operators'!$C$1:$G$99999,5,FALSE)</f>
        <v>ROBINSON KADDIBA</v>
      </c>
      <c r="M32" s="6">
        <f t="shared" si="1"/>
        <v>2.5960648148611654E-2</v>
      </c>
      <c r="N32" s="7">
        <f t="shared" si="2"/>
        <v>37.383333334000781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05:46:24-700',mode:absolute,to:'2016-12-02 08:33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23.298200000000001</v>
      </c>
      <c r="Z32" s="67">
        <f t="shared" si="9"/>
        <v>1.34E-2</v>
      </c>
      <c r="AA32" s="67">
        <f t="shared" si="10"/>
        <v>23.284800000000001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0120-02</v>
      </c>
      <c r="AE32" s="91" t="str">
        <f t="shared" si="12"/>
        <v>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 &amp; 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</v>
      </c>
      <c r="AF32" s="88" t="str">
        <f t="shared" si="13"/>
        <v>"C:\Program Files (x86)\AstroGrep\AstroGrep.exe" /spath="%USERPROFILE%\AppData\Local\Temp\OnboardLogs" /stypes="app*4012*20161202*"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120-02 --locoid 4012 --swversion DE.1.0.8.0 --startMP 204:232982 --initTime 2016-12-02T06:46:24 --startdatetime 2016-12-02T06:56:15 --delay 1 --endMP 204:134 --enddatetime 2016-12-02T07:33:38 --enforcementcount 0 &gt;&gt;C:\Users\stu\Documents\GitHub\eaglep3-reporting\EC\2016-12-02-refined-times.txt</v>
      </c>
      <c r="AI32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{"issue":{"subject":"","project_id":79,"tracker_id":40,"status_id":1,"priority_id":2,"assigned_to_id":23,"start_date":"2016-12-02","description":"","custom_fields":[{"id":1,"name":"Subdivision","value":"EC"},{"id":4,"name":"Milepost","value":"0.0134"},{"id":17,"name":"Train ID","value":"120-02"},{"id":16,"name":"Locomotive ID","value":"4012"},{"id":130,"name":"Impact","value":""},{"id":150,"name":"Time of Event (Mountain Time)","value":"07:33:38"},{"id":151,"name":"Denver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493</v>
      </c>
      <c r="B33" s="7">
        <v>4002</v>
      </c>
      <c r="C33" s="22" t="s">
        <v>210</v>
      </c>
      <c r="D33" s="22" t="s">
        <v>252</v>
      </c>
      <c r="E33" s="13">
        <v>42706.254305555558</v>
      </c>
      <c r="F33" s="13">
        <v>42706.26059027778</v>
      </c>
      <c r="G33" s="7">
        <v>1</v>
      </c>
      <c r="H33" s="22" t="s">
        <v>324</v>
      </c>
      <c r="I33" s="13">
        <v>42706.284675925926</v>
      </c>
      <c r="J33" s="7">
        <v>0</v>
      </c>
      <c r="K33" s="109" t="str">
        <f t="shared" si="0"/>
        <v>4001/4002</v>
      </c>
      <c r="L33" s="22" t="str">
        <f>VLOOKUP(A33,'Trips&amp;Operators'!$C$1:$G$99999,5,FALSE)</f>
        <v>BRANNON JEFFREY</v>
      </c>
      <c r="M33" s="6">
        <f t="shared" si="1"/>
        <v>2.4085648146865424E-2</v>
      </c>
      <c r="N33" s="7">
        <f t="shared" si="2"/>
        <v>34.68333333148621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05:06:12-700',mode:absolute,to:'2016-12-02 07:49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4.5699999999999998E-2</v>
      </c>
      <c r="Z33" s="67">
        <f t="shared" si="9"/>
        <v>23.332100000000001</v>
      </c>
      <c r="AA33" s="67">
        <f t="shared" si="10"/>
        <v>23.2864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0121-02</v>
      </c>
      <c r="AE33" s="91" t="str">
        <f t="shared" si="12"/>
        <v>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 &amp; 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</v>
      </c>
      <c r="AF33" s="88" t="str">
        <f t="shared" si="13"/>
        <v>"C:\Program Files (x86)\AstroGrep\AstroGrep.exe" /spath="%USERPROFILE%\AppData\Local\Temp\OnboardLogs" /stypes="app*4002*20161202*"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121-02 --locoid 4002 --swversion DE.1.0.8.0 --startMP 204:457 --initTime 2016-12-02T06:06:12 --startdatetime 2016-12-02T06:15:15 --delay 1 --endMP 204:233321 --enddatetime 2016-12-02T06:49:56 --enforcementcount 0 &gt;&gt;C:\Users\stu\Documents\GitHub\eaglep3-reporting\EC\2016-12-02-refined-times.txt</v>
      </c>
      <c r="AI33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{"issue":{"subject":"","project_id":79,"tracker_id":40,"status_id":1,"priority_id":2,"assigned_to_id":23,"start_date":"2016-12-02","description":"","custom_fields":[{"id":1,"name":"Subdivision","value":"EC"},{"id":4,"name":"Milepost","value":"23.3321"},{"id":17,"name":"Train ID","value":"121-02"},{"id":16,"name":"Locomotive ID","value":"4002"},{"id":130,"name":"Impact","value":""},{"id":150,"name":"Time of Event (Mountain Time)","value":"06:49:56"},{"id":151,"name":"Denver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436</v>
      </c>
      <c r="B34" s="7">
        <v>4001</v>
      </c>
      <c r="C34" s="22" t="s">
        <v>210</v>
      </c>
      <c r="D34" s="22" t="s">
        <v>337</v>
      </c>
      <c r="E34" s="13">
        <v>42706.296539351853</v>
      </c>
      <c r="F34" s="13">
        <v>42706.299490740741</v>
      </c>
      <c r="G34" s="7">
        <v>1</v>
      </c>
      <c r="H34" s="22" t="s">
        <v>690</v>
      </c>
      <c r="I34" s="13">
        <v>42706.325509259259</v>
      </c>
      <c r="J34" s="7">
        <v>0</v>
      </c>
      <c r="K34" s="109" t="str">
        <f t="shared" si="0"/>
        <v>4001/4002</v>
      </c>
      <c r="L34" s="22" t="str">
        <f>VLOOKUP(A34,'Trips&amp;Operators'!$C$1:$G$99999,5,FALSE)</f>
        <v>BRANNON JEFFREY</v>
      </c>
      <c r="M34" s="6">
        <f t="shared" si="1"/>
        <v>2.6018518517958E-2</v>
      </c>
      <c r="N34" s="7">
        <f t="shared" si="2"/>
        <v>37.46666666585952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06:07:01-700',mode:absolute,to:'2016-12-02 08:48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23.299099999999999</v>
      </c>
      <c r="Z34" s="67">
        <f t="shared" si="9"/>
        <v>1.72E-2</v>
      </c>
      <c r="AA34" s="67">
        <f t="shared" si="10"/>
        <v>23.2819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0122-02</v>
      </c>
      <c r="AE34" s="91" t="str">
        <f t="shared" si="12"/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AF34" s="88" t="str">
        <f t="shared" si="13"/>
        <v>"C:\Program Files (x86)\AstroGrep\AstroGrep.exe" /spath="%USERPROFILE%\AppData\Local\Temp\OnboardLogs" /stypes="app*4001*20161202*"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122-02 --locoid 4001 --swversion DE.1.0.8.0 --startMP 204:232991 --initTime 2016-12-02T07:07:01 --startdatetime 2016-12-02T07:11:16 --delay 1 --endMP 204:172 --enddatetime 2016-12-02T07:48:44 --enforcementcount 0 &gt;&gt;C:\Users\stu\Documents\GitHub\eaglep3-reporting\EC\2016-12-02-refined-times.txt</v>
      </c>
      <c r="AI34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{"issue":{"subject":"","project_id":79,"tracker_id":40,"status_id":1,"priority_id":2,"assigned_to_id":23,"start_date":"2016-12-02","description":"","custom_fields":[{"id":1,"name":"Subdivision","value":"EC"},{"id":4,"name":"Milepost","value":"0.0172"},{"id":17,"name":"Train ID","value":"122-02"},{"id":16,"name":"Locomotive ID","value":"4001"},{"id":130,"name":"Impact","value":""},{"id":150,"name":"Time of Event (Mountain Time)","value":"07:48:44"},{"id":151,"name":"Denver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497</v>
      </c>
      <c r="B35" s="7">
        <v>4003</v>
      </c>
      <c r="C35" s="22" t="s">
        <v>210</v>
      </c>
      <c r="D35" s="22" t="s">
        <v>691</v>
      </c>
      <c r="E35" s="13">
        <v>42706.267013888886</v>
      </c>
      <c r="F35" s="13">
        <v>42706.271238425928</v>
      </c>
      <c r="G35" s="7">
        <v>1</v>
      </c>
      <c r="H35" s="22" t="s">
        <v>692</v>
      </c>
      <c r="I35" s="13">
        <v>42706.2968287037</v>
      </c>
      <c r="J35" s="7">
        <v>0</v>
      </c>
      <c r="K35" s="109" t="str">
        <f t="shared" si="0"/>
        <v>4003/4004</v>
      </c>
      <c r="L35" s="22" t="str">
        <f>VLOOKUP(A35,'Trips&amp;Operators'!$C$1:$G$99999,5,FALSE)</f>
        <v>MAGEE KENYA</v>
      </c>
      <c r="M35" s="6">
        <f t="shared" si="1"/>
        <v>2.5590277771698311E-2</v>
      </c>
      <c r="N35" s="7">
        <f t="shared" si="2"/>
        <v>36.849999991245568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05:24:30-700',mode:absolute,to:'2016-12-02 08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4.4400000000000002E-2</v>
      </c>
      <c r="Z35" s="67">
        <f t="shared" si="9"/>
        <v>23.3293</v>
      </c>
      <c r="AA35" s="67">
        <f t="shared" si="10"/>
        <v>23.2849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0123-02</v>
      </c>
      <c r="AE35" s="91" t="str">
        <f t="shared" si="12"/>
        <v>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 &amp; 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</v>
      </c>
      <c r="AF35" s="88" t="str">
        <f t="shared" si="13"/>
        <v>"C:\Program Files (x86)\AstroGrep\AstroGrep.exe" /spath="%USERPROFILE%\AppData\Local\Temp\OnboardLogs" /stypes="app*4003*20161202*"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123-02 --locoid 4003 --swversion DE.1.0.8.0 --startMP 204:444 --initTime 2016-12-02T06:24:30 --startdatetime 2016-12-02T06:30:35 --delay 1 --endMP 204:233293 --enddatetime 2016-12-02T07:07:26 --enforcementcount 0 &gt;&gt;C:\Users\stu\Documents\GitHub\eaglep3-reporting\EC\2016-12-02-refined-times.txt</v>
      </c>
      <c r="AI35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{"issue":{"subject":"","project_id":79,"tracker_id":40,"status_id":1,"priority_id":2,"assigned_to_id":23,"start_date":"2016-12-02","description":"","custom_fields":[{"id":1,"name":"Subdivision","value":"EC"},{"id":4,"name":"Milepost","value":"23.3293"},{"id":17,"name":"Train ID","value":"123-02"},{"id":16,"name":"Locomotive ID","value":"4003"},{"id":130,"name":"Impact","value":""},{"id":150,"name":"Time of Event (Mountain Time)","value":"07:07:26"},{"id":151,"name":"Denver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505</v>
      </c>
      <c r="B36" s="7">
        <v>4004</v>
      </c>
      <c r="C36" s="22" t="s">
        <v>210</v>
      </c>
      <c r="D36" s="22" t="s">
        <v>288</v>
      </c>
      <c r="E36" s="13">
        <v>42706.299421296295</v>
      </c>
      <c r="F36" s="13">
        <v>42706.310127314813</v>
      </c>
      <c r="G36" s="7">
        <v>1</v>
      </c>
      <c r="H36" s="22" t="s">
        <v>251</v>
      </c>
      <c r="I36" s="13">
        <v>42706.337141203701</v>
      </c>
      <c r="J36" s="7">
        <v>0</v>
      </c>
      <c r="K36" s="109" t="str">
        <f t="shared" si="0"/>
        <v>4003/4004</v>
      </c>
      <c r="L36" s="22" t="str">
        <f>VLOOKUP(A36,'Trips&amp;Operators'!$C$1:$G$99999,5,FALSE)</f>
        <v>MAGEE KENYA</v>
      </c>
      <c r="M36" s="6">
        <f t="shared" si="1"/>
        <v>2.7013888888177462E-2</v>
      </c>
      <c r="N36" s="7">
        <f t="shared" si="2"/>
        <v>38.899999998975545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06:11:10-700',mode:absolute,to:'2016-12-02 09:05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23.298200000000001</v>
      </c>
      <c r="Z36" s="67">
        <f t="shared" si="9"/>
        <v>1.3899999999999999E-2</v>
      </c>
      <c r="AA36" s="67">
        <f t="shared" si="10"/>
        <v>23.284300000000002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0124-02</v>
      </c>
      <c r="AE36" s="91" t="str">
        <f t="shared" si="12"/>
        <v>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 &amp; 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</v>
      </c>
      <c r="AF36" s="88" t="str">
        <f t="shared" si="13"/>
        <v>"C:\Program Files (x86)\AstroGrep\AstroGrep.exe" /spath="%USERPROFILE%\AppData\Local\Temp\OnboardLogs" /stypes="app*4004*20161202*"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124-02 --locoid 4004 --swversion DE.1.0.8.0 --startMP 204:232982 --initTime 2016-12-02T07:11:10 --startdatetime 2016-12-02T07:26:35 --delay 1 --endMP 204:139 --enddatetime 2016-12-02T08:05:29 --enforcementcount 0 &gt;&gt;C:\Users\stu\Documents\GitHub\eaglep3-reporting\EC\2016-12-02-refined-times.txt</v>
      </c>
      <c r="AI36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{"issue":{"subject":"","project_id":79,"tracker_id":40,"status_id":1,"priority_id":2,"assigned_to_id":23,"start_date":"2016-12-02","description":"","custom_fields":[{"id":1,"name":"Subdivision","value":"EC"},{"id":4,"name":"Milepost","value":"0.0139"},{"id":17,"name":"Train ID","value":"124-02"},{"id":16,"name":"Locomotive ID","value":"4004"},{"id":130,"name":"Impact","value":""},{"id":150,"name":"Time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500</v>
      </c>
      <c r="B37" s="7">
        <v>4044</v>
      </c>
      <c r="C37" s="22" t="s">
        <v>210</v>
      </c>
      <c r="D37" s="22" t="s">
        <v>247</v>
      </c>
      <c r="E37" s="13">
        <v>42706.277581018519</v>
      </c>
      <c r="F37" s="13">
        <v>42706.281412037039</v>
      </c>
      <c r="G37" s="7">
        <v>2</v>
      </c>
      <c r="H37" s="22" t="s">
        <v>693</v>
      </c>
      <c r="I37" s="13">
        <v>42706.305752314816</v>
      </c>
      <c r="J37" s="7">
        <v>0</v>
      </c>
      <c r="K37" s="109" t="str">
        <f t="shared" si="0"/>
        <v>4043/4044</v>
      </c>
      <c r="L37" s="22" t="str">
        <f>VLOOKUP(A37,'Trips&amp;Operators'!$C$1:$G$99999,5,FALSE)</f>
        <v>SPECTOR MICHAEL</v>
      </c>
      <c r="M37" s="6">
        <f t="shared" si="1"/>
        <v>2.4340277777810115E-2</v>
      </c>
      <c r="N37" s="7">
        <f t="shared" si="2"/>
        <v>35.050000000046566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05:39:43-700',mode:absolute,to:'2016-12-02 08:20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4.4200000000000003E-2</v>
      </c>
      <c r="Z37" s="67">
        <f t="shared" si="9"/>
        <v>23.3338</v>
      </c>
      <c r="AA37" s="67">
        <f t="shared" si="10"/>
        <v>23.2896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0125-02</v>
      </c>
      <c r="AE37" s="91" t="str">
        <f t="shared" si="12"/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37" s="88" t="str">
        <f t="shared" si="13"/>
        <v>"C:\Program Files (x86)\AstroGrep\AstroGrep.exe" /spath="%USERPROFILE%\AppData\Local\Temp\OnboardLogs" /stypes="app*4044*20161202*"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125-02 --locoid 4044 --swversion DE.1.0.8.0 --startMP 204:442 --initTime 2016-12-02T06:39:43 --startdatetime 2016-12-02T06:45:14 --delay 2 --endMP 204:233338 --enddatetime 2016-12-02T07:20:17 --enforcementcount 0 &gt;&gt;C:\Users\stu\Documents\GitHub\eaglep3-reporting\EC\2016-12-02-refined-times.txt</v>
      </c>
      <c r="AI37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{"issue":{"subject":"","project_id":79,"tracker_id":40,"status_id":1,"priority_id":2,"assigned_to_id":23,"start_date":"2016-12-02","description":"","custom_fields":[{"id":1,"name":"Subdivision","value":"EC"},{"id":4,"name":"Milepost","value":"23.3338"},{"id":17,"name":"Train ID","value":"125-02"},{"id":16,"name":"Locomotive ID","value":"4044"},{"id":130,"name":"Impact","value":""},{"id":150,"name":"Time of Event (Mountain Time)","value":"07:20:17"},{"id":151,"name":"Denver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438</v>
      </c>
      <c r="B38" s="7">
        <v>4043</v>
      </c>
      <c r="C38" s="22" t="s">
        <v>210</v>
      </c>
      <c r="D38" s="22" t="s">
        <v>694</v>
      </c>
      <c r="E38" s="13">
        <v>42706.31690972222</v>
      </c>
      <c r="F38" s="13">
        <v>42706.320625</v>
      </c>
      <c r="G38" s="7">
        <v>1</v>
      </c>
      <c r="H38" s="22" t="s">
        <v>251</v>
      </c>
      <c r="I38" s="13">
        <v>42706.347604166665</v>
      </c>
      <c r="J38" s="7">
        <v>0</v>
      </c>
      <c r="K38" s="109" t="str">
        <f t="shared" si="0"/>
        <v>4043/4044</v>
      </c>
      <c r="L38" s="22" t="str">
        <f>VLOOKUP(A38,'Trips&amp;Operators'!$C$1:$G$99999,5,FALSE)</f>
        <v>SPECTOR MICHAEL</v>
      </c>
      <c r="M38" s="6">
        <f t="shared" si="1"/>
        <v>2.6979166665114462E-2</v>
      </c>
      <c r="N38" s="7">
        <f t="shared" si="2"/>
        <v>38.849999997764826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06:36:21-700',mode:absolute,to:'2016-12-02 09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23.3002</v>
      </c>
      <c r="Z38" s="67">
        <f t="shared" si="9"/>
        <v>1.3899999999999999E-2</v>
      </c>
      <c r="AA38" s="67">
        <f t="shared" si="10"/>
        <v>23.286300000000001</v>
      </c>
      <c r="AB38" s="64" t="str">
        <f>VLOOKUP(A38,Enforcements!$C$7:$K$19,8,0)</f>
        <v>Bulletin (2)</v>
      </c>
      <c r="AC38" s="60" t="str">
        <f>VLOOKUP(A38,Enforcements!$C$7:$E$19,3,0)</f>
        <v>GRADE CROSSING</v>
      </c>
      <c r="AD38" s="61" t="str">
        <f t="shared" si="11"/>
        <v>0126-02</v>
      </c>
      <c r="AE38" s="91" t="str">
        <f t="shared" si="12"/>
        <v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v>
      </c>
      <c r="AF38" s="88" t="str">
        <f t="shared" si="13"/>
        <v>"C:\Program Files (x86)\AstroGrep\AstroGrep.exe" /spath="%USERPROFILE%\AppData\Local\Temp\OnboardLogs" /stypes="app*4043*20161202*"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126-02 --locoid 4043 --swversion DE.1.0.8.0 --startMP 204:233002 --initTime 2016-12-02T07:36:21 --startdatetime 2016-12-02T07:41:42 --delay 1 --endMP 204:139 --enddatetime 2016-12-02T08:20:33 --enforcementcount 0 &gt;&gt;C:\Users\stu\Documents\GitHub\eaglep3-reporting\EC\2016-12-02-refined-times.txt</v>
      </c>
      <c r="AI38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{"issue":{"subject":"","project_id":79,"tracker_id":40,"status_id":1,"priority_id":2,"assigned_to_id":23,"start_date":"2016-12-02","description":"","custom_fields":[{"id":1,"name":"Subdivision","value":"EC"},{"id":4,"name":"Milepost","value":"0.0139"},{"id":17,"name":"Train ID","value":"126-02"},{"id":16,"name":"Locomotive ID","value":"4043"},{"id":130,"name":"Impact","value":""},{"id":150,"name":"Time of Event (Mountain Time)","value":"08:20:33"},{"id":151,"name":"Denver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502</v>
      </c>
      <c r="B39" s="7">
        <v>4042</v>
      </c>
      <c r="C39" s="22" t="s">
        <v>210</v>
      </c>
      <c r="D39" s="22" t="s">
        <v>195</v>
      </c>
      <c r="E39" s="13">
        <v>42706.289594907408</v>
      </c>
      <c r="F39" s="13">
        <v>42706.291909722226</v>
      </c>
      <c r="G39" s="7">
        <v>1</v>
      </c>
      <c r="H39" s="22" t="s">
        <v>695</v>
      </c>
      <c r="I39" s="13">
        <v>42706.316365740742</v>
      </c>
      <c r="J39" s="7">
        <v>0</v>
      </c>
      <c r="K39" s="109" t="str">
        <f t="shared" si="0"/>
        <v>4041/4042</v>
      </c>
      <c r="L39" s="22" t="str">
        <f>VLOOKUP(A39,'Trips&amp;Operators'!$C$1:$G$99999,5,FALSE)</f>
        <v>GRASTON MATHEU</v>
      </c>
      <c r="M39" s="6">
        <f t="shared" si="1"/>
        <v>2.4456018516502809E-2</v>
      </c>
      <c r="N39" s="7">
        <f t="shared" si="2"/>
        <v>35.216666663764045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05:57:01-700',mode:absolute,to:'2016-12-02 08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4.5100000000000001E-2</v>
      </c>
      <c r="Z39" s="67">
        <f t="shared" si="9"/>
        <v>23.335699999999999</v>
      </c>
      <c r="AA39" s="67">
        <f t="shared" si="10"/>
        <v>23.290599999999998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0127-02</v>
      </c>
      <c r="AE39" s="91" t="str">
        <f t="shared" si="12"/>
        <v>aws s3 cp s3://rtdc.mdm.uploadarchive.raw/RTDC4042/ "%USERPROFILE%\AppData\Local\Temp\OnboardLogs"\RTDC4042\2016-12-02 --exclude "*" --recursive --include "*20161202*" &amp; "%USERPROFILE%\Documents\GitHub\mrs-test-scripts\Headless Mode &amp; Sideloading\WalkAndUnGZ.bat" "%USERPROFILE%\AppData\Local\Temp\OnboardLogs"\RTDC4042\2016-12-02 &amp; 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</v>
      </c>
      <c r="AF39" s="88" t="str">
        <f t="shared" si="13"/>
        <v>"C:\Program Files (x86)\AstroGrep\AstroGrep.exe" /spath="%USERPROFILE%\AppData\Local\Temp\OnboardLogs" /stypes="app*4042*20161202*"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127-02 --locoid 4042 --swversion DE.1.0.8.0 --startMP 204:451 --initTime 2016-12-02T06:57:01 --startdatetime 2016-12-02T07:00:21 --delay 1 --endMP 204:233357 --enddatetime 2016-12-02T07:35:34 --enforcementcount 0 &gt;&gt;C:\Users\stu\Documents\GitHub\eaglep3-reporting\EC\2016-12-02-refined-times.txt</v>
      </c>
      <c r="AI39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{"issue":{"subject":"","project_id":79,"tracker_id":40,"status_id":1,"priority_id":2,"assigned_to_id":23,"start_date":"2016-12-02","description":"","custom_fields":[{"id":1,"name":"Subdivision","value":"EC"},{"id":4,"name":"Milepost","value":"23.3357"},{"id":17,"name":"Train ID","value":"127-02"},{"id":16,"name":"Locomotive ID","value":"4042"},{"id":130,"name":"Impact","value":""},{"id":150,"name":"Time of Event (Mountain Time)","value":"07:35:34"},{"id":151,"name":"Denver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510</v>
      </c>
      <c r="B40" s="7">
        <v>4041</v>
      </c>
      <c r="C40" s="22" t="s">
        <v>210</v>
      </c>
      <c r="D40" s="22" t="s">
        <v>397</v>
      </c>
      <c r="E40" s="13">
        <v>42706.32775462963</v>
      </c>
      <c r="F40" s="13">
        <v>42706.33079861111</v>
      </c>
      <c r="G40" s="7">
        <v>1</v>
      </c>
      <c r="H40" s="22" t="s">
        <v>206</v>
      </c>
      <c r="I40" s="13">
        <v>42706.356516203705</v>
      </c>
      <c r="J40" s="7">
        <v>0</v>
      </c>
      <c r="K40" s="109" t="str">
        <f t="shared" si="0"/>
        <v>4041/4042</v>
      </c>
      <c r="L40" s="22" t="str">
        <f>VLOOKUP(A40,'Trips&amp;Operators'!$C$1:$G$99999,5,FALSE)</f>
        <v>GRASTON MATHEU</v>
      </c>
      <c r="M40" s="6">
        <f t="shared" si="1"/>
        <v>2.5717592594446614E-2</v>
      </c>
      <c r="N40" s="7">
        <f t="shared" si="2"/>
        <v>37.033333336003125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06:51:58-700',mode:absolute,to:'2016-12-02 09:33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23.3</v>
      </c>
      <c r="Z40" s="67">
        <f t="shared" si="9"/>
        <v>1.5599999999999999E-2</v>
      </c>
      <c r="AA40" s="67">
        <f t="shared" si="10"/>
        <v>23.284400000000002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0128-02</v>
      </c>
      <c r="AE40" s="91" t="str">
        <f t="shared" si="12"/>
        <v>aws s3 cp s3://rtdc.mdm.uploadarchive.raw/RTDC4041/ "%USERPROFILE%\AppData\Local\Temp\OnboardLogs"\RTDC4041\2016-12-02 --exclude "*" --recursive --include "*20161202*" &amp; "%USERPROFILE%\Documents\GitHub\mrs-test-scripts\Headless Mode &amp; Sideloading\WalkAndUnGZ.bat" "%USERPROFILE%\AppData\Local\Temp\OnboardLogs"\RTDC4041\2016-12-02 &amp; 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</v>
      </c>
      <c r="AF40" s="88" t="str">
        <f t="shared" si="13"/>
        <v>"C:\Program Files (x86)\AstroGrep\AstroGrep.exe" /spath="%USERPROFILE%\AppData\Local\Temp\OnboardLogs" /stypes="app*4041*20161202*"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128-02 --locoid 4041 --swversion DE.1.0.8.0 --startMP 204:233000 --initTime 2016-12-02T07:51:58 --startdatetime 2016-12-02T07:56:21 --delay 1 --endMP 204:156 --enddatetime 2016-12-02T08:33:23 --enforcementcount 0 &gt;&gt;C:\Users\stu\Documents\GitHub\eaglep3-reporting\EC\2016-12-02-refined-times.txt</v>
      </c>
      <c r="AI40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{"issue":{"subject":"","project_id":79,"tracker_id":40,"status_id":1,"priority_id":2,"assigned_to_id":23,"start_date":"2016-12-02","description":"","custom_fields":[{"id":1,"name":"Subdivision","value":"EC"},{"id":4,"name":"Milepost","value":"0.0156"},{"id":17,"name":"Train ID","value":"128-02"},{"id":16,"name":"Locomotive ID","value":"4041"},{"id":130,"name":"Impact","value":""},{"id":150,"name":"Time of Event (Mountain Time)","value":"08:33:23"},{"id":151,"name":"Denver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504</v>
      </c>
      <c r="B41" s="7">
        <v>4022</v>
      </c>
      <c r="C41" s="22" t="s">
        <v>210</v>
      </c>
      <c r="D41" s="22" t="s">
        <v>209</v>
      </c>
      <c r="E41" s="13">
        <v>42706.298715277779</v>
      </c>
      <c r="F41" s="13">
        <v>42706.302523148152</v>
      </c>
      <c r="G41" s="7">
        <v>1</v>
      </c>
      <c r="H41" s="22" t="s">
        <v>244</v>
      </c>
      <c r="I41" s="13">
        <v>42706.327199074076</v>
      </c>
      <c r="J41" s="7">
        <v>0</v>
      </c>
      <c r="K41" s="109" t="str">
        <f t="shared" si="0"/>
        <v>4021/4022</v>
      </c>
      <c r="L41" s="22" t="str">
        <f>VLOOKUP(A41,'Trips&amp;Operators'!$C$1:$G$99999,5,FALSE)</f>
        <v>SAFIEF AEIMEN</v>
      </c>
      <c r="M41" s="6">
        <f t="shared" si="1"/>
        <v>2.4675925924384501E-2</v>
      </c>
      <c r="N41" s="7">
        <f t="shared" si="2"/>
        <v>35.533333331113681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06:10:09-700',mode:absolute,to:'2016-12-02 08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4.6399999999999997E-2</v>
      </c>
      <c r="Z41" s="67">
        <f t="shared" si="9"/>
        <v>23.331399999999999</v>
      </c>
      <c r="AA41" s="67">
        <f t="shared" si="10"/>
        <v>23.285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0129-02</v>
      </c>
      <c r="AE41" s="91" t="str">
        <f t="shared" si="12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41" s="88" t="str">
        <f t="shared" si="13"/>
        <v>"C:\Program Files (x86)\AstroGrep\AstroGrep.exe" /spath="%USERPROFILE%\AppData\Local\Temp\OnboardLogs" /stypes="app*4022*20161202*"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129-02 --locoid 4022 --swversion DE.1.0.8.0 --startMP 204:464 --initTime 2016-12-02T07:10:09 --startdatetime 2016-12-02T07:15:38 --delay 1 --endMP 204:233314 --enddatetime 2016-12-02T07:51:10 --enforcementcount 0 &gt;&gt;C:\Users\stu\Documents\GitHub\eaglep3-reporting\EC\2016-12-02-refined-times.txt</v>
      </c>
      <c r="AI41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{"issue":{"subject":"","project_id":79,"tracker_id":40,"status_id":1,"priority_id":2,"assigned_to_id":23,"start_date":"2016-12-02","description":"","custom_fields":[{"id":1,"name":"Subdivision","value":"EC"},{"id":4,"name":"Milepost","value":"23.3314"},{"id":17,"name":"Train ID","value":"129-02"},{"id":16,"name":"Locomotive ID","value":"4022"},{"id":130,"name":"Impact","value":""},{"id":150,"name":"Time of Event (Mountain Time)","value":"07:51:10"},{"id":151,"name":"Denver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511</v>
      </c>
      <c r="B42" s="7">
        <v>4021</v>
      </c>
      <c r="C42" s="22" t="s">
        <v>210</v>
      </c>
      <c r="D42" s="22" t="s">
        <v>694</v>
      </c>
      <c r="E42" s="13">
        <v>42706.330208333333</v>
      </c>
      <c r="F42" s="13">
        <v>42706.341180555559</v>
      </c>
      <c r="G42" s="7">
        <v>1</v>
      </c>
      <c r="H42" s="22" t="s">
        <v>306</v>
      </c>
      <c r="I42" s="13">
        <v>42706.367638888885</v>
      </c>
      <c r="J42" s="7">
        <v>0</v>
      </c>
      <c r="K42" s="109" t="str">
        <f t="shared" si="0"/>
        <v>4021/4022</v>
      </c>
      <c r="L42" s="22" t="str">
        <f>VLOOKUP(A42,'Trips&amp;Operators'!$C$1:$G$99999,5,FALSE)</f>
        <v>SAFIEF AEIMEN</v>
      </c>
      <c r="M42" s="6">
        <f t="shared" si="1"/>
        <v>2.6458333326445427E-2</v>
      </c>
      <c r="N42" s="7">
        <f t="shared" si="2"/>
        <v>38.099999990081415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06:55:30-700',mode:absolute,to:'2016-12-02 09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23.3002</v>
      </c>
      <c r="Z42" s="67">
        <f t="shared" si="9"/>
        <v>1.52E-2</v>
      </c>
      <c r="AA42" s="67">
        <f t="shared" si="10"/>
        <v>23.285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0130-02</v>
      </c>
      <c r="AE42" s="91" t="str">
        <f t="shared" si="12"/>
        <v>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 &amp; 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</v>
      </c>
      <c r="AF42" s="88" t="str">
        <f t="shared" si="13"/>
        <v>"C:\Program Files (x86)\AstroGrep\AstroGrep.exe" /spath="%USERPROFILE%\AppData\Local\Temp\OnboardLogs" /stypes="app*4021*20161202*"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130-02 --locoid 4021 --swversion DE.1.0.8.0 --startMP 204:233002 --initTime 2016-12-02T07:55:30 --startdatetime 2016-12-02T08:11:18 --delay 1 --endMP 204:152 --enddatetime 2016-12-02T08:49:24 --enforcementcount 0 &gt;&gt;C:\Users\stu\Documents\GitHub\eaglep3-reporting\EC\2016-12-02-refined-times.txt</v>
      </c>
      <c r="AI42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{"issue":{"subject":"","project_id":79,"tracker_id":40,"status_id":1,"priority_id":2,"assigned_to_id":23,"start_date":"2016-12-02","description":"","custom_fields":[{"id":1,"name":"Subdivision","value":"EC"},{"id":4,"name":"Milepost","value":"0.0152"},{"id":17,"name":"Train ID","value":"130-02"},{"id":16,"name":"Locomotive ID","value":"4021"},{"id":130,"name":"Impact","value":""},{"id":150,"name":"Time of Event (Mountain Time)","value":"08:49:24"},{"id":151,"name":"Denver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506</v>
      </c>
      <c r="B43" s="7">
        <v>4014</v>
      </c>
      <c r="C43" s="22" t="s">
        <v>210</v>
      </c>
      <c r="D43" s="22" t="s">
        <v>194</v>
      </c>
      <c r="E43" s="13">
        <v>42706.307847222219</v>
      </c>
      <c r="F43" s="13">
        <v>42706.312858796293</v>
      </c>
      <c r="G43" s="7">
        <v>1</v>
      </c>
      <c r="H43" s="22" t="s">
        <v>333</v>
      </c>
      <c r="I43" s="13">
        <v>42706.338252314818</v>
      </c>
      <c r="J43" s="7">
        <v>0</v>
      </c>
      <c r="K43" s="109" t="str">
        <f t="shared" si="0"/>
        <v>4013/4014</v>
      </c>
      <c r="L43" s="22" t="str">
        <f>VLOOKUP(A43,'Trips&amp;Operators'!$C$1:$G$99999,5,FALSE)</f>
        <v>DAVIS WENDY</v>
      </c>
      <c r="M43" s="6">
        <f t="shared" si="1"/>
        <v>2.5393518524651881E-2</v>
      </c>
      <c r="N43" s="7">
        <f t="shared" si="2"/>
        <v>36.566666675498709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06:23:18-700',mode:absolute,to:'2016-12-02 09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4.4699999999999997E-2</v>
      </c>
      <c r="Z43" s="67">
        <f t="shared" si="9"/>
        <v>23.331099999999999</v>
      </c>
      <c r="AA43" s="67">
        <f t="shared" si="10"/>
        <v>23.2864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0131-02</v>
      </c>
      <c r="AE43" s="91" t="str">
        <f t="shared" si="12"/>
        <v>aws s3 cp s3://rtdc.mdm.uploadarchive.raw/RTDC4014/ "%USERPROFILE%\AppData\Local\Temp\OnboardLogs"\RTDC4014\2016-12-02 --exclude "*" --recursive --include "*20161202*" &amp; "%USERPROFILE%\Documents\GitHub\mrs-test-scripts\Headless Mode &amp; Sideloading\WalkAndUnGZ.bat" "%USERPROFILE%\AppData\Local\Temp\OnboardLogs"\RTDC4014\2016-12-02 &amp; 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</v>
      </c>
      <c r="AF43" s="88" t="str">
        <f t="shared" si="13"/>
        <v>"C:\Program Files (x86)\AstroGrep\AstroGrep.exe" /spath="%USERPROFILE%\AppData\Local\Temp\OnboardLogs" /stypes="app*4014*20161202*"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131-02 --locoid 4014 --swversion DE.1.0.8.0 --startMP 204:447 --initTime 2016-12-02T07:23:18 --startdatetime 2016-12-02T07:30:31 --delay 1 --endMP 204:233311 --enddatetime 2016-12-02T08:07:05 --enforcementcount 0 &gt;&gt;C:\Users\stu\Documents\GitHub\eaglep3-reporting\EC\2016-12-02-refined-times.txt</v>
      </c>
      <c r="AI43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{"issue":{"subject":"","project_id":79,"tracker_id":40,"status_id":1,"priority_id":2,"assigned_to_id":23,"start_date":"2016-12-02","description":"","custom_fields":[{"id":1,"name":"Subdivision","value":"EC"},{"id":4,"name":"Milepost","value":"23.3311"},{"id":17,"name":"Train ID","value":"131-02"},{"id":16,"name":"Locomotive ID","value":"4014"},{"id":130,"name":"Impact","value":""},{"id":150,"name":"Time of Event (Mountain Time)","value":"08:07:05"},{"id":151,"name":"Denver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515</v>
      </c>
      <c r="B44" s="7">
        <v>4013</v>
      </c>
      <c r="C44" s="22" t="s">
        <v>210</v>
      </c>
      <c r="D44" s="22" t="s">
        <v>204</v>
      </c>
      <c r="E44" s="13">
        <v>42706.347870370373</v>
      </c>
      <c r="F44" s="13">
        <v>42706.350358796299</v>
      </c>
      <c r="G44" s="7">
        <v>1</v>
      </c>
      <c r="H44" s="22" t="s">
        <v>192</v>
      </c>
      <c r="I44" s="13">
        <v>42706.378657407404</v>
      </c>
      <c r="J44" s="7">
        <v>0</v>
      </c>
      <c r="K44" s="109" t="str">
        <f t="shared" si="0"/>
        <v>4013/4014</v>
      </c>
      <c r="L44" s="22" t="str">
        <f>VLOOKUP(A44,'Trips&amp;Operators'!$C$1:$G$99999,5,FALSE)</f>
        <v>DAVIS WENDY</v>
      </c>
      <c r="M44" s="6">
        <f t="shared" si="1"/>
        <v>2.8298611105128657E-2</v>
      </c>
      <c r="N44" s="7">
        <f t="shared" si="2"/>
        <v>40.749999991385266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07:20:56-700',mode:absolute,to:'2016-12-02 10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23.297699999999999</v>
      </c>
      <c r="Z44" s="67">
        <f t="shared" si="9"/>
        <v>1.49E-2</v>
      </c>
      <c r="AA44" s="67">
        <f t="shared" si="10"/>
        <v>23.282799999999998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0132-02</v>
      </c>
      <c r="AE44" s="91" t="str">
        <f t="shared" si="12"/>
        <v>aws s3 cp s3://rtdc.mdm.uploadarchive.raw/RTDC4013/ "%USERPROFILE%\AppData\Local\Temp\OnboardLogs"\RTDC4013\2016-12-02 --exclude "*" --recursive --include "*20161202*" &amp; "%USERPROFILE%\Documents\GitHub\mrs-test-scripts\Headless Mode &amp; Sideloading\WalkAndUnGZ.bat" "%USERPROFILE%\AppData\Local\Temp\OnboardLogs"\RTDC4013\2016-12-02 &amp; 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</v>
      </c>
      <c r="AF44" s="88" t="str">
        <f t="shared" si="13"/>
        <v>"C:\Program Files (x86)\AstroGrep\AstroGrep.exe" /spath="%USERPROFILE%\AppData\Local\Temp\OnboardLogs" /stypes="app*4013*20161202*"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132-02 --locoid 4013 --swversion DE.1.0.8.0 --startMP 204:232977 --initTime 2016-12-02T08:20:56 --startdatetime 2016-12-02T08:24:31 --delay 1 --endMP 204:149 --enddatetime 2016-12-02T09:05:16 --enforcementcount 0 &gt;&gt;C:\Users\stu\Documents\GitHub\eaglep3-reporting\EC\2016-12-02-refined-times.txt</v>
      </c>
      <c r="AI44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{"issue":{"subject":"","project_id":79,"tracker_id":40,"status_id":1,"priority_id":2,"assigned_to_id":23,"start_date":"2016-12-02","description":"","custom_fields":[{"id":1,"name":"Subdivision","value":"EC"},{"id":4,"name":"Milepost","value":"0.0149"},{"id":17,"name":"Train ID","value":"132-02"},{"id":16,"name":"Locomotive ID","value":"4013"},{"id":130,"name":"Impact","value":""},{"id":150,"name":"Time of Event (Mountain Time)","value":"09:05:16"},{"id":151,"name":"Denver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508</v>
      </c>
      <c r="B45" s="7">
        <v>4011</v>
      </c>
      <c r="C45" s="22" t="s">
        <v>210</v>
      </c>
      <c r="D45" s="22" t="s">
        <v>289</v>
      </c>
      <c r="E45" s="13">
        <v>42706.317673611113</v>
      </c>
      <c r="F45" s="13">
        <v>42706.323136574072</v>
      </c>
      <c r="G45" s="7">
        <v>1</v>
      </c>
      <c r="H45" s="22" t="s">
        <v>321</v>
      </c>
      <c r="I45" s="13">
        <v>42706.347962962966</v>
      </c>
      <c r="J45" s="7">
        <v>0</v>
      </c>
      <c r="K45" s="109" t="str">
        <f t="shared" si="0"/>
        <v>4011/4012</v>
      </c>
      <c r="L45" s="22" t="str">
        <f>VLOOKUP(A45,'Trips&amp;Operators'!$C$1:$G$99999,5,FALSE)</f>
        <v>ROBINSON KADDIBA</v>
      </c>
      <c r="M45" s="6">
        <f t="shared" si="1"/>
        <v>2.4826388893416151E-2</v>
      </c>
      <c r="N45" s="7">
        <f t="shared" ref="N45:N70" si="19">24*60*SUM($M45:$M45)</f>
        <v>35.750000006519258</v>
      </c>
      <c r="O45" s="7"/>
      <c r="P45" s="7"/>
      <c r="Q45" s="23"/>
      <c r="R45" s="23"/>
      <c r="S45" s="35">
        <f t="shared" ref="S45:S76" si="20">SUM(U45:U45)/IF(AG45="EC",12,1)</f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06:37:27-700',mode:absolute,to:'2016-12-02 09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5" s="52" t="str">
        <f t="shared" si="6"/>
        <v>N</v>
      </c>
      <c r="X45" s="177">
        <f t="shared" ref="X45:X74" si="21">VALUE(LEFT(AD45,4))-VALUE(LEFT(AD44,4))</f>
        <v>1</v>
      </c>
      <c r="Y45" s="67">
        <f t="shared" ref="Y45:Y70" si="22">RIGHT(D45,LEN(D45)-4)/10000</f>
        <v>4.58E-2</v>
      </c>
      <c r="Z45" s="67">
        <f t="shared" ref="Z45:Z70" si="23">RIGHT(H45,LEN(H45)-4)/10000</f>
        <v>23.331</v>
      </c>
      <c r="AA45" s="67">
        <f t="shared" si="10"/>
        <v>23.2852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0133-02</v>
      </c>
      <c r="AE45" s="91" t="str">
        <f t="shared" si="12"/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AF45" s="88" t="str">
        <f t="shared" si="13"/>
        <v>"C:\Program Files (x86)\AstroGrep\AstroGrep.exe" /spath="%USERPROFILE%\AppData\Local\Temp\OnboardLogs" /stypes="app*4011*20161202*"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133-02 --locoid 4011 --swversion DE.1.0.8.0 --startMP 204:458 --initTime 2016-12-02T07:37:27 --startdatetime 2016-12-02T07:45:19 --delay 1 --endMP 204:233310 --enddatetime 2016-12-02T08:21:04 --enforcementcount 0 &gt;&gt;C:\Users\stu\Documents\GitHub\eaglep3-reporting\EC\2016-12-02-refined-times.txt</v>
      </c>
      <c r="AI45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{"issue":{"subject":"","project_id":79,"tracker_id":40,"status_id":1,"priority_id":2,"assigned_to_id":23,"start_date":"2016-12-02","description":"","custom_fields":[{"id":1,"name":"Subdivision","value":"EC"},{"id":4,"name":"Milepost","value":"23.331"},{"id":17,"name":"Train ID","value":"133-02"},{"id":16,"name":"Locomotive ID","value":"4011"},{"id":130,"name":"Impact","value":""},{"id":150,"name":"Time of Event (Mountain Time)","value":"08:21:04"},{"id":151,"name":"Denver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518</v>
      </c>
      <c r="B46" s="7">
        <v>4012</v>
      </c>
      <c r="C46" s="22" t="s">
        <v>210</v>
      </c>
      <c r="D46" s="22" t="s">
        <v>239</v>
      </c>
      <c r="E46" s="13">
        <v>42706.356076388889</v>
      </c>
      <c r="F46" s="13">
        <v>42706.362037037034</v>
      </c>
      <c r="G46" s="7">
        <v>1</v>
      </c>
      <c r="H46" s="22" t="s">
        <v>192</v>
      </c>
      <c r="I46" s="13">
        <v>42706.387766203705</v>
      </c>
      <c r="J46" s="7">
        <v>0</v>
      </c>
      <c r="K46" s="109" t="str">
        <f t="shared" si="0"/>
        <v>4011/4012</v>
      </c>
      <c r="L46" s="22" t="str">
        <f>VLOOKUP(A46,'Trips&amp;Operators'!$C$1:$G$99999,5,FALSE)</f>
        <v>ROBINSON KADDIBA</v>
      </c>
      <c r="M46" s="6">
        <f t="shared" si="1"/>
        <v>2.5729166671226267E-2</v>
      </c>
      <c r="N46" s="7">
        <f t="shared" si="19"/>
        <v>37.050000006565824</v>
      </c>
      <c r="O46" s="7"/>
      <c r="P46" s="7"/>
      <c r="Q46" s="23"/>
      <c r="R46" s="23"/>
      <c r="S46" s="35">
        <f t="shared" si="20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07:32:45-700',mode:absolute,to:'2016-12-02 10:18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6" s="52" t="str">
        <f t="shared" si="6"/>
        <v>N</v>
      </c>
      <c r="X46" s="177">
        <f t="shared" si="21"/>
        <v>1</v>
      </c>
      <c r="Y46" s="67">
        <f t="shared" si="22"/>
        <v>23.299800000000001</v>
      </c>
      <c r="Z46" s="67">
        <f t="shared" si="23"/>
        <v>1.49E-2</v>
      </c>
      <c r="AA46" s="67">
        <f t="shared" si="10"/>
        <v>23.2849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0134-02</v>
      </c>
      <c r="AE46" s="91" t="str">
        <f t="shared" si="12"/>
        <v>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 &amp; 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</v>
      </c>
      <c r="AF46" s="88" t="str">
        <f t="shared" si="13"/>
        <v>"C:\Program Files (x86)\AstroGrep\AstroGrep.exe" /spath="%USERPROFILE%\AppData\Local\Temp\OnboardLogs" /stypes="app*4012*20161202*"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134-02 --locoid 4012 --swversion DE.1.0.8.0 --startMP 204:232998 --initTime 2016-12-02T08:32:45 --startdatetime 2016-12-02T08:41:20 --delay 1 --endMP 204:149 --enddatetime 2016-12-02T09:18:23 --enforcementcount 0 &gt;&gt;C:\Users\stu\Documents\GitHub\eaglep3-reporting\EC\2016-12-02-refined-times.txt</v>
      </c>
      <c r="AI46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{"issue":{"subject":"","project_id":79,"tracker_id":40,"status_id":1,"priority_id":2,"assigned_to_id":23,"start_date":"2016-12-02","description":"","custom_fields":[{"id":1,"name":"Subdivision","value":"EC"},{"id":4,"name":"Milepost","value":"0.0149"},{"id":17,"name":"Train ID","value":"134-02"},{"id":16,"name":"Locomotive ID","value":"4012"},{"id":130,"name":"Impact","value":""},{"id":150,"name":"Time of Event (Mountain Time)","value":"09:18:23"},{"id":151,"name":"Denver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509</v>
      </c>
      <c r="B47" s="7">
        <v>4002</v>
      </c>
      <c r="C47" s="22" t="s">
        <v>210</v>
      </c>
      <c r="D47" s="22" t="s">
        <v>696</v>
      </c>
      <c r="E47" s="13">
        <v>42706.32712962963</v>
      </c>
      <c r="F47" s="13">
        <v>42706.333518518521</v>
      </c>
      <c r="G47" s="7">
        <v>0</v>
      </c>
      <c r="H47" s="22" t="s">
        <v>262</v>
      </c>
      <c r="I47" s="13">
        <v>42706.358055555553</v>
      </c>
      <c r="J47" s="7">
        <v>0</v>
      </c>
      <c r="K47" s="109" t="str">
        <f t="shared" si="0"/>
        <v>4001/4002</v>
      </c>
      <c r="L47" s="22" t="str">
        <f>VLOOKUP(A47,'Trips&amp;Operators'!$C$1:$G$99999,5,FALSE)</f>
        <v>BRANNON JEFFREY</v>
      </c>
      <c r="M47" s="6">
        <f t="shared" si="1"/>
        <v>2.4537037032132503E-2</v>
      </c>
      <c r="N47" s="7">
        <f t="shared" si="19"/>
        <v>35.333333326270804</v>
      </c>
      <c r="O47" s="7"/>
      <c r="P47" s="7"/>
      <c r="Q47" s="23"/>
      <c r="R47" s="23"/>
      <c r="S47" s="35">
        <f t="shared" si="20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06:51:04-700',mode:absolute,to:'2016-12-02 09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7" s="52" t="str">
        <f t="shared" si="6"/>
        <v>N</v>
      </c>
      <c r="X47" s="177">
        <f t="shared" si="21"/>
        <v>1</v>
      </c>
      <c r="Y47" s="67">
        <f t="shared" si="22"/>
        <v>4.8800000000000003E-2</v>
      </c>
      <c r="Z47" s="67">
        <f t="shared" si="23"/>
        <v>23.330300000000001</v>
      </c>
      <c r="AA47" s="67">
        <f t="shared" si="10"/>
        <v>23.281500000000001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0135-02</v>
      </c>
      <c r="AE47" s="91" t="str">
        <f t="shared" si="12"/>
        <v>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 &amp; 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</v>
      </c>
      <c r="AF47" s="88" t="str">
        <f t="shared" si="13"/>
        <v>"C:\Program Files (x86)\AstroGrep\AstroGrep.exe" /spath="%USERPROFILE%\AppData\Local\Temp\OnboardLogs" /stypes="app*4002*20161202*"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135-02 --locoid 4002 --swversion DE.1.0.8.0 --startMP 204:488 --initTime 2016-12-02T07:51:04 --startdatetime 2016-12-02T08:00:16 --delay 0 --endMP 204:233303 --enddatetime 2016-12-02T08:35:36 --enforcementcount 0 &gt;&gt;C:\Users\stu\Documents\GitHub\eaglep3-reporting\EC\2016-12-02-refined-times.txt</v>
      </c>
      <c r="AI47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{"issue":{"subject":"","project_id":79,"tracker_id":40,"status_id":1,"priority_id":2,"assigned_to_id":23,"start_date":"2016-12-02","description":"","custom_fields":[{"id":1,"name":"Subdivision","value":"EC"},{"id":4,"name":"Milepost","value":"23.3303"},{"id":17,"name":"Train ID","value":"135-02"},{"id":16,"name":"Locomotive ID","value":"4002"},{"id":130,"name":"Impact","value":""},{"id":150,"name":"Time of Event (Mountain Time)","value":"08:35:36"},{"id":151,"name":"Denver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519</v>
      </c>
      <c r="B48" s="7">
        <v>4001</v>
      </c>
      <c r="C48" s="22" t="s">
        <v>210</v>
      </c>
      <c r="D48" s="22" t="s">
        <v>399</v>
      </c>
      <c r="E48" s="13">
        <v>42706.3594212963</v>
      </c>
      <c r="F48" s="13">
        <v>42706.372395833336</v>
      </c>
      <c r="G48" s="7">
        <v>1</v>
      </c>
      <c r="H48" s="22" t="s">
        <v>217</v>
      </c>
      <c r="I48" s="13">
        <v>42706.398668981485</v>
      </c>
      <c r="J48" s="7">
        <v>0</v>
      </c>
      <c r="K48" s="109" t="str">
        <f t="shared" si="0"/>
        <v>4001/4002</v>
      </c>
      <c r="L48" s="22" t="str">
        <f>VLOOKUP(A48,'Trips&amp;Operators'!$C$1:$G$99999,5,FALSE)</f>
        <v>BRANNON JEFFREY</v>
      </c>
      <c r="M48" s="6">
        <f t="shared" si="1"/>
        <v>2.6273148148902692E-2</v>
      </c>
      <c r="N48" s="7">
        <f t="shared" si="19"/>
        <v>37.833333334419876</v>
      </c>
      <c r="O48" s="7"/>
      <c r="P48" s="7"/>
      <c r="Q48" s="23"/>
      <c r="R48" s="23"/>
      <c r="S48" s="35">
        <f t="shared" si="20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07:37:34-700',mode:absolute,to:'2016-12-02 10:34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8" s="52" t="str">
        <f t="shared" si="6"/>
        <v>N</v>
      </c>
      <c r="X48" s="177">
        <f t="shared" si="21"/>
        <v>1</v>
      </c>
      <c r="Y48" s="67">
        <f t="shared" si="22"/>
        <v>23.2971</v>
      </c>
      <c r="Z48" s="67">
        <f t="shared" si="23"/>
        <v>1.4999999999999999E-2</v>
      </c>
      <c r="AA48" s="67">
        <f t="shared" si="10"/>
        <v>23.2821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0136-02</v>
      </c>
      <c r="AE48" s="91" t="str">
        <f t="shared" si="12"/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AF48" s="88" t="str">
        <f t="shared" si="13"/>
        <v>"C:\Program Files (x86)\AstroGrep\AstroGrep.exe" /spath="%USERPROFILE%\AppData\Local\Temp\OnboardLogs" /stypes="app*4001*20161202*"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136-02 --locoid 4001 --swversion DE.1.0.8.0 --startMP 204:232971 --initTime 2016-12-02T08:37:34 --startdatetime 2016-12-02T08:56:15 --delay 1 --endMP 204:150 --enddatetime 2016-12-02T09:34:05 --enforcementcount 0 &gt;&gt;C:\Users\stu\Documents\GitHub\eaglep3-reporting\EC\2016-12-02-refined-times.txt</v>
      </c>
      <c r="AI48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{"issue":{"subject":"","project_id":79,"tracker_id":40,"status_id":1,"priority_id":2,"assigned_to_id":23,"start_date":"2016-12-02","description":"","custom_fields":[{"id":1,"name":"Subdivision","value":"EC"},{"id":4,"name":"Milepost","value":"0.015"},{"id":17,"name":"Train ID","value":"136-02"},{"id":16,"name":"Locomotive ID","value":"4001"},{"id":130,"name":"Impact","value":""},{"id":150,"name":"Time of Event (Mountain Time)","value":"09:34:05"},{"id":151,"name":"Denver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513</v>
      </c>
      <c r="B49" s="7">
        <v>4003</v>
      </c>
      <c r="C49" s="22" t="s">
        <v>210</v>
      </c>
      <c r="D49" s="22" t="s">
        <v>697</v>
      </c>
      <c r="E49" s="13">
        <v>42706.33929398148</v>
      </c>
      <c r="F49" s="13">
        <v>42706.3440625</v>
      </c>
      <c r="G49" s="7">
        <v>1</v>
      </c>
      <c r="H49" s="22" t="s">
        <v>698</v>
      </c>
      <c r="I49" s="13">
        <v>42706.368541666663</v>
      </c>
      <c r="J49" s="7">
        <v>0</v>
      </c>
      <c r="K49" s="109" t="str">
        <f t="shared" si="0"/>
        <v>4003/4004</v>
      </c>
      <c r="L49" s="22" t="str">
        <f>VLOOKUP(A49,'Trips&amp;Operators'!$C$1:$G$99999,5,FALSE)</f>
        <v>MAGEE KENYA</v>
      </c>
      <c r="M49" s="6">
        <f t="shared" si="1"/>
        <v>2.4479166662786156E-2</v>
      </c>
      <c r="N49" s="7">
        <f t="shared" si="19"/>
        <v>35.249999994412065</v>
      </c>
      <c r="O49" s="7"/>
      <c r="P49" s="7"/>
      <c r="Q49" s="23"/>
      <c r="R49" s="23"/>
      <c r="S49" s="35">
        <f t="shared" si="20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07:08:35-700',mode:absolute,to:'2016-12-02 09:50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9" s="52" t="str">
        <f t="shared" si="6"/>
        <v>N</v>
      </c>
      <c r="X49" s="177">
        <f t="shared" si="21"/>
        <v>1</v>
      </c>
      <c r="Y49" s="67">
        <f t="shared" si="22"/>
        <v>4.3999999999999997E-2</v>
      </c>
      <c r="Z49" s="67">
        <f t="shared" si="23"/>
        <v>23.330400000000001</v>
      </c>
      <c r="AA49" s="67">
        <f t="shared" si="10"/>
        <v>23.2864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0137-02</v>
      </c>
      <c r="AE49" s="91" t="str">
        <f t="shared" si="12"/>
        <v>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 &amp; 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</v>
      </c>
      <c r="AF49" s="88" t="str">
        <f t="shared" si="13"/>
        <v>"C:\Program Files (x86)\AstroGrep\AstroGrep.exe" /spath="%USERPROFILE%\AppData\Local\Temp\OnboardLogs" /stypes="app*4003*20161202*"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137-02 --locoid 4003 --swversion DE.1.0.8.0 --startMP 204:440 --initTime 2016-12-02T08:08:35 --startdatetime 2016-12-02T08:15:27 --delay 1 --endMP 204:233304 --enddatetime 2016-12-02T08:50:42 --enforcementcount 0 &gt;&gt;C:\Users\stu\Documents\GitHub\eaglep3-reporting\EC\2016-12-02-refined-times.txt</v>
      </c>
      <c r="AI49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{"issue":{"subject":"","project_id":79,"tracker_id":40,"status_id":1,"priority_id":2,"assigned_to_id":23,"start_date":"2016-12-02","description":"","custom_fields":[{"id":1,"name":"Subdivision","value":"EC"},{"id":4,"name":"Milepost","value":"23.3304"},{"id":17,"name":"Train ID","value":"137-02"},{"id":16,"name":"Locomotive ID","value":"4003"},{"id":130,"name":"Impact","value":""},{"id":150,"name":"Time of Event (Mountain Time)","value":"08:50:42"},{"id":151,"name":"Denver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522</v>
      </c>
      <c r="B50" s="7">
        <v>4004</v>
      </c>
      <c r="C50" s="22" t="s">
        <v>210</v>
      </c>
      <c r="D50" s="22" t="s">
        <v>337</v>
      </c>
      <c r="E50" s="13">
        <v>42706.378009259257</v>
      </c>
      <c r="F50" s="13">
        <v>42706.382881944446</v>
      </c>
      <c r="G50" s="7">
        <v>1</v>
      </c>
      <c r="H50" s="22" t="s">
        <v>212</v>
      </c>
      <c r="I50" s="13">
        <v>42706.410057870373</v>
      </c>
      <c r="J50" s="7">
        <v>0</v>
      </c>
      <c r="K50" s="109" t="str">
        <f t="shared" si="0"/>
        <v>4003/4004</v>
      </c>
      <c r="L50" s="22" t="str">
        <f>VLOOKUP(A50,'Trips&amp;Operators'!$C$1:$G$99999,5,FALSE)</f>
        <v>MAGEE KENYA</v>
      </c>
      <c r="M50" s="6">
        <f t="shared" si="1"/>
        <v>2.7175925926712807E-2</v>
      </c>
      <c r="N50" s="7">
        <f t="shared" si="19"/>
        <v>39.133333334466442</v>
      </c>
      <c r="O50" s="7"/>
      <c r="P50" s="7"/>
      <c r="Q50" s="23"/>
      <c r="R50" s="23"/>
      <c r="S50" s="35">
        <f t="shared" si="20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08:04:20-700',mode:absolute,to:'2016-12-02 10:50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0" s="52" t="str">
        <f t="shared" si="6"/>
        <v>N</v>
      </c>
      <c r="X50" s="177">
        <f t="shared" si="21"/>
        <v>1</v>
      </c>
      <c r="Y50" s="67">
        <f t="shared" si="22"/>
        <v>23.299099999999999</v>
      </c>
      <c r="Z50" s="67">
        <f t="shared" si="23"/>
        <v>1.5800000000000002E-2</v>
      </c>
      <c r="AA50" s="67">
        <f t="shared" si="10"/>
        <v>23.283300000000001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0138-02</v>
      </c>
      <c r="AE50" s="91" t="str">
        <f t="shared" si="12"/>
        <v>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 &amp; 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</v>
      </c>
      <c r="AF50" s="88" t="str">
        <f t="shared" si="13"/>
        <v>"C:\Program Files (x86)\AstroGrep\AstroGrep.exe" /spath="%USERPROFILE%\AppData\Local\Temp\OnboardLogs" /stypes="app*4004*20161202*"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138-02 --locoid 4004 --swversion DE.1.0.8.0 --startMP 204:232991 --initTime 2016-12-02T09:04:20 --startdatetime 2016-12-02T09:11:21 --delay 1 --endMP 204:158 --enddatetime 2016-12-02T09:50:29 --enforcementcount 0 &gt;&gt;C:\Users\stu\Documents\GitHub\eaglep3-reporting\EC\2016-12-02-refined-times.txt</v>
      </c>
      <c r="AI50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{"issue":{"subject":"","project_id":79,"tracker_id":40,"status_id":1,"priority_id":2,"assigned_to_id":23,"start_date":"2016-12-02","description":"","custom_fields":[{"id":1,"name":"Subdivision","value":"EC"},{"id":4,"name":"Milepost","value":"0.0158"},{"id":17,"name":"Train ID","value":"138-02"},{"id":16,"name":"Locomotive ID","value":"4004"},{"id":130,"name":"Impact","value":""},{"id":150,"name":"Time of Event (Mountain Time)","value":"09:50:29"},{"id":151,"name":"Denver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516</v>
      </c>
      <c r="B51" s="7">
        <v>4044</v>
      </c>
      <c r="C51" s="22" t="s">
        <v>210</v>
      </c>
      <c r="D51" s="22" t="s">
        <v>195</v>
      </c>
      <c r="E51" s="13">
        <v>42706.353298611109</v>
      </c>
      <c r="F51" s="13">
        <v>42706.354861111111</v>
      </c>
      <c r="G51" s="7">
        <v>1</v>
      </c>
      <c r="H51" s="22" t="s">
        <v>699</v>
      </c>
      <c r="I51" s="13">
        <v>42706.379189814812</v>
      </c>
      <c r="J51" s="7">
        <v>0</v>
      </c>
      <c r="K51" s="109" t="str">
        <f t="shared" si="0"/>
        <v>4043/4044</v>
      </c>
      <c r="L51" s="22" t="str">
        <f>VLOOKUP(A51,'Trips&amp;Operators'!$C$1:$G$99999,5,FALSE)</f>
        <v>SPECTOR MICHAEL</v>
      </c>
      <c r="M51" s="6">
        <f t="shared" si="1"/>
        <v>2.4328703701030463E-2</v>
      </c>
      <c r="N51" s="7">
        <f t="shared" si="19"/>
        <v>35.033333329483867</v>
      </c>
      <c r="O51" s="7"/>
      <c r="P51" s="7"/>
      <c r="Q51" s="23"/>
      <c r="R51" s="23"/>
      <c r="S51" s="35">
        <f t="shared" si="20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07:28:45-700',mode:absolute,to:'2016-12-02 10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1" s="52" t="str">
        <f t="shared" si="6"/>
        <v>N</v>
      </c>
      <c r="X51" s="177">
        <f t="shared" si="21"/>
        <v>1</v>
      </c>
      <c r="Y51" s="67">
        <f t="shared" si="22"/>
        <v>4.5100000000000001E-2</v>
      </c>
      <c r="Z51" s="67">
        <f t="shared" si="23"/>
        <v>23.3339</v>
      </c>
      <c r="AA51" s="67">
        <f t="shared" si="10"/>
        <v>23.288799999999998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0139-02</v>
      </c>
      <c r="AE51" s="91" t="str">
        <f t="shared" si="12"/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51" s="88" t="str">
        <f t="shared" si="13"/>
        <v>"C:\Program Files (x86)\AstroGrep\AstroGrep.exe" /spath="%USERPROFILE%\AppData\Local\Temp\OnboardLogs" /stypes="app*4044*20161202*"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139-02 --locoid 4044 --swversion DE.1.0.8.0 --startMP 204:451 --initTime 2016-12-02T08:28:45 --startdatetime 2016-12-02T08:31:00 --delay 1 --endMP 204:233339 --enddatetime 2016-12-02T09:06:02 --enforcementcount 0 &gt;&gt;C:\Users\stu\Documents\GitHub\eaglep3-reporting\EC\2016-12-02-refined-times.txt</v>
      </c>
      <c r="AI51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{"issue":{"subject":"","project_id":79,"tracker_id":40,"status_id":1,"priority_id":2,"assigned_to_id":23,"start_date":"2016-12-02","description":"","custom_fields":[{"id":1,"name":"Subdivision","value":"EC"},{"id":4,"name":"Milepost","value":"23.3339"},{"id":17,"name":"Train ID","value":"139-02"},{"id":16,"name":"Locomotive ID","value":"4044"},{"id":130,"name":"Impact","value":""},{"id":150,"name":"Time of Event (Mountain Time)","value":"09:06:02"},{"id":151,"name":"Denver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524</v>
      </c>
      <c r="B52" s="7">
        <v>4043</v>
      </c>
      <c r="C52" s="22" t="s">
        <v>210</v>
      </c>
      <c r="D52" s="22" t="s">
        <v>307</v>
      </c>
      <c r="E52" s="13">
        <v>42706.389722222222</v>
      </c>
      <c r="F52" s="13">
        <v>42706.393379629626</v>
      </c>
      <c r="G52" s="7">
        <v>2</v>
      </c>
      <c r="H52" s="22" t="s">
        <v>700</v>
      </c>
      <c r="I52" s="13">
        <v>42706.419560185182</v>
      </c>
      <c r="J52" s="7">
        <v>0</v>
      </c>
      <c r="K52" s="109" t="str">
        <f t="shared" si="0"/>
        <v>4043/4044</v>
      </c>
      <c r="L52" s="22" t="str">
        <f>VLOOKUP(A52,'Trips&amp;Operators'!$C$1:$G$99999,5,FALSE)</f>
        <v>SPECTOR MICHAEL</v>
      </c>
      <c r="M52" s="6">
        <f t="shared" si="1"/>
        <v>2.6180555556493346E-2</v>
      </c>
      <c r="N52" s="7">
        <f t="shared" si="19"/>
        <v>37.700000001350418</v>
      </c>
      <c r="O52" s="7"/>
      <c r="P52" s="7"/>
      <c r="Q52" s="23"/>
      <c r="R52" s="23"/>
      <c r="S52" s="35">
        <f t="shared" si="20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08:21:12-700',mode:absolute,to:'2016-12-02 11:04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2" s="52" t="str">
        <f t="shared" si="6"/>
        <v>N</v>
      </c>
      <c r="X52" s="177">
        <f t="shared" si="21"/>
        <v>1</v>
      </c>
      <c r="Y52" s="67">
        <f t="shared" si="22"/>
        <v>23.301100000000002</v>
      </c>
      <c r="Z52" s="67">
        <f t="shared" si="23"/>
        <v>1.38E-2</v>
      </c>
      <c r="AA52" s="67">
        <f t="shared" si="10"/>
        <v>23.287300000000002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0140-02</v>
      </c>
      <c r="AE52" s="91" t="str">
        <f t="shared" si="12"/>
        <v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v>
      </c>
      <c r="AF52" s="88" t="str">
        <f t="shared" si="13"/>
        <v>"C:\Program Files (x86)\AstroGrep\AstroGrep.exe" /spath="%USERPROFILE%\AppData\Local\Temp\OnboardLogs" /stypes="app*4043*20161202*"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140-02 --locoid 4043 --swversion DE.1.0.8.0 --startMP 204:233011 --initTime 2016-12-02T09:21:12 --startdatetime 2016-12-02T09:26:28 --delay 2 --endMP 204:138 --enddatetime 2016-12-02T10:04:10 --enforcementcount 0 &gt;&gt;C:\Users\stu\Documents\GitHub\eaglep3-reporting\EC\2016-12-02-refined-times.txt</v>
      </c>
      <c r="AI52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{"issue":{"subject":"","project_id":79,"tracker_id":40,"status_id":1,"priority_id":2,"assigned_to_id":23,"start_date":"2016-12-02","description":"","custom_fields":[{"id":1,"name":"Subdivision","value":"EC"},{"id":4,"name":"Milepost","value":"0.0138"},{"id":17,"name":"Train ID","value":"140-02"},{"id":16,"name":"Locomotive ID","value":"4043"},{"id":130,"name":"Impact","value":""},{"id":150,"name":"Time of Event (Mountain Time)","value":"10:04:10"},{"id":151,"name":"Denver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439</v>
      </c>
      <c r="B53" s="7">
        <v>4042</v>
      </c>
      <c r="C53" s="22" t="s">
        <v>210</v>
      </c>
      <c r="D53" s="22" t="s">
        <v>231</v>
      </c>
      <c r="E53" s="13">
        <v>42706.36</v>
      </c>
      <c r="F53" s="13">
        <v>42706.364895833336</v>
      </c>
      <c r="G53" s="7">
        <v>1</v>
      </c>
      <c r="H53" s="22" t="s">
        <v>324</v>
      </c>
      <c r="I53" s="13">
        <v>42706.392233796294</v>
      </c>
      <c r="J53" s="7">
        <v>0</v>
      </c>
      <c r="K53" s="109" t="str">
        <f t="shared" si="0"/>
        <v>4041/4042</v>
      </c>
      <c r="L53" s="22" t="str">
        <f>VLOOKUP(A53,'Trips&amp;Operators'!$C$1:$G$99999,5,FALSE)</f>
        <v>PERKINS DARREN</v>
      </c>
      <c r="M53" s="6">
        <f t="shared" si="1"/>
        <v>2.7337962957972195E-2</v>
      </c>
      <c r="N53" s="7">
        <f t="shared" si="19"/>
        <v>39.366666659479961</v>
      </c>
      <c r="O53" s="7"/>
      <c r="P53" s="7"/>
      <c r="Q53" s="23"/>
      <c r="R53" s="23"/>
      <c r="S53" s="35">
        <f t="shared" si="20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07:38:24-700',mode:absolute,to:'2016-12-02 10:24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3" s="52" t="str">
        <f t="shared" si="6"/>
        <v>N</v>
      </c>
      <c r="X53" s="177">
        <f t="shared" si="21"/>
        <v>1</v>
      </c>
      <c r="Y53" s="67">
        <f t="shared" si="22"/>
        <v>4.6600000000000003E-2</v>
      </c>
      <c r="Z53" s="67">
        <f t="shared" si="23"/>
        <v>23.332100000000001</v>
      </c>
      <c r="AA53" s="67">
        <f t="shared" si="10"/>
        <v>23.285499999999999</v>
      </c>
      <c r="AB53" s="64" t="str">
        <f>VLOOKUP(A53,Enforcements!$C$7:$K$19,8,0)</f>
        <v>Speed (6)</v>
      </c>
      <c r="AC53" s="60" t="str">
        <f>VLOOKUP(A53,Enforcements!$C$7:$E$19,3,0)</f>
        <v>PERMANENT SPEED RESTRICTION</v>
      </c>
      <c r="AD53" s="61" t="str">
        <f t="shared" si="11"/>
        <v>0141-02</v>
      </c>
      <c r="AE53" s="91" t="str">
        <f t="shared" si="12"/>
        <v>aws s3 cp s3://rtdc.mdm.uploadarchive.raw/RTDC4042/ "%USERPROFILE%\AppData\Local\Temp\OnboardLogs"\RTDC4042\2016-12-02 --exclude "*" --recursive --include "*20161202*" &amp; "%USERPROFILE%\Documents\GitHub\mrs-test-scripts\Headless Mode &amp; Sideloading\WalkAndUnGZ.bat" "%USERPROFILE%\AppData\Local\Temp\OnboardLogs"\RTDC4042\2016-12-02 &amp; 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</v>
      </c>
      <c r="AF53" s="88" t="str">
        <f t="shared" si="13"/>
        <v>"C:\Program Files (x86)\AstroGrep\AstroGrep.exe" /spath="%USERPROFILE%\AppData\Local\Temp\OnboardLogs" /stypes="app*4042*20161202*"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141-02 --locoid 4042 --swversion DE.1.0.8.0 --startMP 204:466 --initTime 2016-12-02T08:38:24 --startdatetime 2016-12-02T08:45:27 --delay 1 --endMP 204:233321 --enddatetime 2016-12-02T09:24:49 --enforcementcount 0 &gt;&gt;C:\Users\stu\Documents\GitHub\eaglep3-reporting\EC\2016-12-02-refined-times.txt</v>
      </c>
      <c r="AI53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{"issue":{"subject":"","project_id":79,"tracker_id":40,"status_id":1,"priority_id":2,"assigned_to_id":23,"start_date":"2016-12-02","description":"","custom_fields":[{"id":1,"name":"Subdivision","value":"EC"},{"id":4,"name":"Milepost","value":"23.3321"},{"id":17,"name":"Train ID","value":"141-02"},{"id":16,"name":"Locomotive ID","value":"4042"},{"id":130,"name":"Impact","value":""},{"id":150,"name":"Time of Event (Mountain Time)","value":"09:24:49"},{"id":151,"name":"Denver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526</v>
      </c>
      <c r="B54" s="7">
        <v>4041</v>
      </c>
      <c r="C54" s="22" t="s">
        <v>210</v>
      </c>
      <c r="D54" s="22" t="s">
        <v>263</v>
      </c>
      <c r="E54" s="13">
        <v>42706.395509259259</v>
      </c>
      <c r="F54" s="13">
        <v>42706.403703703705</v>
      </c>
      <c r="G54" s="7">
        <v>1</v>
      </c>
      <c r="H54" s="22" t="s">
        <v>217</v>
      </c>
      <c r="I54" s="13">
        <v>42706.429837962962</v>
      </c>
      <c r="J54" s="7">
        <v>0</v>
      </c>
      <c r="K54" s="109" t="str">
        <f t="shared" si="0"/>
        <v>4041/4042</v>
      </c>
      <c r="L54" s="22" t="str">
        <f>VLOOKUP(A54,'Trips&amp;Operators'!$C$1:$G$99999,5,FALSE)</f>
        <v>PERKINS DARREN</v>
      </c>
      <c r="M54" s="6">
        <f t="shared" si="1"/>
        <v>2.6134259256650694E-2</v>
      </c>
      <c r="N54" s="7">
        <f t="shared" si="19"/>
        <v>37.633333329576999</v>
      </c>
      <c r="O54" s="7"/>
      <c r="P54" s="7"/>
      <c r="Q54" s="23"/>
      <c r="R54" s="23"/>
      <c r="S54" s="35">
        <f t="shared" si="20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08:29:32-700',mode:absolute,to:'2016-12-02 11:18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4" s="52" t="str">
        <f t="shared" si="6"/>
        <v>N</v>
      </c>
      <c r="X54" s="177">
        <f t="shared" si="21"/>
        <v>1</v>
      </c>
      <c r="Y54" s="67">
        <f t="shared" si="22"/>
        <v>23.2989</v>
      </c>
      <c r="Z54" s="67">
        <f t="shared" si="23"/>
        <v>1.4999999999999999E-2</v>
      </c>
      <c r="AA54" s="67">
        <f t="shared" si="10"/>
        <v>23.283899999999999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0142-02</v>
      </c>
      <c r="AE54" s="91" t="str">
        <f t="shared" si="12"/>
        <v>aws s3 cp s3://rtdc.mdm.uploadarchive.raw/RTDC4041/ "%USERPROFILE%\AppData\Local\Temp\OnboardLogs"\RTDC4041\2016-12-02 --exclude "*" --recursive --include "*20161202*" &amp; "%USERPROFILE%\Documents\GitHub\mrs-test-scripts\Headless Mode &amp; Sideloading\WalkAndUnGZ.bat" "%USERPROFILE%\AppData\Local\Temp\OnboardLogs"\RTDC4041\2016-12-02 &amp; 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</v>
      </c>
      <c r="AF54" s="88" t="str">
        <f t="shared" si="13"/>
        <v>"C:\Program Files (x86)\AstroGrep\AstroGrep.exe" /spath="%USERPROFILE%\AppData\Local\Temp\OnboardLogs" /stypes="app*4041*20161202*"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142-02 --locoid 4041 --swversion DE.1.0.8.0 --startMP 204:232989 --initTime 2016-12-02T09:29:32 --startdatetime 2016-12-02T09:41:20 --delay 1 --endMP 204:150 --enddatetime 2016-12-02T10:18:58 --enforcementcount 0 &gt;&gt;C:\Users\stu\Documents\GitHub\eaglep3-reporting\EC\2016-12-02-refined-times.txt</v>
      </c>
      <c r="AI54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{"issue":{"subject":"","project_id":79,"tracker_id":40,"status_id":1,"priority_id":2,"assigned_to_id":23,"start_date":"2016-12-02","description":"","custom_fields":[{"id":1,"name":"Subdivision","value":"EC"},{"id":4,"name":"Milepost","value":"0.015"},{"id":17,"name":"Train ID","value":"142-02"},{"id":16,"name":"Locomotive ID","value":"4041"},{"id":130,"name":"Impact","value":""},{"id":150,"name":"Time of Event (Mountain Time)","value":"10:18:58"},{"id":151,"name":"Denver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521</v>
      </c>
      <c r="B55" s="7">
        <v>4022</v>
      </c>
      <c r="C55" s="22" t="s">
        <v>210</v>
      </c>
      <c r="D55" s="22" t="s">
        <v>209</v>
      </c>
      <c r="E55" s="13">
        <v>42706.370104166665</v>
      </c>
      <c r="F55" s="13">
        <v>42706.375185185185</v>
      </c>
      <c r="G55" s="7">
        <v>1</v>
      </c>
      <c r="H55" s="22" t="s">
        <v>244</v>
      </c>
      <c r="I55" s="13">
        <v>42706.399201388886</v>
      </c>
      <c r="J55" s="7">
        <v>0</v>
      </c>
      <c r="K55" s="109" t="str">
        <f t="shared" si="0"/>
        <v>4021/4022</v>
      </c>
      <c r="L55" s="22" t="str">
        <f>VLOOKUP(A55,'Trips&amp;Operators'!$C$1:$G$99999,5,FALSE)</f>
        <v>SAFIEF AEIMEN</v>
      </c>
      <c r="M55" s="6">
        <f t="shared" si="1"/>
        <v>2.4016203700739425E-2</v>
      </c>
      <c r="N55" s="7">
        <f t="shared" si="19"/>
        <v>34.583333329064772</v>
      </c>
      <c r="O55" s="7"/>
      <c r="P55" s="7"/>
      <c r="Q55" s="23"/>
      <c r="R55" s="23"/>
      <c r="S55" s="35">
        <f t="shared" si="20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07:52:57-700',mode:absolute,to:'2016-12-02 10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5" s="52" t="str">
        <f t="shared" si="6"/>
        <v>N</v>
      </c>
      <c r="X55" s="177">
        <f t="shared" si="21"/>
        <v>1</v>
      </c>
      <c r="Y55" s="67">
        <f t="shared" si="22"/>
        <v>4.6399999999999997E-2</v>
      </c>
      <c r="Z55" s="67">
        <f t="shared" si="23"/>
        <v>23.331399999999999</v>
      </c>
      <c r="AA55" s="67">
        <f t="shared" si="10"/>
        <v>23.285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0143-02</v>
      </c>
      <c r="AE55" s="91" t="str">
        <f t="shared" si="12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55" s="88" t="str">
        <f t="shared" si="13"/>
        <v>"C:\Program Files (x86)\AstroGrep\AstroGrep.exe" /spath="%USERPROFILE%\AppData\Local\Temp\OnboardLogs" /stypes="app*4022*20161202*"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143-02 --locoid 4022 --swversion DE.1.0.8.0 --startMP 204:464 --initTime 2016-12-02T08:52:57 --startdatetime 2016-12-02T09:00:16 --delay 1 --endMP 204:233314 --enddatetime 2016-12-02T09:34:51 --enforcementcount 0 &gt;&gt;C:\Users\stu\Documents\GitHub\eaglep3-reporting\EC\2016-12-02-refined-times.txt</v>
      </c>
      <c r="AI55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{"issue":{"subject":"","project_id":79,"tracker_id":40,"status_id":1,"priority_id":2,"assigned_to_id":23,"start_date":"2016-12-02","description":"","custom_fields":[{"id":1,"name":"Subdivision","value":"EC"},{"id":4,"name":"Milepost","value":"23.3314"},{"id":17,"name":"Train ID","value":"143-02"},{"id":16,"name":"Locomotive ID","value":"4022"},{"id":130,"name":"Impact","value":""},{"id":150,"name":"Time of Event (Mountain Time)","value":"09:34:51"},{"id":151,"name":"Denver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530</v>
      </c>
      <c r="B56" s="7">
        <v>4021</v>
      </c>
      <c r="C56" s="22" t="s">
        <v>210</v>
      </c>
      <c r="D56" s="22" t="s">
        <v>398</v>
      </c>
      <c r="E56" s="13">
        <v>42706.412719907406</v>
      </c>
      <c r="F56" s="13">
        <v>42706.414270833331</v>
      </c>
      <c r="G56" s="7">
        <v>1</v>
      </c>
      <c r="H56" s="22" t="s">
        <v>192</v>
      </c>
      <c r="I56" s="13">
        <v>42706.439618055556</v>
      </c>
      <c r="J56" s="7">
        <v>0</v>
      </c>
      <c r="K56" s="109" t="str">
        <f t="shared" si="0"/>
        <v>4021/4022</v>
      </c>
      <c r="L56" s="22" t="str">
        <f>VLOOKUP(A56,'Trips&amp;Operators'!$C$1:$G$99999,5,FALSE)</f>
        <v>SAFIEF AEIMEN</v>
      </c>
      <c r="M56" s="6">
        <f t="shared" si="1"/>
        <v>2.5347222224809229E-2</v>
      </c>
      <c r="N56" s="7">
        <f t="shared" si="19"/>
        <v>36.50000000372529</v>
      </c>
      <c r="O56" s="7"/>
      <c r="P56" s="7"/>
      <c r="Q56" s="23"/>
      <c r="R56" s="23"/>
      <c r="S56" s="35">
        <f t="shared" si="20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08:54:19-700',mode:absolute,to:'2016-12-02 11:33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6" s="52" t="str">
        <f t="shared" si="6"/>
        <v>N</v>
      </c>
      <c r="X56" s="177">
        <f t="shared" si="21"/>
        <v>1</v>
      </c>
      <c r="Y56" s="67">
        <f t="shared" si="22"/>
        <v>23.297799999999999</v>
      </c>
      <c r="Z56" s="67">
        <f t="shared" si="23"/>
        <v>1.49E-2</v>
      </c>
      <c r="AA56" s="67">
        <f t="shared" si="10"/>
        <v>23.282899999999998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0144-02</v>
      </c>
      <c r="AE56" s="91" t="str">
        <f t="shared" si="12"/>
        <v>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 &amp; 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</v>
      </c>
      <c r="AF56" s="88" t="str">
        <f t="shared" si="13"/>
        <v>"C:\Program Files (x86)\AstroGrep\AstroGrep.exe" /spath="%USERPROFILE%\AppData\Local\Temp\OnboardLogs" /stypes="app*4021*20161202*"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144-02 --locoid 4021 --swversion DE.1.0.8.0 --startMP 204:232978 --initTime 2016-12-02T09:54:19 --startdatetime 2016-12-02T09:56:33 --delay 1 --endMP 204:149 --enddatetime 2016-12-02T10:33:03 --enforcementcount 0 &gt;&gt;C:\Users\stu\Documents\GitHub\eaglep3-reporting\EC\2016-12-02-refined-times.txt</v>
      </c>
      <c r="AI56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{"issue":{"subject":"","project_id":79,"tracker_id":40,"status_id":1,"priority_id":2,"assigned_to_id":23,"start_date":"2016-12-02","description":"","custom_fields":[{"id":1,"name":"Subdivision","value":"EC"},{"id":4,"name":"Milepost","value":"0.0149"},{"id":17,"name":"Train ID","value":"144-02"},{"id":16,"name":"Locomotive ID","value":"4021"},{"id":130,"name":"Impact","value":""},{"id":150,"name":"Time of Event (Mountain Time)","value":"10:33:03"},{"id":151,"name":"Denver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523</v>
      </c>
      <c r="B57" s="7">
        <v>4014</v>
      </c>
      <c r="C57" s="22" t="s">
        <v>210</v>
      </c>
      <c r="D57" s="22" t="s">
        <v>327</v>
      </c>
      <c r="E57" s="13">
        <v>42706.380995370368</v>
      </c>
      <c r="F57" s="13">
        <v>42706.385613425926</v>
      </c>
      <c r="G57" s="7">
        <v>1</v>
      </c>
      <c r="H57" s="22" t="s">
        <v>403</v>
      </c>
      <c r="I57" s="13">
        <v>42706.411435185182</v>
      </c>
      <c r="J57" s="7">
        <v>0</v>
      </c>
      <c r="K57" s="109" t="str">
        <f t="shared" si="0"/>
        <v>4013/4014</v>
      </c>
      <c r="L57" s="22" t="str">
        <f>VLOOKUP(A57,'Trips&amp;Operators'!$C$1:$G$99999,5,FALSE)</f>
        <v>DAVIS WENDY</v>
      </c>
      <c r="M57" s="6">
        <f t="shared" si="1"/>
        <v>2.5821759256359655E-2</v>
      </c>
      <c r="N57" s="7">
        <f t="shared" si="19"/>
        <v>37.183333329157904</v>
      </c>
      <c r="O57" s="7"/>
      <c r="P57" s="7"/>
      <c r="Q57" s="23"/>
      <c r="R57" s="23"/>
      <c r="S57" s="35">
        <f t="shared" si="20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08:08:38-700',mode:absolute,to:'2016-12-02 10:52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7" s="52" t="str">
        <f t="shared" si="6"/>
        <v>N</v>
      </c>
      <c r="X57" s="177">
        <f t="shared" si="21"/>
        <v>1</v>
      </c>
      <c r="Y57" s="67">
        <f t="shared" si="22"/>
        <v>4.3099999999999999E-2</v>
      </c>
      <c r="Z57" s="67">
        <f t="shared" si="23"/>
        <v>23.3323</v>
      </c>
      <c r="AA57" s="67">
        <f t="shared" si="10"/>
        <v>23.289200000000001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0145-02</v>
      </c>
      <c r="AE57" s="91" t="str">
        <f t="shared" si="12"/>
        <v>aws s3 cp s3://rtdc.mdm.uploadarchive.raw/RTDC4014/ "%USERPROFILE%\AppData\Local\Temp\OnboardLogs"\RTDC4014\2016-12-02 --exclude "*" --recursive --include "*20161202*" &amp; "%USERPROFILE%\Documents\GitHub\mrs-test-scripts\Headless Mode &amp; Sideloading\WalkAndUnGZ.bat" "%USERPROFILE%\AppData\Local\Temp\OnboardLogs"\RTDC4014\2016-12-02 &amp; 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</v>
      </c>
      <c r="AF57" s="88" t="str">
        <f t="shared" si="13"/>
        <v>"C:\Program Files (x86)\AstroGrep\AstroGrep.exe" /spath="%USERPROFILE%\AppData\Local\Temp\OnboardLogs" /stypes="app*4014*20161202*"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145-02 --locoid 4014 --swversion DE.1.0.8.0 --startMP 204:431 --initTime 2016-12-02T09:08:38 --startdatetime 2016-12-02T09:15:17 --delay 1 --endMP 204:233323 --enddatetime 2016-12-02T09:52:28 --enforcementcount 0 &gt;&gt;C:\Users\stu\Documents\GitHub\eaglep3-reporting\EC\2016-12-02-refined-times.txt</v>
      </c>
      <c r="AI57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{"issue":{"subject":"","project_id":79,"tracker_id":40,"status_id":1,"priority_id":2,"assigned_to_id":23,"start_date":"2016-12-02","description":"","custom_fields":[{"id":1,"name":"Subdivision","value":"EC"},{"id":4,"name":"Milepost","value":"23.3323"},{"id":17,"name":"Train ID","value":"145-02"},{"id":16,"name":"Locomotive ID","value":"4014"},{"id":130,"name":"Impact","value":""},{"id":150,"name":"Time of Event (Mountain Time)","value":"09:52:28"},{"id":151,"name":"Denver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532</v>
      </c>
      <c r="B58" s="7">
        <v>4013</v>
      </c>
      <c r="C58" s="22" t="s">
        <v>210</v>
      </c>
      <c r="D58" s="22" t="s">
        <v>242</v>
      </c>
      <c r="E58" s="13">
        <v>42706.417337962965</v>
      </c>
      <c r="F58" s="13">
        <v>42706.424467592595</v>
      </c>
      <c r="G58" s="7">
        <v>1</v>
      </c>
      <c r="H58" s="22" t="s">
        <v>265</v>
      </c>
      <c r="I58" s="13">
        <v>42706.451898148145</v>
      </c>
      <c r="J58" s="7">
        <v>0</v>
      </c>
      <c r="K58" s="109" t="str">
        <f t="shared" si="0"/>
        <v>4013/4014</v>
      </c>
      <c r="L58" s="22" t="str">
        <f>VLOOKUP(A58,'Trips&amp;Operators'!$C$1:$G$99999,5,FALSE)</f>
        <v>DAVIS WENDY</v>
      </c>
      <c r="M58" s="6">
        <f t="shared" si="1"/>
        <v>2.7430555550381541E-2</v>
      </c>
      <c r="N58" s="7">
        <f t="shared" si="19"/>
        <v>39.499999992549419</v>
      </c>
      <c r="O58" s="7"/>
      <c r="P58" s="7"/>
      <c r="Q58" s="23"/>
      <c r="R58" s="23"/>
      <c r="S58" s="35">
        <f t="shared" si="20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09:00:58-700',mode:absolute,to:'2016-12-02 11:50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8" s="52" t="str">
        <f t="shared" si="6"/>
        <v>N</v>
      </c>
      <c r="X58" s="177">
        <f t="shared" si="21"/>
        <v>1</v>
      </c>
      <c r="Y58" s="67">
        <f t="shared" si="22"/>
        <v>23.299299999999999</v>
      </c>
      <c r="Z58" s="67">
        <f t="shared" si="23"/>
        <v>1.4500000000000001E-2</v>
      </c>
      <c r="AA58" s="67">
        <f t="shared" si="10"/>
        <v>23.284799999999997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0146-02</v>
      </c>
      <c r="AE58" s="91" t="str">
        <f t="shared" si="12"/>
        <v>aws s3 cp s3://rtdc.mdm.uploadarchive.raw/RTDC4013/ "%USERPROFILE%\AppData\Local\Temp\OnboardLogs"\RTDC4013\2016-12-02 --exclude "*" --recursive --include "*20161202*" &amp; "%USERPROFILE%\Documents\GitHub\mrs-test-scripts\Headless Mode &amp; Sideloading\WalkAndUnGZ.bat" "%USERPROFILE%\AppData\Local\Temp\OnboardLogs"\RTDC4013\2016-12-02 &amp; 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</v>
      </c>
      <c r="AF58" s="88" t="str">
        <f t="shared" si="13"/>
        <v>"C:\Program Files (x86)\AstroGrep\AstroGrep.exe" /spath="%USERPROFILE%\AppData\Local\Temp\OnboardLogs" /stypes="app*4013*20161202*"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146-02 --locoid 4013 --swversion DE.1.0.8.0 --startMP 204:232993 --initTime 2016-12-02T10:00:58 --startdatetime 2016-12-02T10:11:14 --delay 1 --endMP 204:145 --enddatetime 2016-12-02T10:50:44 --enforcementcount 0 &gt;&gt;C:\Users\stu\Documents\GitHub\eaglep3-reporting\EC\2016-12-02-refined-times.txt</v>
      </c>
      <c r="AI58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{"issue":{"subject":"","project_id":79,"tracker_id":40,"status_id":1,"priority_id":2,"assigned_to_id":23,"start_date":"2016-12-02","description":"","custom_fields":[{"id":1,"name":"Subdivision","value":"EC"},{"id":4,"name":"Milepost","value":"0.0145"},{"id":17,"name":"Train ID","value":"146-02"},{"id":16,"name":"Locomotive ID","value":"4013"},{"id":130,"name":"Impact","value":""},{"id":150,"name":"Time of Event (Mountain Time)","value":"10:50:44"},{"id":151,"name":"Denver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525</v>
      </c>
      <c r="B59" s="7">
        <v>4011</v>
      </c>
      <c r="C59" s="22" t="s">
        <v>210</v>
      </c>
      <c r="D59" s="22" t="s">
        <v>207</v>
      </c>
      <c r="E59" s="13">
        <v>42706.390347222223</v>
      </c>
      <c r="F59" s="13">
        <v>42706.396064814813</v>
      </c>
      <c r="G59" s="7">
        <v>1</v>
      </c>
      <c r="H59" s="22" t="s">
        <v>323</v>
      </c>
      <c r="I59" s="13">
        <v>42706.420844907407</v>
      </c>
      <c r="J59" s="7">
        <v>0</v>
      </c>
      <c r="K59" s="109" t="str">
        <f t="shared" si="0"/>
        <v>4011/4012</v>
      </c>
      <c r="L59" s="22" t="str">
        <f>VLOOKUP(A59,'Trips&amp;Operators'!$C$1:$G$99999,5,FALSE)</f>
        <v>ROBINSON KADDIBA</v>
      </c>
      <c r="M59" s="6">
        <f t="shared" si="1"/>
        <v>2.4780092593573499E-2</v>
      </c>
      <c r="N59" s="7">
        <f t="shared" si="19"/>
        <v>35.683333334745839</v>
      </c>
      <c r="O59" s="7"/>
      <c r="P59" s="7"/>
      <c r="Q59" s="23"/>
      <c r="R59" s="23"/>
      <c r="S59" s="35">
        <f t="shared" si="20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08:22:06-700',mode:absolute,to:'2016-12-02 11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9" s="52" t="str">
        <f t="shared" si="6"/>
        <v>N</v>
      </c>
      <c r="X59" s="177">
        <f t="shared" si="21"/>
        <v>1</v>
      </c>
      <c r="Y59" s="67">
        <f t="shared" si="22"/>
        <v>4.6199999999999998E-2</v>
      </c>
      <c r="Z59" s="67">
        <f t="shared" si="23"/>
        <v>23.331199999999999</v>
      </c>
      <c r="AA59" s="67">
        <f t="shared" si="10"/>
        <v>23.285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0147-02</v>
      </c>
      <c r="AE59" s="91" t="str">
        <f t="shared" si="12"/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AF59" s="88" t="str">
        <f t="shared" si="13"/>
        <v>"C:\Program Files (x86)\AstroGrep\AstroGrep.exe" /spath="%USERPROFILE%\AppData\Local\Temp\OnboardLogs" /stypes="app*4011*20161202*"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147-02 --locoid 4011 --swversion DE.1.0.8.0 --startMP 204:462 --initTime 2016-12-02T09:22:06 --startdatetime 2016-12-02T09:30:20 --delay 1 --endMP 204:233312 --enddatetime 2016-12-02T10:06:01 --enforcementcount 0 &gt;&gt;C:\Users\stu\Documents\GitHub\eaglep3-reporting\EC\2016-12-02-refined-times.txt</v>
      </c>
      <c r="AI59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{"issue":{"subject":"","project_id":79,"tracker_id":40,"status_id":1,"priority_id":2,"assigned_to_id":23,"start_date":"2016-12-02","description":"","custom_fields":[{"id":1,"name":"Subdivision","value":"EC"},{"id":4,"name":"Milepost","value":"23.3312"},{"id":17,"name":"Train ID","value":"147-02"},{"id":16,"name":"Locomotive ID","value":"4011"},{"id":130,"name":"Impact","value":""},{"id":150,"name":"Time of Event (Mountain Time)","value":"10:06:01"},{"id":151,"name":"Denver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533</v>
      </c>
      <c r="B60" s="7">
        <v>4012</v>
      </c>
      <c r="C60" s="22" t="s">
        <v>210</v>
      </c>
      <c r="D60" s="22" t="s">
        <v>266</v>
      </c>
      <c r="E60" s="13">
        <v>42706.427453703705</v>
      </c>
      <c r="F60" s="13">
        <v>42706.434953703705</v>
      </c>
      <c r="G60" s="7">
        <v>1</v>
      </c>
      <c r="H60" s="22" t="s">
        <v>689</v>
      </c>
      <c r="I60" s="13">
        <v>42706.460509259261</v>
      </c>
      <c r="J60" s="7">
        <v>0</v>
      </c>
      <c r="K60" s="109" t="str">
        <f t="shared" si="0"/>
        <v>4011/4012</v>
      </c>
      <c r="L60" s="22" t="str">
        <f>VLOOKUP(A60,'Trips&amp;Operators'!$C$1:$G$99999,5,FALSE)</f>
        <v>ROBINSON KADDIBA</v>
      </c>
      <c r="M60" s="6">
        <f t="shared" si="1"/>
        <v>2.5555555555911269E-2</v>
      </c>
      <c r="N60" s="7">
        <f t="shared" si="19"/>
        <v>36.800000000512227</v>
      </c>
      <c r="O60" s="7"/>
      <c r="P60" s="7"/>
      <c r="Q60" s="23"/>
      <c r="R60" s="23"/>
      <c r="S60" s="35">
        <f t="shared" si="20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09:15:32-700',mode:absolute,to:'2016-12-02 12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0" s="52" t="str">
        <f t="shared" si="6"/>
        <v>N</v>
      </c>
      <c r="X60" s="177">
        <f t="shared" si="21"/>
        <v>1</v>
      </c>
      <c r="Y60" s="67">
        <f t="shared" si="22"/>
        <v>23.299600000000002</v>
      </c>
      <c r="Z60" s="67">
        <f t="shared" si="23"/>
        <v>1.34E-2</v>
      </c>
      <c r="AA60" s="67">
        <f t="shared" si="10"/>
        <v>23.286200000000001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0148-02</v>
      </c>
      <c r="AE60" s="91" t="str">
        <f t="shared" si="12"/>
        <v>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 &amp; 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</v>
      </c>
      <c r="AF60" s="88" t="str">
        <f t="shared" si="13"/>
        <v>"C:\Program Files (x86)\AstroGrep\AstroGrep.exe" /spath="%USERPROFILE%\AppData\Local\Temp\OnboardLogs" /stypes="app*4012*20161202*"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148-02 --locoid 4012 --swversion DE.1.0.8.0 --startMP 204:232996 --initTime 2016-12-02T10:15:32 --startdatetime 2016-12-02T10:26:20 --delay 1 --endMP 204:134 --enddatetime 2016-12-02T11:03:08 --enforcementcount 0 &gt;&gt;C:\Users\stu\Documents\GitHub\eaglep3-reporting\EC\2016-12-02-refined-times.txt</v>
      </c>
      <c r="AI60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{"issue":{"subject":"","project_id":79,"tracker_id":40,"status_id":1,"priority_id":2,"assigned_to_id":23,"start_date":"2016-12-02","description":"","custom_fields":[{"id":1,"name":"Subdivision","value":"EC"},{"id":4,"name":"Milepost","value":"0.0134"},{"id":17,"name":"Train ID","value":"148-02"},{"id":16,"name":"Locomotive ID","value":"4012"},{"id":130,"name":"Impact","value":""},{"id":150,"name":"Time of Event (Mountain Time)","value":"11:03:08"},{"id":151,"name":"Denver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527</v>
      </c>
      <c r="B61" s="7">
        <v>4002</v>
      </c>
      <c r="C61" s="22" t="s">
        <v>210</v>
      </c>
      <c r="D61" s="22" t="s">
        <v>249</v>
      </c>
      <c r="E61" s="13">
        <v>42706.400208333333</v>
      </c>
      <c r="F61" s="13">
        <v>42706.406446759262</v>
      </c>
      <c r="G61" s="7">
        <v>5</v>
      </c>
      <c r="H61" s="22" t="s">
        <v>250</v>
      </c>
      <c r="I61" s="13">
        <v>42706.430335648147</v>
      </c>
      <c r="J61" s="7">
        <v>0</v>
      </c>
      <c r="K61" s="109" t="str">
        <f t="shared" si="0"/>
        <v>4001/4002</v>
      </c>
      <c r="L61" s="22" t="str">
        <f>VLOOKUP(A61,'Trips&amp;Operators'!$C$1:$G$99999,5,FALSE)</f>
        <v>BRANNON JEFFREY</v>
      </c>
      <c r="M61" s="6">
        <f t="shared" si="1"/>
        <v>2.3888888885267079E-2</v>
      </c>
      <c r="N61" s="7">
        <f t="shared" si="19"/>
        <v>34.399999994784594</v>
      </c>
      <c r="O61" s="7"/>
      <c r="P61" s="7"/>
      <c r="Q61" s="23"/>
      <c r="R61" s="23"/>
      <c r="S61" s="35">
        <f t="shared" si="20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08:36:18-700',mode:absolute,to:'2016-12-02 11:19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1" s="52" t="str">
        <f t="shared" si="6"/>
        <v>N</v>
      </c>
      <c r="X61" s="177">
        <f t="shared" si="21"/>
        <v>1</v>
      </c>
      <c r="Y61" s="67">
        <f t="shared" si="22"/>
        <v>4.5999999999999999E-2</v>
      </c>
      <c r="Z61" s="67">
        <f t="shared" si="23"/>
        <v>23.330200000000001</v>
      </c>
      <c r="AA61" s="67">
        <f t="shared" si="10"/>
        <v>23.284200000000002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0149-02</v>
      </c>
      <c r="AE61" s="91" t="str">
        <f t="shared" si="12"/>
        <v>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 &amp; 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</v>
      </c>
      <c r="AF61" s="88" t="str">
        <f t="shared" si="13"/>
        <v>"C:\Program Files (x86)\AstroGrep\AstroGrep.exe" /spath="%USERPROFILE%\AppData\Local\Temp\OnboardLogs" /stypes="app*4002*20161202*"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149-02 --locoid 4002 --swversion DE.1.0.8.0 --startMP 204:460 --initTime 2016-12-02T09:36:18 --startdatetime 2016-12-02T09:45:17 --delay 5 --endMP 204:233302 --enddatetime 2016-12-02T10:19:41 --enforcementcount 0 &gt;&gt;C:\Users\stu\Documents\GitHub\eaglep3-reporting\EC\2016-12-02-refined-times.txt</v>
      </c>
      <c r="AI61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{"issue":{"subject":"","project_id":79,"tracker_id":40,"status_id":1,"priority_id":2,"assigned_to_id":23,"start_date":"2016-12-02","description":"","custom_fields":[{"id":1,"name":"Subdivision","value":"EC"},{"id":4,"name":"Milepost","value":"23.3302"},{"id":17,"name":"Train ID","value":"149-02"},{"id":16,"name":"Locomotive ID","value":"4002"},{"id":130,"name":"Impact","value":""},{"id":150,"name":"Time of Event (Mountain Time)","value":"10:19:41"},{"id":151,"name":"Denver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536</v>
      </c>
      <c r="B62" s="7">
        <v>4001</v>
      </c>
      <c r="C62" s="22" t="s">
        <v>210</v>
      </c>
      <c r="D62" s="22" t="s">
        <v>242</v>
      </c>
      <c r="E62" s="13">
        <v>42706.437384259261</v>
      </c>
      <c r="F62" s="13">
        <v>42706.445439814815</v>
      </c>
      <c r="G62" s="7">
        <v>1</v>
      </c>
      <c r="H62" s="22" t="s">
        <v>192</v>
      </c>
      <c r="I62" s="13">
        <v>42706.47115740741</v>
      </c>
      <c r="J62" s="7">
        <v>0</v>
      </c>
      <c r="K62" s="109" t="str">
        <f t="shared" si="0"/>
        <v>4001/4002</v>
      </c>
      <c r="L62" s="22" t="str">
        <f>VLOOKUP(A62,'Trips&amp;Operators'!$C$1:$G$99999,5,FALSE)</f>
        <v>BRANNON JEFFREY</v>
      </c>
      <c r="M62" s="6">
        <f t="shared" si="1"/>
        <v>2.5717592594446614E-2</v>
      </c>
      <c r="N62" s="7">
        <f t="shared" si="19"/>
        <v>37.033333336003125</v>
      </c>
      <c r="O62" s="7"/>
      <c r="P62" s="7"/>
      <c r="Q62" s="23"/>
      <c r="R62" s="23"/>
      <c r="S62" s="35">
        <f t="shared" si="20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09:29:50-700',mode:absolute,to:'2016-12-02 12:18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2" s="52" t="str">
        <f t="shared" si="6"/>
        <v>N</v>
      </c>
      <c r="X62" s="177">
        <f t="shared" si="21"/>
        <v>1</v>
      </c>
      <c r="Y62" s="67">
        <f t="shared" si="22"/>
        <v>23.299299999999999</v>
      </c>
      <c r="Z62" s="67">
        <f t="shared" si="23"/>
        <v>1.49E-2</v>
      </c>
      <c r="AA62" s="67">
        <f t="shared" si="10"/>
        <v>23.284399999999998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0150-02</v>
      </c>
      <c r="AE62" s="91" t="str">
        <f t="shared" si="12"/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AF62" s="88" t="str">
        <f t="shared" si="13"/>
        <v>"C:\Program Files (x86)\AstroGrep\AstroGrep.exe" /spath="%USERPROFILE%\AppData\Local\Temp\OnboardLogs" /stypes="app*4001*20161202*"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150-02 --locoid 4001 --swversion DE.1.0.8.0 --startMP 204:232993 --initTime 2016-12-02T10:29:50 --startdatetime 2016-12-02T10:41:26 --delay 1 --endMP 204:149 --enddatetime 2016-12-02T11:18:28 --enforcementcount 0 &gt;&gt;C:\Users\stu\Documents\GitHub\eaglep3-reporting\EC\2016-12-02-refined-times.txt</v>
      </c>
      <c r="AI62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{"issue":{"subject":"","project_id":79,"tracker_id":40,"status_id":1,"priority_id":2,"assigned_to_id":23,"start_date":"2016-12-02","description":"","custom_fields":[{"id":1,"name":"Subdivision","value":"EC"},{"id":4,"name":"Milepost","value":"0.0149"},{"id":17,"name":"Train ID","value":"150-02"},{"id":16,"name":"Locomotive ID","value":"4001"},{"id":130,"name":"Impact","value":""},{"id":150,"name":"Time of Event (Mountain Time)","value":"11:18:28"},{"id":151,"name":"Denver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529</v>
      </c>
      <c r="B63" s="7">
        <v>4003</v>
      </c>
      <c r="C63" s="22" t="s">
        <v>210</v>
      </c>
      <c r="D63" s="22" t="s">
        <v>207</v>
      </c>
      <c r="E63" s="13">
        <v>42706.412465277775</v>
      </c>
      <c r="F63" s="13">
        <v>42706.416956018518</v>
      </c>
      <c r="G63" s="7">
        <v>1</v>
      </c>
      <c r="H63" s="22" t="s">
        <v>296</v>
      </c>
      <c r="I63" s="13">
        <v>42706.441550925927</v>
      </c>
      <c r="J63" s="7">
        <v>0</v>
      </c>
      <c r="K63" s="109" t="str">
        <f t="shared" si="0"/>
        <v>4003/4004</v>
      </c>
      <c r="L63" s="22" t="str">
        <f>VLOOKUP(A63,'Trips&amp;Operators'!$C$1:$G$99999,5,FALSE)</f>
        <v>MAGEE KENYA</v>
      </c>
      <c r="M63" s="6">
        <f t="shared" si="1"/>
        <v>2.4594907408754807E-2</v>
      </c>
      <c r="N63" s="7">
        <f t="shared" si="19"/>
        <v>35.416666668606922</v>
      </c>
      <c r="O63" s="7"/>
      <c r="P63" s="7"/>
      <c r="Q63" s="23"/>
      <c r="R63" s="23"/>
      <c r="S63" s="35">
        <f t="shared" si="20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08:53:57-700',mode:absolute,to:'2016-12-02 11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3" s="52" t="str">
        <f t="shared" si="6"/>
        <v>N</v>
      </c>
      <c r="X63" s="177">
        <f t="shared" si="21"/>
        <v>1</v>
      </c>
      <c r="Y63" s="67">
        <f t="shared" si="22"/>
        <v>4.6199999999999998E-2</v>
      </c>
      <c r="Z63" s="67">
        <f t="shared" si="23"/>
        <v>23.329699999999999</v>
      </c>
      <c r="AA63" s="67">
        <f t="shared" si="10"/>
        <v>23.2835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0151-02</v>
      </c>
      <c r="AE63" s="91" t="str">
        <f t="shared" si="12"/>
        <v>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 &amp; 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</v>
      </c>
      <c r="AF63" s="88" t="str">
        <f t="shared" si="13"/>
        <v>"C:\Program Files (x86)\AstroGrep\AstroGrep.exe" /spath="%USERPROFILE%\AppData\Local\Temp\OnboardLogs" /stypes="app*4003*20161202*"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151-02 --locoid 4003 --swversion DE.1.0.8.0 --startMP 204:462 --initTime 2016-12-02T09:53:57 --startdatetime 2016-12-02T10:00:25 --delay 1 --endMP 204:233297 --enddatetime 2016-12-02T10:35:50 --enforcementcount 0 &gt;&gt;C:\Users\stu\Documents\GitHub\eaglep3-reporting\EC\2016-12-02-refined-times.txt</v>
      </c>
      <c r="AI63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{"issue":{"subject":"","project_id":79,"tracker_id":40,"status_id":1,"priority_id":2,"assigned_to_id":23,"start_date":"2016-12-02","description":"","custom_fields":[{"id":1,"name":"Subdivision","value":"EC"},{"id":4,"name":"Milepost","value":"23.3297"},{"id":17,"name":"Train ID","value":"151-02"},{"id":16,"name":"Locomotive ID","value":"4003"},{"id":130,"name":"Impact","value":""},{"id":150,"name":"Time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539</v>
      </c>
      <c r="B64" s="7">
        <v>4004</v>
      </c>
      <c r="C64" s="22" t="s">
        <v>210</v>
      </c>
      <c r="D64" s="22" t="s">
        <v>701</v>
      </c>
      <c r="E64" s="13">
        <v>42706.447488425925</v>
      </c>
      <c r="F64" s="13">
        <v>42706.455775462964</v>
      </c>
      <c r="G64" s="7">
        <v>1</v>
      </c>
      <c r="H64" s="22" t="s">
        <v>233</v>
      </c>
      <c r="I64" s="13">
        <v>42706.481828703705</v>
      </c>
      <c r="J64" s="7">
        <v>0</v>
      </c>
      <c r="K64" s="109" t="str">
        <f t="shared" si="0"/>
        <v>4003/4004</v>
      </c>
      <c r="L64" s="22" t="str">
        <f>VLOOKUP(A64,'Trips&amp;Operators'!$C$1:$G$99999,5,FALSE)</f>
        <v>MAGEE KENYA</v>
      </c>
      <c r="M64" s="6">
        <f t="shared" si="1"/>
        <v>2.6053240741021E-2</v>
      </c>
      <c r="N64" s="7">
        <f t="shared" si="19"/>
        <v>37.51666666707024</v>
      </c>
      <c r="O64" s="7"/>
      <c r="P64" s="7"/>
      <c r="Q64" s="23"/>
      <c r="R64" s="23"/>
      <c r="S64" s="35">
        <f t="shared" si="20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09:44:23-700',mode:absolute,to:'2016-12-02 12:33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4" s="52" t="str">
        <f t="shared" si="6"/>
        <v>N</v>
      </c>
      <c r="X64" s="177">
        <f t="shared" si="21"/>
        <v>1</v>
      </c>
      <c r="Y64" s="67">
        <f t="shared" si="22"/>
        <v>23.298400000000001</v>
      </c>
      <c r="Z64" s="67">
        <f t="shared" si="23"/>
        <v>1.41E-2</v>
      </c>
      <c r="AA64" s="67">
        <f t="shared" si="10"/>
        <v>23.284300000000002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0152-02</v>
      </c>
      <c r="AE64" s="91" t="str">
        <f t="shared" si="12"/>
        <v>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 &amp; 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</v>
      </c>
      <c r="AF64" s="88" t="str">
        <f t="shared" si="13"/>
        <v>"C:\Program Files (x86)\AstroGrep\AstroGrep.exe" /spath="%USERPROFILE%\AppData\Local\Temp\OnboardLogs" /stypes="app*4004*20161202*"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152-02 --locoid 4004 --swversion DE.1.0.8.0 --startMP 204:232984 --initTime 2016-12-02T10:44:23 --startdatetime 2016-12-02T10:56:19 --delay 1 --endMP 204:141 --enddatetime 2016-12-02T11:33:50 --enforcementcount 0 &gt;&gt;C:\Users\stu\Documents\GitHub\eaglep3-reporting\EC\2016-12-02-refined-times.txt</v>
      </c>
      <c r="AI64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{"issue":{"subject":"","project_id":79,"tracker_id":40,"status_id":1,"priority_id":2,"assigned_to_id":23,"start_date":"2016-12-02","description":"","custom_fields":[{"id":1,"name":"Subdivision","value":"EC"},{"id":4,"name":"Milepost","value":"0.0141"},{"id":17,"name":"Train ID","value":"152-02"},{"id":16,"name":"Locomotive ID","value":"4004"},{"id":130,"name":"Impact","value":""},{"id":150,"name":"Time of Event (Mountain Time)","value":"11:33:50"},{"id":151,"name":"Denver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441</v>
      </c>
      <c r="B65" s="7">
        <v>4044</v>
      </c>
      <c r="C65" s="22" t="s">
        <v>210</v>
      </c>
      <c r="D65" s="22" t="s">
        <v>331</v>
      </c>
      <c r="E65" s="13">
        <v>42706.42260416667</v>
      </c>
      <c r="F65" s="13">
        <v>42706.427291666667</v>
      </c>
      <c r="G65" s="7">
        <v>1</v>
      </c>
      <c r="H65" s="22" t="s">
        <v>259</v>
      </c>
      <c r="I65" s="13">
        <v>42706.45113425926</v>
      </c>
      <c r="J65" s="7">
        <v>0</v>
      </c>
      <c r="K65" s="109" t="str">
        <f t="shared" si="0"/>
        <v>4043/4044</v>
      </c>
      <c r="L65" s="22" t="str">
        <f>VLOOKUP(A65,'Trips&amp;Operators'!$C$1:$G$99999,5,FALSE)</f>
        <v>SPECTOR MICHAEL</v>
      </c>
      <c r="M65" s="6">
        <f t="shared" si="1"/>
        <v>2.3842592592700385E-2</v>
      </c>
      <c r="N65" s="7">
        <f t="shared" si="19"/>
        <v>34.333333333488554</v>
      </c>
      <c r="O65" s="7"/>
      <c r="P65" s="7"/>
      <c r="Q65" s="23"/>
      <c r="R65" s="23"/>
      <c r="S65" s="35">
        <f t="shared" si="20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09:08:33-700',mode:absolute,to:'2016-12-02 11:49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5" s="52" t="str">
        <f t="shared" si="6"/>
        <v>N</v>
      </c>
      <c r="X65" s="177">
        <f t="shared" si="21"/>
        <v>1</v>
      </c>
      <c r="Y65" s="67">
        <f t="shared" si="22"/>
        <v>4.4600000000000001E-2</v>
      </c>
      <c r="Z65" s="67">
        <f t="shared" si="23"/>
        <v>23.3308</v>
      </c>
      <c r="AA65" s="67">
        <f t="shared" si="10"/>
        <v>23.286200000000001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0153-02</v>
      </c>
      <c r="AE65" s="91" t="str">
        <f t="shared" si="12"/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65" s="88" t="str">
        <f t="shared" si="13"/>
        <v>"C:\Program Files (x86)\AstroGrep\AstroGrep.exe" /spath="%USERPROFILE%\AppData\Local\Temp\OnboardLogs" /stypes="app*4044*20161202*"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153-02 --locoid 4044 --swversion DE.1.0.8.0 --startMP 204:446 --initTime 2016-12-02T10:08:33 --startdatetime 2016-12-02T10:15:18 --delay 1 --endMP 204:233308 --enddatetime 2016-12-02T10:49:38 --enforcementcount 0 &gt;&gt;C:\Users\stu\Documents\GitHub\eaglep3-reporting\EC\2016-12-02-refined-times.txt</v>
      </c>
      <c r="AI65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{"issue":{"subject":"","project_id":79,"tracker_id":40,"status_id":1,"priority_id":2,"assigned_to_id":23,"start_date":"2016-12-02","description":"","custom_fields":[{"id":1,"name":"Subdivision","value":"EC"},{"id":4,"name":"Milepost","value":"23.3308"},{"id":17,"name":"Train ID","value":"153-02"},{"id":16,"name":"Locomotive ID","value":"4044"},{"id":130,"name":"Impact","value":""},{"id":150,"name":"Time of Event (Mountain Time)","value":"10:49:38"},{"id":151,"name":"Denver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543</v>
      </c>
      <c r="B66" s="7">
        <v>4043</v>
      </c>
      <c r="C66" s="22" t="s">
        <v>210</v>
      </c>
      <c r="D66" s="22" t="s">
        <v>266</v>
      </c>
      <c r="E66" s="13">
        <v>42706.458425925928</v>
      </c>
      <c r="F66" s="13">
        <v>42706.466145833336</v>
      </c>
      <c r="G66" s="7">
        <v>1</v>
      </c>
      <c r="H66" s="22" t="s">
        <v>192</v>
      </c>
      <c r="I66" s="13">
        <v>42706.494768518518</v>
      </c>
      <c r="J66" s="7">
        <v>0</v>
      </c>
      <c r="K66" s="109" t="str">
        <f t="shared" si="0"/>
        <v>4043/4044</v>
      </c>
      <c r="L66" s="22" t="str">
        <f>VLOOKUP(A66,'Trips&amp;Operators'!$C$1:$G$99999,5,FALSE)</f>
        <v>SPECTOR MICHAEL</v>
      </c>
      <c r="M66" s="6">
        <f t="shared" si="1"/>
        <v>2.8622685182199348E-2</v>
      </c>
      <c r="N66" s="7">
        <f t="shared" si="19"/>
        <v>41.216666662367061</v>
      </c>
      <c r="O66" s="7"/>
      <c r="P66" s="7"/>
      <c r="Q66" s="23"/>
      <c r="R66" s="23"/>
      <c r="S66" s="35">
        <f t="shared" si="20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10:00:08-700',mode:absolute,to:'2016-12-02 12:52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6" s="52" t="str">
        <f t="shared" si="6"/>
        <v>N</v>
      </c>
      <c r="X66" s="177">
        <f t="shared" si="21"/>
        <v>1</v>
      </c>
      <c r="Y66" s="67">
        <f t="shared" si="22"/>
        <v>23.299600000000002</v>
      </c>
      <c r="Z66" s="67">
        <f t="shared" si="23"/>
        <v>1.49E-2</v>
      </c>
      <c r="AA66" s="67">
        <f t="shared" si="10"/>
        <v>23.284700000000001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0154-02</v>
      </c>
      <c r="AE66" s="91" t="str">
        <f t="shared" si="12"/>
        <v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v>
      </c>
      <c r="AF66" s="88" t="str">
        <f t="shared" si="13"/>
        <v>"C:\Program Files (x86)\AstroGrep\AstroGrep.exe" /spath="%USERPROFILE%\AppData\Local\Temp\OnboardLogs" /stypes="app*4043*20161202*"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154-02 --locoid 4043 --swversion DE.1.0.8.0 --startMP 204:232996 --initTime 2016-12-02T11:00:08 --startdatetime 2016-12-02T11:11:15 --delay 1 --endMP 204:149 --enddatetime 2016-12-02T11:52:28 --enforcementcount 0 &gt;&gt;C:\Users\stu\Documents\GitHub\eaglep3-reporting\EC\2016-12-02-refined-times.txt</v>
      </c>
      <c r="AI66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{"issue":{"subject":"","project_id":79,"tracker_id":40,"status_id":1,"priority_id":2,"assigned_to_id":23,"start_date":"2016-12-02","description":"","custom_fields":[{"id":1,"name":"Subdivision","value":"EC"},{"id":4,"name":"Milepost","value":"0.0149"},{"id":17,"name":"Train ID","value":"154-02"},{"id":16,"name":"Locomotive ID","value":"4043"},{"id":130,"name":"Impact","value":""},{"id":150,"name":"Time of Event (Mountain Time)","value":"11:52:28"},{"id":151,"name":"Denver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534</v>
      </c>
      <c r="B67" s="7">
        <v>4042</v>
      </c>
      <c r="C67" s="22" t="s">
        <v>210</v>
      </c>
      <c r="D67" s="22" t="s">
        <v>252</v>
      </c>
      <c r="E67" s="13">
        <v>42706.434027777781</v>
      </c>
      <c r="F67" s="13">
        <v>42706.438194444447</v>
      </c>
      <c r="G67" s="7">
        <v>1</v>
      </c>
      <c r="H67" s="22" t="s">
        <v>258</v>
      </c>
      <c r="I67" s="13">
        <v>42706.463229166664</v>
      </c>
      <c r="J67" s="7">
        <v>0</v>
      </c>
      <c r="K67" s="109" t="str">
        <f t="shared" si="0"/>
        <v>4041/4042</v>
      </c>
      <c r="L67" s="22" t="str">
        <f>VLOOKUP(A67,'Trips&amp;Operators'!$C$1:$G$99999,5,FALSE)</f>
        <v>STRICKLAND EVAN</v>
      </c>
      <c r="M67" s="6">
        <f t="shared" si="1"/>
        <v>2.5034722217242233E-2</v>
      </c>
      <c r="N67" s="7">
        <f t="shared" si="19"/>
        <v>36.049999992828816</v>
      </c>
      <c r="O67" s="7"/>
      <c r="P67" s="7"/>
      <c r="Q67" s="23"/>
      <c r="R67" s="23"/>
      <c r="S67" s="35">
        <f t="shared" si="20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09:25:00-700',mode:absolute,to:'2016-12-02 12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7" s="52" t="str">
        <f t="shared" si="6"/>
        <v>N</v>
      </c>
      <c r="X67" s="177">
        <f t="shared" si="21"/>
        <v>1</v>
      </c>
      <c r="Y67" s="67">
        <f t="shared" si="22"/>
        <v>4.5699999999999998E-2</v>
      </c>
      <c r="Z67" s="67">
        <f t="shared" si="23"/>
        <v>23.3307</v>
      </c>
      <c r="AA67" s="67">
        <f t="shared" si="10"/>
        <v>23.285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0155-02</v>
      </c>
      <c r="AE67" s="91" t="str">
        <f t="shared" si="12"/>
        <v>aws s3 cp s3://rtdc.mdm.uploadarchive.raw/RTDC4042/ "%USERPROFILE%\AppData\Local\Temp\OnboardLogs"\RTDC4042\2016-12-02 --exclude "*" --recursive --include "*20161202*" &amp; "%USERPROFILE%\Documents\GitHub\mrs-test-scripts\Headless Mode &amp; Sideloading\WalkAndUnGZ.bat" "%USERPROFILE%\AppData\Local\Temp\OnboardLogs"\RTDC4042\2016-12-02 &amp; 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</v>
      </c>
      <c r="AF67" s="88" t="str">
        <f t="shared" si="13"/>
        <v>"C:\Program Files (x86)\AstroGrep\AstroGrep.exe" /spath="%USERPROFILE%\AppData\Local\Temp\OnboardLogs" /stypes="app*4042*20161202*"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155-02 --locoid 4042 --swversion DE.1.0.8.0 --startMP 204:457 --initTime 2016-12-02T10:25:00 --startdatetime 2016-12-02T10:31:00 --delay 1 --endMP 204:233307 --enddatetime 2016-12-02T11:07:03 --enforcementcount 0 &gt;&gt;C:\Users\stu\Documents\GitHub\eaglep3-reporting\EC\2016-12-02-refined-times.txt</v>
      </c>
      <c r="AI67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{"issue":{"subject":"","project_id":79,"tracker_id":40,"status_id":1,"priority_id":2,"assigned_to_id":23,"start_date":"2016-12-02","description":"","custom_fields":[{"id":1,"name":"Subdivision","value":"EC"},{"id":4,"name":"Milepost","value":"23.3307"},{"id":17,"name":"Train ID","value":"155-02"},{"id":16,"name":"Locomotive ID","value":"4042"},{"id":130,"name":"Impact","value":""},{"id":150,"name":"Time of Event (Mountain Time)","value":"11:07:03"},{"id":151,"name":"Denver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444</v>
      </c>
      <c r="B68" s="7">
        <v>4041</v>
      </c>
      <c r="C68" s="22" t="s">
        <v>210</v>
      </c>
      <c r="D68" s="22" t="s">
        <v>266</v>
      </c>
      <c r="E68" s="13">
        <v>42706.47078703704</v>
      </c>
      <c r="F68" s="13">
        <v>42706.476597222223</v>
      </c>
      <c r="G68" s="7">
        <v>1</v>
      </c>
      <c r="H68" s="22" t="s">
        <v>702</v>
      </c>
      <c r="I68" s="13">
        <v>42706.506747685184</v>
      </c>
      <c r="J68" s="7">
        <v>0</v>
      </c>
      <c r="K68" s="109" t="str">
        <f t="shared" si="0"/>
        <v>4041/4042</v>
      </c>
      <c r="L68" s="22" t="str">
        <f>VLOOKUP(A68,'Trips&amp;Operators'!$C$1:$G$99999,5,FALSE)</f>
        <v>STRICKLAND EVAN</v>
      </c>
      <c r="M68" s="6">
        <f t="shared" si="1"/>
        <v>3.015046296059154E-2</v>
      </c>
      <c r="N68" s="7">
        <f t="shared" si="19"/>
        <v>43.416666663251817</v>
      </c>
      <c r="O68" s="7"/>
      <c r="P68" s="7"/>
      <c r="Q68" s="23"/>
      <c r="R68" s="23"/>
      <c r="S68" s="35">
        <f t="shared" si="20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10:17:56-700',mode:absolute,to:'2016-12-02 13:09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8" s="52" t="str">
        <f t="shared" si="6"/>
        <v>N</v>
      </c>
      <c r="X68" s="177">
        <f t="shared" si="21"/>
        <v>1</v>
      </c>
      <c r="Y68" s="67">
        <f t="shared" si="22"/>
        <v>23.299600000000002</v>
      </c>
      <c r="Z68" s="67">
        <f t="shared" si="23"/>
        <v>2.1600000000000001E-2</v>
      </c>
      <c r="AA68" s="67">
        <f t="shared" si="10"/>
        <v>23.278000000000002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0156-02</v>
      </c>
      <c r="AE68" s="91" t="str">
        <f t="shared" si="12"/>
        <v>aws s3 cp s3://rtdc.mdm.uploadarchive.raw/RTDC4041/ "%USERPROFILE%\AppData\Local\Temp\OnboardLogs"\RTDC4041\2016-12-02 --exclude "*" --recursive --include "*20161202*" &amp; "%USERPROFILE%\Documents\GitHub\mrs-test-scripts\Headless Mode &amp; Sideloading\WalkAndUnGZ.bat" "%USERPROFILE%\AppData\Local\Temp\OnboardLogs"\RTDC4041\2016-12-02 &amp; 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</v>
      </c>
      <c r="AF68" s="88" t="str">
        <f t="shared" si="13"/>
        <v>"C:\Program Files (x86)\AstroGrep\AstroGrep.exe" /spath="%USERPROFILE%\AppData\Local\Temp\OnboardLogs" /stypes="app*4041*20161202*"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156-02 --locoid 4041 --swversion DE.1.0.8.0 --startMP 204:232996 --initTime 2016-12-02T11:17:56 --startdatetime 2016-12-02T11:26:18 --delay 1 --endMP 204:216 --enddatetime 2016-12-02T12:09:43 --enforcementcount 0 &gt;&gt;C:\Users\stu\Documents\GitHub\eaglep3-reporting\EC\2016-12-02-refined-times.txt</v>
      </c>
      <c r="AI68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{"issue":{"subject":"","project_id":79,"tracker_id":40,"status_id":1,"priority_id":2,"assigned_to_id":23,"start_date":"2016-12-02","description":"","custom_fields":[{"id":1,"name":"Subdivision","value":"EC"},{"id":4,"name":"Milepost","value":"0.0216"},{"id":17,"name":"Train ID","value":"156-02"},{"id":16,"name":"Locomotive ID","value":"4041"},{"id":130,"name":"Impact","value":""},{"id":150,"name":"Time of Event (Mountain Time)","value":"12:09:43"},{"id":151,"name":"Denver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537</v>
      </c>
      <c r="B69" s="7">
        <v>4022</v>
      </c>
      <c r="C69" s="22" t="s">
        <v>210</v>
      </c>
      <c r="D69" s="22" t="s">
        <v>231</v>
      </c>
      <c r="E69" s="13">
        <v>42706.442094907405</v>
      </c>
      <c r="F69" s="13">
        <v>42706.448344907411</v>
      </c>
      <c r="G69" s="7">
        <v>1</v>
      </c>
      <c r="H69" s="22" t="s">
        <v>290</v>
      </c>
      <c r="I69" s="13">
        <v>42706.47252314815</v>
      </c>
      <c r="J69" s="7">
        <v>0</v>
      </c>
      <c r="K69" s="109" t="str">
        <f t="shared" si="0"/>
        <v>4021/4022</v>
      </c>
      <c r="L69" s="22" t="str">
        <f>VLOOKUP(A69,'Trips&amp;Operators'!$C$1:$G$99999,5,FALSE)</f>
        <v>SAFIEF AEIMEN</v>
      </c>
      <c r="M69" s="6">
        <f t="shared" si="1"/>
        <v>2.417824073927477E-2</v>
      </c>
      <c r="N69" s="7">
        <f t="shared" si="19"/>
        <v>34.816666664555669</v>
      </c>
      <c r="O69" s="7"/>
      <c r="P69" s="7"/>
      <c r="Q69" s="23"/>
      <c r="R69" s="23"/>
      <c r="S69" s="35">
        <f t="shared" si="20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09:36:37-700',mode:absolute,to:'2016-12-02 12:20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9" s="52" t="str">
        <f t="shared" si="6"/>
        <v>N</v>
      </c>
      <c r="X69" s="177">
        <f t="shared" si="21"/>
        <v>1</v>
      </c>
      <c r="Y69" s="67">
        <f t="shared" si="22"/>
        <v>4.6600000000000003E-2</v>
      </c>
      <c r="Z69" s="67">
        <f t="shared" si="23"/>
        <v>23.3325</v>
      </c>
      <c r="AA69" s="67">
        <f t="shared" si="10"/>
        <v>23.285899999999998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0157-02</v>
      </c>
      <c r="AE69" s="91" t="str">
        <f t="shared" si="12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69" s="88" t="str">
        <f t="shared" si="13"/>
        <v>"C:\Program Files (x86)\AstroGrep\AstroGrep.exe" /spath="%USERPROFILE%\AppData\Local\Temp\OnboardLogs" /stypes="app*4022*20161202*"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157-02 --locoid 4022 --swversion DE.1.0.8.0 --startMP 204:466 --initTime 2016-12-02T10:36:37 --startdatetime 2016-12-02T10:45:37 --delay 1 --endMP 204:233325 --enddatetime 2016-12-02T11:20:26 --enforcementcount 0 &gt;&gt;C:\Users\stu\Documents\GitHub\eaglep3-reporting\EC\2016-12-02-refined-times.txt</v>
      </c>
      <c r="AI69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{"issue":{"subject":"","project_id":79,"tracker_id":40,"status_id":1,"priority_id":2,"assigned_to_id":23,"start_date":"2016-12-02","description":"","custom_fields":[{"id":1,"name":"Subdivision","value":"EC"},{"id":4,"name":"Milepost","value":"23.3325"},{"id":17,"name":"Train ID","value":"157-02"},{"id":16,"name":"Locomotive ID","value":"4022"},{"id":130,"name":"Impact","value":""},{"id":150,"name":"Time of Event (Mountain Time)","value":"11:20:26"},{"id":151,"name":"Denver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552</v>
      </c>
      <c r="B70" s="7">
        <v>4021</v>
      </c>
      <c r="C70" s="22" t="s">
        <v>210</v>
      </c>
      <c r="D70" s="22" t="s">
        <v>401</v>
      </c>
      <c r="E70" s="13">
        <v>42706.475462962961</v>
      </c>
      <c r="F70" s="13">
        <v>42706.487002314818</v>
      </c>
      <c r="G70" s="7">
        <v>1</v>
      </c>
      <c r="H70" s="22" t="s">
        <v>326</v>
      </c>
      <c r="I70" s="13">
        <v>42706.513240740744</v>
      </c>
      <c r="J70" s="7">
        <v>0</v>
      </c>
      <c r="K70" s="109" t="str">
        <f t="shared" si="0"/>
        <v>4021/4022</v>
      </c>
      <c r="L70" s="22" t="str">
        <f>VLOOKUP(A70,'Trips&amp;Operators'!$C$1:$G$99999,5,FALSE)</f>
        <v>SAFIEF AEIMEN</v>
      </c>
      <c r="M70" s="6">
        <f t="shared" si="1"/>
        <v>2.6238425925839692E-2</v>
      </c>
      <c r="N70" s="7">
        <f t="shared" si="19"/>
        <v>37.783333333209157</v>
      </c>
      <c r="O70" s="7"/>
      <c r="P70" s="7"/>
      <c r="Q70" s="23"/>
      <c r="R70" s="23"/>
      <c r="S70" s="35">
        <f t="shared" si="20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10:24:40-700',mode:absolute,to:'2016-12-02 13:19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0" s="52" t="str">
        <f t="shared" si="6"/>
        <v>N</v>
      </c>
      <c r="X70" s="177">
        <f t="shared" si="21"/>
        <v>1</v>
      </c>
      <c r="Y70" s="67">
        <f t="shared" si="22"/>
        <v>23.302800000000001</v>
      </c>
      <c r="Z70" s="67">
        <f t="shared" si="23"/>
        <v>1.6899999999999998E-2</v>
      </c>
      <c r="AA70" s="67">
        <f t="shared" si="10"/>
        <v>23.285900000000002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0158-02</v>
      </c>
      <c r="AE70" s="91" t="str">
        <f t="shared" si="12"/>
        <v>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 &amp; 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</v>
      </c>
      <c r="AF70" s="88" t="str">
        <f t="shared" si="13"/>
        <v>"C:\Program Files (x86)\AstroGrep\AstroGrep.exe" /spath="%USERPROFILE%\AppData\Local\Temp\OnboardLogs" /stypes="app*4021*20161202*"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158-02 --locoid 4021 --swversion DE.1.0.8.0 --startMP 204:233028 --initTime 2016-12-02T11:24:40 --startdatetime 2016-12-02T11:41:17 --delay 1 --endMP 204:169 --enddatetime 2016-12-02T12:19:04 --enforcementcount 0 &gt;&gt;C:\Users\stu\Documents\GitHub\eaglep3-reporting\EC\2016-12-02-refined-times.txt</v>
      </c>
      <c r="AI70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{"issue":{"subject":"","project_id":79,"tracker_id":40,"status_id":1,"priority_id":2,"assigned_to_id":23,"start_date":"2016-12-02","description":"","custom_fields":[{"id":1,"name":"Subdivision","value":"EC"},{"id":4,"name":"Milepost","value":"0.0169"},{"id":17,"name":"Train ID","value":"158-02"},{"id":16,"name":"Locomotive ID","value":"4021"},{"id":130,"name":"Impact","value":""},{"id":150,"name":"Time of Event (Mountain Time)","value":"12:19:04"},{"id":151,"name":"Denver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540</v>
      </c>
      <c r="B71" s="7">
        <v>4014</v>
      </c>
      <c r="C71" s="22" t="s">
        <v>210</v>
      </c>
      <c r="D71" s="22" t="s">
        <v>401</v>
      </c>
      <c r="E71" s="13">
        <v>42706.475462962961</v>
      </c>
      <c r="F71" s="13">
        <v>42706.455729166664</v>
      </c>
      <c r="G71" s="7">
        <v>1</v>
      </c>
      <c r="H71" s="22" t="s">
        <v>326</v>
      </c>
      <c r="I71" s="13">
        <v>42706.465185185189</v>
      </c>
      <c r="J71" s="7">
        <v>0</v>
      </c>
      <c r="K71" s="109" t="str">
        <f t="shared" si="0"/>
        <v>4013/4014</v>
      </c>
      <c r="L71" s="22" t="str">
        <f>VLOOKUP(A71,'Trips&amp;Operators'!$C$1:$G$99999,5,FALSE)</f>
        <v>STEWART MICHAEL</v>
      </c>
      <c r="M71" s="6">
        <f t="shared" si="1"/>
        <v>9.456018524360843E-3</v>
      </c>
      <c r="N71" s="7"/>
      <c r="O71" s="7"/>
      <c r="P71" s="7">
        <f>24*60*SUM($M71:$M71)</f>
        <v>13.616666675079614</v>
      </c>
      <c r="Q71" s="23"/>
      <c r="R71" s="23" t="s">
        <v>857</v>
      </c>
      <c r="S71" s="35">
        <f t="shared" si="20"/>
        <v>0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0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10:24:40-700',mode:absolute,to:'2016-12-02 12:09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1" s="52" t="str">
        <f t="shared" si="6"/>
        <v>Y</v>
      </c>
      <c r="X71" s="177">
        <f t="shared" si="21"/>
        <v>1</v>
      </c>
      <c r="Y71" s="67">
        <v>0</v>
      </c>
      <c r="Z71" s="67">
        <v>0</v>
      </c>
      <c r="AA71" s="67">
        <f t="shared" si="10"/>
        <v>0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0159-02</v>
      </c>
      <c r="AE71" s="91" t="str">
        <f t="shared" si="12"/>
        <v>aws s3 cp s3://rtdc.mdm.uploadarchive.raw/RTDC4014/ "%USERPROFILE%\AppData\Local\Temp\OnboardLogs"\RTDC4014\2016-12-02 --exclude "*" --recursive --include "*20161202*" &amp; "%USERPROFILE%\Documents\GitHub\mrs-test-scripts\Headless Mode &amp; Sideloading\WalkAndUnGZ.bat" "%USERPROFILE%\AppData\Local\Temp\OnboardLogs"\RTDC4014\2016-12-02 &amp; 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</v>
      </c>
      <c r="AF71" s="88" t="str">
        <f t="shared" si="13"/>
        <v>"C:\Program Files (x86)\AstroGrep\AstroGrep.exe" /spath="%USERPROFILE%\AppData\Local\Temp\OnboardLogs" /stypes="app*4014*20161202*"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ref="AH71" si="24">refinertdcruntimes&amp;" --tripid "&amp;A71&amp;" --locoid "&amp;B71&amp;" --swversion "&amp;C71&amp;" --startMP "&amp;D71&amp;" --initTime "&amp;TEXT(E71,"yyyy-mm-ddTHH:MM:SS")&amp;" --startdatetime "&amp;TEXT(F71,"yyyy-mm-ddTHH:MM:SS")&amp;" --delay "&amp;G71&amp;" --endMP "&amp;H71&amp;" --enddatetime "&amp;TEXT(I71,"yyyy-mm-ddTHH:MM:SS")&amp;" --enforcementcount "&amp;J71&amp;IF(outputrefinedruntimes," &gt;&gt;"&amp;RefinedRTDCRunTimesOutputFile,"")</f>
        <v>"%USERPROFILE%\Documents\GitHub\eaglep3\Utilities\RefineRTDCRunTimes.py" --tripid 159-02 --locoid 4014 --swversion DE.1.0.8.0 --startMP 204:233028 --initTime 2016-12-02T11:24:40 --startdatetime 2016-12-02T10:56:15 --delay 1 --endMP 204:169 --enddatetime 2016-12-02T11:09:52 --enforcementcount 0 &gt;&gt;C:\Users\stu\Documents\GitHub\eaglep3-reporting\EC\2016-12-02-refined-times.txt</v>
      </c>
      <c r="AI71" s="119" t="str">
        <f t="shared" ref="AI71" si="25">"echo {""issue"":{""subject"":"""&amp;R71&amp;""",""project_id"":79,""tracker_id"":40,""status_id"":"&amp;redmine_status&amp;",""priority_id"":"&amp;redmine_priority&amp;",""assigned_to_id"":"&amp;redmine_assignee&amp;",""start_date"":"""&amp;TEXT(I71,"YYYY-mm-dd")&amp;""",""description"":"""&amp;AJ71&amp;""",""custom_fields"":[{""id"":1,""name"":""Subdivision"",""value"":"""&amp;AG71&amp;"""},{""id"":4,""name"":""Milepost"",""value"":"""&amp;Z71&amp;"""},{""id"":17,""name"":""Train ID"",""value"":"""&amp;A71&amp;"""},{""id"":16,""name"":""Locomotive ID"",""value"":"""&amp;B71&amp;"""},{""id"":130,""name"":""Impact"",""value"":"""&amp;AK71&amp;"""},{""id"":150,""name"":""Time of Event (Mountain Time)"",""value"":"""&amp;TEXT(I71,"hh:mm:ss")&amp;"""},{""id"":151,""name"":""Denver Issue ID"",""value"":"""&amp;"""},{""id"":178,""name"":""Operational Impact"",""value"":"""&amp;redmine_op_impact&amp;"""},{""id"":179,""name"":""Denver Segment Assigned"",""value"":"""&amp;AL71&amp;"""}]}}"&amp;"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failure","project_id":79,"tracker_id":40,"status_id":1,"priority_id":2,"assigned_to_id":23,"start_date":"2016-12-02","description":"","custom_fields":[{"id":1,"name":"Subdivision","value":"EC"},{"id":4,"name":"Milepost","value":"0"},{"id":17,"name":"Train ID","value":"159-02"},{"id":16,"name":"Locomotive ID","value":"4014"},{"id":130,"name":"Impact","value":""},{"id":150,"name":"Time of Event (Mountain Time)","value":"11:09:52"},{"id":151,"name":"Denver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</row>
    <row r="72" spans="1:91" s="1" customFormat="1" x14ac:dyDescent="0.25">
      <c r="A72" s="37" t="s">
        <v>557</v>
      </c>
      <c r="B72" s="7">
        <v>4013</v>
      </c>
      <c r="C72" s="22" t="s">
        <v>210</v>
      </c>
      <c r="D72" s="22" t="s">
        <v>267</v>
      </c>
      <c r="E72" s="13">
        <v>42706.494363425925</v>
      </c>
      <c r="F72" s="13">
        <v>42706.497511574074</v>
      </c>
      <c r="G72" s="7">
        <v>1</v>
      </c>
      <c r="H72" s="22" t="s">
        <v>396</v>
      </c>
      <c r="I72" s="13">
        <v>42706.524016203701</v>
      </c>
      <c r="J72" s="7">
        <v>0</v>
      </c>
      <c r="K72" s="109" t="str">
        <f t="shared" si="0"/>
        <v>4013/4014</v>
      </c>
      <c r="L72" s="22" t="str">
        <f>VLOOKUP(A72,'Trips&amp;Operators'!$C$1:$G$99999,5,FALSE)</f>
        <v>STEWART MICHAEL</v>
      </c>
      <c r="M72" s="6">
        <f t="shared" si="1"/>
        <v>2.6504629626288079E-2</v>
      </c>
      <c r="N72" s="7">
        <f t="shared" ref="N72:N103" si="26">24*60*SUM($M72:$M72)</f>
        <v>38.166666661854833</v>
      </c>
      <c r="O72" s="7"/>
      <c r="P72" s="7"/>
      <c r="Q72" s="23"/>
      <c r="R72" s="23"/>
      <c r="S72" s="35">
        <f t="shared" si="20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10:51:53-700',mode:absolute,to:'2016-12-02 13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2" s="52" t="str">
        <f t="shared" si="6"/>
        <v>N</v>
      </c>
      <c r="X72" s="177">
        <f t="shared" si="21"/>
        <v>1</v>
      </c>
      <c r="Y72" s="67">
        <f t="shared" ref="Y72:Y103" si="27">RIGHT(D72,LEN(D72)-4)/10000</f>
        <v>23.297999999999998</v>
      </c>
      <c r="Z72" s="67">
        <f t="shared" ref="Z72:Z103" si="28">RIGHT(H72,LEN(H72)-4)/10000</f>
        <v>1.67E-2</v>
      </c>
      <c r="AA72" s="67">
        <f t="shared" si="10"/>
        <v>23.281299999999998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0160-02</v>
      </c>
      <c r="AE72" s="91" t="str">
        <f t="shared" si="12"/>
        <v>aws s3 cp s3://rtdc.mdm.uploadarchive.raw/RTDC4013/ "%USERPROFILE%\AppData\Local\Temp\OnboardLogs"\RTDC4013\2016-12-02 --exclude "*" --recursive --include "*20161202*" &amp; "%USERPROFILE%\Documents\GitHub\mrs-test-scripts\Headless Mode &amp; Sideloading\WalkAndUnGZ.bat" "%USERPROFILE%\AppData\Local\Temp\OnboardLogs"\RTDC4013\2016-12-02 &amp; 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</v>
      </c>
      <c r="AF72" s="88" t="str">
        <f t="shared" si="13"/>
        <v>"C:\Program Files (x86)\AstroGrep\AstroGrep.exe" /spath="%USERPROFILE%\AppData\Local\Temp\OnboardLogs" /stypes="app*4013*20161202*"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160-02 --locoid 4013 --swversion DE.1.0.8.0 --startMP 204:232980 --initTime 2016-12-02T11:51:53 --startdatetime 2016-12-02T11:56:25 --delay 1 --endMP 204:167 --enddatetime 2016-12-02T12:34:35 --enforcementcount 0 &gt;&gt;C:\Users\stu\Documents\GitHub\eaglep3-reporting\EC\2016-12-02-refined-times.txt</v>
      </c>
      <c r="AI72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{"issue":{"subject":"","project_id":79,"tracker_id":40,"status_id":1,"priority_id":2,"assigned_to_id":23,"start_date":"2016-12-02","description":"","custom_fields":[{"id":1,"name":"Subdivision","value":"EC"},{"id":4,"name":"Milepost","value":"0.0167"},{"id":17,"name":"Train ID","value":"160-02"},{"id":16,"name":"Locomotive ID","value":"4013"},{"id":130,"name":"Impact","value":""},{"id":150,"name":"Time of Event (Mountain Time)","value":"12:34:35"},{"id":151,"name":"Denver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544</v>
      </c>
      <c r="B73" s="7">
        <v>4011</v>
      </c>
      <c r="C73" s="22" t="s">
        <v>210</v>
      </c>
      <c r="D73" s="22" t="s">
        <v>703</v>
      </c>
      <c r="E73" s="13">
        <v>42706.462534722225</v>
      </c>
      <c r="F73" s="13">
        <v>42706.468923611108</v>
      </c>
      <c r="G73" s="7">
        <v>1</v>
      </c>
      <c r="H73" s="22" t="s">
        <v>296</v>
      </c>
      <c r="I73" s="13">
        <v>42706.495173611111</v>
      </c>
      <c r="J73" s="7">
        <v>0</v>
      </c>
      <c r="K73" s="109" t="str">
        <f t="shared" si="0"/>
        <v>4011/4012</v>
      </c>
      <c r="L73" s="22" t="str">
        <f>VLOOKUP(A73,'Trips&amp;Operators'!$C$1:$G$99999,5,FALSE)</f>
        <v>CLARK KATHLEEN</v>
      </c>
      <c r="M73" s="6">
        <f t="shared" si="1"/>
        <v>2.6250000002619345E-2</v>
      </c>
      <c r="N73" s="7">
        <f t="shared" si="26"/>
        <v>37.800000003771856</v>
      </c>
      <c r="O73" s="7"/>
      <c r="P73" s="7"/>
      <c r="Q73" s="23"/>
      <c r="R73" s="23"/>
      <c r="S73" s="35">
        <f t="shared" si="20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10:06:03-700',mode:absolute,to:'2016-12-02 12:53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3" s="52" t="str">
        <f t="shared" si="6"/>
        <v>N</v>
      </c>
      <c r="X73" s="177">
        <f t="shared" si="21"/>
        <v>1</v>
      </c>
      <c r="Y73" s="67">
        <f t="shared" si="27"/>
        <v>4.3499999999999997E-2</v>
      </c>
      <c r="Z73" s="67">
        <f t="shared" si="28"/>
        <v>23.329699999999999</v>
      </c>
      <c r="AA73" s="67">
        <f t="shared" si="10"/>
        <v>23.286199999999997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0161-02</v>
      </c>
      <c r="AE73" s="91" t="str">
        <f t="shared" si="12"/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AF73" s="88" t="str">
        <f t="shared" si="13"/>
        <v>"C:\Program Files (x86)\AstroGrep\AstroGrep.exe" /spath="%USERPROFILE%\AppData\Local\Temp\OnboardLogs" /stypes="app*4011*20161202*"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161-02 --locoid 4011 --swversion DE.1.0.8.0 --startMP 204:435 --initTime 2016-12-02T11:06:03 --startdatetime 2016-12-02T11:15:15 --delay 1 --endMP 204:233297 --enddatetime 2016-12-02T11:53:03 --enforcementcount 0 &gt;&gt;C:\Users\stu\Documents\GitHub\eaglep3-reporting\EC\2016-12-02-refined-times.txt</v>
      </c>
      <c r="AI73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{"issue":{"subject":"","project_id":79,"tracker_id":40,"status_id":1,"priority_id":2,"assigned_to_id":23,"start_date":"2016-12-02","description":"","custom_fields":[{"id":1,"name":"Subdivision","value":"EC"},{"id":4,"name":"Milepost","value":"23.3297"},{"id":17,"name":"Train ID","value":"161-02"},{"id":16,"name":"Locomotive ID","value":"4011"},{"id":130,"name":"Impact","value":""},{"id":150,"name":"Time of Event (Mountain Time)","value":"11:53:03"},{"id":151,"name":"Denver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560</v>
      </c>
      <c r="B74" s="7">
        <v>4012</v>
      </c>
      <c r="C74" s="22" t="s">
        <v>210</v>
      </c>
      <c r="D74" s="22" t="s">
        <v>204</v>
      </c>
      <c r="E74" s="13">
        <v>42706.501493055555</v>
      </c>
      <c r="F74" s="13">
        <v>42706.502453703702</v>
      </c>
      <c r="G74" s="7">
        <v>1</v>
      </c>
      <c r="H74" s="22" t="s">
        <v>396</v>
      </c>
      <c r="I74" s="13">
        <v>42706.539166666669</v>
      </c>
      <c r="J74" s="7">
        <v>0</v>
      </c>
      <c r="K74" s="109" t="str">
        <f t="shared" si="0"/>
        <v>4011/4012</v>
      </c>
      <c r="L74" s="22" t="str">
        <f>VLOOKUP(A74,'Trips&amp;Operators'!$C$1:$G$99999,5,FALSE)</f>
        <v>CLARK KATHLEEN</v>
      </c>
      <c r="M74" s="6">
        <f t="shared" si="1"/>
        <v>3.6712962966703344E-2</v>
      </c>
      <c r="N74" s="7">
        <f t="shared" si="26"/>
        <v>52.866666672052816</v>
      </c>
      <c r="O74" s="7"/>
      <c r="P74" s="7"/>
      <c r="Q74" s="23"/>
      <c r="R74" s="23" t="s">
        <v>855</v>
      </c>
      <c r="S74" s="35">
        <f t="shared" si="20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11:02:09-700',mode:absolute,to:'2016-12-02 13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4" s="52" t="str">
        <f t="shared" si="6"/>
        <v>N</v>
      </c>
      <c r="X74" s="177">
        <f t="shared" si="21"/>
        <v>1</v>
      </c>
      <c r="Y74" s="67">
        <f t="shared" si="27"/>
        <v>23.297699999999999</v>
      </c>
      <c r="Z74" s="67">
        <f t="shared" si="28"/>
        <v>1.67E-2</v>
      </c>
      <c r="AA74" s="67">
        <f t="shared" si="10"/>
        <v>23.280999999999999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0162-02</v>
      </c>
      <c r="AE74" s="91" t="str">
        <f t="shared" si="12"/>
        <v>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 &amp; 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</v>
      </c>
      <c r="AF74" s="88" t="str">
        <f t="shared" si="13"/>
        <v>"C:\Program Files (x86)\AstroGrep\AstroGrep.exe" /spath="%USERPROFILE%\AppData\Local\Temp\OnboardLogs" /stypes="app*4012*20161202*"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162-02 --locoid 4012 --swversion DE.1.0.8.0 --startMP 204:232977 --initTime 2016-12-02T12:02:09 --startdatetime 2016-12-02T12:03:32 --delay 1 --endMP 204:167 --enddatetime 2016-12-02T12:56:24 --enforcementcount 0 &gt;&gt;C:\Users\stu\Documents\GitHub\eaglep3-reporting\EC\2016-12-02-refined-times.txt</v>
      </c>
      <c r="AI74" s="119" t="str">
        <f t="shared" si="18"/>
        <v>echo {"issue":{"subject":"Wheel tach fault","project_id":79,"tracker_id":40,"status_id":1,"priority_id":2,"assigned_to_id":23,"start_date":"2016-12-02","description":"","custom_fields":[{"id":1,"name":"Subdivision","value":"EC"},{"id":4,"name":"Milepost","value":"0.0167"},{"id":17,"name":"Train ID","value":"162-02"},{"id":16,"name":"Locomotive ID","value":"4012"},{"id":130,"name":"Impact","value":""},{"id":150,"name":"Time of Event (Mountain Time)","value":"12:56:24"},{"id":151,"name":"Denver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551</v>
      </c>
      <c r="B75" s="7">
        <v>4002</v>
      </c>
      <c r="C75" s="22" t="s">
        <v>210</v>
      </c>
      <c r="D75" s="22" t="s">
        <v>245</v>
      </c>
      <c r="E75" s="13">
        <v>42706.473437499997</v>
      </c>
      <c r="F75" s="13">
        <v>42706.47934027778</v>
      </c>
      <c r="G75" s="7">
        <v>1</v>
      </c>
      <c r="H75" s="22" t="s">
        <v>296</v>
      </c>
      <c r="I75" s="13">
        <v>42706.504687499997</v>
      </c>
      <c r="J75" s="7">
        <v>0</v>
      </c>
      <c r="K75" s="109" t="str">
        <f t="shared" si="0"/>
        <v>4001/4002</v>
      </c>
      <c r="L75" s="22" t="str">
        <f>VLOOKUP(A75,'Trips&amp;Operators'!$C$1:$G$99999,5,FALSE)</f>
        <v>BONDS REYNALDO</v>
      </c>
      <c r="M75" s="6">
        <f t="shared" si="1"/>
        <v>2.5347222217533272E-2</v>
      </c>
      <c r="N75" s="7">
        <f t="shared" si="26"/>
        <v>36.499999993247911</v>
      </c>
      <c r="O75" s="7"/>
      <c r="P75" s="7"/>
      <c r="Q75" s="23"/>
      <c r="R75" s="23"/>
      <c r="S75" s="35">
        <f t="shared" si="20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10:21:45-700',mode:absolute,to:'2016-12-02 13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5" s="52" t="str">
        <f t="shared" si="6"/>
        <v>N</v>
      </c>
      <c r="X75" s="177">
        <f t="shared" ref="X75:X77" si="29">VALUE(LEFT(AD75,4))-VALUE(LEFT(AD74,4))</f>
        <v>1</v>
      </c>
      <c r="Y75" s="67">
        <f t="shared" si="27"/>
        <v>4.5499999999999999E-2</v>
      </c>
      <c r="Z75" s="67">
        <f t="shared" si="28"/>
        <v>23.329699999999999</v>
      </c>
      <c r="AA75" s="67">
        <f t="shared" si="10"/>
        <v>23.284199999999998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0163-02</v>
      </c>
      <c r="AE75" s="91" t="str">
        <f t="shared" si="12"/>
        <v>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 &amp; 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</v>
      </c>
      <c r="AF75" s="88" t="str">
        <f t="shared" si="13"/>
        <v>"C:\Program Files (x86)\AstroGrep\AstroGrep.exe" /spath="%USERPROFILE%\AppData\Local\Temp\OnboardLogs" /stypes="app*4002*20161202*"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163-02 --locoid 4002 --swversion DE.1.0.8.0 --startMP 204:455 --initTime 2016-12-02T11:21:45 --startdatetime 2016-12-02T11:30:15 --delay 1 --endMP 204:233297 --enddatetime 2016-12-02T12:06:45 --enforcementcount 0 &gt;&gt;C:\Users\stu\Documents\GitHub\eaglep3-reporting\EC\2016-12-02-refined-times.txt</v>
      </c>
      <c r="AI75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{"issue":{"subject":"","project_id":79,"tracker_id":40,"status_id":1,"priority_id":2,"assigned_to_id":23,"start_date":"2016-12-02","description":"","custom_fields":[{"id":1,"name":"Subdivision","value":"EC"},{"id":4,"name":"Milepost","value":"23.3297"},{"id":17,"name":"Train ID","value":"163-02"},{"id":16,"name":"Locomotive ID","value":"4002"},{"id":130,"name":"Impact","value":""},{"id":150,"name":"Time of Event (Mountain Time)","value":"12:06:45"},{"id":151,"name":"Denver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447</v>
      </c>
      <c r="B76" s="7">
        <v>4001</v>
      </c>
      <c r="C76" s="22" t="s">
        <v>210</v>
      </c>
      <c r="D76" s="22" t="s">
        <v>204</v>
      </c>
      <c r="E76" s="13">
        <v>42706.510138888887</v>
      </c>
      <c r="F76" s="13">
        <v>42706.518275462964</v>
      </c>
      <c r="G76" s="7">
        <v>1</v>
      </c>
      <c r="H76" s="22" t="s">
        <v>217</v>
      </c>
      <c r="I76" s="13">
        <v>42706.545567129629</v>
      </c>
      <c r="J76" s="7">
        <v>0</v>
      </c>
      <c r="K76" s="109" t="str">
        <f t="shared" si="0"/>
        <v>4001/4002</v>
      </c>
      <c r="L76" s="22" t="str">
        <f>VLOOKUP(A76,'Trips&amp;Operators'!$C$1:$G$99999,5,FALSE)</f>
        <v>BONDS REYNALDO</v>
      </c>
      <c r="M76" s="6">
        <f t="shared" si="1"/>
        <v>2.7291666665405501E-2</v>
      </c>
      <c r="N76" s="7">
        <f t="shared" si="26"/>
        <v>39.299999998183921</v>
      </c>
      <c r="O76" s="7"/>
      <c r="P76" s="7"/>
      <c r="Q76" s="23"/>
      <c r="R76" s="23"/>
      <c r="S76" s="35">
        <f t="shared" si="20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https://search-rtdc-monitor-bjffxe2xuh6vdkpspy63sjmuny.us-east-1.es.amazonaws.com/_plugin/kibana/#/discover/Steve-Slow-Train-Analysis-(2080s-and-2083s)?_g=(refreshInterval:(display:Off,section:0,value:0),time:(from:'2016-12-02 11:14:36-700',mode:absolute,to:'2016-12-02 14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6" s="52" t="str">
        <f t="shared" si="6"/>
        <v>N</v>
      </c>
      <c r="X76" s="177">
        <f t="shared" si="29"/>
        <v>1</v>
      </c>
      <c r="Y76" s="67">
        <f t="shared" si="27"/>
        <v>23.297699999999999</v>
      </c>
      <c r="Z76" s="67">
        <f t="shared" si="28"/>
        <v>1.4999999999999999E-2</v>
      </c>
      <c r="AA76" s="67">
        <f t="shared" si="10"/>
        <v>23.282699999999998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0164-02</v>
      </c>
      <c r="AE76" s="91" t="str">
        <f t="shared" si="12"/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AF76" s="88" t="str">
        <f t="shared" si="13"/>
        <v>"C:\Program Files (x86)\AstroGrep\AstroGrep.exe" /spath="%USERPROFILE%\AppData\Local\Temp\OnboardLogs" /stypes="app*4001*20161202*"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164-02 --locoid 4001 --swversion DE.1.0.8.0 --startMP 204:232977 --initTime 2016-12-02T12:14:36 --startdatetime 2016-12-02T12:26:19 --delay 1 --endMP 204:150 --enddatetime 2016-12-02T13:05:37 --enforcementcount 0 &gt;&gt;C:\Users\stu\Documents\GitHub\eaglep3-reporting\EC\2016-12-02-refined-times.txt</v>
      </c>
      <c r="AI76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{"issue":{"subject":"","project_id":79,"tracker_id":40,"status_id":1,"priority_id":2,"assigned_to_id":23,"start_date":"2016-12-02","description":"","custom_fields":[{"id":1,"name":"Subdivision","value":"EC"},{"id":4,"name":"Milepost","value":"0.015"},{"id":17,"name":"Train ID","value":"164-02"},{"id":16,"name":"Locomotive ID","value":"4001"},{"id":130,"name":"Impact","value":""},{"id":150,"name":"Time of Event (Mountain Time)","value":"13:05:37"},{"id":151,"name":"Denver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555</v>
      </c>
      <c r="B77" s="7">
        <v>4003</v>
      </c>
      <c r="C77" s="22" t="s">
        <v>210</v>
      </c>
      <c r="D77" s="22" t="s">
        <v>308</v>
      </c>
      <c r="E77" s="13">
        <v>42706.484907407408</v>
      </c>
      <c r="F77" s="13">
        <v>42706.490057870367</v>
      </c>
      <c r="G77" s="7">
        <v>6</v>
      </c>
      <c r="H77" s="22" t="s">
        <v>693</v>
      </c>
      <c r="I77" s="13">
        <v>42706.515034722222</v>
      </c>
      <c r="J77" s="7">
        <v>0</v>
      </c>
      <c r="K77" s="109" t="str">
        <f t="shared" ref="K77:K140" si="30">IF(ISEVEN(B77),(B77-1)&amp;"/"&amp;B77,B77&amp;"/"&amp;(B77+1))</f>
        <v>4003/4004</v>
      </c>
      <c r="L77" s="22" t="str">
        <f>VLOOKUP(A77,'Trips&amp;Operators'!$C$1:$G$99999,5,FALSE)</f>
        <v>MOSES BRADLEY</v>
      </c>
      <c r="M77" s="6">
        <f t="shared" ref="M77:M140" si="31">I77-F77</f>
        <v>2.4976851855171844E-2</v>
      </c>
      <c r="N77" s="7">
        <f t="shared" si="26"/>
        <v>35.966666671447456</v>
      </c>
      <c r="O77" s="7"/>
      <c r="P77" s="7"/>
      <c r="Q77" s="23"/>
      <c r="R77" s="23"/>
      <c r="S77" s="35">
        <f t="shared" ref="S77:S108" si="32">SUM(U77:U77)/IF(AG77="EC",12,1)</f>
        <v>1</v>
      </c>
      <c r="T77" s="50" t="str">
        <f t="shared" ref="T77:T140" si="33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https://search-rtdc-monitor-bjffxe2xuh6vdkpspy63sjmuny.us-east-1.es.amazonaws.com/_plugin/kibana/#/discover/Steve-Slow-Train-Analysis-(2080s-and-2083s)?_g=(refreshInterval:(display:Off,section:0,value:0),time:(from:'2016-12-02 10:38:16-700',mode:absolute,to:'2016-12-02 13:21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7" s="52" t="str">
        <f t="shared" ref="W77:W140" si="35">IF(AA77&lt;IF(AG77="EC",23,5.65),"Y","N")</f>
        <v>N</v>
      </c>
      <c r="X77" s="177">
        <f t="shared" si="29"/>
        <v>1</v>
      </c>
      <c r="Y77" s="67">
        <f t="shared" si="27"/>
        <v>4.3700000000000003E-2</v>
      </c>
      <c r="Z77" s="67">
        <f t="shared" si="28"/>
        <v>23.3338</v>
      </c>
      <c r="AA77" s="67">
        <f t="shared" ref="AA77:AA140" si="36">ABS(Z77-Y77)</f>
        <v>23.290099999999999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ref="AD77:AD140" si="37">IF(LEN(A77)=6,"0"&amp;A77,A77)</f>
        <v>0165-02</v>
      </c>
      <c r="AE77" s="91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 &amp; 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</v>
      </c>
      <c r="AF77" s="88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/stypes="app*4003*20161202*" /stext=" 19:.+((SYSTEM_STATE.+slice.+state.+changed )|(ment ac)|(multiple cpu faults)|(system.+state.+changed )|(\[timeout)|(PRM\|1\|D)|(kpr)|(kdp)|(\|lc)|(penalty))"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165-02 --locoid 4003 --swversion DE.1.0.8.0 --startMP 204:437 --initTime 2016-12-02T11:38:16 --startdatetime 2016-12-02T11:45:41 --delay 6 --endMP 204:233338 --enddatetime 2016-12-02T12:21:39 --enforcementcount 0 &gt;&gt;C:\Users\stu\Documents\GitHub\eaglep3-reporting\EC\2016-12-02-refined-times.txt</v>
      </c>
      <c r="AI77" s="119" t="str">
        <f t="shared" si="18"/>
        <v>echo {"issue":{"subject":"","project_id":79,"tracker_id":40,"status_id":1,"priority_id":2,"assigned_to_id":23,"start_date":"2016-12-02","description":"","custom_fields":[{"id":1,"name":"Subdivision","value":"EC"},{"id":4,"name":"Milepost","value":"23.3338"},{"id":17,"name":"Train ID","value":"165-02"},{"id":16,"name":"Locomotive ID","value":"4003"},{"id":130,"name":"Impact","value":""},{"id":150,"name":"Time of Event (Mountain Time)","value":"12:21:39"},{"id":151,"name":"Denver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561</v>
      </c>
      <c r="B78" s="7">
        <v>4004</v>
      </c>
      <c r="C78" s="22" t="s">
        <v>210</v>
      </c>
      <c r="D78" s="22" t="s">
        <v>336</v>
      </c>
      <c r="E78" s="13">
        <v>42706.524918981479</v>
      </c>
      <c r="F78" s="13">
        <v>42706.528761574074</v>
      </c>
      <c r="G78" s="7">
        <v>1</v>
      </c>
      <c r="H78" s="22" t="s">
        <v>700</v>
      </c>
      <c r="I78" s="13">
        <v>42706.556851851848</v>
      </c>
      <c r="J78" s="7">
        <v>0</v>
      </c>
      <c r="K78" s="109" t="str">
        <f t="shared" si="30"/>
        <v>4003/4004</v>
      </c>
      <c r="L78" s="22" t="str">
        <f>VLOOKUP(A78,'Trips&amp;Operators'!$C$1:$G$99999,5,FALSE)</f>
        <v>MOSES BRADLEY</v>
      </c>
      <c r="M78" s="6">
        <f t="shared" si="31"/>
        <v>2.8090277774026617E-2</v>
      </c>
      <c r="N78" s="7">
        <f t="shared" si="26"/>
        <v>40.449999994598329</v>
      </c>
      <c r="O78" s="7"/>
      <c r="P78" s="7"/>
      <c r="Q78" s="23"/>
      <c r="R78" s="23"/>
      <c r="S78" s="35">
        <f t="shared" si="32"/>
        <v>1</v>
      </c>
      <c r="T78" s="50" t="str">
        <f t="shared" si="3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11:35:53-700',mode:absolute,to:'2016-12-02 14:21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8" s="52" t="str">
        <f t="shared" si="35"/>
        <v>N</v>
      </c>
      <c r="X78" s="177">
        <f t="shared" ref="X78:X109" si="41">VALUE(LEFT(AD78,4))-VALUE(LEFT(AD77,4))</f>
        <v>1</v>
      </c>
      <c r="Y78" s="67">
        <f t="shared" si="27"/>
        <v>23.302099999999999</v>
      </c>
      <c r="Z78" s="67">
        <f t="shared" si="28"/>
        <v>1.38E-2</v>
      </c>
      <c r="AA78" s="67">
        <f t="shared" si="36"/>
        <v>23.2883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7"/>
        <v>0166-02</v>
      </c>
      <c r="AE78" s="91" t="str">
        <f t="shared" si="38"/>
        <v>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 &amp; 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</v>
      </c>
      <c r="AF78" s="88" t="str">
        <f t="shared" si="39"/>
        <v>"C:\Program Files (x86)\AstroGrep\AstroGrep.exe" /spath="%USERPROFILE%\AppData\Local\Temp\OnboardLogs" /stypes="app*4004*20161202*" /stext=" 20:.+((SYSTEM_STATE.+slice.+state.+changed )|(ment ac)|(multiple cpu faults)|(system.+state.+changed )|(\[timeout)|(PRM\|1\|D)|(kpr)|(kdp)|(\|lc)|(penalty))" /e /r /s</v>
      </c>
      <c r="AG78" s="1" t="str">
        <f t="shared" si="40"/>
        <v>EC</v>
      </c>
      <c r="AH78" s="92" t="str">
        <f t="shared" ref="AH78:AH140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166-02 --locoid 4004 --swversion DE.1.0.8.0 --startMP 204:233021 --initTime 2016-12-02T12:35:53 --startdatetime 2016-12-02T12:41:25 --delay 1 --endMP 204:138 --enddatetime 2016-12-02T13:21:52 --enforcementcount 0 &gt;&gt;C:\Users\stu\Documents\GitHub\eaglep3-reporting\EC\2016-12-02-refined-times.txt</v>
      </c>
      <c r="AI78" s="119" t="str">
        <f t="shared" ref="AI78:AI140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{"issue":{"subject":"","project_id":79,"tracker_id":40,"status_id":1,"priority_id":2,"assigned_to_id":23,"start_date":"2016-12-02","description":"","custom_fields":[{"id":1,"name":"Subdivision","value":"EC"},{"id":4,"name":"Milepost","value":"0.0138"},{"id":17,"name":"Train ID","value":"166-02"},{"id":16,"name":"Locomotive ID","value":"4004"},{"id":130,"name":"Impact","value":""},{"id":150,"name":"Time of Event (Mountain Time)","value":"13:21:52"},{"id":151,"name":"Denver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558</v>
      </c>
      <c r="B79" s="7">
        <v>4044</v>
      </c>
      <c r="C79" s="22" t="s">
        <v>210</v>
      </c>
      <c r="D79" s="22" t="s">
        <v>245</v>
      </c>
      <c r="E79" s="13">
        <v>42706.498101851852</v>
      </c>
      <c r="F79" s="13">
        <v>42706.500914351855</v>
      </c>
      <c r="G79" s="7">
        <v>1</v>
      </c>
      <c r="H79" s="22" t="s">
        <v>284</v>
      </c>
      <c r="I79" s="13">
        <v>42706.525081018517</v>
      </c>
      <c r="J79" s="7">
        <v>0</v>
      </c>
      <c r="K79" s="109" t="str">
        <f t="shared" si="30"/>
        <v>4043/4044</v>
      </c>
      <c r="L79" s="22" t="str">
        <f>VLOOKUP(A79,'Trips&amp;Operators'!$C$1:$G$99999,5,FALSE)</f>
        <v>ADANE ELSHADAY</v>
      </c>
      <c r="M79" s="6">
        <f t="shared" si="31"/>
        <v>2.4166666662495118E-2</v>
      </c>
      <c r="N79" s="7">
        <f t="shared" si="26"/>
        <v>34.799999993992969</v>
      </c>
      <c r="O79" s="7"/>
      <c r="P79" s="7"/>
      <c r="Q79" s="23"/>
      <c r="R79" s="23"/>
      <c r="S79" s="35">
        <f t="shared" si="32"/>
        <v>1</v>
      </c>
      <c r="T79" s="50" t="str">
        <f t="shared" si="3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10:57:16-700',mode:absolute,to:'2016-12-02 13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9" s="52" t="str">
        <f t="shared" si="35"/>
        <v>N</v>
      </c>
      <c r="X79" s="177">
        <f t="shared" si="41"/>
        <v>1</v>
      </c>
      <c r="Y79" s="67">
        <f t="shared" si="27"/>
        <v>4.5499999999999999E-2</v>
      </c>
      <c r="Z79" s="67">
        <f t="shared" si="28"/>
        <v>23.330100000000002</v>
      </c>
      <c r="AA79" s="67">
        <f t="shared" si="36"/>
        <v>23.284600000000001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7"/>
        <v>0167-02</v>
      </c>
      <c r="AE79" s="91" t="str">
        <f t="shared" si="38"/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79" s="88" t="str">
        <f t="shared" si="39"/>
        <v>"C:\Program Files (x86)\AstroGrep\AstroGrep.exe" /spath="%USERPROFILE%\AppData\Local\Temp\OnboardLogs" /stypes="app*4044*20161202*" /stext=" 19:.+((SYSTEM_STATE.+slice.+state.+changed )|(ment ac)|(multiple cpu faults)|(system.+state.+changed )|(\[timeout)|(PRM\|1\|D)|(kpr)|(kdp)|(\|lc)|(penalty))" /e /r /s</v>
      </c>
      <c r="AG79" s="1" t="str">
        <f t="shared" si="40"/>
        <v>EC</v>
      </c>
      <c r="AH79" s="92" t="str">
        <f t="shared" si="42"/>
        <v>"%USERPROFILE%\Documents\GitHub\eaglep3\Utilities\RefineRTDCRunTimes.py" --tripid 167-02 --locoid 4044 --swversion DE.1.0.8.0 --startMP 204:455 --initTime 2016-12-02T11:57:16 --startdatetime 2016-12-02T12:01:19 --delay 1 --endMP 204:233301 --enddatetime 2016-12-02T12:36:07 --enforcementcount 0 &gt;&gt;C:\Users\stu\Documents\GitHub\eaglep3-reporting\EC\2016-12-02-refined-times.txt</v>
      </c>
      <c r="AI79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{"issue":{"subject":"","project_id":79,"tracker_id":40,"status_id":1,"priority_id":2,"assigned_to_id":23,"start_date":"2016-12-02","description":"","custom_fields":[{"id":1,"name":"Subdivision","value":"EC"},{"id":4,"name":"Milepost","value":"23.3301"},{"id":17,"name":"Train ID","value":"167-02"},{"id":16,"name":"Locomotive ID","value":"4044"},{"id":130,"name":"Impact","value":""},{"id":150,"name":"Time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564</v>
      </c>
      <c r="B80" s="7">
        <v>4043</v>
      </c>
      <c r="C80" s="22" t="s">
        <v>210</v>
      </c>
      <c r="D80" s="22" t="s">
        <v>239</v>
      </c>
      <c r="E80" s="13">
        <v>42706.529293981483</v>
      </c>
      <c r="F80" s="13">
        <v>42706.539479166669</v>
      </c>
      <c r="G80" s="7">
        <v>1</v>
      </c>
      <c r="H80" s="22" t="s">
        <v>265</v>
      </c>
      <c r="I80" s="13">
        <v>42706.56454861111</v>
      </c>
      <c r="J80" s="7">
        <v>0</v>
      </c>
      <c r="K80" s="109" t="str">
        <f t="shared" si="30"/>
        <v>4043/4044</v>
      </c>
      <c r="L80" s="22" t="str">
        <f>VLOOKUP(A80,'Trips&amp;Operators'!$C$1:$G$99999,5,FALSE)</f>
        <v>ADANE ELSHADAY</v>
      </c>
      <c r="M80" s="6">
        <f t="shared" si="31"/>
        <v>2.5069444440305233E-2</v>
      </c>
      <c r="N80" s="7">
        <f t="shared" si="26"/>
        <v>36.099999994039536</v>
      </c>
      <c r="O80" s="7"/>
      <c r="P80" s="7"/>
      <c r="Q80" s="23"/>
      <c r="R80" s="23"/>
      <c r="S80" s="35">
        <f t="shared" si="32"/>
        <v>1</v>
      </c>
      <c r="T80" s="50" t="str">
        <f t="shared" si="3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11:42:11-700',mode:absolute,to:'2016-12-02 14:32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0" s="52" t="str">
        <f t="shared" si="35"/>
        <v>N</v>
      </c>
      <c r="X80" s="177">
        <f t="shared" si="41"/>
        <v>1</v>
      </c>
      <c r="Y80" s="67">
        <f t="shared" si="27"/>
        <v>23.299800000000001</v>
      </c>
      <c r="Z80" s="67">
        <f t="shared" si="28"/>
        <v>1.4500000000000001E-2</v>
      </c>
      <c r="AA80" s="67">
        <f t="shared" si="36"/>
        <v>23.285299999999999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7"/>
        <v>0168-02</v>
      </c>
      <c r="AE80" s="91" t="str">
        <f t="shared" si="38"/>
        <v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v>
      </c>
      <c r="AF80" s="88" t="str">
        <f t="shared" si="39"/>
        <v>"C:\Program Files (x86)\AstroGrep\AstroGrep.exe" /spath="%USERPROFILE%\AppData\Local\Temp\OnboardLogs" /stypes="app*4043*20161202*" /stext=" 20:.+((SYSTEM_STATE.+slice.+state.+changed )|(ment ac)|(multiple cpu faults)|(system.+state.+changed )|(\[timeout)|(PRM\|1\|D)|(kpr)|(kdp)|(\|lc)|(penalty))" /e /r /s</v>
      </c>
      <c r="AG80" s="1" t="str">
        <f t="shared" si="40"/>
        <v>EC</v>
      </c>
      <c r="AH80" s="92" t="str">
        <f t="shared" si="42"/>
        <v>"%USERPROFILE%\Documents\GitHub\eaglep3\Utilities\RefineRTDCRunTimes.py" --tripid 168-02 --locoid 4043 --swversion DE.1.0.8.0 --startMP 204:232998 --initTime 2016-12-02T12:42:11 --startdatetime 2016-12-02T12:56:51 --delay 1 --endMP 204:145 --enddatetime 2016-12-02T13:32:57 --enforcementcount 0 &gt;&gt;C:\Users\stu\Documents\GitHub\eaglep3-reporting\EC\2016-12-02-refined-times.txt</v>
      </c>
      <c r="AI80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{"issue":{"subject":"","project_id":79,"tracker_id":40,"status_id":1,"priority_id":2,"assigned_to_id":23,"start_date":"2016-12-02","description":"","custom_fields":[{"id":1,"name":"Subdivision","value":"EC"},{"id":4,"name":"Milepost","value":"0.0145"},{"id":17,"name":"Train ID","value":"168-02"},{"id":16,"name":"Locomotive ID","value":"4043"},{"id":130,"name":"Impact","value":""},{"id":150,"name":"Time of Event (Mountain Time)","value":"13:32:57"},{"id":151,"name":"Denver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445</v>
      </c>
      <c r="B81" s="7">
        <v>4042</v>
      </c>
      <c r="C81" s="22" t="s">
        <v>210</v>
      </c>
      <c r="D81" s="22" t="s">
        <v>704</v>
      </c>
      <c r="E81" s="13">
        <v>42706.510775462964</v>
      </c>
      <c r="F81" s="13">
        <v>42706.512789351851</v>
      </c>
      <c r="G81" s="7">
        <v>1</v>
      </c>
      <c r="H81" s="22" t="s">
        <v>400</v>
      </c>
      <c r="I81" s="13">
        <v>42706.538495370369</v>
      </c>
      <c r="J81" s="7">
        <v>0</v>
      </c>
      <c r="K81" s="109" t="str">
        <f t="shared" si="30"/>
        <v>4041/4042</v>
      </c>
      <c r="L81" s="22" t="str">
        <f>VLOOKUP(A81,'Trips&amp;Operators'!$C$1:$G$99999,5,FALSE)</f>
        <v>SHOOK JOHN</v>
      </c>
      <c r="M81" s="6">
        <f t="shared" si="31"/>
        <v>2.5706018517666962E-2</v>
      </c>
      <c r="N81" s="7">
        <f t="shared" si="26"/>
        <v>37.016666665440425</v>
      </c>
      <c r="O81" s="7"/>
      <c r="P81" s="7"/>
      <c r="Q81" s="23"/>
      <c r="R81" s="23"/>
      <c r="S81" s="35">
        <f t="shared" si="32"/>
        <v>1</v>
      </c>
      <c r="T81" s="50" t="str">
        <f t="shared" si="3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11:15:31-700',mode:absolute,to:'2016-12-02 13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1" s="52" t="str">
        <f t="shared" si="35"/>
        <v>N</v>
      </c>
      <c r="X81" s="177">
        <f t="shared" si="41"/>
        <v>1</v>
      </c>
      <c r="Y81" s="67">
        <f t="shared" si="27"/>
        <v>5.28E-2</v>
      </c>
      <c r="Z81" s="67">
        <f t="shared" si="28"/>
        <v>23.333200000000001</v>
      </c>
      <c r="AA81" s="67">
        <f t="shared" si="36"/>
        <v>23.2804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7"/>
        <v>0169-02</v>
      </c>
      <c r="AE81" s="91" t="str">
        <f t="shared" si="38"/>
        <v>aws s3 cp s3://rtdc.mdm.uploadarchive.raw/RTDC4042/ "%USERPROFILE%\AppData\Local\Temp\OnboardLogs"\RTDC4042\2016-12-02 --exclude "*" --recursive --include "*20161202*" &amp; "%USERPROFILE%\Documents\GitHub\mrs-test-scripts\Headless Mode &amp; Sideloading\WalkAndUnGZ.bat" "%USERPROFILE%\AppData\Local\Temp\OnboardLogs"\RTDC4042\2016-12-02 &amp; 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</v>
      </c>
      <c r="AF81" s="88" t="str">
        <f t="shared" si="39"/>
        <v>"C:\Program Files (x86)\AstroGrep\AstroGrep.exe" /spath="%USERPROFILE%\AppData\Local\Temp\OnboardLogs" /stypes="app*4042*20161202*" /stext=" 19:.+((SYSTEM_STATE.+slice.+state.+changed )|(ment ac)|(multiple cpu faults)|(system.+state.+changed )|(\[timeout)|(PRM\|1\|D)|(kpr)|(kdp)|(\|lc)|(penalty))" /e /r /s</v>
      </c>
      <c r="AG81" s="1" t="str">
        <f t="shared" si="40"/>
        <v>EC</v>
      </c>
      <c r="AH81" s="92" t="str">
        <f t="shared" si="42"/>
        <v>"%USERPROFILE%\Documents\GitHub\eaglep3\Utilities\RefineRTDCRunTimes.py" --tripid 169-02 --locoid 4042 --swversion DE.1.0.8.0 --startMP 204:528 --initTime 2016-12-02T12:15:31 --startdatetime 2016-12-02T12:18:25 --delay 1 --endMP 204:233332 --enddatetime 2016-12-02T12:55:26 --enforcementcount 0 &gt;&gt;C:\Users\stu\Documents\GitHub\eaglep3-reporting\EC\2016-12-02-refined-times.txt</v>
      </c>
      <c r="AI81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{"issue":{"subject":"","project_id":79,"tracker_id":40,"status_id":1,"priority_id":2,"assigned_to_id":23,"start_date":"2016-12-02","description":"","custom_fields":[{"id":1,"name":"Subdivision","value":"EC"},{"id":4,"name":"Milepost","value":"23.3332"},{"id":17,"name":"Train ID","value":"169-02"},{"id":16,"name":"Locomotive ID","value":"4042"},{"id":130,"name":"Impact","value":""},{"id":150,"name":"Time of Event (Mountain Time)","value":"12:55:26"},{"id":151,"name":"Denver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567</v>
      </c>
      <c r="B82" s="7">
        <v>4041</v>
      </c>
      <c r="C82" s="22" t="s">
        <v>210</v>
      </c>
      <c r="D82" s="22" t="s">
        <v>336</v>
      </c>
      <c r="E82" s="13">
        <v>42706.5471875</v>
      </c>
      <c r="F82" s="13">
        <v>42706.551307870373</v>
      </c>
      <c r="G82" s="7">
        <v>1</v>
      </c>
      <c r="H82" s="22" t="s">
        <v>230</v>
      </c>
      <c r="I82" s="13">
        <v>42706.576747685183</v>
      </c>
      <c r="J82" s="7">
        <v>0</v>
      </c>
      <c r="K82" s="109" t="str">
        <f t="shared" si="30"/>
        <v>4041/4042</v>
      </c>
      <c r="L82" s="22" t="str">
        <f>VLOOKUP(A82,'Trips&amp;Operators'!$C$1:$G$99999,5,FALSE)</f>
        <v>SHOOK JOHN</v>
      </c>
      <c r="M82" s="6">
        <f t="shared" si="31"/>
        <v>2.5439814809942618E-2</v>
      </c>
      <c r="N82" s="7">
        <f t="shared" si="26"/>
        <v>36.63333332631737</v>
      </c>
      <c r="O82" s="7"/>
      <c r="P82" s="7"/>
      <c r="Q82" s="23"/>
      <c r="R82" s="23"/>
      <c r="S82" s="35">
        <f t="shared" si="32"/>
        <v>1</v>
      </c>
      <c r="T82" s="50" t="str">
        <f t="shared" si="3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12:07:57-700',mode:absolute,to:'2016-12-02 14:50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2" s="52" t="str">
        <f t="shared" si="35"/>
        <v>N</v>
      </c>
      <c r="X82" s="177">
        <f t="shared" si="41"/>
        <v>1</v>
      </c>
      <c r="Y82" s="67">
        <f t="shared" si="27"/>
        <v>23.302099999999999</v>
      </c>
      <c r="Z82" s="67">
        <f t="shared" si="28"/>
        <v>1.54E-2</v>
      </c>
      <c r="AA82" s="67">
        <f t="shared" si="36"/>
        <v>23.2867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7"/>
        <v>0170-02</v>
      </c>
      <c r="AE82" s="91" t="str">
        <f t="shared" si="38"/>
        <v>aws s3 cp s3://rtdc.mdm.uploadarchive.raw/RTDC4041/ "%USERPROFILE%\AppData\Local\Temp\OnboardLogs"\RTDC4041\2016-12-02 --exclude "*" --recursive --include "*20161202*" &amp; "%USERPROFILE%\Documents\GitHub\mrs-test-scripts\Headless Mode &amp; Sideloading\WalkAndUnGZ.bat" "%USERPROFILE%\AppData\Local\Temp\OnboardLogs"\RTDC4041\2016-12-02 &amp; 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</v>
      </c>
      <c r="AF82" s="88" t="str">
        <f t="shared" si="39"/>
        <v>"C:\Program Files (x86)\AstroGrep\AstroGrep.exe" /spath="%USERPROFILE%\AppData\Local\Temp\OnboardLogs" /stypes="app*4041*20161202*" /stext=" 20:.+((SYSTEM_STATE.+slice.+state.+changed )|(ment ac)|(multiple cpu faults)|(system.+state.+changed )|(\[timeout)|(PRM\|1\|D)|(kpr)|(kdp)|(\|lc)|(penalty))" /e /r /s</v>
      </c>
      <c r="AG82" s="1" t="str">
        <f t="shared" si="40"/>
        <v>EC</v>
      </c>
      <c r="AH82" s="92" t="str">
        <f t="shared" si="42"/>
        <v>"%USERPROFILE%\Documents\GitHub\eaglep3\Utilities\RefineRTDCRunTimes.py" --tripid 170-02 --locoid 4041 --swversion DE.1.0.8.0 --startMP 204:233021 --initTime 2016-12-02T13:07:57 --startdatetime 2016-12-02T13:13:53 --delay 1 --endMP 204:154 --enddatetime 2016-12-02T13:50:31 --enforcementcount 0 &gt;&gt;C:\Users\stu\Documents\GitHub\eaglep3-reporting\EC\2016-12-02-refined-times.txt</v>
      </c>
      <c r="AI82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{"issue":{"subject":"","project_id":79,"tracker_id":40,"status_id":1,"priority_id":2,"assigned_to_id":23,"start_date":"2016-12-02","description":"","custom_fields":[{"id":1,"name":"Subdivision","value":"EC"},{"id":4,"name":"Milepost","value":"0.0154"},{"id":17,"name":"Train ID","value":"170-02"},{"id":16,"name":"Locomotive ID","value":"4041"},{"id":130,"name":"Impact","value":""},{"id":150,"name":"Time of Event (Mountain Time)","value":"13:50:31"},{"id":151,"name":"Denver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446</v>
      </c>
      <c r="B83" s="7">
        <v>4022</v>
      </c>
      <c r="C83" s="22" t="s">
        <v>210</v>
      </c>
      <c r="D83" s="22" t="s">
        <v>252</v>
      </c>
      <c r="E83" s="13">
        <v>42706.516956018517</v>
      </c>
      <c r="F83" s="13">
        <v>42706.521215277775</v>
      </c>
      <c r="G83" s="7">
        <v>1</v>
      </c>
      <c r="H83" s="22" t="s">
        <v>705</v>
      </c>
      <c r="I83" s="13">
        <v>42706.546701388892</v>
      </c>
      <c r="J83" s="7">
        <v>0</v>
      </c>
      <c r="K83" s="109" t="str">
        <f t="shared" si="30"/>
        <v>4021/4022</v>
      </c>
      <c r="L83" s="22" t="str">
        <f>VLOOKUP(A83,'Trips&amp;Operators'!$C$1:$G$99999,5,FALSE)</f>
        <v>STORY SAMANTHA</v>
      </c>
      <c r="M83" s="6">
        <f t="shared" si="31"/>
        <v>2.5486111117061228E-2</v>
      </c>
      <c r="N83" s="7">
        <f t="shared" si="26"/>
        <v>36.700000008568168</v>
      </c>
      <c r="O83" s="7"/>
      <c r="P83" s="7"/>
      <c r="Q83" s="23"/>
      <c r="R83" s="23"/>
      <c r="S83" s="35">
        <f t="shared" si="32"/>
        <v>1</v>
      </c>
      <c r="T83" s="50" t="str">
        <f t="shared" si="3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11:24:25-700',mode:absolute,to:'2016-12-02 14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3" s="52" t="str">
        <f t="shared" si="35"/>
        <v>N</v>
      </c>
      <c r="X83" s="177">
        <f t="shared" si="41"/>
        <v>1</v>
      </c>
      <c r="Y83" s="67">
        <f t="shared" si="27"/>
        <v>4.5699999999999998E-2</v>
      </c>
      <c r="Z83" s="67">
        <f t="shared" si="28"/>
        <v>23.332999999999998</v>
      </c>
      <c r="AA83" s="67">
        <f t="shared" si="36"/>
        <v>23.287299999999998</v>
      </c>
      <c r="AB83" s="64" t="str">
        <f>VLOOKUP(A83,Enforcements!$C$7:$K$19,8,0)</f>
        <v>Speed (6)</v>
      </c>
      <c r="AC83" s="60" t="str">
        <f>VLOOKUP(A83,Enforcements!$C$7:$E$19,3,0)</f>
        <v>PERMANENT SPEED RESTRICTION</v>
      </c>
      <c r="AD83" s="61" t="str">
        <f t="shared" si="37"/>
        <v>0171-02</v>
      </c>
      <c r="AE83" s="91" t="str">
        <f t="shared" si="38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83" s="88" t="str">
        <f t="shared" si="39"/>
        <v>"C:\Program Files (x86)\AstroGrep\AstroGrep.exe" /spath="%USERPROFILE%\AppData\Local\Temp\OnboardLogs" /stypes="app*4022*20161202*" /stext=" 20:.+((SYSTEM_STATE.+slice.+state.+changed )|(ment ac)|(multiple cpu faults)|(system.+state.+changed )|(\[timeout)|(PRM\|1\|D)|(kpr)|(kdp)|(\|lc)|(penalty))" /e /r /s</v>
      </c>
      <c r="AG83" s="1" t="str">
        <f t="shared" si="40"/>
        <v>EC</v>
      </c>
      <c r="AH83" s="92" t="str">
        <f t="shared" si="42"/>
        <v>"%USERPROFILE%\Documents\GitHub\eaglep3\Utilities\RefineRTDCRunTimes.py" --tripid 171-02 --locoid 4022 --swversion DE.1.0.8.0 --startMP 204:457 --initTime 2016-12-02T12:24:25 --startdatetime 2016-12-02T12:30:33 --delay 1 --endMP 204:233330 --enddatetime 2016-12-02T13:07:15 --enforcementcount 0 &gt;&gt;C:\Users\stu\Documents\GitHub\eaglep3-reporting\EC\2016-12-02-refined-times.txt</v>
      </c>
      <c r="AI83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{"issue":{"subject":"","project_id":79,"tracker_id":40,"status_id":1,"priority_id":2,"assigned_to_id":23,"start_date":"2016-12-02","description":"","custom_fields":[{"id":1,"name":"Subdivision","value":"EC"},{"id":4,"name":"Milepost","value":"23.333"},{"id":17,"name":"Train ID","value":"171-02"},{"id":16,"name":"Locomotive ID","value":"4022"},{"id":130,"name":"Impact","value":""},{"id":150,"name":"Time of Event (Mountain Time)","value":"13:07:15"},{"id":151,"name":"Denver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569</v>
      </c>
      <c r="B84" s="7">
        <v>4021</v>
      </c>
      <c r="C84" s="22" t="s">
        <v>210</v>
      </c>
      <c r="D84" s="22" t="s">
        <v>706</v>
      </c>
      <c r="E84" s="13">
        <v>42706.555520833332</v>
      </c>
      <c r="F84" s="13">
        <v>42706.56013888889</v>
      </c>
      <c r="G84" s="7">
        <v>2</v>
      </c>
      <c r="H84" s="22" t="s">
        <v>306</v>
      </c>
      <c r="I84" s="13">
        <v>42706.587500000001</v>
      </c>
      <c r="J84" s="7">
        <v>0</v>
      </c>
      <c r="K84" s="109" t="str">
        <f t="shared" si="30"/>
        <v>4021/4022</v>
      </c>
      <c r="L84" s="22" t="str">
        <f>VLOOKUP(A84,'Trips&amp;Operators'!$C$1:$G$99999,5,FALSE)</f>
        <v>STORY SAMANTHA</v>
      </c>
      <c r="M84" s="6">
        <f t="shared" si="31"/>
        <v>2.73611111115315E-2</v>
      </c>
      <c r="N84" s="7">
        <f t="shared" si="26"/>
        <v>39.40000000060536</v>
      </c>
      <c r="O84" s="7"/>
      <c r="P84" s="7"/>
      <c r="Q84" s="23"/>
      <c r="R84" s="23"/>
      <c r="S84" s="35">
        <f t="shared" si="32"/>
        <v>1</v>
      </c>
      <c r="T84" s="50" t="str">
        <f t="shared" si="3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12:19:57-700',mode:absolute,to:'2016-12-02 15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4" s="52" t="str">
        <f t="shared" si="35"/>
        <v>N</v>
      </c>
      <c r="X84" s="177">
        <f t="shared" si="41"/>
        <v>1</v>
      </c>
      <c r="Y84" s="67">
        <f t="shared" si="27"/>
        <v>23.300699999999999</v>
      </c>
      <c r="Z84" s="67">
        <f t="shared" si="28"/>
        <v>1.52E-2</v>
      </c>
      <c r="AA84" s="67">
        <f t="shared" si="36"/>
        <v>23.285499999999999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7"/>
        <v>0172-02</v>
      </c>
      <c r="AE84" s="91" t="str">
        <f t="shared" si="38"/>
        <v>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 &amp; 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</v>
      </c>
      <c r="AF84" s="88" t="str">
        <f t="shared" si="39"/>
        <v>"C:\Program Files (x86)\AstroGrep\AstroGrep.exe" /spath="%USERPROFILE%\AppData\Local\Temp\OnboardLogs" /stypes="app*4021*20161202*" /stext=" 21:.+((SYSTEM_STATE.+slice.+state.+changed )|(ment ac)|(multiple cpu faults)|(system.+state.+changed )|(\[timeout)|(PRM\|1\|D)|(kpr)|(kdp)|(\|lc)|(penalty))" /e /r /s</v>
      </c>
      <c r="AG84" s="1" t="str">
        <f t="shared" si="40"/>
        <v>EC</v>
      </c>
      <c r="AH84" s="92" t="str">
        <f t="shared" si="42"/>
        <v>"%USERPROFILE%\Documents\GitHub\eaglep3\Utilities\RefineRTDCRunTimes.py" --tripid 172-02 --locoid 4021 --swversion DE.1.0.8.0 --startMP 204:233007 --initTime 2016-12-02T13:19:57 --startdatetime 2016-12-02T13:26:36 --delay 2 --endMP 204:152 --enddatetime 2016-12-02T14:06:00 --enforcementcount 0 &gt;&gt;C:\Users\stu\Documents\GitHub\eaglep3-reporting\EC\2016-12-02-refined-times.txt</v>
      </c>
      <c r="AI84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{"issue":{"subject":"","project_id":79,"tracker_id":40,"status_id":1,"priority_id":2,"assigned_to_id":23,"start_date":"2016-12-02","description":"","custom_fields":[{"id":1,"name":"Subdivision","value":"EC"},{"id":4,"name":"Milepost","value":"0.0152"},{"id":17,"name":"Train ID","value":"172-02"},{"id":16,"name":"Locomotive ID","value":"4021"},{"id":130,"name":"Impact","value":""},{"id":150,"name":"Time of Event (Mountain Time)","value":"14:06:00"},{"id":151,"name":"Denver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563</v>
      </c>
      <c r="B85" s="7">
        <v>4014</v>
      </c>
      <c r="C85" s="22" t="s">
        <v>210</v>
      </c>
      <c r="D85" s="22" t="s">
        <v>194</v>
      </c>
      <c r="E85" s="13">
        <v>42706.525914351849</v>
      </c>
      <c r="F85" s="13">
        <v>42706.531539351854</v>
      </c>
      <c r="G85" s="7">
        <v>2</v>
      </c>
      <c r="H85" s="22" t="s">
        <v>685</v>
      </c>
      <c r="I85" s="13">
        <v>42706.556550925925</v>
      </c>
      <c r="J85" s="7">
        <v>0</v>
      </c>
      <c r="K85" s="109" t="str">
        <f t="shared" si="30"/>
        <v>4013/4014</v>
      </c>
      <c r="L85" s="22" t="str">
        <f>VLOOKUP(A85,'Trips&amp;Operators'!$C$1:$G$99999,5,FALSE)</f>
        <v>STEWART MICHAEL</v>
      </c>
      <c r="M85" s="6">
        <f t="shared" si="31"/>
        <v>2.5011574070958886E-2</v>
      </c>
      <c r="N85" s="7">
        <f t="shared" si="26"/>
        <v>36.016666662180796</v>
      </c>
      <c r="O85" s="7"/>
      <c r="P85" s="7"/>
      <c r="Q85" s="23"/>
      <c r="R85" s="23"/>
      <c r="S85" s="35">
        <f t="shared" si="32"/>
        <v>1</v>
      </c>
      <c r="T85" s="50" t="str">
        <f t="shared" si="3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11:37:19-700',mode:absolute,to:'2016-12-02 14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5" s="52" t="str">
        <f t="shared" si="35"/>
        <v>N</v>
      </c>
      <c r="X85" s="177">
        <f t="shared" si="41"/>
        <v>1</v>
      </c>
      <c r="Y85" s="67">
        <f t="shared" si="27"/>
        <v>4.4699999999999997E-2</v>
      </c>
      <c r="Z85" s="67">
        <f t="shared" si="28"/>
        <v>23.331700000000001</v>
      </c>
      <c r="AA85" s="67">
        <f t="shared" si="36"/>
        <v>23.287000000000003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7"/>
        <v>0173-02</v>
      </c>
      <c r="AE85" s="91" t="str">
        <f t="shared" si="38"/>
        <v>aws s3 cp s3://rtdc.mdm.uploadarchive.raw/RTDC4014/ "%USERPROFILE%\AppData\Local\Temp\OnboardLogs"\RTDC4014\2016-12-02 --exclude "*" --recursive --include "*20161202*" &amp; "%USERPROFILE%\Documents\GitHub\mrs-test-scripts\Headless Mode &amp; Sideloading\WalkAndUnGZ.bat" "%USERPROFILE%\AppData\Local\Temp\OnboardLogs"\RTDC4014\2016-12-02 &amp; 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</v>
      </c>
      <c r="AF85" s="88" t="str">
        <f t="shared" si="39"/>
        <v>"C:\Program Files (x86)\AstroGrep\AstroGrep.exe" /spath="%USERPROFILE%\AppData\Local\Temp\OnboardLogs" /stypes="app*4014*20161202*" /stext=" 20:.+((SYSTEM_STATE.+slice.+state.+changed )|(ment ac)|(multiple cpu faults)|(system.+state.+changed )|(\[timeout)|(PRM\|1\|D)|(kpr)|(kdp)|(\|lc)|(penalty))" /e /r /s</v>
      </c>
      <c r="AG85" s="1" t="str">
        <f t="shared" si="40"/>
        <v>EC</v>
      </c>
      <c r="AH85" s="92" t="str">
        <f t="shared" si="42"/>
        <v>"%USERPROFILE%\Documents\GitHub\eaglep3\Utilities\RefineRTDCRunTimes.py" --tripid 173-02 --locoid 4014 --swversion DE.1.0.8.0 --startMP 204:447 --initTime 2016-12-02T12:37:19 --startdatetime 2016-12-02T12:45:25 --delay 2 --endMP 204:233317 --enddatetime 2016-12-02T13:21:26 --enforcementcount 0 &gt;&gt;C:\Users\stu\Documents\GitHub\eaglep3-reporting\EC\2016-12-02-refined-times.txt</v>
      </c>
      <c r="AI85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{"issue":{"subject":"","project_id":79,"tracker_id":40,"status_id":1,"priority_id":2,"assigned_to_id":23,"start_date":"2016-12-02","description":"","custom_fields":[{"id":1,"name":"Subdivision","value":"EC"},{"id":4,"name":"Milepost","value":"23.3317"},{"id":17,"name":"Train ID","value":"173-02"},{"id":16,"name":"Locomotive ID","value":"4014"},{"id":130,"name":"Impact","value":""},{"id":150,"name":"Time of Event (Mountain Time)","value":"13:21:26"},{"id":151,"name":"Denver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572</v>
      </c>
      <c r="B86" s="7">
        <v>4013</v>
      </c>
      <c r="C86" s="22" t="s">
        <v>210</v>
      </c>
      <c r="D86" s="22" t="s">
        <v>404</v>
      </c>
      <c r="E86" s="13">
        <v>42706.567245370374</v>
      </c>
      <c r="F86" s="13">
        <v>42706.570474537039</v>
      </c>
      <c r="G86" s="7">
        <v>2</v>
      </c>
      <c r="H86" s="22" t="s">
        <v>230</v>
      </c>
      <c r="I86" s="13">
        <v>42706.596608796295</v>
      </c>
      <c r="J86" s="7">
        <v>0</v>
      </c>
      <c r="K86" s="109" t="str">
        <f t="shared" si="30"/>
        <v>4013/4014</v>
      </c>
      <c r="L86" s="22" t="str">
        <f>VLOOKUP(A86,'Trips&amp;Operators'!$C$1:$G$99999,5,FALSE)</f>
        <v>STEWART MICHAEL</v>
      </c>
      <c r="M86" s="6">
        <f t="shared" si="31"/>
        <v>2.6134259256650694E-2</v>
      </c>
      <c r="N86" s="7">
        <f t="shared" si="26"/>
        <v>37.633333329576999</v>
      </c>
      <c r="O86" s="7"/>
      <c r="P86" s="7"/>
      <c r="Q86" s="23"/>
      <c r="R86" s="23"/>
      <c r="S86" s="35">
        <f t="shared" si="32"/>
        <v>1</v>
      </c>
      <c r="T86" s="50" t="str">
        <f t="shared" si="3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12:36:50-700',mode:absolute,to:'2016-12-02 15:19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6" s="52" t="str">
        <f t="shared" si="35"/>
        <v>N</v>
      </c>
      <c r="X86" s="177">
        <f t="shared" si="41"/>
        <v>1</v>
      </c>
      <c r="Y86" s="67">
        <f t="shared" si="27"/>
        <v>23.297599999999999</v>
      </c>
      <c r="Z86" s="67">
        <f t="shared" si="28"/>
        <v>1.54E-2</v>
      </c>
      <c r="AA86" s="67">
        <f t="shared" si="36"/>
        <v>23.2822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7"/>
        <v>0174-02</v>
      </c>
      <c r="AE86" s="91" t="str">
        <f t="shared" si="38"/>
        <v>aws s3 cp s3://rtdc.mdm.uploadarchive.raw/RTDC4013/ "%USERPROFILE%\AppData\Local\Temp\OnboardLogs"\RTDC4013\2016-12-02 --exclude "*" --recursive --include "*20161202*" &amp; "%USERPROFILE%\Documents\GitHub\mrs-test-scripts\Headless Mode &amp; Sideloading\WalkAndUnGZ.bat" "%USERPROFILE%\AppData\Local\Temp\OnboardLogs"\RTDC4013\2016-12-02 &amp; 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</v>
      </c>
      <c r="AF86" s="88" t="str">
        <f t="shared" si="39"/>
        <v>"C:\Program Files (x86)\AstroGrep\AstroGrep.exe" /spath="%USERPROFILE%\AppData\Local\Temp\OnboardLogs" /stypes="app*4013*20161202*" /stext=" 21:.+((SYSTEM_STATE.+slice.+state.+changed )|(ment ac)|(multiple cpu faults)|(system.+state.+changed )|(\[timeout)|(PRM\|1\|D)|(kpr)|(kdp)|(\|lc)|(penalty))" /e /r /s</v>
      </c>
      <c r="AG86" s="1" t="str">
        <f t="shared" si="40"/>
        <v>EC</v>
      </c>
      <c r="AH86" s="92" t="str">
        <f t="shared" si="42"/>
        <v>"%USERPROFILE%\Documents\GitHub\eaglep3\Utilities\RefineRTDCRunTimes.py" --tripid 174-02 --locoid 4013 --swversion DE.1.0.8.0 --startMP 204:232976 --initTime 2016-12-02T13:36:50 --startdatetime 2016-12-02T13:41:29 --delay 2 --endMP 204:154 --enddatetime 2016-12-02T14:19:07 --enforcementcount 0 &gt;&gt;C:\Users\stu\Documents\GitHub\eaglep3-reporting\EC\2016-12-02-refined-times.txt</v>
      </c>
      <c r="AI86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{"issue":{"subject":"","project_id":79,"tracker_id":40,"status_id":1,"priority_id":2,"assigned_to_id":23,"start_date":"2016-12-02","description":"","custom_fields":[{"id":1,"name":"Subdivision","value":"EC"},{"id":4,"name":"Milepost","value":"0.0154"},{"id":17,"name":"Train ID","value":"174-02"},{"id":16,"name":"Locomotive ID","value":"4013"},{"id":130,"name":"Impact","value":""},{"id":150,"name":"Time of Event (Mountain Time)","value":"14:19:07"},{"id":151,"name":"Denver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565</v>
      </c>
      <c r="B87" s="7">
        <v>4011</v>
      </c>
      <c r="C87" s="22" t="s">
        <v>210</v>
      </c>
      <c r="D87" s="22" t="s">
        <v>253</v>
      </c>
      <c r="E87" s="13">
        <v>42706.540416666663</v>
      </c>
      <c r="F87" s="13">
        <v>42706.541967592595</v>
      </c>
      <c r="G87" s="7">
        <v>1</v>
      </c>
      <c r="H87" s="22" t="s">
        <v>395</v>
      </c>
      <c r="I87" s="13">
        <v>42706.568055555559</v>
      </c>
      <c r="J87" s="7">
        <v>0</v>
      </c>
      <c r="K87" s="109" t="str">
        <f t="shared" si="30"/>
        <v>4011/4012</v>
      </c>
      <c r="L87" s="22" t="str">
        <f>VLOOKUP(A87,'Trips&amp;Operators'!$C$1:$G$99999,5,FALSE)</f>
        <v>CLARK KATHLEEN</v>
      </c>
      <c r="M87" s="6">
        <f t="shared" si="31"/>
        <v>2.6087962964083999E-2</v>
      </c>
      <c r="N87" s="7">
        <f t="shared" si="26"/>
        <v>37.566666668280959</v>
      </c>
      <c r="O87" s="7"/>
      <c r="P87" s="7"/>
      <c r="Q87" s="23"/>
      <c r="R87" s="23"/>
      <c r="S87" s="35">
        <f t="shared" si="32"/>
        <v>1</v>
      </c>
      <c r="T87" s="50" t="str">
        <f t="shared" si="3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11:58:12-700',mode:absolute,to:'2016-12-02 14:38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7" s="52" t="str">
        <f t="shared" si="35"/>
        <v>N</v>
      </c>
      <c r="X87" s="177">
        <f t="shared" si="41"/>
        <v>1</v>
      </c>
      <c r="Y87" s="67">
        <f t="shared" si="27"/>
        <v>4.7100000000000003E-2</v>
      </c>
      <c r="Z87" s="67">
        <f t="shared" si="28"/>
        <v>23.328199999999999</v>
      </c>
      <c r="AA87" s="67">
        <f t="shared" si="36"/>
        <v>23.281099999999999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7"/>
        <v>0175-02</v>
      </c>
      <c r="AE87" s="91" t="str">
        <f t="shared" si="38"/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AF87" s="88" t="str">
        <f t="shared" si="39"/>
        <v>"C:\Program Files (x86)\AstroGrep\AstroGrep.exe" /spath="%USERPROFILE%\AppData\Local\Temp\OnboardLogs" /stypes="app*4011*20161202*" /stext=" 20:.+((SYSTEM_STATE.+slice.+state.+changed )|(ment ac)|(multiple cpu faults)|(system.+state.+changed )|(\[timeout)|(PRM\|1\|D)|(kpr)|(kdp)|(\|lc)|(penalty))" /e /r /s</v>
      </c>
      <c r="AG87" s="1" t="str">
        <f t="shared" si="40"/>
        <v>EC</v>
      </c>
      <c r="AH87" s="92" t="str">
        <f t="shared" si="42"/>
        <v>"%USERPROFILE%\Documents\GitHub\eaglep3\Utilities\RefineRTDCRunTimes.py" --tripid 175-02 --locoid 4011 --swversion DE.1.0.8.0 --startMP 204:471 --initTime 2016-12-02T12:58:12 --startdatetime 2016-12-02T13:00:26 --delay 1 --endMP 204:233282 --enddatetime 2016-12-02T13:38:00 --enforcementcount 0 &gt;&gt;C:\Users\stu\Documents\GitHub\eaglep3-reporting\EC\2016-12-02-refined-times.txt</v>
      </c>
      <c r="AI87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{"issue":{"subject":"","project_id":79,"tracker_id":40,"status_id":1,"priority_id":2,"assigned_to_id":23,"start_date":"2016-12-02","description":"","custom_fields":[{"id":1,"name":"Subdivision","value":"EC"},{"id":4,"name":"Milepost","value":"23.3282"},{"id":17,"name":"Train ID","value":"175-02"},{"id":16,"name":"Locomotive ID","value":"4011"},{"id":130,"name":"Impact","value":""},{"id":150,"name":"Time of Event (Mountain Time)","value":"13:38:00"},{"id":151,"name":"Denver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573</v>
      </c>
      <c r="B88" s="7">
        <v>4012</v>
      </c>
      <c r="C88" s="22" t="s">
        <v>210</v>
      </c>
      <c r="D88" s="22" t="s">
        <v>236</v>
      </c>
      <c r="E88" s="13">
        <v>42706.575775462959</v>
      </c>
      <c r="F88" s="13">
        <v>42706.580740740741</v>
      </c>
      <c r="G88" s="7">
        <v>0</v>
      </c>
      <c r="H88" s="22" t="s">
        <v>690</v>
      </c>
      <c r="I88" s="13">
        <v>42706.608923611115</v>
      </c>
      <c r="J88" s="7">
        <v>0</v>
      </c>
      <c r="K88" s="109" t="str">
        <f t="shared" si="30"/>
        <v>4011/4012</v>
      </c>
      <c r="L88" s="22" t="str">
        <f>VLOOKUP(A88,'Trips&amp;Operators'!$C$1:$G$99999,5,FALSE)</f>
        <v>CLARK KATHLEEN</v>
      </c>
      <c r="M88" s="6">
        <f t="shared" si="31"/>
        <v>2.8182870373711921E-2</v>
      </c>
      <c r="N88" s="7">
        <f t="shared" si="26"/>
        <v>40.583333338145167</v>
      </c>
      <c r="O88" s="7"/>
      <c r="P88" s="7"/>
      <c r="Q88" s="23"/>
      <c r="R88" s="23"/>
      <c r="S88" s="35">
        <f t="shared" si="32"/>
        <v>1</v>
      </c>
      <c r="T88" s="50" t="str">
        <f t="shared" si="3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12:49:07-700',mode:absolute,to:'2016-12-02 15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8" s="52" t="str">
        <f t="shared" si="35"/>
        <v>N</v>
      </c>
      <c r="X88" s="177">
        <f t="shared" si="41"/>
        <v>1</v>
      </c>
      <c r="Y88" s="67">
        <f t="shared" si="27"/>
        <v>23.297499999999999</v>
      </c>
      <c r="Z88" s="67">
        <f t="shared" si="28"/>
        <v>1.72E-2</v>
      </c>
      <c r="AA88" s="67">
        <f t="shared" si="36"/>
        <v>23.2803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7"/>
        <v>0176-02</v>
      </c>
      <c r="AE88" s="91" t="str">
        <f t="shared" si="38"/>
        <v>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 &amp; 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</v>
      </c>
      <c r="AF88" s="88" t="str">
        <f t="shared" si="39"/>
        <v>"C:\Program Files (x86)\AstroGrep\AstroGrep.exe" /spath="%USERPROFILE%\AppData\Local\Temp\OnboardLogs" /stypes="app*4012*20161202*" /stext=" 21:.+((SYSTEM_STATE.+slice.+state.+changed )|(ment ac)|(multiple cpu faults)|(system.+state.+changed )|(\[timeout)|(PRM\|1\|D)|(kpr)|(kdp)|(\|lc)|(penalty))" /e /r /s</v>
      </c>
      <c r="AG88" s="1" t="str">
        <f t="shared" si="40"/>
        <v>EC</v>
      </c>
      <c r="AH88" s="92" t="str">
        <f t="shared" si="42"/>
        <v>"%USERPROFILE%\Documents\GitHub\eaglep3\Utilities\RefineRTDCRunTimes.py" --tripid 176-02 --locoid 4012 --swversion DE.1.0.8.0 --startMP 204:232975 --initTime 2016-12-02T13:49:07 --startdatetime 2016-12-02T13:56:16 --delay 0 --endMP 204:172 --enddatetime 2016-12-02T14:36:51 --enforcementcount 0 &gt;&gt;C:\Users\stu\Documents\GitHub\eaglep3-reporting\EC\2016-12-02-refined-times.txt</v>
      </c>
      <c r="AI88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{"issue":{"subject":"","project_id":79,"tracker_id":40,"status_id":1,"priority_id":2,"assigned_to_id":23,"start_date":"2016-12-02","description":"","custom_fields":[{"id":1,"name":"Subdivision","value":"EC"},{"id":4,"name":"Milepost","value":"0.0172"},{"id":17,"name":"Train ID","value":"176-02"},{"id":16,"name":"Locomotive ID","value":"4012"},{"id":130,"name":"Impact","value":""},{"id":150,"name":"Time of Event (Mountain Time)","value":"14:36:51"},{"id":151,"name":"Denver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566</v>
      </c>
      <c r="B89" s="7">
        <v>4002</v>
      </c>
      <c r="C89" s="22" t="s">
        <v>210</v>
      </c>
      <c r="D89" s="22" t="s">
        <v>245</v>
      </c>
      <c r="E89" s="13">
        <v>42706.547233796293</v>
      </c>
      <c r="F89" s="13">
        <v>42706.552256944444</v>
      </c>
      <c r="G89" s="7">
        <v>0</v>
      </c>
      <c r="H89" s="22" t="s">
        <v>405</v>
      </c>
      <c r="I89" s="13">
        <v>42706.577962962961</v>
      </c>
      <c r="J89" s="7">
        <v>0</v>
      </c>
      <c r="K89" s="109" t="str">
        <f t="shared" si="30"/>
        <v>4001/4002</v>
      </c>
      <c r="L89" s="22" t="str">
        <f>VLOOKUP(A89,'Trips&amp;Operators'!$C$1:$G$99999,5,FALSE)</f>
        <v>BONDS REYNALDO</v>
      </c>
      <c r="M89" s="6">
        <f t="shared" si="31"/>
        <v>2.5706018517666962E-2</v>
      </c>
      <c r="N89" s="7">
        <f t="shared" si="26"/>
        <v>37.016666665440425</v>
      </c>
      <c r="O89" s="7"/>
      <c r="P89" s="7"/>
      <c r="Q89" s="23"/>
      <c r="R89" s="23"/>
      <c r="S89" s="35">
        <f t="shared" si="32"/>
        <v>1</v>
      </c>
      <c r="T89" s="50" t="str">
        <f t="shared" si="3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12:08:01-700',mode:absolute,to:'2016-12-02 14:52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9" s="52" t="str">
        <f t="shared" si="35"/>
        <v>N</v>
      </c>
      <c r="X89" s="177">
        <f t="shared" si="41"/>
        <v>1</v>
      </c>
      <c r="Y89" s="67">
        <f t="shared" si="27"/>
        <v>4.5499999999999999E-2</v>
      </c>
      <c r="Z89" s="67">
        <f t="shared" si="28"/>
        <v>23.332699999999999</v>
      </c>
      <c r="AA89" s="67">
        <f t="shared" si="36"/>
        <v>23.287199999999999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7"/>
        <v>0177-02</v>
      </c>
      <c r="AE89" s="91" t="str">
        <f t="shared" si="38"/>
        <v>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 &amp; 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</v>
      </c>
      <c r="AF89" s="88" t="str">
        <f t="shared" si="39"/>
        <v>"C:\Program Files (x86)\AstroGrep\AstroGrep.exe" /spath="%USERPROFILE%\AppData\Local\Temp\OnboardLogs" /stypes="app*4002*20161202*" /stext=" 20:.+((SYSTEM_STATE.+slice.+state.+changed )|(ment ac)|(multiple cpu faults)|(system.+state.+changed )|(\[timeout)|(PRM\|1\|D)|(kpr)|(kdp)|(\|lc)|(penalty))" /e /r /s</v>
      </c>
      <c r="AG89" s="1" t="str">
        <f t="shared" si="40"/>
        <v>EC</v>
      </c>
      <c r="AH89" s="92" t="str">
        <f t="shared" si="42"/>
        <v>"%USERPROFILE%\Documents\GitHub\eaglep3\Utilities\RefineRTDCRunTimes.py" --tripid 177-02 --locoid 4002 --swversion DE.1.0.8.0 --startMP 204:455 --initTime 2016-12-02T13:08:01 --startdatetime 2016-12-02T13:15:15 --delay 0 --endMP 204:233327 --enddatetime 2016-12-02T13:52:16 --enforcementcount 0 &gt;&gt;C:\Users\stu\Documents\GitHub\eaglep3-reporting\EC\2016-12-02-refined-times.txt</v>
      </c>
      <c r="AI89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{"issue":{"subject":"","project_id":79,"tracker_id":40,"status_id":1,"priority_id":2,"assigned_to_id":23,"start_date":"2016-12-02","description":"","custom_fields":[{"id":1,"name":"Subdivision","value":"EC"},{"id":4,"name":"Milepost","value":"23.3327"},{"id":17,"name":"Train ID","value":"177-02"},{"id":16,"name":"Locomotive ID","value":"4002"},{"id":130,"name":"Impact","value":""},{"id":150,"name":"Time of Event (Mountain Time)","value":"13:52:16"},{"id":151,"name":"Denver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450</v>
      </c>
      <c r="B90" s="7">
        <v>4001</v>
      </c>
      <c r="C90" s="22" t="s">
        <v>210</v>
      </c>
      <c r="D90" s="22" t="s">
        <v>305</v>
      </c>
      <c r="E90" s="13">
        <v>42706.58017361111</v>
      </c>
      <c r="F90" s="13">
        <v>42706.591134259259</v>
      </c>
      <c r="G90" s="7">
        <v>1</v>
      </c>
      <c r="H90" s="22" t="s">
        <v>707</v>
      </c>
      <c r="I90" s="13">
        <v>42706.617650462962</v>
      </c>
      <c r="J90" s="7">
        <v>0</v>
      </c>
      <c r="K90" s="109" t="str">
        <f t="shared" si="30"/>
        <v>4001/4002</v>
      </c>
      <c r="L90" s="22" t="str">
        <f>VLOOKUP(A90,'Trips&amp;Operators'!$C$1:$G$99999,5,FALSE)</f>
        <v>BONDS REYNALDO</v>
      </c>
      <c r="M90" s="6">
        <f t="shared" si="31"/>
        <v>2.6516203703067731E-2</v>
      </c>
      <c r="N90" s="7">
        <f t="shared" si="26"/>
        <v>38.183333332417533</v>
      </c>
      <c r="O90" s="7"/>
      <c r="P90" s="7"/>
      <c r="Q90" s="23"/>
      <c r="R90" s="23"/>
      <c r="S90" s="35">
        <f t="shared" si="32"/>
        <v>1</v>
      </c>
      <c r="T90" s="50" t="str">
        <f t="shared" si="3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12:55:27-700',mode:absolute,to:'2016-12-02 15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0" s="52" t="str">
        <f t="shared" si="35"/>
        <v>N</v>
      </c>
      <c r="X90" s="177">
        <f t="shared" si="41"/>
        <v>1</v>
      </c>
      <c r="Y90" s="67">
        <f t="shared" si="27"/>
        <v>23.301300000000001</v>
      </c>
      <c r="Z90" s="67">
        <f t="shared" si="28"/>
        <v>2.0899999999999998E-2</v>
      </c>
      <c r="AA90" s="67">
        <f t="shared" si="36"/>
        <v>23.2804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7"/>
        <v>0178-02</v>
      </c>
      <c r="AE90" s="91" t="str">
        <f t="shared" si="38"/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AF90" s="88" t="str">
        <f t="shared" si="39"/>
        <v>"C:\Program Files (x86)\AstroGrep\AstroGrep.exe" /spath="%USERPROFILE%\AppData\Local\Temp\OnboardLogs" /stypes="app*4001*20161202*" /stext=" 21:.+((SYSTEM_STATE.+slice.+state.+changed )|(ment ac)|(multiple cpu faults)|(system.+state.+changed )|(\[timeout)|(PRM\|1\|D)|(kpr)|(kdp)|(\|lc)|(penalty))" /e /r /s</v>
      </c>
      <c r="AG90" s="1" t="str">
        <f t="shared" si="40"/>
        <v>EC</v>
      </c>
      <c r="AH90" s="92" t="str">
        <f t="shared" si="42"/>
        <v>"%USERPROFILE%\Documents\GitHub\eaglep3\Utilities\RefineRTDCRunTimes.py" --tripid 178-02 --locoid 4001 --swversion DE.1.0.8.0 --startMP 204:233013 --initTime 2016-12-02T13:55:27 --startdatetime 2016-12-02T14:11:14 --delay 1 --endMP 204:209 --enddatetime 2016-12-02T14:49:25 --enforcementcount 0 &gt;&gt;C:\Users\stu\Documents\GitHub\eaglep3-reporting\EC\2016-12-02-refined-times.txt</v>
      </c>
      <c r="AI90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{"issue":{"subject":"","project_id":79,"tracker_id":40,"status_id":1,"priority_id":2,"assigned_to_id":23,"start_date":"2016-12-02","description":"","custom_fields":[{"id":1,"name":"Subdivision","value":"EC"},{"id":4,"name":"Milepost","value":"0.0209"},{"id":17,"name":"Train ID","value":"178-02"},{"id":16,"name":"Locomotive ID","value":"4001"},{"id":130,"name":"Impact","value":""},{"id":150,"name":"Time of Event (Mountain Time)","value":"14:49:25"},{"id":151,"name":"Denver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570</v>
      </c>
      <c r="B91" s="7">
        <v>4003</v>
      </c>
      <c r="C91" s="22" t="s">
        <v>210</v>
      </c>
      <c r="D91" s="22" t="s">
        <v>207</v>
      </c>
      <c r="E91" s="13">
        <v>42706.559814814813</v>
      </c>
      <c r="F91" s="13">
        <v>42706.562928240739</v>
      </c>
      <c r="G91" s="7">
        <v>1</v>
      </c>
      <c r="H91" s="22" t="s">
        <v>708</v>
      </c>
      <c r="I91" s="13">
        <v>42706.588564814818</v>
      </c>
      <c r="J91" s="7">
        <v>0</v>
      </c>
      <c r="K91" s="109" t="str">
        <f t="shared" si="30"/>
        <v>4003/4004</v>
      </c>
      <c r="L91" s="22" t="str">
        <f>VLOOKUP(A91,'Trips&amp;Operators'!$C$1:$G$99999,5,FALSE)</f>
        <v>MOSES BRADLEY</v>
      </c>
      <c r="M91" s="6">
        <f t="shared" si="31"/>
        <v>2.5636574078816921E-2</v>
      </c>
      <c r="N91" s="7">
        <f t="shared" si="26"/>
        <v>36.916666673496366</v>
      </c>
      <c r="O91" s="7"/>
      <c r="P91" s="7"/>
      <c r="Q91" s="23"/>
      <c r="R91" s="23"/>
      <c r="S91" s="35">
        <f t="shared" si="32"/>
        <v>1</v>
      </c>
      <c r="T91" s="50" t="str">
        <f t="shared" si="3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12:26:08-700',mode:absolute,to:'2016-12-02 15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1" s="52" t="str">
        <f t="shared" si="35"/>
        <v>N</v>
      </c>
      <c r="X91" s="177">
        <f t="shared" si="41"/>
        <v>1</v>
      </c>
      <c r="Y91" s="67">
        <f t="shared" si="27"/>
        <v>4.6199999999999998E-2</v>
      </c>
      <c r="Z91" s="67">
        <f t="shared" si="28"/>
        <v>23.332599999999999</v>
      </c>
      <c r="AA91" s="67">
        <f t="shared" si="36"/>
        <v>23.2864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7"/>
        <v>0179-02</v>
      </c>
      <c r="AE91" s="91" t="str">
        <f t="shared" si="38"/>
        <v>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 &amp; 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</v>
      </c>
      <c r="AF91" s="88" t="str">
        <f t="shared" si="39"/>
        <v>"C:\Program Files (x86)\AstroGrep\AstroGrep.exe" /spath="%USERPROFILE%\AppData\Local\Temp\OnboardLogs" /stypes="app*4003*20161202*" /stext=" 21:.+((SYSTEM_STATE.+slice.+state.+changed )|(ment ac)|(multiple cpu faults)|(system.+state.+changed )|(\[timeout)|(PRM\|1\|D)|(kpr)|(kdp)|(\|lc)|(penalty))" /e /r /s</v>
      </c>
      <c r="AG91" s="1" t="str">
        <f t="shared" si="40"/>
        <v>EC</v>
      </c>
      <c r="AH91" s="92" t="str">
        <f t="shared" si="42"/>
        <v>"%USERPROFILE%\Documents\GitHub\eaglep3\Utilities\RefineRTDCRunTimes.py" --tripid 179-02 --locoid 4003 --swversion DE.1.0.8.0 --startMP 204:462 --initTime 2016-12-02T13:26:08 --startdatetime 2016-12-02T13:30:37 --delay 1 --endMP 204:233326 --enddatetime 2016-12-02T14:07:32 --enforcementcount 0 &gt;&gt;C:\Users\stu\Documents\GitHub\eaglep3-reporting\EC\2016-12-02-refined-times.txt</v>
      </c>
      <c r="AI91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{"issue":{"subject":"","project_id":79,"tracker_id":40,"status_id":1,"priority_id":2,"assigned_to_id":23,"start_date":"2016-12-02","description":"","custom_fields":[{"id":1,"name":"Subdivision","value":"EC"},{"id":4,"name":"Milepost","value":"23.3326"},{"id":17,"name":"Train ID","value":"179-02"},{"id":16,"name":"Locomotive ID","value":"4003"},{"id":130,"name":"Impact","value":""},{"id":150,"name":"Time of Event (Mountain Time)","value":"14:07:32"},{"id":151,"name":"Denver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576</v>
      </c>
      <c r="B92" s="7">
        <v>4004</v>
      </c>
      <c r="C92" s="22" t="s">
        <v>210</v>
      </c>
      <c r="D92" s="22" t="s">
        <v>322</v>
      </c>
      <c r="E92" s="13">
        <v>42706.598275462966</v>
      </c>
      <c r="F92" s="13">
        <v>42706.601689814815</v>
      </c>
      <c r="G92" s="7">
        <v>2</v>
      </c>
      <c r="H92" s="22" t="s">
        <v>233</v>
      </c>
      <c r="I92" s="13">
        <v>42706.628229166665</v>
      </c>
      <c r="J92" s="7">
        <v>0</v>
      </c>
      <c r="K92" s="109" t="str">
        <f t="shared" si="30"/>
        <v>4003/4004</v>
      </c>
      <c r="L92" s="22" t="str">
        <f>VLOOKUP(A92,'Trips&amp;Operators'!$C$1:$G$99999,5,FALSE)</f>
        <v>MOSES BRADLEY</v>
      </c>
      <c r="M92" s="6">
        <f t="shared" si="31"/>
        <v>2.6539351849351078E-2</v>
      </c>
      <c r="N92" s="7">
        <f t="shared" si="26"/>
        <v>38.216666663065553</v>
      </c>
      <c r="O92" s="7"/>
      <c r="P92" s="7"/>
      <c r="Q92" s="23"/>
      <c r="R92" s="23"/>
      <c r="S92" s="35">
        <f t="shared" si="32"/>
        <v>1</v>
      </c>
      <c r="T92" s="50" t="str">
        <f t="shared" si="3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13:21:31-700',mode:absolute,to:'2016-12-02 16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2" s="52" t="str">
        <f t="shared" si="35"/>
        <v>N</v>
      </c>
      <c r="X92" s="177">
        <f t="shared" si="41"/>
        <v>1</v>
      </c>
      <c r="Y92" s="67">
        <f t="shared" si="27"/>
        <v>23.3005</v>
      </c>
      <c r="Z92" s="67">
        <f t="shared" si="28"/>
        <v>1.41E-2</v>
      </c>
      <c r="AA92" s="67">
        <f t="shared" si="36"/>
        <v>23.2864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7"/>
        <v>0180-02</v>
      </c>
      <c r="AE92" s="91" t="str">
        <f t="shared" si="38"/>
        <v>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 &amp; 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</v>
      </c>
      <c r="AF92" s="88" t="str">
        <f t="shared" si="39"/>
        <v>"C:\Program Files (x86)\AstroGrep\AstroGrep.exe" /spath="%USERPROFILE%\AppData\Local\Temp\OnboardLogs" /stypes="app*4004*20161202*" /stext=" 22:.+((SYSTEM_STATE.+slice.+state.+changed )|(ment ac)|(multiple cpu faults)|(system.+state.+changed )|(\[timeout)|(PRM\|1\|D)|(kpr)|(kdp)|(\|lc)|(penalty))" /e /r /s</v>
      </c>
      <c r="AG92" s="1" t="str">
        <f t="shared" si="40"/>
        <v>EC</v>
      </c>
      <c r="AH92" s="92" t="str">
        <f t="shared" si="42"/>
        <v>"%USERPROFILE%\Documents\GitHub\eaglep3\Utilities\RefineRTDCRunTimes.py" --tripid 180-02 --locoid 4004 --swversion DE.1.0.8.0 --startMP 204:233005 --initTime 2016-12-02T14:21:31 --startdatetime 2016-12-02T14:26:26 --delay 2 --endMP 204:141 --enddatetime 2016-12-02T15:04:39 --enforcementcount 0 &gt;&gt;C:\Users\stu\Documents\GitHub\eaglep3-reporting\EC\2016-12-02-refined-times.txt</v>
      </c>
      <c r="AI92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{"issue":{"subject":"","project_id":79,"tracker_id":40,"status_id":1,"priority_id":2,"assigned_to_id":23,"start_date":"2016-12-02","description":"","custom_fields":[{"id":1,"name":"Subdivision","value":"EC"},{"id":4,"name":"Milepost","value":"0.0141"},{"id":17,"name":"Train ID","value":"180-02"},{"id":16,"name":"Locomotive ID","value":"4004"},{"id":130,"name":"Impact","value":""},{"id":150,"name":"Time of Event (Mountain Time)","value":"15:04:39"},{"id":151,"name":"Denver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448</v>
      </c>
      <c r="B93" s="7">
        <v>4044</v>
      </c>
      <c r="C93" s="22" t="s">
        <v>210</v>
      </c>
      <c r="D93" s="22" t="s">
        <v>394</v>
      </c>
      <c r="E93" s="13">
        <v>42706.568888888891</v>
      </c>
      <c r="F93" s="13">
        <v>42706.573159722226</v>
      </c>
      <c r="G93" s="7">
        <v>1</v>
      </c>
      <c r="H93" s="22" t="s">
        <v>269</v>
      </c>
      <c r="I93" s="13">
        <v>42706.59716435185</v>
      </c>
      <c r="J93" s="7">
        <v>0</v>
      </c>
      <c r="K93" s="109" t="str">
        <f t="shared" si="30"/>
        <v>4043/4044</v>
      </c>
      <c r="L93" s="22" t="str">
        <f>VLOOKUP(A93,'Trips&amp;Operators'!$C$1:$G$99999,5,FALSE)</f>
        <v>ADANE ELSHADAY</v>
      </c>
      <c r="M93" s="6">
        <f t="shared" si="31"/>
        <v>2.4004629623959772E-2</v>
      </c>
      <c r="N93" s="7">
        <f t="shared" si="26"/>
        <v>34.566666658502072</v>
      </c>
      <c r="O93" s="7"/>
      <c r="P93" s="7"/>
      <c r="Q93" s="23"/>
      <c r="R93" s="23"/>
      <c r="S93" s="35">
        <f t="shared" si="32"/>
        <v>1</v>
      </c>
      <c r="T93" s="50" t="str">
        <f t="shared" si="3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12:39:12-700',mode:absolute,to:'2016-12-02 15:19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3" s="52" t="str">
        <f t="shared" si="35"/>
        <v>N</v>
      </c>
      <c r="X93" s="177">
        <f t="shared" si="41"/>
        <v>1</v>
      </c>
      <c r="Y93" s="67">
        <f t="shared" si="27"/>
        <v>4.6899999999999997E-2</v>
      </c>
      <c r="Z93" s="67">
        <f t="shared" si="28"/>
        <v>23.329799999999999</v>
      </c>
      <c r="AA93" s="67">
        <f t="shared" si="36"/>
        <v>23.282899999999998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7"/>
        <v>0181-02</v>
      </c>
      <c r="AE93" s="91" t="str">
        <f t="shared" si="38"/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93" s="88" t="str">
        <f t="shared" si="39"/>
        <v>"C:\Program Files (x86)\AstroGrep\AstroGrep.exe" /spath="%USERPROFILE%\AppData\Local\Temp\OnboardLogs" /stypes="app*4044*20161202*" /stext=" 21:.+((SYSTEM_STATE.+slice.+state.+changed )|(ment ac)|(multiple cpu faults)|(system.+state.+changed )|(\[timeout)|(PRM\|1\|D)|(kpr)|(kdp)|(\|lc)|(penalty))" /e /r /s</v>
      </c>
      <c r="AG93" s="1" t="str">
        <f t="shared" si="40"/>
        <v>EC</v>
      </c>
      <c r="AH93" s="92" t="str">
        <f t="shared" si="42"/>
        <v>"%USERPROFILE%\Documents\GitHub\eaglep3\Utilities\RefineRTDCRunTimes.py" --tripid 181-02 --locoid 4044 --swversion DE.1.0.8.0 --startMP 204:469 --initTime 2016-12-02T13:39:12 --startdatetime 2016-12-02T13:45:21 --delay 1 --endMP 204:233298 --enddatetime 2016-12-02T14:19:55 --enforcementcount 0 &gt;&gt;C:\Users\stu\Documents\GitHub\eaglep3-reporting\EC\2016-12-02-refined-times.txt</v>
      </c>
      <c r="AI93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{"issue":{"subject":"","project_id":79,"tracker_id":40,"status_id":1,"priority_id":2,"assigned_to_id":23,"start_date":"2016-12-02","description":"","custom_fields":[{"id":1,"name":"Subdivision","value":"EC"},{"id":4,"name":"Milepost","value":"23.3298"},{"id":17,"name":"Train ID","value":"181-02"},{"id":16,"name":"Locomotive ID","value":"4044"},{"id":130,"name":"Impact","value":""},{"id":150,"name":"Time of Event (Mountain Time)","value":"14:19:55"},{"id":151,"name":"Denver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578</v>
      </c>
      <c r="B94" s="7">
        <v>4043</v>
      </c>
      <c r="C94" s="22" t="s">
        <v>210</v>
      </c>
      <c r="D94" s="22" t="s">
        <v>332</v>
      </c>
      <c r="E94" s="13">
        <v>42706.600312499999</v>
      </c>
      <c r="F94" s="13">
        <v>42706.612488425926</v>
      </c>
      <c r="G94" s="7">
        <v>1</v>
      </c>
      <c r="H94" s="22" t="s">
        <v>251</v>
      </c>
      <c r="I94" s="13">
        <v>42706.63795138889</v>
      </c>
      <c r="J94" s="7">
        <v>0</v>
      </c>
      <c r="K94" s="109" t="str">
        <f t="shared" si="30"/>
        <v>4043/4044</v>
      </c>
      <c r="L94" s="22" t="str">
        <f>VLOOKUP(A94,'Trips&amp;Operators'!$C$1:$G$99999,5,FALSE)</f>
        <v>ADANE ELSHADAY</v>
      </c>
      <c r="M94" s="6">
        <f t="shared" si="31"/>
        <v>2.5462962963501923E-2</v>
      </c>
      <c r="N94" s="7">
        <f t="shared" si="26"/>
        <v>36.666666667442769</v>
      </c>
      <c r="O94" s="7"/>
      <c r="P94" s="7"/>
      <c r="Q94" s="23"/>
      <c r="R94" s="23"/>
      <c r="S94" s="35">
        <f t="shared" si="32"/>
        <v>1</v>
      </c>
      <c r="T94" s="50" t="str">
        <f t="shared" si="3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13:24:27-700',mode:absolute,to:'2016-12-02 16:18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4" s="52" t="str">
        <f t="shared" si="35"/>
        <v>N</v>
      </c>
      <c r="X94" s="177">
        <f t="shared" si="41"/>
        <v>1</v>
      </c>
      <c r="Y94" s="67">
        <f t="shared" si="27"/>
        <v>23.2987</v>
      </c>
      <c r="Z94" s="67">
        <f t="shared" si="28"/>
        <v>1.3899999999999999E-2</v>
      </c>
      <c r="AA94" s="67">
        <f t="shared" si="36"/>
        <v>23.284800000000001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7"/>
        <v>0182-02</v>
      </c>
      <c r="AE94" s="91" t="str">
        <f t="shared" si="38"/>
        <v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v>
      </c>
      <c r="AF94" s="88" t="str">
        <f t="shared" si="39"/>
        <v>"C:\Program Files (x86)\AstroGrep\AstroGrep.exe" /spath="%USERPROFILE%\AppData\Local\Temp\OnboardLogs" /stypes="app*4043*20161202*" /stext=" 22:.+((SYSTEM_STATE.+slice.+state.+changed )|(ment ac)|(multiple cpu faults)|(system.+state.+changed )|(\[timeout)|(PRM\|1\|D)|(kpr)|(kdp)|(\|lc)|(penalty))" /e /r /s</v>
      </c>
      <c r="AG94" s="1" t="str">
        <f t="shared" si="40"/>
        <v>EC</v>
      </c>
      <c r="AH94" s="92" t="str">
        <f t="shared" si="42"/>
        <v>"%USERPROFILE%\Documents\GitHub\eaglep3\Utilities\RefineRTDCRunTimes.py" --tripid 182-02 --locoid 4043 --swversion DE.1.0.8.0 --startMP 204:232987 --initTime 2016-12-02T14:24:27 --startdatetime 2016-12-02T14:41:59 --delay 1 --endMP 204:139 --enddatetime 2016-12-02T15:18:39 --enforcementcount 0 &gt;&gt;C:\Users\stu\Documents\GitHub\eaglep3-reporting\EC\2016-12-02-refined-times.txt</v>
      </c>
      <c r="AI94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{"issue":{"subject":"","project_id":79,"tracker_id":40,"status_id":1,"priority_id":2,"assigned_to_id":23,"start_date":"2016-12-02","description":"","custom_fields":[{"id":1,"name":"Subdivision","value":"EC"},{"id":4,"name":"Milepost","value":"0.0139"},{"id":17,"name":"Train ID","value":"182-02"},{"id":16,"name":"Locomotive ID","value":"4043"},{"id":130,"name":"Impact","value":""},{"id":150,"name":"Time of Event (Mountain Time)","value":"15:18:39"},{"id":151,"name":"Denver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574</v>
      </c>
      <c r="B95" s="7">
        <v>4042</v>
      </c>
      <c r="C95" s="22" t="s">
        <v>210</v>
      </c>
      <c r="D95" s="22" t="s">
        <v>194</v>
      </c>
      <c r="E95" s="13">
        <v>42706.578726851854</v>
      </c>
      <c r="F95" s="13">
        <v>42706.58353009259</v>
      </c>
      <c r="G95" s="7">
        <v>1</v>
      </c>
      <c r="H95" s="22" t="s">
        <v>709</v>
      </c>
      <c r="I95" s="13">
        <v>42706.609016203707</v>
      </c>
      <c r="J95" s="7">
        <v>0</v>
      </c>
      <c r="K95" s="109" t="str">
        <f t="shared" si="30"/>
        <v>4041/4042</v>
      </c>
      <c r="L95" s="22" t="str">
        <f>VLOOKUP(A95,'Trips&amp;Operators'!$C$1:$G$99999,5,FALSE)</f>
        <v>SHOOK JOHN</v>
      </c>
      <c r="M95" s="6">
        <f t="shared" si="31"/>
        <v>2.5486111117061228E-2</v>
      </c>
      <c r="N95" s="7">
        <f t="shared" si="26"/>
        <v>36.700000008568168</v>
      </c>
      <c r="O95" s="7"/>
      <c r="P95" s="7"/>
      <c r="Q95" s="23"/>
      <c r="R95" s="23"/>
      <c r="S95" s="35">
        <f t="shared" si="32"/>
        <v>1</v>
      </c>
      <c r="T95" s="50" t="str">
        <f t="shared" si="3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12:53:22-700',mode:absolute,to:'2016-12-02 15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5" s="52" t="str">
        <f t="shared" si="35"/>
        <v>N</v>
      </c>
      <c r="X95" s="177">
        <f t="shared" si="41"/>
        <v>1</v>
      </c>
      <c r="Y95" s="67">
        <f t="shared" si="27"/>
        <v>4.4699999999999997E-2</v>
      </c>
      <c r="Z95" s="67">
        <f t="shared" si="28"/>
        <v>23.336200000000002</v>
      </c>
      <c r="AA95" s="67">
        <f t="shared" si="36"/>
        <v>23.291500000000003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7"/>
        <v>0183-02</v>
      </c>
      <c r="AE95" s="91" t="str">
        <f t="shared" si="38"/>
        <v>aws s3 cp s3://rtdc.mdm.uploadarchive.raw/RTDC4042/ "%USERPROFILE%\AppData\Local\Temp\OnboardLogs"\RTDC4042\2016-12-02 --exclude "*" --recursive --include "*20161202*" &amp; "%USERPROFILE%\Documents\GitHub\mrs-test-scripts\Headless Mode &amp; Sideloading\WalkAndUnGZ.bat" "%USERPROFILE%\AppData\Local\Temp\OnboardLogs"\RTDC4042\2016-12-02 &amp; 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</v>
      </c>
      <c r="AF95" s="88" t="str">
        <f t="shared" si="39"/>
        <v>"C:\Program Files (x86)\AstroGrep\AstroGrep.exe" /spath="%USERPROFILE%\AppData\Local\Temp\OnboardLogs" /stypes="app*4042*20161202*" /stext=" 21:.+((SYSTEM_STATE.+slice.+state.+changed )|(ment ac)|(multiple cpu faults)|(system.+state.+changed )|(\[timeout)|(PRM\|1\|D)|(kpr)|(kdp)|(\|lc)|(penalty))" /e /r /s</v>
      </c>
      <c r="AG95" s="1" t="str">
        <f t="shared" si="40"/>
        <v>EC</v>
      </c>
      <c r="AH95" s="92" t="str">
        <f t="shared" si="42"/>
        <v>"%USERPROFILE%\Documents\GitHub\eaglep3\Utilities\RefineRTDCRunTimes.py" --tripid 183-02 --locoid 4042 --swversion DE.1.0.8.0 --startMP 204:447 --initTime 2016-12-02T13:53:22 --startdatetime 2016-12-02T14:00:17 --delay 1 --endMP 204:233362 --enddatetime 2016-12-02T14:36:59 --enforcementcount 0 &gt;&gt;C:\Users\stu\Documents\GitHub\eaglep3-reporting\EC\2016-12-02-refined-times.txt</v>
      </c>
      <c r="AI95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{"issue":{"subject":"","project_id":79,"tracker_id":40,"status_id":1,"priority_id":2,"assigned_to_id":23,"start_date":"2016-12-02","description":"","custom_fields":[{"id":1,"name":"Subdivision","value":"EC"},{"id":4,"name":"Milepost","value":"23.3362"},{"id":17,"name":"Train ID","value":"183-02"},{"id":16,"name":"Locomotive ID","value":"4042"},{"id":130,"name":"Impact","value":""},{"id":150,"name":"Time of Event (Mountain Time)","value":"14:36:59"},{"id":151,"name":"Denver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582</v>
      </c>
      <c r="B96" s="7">
        <v>4041</v>
      </c>
      <c r="C96" s="22" t="s">
        <v>210</v>
      </c>
      <c r="D96" s="22" t="s">
        <v>710</v>
      </c>
      <c r="E96" s="13">
        <v>42706.619097222225</v>
      </c>
      <c r="F96" s="13">
        <v>42706.622476851851</v>
      </c>
      <c r="G96" s="7">
        <v>1</v>
      </c>
      <c r="H96" s="22" t="s">
        <v>413</v>
      </c>
      <c r="I96" s="13">
        <v>42706.649872685186</v>
      </c>
      <c r="J96" s="7">
        <v>0</v>
      </c>
      <c r="K96" s="109" t="str">
        <f t="shared" si="30"/>
        <v>4041/4042</v>
      </c>
      <c r="L96" s="22" t="str">
        <f>VLOOKUP(A96,'Trips&amp;Operators'!$C$1:$G$99999,5,FALSE)</f>
        <v>SHOOK JOHN</v>
      </c>
      <c r="M96" s="6">
        <f t="shared" si="31"/>
        <v>2.7395833334594499E-2</v>
      </c>
      <c r="N96" s="7">
        <f t="shared" si="26"/>
        <v>39.450000001816079</v>
      </c>
      <c r="O96" s="7"/>
      <c r="P96" s="7"/>
      <c r="Q96" s="23"/>
      <c r="R96" s="23"/>
      <c r="S96" s="35">
        <f t="shared" si="32"/>
        <v>1</v>
      </c>
      <c r="T96" s="50" t="str">
        <f t="shared" si="3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13:51:30-700',mode:absolute,to:'2016-12-02 16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6" s="52" t="str">
        <f t="shared" si="35"/>
        <v>N</v>
      </c>
      <c r="X96" s="177">
        <f t="shared" si="41"/>
        <v>1</v>
      </c>
      <c r="Y96" s="67">
        <f t="shared" si="27"/>
        <v>23.305499999999999</v>
      </c>
      <c r="Z96" s="67">
        <f t="shared" si="28"/>
        <v>0.1203</v>
      </c>
      <c r="AA96" s="67">
        <f t="shared" si="36"/>
        <v>23.185199999999998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7"/>
        <v>0184-02</v>
      </c>
      <c r="AE96" s="91" t="str">
        <f t="shared" si="38"/>
        <v>aws s3 cp s3://rtdc.mdm.uploadarchive.raw/RTDC4041/ "%USERPROFILE%\AppData\Local\Temp\OnboardLogs"\RTDC4041\2016-12-02 --exclude "*" --recursive --include "*20161202*" &amp; "%USERPROFILE%\Documents\GitHub\mrs-test-scripts\Headless Mode &amp; Sideloading\WalkAndUnGZ.bat" "%USERPROFILE%\AppData\Local\Temp\OnboardLogs"\RTDC4041\2016-12-02 &amp; 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</v>
      </c>
      <c r="AF96" s="88" t="str">
        <f t="shared" si="39"/>
        <v>"C:\Program Files (x86)\AstroGrep\AstroGrep.exe" /spath="%USERPROFILE%\AppData\Local\Temp\OnboardLogs" /stypes="app*4041*20161202*" /stext=" 22:.+((SYSTEM_STATE.+slice.+state.+changed )|(ment ac)|(multiple cpu faults)|(system.+state.+changed )|(\[timeout)|(PRM\|1\|D)|(kpr)|(kdp)|(\|lc)|(penalty))" /e /r /s</v>
      </c>
      <c r="AG96" s="1" t="str">
        <f t="shared" si="40"/>
        <v>EC</v>
      </c>
      <c r="AH96" s="92" t="str">
        <f t="shared" si="42"/>
        <v>"%USERPROFILE%\Documents\GitHub\eaglep3\Utilities\RefineRTDCRunTimes.py" --tripid 184-02 --locoid 4041 --swversion DE.1.0.8.0 --startMP 204:233055 --initTime 2016-12-02T14:51:30 --startdatetime 2016-12-02T14:56:22 --delay 1 --endMP 204:1203 --enddatetime 2016-12-02T15:35:49 --enforcementcount 0 &gt;&gt;C:\Users\stu\Documents\GitHub\eaglep3-reporting\EC\2016-12-02-refined-times.txt</v>
      </c>
      <c r="AI96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{"issue":{"subject":"","project_id":79,"tracker_id":40,"status_id":1,"priority_id":2,"assigned_to_id":23,"start_date":"2016-12-02","description":"","custom_fields":[{"id":1,"name":"Subdivision","value":"EC"},{"id":4,"name":"Milepost","value":"0.1203"},{"id":17,"name":"Train ID","value":"184-02"},{"id":16,"name":"Locomotive ID","value":"4041"},{"id":130,"name":"Impact","value":""},{"id":150,"name":"Time of Event (Mountain Time)","value":"15:35:49"},{"id":151,"name":"Denver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449</v>
      </c>
      <c r="B97" s="7">
        <v>4022</v>
      </c>
      <c r="C97" s="22" t="s">
        <v>210</v>
      </c>
      <c r="D97" s="22" t="s">
        <v>253</v>
      </c>
      <c r="E97" s="13">
        <v>42706.589062500003</v>
      </c>
      <c r="F97" s="13">
        <v>42706.594201388885</v>
      </c>
      <c r="G97" s="7">
        <v>6</v>
      </c>
      <c r="H97" s="22" t="s">
        <v>407</v>
      </c>
      <c r="I97" s="13">
        <v>42706.619108796294</v>
      </c>
      <c r="J97" s="7">
        <v>0</v>
      </c>
      <c r="K97" s="109" t="str">
        <f t="shared" si="30"/>
        <v>4021/4022</v>
      </c>
      <c r="L97" s="22" t="str">
        <f>VLOOKUP(A97,'Trips&amp;Operators'!$C$1:$G$99999,5,FALSE)</f>
        <v>STORY SAMANTHA</v>
      </c>
      <c r="M97" s="6">
        <f t="shared" si="31"/>
        <v>2.4907407409045845E-2</v>
      </c>
      <c r="N97" s="7">
        <f t="shared" si="26"/>
        <v>35.866666669026017</v>
      </c>
      <c r="O97" s="7"/>
      <c r="P97" s="7"/>
      <c r="Q97" s="23"/>
      <c r="R97" s="23"/>
      <c r="S97" s="35">
        <f t="shared" si="32"/>
        <v>1</v>
      </c>
      <c r="T97" s="50" t="str">
        <f t="shared" si="3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13:08:15-700',mode:absolute,to:'2016-12-02 15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7" s="52" t="str">
        <f t="shared" si="35"/>
        <v>N</v>
      </c>
      <c r="X97" s="177">
        <f t="shared" si="41"/>
        <v>1</v>
      </c>
      <c r="Y97" s="67">
        <f t="shared" si="27"/>
        <v>4.7100000000000003E-2</v>
      </c>
      <c r="Z97" s="67">
        <f t="shared" si="28"/>
        <v>23.333600000000001</v>
      </c>
      <c r="AA97" s="67">
        <f t="shared" si="36"/>
        <v>23.2865</v>
      </c>
      <c r="AB97" s="64" t="str">
        <f>VLOOKUP(A97,Enforcements!$C$7:$K$19,8,0)</f>
        <v>Speed (6)</v>
      </c>
      <c r="AC97" s="60" t="str">
        <f>VLOOKUP(A97,Enforcements!$C$7:$E$19,3,0)</f>
        <v>PERMANENT SPEED RESTRICTION</v>
      </c>
      <c r="AD97" s="61" t="str">
        <f t="shared" si="37"/>
        <v>0185-02</v>
      </c>
      <c r="AE97" s="91" t="str">
        <f t="shared" si="38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97" s="88" t="str">
        <f t="shared" si="39"/>
        <v>"C:\Program Files (x86)\AstroGrep\AstroGrep.exe" /spath="%USERPROFILE%\AppData\Local\Temp\OnboardLogs" /stypes="app*4022*20161202*" /stext=" 21:.+((SYSTEM_STATE.+slice.+state.+changed )|(ment ac)|(multiple cpu faults)|(system.+state.+changed )|(\[timeout)|(PRM\|1\|D)|(kpr)|(kdp)|(\|lc)|(penalty))" /e /r /s</v>
      </c>
      <c r="AG97" s="1" t="str">
        <f t="shared" si="40"/>
        <v>EC</v>
      </c>
      <c r="AH97" s="92" t="str">
        <f t="shared" si="42"/>
        <v>"%USERPROFILE%\Documents\GitHub\eaglep3\Utilities\RefineRTDCRunTimes.py" --tripid 185-02 --locoid 4022 --swversion DE.1.0.8.0 --startMP 204:471 --initTime 2016-12-02T14:08:15 --startdatetime 2016-12-02T14:15:39 --delay 6 --endMP 204:233336 --enddatetime 2016-12-02T14:51:31 --enforcementcount 0 &gt;&gt;C:\Users\stu\Documents\GitHub\eaglep3-reporting\EC\2016-12-02-refined-times.txt</v>
      </c>
      <c r="AI97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{"issue":{"subject":"","project_id":79,"tracker_id":40,"status_id":1,"priority_id":2,"assigned_to_id":23,"start_date":"2016-12-02","description":"","custom_fields":[{"id":1,"name":"Subdivision","value":"EC"},{"id":4,"name":"Milepost","value":"23.3336"},{"id":17,"name":"Train ID","value":"185-02"},{"id":16,"name":"Locomotive ID","value":"4022"},{"id":130,"name":"Impact","value":""},{"id":150,"name":"Time of Event (Mountain Time)","value":"14:51:31"},{"id":151,"name":"Denver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583</v>
      </c>
      <c r="B98" s="7">
        <v>4021</v>
      </c>
      <c r="C98" s="22" t="s">
        <v>210</v>
      </c>
      <c r="D98" s="22" t="s">
        <v>402</v>
      </c>
      <c r="E98" s="13">
        <v>42706.624837962961</v>
      </c>
      <c r="F98" s="13">
        <v>42706.633391203701</v>
      </c>
      <c r="G98" s="7">
        <v>2</v>
      </c>
      <c r="H98" s="22" t="s">
        <v>396</v>
      </c>
      <c r="I98" s="13">
        <v>42706.660219907404</v>
      </c>
      <c r="J98" s="7">
        <v>0</v>
      </c>
      <c r="K98" s="109" t="str">
        <f t="shared" si="30"/>
        <v>4021/4022</v>
      </c>
      <c r="L98" s="22" t="str">
        <f>VLOOKUP(A98,'Trips&amp;Operators'!$C$1:$G$99999,5,FALSE)</f>
        <v>STORY SAMANTHA</v>
      </c>
      <c r="M98" s="6">
        <f t="shared" si="31"/>
        <v>2.6828703703358769E-2</v>
      </c>
      <c r="N98" s="7">
        <f t="shared" si="26"/>
        <v>38.633333332836628</v>
      </c>
      <c r="O98" s="7"/>
      <c r="P98" s="7"/>
      <c r="Q98" s="23"/>
      <c r="R98" s="23"/>
      <c r="S98" s="35">
        <f t="shared" si="32"/>
        <v>1</v>
      </c>
      <c r="T98" s="50" t="str">
        <f t="shared" si="3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13:59:46-700',mode:absolute,to:'2016-12-02 16:50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8" s="52" t="str">
        <f t="shared" si="35"/>
        <v>N</v>
      </c>
      <c r="X98" s="177">
        <f t="shared" si="41"/>
        <v>1</v>
      </c>
      <c r="Y98" s="67">
        <f t="shared" si="27"/>
        <v>23.302299999999999</v>
      </c>
      <c r="Z98" s="67">
        <f t="shared" si="28"/>
        <v>1.67E-2</v>
      </c>
      <c r="AA98" s="67">
        <f t="shared" si="36"/>
        <v>23.285599999999999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7"/>
        <v>0186-02</v>
      </c>
      <c r="AE98" s="91" t="str">
        <f t="shared" si="38"/>
        <v>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 &amp; 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</v>
      </c>
      <c r="AF98" s="88" t="str">
        <f t="shared" si="39"/>
        <v>"C:\Program Files (x86)\AstroGrep\AstroGrep.exe" /spath="%USERPROFILE%\AppData\Local\Temp\OnboardLogs" /stypes="app*4021*20161202*" /stext=" 22:.+((SYSTEM_STATE.+slice.+state.+changed )|(ment ac)|(multiple cpu faults)|(system.+state.+changed )|(\[timeout)|(PRM\|1\|D)|(kpr)|(kdp)|(\|lc)|(penalty))" /e /r /s</v>
      </c>
      <c r="AG98" s="1" t="str">
        <f t="shared" si="40"/>
        <v>EC</v>
      </c>
      <c r="AH98" s="92" t="str">
        <f t="shared" si="42"/>
        <v>"%USERPROFILE%\Documents\GitHub\eaglep3\Utilities\RefineRTDCRunTimes.py" --tripid 186-02 --locoid 4021 --swversion DE.1.0.8.0 --startMP 204:233023 --initTime 2016-12-02T14:59:46 --startdatetime 2016-12-02T15:12:05 --delay 2 --endMP 204:167 --enddatetime 2016-12-02T15:50:43 --enforcementcount 0 &gt;&gt;C:\Users\stu\Documents\GitHub\eaglep3-reporting\EC\2016-12-02-refined-times.txt</v>
      </c>
      <c r="AI98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{"issue":{"subject":"","project_id":79,"tracker_id":40,"status_id":1,"priority_id":2,"assigned_to_id":23,"start_date":"2016-12-02","description":"","custom_fields":[{"id":1,"name":"Subdivision","value":"EC"},{"id":4,"name":"Milepost","value":"0.0167"},{"id":17,"name":"Train ID","value":"186-02"},{"id":16,"name":"Locomotive ID","value":"4021"},{"id":130,"name":"Impact","value":""},{"id":150,"name":"Time of Event (Mountain Time)","value":"15:50:43"},{"id":151,"name":"Denver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577</v>
      </c>
      <c r="B99" s="7">
        <v>4014</v>
      </c>
      <c r="C99" s="22" t="s">
        <v>210</v>
      </c>
      <c r="D99" s="22" t="s">
        <v>331</v>
      </c>
      <c r="E99" s="13">
        <v>42706.599351851852</v>
      </c>
      <c r="F99" s="13">
        <v>42706.604537037034</v>
      </c>
      <c r="G99" s="7">
        <v>2</v>
      </c>
      <c r="H99" s="22" t="s">
        <v>711</v>
      </c>
      <c r="I99" s="13">
        <v>42706.629050925927</v>
      </c>
      <c r="J99" s="7">
        <v>0</v>
      </c>
      <c r="K99" s="109" t="str">
        <f t="shared" si="30"/>
        <v>4013/4014</v>
      </c>
      <c r="L99" s="22" t="str">
        <f>VLOOKUP(A99,'Trips&amp;Operators'!$C$1:$G$99999,5,FALSE)</f>
        <v>STEWART MICHAEL</v>
      </c>
      <c r="M99" s="6">
        <f t="shared" si="31"/>
        <v>2.4513888893125113E-2</v>
      </c>
      <c r="N99" s="7">
        <f t="shared" si="26"/>
        <v>35.300000006100163</v>
      </c>
      <c r="O99" s="7"/>
      <c r="P99" s="7"/>
      <c r="Q99" s="23"/>
      <c r="R99" s="23"/>
      <c r="S99" s="35">
        <f t="shared" si="32"/>
        <v>1</v>
      </c>
      <c r="T99" s="50" t="str">
        <f t="shared" si="3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13:23:04-700',mode:absolute,to:'2016-12-02 16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9" s="52" t="str">
        <f t="shared" si="35"/>
        <v>N</v>
      </c>
      <c r="X99" s="177">
        <f t="shared" si="41"/>
        <v>1</v>
      </c>
      <c r="Y99" s="67">
        <f t="shared" si="27"/>
        <v>4.4600000000000001E-2</v>
      </c>
      <c r="Z99" s="67">
        <f t="shared" si="28"/>
        <v>23.3291</v>
      </c>
      <c r="AA99" s="67">
        <f t="shared" si="36"/>
        <v>23.284500000000001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7"/>
        <v>0187-02</v>
      </c>
      <c r="AE99" s="91" t="str">
        <f t="shared" si="38"/>
        <v>aws s3 cp s3://rtdc.mdm.uploadarchive.raw/RTDC4014/ "%USERPROFILE%\AppData\Local\Temp\OnboardLogs"\RTDC4014\2016-12-02 --exclude "*" --recursive --include "*20161202*" &amp; "%USERPROFILE%\Documents\GitHub\mrs-test-scripts\Headless Mode &amp; Sideloading\WalkAndUnGZ.bat" "%USERPROFILE%\AppData\Local\Temp\OnboardLogs"\RTDC4014\2016-12-02 &amp; 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</v>
      </c>
      <c r="AF99" s="88" t="str">
        <f t="shared" si="39"/>
        <v>"C:\Program Files (x86)\AstroGrep\AstroGrep.exe" /spath="%USERPROFILE%\AppData\Local\Temp\OnboardLogs" /stypes="app*4014*20161202*" /stext=" 22:.+((SYSTEM_STATE.+slice.+state.+changed )|(ment ac)|(multiple cpu faults)|(system.+state.+changed )|(\[timeout)|(PRM\|1\|D)|(kpr)|(kdp)|(\|lc)|(penalty))" /e /r /s</v>
      </c>
      <c r="AG99" s="1" t="str">
        <f t="shared" si="40"/>
        <v>EC</v>
      </c>
      <c r="AH99" s="92" t="str">
        <f t="shared" si="42"/>
        <v>"%USERPROFILE%\Documents\GitHub\eaglep3\Utilities\RefineRTDCRunTimes.py" --tripid 187-02 --locoid 4014 --swversion DE.1.0.8.0 --startMP 204:446 --initTime 2016-12-02T14:23:04 --startdatetime 2016-12-02T14:30:32 --delay 2 --endMP 204:233291 --enddatetime 2016-12-02T15:05:50 --enforcementcount 0 &gt;&gt;C:\Users\stu\Documents\GitHub\eaglep3-reporting\EC\2016-12-02-refined-times.txt</v>
      </c>
      <c r="AI99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{"issue":{"subject":"","project_id":79,"tracker_id":40,"status_id":1,"priority_id":2,"assigned_to_id":23,"start_date":"2016-12-02","description":"","custom_fields":[{"id":1,"name":"Subdivision","value":"EC"},{"id":4,"name":"Milepost","value":"23.3291"},{"id":17,"name":"Train ID","value":"187-02"},{"id":16,"name":"Locomotive ID","value":"4014"},{"id":130,"name":"Impact","value":""},{"id":150,"name":"Time of Event (Mountain Time)","value":"15:05:50"},{"id":151,"name":"Denver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587</v>
      </c>
      <c r="B100" s="7">
        <v>4013</v>
      </c>
      <c r="C100" s="22" t="s">
        <v>210</v>
      </c>
      <c r="D100" s="22" t="s">
        <v>712</v>
      </c>
      <c r="E100" s="13">
        <v>42706.640185185184</v>
      </c>
      <c r="F100" s="13">
        <v>42706.64340277778</v>
      </c>
      <c r="G100" s="7">
        <v>1</v>
      </c>
      <c r="H100" s="22" t="s">
        <v>230</v>
      </c>
      <c r="I100" s="13">
        <v>42706.670023148145</v>
      </c>
      <c r="J100" s="7">
        <v>0</v>
      </c>
      <c r="K100" s="109" t="str">
        <f t="shared" si="30"/>
        <v>4013/4014</v>
      </c>
      <c r="L100" s="22" t="str">
        <f>VLOOKUP(A100,'Trips&amp;Operators'!$C$1:$G$99999,5,FALSE)</f>
        <v>STEWART MICHAEL</v>
      </c>
      <c r="M100" s="6">
        <f t="shared" si="31"/>
        <v>2.6620370364980772E-2</v>
      </c>
      <c r="N100" s="7">
        <f t="shared" si="26"/>
        <v>38.333333325572312</v>
      </c>
      <c r="O100" s="7"/>
      <c r="P100" s="7"/>
      <c r="Q100" s="23"/>
      <c r="R100" s="23"/>
      <c r="S100" s="35">
        <f t="shared" si="32"/>
        <v>1</v>
      </c>
      <c r="T100" s="50" t="str">
        <f t="shared" si="3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14:21:52-700',mode:absolute,to:'2016-12-02 17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0" s="52" t="str">
        <f t="shared" si="35"/>
        <v>N</v>
      </c>
      <c r="X100" s="177">
        <f t="shared" si="41"/>
        <v>1</v>
      </c>
      <c r="Y100" s="67">
        <f t="shared" si="27"/>
        <v>23.2986</v>
      </c>
      <c r="Z100" s="67">
        <f t="shared" si="28"/>
        <v>1.54E-2</v>
      </c>
      <c r="AA100" s="67">
        <f t="shared" si="36"/>
        <v>23.283200000000001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7"/>
        <v>0188-02</v>
      </c>
      <c r="AE100" s="91" t="str">
        <f t="shared" si="38"/>
        <v>aws s3 cp s3://rtdc.mdm.uploadarchive.raw/RTDC4013/ "%USERPROFILE%\AppData\Local\Temp\OnboardLogs"\RTDC4013\2016-12-02 --exclude "*" --recursive --include "*20161202*" &amp; "%USERPROFILE%\Documents\GitHub\mrs-test-scripts\Headless Mode &amp; Sideloading\WalkAndUnGZ.bat" "%USERPROFILE%\AppData\Local\Temp\OnboardLogs"\RTDC4013\2016-12-02 &amp; 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</v>
      </c>
      <c r="AF100" s="88" t="str">
        <f t="shared" si="39"/>
        <v>"C:\Program Files (x86)\AstroGrep\AstroGrep.exe" /spath="%USERPROFILE%\AppData\Local\Temp\OnboardLogs" /stypes="app*4013*20161202*" /stext=" 23:.+((SYSTEM_STATE.+slice.+state.+changed )|(ment ac)|(multiple cpu faults)|(system.+state.+changed )|(\[timeout)|(PRM\|1\|D)|(kpr)|(kdp)|(\|lc)|(penalty))" /e /r /s</v>
      </c>
      <c r="AG100" s="1" t="str">
        <f t="shared" si="40"/>
        <v>EC</v>
      </c>
      <c r="AH100" s="92" t="str">
        <f t="shared" si="42"/>
        <v>"%USERPROFILE%\Documents\GitHub\eaglep3\Utilities\RefineRTDCRunTimes.py" --tripid 188-02 --locoid 4013 --swversion DE.1.0.8.0 --startMP 204:232986 --initTime 2016-12-02T15:21:52 --startdatetime 2016-12-02T15:26:30 --delay 1 --endMP 204:154 --enddatetime 2016-12-02T16:04:50 --enforcementcount 0 &gt;&gt;C:\Users\stu\Documents\GitHub\eaglep3-reporting\EC\2016-12-02-refined-times.txt</v>
      </c>
      <c r="AI100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{"issue":{"subject":"","project_id":79,"tracker_id":40,"status_id":1,"priority_id":2,"assigned_to_id":23,"start_date":"2016-12-02","description":"","custom_fields":[{"id":1,"name":"Subdivision","value":"EC"},{"id":4,"name":"Milepost","value":"0.0154"},{"id":17,"name":"Train ID","value":"188-02"},{"id":16,"name":"Locomotive ID","value":"4013"},{"id":130,"name":"Impact","value":""},{"id":150,"name":"Time of Event (Mountain Time)","value":"16:04:50"},{"id":151,"name":"Denver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579</v>
      </c>
      <c r="B101" s="7">
        <v>4011</v>
      </c>
      <c r="C101" s="22" t="s">
        <v>210</v>
      </c>
      <c r="D101" s="22" t="s">
        <v>268</v>
      </c>
      <c r="E101" s="13">
        <v>42706.61</v>
      </c>
      <c r="F101" s="13">
        <v>42706.614768518521</v>
      </c>
      <c r="G101" s="7">
        <v>1</v>
      </c>
      <c r="H101" s="22" t="s">
        <v>713</v>
      </c>
      <c r="I101" s="13">
        <v>42706.640775462962</v>
      </c>
      <c r="J101" s="7">
        <v>0</v>
      </c>
      <c r="K101" s="109" t="str">
        <f t="shared" si="30"/>
        <v>4011/4012</v>
      </c>
      <c r="L101" s="22" t="str">
        <f>VLOOKUP(A101,'Trips&amp;Operators'!$C$1:$G$99999,5,FALSE)</f>
        <v>CLARK KATHLEEN</v>
      </c>
      <c r="M101" s="6">
        <f t="shared" si="31"/>
        <v>2.6006944441178348E-2</v>
      </c>
      <c r="N101" s="7">
        <f t="shared" si="26"/>
        <v>37.449999995296821</v>
      </c>
      <c r="O101" s="7"/>
      <c r="P101" s="7"/>
      <c r="Q101" s="23"/>
      <c r="R101" s="23"/>
      <c r="S101" s="35">
        <f t="shared" si="32"/>
        <v>1</v>
      </c>
      <c r="T101" s="50" t="str">
        <f t="shared" si="3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13:38:24-700',mode:absolute,to:'2016-12-02 16:22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1" s="52" t="str">
        <f t="shared" si="35"/>
        <v>N</v>
      </c>
      <c r="X101" s="177">
        <f t="shared" si="41"/>
        <v>1</v>
      </c>
      <c r="Y101" s="67">
        <f t="shared" si="27"/>
        <v>4.6699999999999998E-2</v>
      </c>
      <c r="Z101" s="67">
        <f t="shared" si="28"/>
        <v>23.329499999999999</v>
      </c>
      <c r="AA101" s="67">
        <f t="shared" si="36"/>
        <v>23.282799999999998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7"/>
        <v>0189-02</v>
      </c>
      <c r="AE101" s="91" t="str">
        <f t="shared" si="38"/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AF101" s="88" t="str">
        <f t="shared" si="39"/>
        <v>"C:\Program Files (x86)\AstroGrep\AstroGrep.exe" /spath="%USERPROFILE%\AppData\Local\Temp\OnboardLogs" /stypes="app*4011*20161202*" /stext=" 22:.+((SYSTEM_STATE.+slice.+state.+changed )|(ment ac)|(multiple cpu faults)|(system.+state.+changed )|(\[timeout)|(PRM\|1\|D)|(kpr)|(kdp)|(\|lc)|(penalty))" /e /r /s</v>
      </c>
      <c r="AG101" s="1" t="str">
        <f t="shared" si="40"/>
        <v>EC</v>
      </c>
      <c r="AH101" s="92" t="str">
        <f t="shared" si="42"/>
        <v>"%USERPROFILE%\Documents\GitHub\eaglep3\Utilities\RefineRTDCRunTimes.py" --tripid 189-02 --locoid 4011 --swversion DE.1.0.8.0 --startMP 204:467 --initTime 2016-12-02T14:38:24 --startdatetime 2016-12-02T14:45:16 --delay 1 --endMP 204:233295 --enddatetime 2016-12-02T15:22:43 --enforcementcount 0 &gt;&gt;C:\Users\stu\Documents\GitHub\eaglep3-reporting\EC\2016-12-02-refined-times.txt</v>
      </c>
      <c r="AI101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{"issue":{"subject":"","project_id":79,"tracker_id":40,"status_id":1,"priority_id":2,"assigned_to_id":23,"start_date":"2016-12-02","description":"","custom_fields":[{"id":1,"name":"Subdivision","value":"EC"},{"id":4,"name":"Milepost","value":"23.3295"},{"id":17,"name":"Train ID","value":"189-02"},{"id":16,"name":"Locomotive ID","value":"4011"},{"id":130,"name":"Impact","value":""},{"id":150,"name":"Time of Event (Mountain Time)","value":"15:22:43"},{"id":151,"name":"Denver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589</v>
      </c>
      <c r="B102" s="7">
        <v>4012</v>
      </c>
      <c r="C102" s="22" t="s">
        <v>210</v>
      </c>
      <c r="D102" s="22" t="s">
        <v>332</v>
      </c>
      <c r="E102" s="13">
        <v>42706.64912037037</v>
      </c>
      <c r="F102" s="13">
        <v>42706.653645833336</v>
      </c>
      <c r="G102" s="7">
        <v>1</v>
      </c>
      <c r="H102" s="22" t="s">
        <v>714</v>
      </c>
      <c r="I102" s="13">
        <v>42706.682847222219</v>
      </c>
      <c r="J102" s="7">
        <v>0</v>
      </c>
      <c r="K102" s="109" t="str">
        <f t="shared" si="30"/>
        <v>4011/4012</v>
      </c>
      <c r="L102" s="22" t="str">
        <f>VLOOKUP(A102,'Trips&amp;Operators'!$C$1:$G$99999,5,FALSE)</f>
        <v>CLARK KATHLEEN</v>
      </c>
      <c r="M102" s="6">
        <f t="shared" si="31"/>
        <v>2.9201388882938772E-2</v>
      </c>
      <c r="N102" s="7">
        <f t="shared" si="26"/>
        <v>42.049999991431832</v>
      </c>
      <c r="O102" s="7"/>
      <c r="P102" s="7"/>
      <c r="Q102" s="23"/>
      <c r="R102" s="23"/>
      <c r="S102" s="35">
        <f t="shared" si="32"/>
        <v>1</v>
      </c>
      <c r="T102" s="50" t="str">
        <f t="shared" si="3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14:34:44-700',mode:absolute,to:'2016-12-02 17:23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2" s="52" t="str">
        <f t="shared" si="35"/>
        <v>N</v>
      </c>
      <c r="X102" s="177">
        <f t="shared" si="41"/>
        <v>1</v>
      </c>
      <c r="Y102" s="67">
        <f t="shared" si="27"/>
        <v>23.2987</v>
      </c>
      <c r="Z102" s="67">
        <f t="shared" si="28"/>
        <v>1.7000000000000001E-2</v>
      </c>
      <c r="AA102" s="67">
        <f t="shared" si="36"/>
        <v>23.281700000000001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7"/>
        <v>0190-02</v>
      </c>
      <c r="AE102" s="91" t="str">
        <f t="shared" si="38"/>
        <v>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 &amp; 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</v>
      </c>
      <c r="AF102" s="88" t="str">
        <f t="shared" si="39"/>
        <v>"C:\Program Files (x86)\AstroGrep\AstroGrep.exe" /spath="%USERPROFILE%\AppData\Local\Temp\OnboardLogs" /stypes="app*4012*20161202*" /stext=" 23:.+((SYSTEM_STATE.+slice.+state.+changed )|(ment ac)|(multiple cpu faults)|(system.+state.+changed )|(\[timeout)|(PRM\|1\|D)|(kpr)|(kdp)|(\|lc)|(penalty))" /e /r /s</v>
      </c>
      <c r="AG102" s="1" t="str">
        <f t="shared" si="40"/>
        <v>EC</v>
      </c>
      <c r="AH102" s="92" t="str">
        <f t="shared" si="42"/>
        <v>"%USERPROFILE%\Documents\GitHub\eaglep3\Utilities\RefineRTDCRunTimes.py" --tripid 190-02 --locoid 4012 --swversion DE.1.0.8.0 --startMP 204:232987 --initTime 2016-12-02T15:34:44 --startdatetime 2016-12-02T15:41:15 --delay 1 --endMP 204:170 --enddatetime 2016-12-02T16:23:18 --enforcementcount 0 &gt;&gt;C:\Users\stu\Documents\GitHub\eaglep3-reporting\EC\2016-12-02-refined-times.txt</v>
      </c>
      <c r="AI102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{"issue":{"subject":"","project_id":79,"tracker_id":40,"status_id":1,"priority_id":2,"assigned_to_id":23,"start_date":"2016-12-02","description":"","custom_fields":[{"id":1,"name":"Subdivision","value":"EC"},{"id":4,"name":"Milepost","value":"0.017"},{"id":17,"name":"Train ID","value":"190-02"},{"id":16,"name":"Locomotive ID","value":"4012"},{"id":130,"name":"Impact","value":""},{"id":150,"name":"Time of Event (Mountain Time)","value":"16:23:18"},{"id":151,"name":"Denver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581</v>
      </c>
      <c r="B103" s="7">
        <v>4002</v>
      </c>
      <c r="C103" s="22" t="s">
        <v>210</v>
      </c>
      <c r="D103" s="22" t="s">
        <v>715</v>
      </c>
      <c r="E103" s="13">
        <v>42706.619131944448</v>
      </c>
      <c r="F103" s="13">
        <v>42706.625162037039</v>
      </c>
      <c r="G103" s="7">
        <v>1</v>
      </c>
      <c r="H103" s="22" t="s">
        <v>323</v>
      </c>
      <c r="I103" s="13">
        <v>42706.649907407409</v>
      </c>
      <c r="J103" s="7">
        <v>0</v>
      </c>
      <c r="K103" s="109" t="str">
        <f t="shared" si="30"/>
        <v>4001/4002</v>
      </c>
      <c r="L103" s="22" t="str">
        <f>VLOOKUP(A103,'Trips&amp;Operators'!$C$1:$G$99999,5,FALSE)</f>
        <v>BONDS REYNALDO</v>
      </c>
      <c r="M103" s="6">
        <f t="shared" si="31"/>
        <v>2.47453703705105E-2</v>
      </c>
      <c r="N103" s="7">
        <f t="shared" si="26"/>
        <v>35.63333333353512</v>
      </c>
      <c r="O103" s="7"/>
      <c r="P103" s="7"/>
      <c r="Q103" s="23"/>
      <c r="R103" s="23"/>
      <c r="S103" s="35">
        <f t="shared" si="32"/>
        <v>1</v>
      </c>
      <c r="T103" s="50" t="str">
        <f t="shared" si="3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13:51:33-700',mode:absolute,to:'2016-12-02 16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3" s="52" t="str">
        <f t="shared" si="35"/>
        <v>N</v>
      </c>
      <c r="X103" s="177">
        <f t="shared" si="41"/>
        <v>1</v>
      </c>
      <c r="Y103" s="67">
        <f t="shared" si="27"/>
        <v>5.0599999999999999E-2</v>
      </c>
      <c r="Z103" s="67">
        <f t="shared" si="28"/>
        <v>23.331199999999999</v>
      </c>
      <c r="AA103" s="67">
        <f t="shared" si="36"/>
        <v>23.2806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7"/>
        <v>0191-02</v>
      </c>
      <c r="AE103" s="91" t="str">
        <f t="shared" si="38"/>
        <v>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 &amp; 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</v>
      </c>
      <c r="AF103" s="88" t="str">
        <f t="shared" si="39"/>
        <v>"C:\Program Files (x86)\AstroGrep\AstroGrep.exe" /spath="%USERPROFILE%\AppData\Local\Temp\OnboardLogs" /stypes="app*4002*20161202*" /stext=" 22:.+((SYSTEM_STATE.+slice.+state.+changed )|(ment ac)|(multiple cpu faults)|(system.+state.+changed )|(\[timeout)|(PRM\|1\|D)|(kpr)|(kdp)|(\|lc)|(penalty))" /e /r /s</v>
      </c>
      <c r="AG103" s="1" t="str">
        <f t="shared" si="40"/>
        <v>EC</v>
      </c>
      <c r="AH103" s="92" t="str">
        <f t="shared" si="42"/>
        <v>"%USERPROFILE%\Documents\GitHub\eaglep3\Utilities\RefineRTDCRunTimes.py" --tripid 191-02 --locoid 4002 --swversion DE.1.0.8.0 --startMP 204:506 --initTime 2016-12-02T14:51:33 --startdatetime 2016-12-02T15:00:14 --delay 1 --endMP 204:233312 --enddatetime 2016-12-02T15:35:52 --enforcementcount 0 &gt;&gt;C:\Users\stu\Documents\GitHub\eaglep3-reporting\EC\2016-12-02-refined-times.txt</v>
      </c>
      <c r="AI103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{"issue":{"subject":"","project_id":79,"tracker_id":40,"status_id":1,"priority_id":2,"assigned_to_id":23,"start_date":"2016-12-02","description":"","custom_fields":[{"id":1,"name":"Subdivision","value":"EC"},{"id":4,"name":"Milepost","value":"23.3312"},{"id":17,"name":"Train ID","value":"191-02"},{"id":16,"name":"Locomotive ID","value":"4002"},{"id":130,"name":"Impact","value":""},{"id":150,"name":"Time of Event (Mountain Time)","value":"15:35:52"},{"id":151,"name":"Denver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592</v>
      </c>
      <c r="B104" s="7">
        <v>4001</v>
      </c>
      <c r="C104" s="22" t="s">
        <v>210</v>
      </c>
      <c r="D104" s="22" t="s">
        <v>335</v>
      </c>
      <c r="E104" s="13">
        <v>42706.653993055559</v>
      </c>
      <c r="F104" s="13">
        <v>42706.664120370369</v>
      </c>
      <c r="G104" s="7">
        <v>1</v>
      </c>
      <c r="H104" s="22" t="s">
        <v>241</v>
      </c>
      <c r="I104" s="13">
        <v>42706.690868055557</v>
      </c>
      <c r="J104" s="7">
        <v>0</v>
      </c>
      <c r="K104" s="109" t="str">
        <f t="shared" si="30"/>
        <v>4001/4002</v>
      </c>
      <c r="L104" s="22" t="str">
        <f>VLOOKUP(A104,'Trips&amp;Operators'!$C$1:$G$99999,5,FALSE)</f>
        <v>BONDS REYNALDO</v>
      </c>
      <c r="M104" s="6">
        <f t="shared" si="31"/>
        <v>2.6747685187729076E-2</v>
      </c>
      <c r="N104" s="7">
        <f t="shared" ref="N104:N135" si="44">24*60*SUM($M104:$M104)</f>
        <v>38.516666670329869</v>
      </c>
      <c r="O104" s="7"/>
      <c r="P104" s="7"/>
      <c r="Q104" s="23"/>
      <c r="R104" s="23"/>
      <c r="S104" s="35">
        <f t="shared" si="32"/>
        <v>1</v>
      </c>
      <c r="T104" s="50" t="str">
        <f t="shared" si="3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14:41:45-700',mode:absolute,to:'2016-12-02 17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4" s="52" t="str">
        <f t="shared" si="35"/>
        <v>N</v>
      </c>
      <c r="X104" s="177">
        <f t="shared" si="41"/>
        <v>1</v>
      </c>
      <c r="Y104" s="67">
        <f t="shared" ref="Y104:Y135" si="45">RIGHT(D104,LEN(D104)-4)/10000</f>
        <v>23.3003</v>
      </c>
      <c r="Z104" s="67">
        <f t="shared" ref="Z104:Z135" si="46">RIGHT(H104,LEN(H104)-4)/10000</f>
        <v>1.47E-2</v>
      </c>
      <c r="AA104" s="67">
        <f t="shared" si="36"/>
        <v>23.285599999999999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7"/>
        <v>0192-02</v>
      </c>
      <c r="AE104" s="91" t="str">
        <f t="shared" si="38"/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AF104" s="88" t="str">
        <f t="shared" si="39"/>
        <v>"C:\Program Files (x86)\AstroGrep\AstroGrep.exe" /spath="%USERPROFILE%\AppData\Local\Temp\OnboardLogs" /stypes="app*4001*20161202*" /stext=" 23:.+((SYSTEM_STATE.+slice.+state.+changed )|(ment ac)|(multiple cpu faults)|(system.+state.+changed )|(\[timeout)|(PRM\|1\|D)|(kpr)|(kdp)|(\|lc)|(penalty))" /e /r /s</v>
      </c>
      <c r="AG104" s="1" t="str">
        <f t="shared" si="40"/>
        <v>EC</v>
      </c>
      <c r="AH104" s="92" t="str">
        <f t="shared" si="42"/>
        <v>"%USERPROFILE%\Documents\GitHub\eaglep3\Utilities\RefineRTDCRunTimes.py" --tripid 192-02 --locoid 4001 --swversion DE.1.0.8.0 --startMP 204:233003 --initTime 2016-12-02T15:41:45 --startdatetime 2016-12-02T15:56:20 --delay 1 --endMP 204:147 --enddatetime 2016-12-02T16:34:51 --enforcementcount 0 &gt;&gt;C:\Users\stu\Documents\GitHub\eaglep3-reporting\EC\2016-12-02-refined-times.txt</v>
      </c>
      <c r="AI104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{"issue":{"subject":"","project_id":79,"tracker_id":40,"status_id":1,"priority_id":2,"assigned_to_id":23,"start_date":"2016-12-02","description":"","custom_fields":[{"id":1,"name":"Subdivision","value":"EC"},{"id":4,"name":"Milepost","value":"0.0147"},{"id":17,"name":"Train ID","value":"192-02"},{"id":16,"name":"Locomotive ID","value":"4001"},{"id":130,"name":"Impact","value":""},{"id":150,"name":"Time of Event (Mountain Time)","value":"16:34:51"},{"id":151,"name":"Denver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452</v>
      </c>
      <c r="B105" s="7">
        <v>4003</v>
      </c>
      <c r="C105" s="22" t="s">
        <v>210</v>
      </c>
      <c r="D105" s="22" t="s">
        <v>194</v>
      </c>
      <c r="E105" s="13">
        <v>42706.633194444446</v>
      </c>
      <c r="F105" s="13">
        <v>42706.635682870372</v>
      </c>
      <c r="G105" s="7">
        <v>1</v>
      </c>
      <c r="H105" s="22" t="s">
        <v>290</v>
      </c>
      <c r="I105" s="13">
        <v>42706.66133101852</v>
      </c>
      <c r="J105" s="7">
        <v>0</v>
      </c>
      <c r="K105" s="109" t="str">
        <f t="shared" si="30"/>
        <v>4003/4004</v>
      </c>
      <c r="L105" s="22" t="str">
        <f>VLOOKUP(A105,'Trips&amp;Operators'!$C$1:$G$99999,5,FALSE)</f>
        <v>MOSES BRADLEY</v>
      </c>
      <c r="M105" s="6">
        <f t="shared" si="31"/>
        <v>2.5648148148320615E-2</v>
      </c>
      <c r="N105" s="7">
        <f t="shared" si="44"/>
        <v>36.933333333581686</v>
      </c>
      <c r="O105" s="7"/>
      <c r="P105" s="7"/>
      <c r="Q105" s="23"/>
      <c r="R105" s="23"/>
      <c r="S105" s="35">
        <f t="shared" si="32"/>
        <v>1</v>
      </c>
      <c r="T105" s="50" t="str">
        <f t="shared" si="3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14:11:48-700',mode:absolute,to:'2016-12-02 16:52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5" s="52" t="str">
        <f t="shared" si="35"/>
        <v>N</v>
      </c>
      <c r="X105" s="177">
        <f t="shared" si="41"/>
        <v>1</v>
      </c>
      <c r="Y105" s="67">
        <f t="shared" si="45"/>
        <v>4.4699999999999997E-2</v>
      </c>
      <c r="Z105" s="67">
        <f t="shared" si="46"/>
        <v>23.3325</v>
      </c>
      <c r="AA105" s="67">
        <f t="shared" si="36"/>
        <v>23.287800000000001</v>
      </c>
      <c r="AB105" s="64" t="str">
        <f>VLOOKUP(A105,Enforcements!$C$7:$K$19,8,0)</f>
        <v>Track device (7)</v>
      </c>
      <c r="AC105" s="60" t="str">
        <f>VLOOKUP(A105,Enforcements!$C$7:$E$19,3,0)</f>
        <v>SWITCH UNKNOWN</v>
      </c>
      <c r="AD105" s="61" t="str">
        <f t="shared" si="37"/>
        <v>0193-02</v>
      </c>
      <c r="AE105" s="91" t="str">
        <f t="shared" si="38"/>
        <v>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 &amp; 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</v>
      </c>
      <c r="AF105" s="88" t="str">
        <f t="shared" si="39"/>
        <v>"C:\Program Files (x86)\AstroGrep\AstroGrep.exe" /spath="%USERPROFILE%\AppData\Local\Temp\OnboardLogs" /stypes="app*4003*20161202*" /stext=" 22:.+((SYSTEM_STATE.+slice.+state.+changed )|(ment ac)|(multiple cpu faults)|(system.+state.+changed )|(\[timeout)|(PRM\|1\|D)|(kpr)|(kdp)|(\|lc)|(penalty))" /e /r /s</v>
      </c>
      <c r="AG105" s="1" t="str">
        <f t="shared" si="40"/>
        <v>EC</v>
      </c>
      <c r="AH105" s="92" t="str">
        <f t="shared" si="42"/>
        <v>"%USERPROFILE%\Documents\GitHub\eaglep3\Utilities\RefineRTDCRunTimes.py" --tripid 193-02 --locoid 4003 --swversion DE.1.0.8.0 --startMP 204:447 --initTime 2016-12-02T15:11:48 --startdatetime 2016-12-02T15:15:23 --delay 1 --endMP 204:233325 --enddatetime 2016-12-02T15:52:19 --enforcementcount 0 &gt;&gt;C:\Users\stu\Documents\GitHub\eaglep3-reporting\EC\2016-12-02-refined-times.txt</v>
      </c>
      <c r="AI105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{"issue":{"subject":"","project_id":79,"tracker_id":40,"status_id":1,"priority_id":2,"assigned_to_id":23,"start_date":"2016-12-02","description":"","custom_fields":[{"id":1,"name":"Subdivision","value":"EC"},{"id":4,"name":"Milepost","value":"23.3325"},{"id":17,"name":"Train ID","value":"193-02"},{"id":16,"name":"Locomotive ID","value":"4003"},{"id":130,"name":"Impact","value":""},{"id":150,"name":"Time of Event (Mountain Time)","value":"15:52:19"},{"id":151,"name":"Denver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594</v>
      </c>
      <c r="B106" s="7">
        <v>4004</v>
      </c>
      <c r="C106" s="22" t="s">
        <v>210</v>
      </c>
      <c r="D106" s="22" t="s">
        <v>305</v>
      </c>
      <c r="E106" s="13">
        <v>42706.670810185184</v>
      </c>
      <c r="F106" s="13">
        <v>42706.674733796295</v>
      </c>
      <c r="G106" s="7">
        <v>1</v>
      </c>
      <c r="H106" s="22" t="s">
        <v>690</v>
      </c>
      <c r="I106" s="13">
        <v>42706.701388888891</v>
      </c>
      <c r="J106" s="7">
        <v>0</v>
      </c>
      <c r="K106" s="109" t="str">
        <f t="shared" si="30"/>
        <v>4003/4004</v>
      </c>
      <c r="L106" s="22" t="str">
        <f>VLOOKUP(A106,'Trips&amp;Operators'!$C$1:$G$99999,5,FALSE)</f>
        <v>MOSES BRADLEY</v>
      </c>
      <c r="M106" s="6">
        <f t="shared" si="31"/>
        <v>2.6655092595319729E-2</v>
      </c>
      <c r="N106" s="7">
        <f t="shared" si="44"/>
        <v>38.38333333726041</v>
      </c>
      <c r="O106" s="7"/>
      <c r="P106" s="7"/>
      <c r="Q106" s="23"/>
      <c r="R106" s="23"/>
      <c r="S106" s="35">
        <f t="shared" si="32"/>
        <v>1</v>
      </c>
      <c r="T106" s="50" t="str">
        <f t="shared" si="3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15:05:58-700',mode:absolute,to:'2016-12-02 17:50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6" s="52" t="str">
        <f t="shared" si="35"/>
        <v>N</v>
      </c>
      <c r="X106" s="177">
        <f t="shared" si="41"/>
        <v>1</v>
      </c>
      <c r="Y106" s="67">
        <f t="shared" si="45"/>
        <v>23.301300000000001</v>
      </c>
      <c r="Z106" s="67">
        <f t="shared" si="46"/>
        <v>1.72E-2</v>
      </c>
      <c r="AA106" s="67">
        <f t="shared" si="36"/>
        <v>23.284100000000002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7"/>
        <v>0194-02</v>
      </c>
      <c r="AE106" s="91" t="str">
        <f t="shared" si="38"/>
        <v>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 &amp; 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</v>
      </c>
      <c r="AF106" s="88" t="str">
        <f t="shared" si="39"/>
        <v>"C:\Program Files (x86)\AstroGrep\AstroGrep.exe" /spath="%USERPROFILE%\AppData\Local\Temp\OnboardLogs" /stypes="app*4004*20161202*" /stext=" 23:.+((SYSTEM_STATE.+slice.+state.+changed )|(ment ac)|(multiple cpu faults)|(system.+state.+changed )|(\[timeout)|(PRM\|1\|D)|(kpr)|(kdp)|(\|lc)|(penalty))" /e /r /s</v>
      </c>
      <c r="AG106" s="1" t="str">
        <f t="shared" si="40"/>
        <v>EC</v>
      </c>
      <c r="AH106" s="92" t="str">
        <f t="shared" si="42"/>
        <v>"%USERPROFILE%\Documents\GitHub\eaglep3\Utilities\RefineRTDCRunTimes.py" --tripid 194-02 --locoid 4004 --swversion DE.1.0.8.0 --startMP 204:233013 --initTime 2016-12-02T16:05:58 --startdatetime 2016-12-02T16:11:37 --delay 1 --endMP 204:172 --enddatetime 2016-12-02T16:50:00 --enforcementcount 0 &gt;&gt;C:\Users\stu\Documents\GitHub\eaglep3-reporting\EC\2016-12-02-refined-times.txt</v>
      </c>
      <c r="AI106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{"issue":{"subject":"","project_id":79,"tracker_id":40,"status_id":1,"priority_id":2,"assigned_to_id":23,"start_date":"2016-12-02","description":"","custom_fields":[{"id":1,"name":"Subdivision","value":"EC"},{"id":4,"name":"Milepost","value":"0.0172"},{"id":17,"name":"Train ID","value":"194-02"},{"id":16,"name":"Locomotive ID","value":"4004"},{"id":130,"name":"Impact","value":""},{"id":150,"name":"Time of Event (Mountain Time)","value":"16:50:00"},{"id":151,"name":"Denver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586</v>
      </c>
      <c r="B107" s="7">
        <v>4044</v>
      </c>
      <c r="C107" s="22" t="s">
        <v>210</v>
      </c>
      <c r="D107" s="22" t="s">
        <v>194</v>
      </c>
      <c r="E107" s="13">
        <v>42706.640243055554</v>
      </c>
      <c r="F107" s="13">
        <v>42706.646064814813</v>
      </c>
      <c r="G107" s="7">
        <v>1</v>
      </c>
      <c r="H107" s="22" t="s">
        <v>711</v>
      </c>
      <c r="I107" s="13">
        <v>42706.671805555554</v>
      </c>
      <c r="J107" s="7">
        <v>0</v>
      </c>
      <c r="K107" s="109" t="str">
        <f t="shared" si="30"/>
        <v>4043/4044</v>
      </c>
      <c r="L107" s="22" t="str">
        <f>VLOOKUP(A107,'Trips&amp;Operators'!$C$1:$G$99999,5,FALSE)</f>
        <v>SMITH MICHAEL</v>
      </c>
      <c r="M107" s="6">
        <f t="shared" si="31"/>
        <v>2.5740740740729962E-2</v>
      </c>
      <c r="N107" s="7">
        <f t="shared" si="44"/>
        <v>37.066666666651145</v>
      </c>
      <c r="O107" s="7"/>
      <c r="P107" s="7"/>
      <c r="Q107" s="23"/>
      <c r="R107" s="23"/>
      <c r="S107" s="35">
        <f t="shared" si="32"/>
        <v>1</v>
      </c>
      <c r="T107" s="50" t="str">
        <f t="shared" si="3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14:21:57-700',mode:absolute,to:'2016-12-02 17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7" s="52" t="str">
        <f t="shared" si="35"/>
        <v>N</v>
      </c>
      <c r="X107" s="177">
        <f t="shared" si="41"/>
        <v>1</v>
      </c>
      <c r="Y107" s="67">
        <f t="shared" si="45"/>
        <v>4.4699999999999997E-2</v>
      </c>
      <c r="Z107" s="67">
        <f t="shared" si="46"/>
        <v>23.3291</v>
      </c>
      <c r="AA107" s="67">
        <f t="shared" si="36"/>
        <v>23.284400000000002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7"/>
        <v>0195-02</v>
      </c>
      <c r="AE107" s="91" t="str">
        <f t="shared" si="38"/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107" s="88" t="str">
        <f t="shared" si="39"/>
        <v>"C:\Program Files (x86)\AstroGrep\AstroGrep.exe" /spath="%USERPROFILE%\AppData\Local\Temp\OnboardLogs" /stypes="app*4044*20161202*" /stext=" 23:.+((SYSTEM_STATE.+slice.+state.+changed )|(ment ac)|(multiple cpu faults)|(system.+state.+changed )|(\[timeout)|(PRM\|1\|D)|(kpr)|(kdp)|(\|lc)|(penalty))" /e /r /s</v>
      </c>
      <c r="AG107" s="1" t="str">
        <f t="shared" si="40"/>
        <v>EC</v>
      </c>
      <c r="AH107" s="92" t="str">
        <f t="shared" si="42"/>
        <v>"%USERPROFILE%\Documents\GitHub\eaglep3\Utilities\RefineRTDCRunTimes.py" --tripid 195-02 --locoid 4044 --swversion DE.1.0.8.0 --startMP 204:447 --initTime 2016-12-02T15:21:57 --startdatetime 2016-12-02T15:30:20 --delay 1 --endMP 204:233291 --enddatetime 2016-12-02T16:07:24 --enforcementcount 0 &gt;&gt;C:\Users\stu\Documents\GitHub\eaglep3-reporting\EC\2016-12-02-refined-times.txt</v>
      </c>
      <c r="AI107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{"issue":{"subject":"","project_id":79,"tracker_id":40,"status_id":1,"priority_id":2,"assigned_to_id":23,"start_date":"2016-12-02","description":"","custom_fields":[{"id":1,"name":"Subdivision","value":"EC"},{"id":4,"name":"Milepost","value":"23.3291"},{"id":17,"name":"Train ID","value":"195-02"},{"id":16,"name":"Locomotive ID","value":"4044"},{"id":130,"name":"Impact","value":""},{"id":150,"name":"Time of Event (Mountain Time)","value":"16:07:24"},{"id":151,"name":"Denver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597</v>
      </c>
      <c r="B108" s="7">
        <v>4043</v>
      </c>
      <c r="C108" s="22" t="s">
        <v>210</v>
      </c>
      <c r="D108" s="22" t="s">
        <v>716</v>
      </c>
      <c r="E108" s="13">
        <v>42706.676898148151</v>
      </c>
      <c r="F108" s="13">
        <v>42706.685127314813</v>
      </c>
      <c r="G108" s="7">
        <v>1</v>
      </c>
      <c r="H108" s="22" t="s">
        <v>206</v>
      </c>
      <c r="I108" s="13">
        <v>42706.712013888886</v>
      </c>
      <c r="J108" s="7">
        <v>0</v>
      </c>
      <c r="K108" s="109" t="str">
        <f t="shared" si="30"/>
        <v>4043/4044</v>
      </c>
      <c r="L108" s="22" t="str">
        <f>VLOOKUP(A108,'Trips&amp;Operators'!$C$1:$G$99999,5,FALSE)</f>
        <v>SMITH MICHAEL</v>
      </c>
      <c r="M108" s="6">
        <f t="shared" si="31"/>
        <v>2.6886574072705116E-2</v>
      </c>
      <c r="N108" s="7">
        <f t="shared" si="44"/>
        <v>38.716666664695367</v>
      </c>
      <c r="O108" s="7"/>
      <c r="P108" s="7"/>
      <c r="Q108" s="23"/>
      <c r="R108" s="23"/>
      <c r="S108" s="35">
        <f t="shared" si="32"/>
        <v>1</v>
      </c>
      <c r="T108" s="50" t="str">
        <f t="shared" si="3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15:14:44-700',mode:absolute,to:'2016-12-02 18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8" s="52" t="str">
        <f t="shared" si="35"/>
        <v>N</v>
      </c>
      <c r="X108" s="177">
        <f t="shared" si="41"/>
        <v>1</v>
      </c>
      <c r="Y108" s="67">
        <f t="shared" si="45"/>
        <v>23.296500000000002</v>
      </c>
      <c r="Z108" s="67">
        <f t="shared" si="46"/>
        <v>1.5599999999999999E-2</v>
      </c>
      <c r="AA108" s="67">
        <f t="shared" si="36"/>
        <v>23.280900000000003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7"/>
        <v>0196-02</v>
      </c>
      <c r="AE108" s="91" t="str">
        <f t="shared" si="38"/>
        <v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v>
      </c>
      <c r="AF108" s="88" t="str">
        <f t="shared" si="39"/>
        <v>"C:\Program Files (x86)\AstroGrep\AstroGrep.exe" /spath="%USERPROFILE%\AppData\Local\Temp\OnboardLogs" /stypes="app*4043*20161203*" /stext=" 00:.+((SYSTEM_STATE.+slice.+state.+changed )|(ment ac)|(multiple cpu faults)|(system.+state.+changed )|(\[timeout)|(PRM\|1\|D)|(kpr)|(kdp)|(\|lc)|(penalty))" /e /r /s</v>
      </c>
      <c r="AG108" s="1" t="str">
        <f t="shared" si="40"/>
        <v>EC</v>
      </c>
      <c r="AH108" s="92" t="str">
        <f t="shared" si="42"/>
        <v>"%USERPROFILE%\Documents\GitHub\eaglep3\Utilities\RefineRTDCRunTimes.py" --tripid 196-02 --locoid 4043 --swversion DE.1.0.8.0 --startMP 204:232965 --initTime 2016-12-02T16:14:44 --startdatetime 2016-12-02T16:26:35 --delay 1 --endMP 204:156 --enddatetime 2016-12-02T17:05:18 --enforcementcount 0 &gt;&gt;C:\Users\stu\Documents\GitHub\eaglep3-reporting\EC\2016-12-02-refined-times.txt</v>
      </c>
      <c r="AI108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{"issue":{"subject":"","project_id":79,"tracker_id":40,"status_id":1,"priority_id":2,"assigned_to_id":23,"start_date":"2016-12-02","description":"","custom_fields":[{"id":1,"name":"Subdivision","value":"EC"},{"id":4,"name":"Milepost","value":"0.0156"},{"id":17,"name":"Train ID","value":"196-02"},{"id":16,"name":"Locomotive ID","value":"4043"},{"id":130,"name":"Impact","value":""},{"id":150,"name":"Time of Event (Mountain Time)","value":"17:05:18"},{"id":151,"name":"Denver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591</v>
      </c>
      <c r="B109" s="7">
        <v>4027</v>
      </c>
      <c r="C109" s="22" t="s">
        <v>210</v>
      </c>
      <c r="D109" s="22" t="s">
        <v>691</v>
      </c>
      <c r="E109" s="13">
        <v>42706.649675925924</v>
      </c>
      <c r="F109" s="13">
        <v>42706.656423611108</v>
      </c>
      <c r="G109" s="7">
        <v>3</v>
      </c>
      <c r="H109" s="22" t="s">
        <v>717</v>
      </c>
      <c r="I109" s="13">
        <v>42706.680983796294</v>
      </c>
      <c r="J109" s="7">
        <v>0</v>
      </c>
      <c r="K109" s="109" t="str">
        <f t="shared" si="30"/>
        <v>4027/4028</v>
      </c>
      <c r="L109" s="22" t="str">
        <f>VLOOKUP(A109,'Trips&amp;Operators'!$C$1:$G$99999,5,FALSE)</f>
        <v>SHOOK JOHN</v>
      </c>
      <c r="M109" s="6">
        <f t="shared" si="31"/>
        <v>2.4560185185691807E-2</v>
      </c>
      <c r="N109" s="7">
        <f t="shared" si="44"/>
        <v>35.366666667396203</v>
      </c>
      <c r="O109" s="7"/>
      <c r="P109" s="7"/>
      <c r="Q109" s="23"/>
      <c r="R109" s="23"/>
      <c r="S109" s="35">
        <f t="shared" ref="S109:S137" si="47">SUM(U109:U109)/IF(AG109="EC",12,1)</f>
        <v>1</v>
      </c>
      <c r="T109" s="50" t="str">
        <f t="shared" si="3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14:35:32-700',mode:absolute,to:'2016-12-02 17:20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9" s="52" t="str">
        <f t="shared" si="35"/>
        <v>N</v>
      </c>
      <c r="X109" s="177">
        <f t="shared" si="41"/>
        <v>1</v>
      </c>
      <c r="Y109" s="67">
        <f t="shared" si="45"/>
        <v>4.4400000000000002E-2</v>
      </c>
      <c r="Z109" s="67">
        <f t="shared" si="46"/>
        <v>23.338000000000001</v>
      </c>
      <c r="AA109" s="67">
        <f t="shared" si="36"/>
        <v>23.293600000000001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7"/>
        <v>0197-02</v>
      </c>
      <c r="AE109" s="91" t="str">
        <f t="shared" si="38"/>
        <v>aws s3 cp s3://rtdc.mdm.uploadarchive.raw/RTDC4027/ "%USERPROFILE%\AppData\Local\Temp\OnboardLogs"\RTDC4027\2016-12-02 --exclude "*" --recursive --include "*20161202*" &amp; "%USERPROFILE%\Documents\GitHub\mrs-test-scripts\Headless Mode &amp; Sideloading\WalkAndUnGZ.bat" "%USERPROFILE%\AppData\Local\Temp\OnboardLogs"\RTDC4027\2016-12-02 &amp; 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</v>
      </c>
      <c r="AF109" s="88" t="str">
        <f t="shared" si="39"/>
        <v>"C:\Program Files (x86)\AstroGrep\AstroGrep.exe" /spath="%USERPROFILE%\AppData\Local\Temp\OnboardLogs" /stypes="app*4027*20161202*" /stext=" 23:.+((SYSTEM_STATE.+slice.+state.+changed )|(ment ac)|(multiple cpu faults)|(system.+state.+changed )|(\[timeout)|(PRM\|1\|D)|(kpr)|(kdp)|(\|lc)|(penalty))" /e /r /s</v>
      </c>
      <c r="AG109" s="1" t="str">
        <f t="shared" si="40"/>
        <v>EC</v>
      </c>
      <c r="AH109" s="92" t="str">
        <f t="shared" si="42"/>
        <v>"%USERPROFILE%\Documents\GitHub\eaglep3\Utilities\RefineRTDCRunTimes.py" --tripid 197-02 --locoid 4027 --swversion DE.1.0.8.0 --startMP 204:444 --initTime 2016-12-02T15:35:32 --startdatetime 2016-12-02T15:45:15 --delay 3 --endMP 204:233380 --enddatetime 2016-12-02T16:20:37 --enforcementcount 0 &gt;&gt;C:\Users\stu\Documents\GitHub\eaglep3-reporting\EC\2016-12-02-refined-times.txt</v>
      </c>
      <c r="AI109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{"issue":{"subject":"","project_id":79,"tracker_id":40,"status_id":1,"priority_id":2,"assigned_to_id":23,"start_date":"2016-12-02","description":"","custom_fields":[{"id":1,"name":"Subdivision","value":"EC"},{"id":4,"name":"Milepost","value":"23.338"},{"id":17,"name":"Train ID","value":"197-02"},{"id":16,"name":"Locomotive ID","value":"4027"},{"id":130,"name":"Impact","value":""},{"id":150,"name":"Time of Event (Mountain Time)","value":"16:20:37"},{"id":151,"name":"Denver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600</v>
      </c>
      <c r="B110" s="7">
        <v>4028</v>
      </c>
      <c r="C110" s="22" t="s">
        <v>210</v>
      </c>
      <c r="D110" s="22" t="s">
        <v>718</v>
      </c>
      <c r="E110" s="13">
        <v>42706.689189814817</v>
      </c>
      <c r="F110" s="13">
        <v>42706.695381944446</v>
      </c>
      <c r="G110" s="7">
        <v>1</v>
      </c>
      <c r="H110" s="22" t="s">
        <v>241</v>
      </c>
      <c r="I110" s="13">
        <v>42706.723009259258</v>
      </c>
      <c r="J110" s="7">
        <v>0</v>
      </c>
      <c r="K110" s="109" t="str">
        <f t="shared" si="30"/>
        <v>4027/4028</v>
      </c>
      <c r="L110" s="22" t="str">
        <f>VLOOKUP(A110,'Trips&amp;Operators'!$C$1:$G$99999,5,FALSE)</f>
        <v>SHOOK JOHN</v>
      </c>
      <c r="M110" s="6">
        <f t="shared" si="31"/>
        <v>2.7627314811979886E-2</v>
      </c>
      <c r="N110" s="7">
        <f t="shared" si="44"/>
        <v>39.783333329251036</v>
      </c>
      <c r="O110" s="7"/>
      <c r="P110" s="7"/>
      <c r="Q110" s="23"/>
      <c r="R110" s="23"/>
      <c r="S110" s="35">
        <f t="shared" si="47"/>
        <v>1</v>
      </c>
      <c r="T110" s="50" t="str">
        <f t="shared" si="3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15:32:26-700',mode:absolute,to:'2016-12-02 18:21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0" s="52" t="str">
        <f t="shared" si="35"/>
        <v>N</v>
      </c>
      <c r="X110" s="177">
        <f t="shared" ref="X110:X137" si="48">VALUE(LEFT(AD110,4))-VALUE(LEFT(AD109,4))</f>
        <v>1</v>
      </c>
      <c r="Y110" s="67">
        <f t="shared" si="45"/>
        <v>23.305299999999999</v>
      </c>
      <c r="Z110" s="67">
        <f t="shared" si="46"/>
        <v>1.47E-2</v>
      </c>
      <c r="AA110" s="67">
        <f t="shared" si="36"/>
        <v>23.290599999999998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7"/>
        <v>0198-02</v>
      </c>
      <c r="AE110" s="91" t="str">
        <f t="shared" si="38"/>
        <v>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 &amp; 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</v>
      </c>
      <c r="AF110" s="88" t="str">
        <f t="shared" si="39"/>
        <v>"C:\Program Files (x86)\AstroGrep\AstroGrep.exe" /spath="%USERPROFILE%\AppData\Local\Temp\OnboardLogs" /stypes="app*4028*20161203*" /stext=" 00:.+((SYSTEM_STATE.+slice.+state.+changed )|(ment ac)|(multiple cpu faults)|(system.+state.+changed )|(\[timeout)|(PRM\|1\|D)|(kpr)|(kdp)|(\|lc)|(penalty))" /e /r /s</v>
      </c>
      <c r="AG110" s="1" t="str">
        <f t="shared" si="40"/>
        <v>EC</v>
      </c>
      <c r="AH110" s="92" t="str">
        <f t="shared" si="42"/>
        <v>"%USERPROFILE%\Documents\GitHub\eaglep3\Utilities\RefineRTDCRunTimes.py" --tripid 198-02 --locoid 4028 --swversion DE.1.0.8.0 --startMP 204:233053 --initTime 2016-12-02T16:32:26 --startdatetime 2016-12-02T16:41:21 --delay 1 --endMP 204:147 --enddatetime 2016-12-02T17:21:08 --enforcementcount 0 &gt;&gt;C:\Users\stu\Documents\GitHub\eaglep3-reporting\EC\2016-12-02-refined-times.txt</v>
      </c>
      <c r="AI110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{"issue":{"subject":"","project_id":79,"tracker_id":40,"status_id":1,"priority_id":2,"assigned_to_id":23,"start_date":"2016-12-02","description":"","custom_fields":[{"id":1,"name":"Subdivision","value":"EC"},{"id":4,"name":"Milepost","value":"0.0147"},{"id":17,"name":"Train ID","value":"198-02"},{"id":16,"name":"Locomotive ID","value":"4028"},{"id":130,"name":"Impact","value":""},{"id":150,"name":"Time of Event (Mountain Time)","value":"17:21:08"},{"id":151,"name":"Denver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593</v>
      </c>
      <c r="B111" s="7">
        <v>4022</v>
      </c>
      <c r="C111" s="22" t="s">
        <v>210</v>
      </c>
      <c r="D111" s="22" t="s">
        <v>194</v>
      </c>
      <c r="E111" s="13">
        <v>42706.661643518521</v>
      </c>
      <c r="F111" s="13">
        <v>42706.667025462964</v>
      </c>
      <c r="G111" s="7">
        <v>1</v>
      </c>
      <c r="H111" s="22" t="s">
        <v>719</v>
      </c>
      <c r="I111" s="13">
        <v>42706.692569444444</v>
      </c>
      <c r="J111" s="7">
        <v>0</v>
      </c>
      <c r="K111" s="109" t="str">
        <f t="shared" si="30"/>
        <v>4021/4022</v>
      </c>
      <c r="L111" s="22" t="str">
        <f>VLOOKUP(A111,'Trips&amp;Operators'!$C$1:$G$99999,5,FALSE)</f>
        <v>STORY SAMANTHA</v>
      </c>
      <c r="M111" s="6">
        <f t="shared" si="31"/>
        <v>2.5543981479131617E-2</v>
      </c>
      <c r="N111" s="7">
        <f t="shared" si="44"/>
        <v>36.783333329949528</v>
      </c>
      <c r="O111" s="7"/>
      <c r="P111" s="7"/>
      <c r="Q111" s="23"/>
      <c r="R111" s="23"/>
      <c r="S111" s="35">
        <f t="shared" si="47"/>
        <v>1</v>
      </c>
      <c r="T111" s="50" t="str">
        <f t="shared" si="3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14:52:46-700',mode:absolute,to:'2016-12-02 17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1" s="52" t="str">
        <f t="shared" si="35"/>
        <v>N</v>
      </c>
      <c r="X111" s="177">
        <f t="shared" si="48"/>
        <v>1</v>
      </c>
      <c r="Y111" s="67">
        <f t="shared" si="45"/>
        <v>4.4699999999999997E-2</v>
      </c>
      <c r="Z111" s="67">
        <f t="shared" si="46"/>
        <v>23.335999999999999</v>
      </c>
      <c r="AA111" s="67">
        <f t="shared" si="36"/>
        <v>23.2913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7"/>
        <v>0199-02</v>
      </c>
      <c r="AE111" s="91" t="str">
        <f t="shared" si="38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111" s="88" t="str">
        <f t="shared" si="39"/>
        <v>"C:\Program Files (x86)\AstroGrep\AstroGrep.exe" /spath="%USERPROFILE%\AppData\Local\Temp\OnboardLogs" /stypes="app*4022*20161202*" /stext=" 23:.+((SYSTEM_STATE.+slice.+state.+changed )|(ment ac)|(multiple cpu faults)|(system.+state.+changed )|(\[timeout)|(PRM\|1\|D)|(kpr)|(kdp)|(\|lc)|(penalty))" /e /r /s</v>
      </c>
      <c r="AG111" s="1" t="str">
        <f t="shared" si="40"/>
        <v>EC</v>
      </c>
      <c r="AH111" s="92" t="str">
        <f t="shared" si="42"/>
        <v>"%USERPROFILE%\Documents\GitHub\eaglep3\Utilities\RefineRTDCRunTimes.py" --tripid 199-02 --locoid 4022 --swversion DE.1.0.8.0 --startMP 204:447 --initTime 2016-12-02T15:52:46 --startdatetime 2016-12-02T16:00:31 --delay 1 --endMP 204:233360 --enddatetime 2016-12-02T16:37:18 --enforcementcount 0 &gt;&gt;C:\Users\stu\Documents\GitHub\eaglep3-reporting\EC\2016-12-02-refined-times.txt</v>
      </c>
      <c r="AI111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{"issue":{"subject":"","project_id":79,"tracker_id":40,"status_id":1,"priority_id":2,"assigned_to_id":23,"start_date":"2016-12-02","description":"","custom_fields":[{"id":1,"name":"Subdivision","value":"EC"},{"id":4,"name":"Milepost","value":"23.336"},{"id":17,"name":"Train ID","value":"199-02"},{"id":16,"name":"Locomotive ID","value":"4022"},{"id":130,"name":"Impact","value":""},{"id":150,"name":"Time of Event (Mountain Time)","value":"16:37:18"},{"id":151,"name":"Denver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603</v>
      </c>
      <c r="B112" s="7">
        <v>4021</v>
      </c>
      <c r="C112" s="22" t="s">
        <v>210</v>
      </c>
      <c r="D112" s="22" t="s">
        <v>720</v>
      </c>
      <c r="E112" s="13">
        <v>42706.701111111113</v>
      </c>
      <c r="F112" s="13">
        <v>42706.705833333333</v>
      </c>
      <c r="G112" s="7">
        <v>1</v>
      </c>
      <c r="H112" s="22" t="s">
        <v>251</v>
      </c>
      <c r="I112" s="13">
        <v>42706.733287037037</v>
      </c>
      <c r="J112" s="7">
        <v>0</v>
      </c>
      <c r="K112" s="109" t="str">
        <f t="shared" si="30"/>
        <v>4021/4022</v>
      </c>
      <c r="L112" s="22" t="str">
        <f>VLOOKUP(A112,'Trips&amp;Operators'!$C$1:$G$99999,5,FALSE)</f>
        <v>STORY SAMANTHA</v>
      </c>
      <c r="M112" s="6">
        <f t="shared" si="31"/>
        <v>2.7453703703940846E-2</v>
      </c>
      <c r="N112" s="7">
        <f t="shared" si="44"/>
        <v>39.533333333674818</v>
      </c>
      <c r="O112" s="7"/>
      <c r="P112" s="7"/>
      <c r="Q112" s="23"/>
      <c r="R112" s="23"/>
      <c r="S112" s="35">
        <f t="shared" si="47"/>
        <v>1</v>
      </c>
      <c r="T112" s="50" t="str">
        <f t="shared" si="3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15:49:36-700',mode:absolute,to:'2016-12-02 18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2" s="52" t="str">
        <f t="shared" si="35"/>
        <v>N</v>
      </c>
      <c r="X112" s="177">
        <f t="shared" si="48"/>
        <v>1</v>
      </c>
      <c r="Y112" s="67">
        <f t="shared" si="45"/>
        <v>23.303799999999999</v>
      </c>
      <c r="Z112" s="67">
        <f t="shared" si="46"/>
        <v>1.3899999999999999E-2</v>
      </c>
      <c r="AA112" s="67">
        <f t="shared" si="36"/>
        <v>23.289899999999999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7"/>
        <v>0200-02</v>
      </c>
      <c r="AE112" s="91" t="str">
        <f t="shared" si="38"/>
        <v>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 &amp; 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</v>
      </c>
      <c r="AF112" s="88" t="str">
        <f t="shared" si="39"/>
        <v>"C:\Program Files (x86)\AstroGrep\AstroGrep.exe" /spath="%USERPROFILE%\AppData\Local\Temp\OnboardLogs" /stypes="app*4021*20161203*" /stext=" 00:.+((SYSTEM_STATE.+slice.+state.+changed )|(ment ac)|(multiple cpu faults)|(system.+state.+changed )|(\[timeout)|(PRM\|1\|D)|(kpr)|(kdp)|(\|lc)|(penalty))" /e /r /s</v>
      </c>
      <c r="AG112" s="1" t="str">
        <f t="shared" si="40"/>
        <v>EC</v>
      </c>
      <c r="AH112" s="92" t="str">
        <f t="shared" si="42"/>
        <v>"%USERPROFILE%\Documents\GitHub\eaglep3\Utilities\RefineRTDCRunTimes.py" --tripid 200-02 --locoid 4021 --swversion DE.1.0.8.0 --startMP 204:233038 --initTime 2016-12-02T16:49:36 --startdatetime 2016-12-02T16:56:24 --delay 1 --endMP 204:139 --enddatetime 2016-12-02T17:35:56 --enforcementcount 0 &gt;&gt;C:\Users\stu\Documents\GitHub\eaglep3-reporting\EC\2016-12-02-refined-times.txt</v>
      </c>
      <c r="AI112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{"issue":{"subject":"","project_id":79,"tracker_id":40,"status_id":1,"priority_id":2,"assigned_to_id":23,"start_date":"2016-12-02","description":"","custom_fields":[{"id":1,"name":"Subdivision","value":"EC"},{"id":4,"name":"Milepost","value":"0.0139"},{"id":17,"name":"Train ID","value":"200-02"},{"id":16,"name":"Locomotive ID","value":"4021"},{"id":130,"name":"Impact","value":""},{"id":150,"name":"Time of Event (Mountain Time)","value":"17:35:56"},{"id":151,"name":"Denver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595</v>
      </c>
      <c r="B113" s="7">
        <v>4014</v>
      </c>
      <c r="C113" s="22" t="s">
        <v>210</v>
      </c>
      <c r="D113" s="22" t="s">
        <v>696</v>
      </c>
      <c r="E113" s="13">
        <v>42706.672372685185</v>
      </c>
      <c r="F113" s="13">
        <v>42706.677395833336</v>
      </c>
      <c r="G113" s="7">
        <v>1</v>
      </c>
      <c r="H113" s="22" t="s">
        <v>411</v>
      </c>
      <c r="I113" s="13">
        <v>42706.702187499999</v>
      </c>
      <c r="J113" s="7">
        <v>0</v>
      </c>
      <c r="K113" s="109" t="str">
        <f t="shared" si="30"/>
        <v>4013/4014</v>
      </c>
      <c r="L113" s="22" t="str">
        <f>VLOOKUP(A113,'Trips&amp;Operators'!$C$1:$G$99999,5,FALSE)</f>
        <v>STEWART MICHAEL</v>
      </c>
      <c r="M113" s="6">
        <f t="shared" si="31"/>
        <v>2.4791666663077194E-2</v>
      </c>
      <c r="N113" s="7">
        <f t="shared" si="44"/>
        <v>35.69999999483116</v>
      </c>
      <c r="O113" s="7"/>
      <c r="P113" s="7"/>
      <c r="Q113" s="23"/>
      <c r="R113" s="23"/>
      <c r="S113" s="35">
        <f t="shared" si="47"/>
        <v>1</v>
      </c>
      <c r="T113" s="50" t="str">
        <f t="shared" si="3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15:08:13-700',mode:absolute,to:'2016-12-02 17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3" s="52" t="str">
        <f t="shared" si="35"/>
        <v>N</v>
      </c>
      <c r="X113" s="177">
        <f t="shared" si="48"/>
        <v>1</v>
      </c>
      <c r="Y113" s="67">
        <f t="shared" si="45"/>
        <v>4.8800000000000003E-2</v>
      </c>
      <c r="Z113" s="67">
        <f t="shared" si="46"/>
        <v>23.334</v>
      </c>
      <c r="AA113" s="67">
        <f t="shared" si="36"/>
        <v>23.2852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7"/>
        <v>0201-02</v>
      </c>
      <c r="AE113" s="91" t="str">
        <f t="shared" si="38"/>
        <v>aws s3 cp s3://rtdc.mdm.uploadarchive.raw/RTDC4014/ "%USERPROFILE%\AppData\Local\Temp\OnboardLogs"\RTDC4014\2016-12-02 --exclude "*" --recursive --include "*20161202*" &amp; "%USERPROFILE%\Documents\GitHub\mrs-test-scripts\Headless Mode &amp; Sideloading\WalkAndUnGZ.bat" "%USERPROFILE%\AppData\Local\Temp\OnboardLogs"\RTDC4014\2016-12-02 &amp; 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</v>
      </c>
      <c r="AF113" s="88" t="str">
        <f t="shared" si="39"/>
        <v>"C:\Program Files (x86)\AstroGrep\AstroGrep.exe" /spath="%USERPROFILE%\AppData\Local\Temp\OnboardLogs" /stypes="app*4014*20161202*" /stext=" 23:.+((SYSTEM_STATE.+slice.+state.+changed )|(ment ac)|(multiple cpu faults)|(system.+state.+changed )|(\[timeout)|(PRM\|1\|D)|(kpr)|(kdp)|(\|lc)|(penalty))" /e /r /s</v>
      </c>
      <c r="AG113" s="1" t="str">
        <f t="shared" si="40"/>
        <v>EC</v>
      </c>
      <c r="AH113" s="92" t="str">
        <f t="shared" si="42"/>
        <v>"%USERPROFILE%\Documents\GitHub\eaglep3\Utilities\RefineRTDCRunTimes.py" --tripid 201-02 --locoid 4014 --swversion DE.1.0.8.0 --startMP 204:488 --initTime 2016-12-02T16:08:13 --startdatetime 2016-12-02T16:15:27 --delay 1 --endMP 204:233340 --enddatetime 2016-12-02T16:51:09 --enforcementcount 0 &gt;&gt;C:\Users\stu\Documents\GitHub\eaglep3-reporting\EC\2016-12-02-refined-times.txt</v>
      </c>
      <c r="AI113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{"issue":{"subject":"","project_id":79,"tracker_id":40,"status_id":1,"priority_id":2,"assigned_to_id":23,"start_date":"2016-12-02","description":"","custom_fields":[{"id":1,"name":"Subdivision","value":"EC"},{"id":4,"name":"Milepost","value":"23.334"},{"id":17,"name":"Train ID","value":"201-02"},{"id":16,"name":"Locomotive ID","value":"4014"},{"id":130,"name":"Impact","value":""},{"id":150,"name":"Time of Event (Mountain Time)","value":"16:51:09"},{"id":151,"name":"Denver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606</v>
      </c>
      <c r="B114" s="7">
        <v>4013</v>
      </c>
      <c r="C114" s="22" t="s">
        <v>210</v>
      </c>
      <c r="D114" s="22" t="s">
        <v>409</v>
      </c>
      <c r="E114" s="13">
        <v>42706.712291666663</v>
      </c>
      <c r="F114" s="13">
        <v>42706.716423611113</v>
      </c>
      <c r="G114" s="7">
        <v>1</v>
      </c>
      <c r="H114" s="22" t="s">
        <v>700</v>
      </c>
      <c r="I114" s="13">
        <v>42706.742997685185</v>
      </c>
      <c r="J114" s="7">
        <v>0</v>
      </c>
      <c r="K114" s="109" t="str">
        <f t="shared" si="30"/>
        <v>4013/4014</v>
      </c>
      <c r="L114" s="22" t="str">
        <f>VLOOKUP(A114,'Trips&amp;Operators'!$C$1:$G$99999,5,FALSE)</f>
        <v>STEWART MICHAEL</v>
      </c>
      <c r="M114" s="6">
        <f t="shared" si="31"/>
        <v>2.6574074072414078E-2</v>
      </c>
      <c r="N114" s="7">
        <f t="shared" si="44"/>
        <v>38.266666664276272</v>
      </c>
      <c r="O114" s="7"/>
      <c r="P114" s="7"/>
      <c r="Q114" s="23"/>
      <c r="R114" s="23"/>
      <c r="S114" s="35">
        <f t="shared" si="47"/>
        <v>1</v>
      </c>
      <c r="T114" s="50" t="str">
        <f t="shared" si="3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16:05:42-700',mode:absolute,to:'2016-12-02 18:49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4" s="52" t="str">
        <f t="shared" si="35"/>
        <v>N</v>
      </c>
      <c r="X114" s="177">
        <f t="shared" si="48"/>
        <v>1</v>
      </c>
      <c r="Y114" s="67">
        <f t="shared" si="45"/>
        <v>23.298300000000001</v>
      </c>
      <c r="Z114" s="67">
        <f t="shared" si="46"/>
        <v>1.38E-2</v>
      </c>
      <c r="AA114" s="67">
        <f t="shared" si="36"/>
        <v>23.284500000000001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7"/>
        <v>0202-02</v>
      </c>
      <c r="AE114" s="91" t="str">
        <f t="shared" si="38"/>
        <v>aws s3 cp s3://rtdc.mdm.uploadarchive.raw/RTDC4013/ "%USERPROFILE%\AppData\Local\Temp\OnboardLogs"\RTDC4013\2016-12-02 --exclude "*" --recursive --include "*20161202*" &amp; "%USERPROFILE%\Documents\GitHub\mrs-test-scripts\Headless Mode &amp; Sideloading\WalkAndUnGZ.bat" "%USERPROFILE%\AppData\Local\Temp\OnboardLogs"\RTDC4013\2016-12-02 &amp; 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</v>
      </c>
      <c r="AF114" s="88" t="str">
        <f t="shared" si="39"/>
        <v>"C:\Program Files (x86)\AstroGrep\AstroGrep.exe" /spath="%USERPROFILE%\AppData\Local\Temp\OnboardLogs" /stypes="app*4013*20161203*" /stext=" 00:.+((SYSTEM_STATE.+slice.+state.+changed )|(ment ac)|(multiple cpu faults)|(system.+state.+changed )|(\[timeout)|(PRM\|1\|D)|(kpr)|(kdp)|(\|lc)|(penalty))" /e /r /s</v>
      </c>
      <c r="AG114" s="1" t="str">
        <f t="shared" si="40"/>
        <v>EC</v>
      </c>
      <c r="AH114" s="92" t="str">
        <f t="shared" si="42"/>
        <v>"%USERPROFILE%\Documents\GitHub\eaglep3\Utilities\RefineRTDCRunTimes.py" --tripid 202-02 --locoid 4013 --swversion DE.1.0.8.0 --startMP 204:232983 --initTime 2016-12-02T17:05:42 --startdatetime 2016-12-02T17:11:39 --delay 1 --endMP 204:138 --enddatetime 2016-12-02T17:49:55 --enforcementcount 0 &gt;&gt;C:\Users\stu\Documents\GitHub\eaglep3-reporting\EC\2016-12-02-refined-times.txt</v>
      </c>
      <c r="AI114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{"issue":{"subject":"","project_id":79,"tracker_id":40,"status_id":1,"priority_id":2,"assigned_to_id":23,"start_date":"2016-12-02","description":"","custom_fields":[{"id":1,"name":"Subdivision","value":"EC"},{"id":4,"name":"Milepost","value":"0.0138"},{"id":17,"name":"Train ID","value":"202-02"},{"id":16,"name":"Locomotive ID","value":"4013"},{"id":130,"name":"Impact","value":""},{"id":150,"name":"Time of Event (Mountain Time)","value":"17:49:55"},{"id":151,"name":"Denver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598</v>
      </c>
      <c r="B115" s="7">
        <v>4011</v>
      </c>
      <c r="C115" s="22" t="s">
        <v>210</v>
      </c>
      <c r="D115" s="22" t="s">
        <v>289</v>
      </c>
      <c r="E115" s="13">
        <v>42706.684027777781</v>
      </c>
      <c r="F115" s="13">
        <v>42706.687673611108</v>
      </c>
      <c r="G115" s="7">
        <v>1</v>
      </c>
      <c r="H115" s="22" t="s">
        <v>721</v>
      </c>
      <c r="I115" s="13">
        <v>42706.713460648149</v>
      </c>
      <c r="J115" s="7">
        <v>0</v>
      </c>
      <c r="K115" s="109" t="str">
        <f t="shared" si="30"/>
        <v>4011/4012</v>
      </c>
      <c r="L115" s="22" t="str">
        <f>VLOOKUP(A115,'Trips&amp;Operators'!$C$1:$G$99999,5,FALSE)</f>
        <v>CLARK KATHLEEN</v>
      </c>
      <c r="M115" s="6">
        <f t="shared" si="31"/>
        <v>2.5787037040572613E-2</v>
      </c>
      <c r="N115" s="7">
        <f t="shared" si="44"/>
        <v>37.133333338424563</v>
      </c>
      <c r="O115" s="7"/>
      <c r="P115" s="7"/>
      <c r="Q115" s="23"/>
      <c r="R115" s="23"/>
      <c r="S115" s="35">
        <f t="shared" si="47"/>
        <v>1</v>
      </c>
      <c r="T115" s="50" t="str">
        <f t="shared" si="3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15:25:00-700',mode:absolute,to:'2016-12-02 18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5" s="52" t="str">
        <f t="shared" si="35"/>
        <v>N</v>
      </c>
      <c r="X115" s="177">
        <f t="shared" si="48"/>
        <v>1</v>
      </c>
      <c r="Y115" s="67">
        <f t="shared" si="45"/>
        <v>4.58E-2</v>
      </c>
      <c r="Z115" s="67">
        <f t="shared" si="46"/>
        <v>23.327000000000002</v>
      </c>
      <c r="AA115" s="67">
        <f t="shared" si="36"/>
        <v>23.281200000000002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7"/>
        <v>0203-02</v>
      </c>
      <c r="AE115" s="91" t="str">
        <f t="shared" si="38"/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AF115" s="88" t="str">
        <f t="shared" si="39"/>
        <v>"C:\Program Files (x86)\AstroGrep\AstroGrep.exe" /spath="%USERPROFILE%\AppData\Local\Temp\OnboardLogs" /stypes="app*4011*20161203*" /stext=" 00:.+((SYSTEM_STATE.+slice.+state.+changed )|(ment ac)|(multiple cpu faults)|(system.+state.+changed )|(\[timeout)|(PRM\|1\|D)|(kpr)|(kdp)|(\|lc)|(penalty))" /e /r /s</v>
      </c>
      <c r="AG115" s="1" t="str">
        <f t="shared" si="40"/>
        <v>EC</v>
      </c>
      <c r="AH115" s="92" t="str">
        <f t="shared" si="42"/>
        <v>"%USERPROFILE%\Documents\GitHub\eaglep3\Utilities\RefineRTDCRunTimes.py" --tripid 203-02 --locoid 4011 --swversion DE.1.0.8.0 --startMP 204:458 --initTime 2016-12-02T16:25:00 --startdatetime 2016-12-02T16:30:15 --delay 1 --endMP 204:233270 --enddatetime 2016-12-02T17:07:23 --enforcementcount 0 &gt;&gt;C:\Users\stu\Documents\GitHub\eaglep3-reporting\EC\2016-12-02-refined-times.txt</v>
      </c>
      <c r="AI115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{"issue":{"subject":"","project_id":79,"tracker_id":40,"status_id":1,"priority_id":2,"assigned_to_id":23,"start_date":"2016-12-02","description":"","custom_fields":[{"id":1,"name":"Subdivision","value":"EC"},{"id":4,"name":"Milepost","value":"23.327"},{"id":17,"name":"Train ID","value":"203-02"},{"id":16,"name":"Locomotive ID","value":"4011"},{"id":130,"name":"Impact","value":""},{"id":150,"name":"Time of Event (Mountain Time)","value":"17:07:23"},{"id":151,"name":"Denver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610</v>
      </c>
      <c r="B116" s="7">
        <v>4012</v>
      </c>
      <c r="C116" s="22" t="s">
        <v>210</v>
      </c>
      <c r="D116" s="22" t="s">
        <v>722</v>
      </c>
      <c r="E116" s="13">
        <v>42706.722557870373</v>
      </c>
      <c r="F116" s="13">
        <v>42706.7265625</v>
      </c>
      <c r="G116" s="7">
        <v>1</v>
      </c>
      <c r="H116" s="22" t="s">
        <v>230</v>
      </c>
      <c r="I116" s="13">
        <v>42706.755162037036</v>
      </c>
      <c r="J116" s="7">
        <v>0</v>
      </c>
      <c r="K116" s="109" t="str">
        <f t="shared" si="30"/>
        <v>4011/4012</v>
      </c>
      <c r="L116" s="22" t="str">
        <f>VLOOKUP(A116,'Trips&amp;Operators'!$C$1:$G$99999,5,FALSE)</f>
        <v>CLARK KATHLEEN</v>
      </c>
      <c r="M116" s="6">
        <f t="shared" si="31"/>
        <v>2.8599537035916001E-2</v>
      </c>
      <c r="N116" s="7">
        <f t="shared" si="44"/>
        <v>41.183333331719041</v>
      </c>
      <c r="O116" s="7"/>
      <c r="P116" s="7"/>
      <c r="Q116" s="23"/>
      <c r="R116" s="23"/>
      <c r="S116" s="35">
        <f t="shared" si="47"/>
        <v>1</v>
      </c>
      <c r="T116" s="50" t="str">
        <f t="shared" si="3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16:20:29-700',mode:absolute,to:'2016-12-02 19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6" s="52" t="str">
        <f t="shared" si="35"/>
        <v>N</v>
      </c>
      <c r="X116" s="177">
        <f t="shared" si="48"/>
        <v>1</v>
      </c>
      <c r="Y116" s="67">
        <f t="shared" si="45"/>
        <v>23.295200000000001</v>
      </c>
      <c r="Z116" s="67">
        <f t="shared" si="46"/>
        <v>1.54E-2</v>
      </c>
      <c r="AA116" s="67">
        <f t="shared" si="36"/>
        <v>23.279800000000002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7"/>
        <v>0204-02</v>
      </c>
      <c r="AE116" s="91" t="str">
        <f t="shared" si="38"/>
        <v>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 &amp; 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</v>
      </c>
      <c r="AF116" s="88" t="str">
        <f t="shared" si="39"/>
        <v>"C:\Program Files (x86)\AstroGrep\AstroGrep.exe" /spath="%USERPROFILE%\AppData\Local\Temp\OnboardLogs" /stypes="app*4012*20161203*" /stext=" 01:.+((SYSTEM_STATE.+slice.+state.+changed )|(ment ac)|(multiple cpu faults)|(system.+state.+changed )|(\[timeout)|(PRM\|1\|D)|(kpr)|(kdp)|(\|lc)|(penalty))" /e /r /s</v>
      </c>
      <c r="AG116" s="1" t="str">
        <f t="shared" si="40"/>
        <v>EC</v>
      </c>
      <c r="AH116" s="92" t="str">
        <f t="shared" si="42"/>
        <v>"%USERPROFILE%\Documents\GitHub\eaglep3\Utilities\RefineRTDCRunTimes.py" --tripid 204-02 --locoid 4012 --swversion DE.1.0.8.0 --startMP 204:232952 --initTime 2016-12-02T17:20:29 --startdatetime 2016-12-02T17:26:15 --delay 1 --endMP 204:154 --enddatetime 2016-12-02T18:07:26 --enforcementcount 0 &gt;&gt;C:\Users\stu\Documents\GitHub\eaglep3-reporting\EC\2016-12-02-refined-times.txt</v>
      </c>
      <c r="AI116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{"issue":{"subject":"","project_id":79,"tracker_id":40,"status_id":1,"priority_id":2,"assigned_to_id":23,"start_date":"2016-12-02","description":"","custom_fields":[{"id":1,"name":"Subdivision","value":"EC"},{"id":4,"name":"Milepost","value":"0.0154"},{"id":17,"name":"Train ID","value":"204-02"},{"id":16,"name":"Locomotive ID","value":"4012"},{"id":130,"name":"Impact","value":""},{"id":150,"name":"Time of Event (Mountain Time)","value":"18:07:26"},{"id":151,"name":"Denver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601</v>
      </c>
      <c r="B117" s="7">
        <v>4002</v>
      </c>
      <c r="C117" s="22" t="s">
        <v>210</v>
      </c>
      <c r="D117" s="22" t="s">
        <v>195</v>
      </c>
      <c r="E117" s="13">
        <v>42706.69226851852</v>
      </c>
      <c r="F117" s="13">
        <v>42706.698171296295</v>
      </c>
      <c r="G117" s="7">
        <v>1</v>
      </c>
      <c r="H117" s="22" t="s">
        <v>323</v>
      </c>
      <c r="I117" s="13">
        <v>42706.72378472222</v>
      </c>
      <c r="J117" s="7">
        <v>0</v>
      </c>
      <c r="K117" s="109" t="str">
        <f t="shared" si="30"/>
        <v>4001/4002</v>
      </c>
      <c r="L117" s="22" t="str">
        <f>VLOOKUP(A117,'Trips&amp;Operators'!$C$1:$G$99999,5,FALSE)</f>
        <v>BONDS REYNALDO</v>
      </c>
      <c r="M117" s="6">
        <f t="shared" si="31"/>
        <v>2.5613425925257616E-2</v>
      </c>
      <c r="N117" s="7">
        <f t="shared" si="44"/>
        <v>36.883333332370967</v>
      </c>
      <c r="O117" s="7"/>
      <c r="P117" s="7"/>
      <c r="Q117" s="23"/>
      <c r="R117" s="23"/>
      <c r="S117" s="35">
        <f t="shared" si="47"/>
        <v>1</v>
      </c>
      <c r="T117" s="50" t="str">
        <f t="shared" si="3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15:36:52-700',mode:absolute,to:'2016-12-02 18:22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7" s="52" t="str">
        <f t="shared" si="35"/>
        <v>N</v>
      </c>
      <c r="X117" s="177">
        <f t="shared" si="48"/>
        <v>1</v>
      </c>
      <c r="Y117" s="67">
        <f t="shared" si="45"/>
        <v>4.5100000000000001E-2</v>
      </c>
      <c r="Z117" s="67">
        <f t="shared" si="46"/>
        <v>23.331199999999999</v>
      </c>
      <c r="AA117" s="67">
        <f t="shared" si="36"/>
        <v>23.286099999999998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7"/>
        <v>0205-02</v>
      </c>
      <c r="AE117" s="91" t="str">
        <f t="shared" si="38"/>
        <v>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 &amp; 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</v>
      </c>
      <c r="AF117" s="88" t="str">
        <f t="shared" si="39"/>
        <v>"C:\Program Files (x86)\AstroGrep\AstroGrep.exe" /spath="%USERPROFILE%\AppData\Local\Temp\OnboardLogs" /stypes="app*4002*20161203*" /stext=" 00:.+((SYSTEM_STATE.+slice.+state.+changed )|(ment ac)|(multiple cpu faults)|(system.+state.+changed )|(\[timeout)|(PRM\|1\|D)|(kpr)|(kdp)|(\|lc)|(penalty))" /e /r /s</v>
      </c>
      <c r="AG117" s="1" t="str">
        <f t="shared" si="40"/>
        <v>EC</v>
      </c>
      <c r="AH117" s="92" t="str">
        <f t="shared" si="42"/>
        <v>"%USERPROFILE%\Documents\GitHub\eaglep3\Utilities\RefineRTDCRunTimes.py" --tripid 205-02 --locoid 4002 --swversion DE.1.0.8.0 --startMP 204:451 --initTime 2016-12-02T16:36:52 --startdatetime 2016-12-02T16:45:22 --delay 1 --endMP 204:233312 --enddatetime 2016-12-02T17:22:15 --enforcementcount 0 &gt;&gt;C:\Users\stu\Documents\GitHub\eaglep3-reporting\EC\2016-12-02-refined-times.txt</v>
      </c>
      <c r="AI117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{"issue":{"subject":"","project_id":79,"tracker_id":40,"status_id":1,"priority_id":2,"assigned_to_id":23,"start_date":"2016-12-02","description":"","custom_fields":[{"id":1,"name":"Subdivision","value":"EC"},{"id":4,"name":"Milepost","value":"23.3312"},{"id":17,"name":"Train ID","value":"205-02"},{"id":16,"name":"Locomotive ID","value":"4002"},{"id":130,"name":"Impact","value":""},{"id":150,"name":"Time of Event (Mountain Time)","value":"17:22:15"},{"id":151,"name":"Denver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611</v>
      </c>
      <c r="B118" s="7">
        <v>4001</v>
      </c>
      <c r="C118" s="22" t="s">
        <v>210</v>
      </c>
      <c r="D118" s="22" t="s">
        <v>263</v>
      </c>
      <c r="E118" s="13">
        <v>42706.727766203701</v>
      </c>
      <c r="F118" s="13">
        <v>42706.736967592595</v>
      </c>
      <c r="G118" s="7">
        <v>1</v>
      </c>
      <c r="H118" s="22" t="s">
        <v>265</v>
      </c>
      <c r="I118" s="13">
        <v>42706.764004629629</v>
      </c>
      <c r="J118" s="7">
        <v>0</v>
      </c>
      <c r="K118" s="109" t="str">
        <f t="shared" si="30"/>
        <v>4001/4002</v>
      </c>
      <c r="L118" s="22" t="str">
        <f>VLOOKUP(A118,'Trips&amp;Operators'!$C$1:$G$99999,5,FALSE)</f>
        <v>BONDS REYNALDO</v>
      </c>
      <c r="M118" s="6">
        <f t="shared" si="31"/>
        <v>2.7037037034460809E-2</v>
      </c>
      <c r="N118" s="7">
        <f t="shared" si="44"/>
        <v>38.933333329623565</v>
      </c>
      <c r="O118" s="7"/>
      <c r="P118" s="7"/>
      <c r="Q118" s="23"/>
      <c r="R118" s="23"/>
      <c r="S118" s="35">
        <f t="shared" si="47"/>
        <v>1</v>
      </c>
      <c r="T118" s="50" t="str">
        <f t="shared" si="3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16:27:59-700',mode:absolute,to:'2016-12-02 19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8" s="52" t="str">
        <f t="shared" si="35"/>
        <v>N</v>
      </c>
      <c r="X118" s="177">
        <f t="shared" si="48"/>
        <v>1</v>
      </c>
      <c r="Y118" s="67">
        <f t="shared" si="45"/>
        <v>23.2989</v>
      </c>
      <c r="Z118" s="67">
        <f t="shared" si="46"/>
        <v>1.4500000000000001E-2</v>
      </c>
      <c r="AA118" s="67">
        <f t="shared" si="36"/>
        <v>23.284399999999998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7"/>
        <v>0206-02</v>
      </c>
      <c r="AE118" s="91" t="str">
        <f t="shared" si="38"/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AF118" s="88" t="str">
        <f t="shared" si="39"/>
        <v>"C:\Program Files (x86)\AstroGrep\AstroGrep.exe" /spath="%USERPROFILE%\AppData\Local\Temp\OnboardLogs" /stypes="app*4001*20161203*" /stext=" 01:.+((SYSTEM_STATE.+slice.+state.+changed )|(ment ac)|(multiple cpu faults)|(system.+state.+changed )|(\[timeout)|(PRM\|1\|D)|(kpr)|(kdp)|(\|lc)|(penalty))" /e /r /s</v>
      </c>
      <c r="AG118" s="1" t="str">
        <f t="shared" si="40"/>
        <v>EC</v>
      </c>
      <c r="AH118" s="92" t="str">
        <f t="shared" si="42"/>
        <v>"%USERPROFILE%\Documents\GitHub\eaglep3\Utilities\RefineRTDCRunTimes.py" --tripid 206-02 --locoid 4001 --swversion DE.1.0.8.0 --startMP 204:232989 --initTime 2016-12-02T17:27:59 --startdatetime 2016-12-02T17:41:14 --delay 1 --endMP 204:145 --enddatetime 2016-12-02T18:20:10 --enforcementcount 0 &gt;&gt;C:\Users\stu\Documents\GitHub\eaglep3-reporting\EC\2016-12-02-refined-times.txt</v>
      </c>
      <c r="AI118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{"issue":{"subject":"","project_id":79,"tracker_id":40,"status_id":1,"priority_id":2,"assigned_to_id":23,"start_date":"2016-12-02","description":"","custom_fields":[{"id":1,"name":"Subdivision","value":"EC"},{"id":4,"name":"Milepost","value":"0.0145"},{"id":17,"name":"Train ID","value":"206-02"},{"id":16,"name":"Locomotive ID","value":"4001"},{"id":130,"name":"Impact","value":""},{"id":150,"name":"Time of Event (Mountain Time)","value":"18:20:10"},{"id":151,"name":"Denver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604</v>
      </c>
      <c r="B119" s="7">
        <v>4003</v>
      </c>
      <c r="C119" s="22" t="s">
        <v>210</v>
      </c>
      <c r="D119" s="22" t="s">
        <v>723</v>
      </c>
      <c r="E119" s="13">
        <v>42706.705787037034</v>
      </c>
      <c r="F119" s="13">
        <v>42706.708634259259</v>
      </c>
      <c r="G119" s="7">
        <v>1</v>
      </c>
      <c r="H119" s="22" t="s">
        <v>258</v>
      </c>
      <c r="I119" s="13">
        <v>42706.734293981484</v>
      </c>
      <c r="J119" s="7">
        <v>0</v>
      </c>
      <c r="K119" s="109" t="str">
        <f t="shared" si="30"/>
        <v>4003/4004</v>
      </c>
      <c r="L119" s="22" t="str">
        <f>VLOOKUP(A119,'Trips&amp;Operators'!$C$1:$G$99999,5,FALSE)</f>
        <v>MOSES BRADLEY</v>
      </c>
      <c r="M119" s="6">
        <f t="shared" si="31"/>
        <v>2.5659722225100268E-2</v>
      </c>
      <c r="N119" s="7">
        <f t="shared" si="44"/>
        <v>36.950000004144385</v>
      </c>
      <c r="O119" s="7"/>
      <c r="P119" s="7"/>
      <c r="Q119" s="23"/>
      <c r="R119" s="23"/>
      <c r="S119" s="35">
        <f t="shared" si="47"/>
        <v>1</v>
      </c>
      <c r="T119" s="50" t="str">
        <f t="shared" si="3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15:56:20-700',mode:absolute,to:'2016-12-02 18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9" s="52" t="str">
        <f t="shared" si="35"/>
        <v>N</v>
      </c>
      <c r="X119" s="177">
        <f t="shared" si="48"/>
        <v>1</v>
      </c>
      <c r="Y119" s="67">
        <f t="shared" si="45"/>
        <v>4.7500000000000001E-2</v>
      </c>
      <c r="Z119" s="67">
        <f t="shared" si="46"/>
        <v>23.3307</v>
      </c>
      <c r="AA119" s="67">
        <f t="shared" si="36"/>
        <v>23.283200000000001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7"/>
        <v>0207-02</v>
      </c>
      <c r="AE119" s="91" t="str">
        <f t="shared" si="38"/>
        <v>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 &amp; 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</v>
      </c>
      <c r="AF119" s="88" t="str">
        <f t="shared" si="39"/>
        <v>"C:\Program Files (x86)\AstroGrep\AstroGrep.exe" /spath="%USERPROFILE%\AppData\Local\Temp\OnboardLogs" /stypes="app*4003*20161203*" /stext=" 00:.+((SYSTEM_STATE.+slice.+state.+changed )|(ment ac)|(multiple cpu faults)|(system.+state.+changed )|(\[timeout)|(PRM\|1\|D)|(kpr)|(kdp)|(\|lc)|(penalty))" /e /r /s</v>
      </c>
      <c r="AG119" s="1" t="str">
        <f t="shared" si="40"/>
        <v>EC</v>
      </c>
      <c r="AH119" s="92" t="str">
        <f t="shared" si="42"/>
        <v>"%USERPROFILE%\Documents\GitHub\eaglep3\Utilities\RefineRTDCRunTimes.py" --tripid 207-02 --locoid 4003 --swversion DE.1.0.8.0 --startMP 204:475 --initTime 2016-12-02T16:56:20 --startdatetime 2016-12-02T17:00:26 --delay 1 --endMP 204:233307 --enddatetime 2016-12-02T17:37:23 --enforcementcount 0 &gt;&gt;C:\Users\stu\Documents\GitHub\eaglep3-reporting\EC\2016-12-02-refined-times.txt</v>
      </c>
      <c r="AI119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{"issue":{"subject":"","project_id":79,"tracker_id":40,"status_id":1,"priority_id":2,"assigned_to_id":23,"start_date":"2016-12-02","description":"","custom_fields":[{"id":1,"name":"Subdivision","value":"EC"},{"id":4,"name":"Milepost","value":"23.3307"},{"id":17,"name":"Train ID","value":"207-02"},{"id":16,"name":"Locomotive ID","value":"4003"},{"id":130,"name":"Impact","value":""},{"id":150,"name":"Time of Event (Mountain Time)","value":"17:37:23"},{"id":151,"name":"Denver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616</v>
      </c>
      <c r="B120" s="7">
        <v>4004</v>
      </c>
      <c r="C120" s="22" t="s">
        <v>210</v>
      </c>
      <c r="D120" s="22" t="s">
        <v>266</v>
      </c>
      <c r="E120" s="13">
        <v>42706.744664351849</v>
      </c>
      <c r="F120" s="13">
        <v>42706.747499999998</v>
      </c>
      <c r="G120" s="7">
        <v>1</v>
      </c>
      <c r="H120" s="22" t="s">
        <v>212</v>
      </c>
      <c r="I120" s="13">
        <v>42706.775381944448</v>
      </c>
      <c r="J120" s="7">
        <v>0</v>
      </c>
      <c r="K120" s="109" t="str">
        <f t="shared" si="30"/>
        <v>4003/4004</v>
      </c>
      <c r="L120" s="22" t="str">
        <f>VLOOKUP(A120,'Trips&amp;Operators'!$C$1:$G$99999,5,FALSE)</f>
        <v>MOSES BRADLEY</v>
      </c>
      <c r="M120" s="6">
        <f t="shared" si="31"/>
        <v>2.7881944450200535E-2</v>
      </c>
      <c r="N120" s="7">
        <f t="shared" si="44"/>
        <v>40.150000008288771</v>
      </c>
      <c r="O120" s="7"/>
      <c r="P120" s="7"/>
      <c r="Q120" s="23"/>
      <c r="R120" s="23"/>
      <c r="S120" s="35">
        <f t="shared" si="47"/>
        <v>1</v>
      </c>
      <c r="T120" s="50" t="str">
        <f t="shared" si="3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16:52:19-700',mode:absolute,to:'2016-12-02 19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0" s="52" t="str">
        <f t="shared" si="35"/>
        <v>N</v>
      </c>
      <c r="X120" s="177">
        <f t="shared" si="48"/>
        <v>1</v>
      </c>
      <c r="Y120" s="67">
        <f t="shared" si="45"/>
        <v>23.299600000000002</v>
      </c>
      <c r="Z120" s="67">
        <f t="shared" si="46"/>
        <v>1.5800000000000002E-2</v>
      </c>
      <c r="AA120" s="67">
        <f t="shared" si="36"/>
        <v>23.283800000000003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37"/>
        <v>0208-02</v>
      </c>
      <c r="AE120" s="91" t="str">
        <f t="shared" si="38"/>
        <v>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 &amp; 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</v>
      </c>
      <c r="AF120" s="88" t="str">
        <f t="shared" si="39"/>
        <v>"C:\Program Files (x86)\AstroGrep\AstroGrep.exe" /spath="%USERPROFILE%\AppData\Local\Temp\OnboardLogs" /stypes="app*4004*20161203*" /stext=" 01:.+((SYSTEM_STATE.+slice.+state.+changed )|(ment ac)|(multiple cpu faults)|(system.+state.+changed )|(\[timeout)|(PRM\|1\|D)|(kpr)|(kdp)|(\|lc)|(penalty))" /e /r /s</v>
      </c>
      <c r="AG120" s="1" t="str">
        <f t="shared" si="40"/>
        <v>EC</v>
      </c>
      <c r="AH120" s="92" t="str">
        <f t="shared" si="42"/>
        <v>"%USERPROFILE%\Documents\GitHub\eaglep3\Utilities\RefineRTDCRunTimes.py" --tripid 208-02 --locoid 4004 --swversion DE.1.0.8.0 --startMP 204:232996 --initTime 2016-12-02T17:52:19 --startdatetime 2016-12-02T17:56:24 --delay 1 --endMP 204:158 --enddatetime 2016-12-02T18:36:33 --enforcementcount 0 &gt;&gt;C:\Users\stu\Documents\GitHub\eaglep3-reporting\EC\2016-12-02-refined-times.txt</v>
      </c>
      <c r="AI120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{"issue":{"subject":"","project_id":79,"tracker_id":40,"status_id":1,"priority_id":2,"assigned_to_id":23,"start_date":"2016-12-02","description":"","custom_fields":[{"id":1,"name":"Subdivision","value":"EC"},{"id":4,"name":"Milepost","value":"0.0158"},{"id":17,"name":"Train ID","value":"208-02"},{"id":16,"name":"Locomotive ID","value":"4004"},{"id":130,"name":"Impact","value":""},{"id":150,"name":"Time of Event (Mountain Time)","value":"18:36:33"},{"id":151,"name":"Denver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607</v>
      </c>
      <c r="B121" s="7">
        <v>4044</v>
      </c>
      <c r="C121" s="22" t="s">
        <v>210</v>
      </c>
      <c r="D121" s="22" t="s">
        <v>289</v>
      </c>
      <c r="E121" s="13">
        <v>42706.715069444443</v>
      </c>
      <c r="F121" s="13">
        <v>42706.719108796293</v>
      </c>
      <c r="G121" s="7">
        <v>1</v>
      </c>
      <c r="H121" s="22" t="s">
        <v>296</v>
      </c>
      <c r="I121" s="13">
        <v>42706.74324074074</v>
      </c>
      <c r="J121" s="7">
        <v>0</v>
      </c>
      <c r="K121" s="109" t="str">
        <f t="shared" si="30"/>
        <v>4043/4044</v>
      </c>
      <c r="L121" s="22" t="str">
        <f>VLOOKUP(A121,'Trips&amp;Operators'!$C$1:$G$99999,5,FALSE)</f>
        <v>ADANE ELSHADAY</v>
      </c>
      <c r="M121" s="6">
        <f t="shared" si="31"/>
        <v>2.4131944446708076E-2</v>
      </c>
      <c r="N121" s="7">
        <f t="shared" si="44"/>
        <v>34.750000003259629</v>
      </c>
      <c r="O121" s="7"/>
      <c r="P121" s="7"/>
      <c r="Q121" s="23"/>
      <c r="R121" s="23"/>
      <c r="S121" s="35">
        <f t="shared" si="47"/>
        <v>1</v>
      </c>
      <c r="T121" s="50" t="str">
        <f t="shared" si="3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16:09:42-700',mode:absolute,to:'2016-12-02 18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1" s="52" t="str">
        <f t="shared" si="35"/>
        <v>N</v>
      </c>
      <c r="X121" s="177">
        <f t="shared" si="48"/>
        <v>1</v>
      </c>
      <c r="Y121" s="67">
        <f t="shared" si="45"/>
        <v>4.58E-2</v>
      </c>
      <c r="Z121" s="67">
        <f t="shared" si="46"/>
        <v>23.329699999999999</v>
      </c>
      <c r="AA121" s="67">
        <f t="shared" si="36"/>
        <v>23.283899999999999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7"/>
        <v>0209-02</v>
      </c>
      <c r="AE121" s="91" t="str">
        <f t="shared" si="38"/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121" s="88" t="str">
        <f t="shared" si="39"/>
        <v>"C:\Program Files (x86)\AstroGrep\AstroGrep.exe" /spath="%USERPROFILE%\AppData\Local\Temp\OnboardLogs" /stypes="app*4044*20161203*" /stext=" 00:.+((SYSTEM_STATE.+slice.+state.+changed )|(ment ac)|(multiple cpu faults)|(system.+state.+changed )|(\[timeout)|(PRM\|1\|D)|(kpr)|(kdp)|(\|lc)|(penalty))" /e /r /s</v>
      </c>
      <c r="AG121" s="1" t="str">
        <f t="shared" si="40"/>
        <v>EC</v>
      </c>
      <c r="AH121" s="92" t="str">
        <f t="shared" si="42"/>
        <v>"%USERPROFILE%\Documents\GitHub\eaglep3\Utilities\RefineRTDCRunTimes.py" --tripid 209-02 --locoid 4044 --swversion DE.1.0.8.0 --startMP 204:458 --initTime 2016-12-02T17:09:42 --startdatetime 2016-12-02T17:15:31 --delay 1 --endMP 204:233297 --enddatetime 2016-12-02T17:50:16 --enforcementcount 0 &gt;&gt;C:\Users\stu\Documents\GitHub\eaglep3-reporting\EC\2016-12-02-refined-times.txt</v>
      </c>
      <c r="AI121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{"issue":{"subject":"","project_id":79,"tracker_id":40,"status_id":1,"priority_id":2,"assigned_to_id":23,"start_date":"2016-12-02","description":"","custom_fields":[{"id":1,"name":"Subdivision","value":"EC"},{"id":4,"name":"Milepost","value":"23.3297"},{"id":17,"name":"Train ID","value":"209-02"},{"id":16,"name":"Locomotive ID","value":"4044"},{"id":130,"name":"Impact","value":""},{"id":150,"name":"Time of Event (Mountain Time)","value":"17:50:16"},{"id":151,"name":"Denver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618</v>
      </c>
      <c r="B122" s="7">
        <v>4043</v>
      </c>
      <c r="C122" s="22" t="s">
        <v>210</v>
      </c>
      <c r="D122" s="22" t="s">
        <v>204</v>
      </c>
      <c r="E122" s="13">
        <v>42706.745833333334</v>
      </c>
      <c r="F122" s="13">
        <v>42706.758113425924</v>
      </c>
      <c r="G122" s="7">
        <v>2</v>
      </c>
      <c r="H122" s="22" t="s">
        <v>193</v>
      </c>
      <c r="I122" s="13">
        <v>42706.783564814818</v>
      </c>
      <c r="J122" s="7">
        <v>0</v>
      </c>
      <c r="K122" s="109" t="str">
        <f t="shared" si="30"/>
        <v>4043/4044</v>
      </c>
      <c r="L122" s="22" t="str">
        <f>VLOOKUP(A122,'Trips&amp;Operators'!$C$1:$G$99999,5,FALSE)</f>
        <v>ADANE ELSHADAY</v>
      </c>
      <c r="M122" s="6">
        <f t="shared" si="31"/>
        <v>2.5451388893998228E-2</v>
      </c>
      <c r="N122" s="7">
        <f t="shared" si="44"/>
        <v>36.650000007357448</v>
      </c>
      <c r="O122" s="7"/>
      <c r="P122" s="7"/>
      <c r="Q122" s="23"/>
      <c r="R122" s="23"/>
      <c r="S122" s="35">
        <f t="shared" si="47"/>
        <v>1</v>
      </c>
      <c r="T122" s="50" t="str">
        <f t="shared" si="3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16:54:00-700',mode:absolute,to:'2016-12-02 19:48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2" s="52" t="str">
        <f t="shared" si="35"/>
        <v>N</v>
      </c>
      <c r="X122" s="177">
        <f t="shared" si="48"/>
        <v>1</v>
      </c>
      <c r="Y122" s="67">
        <f t="shared" si="45"/>
        <v>23.297699999999999</v>
      </c>
      <c r="Z122" s="67">
        <f t="shared" si="46"/>
        <v>1.43E-2</v>
      </c>
      <c r="AA122" s="67">
        <f t="shared" si="36"/>
        <v>23.2834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7"/>
        <v>0210-02</v>
      </c>
      <c r="AE122" s="91" t="str">
        <f t="shared" si="38"/>
        <v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v>
      </c>
      <c r="AF122" s="88" t="str">
        <f t="shared" si="39"/>
        <v>"C:\Program Files (x86)\AstroGrep\AstroGrep.exe" /spath="%USERPROFILE%\AppData\Local\Temp\OnboardLogs" /stypes="app*4043*20161203*" /stext=" 01:.+((SYSTEM_STATE.+slice.+state.+changed )|(ment ac)|(multiple cpu faults)|(system.+state.+changed )|(\[timeout)|(PRM\|1\|D)|(kpr)|(kdp)|(\|lc)|(penalty))" /e /r /s</v>
      </c>
      <c r="AG122" s="1" t="str">
        <f t="shared" si="40"/>
        <v>EC</v>
      </c>
      <c r="AH122" s="92" t="str">
        <f t="shared" si="42"/>
        <v>"%USERPROFILE%\Documents\GitHub\eaglep3\Utilities\RefineRTDCRunTimes.py" --tripid 210-02 --locoid 4043 --swversion DE.1.0.8.0 --startMP 204:232977 --initTime 2016-12-02T17:54:00 --startdatetime 2016-12-02T18:11:41 --delay 2 --endMP 204:143 --enddatetime 2016-12-02T18:48:20 --enforcementcount 0 &gt;&gt;C:\Users\stu\Documents\GitHub\eaglep3-reporting\EC\2016-12-02-refined-times.txt</v>
      </c>
      <c r="AI122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{"issue":{"subject":"","project_id":79,"tracker_id":40,"status_id":1,"priority_id":2,"assigned_to_id":23,"start_date":"2016-12-02","description":"","custom_fields":[{"id":1,"name":"Subdivision","value":"EC"},{"id":4,"name":"Milepost","value":"0.0143"},{"id":17,"name":"Train ID","value":"210-02"},{"id":16,"name":"Locomotive ID","value":"4043"},{"id":130,"name":"Impact","value":""},{"id":150,"name":"Time of Event (Mountain Time)","value":"18:48:20"},{"id":151,"name":"Denver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454</v>
      </c>
      <c r="B123" s="7">
        <v>4027</v>
      </c>
      <c r="C123" s="22" t="s">
        <v>210</v>
      </c>
      <c r="D123" s="22" t="s">
        <v>209</v>
      </c>
      <c r="E123" s="13">
        <v>42706.724791666667</v>
      </c>
      <c r="F123" s="13">
        <v>42706.729409722226</v>
      </c>
      <c r="G123" s="7">
        <v>2</v>
      </c>
      <c r="H123" s="22" t="s">
        <v>724</v>
      </c>
      <c r="I123" s="13">
        <v>42706.755486111113</v>
      </c>
      <c r="J123" s="7">
        <v>0</v>
      </c>
      <c r="K123" s="109" t="str">
        <f t="shared" si="30"/>
        <v>4027/4028</v>
      </c>
      <c r="L123" s="22" t="str">
        <f>VLOOKUP(A123,'Trips&amp;Operators'!$C$1:$G$99999,5,FALSE)</f>
        <v>SHOOK JOHN</v>
      </c>
      <c r="M123" s="6">
        <f t="shared" si="31"/>
        <v>2.6076388887304347E-2</v>
      </c>
      <c r="N123" s="7">
        <f t="shared" si="44"/>
        <v>37.54999999771826</v>
      </c>
      <c r="O123" s="7"/>
      <c r="P123" s="7"/>
      <c r="Q123" s="23"/>
      <c r="R123" s="23"/>
      <c r="S123" s="35">
        <f t="shared" si="47"/>
        <v>1</v>
      </c>
      <c r="T123" s="50" t="str">
        <f t="shared" si="3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16:23:42-700',mode:absolute,to:'2016-12-02 19:07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3" s="52" t="str">
        <f t="shared" si="35"/>
        <v>N</v>
      </c>
      <c r="X123" s="177">
        <f t="shared" si="48"/>
        <v>1</v>
      </c>
      <c r="Y123" s="67">
        <f t="shared" si="45"/>
        <v>4.6399999999999997E-2</v>
      </c>
      <c r="Z123" s="67">
        <f t="shared" si="46"/>
        <v>23.337399999999999</v>
      </c>
      <c r="AA123" s="67">
        <f t="shared" si="36"/>
        <v>23.291</v>
      </c>
      <c r="AB123" s="64" t="str">
        <f>VLOOKUP(A123,Enforcements!$C$7:$K$19,8,0)</f>
        <v>Signal based authority (5)</v>
      </c>
      <c r="AC123" s="60" t="str">
        <f>VLOOKUP(A123,Enforcements!$C$7:$E$19,3,0)</f>
        <v>SIGNAL</v>
      </c>
      <c r="AD123" s="61" t="str">
        <f t="shared" si="37"/>
        <v>0211-02</v>
      </c>
      <c r="AE123" s="91" t="str">
        <f t="shared" si="38"/>
        <v>aws s3 cp s3://rtdc.mdm.uploadarchive.raw/RTDC4027/ "%USERPROFILE%\AppData\Local\Temp\OnboardLogs"\RTDC4027\2016-12-02 --exclude "*" --recursive --include "*20161202*" &amp; "%USERPROFILE%\Documents\GitHub\mrs-test-scripts\Headless Mode &amp; Sideloading\WalkAndUnGZ.bat" "%USERPROFILE%\AppData\Local\Temp\OnboardLogs"\RTDC4027\2016-12-02 &amp; 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</v>
      </c>
      <c r="AF123" s="88" t="str">
        <f t="shared" si="39"/>
        <v>"C:\Program Files (x86)\AstroGrep\AstroGrep.exe" /spath="%USERPROFILE%\AppData\Local\Temp\OnboardLogs" /stypes="app*4027*20161203*" /stext=" 01:.+((SYSTEM_STATE.+slice.+state.+changed )|(ment ac)|(multiple cpu faults)|(system.+state.+changed )|(\[timeout)|(PRM\|1\|D)|(kpr)|(kdp)|(\|lc)|(penalty))" /e /r /s</v>
      </c>
      <c r="AG123" s="1" t="str">
        <f t="shared" si="40"/>
        <v>EC</v>
      </c>
      <c r="AH123" s="92" t="str">
        <f t="shared" si="42"/>
        <v>"%USERPROFILE%\Documents\GitHub\eaglep3\Utilities\RefineRTDCRunTimes.py" --tripid 211-02 --locoid 4027 --swversion DE.1.0.8.0 --startMP 204:464 --initTime 2016-12-02T17:23:42 --startdatetime 2016-12-02T17:30:21 --delay 2 --endMP 204:233374 --enddatetime 2016-12-02T18:07:54 --enforcementcount 0 &gt;&gt;C:\Users\stu\Documents\GitHub\eaglep3-reporting\EC\2016-12-02-refined-times.txt</v>
      </c>
      <c r="AI123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{"issue":{"subject":"","project_id":79,"tracker_id":40,"status_id":1,"priority_id":2,"assigned_to_id":23,"start_date":"2016-12-02","description":"","custom_fields":[{"id":1,"name":"Subdivision","value":"EC"},{"id":4,"name":"Milepost","value":"23.3374"},{"id":17,"name":"Train ID","value":"211-02"},{"id":16,"name":"Locomotive ID","value":"4027"},{"id":130,"name":"Impact","value":""},{"id":150,"name":"Time of Event (Mountain Time)","value":"18:07:54"},{"id":151,"name":"Denver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7" t="s">
        <v>624</v>
      </c>
      <c r="B124" s="7">
        <v>4028</v>
      </c>
      <c r="C124" s="22" t="s">
        <v>210</v>
      </c>
      <c r="D124" s="22" t="s">
        <v>725</v>
      </c>
      <c r="E124" s="13">
        <v>42706.762060185189</v>
      </c>
      <c r="F124" s="13">
        <v>42706.76834490741</v>
      </c>
      <c r="G124" s="7">
        <v>1</v>
      </c>
      <c r="H124" s="22" t="s">
        <v>230</v>
      </c>
      <c r="I124" s="13">
        <v>42706.795763888891</v>
      </c>
      <c r="J124" s="7">
        <v>0</v>
      </c>
      <c r="K124" s="109" t="str">
        <f t="shared" si="30"/>
        <v>4027/4028</v>
      </c>
      <c r="L124" s="22" t="str">
        <f>VLOOKUP(A124,'Trips&amp;Operators'!$C$1:$G$99999,5,FALSE)</f>
        <v>SHOOK JOHN</v>
      </c>
      <c r="M124" s="6">
        <f t="shared" si="31"/>
        <v>2.7418981480877846E-2</v>
      </c>
      <c r="N124" s="7">
        <f t="shared" si="44"/>
        <v>39.483333332464099</v>
      </c>
      <c r="O124" s="7"/>
      <c r="P124" s="7"/>
      <c r="Q124" s="23"/>
      <c r="R124" s="23"/>
      <c r="S124" s="35">
        <f t="shared" si="47"/>
        <v>1</v>
      </c>
      <c r="T124" s="50" t="str">
        <f t="shared" si="3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17:17:22-700',mode:absolute,to:'2016-12-02 20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4" s="52" t="str">
        <f t="shared" si="35"/>
        <v>N</v>
      </c>
      <c r="X124" s="177">
        <f t="shared" si="48"/>
        <v>1</v>
      </c>
      <c r="Y124" s="67">
        <f t="shared" si="45"/>
        <v>23.3048</v>
      </c>
      <c r="Z124" s="67">
        <f t="shared" si="46"/>
        <v>1.54E-2</v>
      </c>
      <c r="AA124" s="67">
        <f t="shared" si="36"/>
        <v>23.289400000000001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7"/>
        <v>0212-02</v>
      </c>
      <c r="AE124" s="91" t="str">
        <f t="shared" si="38"/>
        <v>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 &amp; 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</v>
      </c>
      <c r="AF124" s="88" t="str">
        <f t="shared" si="39"/>
        <v>"C:\Program Files (x86)\AstroGrep\AstroGrep.exe" /spath="%USERPROFILE%\AppData\Local\Temp\OnboardLogs" /stypes="app*4028*20161203*" /stext=" 02:.+((SYSTEM_STATE.+slice.+state.+changed )|(ment ac)|(multiple cpu faults)|(system.+state.+changed )|(\[timeout)|(PRM\|1\|D)|(kpr)|(kdp)|(\|lc)|(penalty))" /e /r /s</v>
      </c>
      <c r="AG124" s="1" t="str">
        <f t="shared" si="40"/>
        <v>EC</v>
      </c>
      <c r="AH124" s="92" t="str">
        <f t="shared" si="42"/>
        <v>"%USERPROFILE%\Documents\GitHub\eaglep3\Utilities\RefineRTDCRunTimes.py" --tripid 212-02 --locoid 4028 --swversion DE.1.0.8.0 --startMP 204:233048 --initTime 2016-12-02T18:17:22 --startdatetime 2016-12-02T18:26:25 --delay 1 --endMP 204:154 --enddatetime 2016-12-02T19:05:54 --enforcementcount 0 &gt;&gt;C:\Users\stu\Documents\GitHub\eaglep3-reporting\EC\2016-12-02-refined-times.txt</v>
      </c>
      <c r="AI124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{"issue":{"subject":"","project_id":79,"tracker_id":40,"status_id":1,"priority_id":2,"assigned_to_id":23,"start_date":"2016-12-02","description":"","custom_fields":[{"id":1,"name":"Subdivision","value":"EC"},{"id":4,"name":"Milepost","value":"0.0154"},{"id":17,"name":"Train ID","value":"212-02"},{"id":16,"name":"Locomotive ID","value":"4028"},{"id":130,"name":"Impact","value":""},{"id":150,"name":"Time of Event (Mountain Time)","value":"19:05:54"},{"id":151,"name":"Denver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614</v>
      </c>
      <c r="B125" s="7">
        <v>4022</v>
      </c>
      <c r="C125" s="22" t="s">
        <v>210</v>
      </c>
      <c r="D125" s="22" t="s">
        <v>245</v>
      </c>
      <c r="E125" s="13">
        <v>42706.736296296294</v>
      </c>
      <c r="F125" s="13">
        <v>42706.739768518521</v>
      </c>
      <c r="G125" s="7">
        <v>4</v>
      </c>
      <c r="H125" s="22" t="s">
        <v>726</v>
      </c>
      <c r="I125" s="13">
        <v>42706.763599537036</v>
      </c>
      <c r="J125" s="7">
        <v>0</v>
      </c>
      <c r="K125" s="109" t="str">
        <f t="shared" si="30"/>
        <v>4021/4022</v>
      </c>
      <c r="L125" s="22" t="str">
        <f>VLOOKUP(A125,'Trips&amp;Operators'!$C$1:$G$99999,5,FALSE)</f>
        <v>YANAI IAN</v>
      </c>
      <c r="M125" s="6">
        <f t="shared" si="31"/>
        <v>2.3831018515920732E-2</v>
      </c>
      <c r="N125" s="7">
        <f t="shared" si="44"/>
        <v>34.316666662925854</v>
      </c>
      <c r="O125" s="7"/>
      <c r="P125" s="7"/>
      <c r="Q125" s="23"/>
      <c r="R125" s="23"/>
      <c r="S125" s="35">
        <f t="shared" si="47"/>
        <v>1</v>
      </c>
      <c r="T125" s="50" t="str">
        <f t="shared" si="3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16:40:16-700',mode:absolute,to:'2016-12-02 19:19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5" s="52" t="str">
        <f t="shared" si="35"/>
        <v>N</v>
      </c>
      <c r="X125" s="177">
        <f t="shared" si="48"/>
        <v>1</v>
      </c>
      <c r="Y125" s="67">
        <f t="shared" si="45"/>
        <v>4.5499999999999999E-2</v>
      </c>
      <c r="Z125" s="67">
        <f t="shared" si="46"/>
        <v>23.33</v>
      </c>
      <c r="AA125" s="67">
        <f t="shared" si="36"/>
        <v>23.284499999999998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7"/>
        <v>0213-02</v>
      </c>
      <c r="AE125" s="91" t="str">
        <f t="shared" si="38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125" s="88" t="str">
        <f t="shared" si="39"/>
        <v>"C:\Program Files (x86)\AstroGrep\AstroGrep.exe" /spath="%USERPROFILE%\AppData\Local\Temp\OnboardLogs" /stypes="app*4022*20161203*" /stext=" 01:.+((SYSTEM_STATE.+slice.+state.+changed )|(ment ac)|(multiple cpu faults)|(system.+state.+changed )|(\[timeout)|(PRM\|1\|D)|(kpr)|(kdp)|(\|lc)|(penalty))" /e /r /s</v>
      </c>
      <c r="AG125" s="1" t="str">
        <f t="shared" si="40"/>
        <v>EC</v>
      </c>
      <c r="AH125" s="92" t="str">
        <f t="shared" si="42"/>
        <v>"%USERPROFILE%\Documents\GitHub\eaglep3\Utilities\RefineRTDCRunTimes.py" --tripid 213-02 --locoid 4022 --swversion DE.1.0.8.0 --startMP 204:455 --initTime 2016-12-02T17:40:16 --startdatetime 2016-12-02T17:45:16 --delay 4 --endMP 204:233300 --enddatetime 2016-12-02T18:19:35 --enforcementcount 0 &gt;&gt;C:\Users\stu\Documents\GitHub\eaglep3-reporting\EC\2016-12-02-refined-times.txt</v>
      </c>
      <c r="AI125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{"issue":{"subject":"","project_id":79,"tracker_id":40,"status_id":1,"priority_id":2,"assigned_to_id":23,"start_date":"2016-12-02","description":"","custom_fields":[{"id":1,"name":"Subdivision","value":"EC"},{"id":4,"name":"Milepost","value":"23.33"},{"id":17,"name":"Train ID","value":"213-02"},{"id":16,"name":"Locomotive ID","value":"4022"},{"id":130,"name":"Impact","value":""},{"id":150,"name":"Time of Event (Mountain Time)","value":"18:19:35"},{"id":151,"name":"Denver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625</v>
      </c>
      <c r="B126" s="7">
        <v>4021</v>
      </c>
      <c r="C126" s="22" t="s">
        <v>210</v>
      </c>
      <c r="D126" s="22" t="s">
        <v>337</v>
      </c>
      <c r="E126" s="13">
        <v>42706.765844907408</v>
      </c>
      <c r="F126" s="13">
        <v>42706.778622685182</v>
      </c>
      <c r="G126" s="7">
        <v>1</v>
      </c>
      <c r="H126" s="22" t="s">
        <v>192</v>
      </c>
      <c r="I126" s="13">
        <v>42706.804062499999</v>
      </c>
      <c r="J126" s="7">
        <v>0</v>
      </c>
      <c r="K126" s="109" t="str">
        <f t="shared" si="30"/>
        <v>4021/4022</v>
      </c>
      <c r="L126" s="22" t="str">
        <f>VLOOKUP(A126,'Trips&amp;Operators'!$C$1:$G$99999,5,FALSE)</f>
        <v>YANAI IAN</v>
      </c>
      <c r="M126" s="6">
        <f t="shared" si="31"/>
        <v>2.5439814817218576E-2</v>
      </c>
      <c r="N126" s="7">
        <f t="shared" si="44"/>
        <v>36.633333336794749</v>
      </c>
      <c r="O126" s="7"/>
      <c r="P126" s="7"/>
      <c r="Q126" s="23"/>
      <c r="R126" s="23"/>
      <c r="S126" s="35">
        <f t="shared" si="47"/>
        <v>1</v>
      </c>
      <c r="T126" s="50" t="str">
        <f t="shared" si="3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17:22:49-700',mode:absolute,to:'2016-12-02 20:17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6" s="52" t="str">
        <f t="shared" si="35"/>
        <v>N</v>
      </c>
      <c r="X126" s="177">
        <f t="shared" si="48"/>
        <v>1</v>
      </c>
      <c r="Y126" s="67">
        <f t="shared" si="45"/>
        <v>23.299099999999999</v>
      </c>
      <c r="Z126" s="67">
        <f t="shared" si="46"/>
        <v>1.49E-2</v>
      </c>
      <c r="AA126" s="67">
        <f t="shared" si="36"/>
        <v>23.284199999999998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7"/>
        <v>0214-02</v>
      </c>
      <c r="AE126" s="91" t="str">
        <f t="shared" si="38"/>
        <v>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 &amp; 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</v>
      </c>
      <c r="AF126" s="88" t="str">
        <f t="shared" si="39"/>
        <v>"C:\Program Files (x86)\AstroGrep\AstroGrep.exe" /spath="%USERPROFILE%\AppData\Local\Temp\OnboardLogs" /stypes="app*4021*20161203*" /stext=" 02:.+((SYSTEM_STATE.+slice.+state.+changed )|(ment ac)|(multiple cpu faults)|(system.+state.+changed )|(\[timeout)|(PRM\|1\|D)|(kpr)|(kdp)|(\|lc)|(penalty))" /e /r /s</v>
      </c>
      <c r="AG126" s="1" t="str">
        <f t="shared" si="40"/>
        <v>EC</v>
      </c>
      <c r="AH126" s="92" t="str">
        <f t="shared" si="42"/>
        <v>"%USERPROFILE%\Documents\GitHub\eaglep3\Utilities\RefineRTDCRunTimes.py" --tripid 214-02 --locoid 4021 --swversion DE.1.0.8.0 --startMP 204:232991 --initTime 2016-12-02T18:22:49 --startdatetime 2016-12-02T18:41:13 --delay 1 --endMP 204:149 --enddatetime 2016-12-02T19:17:51 --enforcementcount 0 &gt;&gt;C:\Users\stu\Documents\GitHub\eaglep3-reporting\EC\2016-12-02-refined-times.txt</v>
      </c>
      <c r="AI126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{"issue":{"subject":"","project_id":79,"tracker_id":40,"status_id":1,"priority_id":2,"assigned_to_id":23,"start_date":"2016-12-02","description":"","custom_fields":[{"id":1,"name":"Subdivision","value":"EC"},{"id":4,"name":"Milepost","value":"0.0149"},{"id":17,"name":"Train ID","value":"214-02"},{"id":16,"name":"Locomotive ID","value":"4021"},{"id":130,"name":"Impact","value":""},{"id":150,"name":"Time of Event (Mountain Time)","value":"19:17:51"},{"id":151,"name":"Denver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617</v>
      </c>
      <c r="B127" s="7">
        <v>4014</v>
      </c>
      <c r="C127" s="22" t="s">
        <v>210</v>
      </c>
      <c r="D127" s="22" t="s">
        <v>727</v>
      </c>
      <c r="E127" s="13">
        <v>42706.745925925927</v>
      </c>
      <c r="F127" s="13">
        <v>42706.789398148147</v>
      </c>
      <c r="G127" s="7">
        <v>6</v>
      </c>
      <c r="H127" s="22" t="s">
        <v>728</v>
      </c>
      <c r="I127" s="13">
        <v>42706.816041666665</v>
      </c>
      <c r="J127" s="7">
        <v>0</v>
      </c>
      <c r="K127" s="109" t="str">
        <f t="shared" si="30"/>
        <v>4013/4014</v>
      </c>
      <c r="L127" s="22" t="str">
        <f>VLOOKUP(A127,'Trips&amp;Operators'!$C$1:$G$99999,5,FALSE)</f>
        <v>STORY SAMANTHA</v>
      </c>
      <c r="M127" s="6">
        <f t="shared" si="31"/>
        <v>2.6643518518540077E-2</v>
      </c>
      <c r="N127" s="7">
        <f t="shared" si="44"/>
        <v>38.366666666697711</v>
      </c>
      <c r="O127" s="7"/>
      <c r="P127" s="7"/>
      <c r="Q127" s="23"/>
      <c r="R127" s="23"/>
      <c r="S127" s="35">
        <f t="shared" si="47"/>
        <v>1</v>
      </c>
      <c r="T127" s="50" t="str">
        <f t="shared" si="3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16:54:08-700',mode:absolute,to:'2016-12-02 20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7" s="52" t="str">
        <f t="shared" si="35"/>
        <v>N</v>
      </c>
      <c r="X127" s="177">
        <f t="shared" si="48"/>
        <v>1</v>
      </c>
      <c r="Y127" s="67">
        <f t="shared" si="45"/>
        <v>4.8000000000000001E-2</v>
      </c>
      <c r="Z127" s="67">
        <f t="shared" si="46"/>
        <v>23.331800000000001</v>
      </c>
      <c r="AA127" s="67">
        <f t="shared" si="36"/>
        <v>23.283800000000003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7"/>
        <v>0215-02</v>
      </c>
      <c r="AE127" s="91" t="str">
        <f t="shared" si="38"/>
        <v>aws s3 cp s3://rtdc.mdm.uploadarchive.raw/RTDC4014/ "%USERPROFILE%\AppData\Local\Temp\OnboardLogs"\RTDC4014\2016-12-02 --exclude "*" --recursive --include "*20161202*" &amp; "%USERPROFILE%\Documents\GitHub\mrs-test-scripts\Headless Mode &amp; Sideloading\WalkAndUnGZ.bat" "%USERPROFILE%\AppData\Local\Temp\OnboardLogs"\RTDC4014\2016-12-02 &amp; 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</v>
      </c>
      <c r="AF127" s="88" t="str">
        <f t="shared" si="39"/>
        <v>"C:\Program Files (x86)\AstroGrep\AstroGrep.exe" /spath="%USERPROFILE%\AppData\Local\Temp\OnboardLogs" /stypes="app*4014*20161203*" /stext=" 02:.+((SYSTEM_STATE.+slice.+state.+changed )|(ment ac)|(multiple cpu faults)|(system.+state.+changed )|(\[timeout)|(PRM\|1\|D)|(kpr)|(kdp)|(\|lc)|(penalty))" /e /r /s</v>
      </c>
      <c r="AG127" s="1" t="str">
        <f t="shared" si="40"/>
        <v>EC</v>
      </c>
      <c r="AH127" s="92" t="str">
        <f t="shared" si="42"/>
        <v>"%USERPROFILE%\Documents\GitHub\eaglep3\Utilities\RefineRTDCRunTimes.py" --tripid 215-02 --locoid 4014 --swversion DE.1.0.8.0 --startMP 204:480 --initTime 2016-12-02T17:54:08 --startdatetime 2016-12-02T18:56:44 --delay 6 --endMP 204:233318 --enddatetime 2016-12-02T19:35:06 --enforcementcount 0 &gt;&gt;C:\Users\stu\Documents\GitHub\eaglep3-reporting\EC\2016-12-02-refined-times.txt</v>
      </c>
      <c r="AI127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{"issue":{"subject":"","project_id":79,"tracker_id":40,"status_id":1,"priority_id":2,"assigned_to_id":23,"start_date":"2016-12-02","description":"","custom_fields":[{"id":1,"name":"Subdivision","value":"EC"},{"id":4,"name":"Milepost","value":"23.3318"},{"id":17,"name":"Train ID","value":"215-02"},{"id":16,"name":"Locomotive ID","value":"4014"},{"id":130,"name":"Impact","value":""},{"id":150,"name":"Time of Event (Mountain Time)","value":"19:35:06"},{"id":151,"name":"Denver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631</v>
      </c>
      <c r="B128" s="7">
        <v>4013</v>
      </c>
      <c r="C128" s="22" t="s">
        <v>210</v>
      </c>
      <c r="D128" s="22" t="s">
        <v>239</v>
      </c>
      <c r="E128" s="13">
        <v>42706.787442129629</v>
      </c>
      <c r="F128" s="13">
        <v>42706.789398148147</v>
      </c>
      <c r="G128" s="7">
        <v>1</v>
      </c>
      <c r="H128" s="22" t="s">
        <v>729</v>
      </c>
      <c r="I128" s="13">
        <v>42706.816041666665</v>
      </c>
      <c r="J128" s="7">
        <v>0</v>
      </c>
      <c r="K128" s="109" t="str">
        <f t="shared" si="30"/>
        <v>4013/4014</v>
      </c>
      <c r="L128" s="22" t="str">
        <f>VLOOKUP(A128,'Trips&amp;Operators'!$C$1:$G$99999,5,FALSE)</f>
        <v>STORY SAMANTHA</v>
      </c>
      <c r="M128" s="6">
        <f t="shared" si="31"/>
        <v>2.6643518518540077E-2</v>
      </c>
      <c r="N128" s="7">
        <f t="shared" si="44"/>
        <v>38.366666666697711</v>
      </c>
      <c r="O128" s="7"/>
      <c r="P128" s="7"/>
      <c r="Q128" s="23"/>
      <c r="R128" s="23"/>
      <c r="S128" s="35">
        <f t="shared" si="47"/>
        <v>1</v>
      </c>
      <c r="T128" s="50" t="str">
        <f t="shared" si="3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17:53:55-700',mode:absolute,to:'2016-12-02 20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8" s="52" t="str">
        <f t="shared" si="35"/>
        <v>N</v>
      </c>
      <c r="X128" s="177">
        <f t="shared" si="48"/>
        <v>1</v>
      </c>
      <c r="Y128" s="67">
        <f t="shared" si="45"/>
        <v>23.299800000000001</v>
      </c>
      <c r="Z128" s="67">
        <f t="shared" si="46"/>
        <v>8.8000000000000005E-3</v>
      </c>
      <c r="AA128" s="67">
        <f t="shared" si="36"/>
        <v>23.291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7"/>
        <v>0216-02</v>
      </c>
      <c r="AE128" s="91" t="str">
        <f t="shared" si="38"/>
        <v>aws s3 cp s3://rtdc.mdm.uploadarchive.raw/RTDC4013/ "%USERPROFILE%\AppData\Local\Temp\OnboardLogs"\RTDC4013\2016-12-02 --exclude "*" --recursive --include "*20161202*" &amp; "%USERPROFILE%\Documents\GitHub\mrs-test-scripts\Headless Mode &amp; Sideloading\WalkAndUnGZ.bat" "%USERPROFILE%\AppData\Local\Temp\OnboardLogs"\RTDC4013\2016-12-02 &amp; 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</v>
      </c>
      <c r="AF128" s="88" t="str">
        <f t="shared" si="39"/>
        <v>"C:\Program Files (x86)\AstroGrep\AstroGrep.exe" /spath="%USERPROFILE%\AppData\Local\Temp\OnboardLogs" /stypes="app*4013*20161203*" /stext=" 02:.+((SYSTEM_STATE.+slice.+state.+changed )|(ment ac)|(multiple cpu faults)|(system.+state.+changed )|(\[timeout)|(PRM\|1\|D)|(kpr)|(kdp)|(\|lc)|(penalty))" /e /r /s</v>
      </c>
      <c r="AG128" s="1" t="str">
        <f t="shared" si="40"/>
        <v>EC</v>
      </c>
      <c r="AH128" s="92" t="str">
        <f t="shared" si="42"/>
        <v>"%USERPROFILE%\Documents\GitHub\eaglep3\Utilities\RefineRTDCRunTimes.py" --tripid 216-02 --locoid 4013 --swversion DE.1.0.8.0 --startMP 204:232998 --initTime 2016-12-02T18:53:55 --startdatetime 2016-12-02T18:56:44 --delay 1 --endMP 204:88 --enddatetime 2016-12-02T19:35:06 --enforcementcount 0 &gt;&gt;C:\Users\stu\Documents\GitHub\eaglep3-reporting\EC\2016-12-02-refined-times.txt</v>
      </c>
      <c r="AI128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{"issue":{"subject":"","project_id":79,"tracker_id":40,"status_id":1,"priority_id":2,"assigned_to_id":23,"start_date":"2016-12-02","description":"","custom_fields":[{"id":1,"name":"Subdivision","value":"EC"},{"id":4,"name":"Milepost","value":"0.0088"},{"id":17,"name":"Train ID","value":"216-02"},{"id":16,"name":"Locomotive ID","value":"4013"},{"id":130,"name":"Impact","value":""},{"id":150,"name":"Time of Event (Mountain Time)","value":"19:35:06"},{"id":151,"name":"Denver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622</v>
      </c>
      <c r="B129" s="7">
        <v>4011</v>
      </c>
      <c r="C129" s="22" t="s">
        <v>210</v>
      </c>
      <c r="D129" s="22" t="s">
        <v>245</v>
      </c>
      <c r="E129" s="13">
        <v>42706.759120370371</v>
      </c>
      <c r="F129" s="13">
        <v>42706.760682870372</v>
      </c>
      <c r="G129" s="7">
        <v>1</v>
      </c>
      <c r="H129" s="22" t="s">
        <v>244</v>
      </c>
      <c r="I129" s="13">
        <v>42706.786782407406</v>
      </c>
      <c r="J129" s="7">
        <v>0</v>
      </c>
      <c r="K129" s="109" t="str">
        <f t="shared" si="30"/>
        <v>4011/4012</v>
      </c>
      <c r="L129" s="22" t="str">
        <f>VLOOKUP(A129,'Trips&amp;Operators'!$C$1:$G$99999,5,FALSE)</f>
        <v>CHANDLER KELVIN</v>
      </c>
      <c r="M129" s="6">
        <f t="shared" si="31"/>
        <v>2.6099537033587694E-2</v>
      </c>
      <c r="N129" s="7">
        <f t="shared" si="44"/>
        <v>37.58333332836628</v>
      </c>
      <c r="O129" s="7"/>
      <c r="P129" s="7"/>
      <c r="Q129" s="23"/>
      <c r="R129" s="23"/>
      <c r="S129" s="35">
        <f t="shared" si="47"/>
        <v>1</v>
      </c>
      <c r="T129" s="50" t="str">
        <f t="shared" si="3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17:13:08-700',mode:absolute,to:'2016-12-02 19:52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9" s="52" t="str">
        <f t="shared" si="35"/>
        <v>N</v>
      </c>
      <c r="X129" s="177">
        <f t="shared" si="48"/>
        <v>1</v>
      </c>
      <c r="Y129" s="67">
        <f t="shared" si="45"/>
        <v>4.5499999999999999E-2</v>
      </c>
      <c r="Z129" s="67">
        <f t="shared" si="46"/>
        <v>23.331399999999999</v>
      </c>
      <c r="AA129" s="67">
        <f t="shared" si="36"/>
        <v>23.285899999999998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7"/>
        <v>0217-02</v>
      </c>
      <c r="AE129" s="91" t="str">
        <f t="shared" si="38"/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AF129" s="88" t="str">
        <f t="shared" si="39"/>
        <v>"C:\Program Files (x86)\AstroGrep\AstroGrep.exe" /spath="%USERPROFILE%\AppData\Local\Temp\OnboardLogs" /stypes="app*4011*20161203*" /stext=" 01:.+((SYSTEM_STATE.+slice.+state.+changed )|(ment ac)|(multiple cpu faults)|(system.+state.+changed )|(\[timeout)|(PRM\|1\|D)|(kpr)|(kdp)|(\|lc)|(penalty))" /e /r /s</v>
      </c>
      <c r="AG129" s="1" t="str">
        <f t="shared" si="40"/>
        <v>EC</v>
      </c>
      <c r="AH129" s="92" t="str">
        <f t="shared" si="42"/>
        <v>"%USERPROFILE%\Documents\GitHub\eaglep3\Utilities\RefineRTDCRunTimes.py" --tripid 217-02 --locoid 4011 --swversion DE.1.0.8.0 --startMP 204:455 --initTime 2016-12-02T18:13:08 --startdatetime 2016-12-02T18:15:23 --delay 1 --endMP 204:233314 --enddatetime 2016-12-02T18:52:58 --enforcementcount 0 &gt;&gt;C:\Users\stu\Documents\GitHub\eaglep3-reporting\EC\2016-12-02-refined-times.txt</v>
      </c>
      <c r="AI129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{"issue":{"subject":"","project_id":79,"tracker_id":40,"status_id":1,"priority_id":2,"assigned_to_id":23,"start_date":"2016-12-02","description":"","custom_fields":[{"id":1,"name":"Subdivision","value":"EC"},{"id":4,"name":"Milepost","value":"23.3314"},{"id":17,"name":"Train ID","value":"217-02"},{"id":16,"name":"Locomotive ID","value":"4011"},{"id":130,"name":"Impact","value":""},{"id":150,"name":"Time of Event (Mountain Time)","value":"18:52:58"},{"id":151,"name":"Denver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633</v>
      </c>
      <c r="B130" s="7">
        <v>4012</v>
      </c>
      <c r="C130" s="22" t="s">
        <v>210</v>
      </c>
      <c r="D130" s="22" t="s">
        <v>237</v>
      </c>
      <c r="E130" s="13">
        <v>42706.796770833331</v>
      </c>
      <c r="F130" s="13">
        <v>42706.799942129626</v>
      </c>
      <c r="G130" s="7">
        <v>1</v>
      </c>
      <c r="H130" s="22" t="s">
        <v>295</v>
      </c>
      <c r="I130" s="13">
        <v>42706.827187499999</v>
      </c>
      <c r="J130" s="7">
        <v>0</v>
      </c>
      <c r="K130" s="109" t="str">
        <f t="shared" si="30"/>
        <v>4011/4012</v>
      </c>
      <c r="L130" s="22" t="str">
        <f>VLOOKUP(A130,'Trips&amp;Operators'!$C$1:$G$99999,5,FALSE)</f>
        <v>CHANDLER KELVIN</v>
      </c>
      <c r="M130" s="6">
        <f t="shared" si="31"/>
        <v>2.7245370372838806E-2</v>
      </c>
      <c r="N130" s="7">
        <f t="shared" si="44"/>
        <v>39.233333336887881</v>
      </c>
      <c r="O130" s="7"/>
      <c r="P130" s="7"/>
      <c r="Q130" s="23"/>
      <c r="R130" s="23"/>
      <c r="S130" s="35">
        <f t="shared" si="47"/>
        <v>1</v>
      </c>
      <c r="T130" s="50" t="str">
        <f t="shared" si="3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18:07:21-700',mode:absolute,to:'2016-12-02 20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0" s="52" t="str">
        <f t="shared" si="35"/>
        <v>N</v>
      </c>
      <c r="X130" s="177">
        <f t="shared" si="48"/>
        <v>1</v>
      </c>
      <c r="Y130" s="67">
        <f t="shared" si="45"/>
        <v>23.299399999999999</v>
      </c>
      <c r="Z130" s="67">
        <f t="shared" si="46"/>
        <v>1.6299999999999999E-2</v>
      </c>
      <c r="AA130" s="67">
        <f t="shared" si="36"/>
        <v>23.283099999999997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7"/>
        <v>0218-02</v>
      </c>
      <c r="AE130" s="91" t="str">
        <f t="shared" si="38"/>
        <v>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 &amp; 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</v>
      </c>
      <c r="AF130" s="88" t="str">
        <f t="shared" si="39"/>
        <v>"C:\Program Files (x86)\AstroGrep\AstroGrep.exe" /spath="%USERPROFILE%\AppData\Local\Temp\OnboardLogs" /stypes="app*4012*20161203*" /stext=" 02:.+((SYSTEM_STATE.+slice.+state.+changed )|(ment ac)|(multiple cpu faults)|(system.+state.+changed )|(\[timeout)|(PRM\|1\|D)|(kpr)|(kdp)|(\|lc)|(penalty))" /e /r /s</v>
      </c>
      <c r="AG130" s="1" t="str">
        <f t="shared" si="40"/>
        <v>EC</v>
      </c>
      <c r="AH130" s="92" t="str">
        <f t="shared" si="42"/>
        <v>"%USERPROFILE%\Documents\GitHub\eaglep3\Utilities\RefineRTDCRunTimes.py" --tripid 218-02 --locoid 4012 --swversion DE.1.0.8.0 --startMP 204:232994 --initTime 2016-12-02T19:07:21 --startdatetime 2016-12-02T19:11:55 --delay 1 --endMP 204:163 --enddatetime 2016-12-02T19:51:09 --enforcementcount 0 &gt;&gt;C:\Users\stu\Documents\GitHub\eaglep3-reporting\EC\2016-12-02-refined-times.txt</v>
      </c>
      <c r="AI130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{"issue":{"subject":"","project_id":79,"tracker_id":40,"status_id":1,"priority_id":2,"assigned_to_id":23,"start_date":"2016-12-02","description":"","custom_fields":[{"id":1,"name":"Subdivision","value":"EC"},{"id":4,"name":"Milepost","value":"0.0163"},{"id":17,"name":"Train ID","value":"218-02"},{"id":16,"name":"Locomotive ID","value":"4012"},{"id":130,"name":"Impact","value":""},{"id":150,"name":"Time of Event (Mountain Time)","value":"19:51:09"},{"id":151,"name":"Denver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626</v>
      </c>
      <c r="B131" s="7">
        <v>4002</v>
      </c>
      <c r="C131" s="22" t="s">
        <v>210</v>
      </c>
      <c r="D131" s="22" t="s">
        <v>394</v>
      </c>
      <c r="E131" s="13">
        <v>42706.765960648147</v>
      </c>
      <c r="F131" s="13">
        <v>42706.771064814813</v>
      </c>
      <c r="G131" s="7">
        <v>2</v>
      </c>
      <c r="H131" s="22" t="s">
        <v>699</v>
      </c>
      <c r="I131" s="13">
        <v>42706.795011574075</v>
      </c>
      <c r="J131" s="7">
        <v>0</v>
      </c>
      <c r="K131" s="109" t="str">
        <f t="shared" si="30"/>
        <v>4001/4002</v>
      </c>
      <c r="L131" s="22" t="str">
        <f>VLOOKUP(A131,'Trips&amp;Operators'!$C$1:$G$99999,5,FALSE)</f>
        <v>STAMBAUGH JAMES</v>
      </c>
      <c r="M131" s="6">
        <f t="shared" si="31"/>
        <v>2.3946759261889383E-2</v>
      </c>
      <c r="N131" s="7">
        <f t="shared" si="44"/>
        <v>34.483333337120712</v>
      </c>
      <c r="O131" s="7"/>
      <c r="P131" s="7"/>
      <c r="Q131" s="23"/>
      <c r="R131" s="23"/>
      <c r="S131" s="35">
        <f t="shared" si="47"/>
        <v>1</v>
      </c>
      <c r="T131" s="50" t="str">
        <f t="shared" si="3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17:22:59-700',mode:absolute,to:'2016-12-02 20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1" s="52" t="str">
        <f t="shared" si="35"/>
        <v>N</v>
      </c>
      <c r="X131" s="177">
        <f t="shared" si="48"/>
        <v>1</v>
      </c>
      <c r="Y131" s="67">
        <f t="shared" si="45"/>
        <v>4.6899999999999997E-2</v>
      </c>
      <c r="Z131" s="67">
        <f t="shared" si="46"/>
        <v>23.3339</v>
      </c>
      <c r="AA131" s="67">
        <f t="shared" si="36"/>
        <v>23.286999999999999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7"/>
        <v>0219-02</v>
      </c>
      <c r="AE131" s="91" t="str">
        <f t="shared" si="38"/>
        <v>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 &amp; 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</v>
      </c>
      <c r="AF131" s="88" t="str">
        <f t="shared" si="39"/>
        <v>"C:\Program Files (x86)\AstroGrep\AstroGrep.exe" /spath="%USERPROFILE%\AppData\Local\Temp\OnboardLogs" /stypes="app*4002*20161203*" /stext=" 02:.+((SYSTEM_STATE.+slice.+state.+changed )|(ment ac)|(multiple cpu faults)|(system.+state.+changed )|(\[timeout)|(PRM\|1\|D)|(kpr)|(kdp)|(\|lc)|(penalty))" /e /r /s</v>
      </c>
      <c r="AG131" s="1" t="str">
        <f t="shared" si="40"/>
        <v>EC</v>
      </c>
      <c r="AH131" s="92" t="str">
        <f t="shared" si="42"/>
        <v>"%USERPROFILE%\Documents\GitHub\eaglep3\Utilities\RefineRTDCRunTimes.py" --tripid 219-02 --locoid 4002 --swversion DE.1.0.8.0 --startMP 204:469 --initTime 2016-12-02T18:22:59 --startdatetime 2016-12-02T18:30:20 --delay 2 --endMP 204:233339 --enddatetime 2016-12-02T19:04:49 --enforcementcount 0 &gt;&gt;C:\Users\stu\Documents\GitHub\eaglep3-reporting\EC\2016-12-02-refined-times.txt</v>
      </c>
      <c r="AI131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{"issue":{"subject":"","project_id":79,"tracker_id":40,"status_id":1,"priority_id":2,"assigned_to_id":23,"start_date":"2016-12-02","description":"","custom_fields":[{"id":1,"name":"Subdivision","value":"EC"},{"id":4,"name":"Milepost","value":"23.3339"},{"id":17,"name":"Train ID","value":"219-02"},{"id":16,"name":"Locomotive ID","value":"4002"},{"id":130,"name":"Impact","value":""},{"id":150,"name":"Time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636</v>
      </c>
      <c r="B132" s="7">
        <v>4001</v>
      </c>
      <c r="C132" s="22" t="s">
        <v>210</v>
      </c>
      <c r="D132" s="22" t="s">
        <v>307</v>
      </c>
      <c r="E132" s="13">
        <v>42706.806250000001</v>
      </c>
      <c r="F132" s="13">
        <v>42706.810208333336</v>
      </c>
      <c r="G132" s="7">
        <v>1</v>
      </c>
      <c r="H132" s="22" t="s">
        <v>730</v>
      </c>
      <c r="I132" s="13">
        <v>42706.840601851851</v>
      </c>
      <c r="J132" s="7">
        <v>0</v>
      </c>
      <c r="K132" s="109" t="str">
        <f t="shared" si="30"/>
        <v>4001/4002</v>
      </c>
      <c r="L132" s="22" t="str">
        <f>VLOOKUP(A132,'Trips&amp;Operators'!$C$1:$G$99999,5,FALSE)</f>
        <v>STAMBAUGH JAMES</v>
      </c>
      <c r="M132" s="6">
        <f t="shared" si="31"/>
        <v>3.0393518514756579E-2</v>
      </c>
      <c r="N132" s="7">
        <f t="shared" si="44"/>
        <v>43.766666661249474</v>
      </c>
      <c r="O132" s="7"/>
      <c r="P132" s="7"/>
      <c r="Q132" s="23"/>
      <c r="R132" s="23"/>
      <c r="S132" s="35">
        <f t="shared" si="47"/>
        <v>1</v>
      </c>
      <c r="T132" s="50" t="str">
        <f t="shared" si="3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18:21:00-700',mode:absolute,to:'2016-12-02 21:10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2" s="52" t="str">
        <f t="shared" si="35"/>
        <v>N</v>
      </c>
      <c r="X132" s="177">
        <f t="shared" si="48"/>
        <v>1</v>
      </c>
      <c r="Y132" s="67">
        <f t="shared" si="45"/>
        <v>23.301100000000002</v>
      </c>
      <c r="Z132" s="67">
        <f t="shared" si="46"/>
        <v>3.5299999999999998E-2</v>
      </c>
      <c r="AA132" s="67">
        <f t="shared" si="36"/>
        <v>23.265800000000002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7"/>
        <v>0220-02</v>
      </c>
      <c r="AE132" s="91" t="str">
        <f t="shared" si="38"/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AF132" s="88" t="str">
        <f t="shared" si="39"/>
        <v>"C:\Program Files (x86)\AstroGrep\AstroGrep.exe" /spath="%USERPROFILE%\AppData\Local\Temp\OnboardLogs" /stypes="app*4001*20161203*" /stext=" 03:.+((SYSTEM_STATE.+slice.+state.+changed )|(ment ac)|(multiple cpu faults)|(system.+state.+changed )|(\[timeout)|(PRM\|1\|D)|(kpr)|(kdp)|(\|lc)|(penalty))" /e /r /s</v>
      </c>
      <c r="AG132" s="1" t="str">
        <f t="shared" si="40"/>
        <v>EC</v>
      </c>
      <c r="AH132" s="92" t="str">
        <f t="shared" si="42"/>
        <v>"%USERPROFILE%\Documents\GitHub\eaglep3\Utilities\RefineRTDCRunTimes.py" --tripid 220-02 --locoid 4001 --swversion DE.1.0.8.0 --startMP 204:233011 --initTime 2016-12-02T19:21:00 --startdatetime 2016-12-02T19:26:42 --delay 1 --endMP 204:353 --enddatetime 2016-12-02T20:10:28 --enforcementcount 0 &gt;&gt;C:\Users\stu\Documents\GitHub\eaglep3-reporting\EC\2016-12-02-refined-times.txt</v>
      </c>
      <c r="AI132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{"issue":{"subject":"","project_id":79,"tracker_id":40,"status_id":1,"priority_id":2,"assigned_to_id":23,"start_date":"2016-12-02","description":"","custom_fields":[{"id":1,"name":"Subdivision","value":"EC"},{"id":4,"name":"Milepost","value":"0.0353"},{"id":17,"name":"Train ID","value":"220-02"},{"id":16,"name":"Locomotive ID","value":"4001"},{"id":130,"name":"Impact","value":""},{"id":150,"name":"Time of Event (Mountain Time)","value":"20:10:28"},{"id":151,"name":"Denver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630</v>
      </c>
      <c r="B133" s="7">
        <v>4044</v>
      </c>
      <c r="C133" s="22" t="s">
        <v>210</v>
      </c>
      <c r="D133" s="22" t="s">
        <v>731</v>
      </c>
      <c r="E133" s="13">
        <v>42706.785949074074</v>
      </c>
      <c r="F133" s="13">
        <v>42706.792222222219</v>
      </c>
      <c r="G133" s="7">
        <v>1</v>
      </c>
      <c r="H133" s="22" t="s">
        <v>685</v>
      </c>
      <c r="I133" s="13">
        <v>42706.815891203703</v>
      </c>
      <c r="J133" s="7">
        <v>0</v>
      </c>
      <c r="K133" s="109" t="str">
        <f t="shared" si="30"/>
        <v>4043/4044</v>
      </c>
      <c r="L133" s="22" t="str">
        <f>VLOOKUP(A133,'Trips&amp;Operators'!$C$1:$G$99999,5,FALSE)</f>
        <v>LEVIN SCOTT</v>
      </c>
      <c r="M133" s="6">
        <f t="shared" si="31"/>
        <v>2.3668981484661344E-2</v>
      </c>
      <c r="N133" s="7">
        <f t="shared" si="44"/>
        <v>34.083333337912336</v>
      </c>
      <c r="O133" s="7"/>
      <c r="P133" s="7"/>
      <c r="Q133" s="23"/>
      <c r="R133" s="23"/>
      <c r="S133" s="35">
        <f t="shared" si="47"/>
        <v>1</v>
      </c>
      <c r="T133" s="50" t="str">
        <f t="shared" si="3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17:51:46-700',mode:absolute,to:'2016-12-02 20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3" s="52" t="str">
        <f t="shared" si="35"/>
        <v>N</v>
      </c>
      <c r="X133" s="177">
        <f t="shared" si="48"/>
        <v>1</v>
      </c>
      <c r="Y133" s="67">
        <f t="shared" si="45"/>
        <v>4.53E-2</v>
      </c>
      <c r="Z133" s="67">
        <f t="shared" si="46"/>
        <v>23.331700000000001</v>
      </c>
      <c r="AA133" s="67">
        <f t="shared" si="36"/>
        <v>23.2864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7"/>
        <v>0221-02</v>
      </c>
      <c r="AE133" s="91" t="str">
        <f t="shared" si="38"/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133" s="88" t="str">
        <f t="shared" si="39"/>
        <v>"C:\Program Files (x86)\AstroGrep\AstroGrep.exe" /spath="%USERPROFILE%\AppData\Local\Temp\OnboardLogs" /stypes="app*4044*20161203*" /stext=" 02:.+((SYSTEM_STATE.+slice.+state.+changed )|(ment ac)|(multiple cpu faults)|(system.+state.+changed )|(\[timeout)|(PRM\|1\|D)|(kpr)|(kdp)|(\|lc)|(penalty))" /e /r /s</v>
      </c>
      <c r="AG133" s="1" t="str">
        <f t="shared" si="40"/>
        <v>EC</v>
      </c>
      <c r="AH133" s="92" t="str">
        <f t="shared" si="42"/>
        <v>"%USERPROFILE%\Documents\GitHub\eaglep3\Utilities\RefineRTDCRunTimes.py" --tripid 221-02 --locoid 4044 --swversion DE.1.0.8.0 --startMP 204:453 --initTime 2016-12-02T18:51:46 --startdatetime 2016-12-02T19:00:48 --delay 1 --endMP 204:233317 --enddatetime 2016-12-02T19:34:53 --enforcementcount 0 &gt;&gt;C:\Users\stu\Documents\GitHub\eaglep3-reporting\EC\2016-12-02-refined-times.txt</v>
      </c>
      <c r="AI133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{"issue":{"subject":"","project_id":79,"tracker_id":40,"status_id":1,"priority_id":2,"assigned_to_id":23,"start_date":"2016-12-02","description":"","custom_fields":[{"id":1,"name":"Subdivision","value":"EC"},{"id":4,"name":"Milepost","value":"23.3317"},{"id":17,"name":"Train ID","value":"221-02"},{"id":16,"name":"Locomotive ID","value":"4044"},{"id":130,"name":"Impact","value":""},{"id":150,"name":"Time of Event (Mountain Time)","value":"19:34:53"},{"id":151,"name":"Denver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640</v>
      </c>
      <c r="B134" s="7">
        <v>4043</v>
      </c>
      <c r="C134" s="22" t="s">
        <v>210</v>
      </c>
      <c r="D134" s="22" t="s">
        <v>402</v>
      </c>
      <c r="E134" s="13">
        <v>42706.826747685183</v>
      </c>
      <c r="F134" s="13">
        <v>42706.830879629626</v>
      </c>
      <c r="G134" s="7">
        <v>1</v>
      </c>
      <c r="H134" s="22" t="s">
        <v>732</v>
      </c>
      <c r="I134" s="13">
        <v>42706.859097222223</v>
      </c>
      <c r="J134" s="7">
        <v>0</v>
      </c>
      <c r="K134" s="109" t="str">
        <f t="shared" si="30"/>
        <v>4043/4044</v>
      </c>
      <c r="L134" s="22" t="str">
        <f>VLOOKUP(A134,'Trips&amp;Operators'!$C$1:$G$99999,5,FALSE)</f>
        <v>LEVIN SCOTT</v>
      </c>
      <c r="M134" s="6">
        <f t="shared" si="31"/>
        <v>2.8217592596774921E-2</v>
      </c>
      <c r="N134" s="7">
        <f t="shared" si="44"/>
        <v>40.633333339355886</v>
      </c>
      <c r="O134" s="7"/>
      <c r="P134" s="7"/>
      <c r="Q134" s="23"/>
      <c r="R134" s="23"/>
      <c r="S134" s="35">
        <f t="shared" si="47"/>
        <v>1</v>
      </c>
      <c r="T134" s="50" t="str">
        <f t="shared" si="3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18:50:31-700',mode:absolute,to:'2016-12-02 21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4" s="52" t="str">
        <f t="shared" si="35"/>
        <v>N</v>
      </c>
      <c r="X134" s="177">
        <f t="shared" si="48"/>
        <v>1</v>
      </c>
      <c r="Y134" s="67">
        <f t="shared" si="45"/>
        <v>23.302299999999999</v>
      </c>
      <c r="Z134" s="67">
        <f t="shared" si="46"/>
        <v>4.9099999999999998E-2</v>
      </c>
      <c r="AA134" s="67">
        <f t="shared" si="36"/>
        <v>23.2532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7"/>
        <v>0222-02</v>
      </c>
      <c r="AE134" s="91" t="str">
        <f t="shared" si="38"/>
        <v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v>
      </c>
      <c r="AF134" s="88" t="str">
        <f t="shared" si="39"/>
        <v>"C:\Program Files (x86)\AstroGrep\AstroGrep.exe" /spath="%USERPROFILE%\AppData\Local\Temp\OnboardLogs" /stypes="app*4043*20161203*" /stext=" 03:.+((SYSTEM_STATE.+slice.+state.+changed )|(ment ac)|(multiple cpu faults)|(system.+state.+changed )|(\[timeout)|(PRM\|1\|D)|(kpr)|(kdp)|(\|lc)|(penalty))" /e /r /s</v>
      </c>
      <c r="AG134" s="1" t="str">
        <f t="shared" si="40"/>
        <v>EC</v>
      </c>
      <c r="AH134" s="92" t="str">
        <f t="shared" si="42"/>
        <v>"%USERPROFILE%\Documents\GitHub\eaglep3\Utilities\RefineRTDCRunTimes.py" --tripid 222-02 --locoid 4043 --swversion DE.1.0.8.0 --startMP 204:233023 --initTime 2016-12-02T19:50:31 --startdatetime 2016-12-02T19:56:28 --delay 1 --endMP 204:491 --enddatetime 2016-12-02T20:37:06 --enforcementcount 0 &gt;&gt;C:\Users\stu\Documents\GitHub\eaglep3-reporting\EC\2016-12-02-refined-times.txt</v>
      </c>
      <c r="AI134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{"issue":{"subject":"","project_id":79,"tracker_id":40,"status_id":1,"priority_id":2,"assigned_to_id":23,"start_date":"2016-12-02","description":"","custom_fields":[{"id":1,"name":"Subdivision","value":"EC"},{"id":4,"name":"Milepost","value":"0.0491"},{"id":17,"name":"Train ID","value":"222-02"},{"id":16,"name":"Locomotive ID","value":"4043"},{"id":130,"name":"Impact","value":""},{"id":150,"name":"Time of Event (Mountain Time)","value":"20:37:06"},{"id":151,"name":"Denver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x14ac:dyDescent="0.25">
      <c r="A135" s="37" t="s">
        <v>637</v>
      </c>
      <c r="B135" s="7">
        <v>4022</v>
      </c>
      <c r="C135" s="22" t="s">
        <v>210</v>
      </c>
      <c r="D135" s="22" t="s">
        <v>268</v>
      </c>
      <c r="E135" s="13">
        <v>42706.806851851848</v>
      </c>
      <c r="F135" s="13">
        <v>42706.812754629631</v>
      </c>
      <c r="G135" s="7">
        <v>1</v>
      </c>
      <c r="H135" s="22" t="s">
        <v>323</v>
      </c>
      <c r="I135" s="13">
        <v>42706.838206018518</v>
      </c>
      <c r="J135" s="7">
        <v>0</v>
      </c>
      <c r="K135" s="109" t="str">
        <f t="shared" si="30"/>
        <v>4021/4022</v>
      </c>
      <c r="L135" s="22" t="str">
        <f>VLOOKUP(A135,'Trips&amp;Operators'!$C$1:$G$99999,5,FALSE)</f>
        <v>YANAI IAN</v>
      </c>
      <c r="M135" s="6">
        <f t="shared" si="31"/>
        <v>2.545138888672227E-2</v>
      </c>
      <c r="N135" s="7">
        <f t="shared" si="44"/>
        <v>36.649999996880069</v>
      </c>
      <c r="O135" s="7"/>
      <c r="P135" s="7"/>
      <c r="Q135" s="23"/>
      <c r="R135" s="23"/>
      <c r="S135" s="35">
        <f t="shared" si="47"/>
        <v>1</v>
      </c>
      <c r="T135" s="50" t="str">
        <f t="shared" si="3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18:21:52-700',mode:absolute,to:'2016-12-02 21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5" s="52" t="str">
        <f t="shared" si="35"/>
        <v>N</v>
      </c>
      <c r="X135" s="177">
        <f t="shared" si="48"/>
        <v>1</v>
      </c>
      <c r="Y135" s="67">
        <f t="shared" si="45"/>
        <v>4.6699999999999998E-2</v>
      </c>
      <c r="Z135" s="67">
        <f t="shared" si="46"/>
        <v>23.331199999999999</v>
      </c>
      <c r="AA135" s="67">
        <f t="shared" si="36"/>
        <v>23.284499999999998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7"/>
        <v>0223-02</v>
      </c>
      <c r="AE135" s="91" t="str">
        <f t="shared" si="38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135" s="88" t="str">
        <f t="shared" si="39"/>
        <v>"C:\Program Files (x86)\AstroGrep\AstroGrep.exe" /spath="%USERPROFILE%\AppData\Local\Temp\OnboardLogs" /stypes="app*4022*20161203*" /stext=" 03:.+((SYSTEM_STATE.+slice.+state.+changed )|(ment ac)|(multiple cpu faults)|(system.+state.+changed )|(\[timeout)|(PRM\|1\|D)|(kpr)|(kdp)|(\|lc)|(penalty))" /e /r /s</v>
      </c>
      <c r="AG135" s="1" t="str">
        <f t="shared" si="40"/>
        <v>EC</v>
      </c>
      <c r="AH135" s="92" t="str">
        <f t="shared" si="42"/>
        <v>"%USERPROFILE%\Documents\GitHub\eaglep3\Utilities\RefineRTDCRunTimes.py" --tripid 223-02 --locoid 4022 --swversion DE.1.0.8.0 --startMP 204:467 --initTime 2016-12-02T19:21:52 --startdatetime 2016-12-02T19:30:22 --delay 1 --endMP 204:233312 --enddatetime 2016-12-02T20:07:01 --enforcementcount 0 &gt;&gt;C:\Users\stu\Documents\GitHub\eaglep3-reporting\EC\2016-12-02-refined-times.txt</v>
      </c>
      <c r="AI135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{"issue":{"subject":"","project_id":79,"tracker_id":40,"status_id":1,"priority_id":2,"assigned_to_id":23,"start_date":"2016-12-02","description":"","custom_fields":[{"id":1,"name":"Subdivision","value":"EC"},{"id":4,"name":"Milepost","value":"23.3312"},{"id":17,"name":"Train ID","value":"223-02"},{"id":16,"name":"Locomotive ID","value":"4022"},{"id":130,"name":"Impact","value":""},{"id":150,"name":"Time of Event (Mountain Time)","value":"20:07:01"},{"id":151,"name":"Denver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457</v>
      </c>
      <c r="B136" s="7">
        <v>4021</v>
      </c>
      <c r="C136" s="22" t="s">
        <v>210</v>
      </c>
      <c r="D136" s="22" t="s">
        <v>398</v>
      </c>
      <c r="E136" s="13">
        <v>42706.84511574074</v>
      </c>
      <c r="F136" s="13">
        <v>42706.851539351854</v>
      </c>
      <c r="G136" s="7">
        <v>1</v>
      </c>
      <c r="H136" s="22" t="s">
        <v>733</v>
      </c>
      <c r="I136" s="13">
        <v>42706.878159722219</v>
      </c>
      <c r="J136" s="7">
        <v>0</v>
      </c>
      <c r="K136" s="109" t="str">
        <f t="shared" si="30"/>
        <v>4021/4022</v>
      </c>
      <c r="L136" s="22" t="str">
        <f>VLOOKUP(A136,'Trips&amp;Operators'!$C$1:$G$99999,5,FALSE)</f>
        <v>YANAI IAN</v>
      </c>
      <c r="M136" s="6">
        <f t="shared" si="31"/>
        <v>2.6620370364980772E-2</v>
      </c>
      <c r="N136" s="7">
        <f t="shared" ref="N136:N145" si="49">24*60*SUM($M136:$M136)</f>
        <v>38.333333325572312</v>
      </c>
      <c r="O136" s="7"/>
      <c r="P136" s="7"/>
      <c r="Q136" s="23"/>
      <c r="R136" s="23"/>
      <c r="S136" s="35">
        <f t="shared" si="47"/>
        <v>1</v>
      </c>
      <c r="T136" s="50" t="str">
        <f t="shared" si="3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19:16:58-700',mode:absolute,to:'2016-12-02 22:04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6" s="52" t="str">
        <f t="shared" si="35"/>
        <v>N</v>
      </c>
      <c r="X136" s="177">
        <f t="shared" si="48"/>
        <v>1</v>
      </c>
      <c r="Y136" s="67">
        <f t="shared" ref="Y136:Y167" si="50">RIGHT(D136,LEN(D136)-4)/10000</f>
        <v>23.297799999999999</v>
      </c>
      <c r="Z136" s="67">
        <f t="shared" ref="Z136:Z167" si="51">RIGHT(H136,LEN(H136)-4)/10000</f>
        <v>4.0899999999999999E-2</v>
      </c>
      <c r="AA136" s="67">
        <f t="shared" si="36"/>
        <v>23.256899999999998</v>
      </c>
      <c r="AB136" s="64" t="str">
        <f>VLOOKUP(A136,Enforcements!$C$7:$K$19,8,0)</f>
        <v>Bulletin (2)</v>
      </c>
      <c r="AC136" s="60" t="str">
        <f>VLOOKUP(A136,Enforcements!$C$7:$E$19,3,0)</f>
        <v>GRADE CROSSING</v>
      </c>
      <c r="AD136" s="61" t="str">
        <f t="shared" si="37"/>
        <v>0224-02</v>
      </c>
      <c r="AE136" s="91" t="str">
        <f t="shared" si="38"/>
        <v>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 &amp; 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</v>
      </c>
      <c r="AF136" s="88" t="str">
        <f t="shared" si="39"/>
        <v>"C:\Program Files (x86)\AstroGrep\AstroGrep.exe" /spath="%USERPROFILE%\AppData\Local\Temp\OnboardLogs" /stypes="app*4021*20161203*" /stext=" 04:.+((SYSTEM_STATE.+slice.+state.+changed )|(ment ac)|(multiple cpu faults)|(system.+state.+changed )|(\[timeout)|(PRM\|1\|D)|(kpr)|(kdp)|(\|lc)|(penalty))" /e /r /s</v>
      </c>
      <c r="AG136" s="1" t="str">
        <f t="shared" si="40"/>
        <v>EC</v>
      </c>
      <c r="AH136" s="92" t="str">
        <f t="shared" si="42"/>
        <v>"%USERPROFILE%\Documents\GitHub\eaglep3\Utilities\RefineRTDCRunTimes.py" --tripid 224-02 --locoid 4021 --swversion DE.1.0.8.0 --startMP 204:232978 --initTime 2016-12-02T20:16:58 --startdatetime 2016-12-02T20:26:13 --delay 1 --endMP 204:409 --enddatetime 2016-12-02T21:04:33 --enforcementcount 0 &gt;&gt;C:\Users\stu\Documents\GitHub\eaglep3-reporting\EC\2016-12-02-refined-times.txt</v>
      </c>
      <c r="AI136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{"issue":{"subject":"","project_id":79,"tracker_id":40,"status_id":1,"priority_id":2,"assigned_to_id":23,"start_date":"2016-12-02","description":"","custom_fields":[{"id":1,"name":"Subdivision","value":"EC"},{"id":4,"name":"Milepost","value":"0.0409"},{"id":17,"name":"Train ID","value":"224-02"},{"id":16,"name":"Locomotive ID","value":"4021"},{"id":130,"name":"Impact","value":""},{"id":150,"name":"Time of Event (Mountain Time)","value":"21:04:33"},{"id":151,"name":"Denver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s="21" customFormat="1" x14ac:dyDescent="0.25">
      <c r="A137" s="37" t="s">
        <v>456</v>
      </c>
      <c r="B137" s="7">
        <v>4011</v>
      </c>
      <c r="C137" s="22" t="s">
        <v>210</v>
      </c>
      <c r="D137" s="22" t="s">
        <v>232</v>
      </c>
      <c r="E137" s="13">
        <v>42706.83252314815</v>
      </c>
      <c r="F137" s="13">
        <v>42706.833587962959</v>
      </c>
      <c r="G137" s="7">
        <v>1</v>
      </c>
      <c r="H137" s="22" t="s">
        <v>711</v>
      </c>
      <c r="I137" s="13">
        <v>42706.858506944445</v>
      </c>
      <c r="J137" s="7">
        <v>0</v>
      </c>
      <c r="K137" s="109" t="str">
        <f t="shared" si="30"/>
        <v>4011/4012</v>
      </c>
      <c r="L137" s="22" t="str">
        <f>VLOOKUP(A137,'Trips&amp;Operators'!$C$1:$G$99999,5,FALSE)</f>
        <v>CHANDLER KELVIN</v>
      </c>
      <c r="M137" s="6">
        <f t="shared" si="31"/>
        <v>2.4918981485825498E-2</v>
      </c>
      <c r="N137" s="7">
        <f t="shared" si="49"/>
        <v>35.883333339588717</v>
      </c>
      <c r="O137" s="7"/>
      <c r="P137" s="7"/>
      <c r="Q137" s="23"/>
      <c r="R137" s="23"/>
      <c r="S137" s="35">
        <f t="shared" si="47"/>
        <v>1</v>
      </c>
      <c r="T137" s="50" t="str">
        <f t="shared" si="3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18:58:50-700',mode:absolute,to:'2016-12-02 21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7" s="52" t="str">
        <f t="shared" si="35"/>
        <v>N</v>
      </c>
      <c r="X137" s="177">
        <f t="shared" si="48"/>
        <v>1</v>
      </c>
      <c r="Y137" s="67">
        <f t="shared" si="50"/>
        <v>4.4900000000000002E-2</v>
      </c>
      <c r="Z137" s="67">
        <f t="shared" si="51"/>
        <v>23.3291</v>
      </c>
      <c r="AA137" s="67">
        <f t="shared" si="36"/>
        <v>23.284200000000002</v>
      </c>
      <c r="AB137" s="64" t="str">
        <f>VLOOKUP(A137,Enforcements!$C$7:$K$19,8,0)</f>
        <v>Speed (6)</v>
      </c>
      <c r="AC137" s="60" t="str">
        <f>VLOOKUP(A137,Enforcements!$C$7:$E$19,3,0)</f>
        <v>PERMANENT SPEED RESTRICTION</v>
      </c>
      <c r="AD137" s="61" t="str">
        <f t="shared" si="37"/>
        <v>0225-02</v>
      </c>
      <c r="AE137" s="91" t="str">
        <f t="shared" si="38"/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AF137" s="88" t="str">
        <f t="shared" si="39"/>
        <v>"C:\Program Files (x86)\AstroGrep\AstroGrep.exe" /spath="%USERPROFILE%\AppData\Local\Temp\OnboardLogs" /stypes="app*4011*20161203*" /stext=" 03:.+((SYSTEM_STATE.+slice.+state.+changed )|(ment ac)|(multiple cpu faults)|(system.+state.+changed )|(\[timeout)|(PRM\|1\|D)|(kpr)|(kdp)|(\|lc)|(penalty))" /e /r /s</v>
      </c>
      <c r="AG137" s="1" t="str">
        <f t="shared" si="40"/>
        <v>EC</v>
      </c>
      <c r="AH137" s="92" t="str">
        <f t="shared" si="42"/>
        <v>"%USERPROFILE%\Documents\GitHub\eaglep3\Utilities\RefineRTDCRunTimes.py" --tripid 225-02 --locoid 4011 --swversion DE.1.0.8.0 --startMP 204:449 --initTime 2016-12-02T19:58:50 --startdatetime 2016-12-02T20:00:22 --delay 1 --endMP 204:233291 --enddatetime 2016-12-02T20:36:15 --enforcementcount 0 &gt;&gt;C:\Users\stu\Documents\GitHub\eaglep3-reporting\EC\2016-12-02-refined-times.txt</v>
      </c>
      <c r="AI137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{"issue":{"subject":"","project_id":79,"tracker_id":40,"status_id":1,"priority_id":2,"assigned_to_id":23,"start_date":"2016-12-02","description":"","custom_fields":[{"id":1,"name":"Subdivision","value":"EC"},{"id":4,"name":"Milepost","value":"23.3291"},{"id":17,"name":"Train ID","value":"225-02"},{"id":16,"name":"Locomotive ID","value":"4011"},{"id":130,"name":"Impact","value":""},{"id":150,"name":"Time of Event (Mountain Time)","value":"20:36:15"},{"id":151,"name":"Denver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645</v>
      </c>
      <c r="B138" s="7">
        <v>4012</v>
      </c>
      <c r="C138" s="22" t="s">
        <v>210</v>
      </c>
      <c r="D138" s="22" t="s">
        <v>266</v>
      </c>
      <c r="E138" s="13">
        <v>42706.870740740742</v>
      </c>
      <c r="F138" s="13">
        <v>42706.872696759259</v>
      </c>
      <c r="G138" s="7">
        <v>1</v>
      </c>
      <c r="H138" s="22" t="s">
        <v>249</v>
      </c>
      <c r="I138" s="13">
        <v>42706.903587962966</v>
      </c>
      <c r="J138" s="7">
        <v>0</v>
      </c>
      <c r="K138" s="109" t="str">
        <f t="shared" si="30"/>
        <v>4011/4012</v>
      </c>
      <c r="L138" s="22" t="str">
        <f>VLOOKUP(A138,'Trips&amp;Operators'!$C$1:$G$99999,5,FALSE)</f>
        <v>CHANDLER KELVIN</v>
      </c>
      <c r="M138" s="6">
        <f t="shared" si="31"/>
        <v>3.0891203707142267E-2</v>
      </c>
      <c r="N138" s="7">
        <f t="shared" si="49"/>
        <v>44.483333338284865</v>
      </c>
      <c r="O138" s="7"/>
      <c r="P138" s="7"/>
      <c r="Q138" s="23"/>
      <c r="R138" s="23"/>
      <c r="S138" s="35">
        <f t="shared" ref="S138:S141" si="52">SUM(U138:U138)/IF(AG138="EC",12,1)</f>
        <v>1</v>
      </c>
      <c r="T138" s="50" t="str">
        <f t="shared" si="3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19:53:52-700',mode:absolute,to:'2016-12-02 22:41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8" s="52" t="str">
        <f t="shared" si="35"/>
        <v>N</v>
      </c>
      <c r="X138" s="177">
        <f t="shared" ref="X138:X142" si="53">VALUE(LEFT(AD138,4))-VALUE(LEFT(AD137,4))</f>
        <v>1</v>
      </c>
      <c r="Y138" s="67">
        <f t="shared" si="50"/>
        <v>23.299600000000002</v>
      </c>
      <c r="Z138" s="67">
        <f t="shared" si="51"/>
        <v>4.5999999999999999E-2</v>
      </c>
      <c r="AA138" s="67">
        <f t="shared" si="36"/>
        <v>23.253600000000002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7"/>
        <v>0226-02</v>
      </c>
      <c r="AE138" s="91" t="str">
        <f t="shared" si="38"/>
        <v>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 &amp; 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</v>
      </c>
      <c r="AF138" s="88" t="str">
        <f t="shared" si="39"/>
        <v>"C:\Program Files (x86)\AstroGrep\AstroGrep.exe" /spath="%USERPROFILE%\AppData\Local\Temp\OnboardLogs" /stypes="app*4012*20161203*" /stext=" 04:.+((SYSTEM_STATE.+slice.+state.+changed )|(ment ac)|(multiple cpu faults)|(system.+state.+changed )|(\[timeout)|(PRM\|1\|D)|(kpr)|(kdp)|(\|lc)|(penalty))" /e /r /s</v>
      </c>
      <c r="AG138" s="1" t="str">
        <f t="shared" si="40"/>
        <v>EC</v>
      </c>
      <c r="AH138" s="92" t="str">
        <f t="shared" si="42"/>
        <v>"%USERPROFILE%\Documents\GitHub\eaglep3\Utilities\RefineRTDCRunTimes.py" --tripid 226-02 --locoid 4012 --swversion DE.1.0.8.0 --startMP 204:232996 --initTime 2016-12-02T20:53:52 --startdatetime 2016-12-02T20:56:41 --delay 1 --endMP 204:460 --enddatetime 2016-12-02T21:41:10 --enforcementcount 0 &gt;&gt;C:\Users\stu\Documents\GitHub\eaglep3-reporting\EC\2016-12-02-refined-times.txt</v>
      </c>
      <c r="AI138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{"issue":{"subject":"","project_id":79,"tracker_id":40,"status_id":1,"priority_id":2,"assigned_to_id":23,"start_date":"2016-12-02","description":"","custom_fields":[{"id":1,"name":"Subdivision","value":"EC"},{"id":4,"name":"Milepost","value":"0.046"},{"id":17,"name":"Train ID","value":"226-02"},{"id":16,"name":"Locomotive ID","value":"4012"},{"id":130,"name":"Impact","value":""},{"id":150,"name":"Time of Event (Mountain Time)","value":"21:41:10"},{"id":151,"name":"Denver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642</v>
      </c>
      <c r="B139" s="7">
        <v>4002</v>
      </c>
      <c r="C139" s="22" t="s">
        <v>210</v>
      </c>
      <c r="D139" s="22" t="s">
        <v>734</v>
      </c>
      <c r="E139" s="13">
        <v>42706.845034722224</v>
      </c>
      <c r="F139" s="13">
        <v>42706.856527777774</v>
      </c>
      <c r="G139" s="7">
        <v>1</v>
      </c>
      <c r="H139" s="22" t="s">
        <v>408</v>
      </c>
      <c r="I139" s="13">
        <v>42706.880254629628</v>
      </c>
      <c r="J139" s="7">
        <v>0</v>
      </c>
      <c r="K139" s="109" t="str">
        <f t="shared" si="30"/>
        <v>4001/4002</v>
      </c>
      <c r="L139" s="22" t="str">
        <f>VLOOKUP(A139,'Trips&amp;Operators'!$C$1:$G$99999,5,FALSE)</f>
        <v>STAMBAUGH JAMES</v>
      </c>
      <c r="M139" s="6">
        <f t="shared" si="31"/>
        <v>2.3726851854007691E-2</v>
      </c>
      <c r="N139" s="7">
        <f t="shared" si="49"/>
        <v>34.166666669771075</v>
      </c>
      <c r="O139" s="7"/>
      <c r="P139" s="7"/>
      <c r="Q139" s="23"/>
      <c r="R139" s="23"/>
      <c r="S139" s="35">
        <f t="shared" si="52"/>
        <v>1</v>
      </c>
      <c r="T139" s="50" t="str">
        <f t="shared" si="3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19:16:51-700',mode:absolute,to:'2016-12-02 22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9" s="52" t="str">
        <f t="shared" si="35"/>
        <v>N</v>
      </c>
      <c r="X139" s="177">
        <f t="shared" si="53"/>
        <v>1</v>
      </c>
      <c r="Y139" s="67">
        <f t="shared" si="50"/>
        <v>6.7699999999999996E-2</v>
      </c>
      <c r="Z139" s="67">
        <f t="shared" si="51"/>
        <v>23.3324</v>
      </c>
      <c r="AA139" s="67">
        <f t="shared" si="36"/>
        <v>23.264700000000001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7"/>
        <v>0227-02</v>
      </c>
      <c r="AE139" s="91" t="str">
        <f t="shared" si="38"/>
        <v>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 &amp; 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</v>
      </c>
      <c r="AF139" s="88" t="str">
        <f t="shared" si="39"/>
        <v>"C:\Program Files (x86)\AstroGrep\AstroGrep.exe" /spath="%USERPROFILE%\AppData\Local\Temp\OnboardLogs" /stypes="app*4002*20161203*" /stext=" 04:.+((SYSTEM_STATE.+slice.+state.+changed )|(ment ac)|(multiple cpu faults)|(system.+state.+changed )|(\[timeout)|(PRM\|1\|D)|(kpr)|(kdp)|(\|lc)|(penalty))" /e /r /s</v>
      </c>
      <c r="AG139" s="1" t="str">
        <f t="shared" si="40"/>
        <v>EC</v>
      </c>
      <c r="AH139" s="92" t="str">
        <f t="shared" si="42"/>
        <v>"%USERPROFILE%\Documents\GitHub\eaglep3\Utilities\RefineRTDCRunTimes.py" --tripid 227-02 --locoid 4002 --swversion DE.1.0.8.0 --startMP 204:677 --initTime 2016-12-02T20:16:51 --startdatetime 2016-12-02T20:33:24 --delay 1 --endMP 204:233324 --enddatetime 2016-12-02T21:07:34 --enforcementcount 0 &gt;&gt;C:\Users\stu\Documents\GitHub\eaglep3-reporting\EC\2016-12-02-refined-times.txt</v>
      </c>
      <c r="AI139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{"issue":{"subject":"","project_id":79,"tracker_id":40,"status_id":1,"priority_id":2,"assigned_to_id":23,"start_date":"2016-12-02","description":"","custom_fields":[{"id":1,"name":"Subdivision","value":"EC"},{"id":4,"name":"Milepost","value":"23.3324"},{"id":17,"name":"Train ID","value":"227-02"},{"id":16,"name":"Locomotive ID","value":"4002"},{"id":130,"name":"Impact","value":""},{"id":150,"name":"Time of Event (Mountain Time)","value":"21:07:34"},{"id":151,"name":"Denver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648</v>
      </c>
      <c r="B140" s="7">
        <v>4010</v>
      </c>
      <c r="C140" s="22" t="s">
        <v>210</v>
      </c>
      <c r="D140" s="22" t="s">
        <v>735</v>
      </c>
      <c r="E140" s="13">
        <v>42706.884687500002</v>
      </c>
      <c r="F140" s="13">
        <v>42706.893703703703</v>
      </c>
      <c r="G140" s="7">
        <v>1</v>
      </c>
      <c r="H140" s="22" t="s">
        <v>736</v>
      </c>
      <c r="I140" s="13">
        <v>42706.919016203705</v>
      </c>
      <c r="J140" s="7">
        <v>0</v>
      </c>
      <c r="K140" s="109" t="str">
        <f t="shared" si="30"/>
        <v>4009/4010</v>
      </c>
      <c r="L140" s="22" t="str">
        <f>VLOOKUP(A140,'Trips&amp;Operators'!$C$1:$G$99999,5,FALSE)</f>
        <v>STAMBAUGH JAMES</v>
      </c>
      <c r="M140" s="6">
        <f t="shared" si="31"/>
        <v>2.531250000174623E-2</v>
      </c>
      <c r="N140" s="7">
        <f t="shared" si="49"/>
        <v>36.450000002514571</v>
      </c>
      <c r="O140" s="7"/>
      <c r="P140" s="7"/>
      <c r="Q140" s="23"/>
      <c r="R140" s="23"/>
      <c r="S140" s="35">
        <f t="shared" si="52"/>
        <v>1</v>
      </c>
      <c r="T140" s="50" t="str">
        <f t="shared" si="33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4"/>
        <v>https://search-rtdc-monitor-bjffxe2xuh6vdkpspy63sjmuny.us-east-1.es.amazonaws.com/_plugin/kibana/#/discover/Steve-Slow-Train-Analysis-(2080s-and-2083s)?_g=(refreshInterval:(display:Off,section:0,value:0),time:(from:'2016-12-02 20:13:57-700',mode:absolute,to:'2016-12-02 23:03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0" s="52" t="str">
        <f t="shared" si="35"/>
        <v>N</v>
      </c>
      <c r="X140" s="177">
        <f t="shared" si="53"/>
        <v>1</v>
      </c>
      <c r="Y140" s="67">
        <f t="shared" si="50"/>
        <v>23.268999999999998</v>
      </c>
      <c r="Z140" s="67">
        <f t="shared" si="51"/>
        <v>1.1599999999999999E-2</v>
      </c>
      <c r="AA140" s="67">
        <f t="shared" si="36"/>
        <v>23.257399999999997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7"/>
        <v>0228-02</v>
      </c>
      <c r="AE140" s="91" t="str">
        <f t="shared" si="38"/>
        <v>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 &amp; aws s3 cp s3://rtdc.mdm.uploadarchive.raw/RTDC4010/ "%USERPROFILE%\AppData\Local\Temp\OnboardLogs"\RTDC4010\2016-12-03 --exclude "*" --recursive --include "*20161203*" &amp; "%USERPROFILE%\Documents\GitHub\mrs-test-scripts\Headless Mode &amp; Sideloading\WalkAndUnGZ.bat" "%USERPROFILE%\AppData\Local\Temp\OnboardLogs"\RTDC4010\2016-12-03</v>
      </c>
      <c r="AF140" s="88" t="str">
        <f t="shared" si="39"/>
        <v>"C:\Program Files (x86)\AstroGrep\AstroGrep.exe" /spath="%USERPROFILE%\AppData\Local\Temp\OnboardLogs" /stypes="app*4010*20161203*" /stext=" 05:.+((SYSTEM_STATE.+slice.+state.+changed )|(ment ac)|(multiple cpu faults)|(system.+state.+changed )|(\[timeout)|(PRM\|1\|D)|(kpr)|(kdp)|(\|lc)|(penalty))" /e /r /s</v>
      </c>
      <c r="AG140" s="1" t="str">
        <f t="shared" si="40"/>
        <v>EC</v>
      </c>
      <c r="AH140" s="92" t="str">
        <f t="shared" si="42"/>
        <v>"%USERPROFILE%\Documents\GitHub\eaglep3\Utilities\RefineRTDCRunTimes.py" --tripid 228-02 --locoid 4010 --swversion DE.1.0.8.0 --startMP 204:232690 --initTime 2016-12-02T21:13:57 --startdatetime 2016-12-02T21:26:56 --delay 1 --endMP 204:116 --enddatetime 2016-12-02T22:03:23 --enforcementcount 0 &gt;&gt;C:\Users\stu\Documents\GitHub\eaglep3-reporting\EC\2016-12-02-refined-times.txt</v>
      </c>
      <c r="AI140" s="119" t="str">
        <f t="shared" si="43"/>
        <v>echo {"issue":{"subject":"","project_id":79,"tracker_id":40,"status_id":1,"priority_id":2,"assigned_to_id":23,"start_date":"2016-12-02","description":"","custom_fields":[{"id":1,"name":"Subdivision","value":"EC"},{"id":4,"name":"Milepost","value":"0.0116"},{"id":17,"name":"Train ID","value":"228-02"},{"id":16,"name":"Locomotive ID","value":"4010"},{"id":130,"name":"Impact","value":""},{"id":150,"name":"Time of Event (Mountain Time)","value":"22:03:23"},{"id":151,"name":"Denver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644</v>
      </c>
      <c r="B141" s="7">
        <v>4044</v>
      </c>
      <c r="C141" s="22" t="s">
        <v>210</v>
      </c>
      <c r="D141" s="22" t="s">
        <v>737</v>
      </c>
      <c r="E141" s="13">
        <v>42706.870011574072</v>
      </c>
      <c r="F141" s="13">
        <v>42706.875243055554</v>
      </c>
      <c r="G141" s="7">
        <v>1</v>
      </c>
      <c r="H141" s="22" t="s">
        <v>738</v>
      </c>
      <c r="I141" s="13">
        <v>42706.89916666667</v>
      </c>
      <c r="J141" s="7">
        <v>0</v>
      </c>
      <c r="K141" s="109" t="str">
        <f t="shared" ref="K141:K204" si="54">IF(ISEVEN(B141),(B141-1)&amp;"/"&amp;B141,B141&amp;"/"&amp;(B141+1))</f>
        <v>4043/4044</v>
      </c>
      <c r="L141" s="22" t="str">
        <f>VLOOKUP(A141,'Trips&amp;Operators'!$C$1:$G$99999,5,FALSE)</f>
        <v>LEVIN SCOTT</v>
      </c>
      <c r="M141" s="6">
        <f t="shared" ref="M141:M204" si="55">I141-F141</f>
        <v>2.3923611115606036E-2</v>
      </c>
      <c r="N141" s="7">
        <f t="shared" si="49"/>
        <v>34.450000006472692</v>
      </c>
      <c r="O141" s="7"/>
      <c r="P141" s="7"/>
      <c r="Q141" s="23"/>
      <c r="R141" s="23"/>
      <c r="S141" s="35">
        <f t="shared" si="52"/>
        <v>1</v>
      </c>
      <c r="T141" s="50" t="str">
        <f t="shared" ref="T141:T204" si="56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7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https://search-rtdc-monitor-bjffxe2xuh6vdkpspy63sjmuny.us-east-1.es.amazonaws.com/_plugin/kibana/#/discover/Steve-Slow-Train-Analysis-(2080s-and-2083s)?_g=(refreshInterval:(display:Off,section:0,value:0),time:(from:'2016-12-02 19:52:49-700',mode:absolute,to:'2016-12-02 22:34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1" s="52" t="str">
        <f t="shared" ref="W141:W204" si="58">IF(AA141&lt;IF(AG141="EC",23,5.65),"Y","N")</f>
        <v>N</v>
      </c>
      <c r="X141" s="177">
        <f t="shared" si="53"/>
        <v>1</v>
      </c>
      <c r="Y141" s="67">
        <f t="shared" si="50"/>
        <v>7.8100000000000003E-2</v>
      </c>
      <c r="Z141" s="67">
        <f t="shared" si="51"/>
        <v>23.333100000000002</v>
      </c>
      <c r="AA141" s="67">
        <f t="shared" ref="AA141:AA204" si="59">ABS(Z141-Y141)</f>
        <v>23.255000000000003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4" si="60">IF(LEN(A141)=6,"0"&amp;A141,A141)</f>
        <v>0229-02</v>
      </c>
      <c r="AE141" s="91" t="str">
        <f t="shared" ref="AE141:AE204" si="6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141" s="88" t="str">
        <f t="shared" ref="AF141:AF204" si="6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/stypes="app*4044*20161203*" /stext=" 04:.+((SYSTEM_STATE.+slice.+state.+changed )|(ment ac)|(multiple cpu faults)|(system.+state.+changed )|(\[timeout)|(PRM\|1\|D)|(kpr)|(kdp)|(\|lc)|(penalty))" /e /r /s</v>
      </c>
      <c r="AG141" s="1" t="str">
        <f t="shared" ref="AG141:AG204" si="63">IFERROR(IF(VALUE(LEFT(AD141,2))&lt;=2,"EC",IF(OR(VALUE(LEFT(AD141,2))=8,VALUE(LEFT(AD141,2))=18),"NW","Other")),"Other")</f>
        <v>EC</v>
      </c>
      <c r="AH141" s="92" t="str">
        <f t="shared" ref="AH141:AH205" si="64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229-02 --locoid 4044 --swversion DE.1.0.8.0 --startMP 204:781 --initTime 2016-12-02T20:52:49 --startdatetime 2016-12-02T21:00:21 --delay 1 --endMP 204:233331 --enddatetime 2016-12-02T21:34:48 --enforcementcount 0 &gt;&gt;C:\Users\stu\Documents\GitHub\eaglep3-reporting\EC\2016-12-02-refined-times.txt</v>
      </c>
      <c r="AI141" s="119" t="str">
        <f t="shared" ref="AI141:AI205" si="65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{"issue":{"subject":"","project_id":79,"tracker_id":40,"status_id":1,"priority_id":2,"assigned_to_id":23,"start_date":"2016-12-02","description":"","custom_fields":[{"id":1,"name":"Subdivision","value":"EC"},{"id":4,"name":"Milepost","value":"23.3331"},{"id":17,"name":"Train ID","value":"229-02"},{"id":16,"name":"Locomotive ID","value":"4044"},{"id":130,"name":"Impact","value":""},{"id":150,"name":"Time of Event (Mountain Time)","value":"21:34:48"},{"id":151,"name":"Denver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458</v>
      </c>
      <c r="B142" s="7">
        <v>4019</v>
      </c>
      <c r="C142" s="22" t="s">
        <v>210</v>
      </c>
      <c r="D142" s="22" t="s">
        <v>739</v>
      </c>
      <c r="E142" s="13">
        <v>42706.911122685182</v>
      </c>
      <c r="F142" s="13">
        <v>42706.914143518516</v>
      </c>
      <c r="G142" s="7">
        <v>1</v>
      </c>
      <c r="H142" s="22" t="s">
        <v>736</v>
      </c>
      <c r="I142" s="13">
        <v>42706.940937500003</v>
      </c>
      <c r="J142" s="7">
        <v>0</v>
      </c>
      <c r="K142" s="109" t="str">
        <f t="shared" si="54"/>
        <v>4019/4020</v>
      </c>
      <c r="L142" s="22" t="str">
        <f>VLOOKUP(A142,'Trips&amp;Operators'!$C$1:$G$99999,5,FALSE)</f>
        <v>LEVIN SCOTT</v>
      </c>
      <c r="M142" s="6">
        <f t="shared" si="55"/>
        <v>2.6793981487571727E-2</v>
      </c>
      <c r="N142" s="7">
        <f t="shared" si="49"/>
        <v>38.583333342103288</v>
      </c>
      <c r="O142" s="7"/>
      <c r="P142" s="7"/>
      <c r="Q142" s="23"/>
      <c r="R142" s="23"/>
      <c r="S142" s="35">
        <f t="shared" ref="S142:S152" si="66">SUM(U142:U142)/IF(AG142="EC",12,1)</f>
        <v>1</v>
      </c>
      <c r="T142" s="50" t="str">
        <f t="shared" si="56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20:52:01-700',mode:absolute,to:'2016-12-02 23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2" s="52" t="str">
        <f t="shared" si="58"/>
        <v>N</v>
      </c>
      <c r="X142" s="177">
        <f t="shared" si="53"/>
        <v>1</v>
      </c>
      <c r="Y142" s="67">
        <f t="shared" si="50"/>
        <v>23.269400000000001</v>
      </c>
      <c r="Z142" s="67">
        <f t="shared" si="51"/>
        <v>1.1599999999999999E-2</v>
      </c>
      <c r="AA142" s="67">
        <f t="shared" si="59"/>
        <v>23.2578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60"/>
        <v>0230-02</v>
      </c>
      <c r="AE142" s="91" t="str">
        <f t="shared" si="61"/>
        <v>aws s3 cp s3://rtdc.mdm.uploadarchive.raw/RTDC4019/ "%USERPROFILE%\AppData\Local\Temp\OnboardLogs"\RTDC4019\2016-12-02 --exclude "*" --recursive --include "*20161202*" &amp; "%USERPROFILE%\Documents\GitHub\mrs-test-scripts\Headless Mode &amp; Sideloading\WalkAndUnGZ.bat" "%USERPROFILE%\AppData\Local\Temp\OnboardLogs"\RTDC4019\2016-12-02 &amp; 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</v>
      </c>
      <c r="AF142" s="88" t="str">
        <f t="shared" si="62"/>
        <v>"C:\Program Files (x86)\AstroGrep\AstroGrep.exe" /spath="%USERPROFILE%\AppData\Local\Temp\OnboardLogs" /stypes="app*4019*20161203*" /stext=" 05:.+((SYSTEM_STATE.+slice.+state.+changed )|(ment ac)|(multiple cpu faults)|(system.+state.+changed )|(\[timeout)|(PRM\|1\|D)|(kpr)|(kdp)|(\|lc)|(penalty))" /e /r /s</v>
      </c>
      <c r="AG142" s="1" t="str">
        <f t="shared" si="63"/>
        <v>EC</v>
      </c>
      <c r="AH142" s="92" t="str">
        <f t="shared" si="64"/>
        <v>"%USERPROFILE%\Documents\GitHub\eaglep3\Utilities\RefineRTDCRunTimes.py" --tripid 230-02 --locoid 4019 --swversion DE.1.0.8.0 --startMP 204:232694 --initTime 2016-12-02T21:52:01 --startdatetime 2016-12-02T21:56:22 --delay 1 --endMP 204:116 --enddatetime 2016-12-02T22:34:57 --enforcementcount 0 &gt;&gt;C:\Users\stu\Documents\GitHub\eaglep3-reporting\EC\2016-12-02-refined-times.txt</v>
      </c>
      <c r="AI142" s="119" t="str">
        <f t="shared" si="65"/>
        <v>echo {"issue":{"subject":"","project_id":79,"tracker_id":40,"status_id":1,"priority_id":2,"assigned_to_id":23,"start_date":"2016-12-02","description":"","custom_fields":[{"id":1,"name":"Subdivision","value":"EC"},{"id":4,"name":"Milepost","value":"0.0116"},{"id":17,"name":"Train ID","value":"230-02"},{"id":16,"name":"Locomotive ID","value":"4019"},{"id":130,"name":"Impact","value":""},{"id":150,"name":"Time of Event (Mountain Time)","value":"22:34:57"},{"id":151,"name":"Denver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647</v>
      </c>
      <c r="B143" s="7">
        <v>4022</v>
      </c>
      <c r="C143" s="22" t="s">
        <v>210</v>
      </c>
      <c r="D143" s="22" t="s">
        <v>740</v>
      </c>
      <c r="E143" s="13">
        <v>42706.88208333333</v>
      </c>
      <c r="F143" s="13">
        <v>42706.896006944444</v>
      </c>
      <c r="G143" s="7">
        <v>0</v>
      </c>
      <c r="H143" s="22" t="s">
        <v>408</v>
      </c>
      <c r="I143" s="13">
        <v>42706.920231481483</v>
      </c>
      <c r="J143" s="7">
        <v>0</v>
      </c>
      <c r="K143" s="109" t="str">
        <f t="shared" si="54"/>
        <v>4021/4022</v>
      </c>
      <c r="L143" s="22" t="str">
        <f>VLOOKUP(A143,'Trips&amp;Operators'!$C$1:$G$99999,5,FALSE)</f>
        <v>YANAI IAN</v>
      </c>
      <c r="M143" s="6">
        <f t="shared" si="55"/>
        <v>2.4224537039117422E-2</v>
      </c>
      <c r="N143" s="7">
        <f t="shared" si="49"/>
        <v>34.883333336329088</v>
      </c>
      <c r="O143" s="7"/>
      <c r="P143" s="7"/>
      <c r="Q143" s="23"/>
      <c r="R143" s="23"/>
      <c r="S143" s="35">
        <f t="shared" si="66"/>
        <v>1</v>
      </c>
      <c r="T143" s="50" t="str">
        <f t="shared" si="56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20:10:12-700',mode:absolute,to:'2016-12-02 23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3" s="52" t="str">
        <f t="shared" si="58"/>
        <v>N</v>
      </c>
      <c r="X143" s="177">
        <f>VALUE(LEFT(AD143,4))-VALUE(LEFT(AD142,4))</f>
        <v>1</v>
      </c>
      <c r="Y143" s="67">
        <f t="shared" si="50"/>
        <v>6.7900000000000002E-2</v>
      </c>
      <c r="Z143" s="67">
        <f t="shared" si="51"/>
        <v>23.3324</v>
      </c>
      <c r="AA143" s="67">
        <f t="shared" si="59"/>
        <v>23.264499999999998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60"/>
        <v>0231-02</v>
      </c>
      <c r="AE143" s="91" t="str">
        <f t="shared" si="61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143" s="88" t="str">
        <f t="shared" si="62"/>
        <v>"C:\Program Files (x86)\AstroGrep\AstroGrep.exe" /spath="%USERPROFILE%\AppData\Local\Temp\OnboardLogs" /stypes="app*4022*20161203*" /stext=" 05:.+((SYSTEM_STATE.+slice.+state.+changed )|(ment ac)|(multiple cpu faults)|(system.+state.+changed )|(\[timeout)|(PRM\|1\|D)|(kpr)|(kdp)|(\|lc)|(penalty))" /e /r /s</v>
      </c>
      <c r="AG143" s="1" t="str">
        <f t="shared" si="63"/>
        <v>EC</v>
      </c>
      <c r="AH143" s="92" t="str">
        <f t="shared" si="64"/>
        <v>"%USERPROFILE%\Documents\GitHub\eaglep3\Utilities\RefineRTDCRunTimes.py" --tripid 231-02 --locoid 4022 --swversion DE.1.0.8.0 --startMP 204:679 --initTime 2016-12-02T21:10:12 --startdatetime 2016-12-02T21:30:15 --delay 0 --endMP 204:233324 --enddatetime 2016-12-02T22:05:08 --enforcementcount 0 &gt;&gt;C:\Users\stu\Documents\GitHub\eaglep3-reporting\EC\2016-12-02-refined-times.txt</v>
      </c>
      <c r="AI143" s="119" t="str">
        <f t="shared" si="65"/>
        <v>echo {"issue":{"subject":"","project_id":79,"tracker_id":40,"status_id":1,"priority_id":2,"assigned_to_id":23,"start_date":"2016-12-02","description":"","custom_fields":[{"id":1,"name":"Subdivision","value":"EC"},{"id":4,"name":"Milepost","value":"23.3324"},{"id":17,"name":"Train ID","value":"231-02"},{"id":16,"name":"Locomotive ID","value":"4022"},{"id":130,"name":"Impact","value":""},{"id":150,"name":"Time of Event (Mountain Time)","value":"22:05:08"},{"id":151,"name":"Denver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653</v>
      </c>
      <c r="B144" s="7">
        <v>4030</v>
      </c>
      <c r="C144" s="22" t="s">
        <v>210</v>
      </c>
      <c r="D144" s="22" t="s">
        <v>741</v>
      </c>
      <c r="E144" s="13">
        <v>42706.92732638889</v>
      </c>
      <c r="F144" s="13">
        <v>42706.934930555559</v>
      </c>
      <c r="G144" s="7">
        <v>1</v>
      </c>
      <c r="H144" s="22" t="s">
        <v>193</v>
      </c>
      <c r="I144" s="13">
        <v>42706.962523148148</v>
      </c>
      <c r="J144" s="7">
        <v>0</v>
      </c>
      <c r="K144" s="109" t="str">
        <f t="shared" si="54"/>
        <v>4029/4030</v>
      </c>
      <c r="L144" s="22" t="str">
        <f>VLOOKUP(A144,'Trips&amp;Operators'!$C$1:$G$99999,5,FALSE)</f>
        <v>YANAI IAN</v>
      </c>
      <c r="M144" s="6">
        <f t="shared" si="55"/>
        <v>2.7592592588916887E-2</v>
      </c>
      <c r="N144" s="7">
        <f t="shared" si="49"/>
        <v>39.733333328040317</v>
      </c>
      <c r="O144" s="7"/>
      <c r="P144" s="7"/>
      <c r="Q144" s="23"/>
      <c r="R144" s="23"/>
      <c r="S144" s="35">
        <f t="shared" si="66"/>
        <v>1</v>
      </c>
      <c r="T144" s="50" t="str">
        <f t="shared" si="56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21:15:21-700',mode:absolute,to:'2016-12-03 00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4" s="52" t="str">
        <f t="shared" si="58"/>
        <v>N</v>
      </c>
      <c r="X144" s="177">
        <f>VALUE(LEFT(AD144,4))-VALUE(LEFT(AD143,4))</f>
        <v>1</v>
      </c>
      <c r="Y144" s="67">
        <f t="shared" si="50"/>
        <v>23.2683</v>
      </c>
      <c r="Z144" s="67">
        <f t="shared" si="51"/>
        <v>1.43E-2</v>
      </c>
      <c r="AA144" s="67">
        <f t="shared" si="59"/>
        <v>23.254000000000001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60"/>
        <v>0232-02</v>
      </c>
      <c r="AE144" s="91" t="str">
        <f t="shared" si="61"/>
        <v>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 &amp; 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</v>
      </c>
      <c r="AF144" s="88" t="str">
        <f t="shared" si="62"/>
        <v>"C:\Program Files (x86)\AstroGrep\AstroGrep.exe" /spath="%USERPROFILE%\AppData\Local\Temp\OnboardLogs" /stypes="app*4030*20161203*" /stext=" 06:.+((SYSTEM_STATE.+slice.+state.+changed )|(ment ac)|(multiple cpu faults)|(system.+state.+changed )|(\[timeout)|(PRM\|1\|D)|(kpr)|(kdp)|(\|lc)|(penalty))" /e /r /s</v>
      </c>
      <c r="AG144" s="1" t="str">
        <f t="shared" si="63"/>
        <v>EC</v>
      </c>
      <c r="AH144" s="92" t="str">
        <f t="shared" si="64"/>
        <v>"%USERPROFILE%\Documents\GitHub\eaglep3\Utilities\RefineRTDCRunTimes.py" --tripid 232-02 --locoid 4030 --swversion DE.1.0.8.0 --startMP 204:232683 --initTime 2016-12-02T22:15:21 --startdatetime 2016-12-02T22:26:18 --delay 1 --endMP 204:143 --enddatetime 2016-12-02T23:06:02 --enforcementcount 0 &gt;&gt;C:\Users\stu\Documents\GitHub\eaglep3-reporting\EC\2016-12-02-refined-times.txt</v>
      </c>
      <c r="AI144" s="119" t="str">
        <f t="shared" si="65"/>
        <v>echo {"issue":{"subject":"","project_id":79,"tracker_id":40,"status_id":1,"priority_id":2,"assigned_to_id":23,"start_date":"2016-12-02","description":"","custom_fields":[{"id":1,"name":"Subdivision","value":"EC"},{"id":4,"name":"Milepost","value":"0.0143"},{"id":17,"name":"Train ID","value":"232-02"},{"id":16,"name":"Locomotive ID","value":"4030"},{"id":130,"name":"Impact","value":""},{"id":150,"name":"Time of Event (Mountain Time)","value":"23:06:02"},{"id":151,"name":"Denver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650</v>
      </c>
      <c r="B145" s="7">
        <v>4011</v>
      </c>
      <c r="C145" s="22" t="s">
        <v>210</v>
      </c>
      <c r="D145" s="22" t="s">
        <v>688</v>
      </c>
      <c r="E145" s="13">
        <v>42706.913032407407</v>
      </c>
      <c r="F145" s="13">
        <v>42706.917164351849</v>
      </c>
      <c r="G145" s="7">
        <v>1</v>
      </c>
      <c r="H145" s="22" t="s">
        <v>719</v>
      </c>
      <c r="I145" s="13">
        <v>42706.943796296298</v>
      </c>
      <c r="J145" s="7">
        <v>0</v>
      </c>
      <c r="K145" s="109" t="str">
        <f t="shared" si="54"/>
        <v>4011/4012</v>
      </c>
      <c r="L145" s="22" t="str">
        <f>VLOOKUP(A145,'Trips&amp;Operators'!$C$1:$G$99999,5,FALSE)</f>
        <v>CHANDLER KELVIN</v>
      </c>
      <c r="M145" s="6">
        <f t="shared" si="55"/>
        <v>2.6631944449036382E-2</v>
      </c>
      <c r="N145" s="7">
        <f t="shared" si="49"/>
        <v>38.35000000661239</v>
      </c>
      <c r="O145" s="7"/>
      <c r="P145" s="7"/>
      <c r="Q145" s="23"/>
      <c r="R145" s="23"/>
      <c r="S145" s="35">
        <f t="shared" si="66"/>
        <v>1</v>
      </c>
      <c r="T145" s="50" t="str">
        <f t="shared" si="56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20:54:46-700',mode:absolute,to:'2016-12-02 23:39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5" s="52" t="str">
        <f t="shared" si="58"/>
        <v>N</v>
      </c>
      <c r="X145" s="177">
        <f>VALUE(LEFT(AD145,4))-VALUE(LEFT(AD144,4))</f>
        <v>1</v>
      </c>
      <c r="Y145" s="67">
        <f t="shared" si="50"/>
        <v>7.3899999999999993E-2</v>
      </c>
      <c r="Z145" s="67">
        <f t="shared" si="51"/>
        <v>23.335999999999999</v>
      </c>
      <c r="AA145" s="67">
        <f t="shared" si="59"/>
        <v>23.2621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60"/>
        <v>0233-02</v>
      </c>
      <c r="AE145" s="91" t="str">
        <f t="shared" si="61"/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AF145" s="88" t="str">
        <f t="shared" si="62"/>
        <v>"C:\Program Files (x86)\AstroGrep\AstroGrep.exe" /spath="%USERPROFILE%\AppData\Local\Temp\OnboardLogs" /stypes="app*4011*20161203*" /stext=" 05:.+((SYSTEM_STATE.+slice.+state.+changed )|(ment ac)|(multiple cpu faults)|(system.+state.+changed )|(\[timeout)|(PRM\|1\|D)|(kpr)|(kdp)|(\|lc)|(penalty))" /e /r /s</v>
      </c>
      <c r="AG145" s="1" t="str">
        <f t="shared" si="63"/>
        <v>EC</v>
      </c>
      <c r="AH145" s="92" t="str">
        <f t="shared" si="64"/>
        <v>"%USERPROFILE%\Documents\GitHub\eaglep3\Utilities\RefineRTDCRunTimes.py" --tripid 233-02 --locoid 4011 --swversion DE.1.0.8.0 --startMP 204:739 --initTime 2016-12-02T21:54:46 --startdatetime 2016-12-02T22:00:43 --delay 1 --endMP 204:233360 --enddatetime 2016-12-02T22:39:04 --enforcementcount 0 &gt;&gt;C:\Users\stu\Documents\GitHub\eaglep3-reporting\EC\2016-12-02-refined-times.txt</v>
      </c>
      <c r="AI145" s="119" t="str">
        <f t="shared" si="65"/>
        <v>echo {"issue":{"subject":"","project_id":79,"tracker_id":40,"status_id":1,"priority_id":2,"assigned_to_id":23,"start_date":"2016-12-02","description":"","custom_fields":[{"id":1,"name":"Subdivision","value":"EC"},{"id":4,"name":"Milepost","value":"23.336"},{"id":17,"name":"Train ID","value":"233-02"},{"id":16,"name":"Locomotive ID","value":"4011"},{"id":130,"name":"Impact","value":""},{"id":150,"name":"Time of Event (Mountain Time)","value":"22:39:04"},{"id":151,"name":"Denver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858</v>
      </c>
      <c r="B146" s="7">
        <v>4017</v>
      </c>
      <c r="C146" s="22" t="s">
        <v>210</v>
      </c>
      <c r="D146" s="22" t="s">
        <v>688</v>
      </c>
      <c r="E146" s="13">
        <v>42706.913032407407</v>
      </c>
      <c r="F146" s="13">
        <v>42706.955555555556</v>
      </c>
      <c r="G146" s="7">
        <v>1</v>
      </c>
      <c r="H146" s="22" t="s">
        <v>719</v>
      </c>
      <c r="I146" s="13">
        <v>42706.956250000003</v>
      </c>
      <c r="J146" s="7">
        <v>0</v>
      </c>
      <c r="K146" s="109" t="str">
        <f t="shared" si="54"/>
        <v>4017/4018</v>
      </c>
      <c r="L146" s="22" t="e">
        <f>VLOOKUP(A146,'Trips&amp;Operators'!$C$1:$G$99999,5,FALSE)</f>
        <v>#N/A</v>
      </c>
      <c r="M146" s="6">
        <f t="shared" si="55"/>
        <v>6.944444467080757E-4</v>
      </c>
      <c r="N146" s="7"/>
      <c r="O146" s="7"/>
      <c r="P146" s="7">
        <f>24*60*SUM($M146:$M146)</f>
        <v>1.000000003259629</v>
      </c>
      <c r="Q146" s="23"/>
      <c r="R146" s="23" t="s">
        <v>859</v>
      </c>
      <c r="S146" s="35">
        <f t="shared" si="66"/>
        <v>0</v>
      </c>
      <c r="T146" s="50" t="str">
        <f t="shared" si="56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20:54:46-700',mode:absolute,to:'2016-12-02 23:57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6" s="52" t="str">
        <f t="shared" si="58"/>
        <v>N</v>
      </c>
      <c r="X146" s="177">
        <f>VALUE(LEFT(AD146,4))-VALUE(LEFT(AD145,4))</f>
        <v>1</v>
      </c>
      <c r="Y146" s="67">
        <f t="shared" si="50"/>
        <v>7.3899999999999993E-2</v>
      </c>
      <c r="Z146" s="67">
        <f t="shared" si="51"/>
        <v>23.335999999999999</v>
      </c>
      <c r="AA146" s="67">
        <f t="shared" si="59"/>
        <v>23.2621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60"/>
        <v>0234-02</v>
      </c>
      <c r="AE146" s="91" t="str">
        <f t="shared" si="61"/>
        <v>aws s3 cp s3://rtdc.mdm.uploadarchive.raw/RTDC4017/ "%USERPROFILE%\AppData\Local\Temp\OnboardLogs"\RTDC4017\2016-12-02 --exclude "*" --recursive --include "*20161202*" &amp; "%USERPROFILE%\Documents\GitHub\mrs-test-scripts\Headless Mode &amp; Sideloading\WalkAndUnGZ.bat" "%USERPROFILE%\AppData\Local\Temp\OnboardLogs"\RTDC4017\2016-12-02 &amp; aws s3 cp s3://rtdc.mdm.uploadarchive.raw/RTDC4017/ "%USERPROFILE%\AppData\Local\Temp\OnboardLogs"\RTDC4017\2016-12-03 --exclude "*" --recursive --include "*20161203*" &amp; "%USERPROFILE%\Documents\GitHub\mrs-test-scripts\Headless Mode &amp; Sideloading\WalkAndUnGZ.bat" "%USERPROFILE%\AppData\Local\Temp\OnboardLogs"\RTDC4017\2016-12-03</v>
      </c>
      <c r="AF146" s="88" t="str">
        <f t="shared" si="62"/>
        <v>"C:\Program Files (x86)\AstroGrep\AstroGrep.exe" /spath="%USERPROFILE%\AppData\Local\Temp\OnboardLogs" /stypes="app*4017*20161203*" /stext=" 05:.+((SYSTEM_STATE.+slice.+state.+changed )|(ment ac)|(multiple cpu faults)|(system.+state.+changed )|(\[timeout)|(PRM\|1\|D)|(kpr)|(kdp)|(\|lc)|(penalty))" /e /r /s</v>
      </c>
      <c r="AG146" s="1" t="str">
        <f t="shared" si="63"/>
        <v>EC</v>
      </c>
      <c r="AH146" s="92" t="str">
        <f t="shared" ref="AH146" si="67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234-02 --locoid 4017 --swversion DE.1.0.8.0 --startMP 204:739 --initTime 2016-12-02T21:54:46 --startdatetime 2016-12-02T22:56:00 --delay 1 --endMP 204:233360 --enddatetime 2016-12-02T22:57:00 --enforcementcount 0 &gt;&gt;C:\Users\stu\Documents\GitHub\eaglep3-reporting\EC\2016-12-02-refined-times.txt</v>
      </c>
      <c r="AI146" s="119" t="str">
        <f t="shared" ref="AI146" si="68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outage","project_id":79,"tracker_id":40,"status_id":1,"priority_id":2,"assigned_to_id":23,"start_date":"2016-12-02","description":"","custom_fields":[{"id":1,"name":"Subdivision","value":"EC"},{"id":4,"name":"Milepost","value":"23.336"},{"id":17,"name":"Train ID","value":"234-02"},{"id":16,"name":"Locomotive ID","value":"4017"},{"id":130,"name":"Impact","value":""},{"id":150,"name":"Time of Event (Mountain Time)","value":"22:57:00"},{"id":151,"name":"Denver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s="21" customFormat="1" x14ac:dyDescent="0.25">
      <c r="A147" s="37" t="s">
        <v>652</v>
      </c>
      <c r="B147" s="7">
        <v>4002</v>
      </c>
      <c r="C147" s="22" t="s">
        <v>210</v>
      </c>
      <c r="D147" s="22" t="s">
        <v>742</v>
      </c>
      <c r="E147" s="13">
        <v>42706.925740740742</v>
      </c>
      <c r="F147" s="13">
        <v>42706.9378125</v>
      </c>
      <c r="G147" s="7">
        <v>1</v>
      </c>
      <c r="H147" s="22" t="s">
        <v>743</v>
      </c>
      <c r="I147" s="13">
        <v>42706.965011574073</v>
      </c>
      <c r="J147" s="7">
        <v>0</v>
      </c>
      <c r="K147" s="109" t="str">
        <f t="shared" si="54"/>
        <v>4001/4002</v>
      </c>
      <c r="L147" s="22" t="str">
        <f>VLOOKUP(A147,'Trips&amp;Operators'!$C$1:$G$99999,5,FALSE)</f>
        <v>STAMBAUGH JAMES</v>
      </c>
      <c r="M147" s="6">
        <f t="shared" si="55"/>
        <v>2.7199074072996154E-2</v>
      </c>
      <c r="N147" s="7">
        <f t="shared" ref="N147:N152" si="69">24*60*SUM($M147:$M147)</f>
        <v>39.166666665114462</v>
      </c>
      <c r="O147" s="7"/>
      <c r="P147" s="7"/>
      <c r="Q147" s="23"/>
      <c r="R147" s="23"/>
      <c r="S147" s="35">
        <f t="shared" si="66"/>
        <v>1</v>
      </c>
      <c r="T147" s="50" t="str">
        <f t="shared" si="56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21:13:04-700',mode:absolute,to:'2016-12-03 00:09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7" s="52" t="str">
        <f t="shared" si="58"/>
        <v>N</v>
      </c>
      <c r="X147" s="177">
        <f t="shared" ref="X147:X149" si="70">VALUE(LEFT(AD147,4))-VALUE(LEFT(AD146,4))</f>
        <v>1</v>
      </c>
      <c r="Y147" s="67">
        <f t="shared" si="50"/>
        <v>6.9900000000000004E-2</v>
      </c>
      <c r="Z147" s="67">
        <f t="shared" si="51"/>
        <v>23.337800000000001</v>
      </c>
      <c r="AA147" s="67">
        <f t="shared" si="59"/>
        <v>23.267900000000001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60"/>
        <v>0235-02</v>
      </c>
      <c r="AE147" s="91" t="str">
        <f t="shared" si="61"/>
        <v>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 &amp; 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</v>
      </c>
      <c r="AF147" s="88" t="str">
        <f t="shared" si="62"/>
        <v>"C:\Program Files (x86)\AstroGrep\AstroGrep.exe" /spath="%USERPROFILE%\AppData\Local\Temp\OnboardLogs" /stypes="app*4002*20161203*" /stext=" 06:.+((SYSTEM_STATE.+slice.+state.+changed )|(ment ac)|(multiple cpu faults)|(system.+state.+changed )|(\[timeout)|(PRM\|1\|D)|(kpr)|(kdp)|(\|lc)|(penalty))" /e /r /s</v>
      </c>
      <c r="AG147" s="1" t="str">
        <f t="shared" si="63"/>
        <v>EC</v>
      </c>
      <c r="AH147" s="92" t="str">
        <f t="shared" si="64"/>
        <v>"%USERPROFILE%\Documents\GitHub\eaglep3\Utilities\RefineRTDCRunTimes.py" --tripid 235-02 --locoid 4002 --swversion DE.1.0.8.0 --startMP 204:699 --initTime 2016-12-02T22:13:04 --startdatetime 2016-12-02T22:30:27 --delay 1 --endMP 204:233378 --enddatetime 2016-12-02T23:09:37 --enforcementcount 0 &gt;&gt;C:\Users\stu\Documents\GitHub\eaglep3-reporting\EC\2016-12-02-refined-times.txt</v>
      </c>
      <c r="AI147" s="119" t="str">
        <f t="shared" si="65"/>
        <v>echo {"issue":{"subject":"","project_id":79,"tracker_id":40,"status_id":1,"priority_id":2,"assigned_to_id":23,"start_date":"2016-12-02","description":"","custom_fields":[{"id":1,"name":"Subdivision","value":"EC"},{"id":4,"name":"Milepost","value":"23.3378"},{"id":17,"name":"Train ID","value":"235-02"},{"id":16,"name":"Locomotive ID","value":"4002"},{"id":130,"name":"Impact","value":""},{"id":150,"name":"Time of Event (Mountain Time)","value":"23:09:37"},{"id":151,"name":"Denver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658</v>
      </c>
      <c r="B148" s="7">
        <v>4010</v>
      </c>
      <c r="C148" s="22" t="s">
        <v>210</v>
      </c>
      <c r="D148" s="22" t="s">
        <v>744</v>
      </c>
      <c r="E148" s="13">
        <v>42706.973541666666</v>
      </c>
      <c r="F148" s="13">
        <v>42706.976805555554</v>
      </c>
      <c r="G148" s="7">
        <v>0</v>
      </c>
      <c r="H148" s="22" t="s">
        <v>745</v>
      </c>
      <c r="I148" s="13">
        <v>42707.002569444441</v>
      </c>
      <c r="J148" s="7">
        <v>0</v>
      </c>
      <c r="K148" s="109" t="str">
        <f t="shared" si="54"/>
        <v>4009/4010</v>
      </c>
      <c r="L148" s="22" t="str">
        <f>VLOOKUP(A148,'Trips&amp;Operators'!$C$1:$G$99999,5,FALSE)</f>
        <v>STAMBAUGH JAMES</v>
      </c>
      <c r="M148" s="6">
        <f t="shared" si="55"/>
        <v>2.5763888887013309E-2</v>
      </c>
      <c r="N148" s="7">
        <f t="shared" si="69"/>
        <v>37.099999997299165</v>
      </c>
      <c r="O148" s="7"/>
      <c r="P148" s="7"/>
      <c r="Q148" s="23"/>
      <c r="R148" s="23"/>
      <c r="S148" s="35">
        <f t="shared" si="66"/>
        <v>1</v>
      </c>
      <c r="T148" s="50" t="str">
        <f t="shared" si="56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22:21:54-700',mode:absolute,to:'2016-12-03 01:03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8" s="52" t="str">
        <f t="shared" si="58"/>
        <v>N</v>
      </c>
      <c r="X148" s="177">
        <f t="shared" si="70"/>
        <v>1</v>
      </c>
      <c r="Y148" s="67">
        <f t="shared" si="50"/>
        <v>23.274000000000001</v>
      </c>
      <c r="Z148" s="67">
        <f t="shared" si="51"/>
        <v>0.1928</v>
      </c>
      <c r="AA148" s="67">
        <f t="shared" si="59"/>
        <v>23.081200000000003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60"/>
        <v>0236-02</v>
      </c>
      <c r="AE148" s="91" t="str">
        <f t="shared" si="61"/>
        <v>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 &amp; aws s3 cp s3://rtdc.mdm.uploadarchive.raw/RTDC4010/ "%USERPROFILE%\AppData\Local\Temp\OnboardLogs"\RTDC4010\2016-12-03 --exclude "*" --recursive --include "*20161203*" &amp; "%USERPROFILE%\Documents\GitHub\mrs-test-scripts\Headless Mode &amp; Sideloading\WalkAndUnGZ.bat" "%USERPROFILE%\AppData\Local\Temp\OnboardLogs"\RTDC4010\2016-12-03</v>
      </c>
      <c r="AF148" s="88" t="str">
        <f t="shared" si="62"/>
        <v>"C:\Program Files (x86)\AstroGrep\AstroGrep.exe" /spath="%USERPROFILE%\AppData\Local\Temp\OnboardLogs" /stypes="app*4010*20161203*" /stext=" 07:.+((SYSTEM_STATE.+slice.+state.+changed )|(ment ac)|(multiple cpu faults)|(system.+state.+changed )|(\[timeout)|(PRM\|1\|D)|(kpr)|(kdp)|(\|lc)|(penalty))" /e /r /s</v>
      </c>
      <c r="AG148" s="1" t="str">
        <f t="shared" si="63"/>
        <v>EC</v>
      </c>
      <c r="AH148" s="92" t="str">
        <f t="shared" si="64"/>
        <v>"%USERPROFILE%\Documents\GitHub\eaglep3\Utilities\RefineRTDCRunTimes.py" --tripid 236-02 --locoid 4010 --swversion DE.1.0.8.0 --startMP 204:232740 --initTime 2016-12-02T23:21:54 --startdatetime 2016-12-02T23:26:36 --delay 0 --endMP 204:1928 --enddatetime 2016-12-03T00:03:42 --enforcementcount 0 &gt;&gt;C:\Users\stu\Documents\GitHub\eaglep3-reporting\EC\2016-12-02-refined-times.txt</v>
      </c>
      <c r="AI148" s="119" t="str">
        <f t="shared" si="65"/>
        <v>echo {"issue":{"subject":"","project_id":79,"tracker_id":40,"status_id":1,"priority_id":2,"assigned_to_id":23,"start_date":"2016-12-03","description":"","custom_fields":[{"id":1,"name":"Subdivision","value":"EC"},{"id":4,"name":"Milepost","value":"0.1928"},{"id":17,"name":"Train ID","value":"236-02"},{"id":16,"name":"Locomotive ID","value":"4010"},{"id":130,"name":"Impact","value":""},{"id":150,"name":"Time of Event (Mountain Time)","value":"00:03:42"},{"id":151,"name":"Denver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655</v>
      </c>
      <c r="B149" s="7">
        <v>4044</v>
      </c>
      <c r="C149" s="22" t="s">
        <v>210</v>
      </c>
      <c r="D149" s="22" t="s">
        <v>746</v>
      </c>
      <c r="E149" s="13">
        <v>42706.953935185185</v>
      </c>
      <c r="F149" s="13">
        <v>42706.958564814813</v>
      </c>
      <c r="G149" s="7">
        <v>2</v>
      </c>
      <c r="H149" s="22" t="s">
        <v>708</v>
      </c>
      <c r="I149" s="13">
        <v>42706.984247685185</v>
      </c>
      <c r="J149" s="7">
        <v>0</v>
      </c>
      <c r="K149" s="109" t="str">
        <f t="shared" si="54"/>
        <v>4043/4044</v>
      </c>
      <c r="L149" s="22" t="str">
        <f>VLOOKUP(A149,'Trips&amp;Operators'!$C$1:$G$99999,5,FALSE)</f>
        <v>LEVIN SCOTT</v>
      </c>
      <c r="M149" s="6">
        <f t="shared" si="55"/>
        <v>2.5682870371383615E-2</v>
      </c>
      <c r="N149" s="7">
        <f t="shared" si="69"/>
        <v>36.983333334792405</v>
      </c>
      <c r="O149" s="7"/>
      <c r="P149" s="7"/>
      <c r="Q149" s="23"/>
      <c r="R149" s="23"/>
      <c r="S149" s="35">
        <f t="shared" si="66"/>
        <v>1</v>
      </c>
      <c r="T149" s="50" t="str">
        <f t="shared" si="56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21:53:40-700',mode:absolute,to:'2016-12-03 00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9" s="52" t="str">
        <f t="shared" si="58"/>
        <v>N</v>
      </c>
      <c r="X149" s="177">
        <f t="shared" si="70"/>
        <v>1</v>
      </c>
      <c r="Y149" s="67">
        <f t="shared" si="50"/>
        <v>7.4800000000000005E-2</v>
      </c>
      <c r="Z149" s="67">
        <f t="shared" si="51"/>
        <v>23.332599999999999</v>
      </c>
      <c r="AA149" s="67">
        <f t="shared" si="59"/>
        <v>23.2578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60"/>
        <v>0237-02</v>
      </c>
      <c r="AE149" s="91" t="str">
        <f t="shared" si="61"/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AF149" s="88" t="str">
        <f t="shared" si="62"/>
        <v>"C:\Program Files (x86)\AstroGrep\AstroGrep.exe" /spath="%USERPROFILE%\AppData\Local\Temp\OnboardLogs" /stypes="app*4044*20161203*" /stext=" 06:.+((SYSTEM_STATE.+slice.+state.+changed )|(ment ac)|(multiple cpu faults)|(system.+state.+changed )|(\[timeout)|(PRM\|1\|D)|(kpr)|(kdp)|(\|lc)|(penalty))" /e /r /s</v>
      </c>
      <c r="AG149" s="1" t="str">
        <f t="shared" si="63"/>
        <v>EC</v>
      </c>
      <c r="AH149" s="92" t="str">
        <f t="shared" si="64"/>
        <v>"%USERPROFILE%\Documents\GitHub\eaglep3\Utilities\RefineRTDCRunTimes.py" --tripid 237-02 --locoid 4044 --swversion DE.1.0.8.0 --startMP 204:748 --initTime 2016-12-02T22:53:40 --startdatetime 2016-12-02T23:00:20 --delay 2 --endMP 204:233326 --enddatetime 2016-12-02T23:37:19 --enforcementcount 0 &gt;&gt;C:\Users\stu\Documents\GitHub\eaglep3-reporting\EC\2016-12-02-refined-times.txt</v>
      </c>
      <c r="AI149" s="119" t="str">
        <f t="shared" si="65"/>
        <v>echo {"issue":{"subject":"","project_id":79,"tracker_id":40,"status_id":1,"priority_id":2,"assigned_to_id":23,"start_date":"2016-12-02","description":"","custom_fields":[{"id":1,"name":"Subdivision","value":"EC"},{"id":4,"name":"Milepost","value":"23.3326"},{"id":17,"name":"Train ID","value":"237-02"},{"id":16,"name":"Locomotive ID","value":"4044"},{"id":130,"name":"Impact","value":""},{"id":150,"name":"Time of Event (Mountain Time)","value":"23:37:19"},{"id":151,"name":"Denver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659</v>
      </c>
      <c r="B150" s="7">
        <v>4019</v>
      </c>
      <c r="C150" s="22" t="s">
        <v>210</v>
      </c>
      <c r="D150" s="22" t="s">
        <v>747</v>
      </c>
      <c r="E150" s="13">
        <v>42706.993414351855</v>
      </c>
      <c r="F150" s="13">
        <v>42706.997407407405</v>
      </c>
      <c r="G150" s="7">
        <v>1</v>
      </c>
      <c r="H150" s="22" t="s">
        <v>410</v>
      </c>
      <c r="I150" s="13">
        <v>42707.023518518516</v>
      </c>
      <c r="J150" s="7">
        <v>0</v>
      </c>
      <c r="K150" s="109" t="str">
        <f t="shared" si="54"/>
        <v>4019/4020</v>
      </c>
      <c r="L150" s="22" t="str">
        <f>VLOOKUP(A150,'Trips&amp;Operators'!$C$1:$G$99999,5,FALSE)</f>
        <v>LEVIN SCOTT</v>
      </c>
      <c r="M150" s="6">
        <f t="shared" si="55"/>
        <v>2.6111111110367347E-2</v>
      </c>
      <c r="N150" s="7">
        <f t="shared" si="69"/>
        <v>37.599999998928979</v>
      </c>
      <c r="O150" s="7"/>
      <c r="P150" s="7"/>
      <c r="Q150" s="23"/>
      <c r="R150" s="23"/>
      <c r="S150" s="35">
        <f t="shared" si="66"/>
        <v>1</v>
      </c>
      <c r="T150" s="50" t="str">
        <f t="shared" si="56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22:50:31-700',mode:absolute,to:'2016-12-03 01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0" s="52" t="str">
        <f t="shared" si="58"/>
        <v>N</v>
      </c>
      <c r="X150" s="177">
        <f t="shared" ref="X150:X181" si="71">VALUE(LEFT(AD150,4))-VALUE(LEFT(AD149,4))</f>
        <v>1</v>
      </c>
      <c r="Y150" s="67">
        <f t="shared" si="50"/>
        <v>23.268899999999999</v>
      </c>
      <c r="Z150" s="67">
        <f t="shared" si="51"/>
        <v>1.14E-2</v>
      </c>
      <c r="AA150" s="67">
        <f t="shared" si="59"/>
        <v>23.2575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60"/>
        <v>0238-02</v>
      </c>
      <c r="AE150" s="91" t="str">
        <f t="shared" si="61"/>
        <v>aws s3 cp s3://rtdc.mdm.uploadarchive.raw/RTDC4019/ "%USERPROFILE%\AppData\Local\Temp\OnboardLogs"\RTDC4019\2016-12-02 --exclude "*" --recursive --include "*20161202*" &amp; "%USERPROFILE%\Documents\GitHub\mrs-test-scripts\Headless Mode &amp; Sideloading\WalkAndUnGZ.bat" "%USERPROFILE%\AppData\Local\Temp\OnboardLogs"\RTDC4019\2016-12-02 &amp; 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</v>
      </c>
      <c r="AF150" s="88" t="str">
        <f t="shared" si="62"/>
        <v>"C:\Program Files (x86)\AstroGrep\AstroGrep.exe" /spath="%USERPROFILE%\AppData\Local\Temp\OnboardLogs" /stypes="app*4019*20161203*" /stext=" 07:.+((SYSTEM_STATE.+slice.+state.+changed )|(ment ac)|(multiple cpu faults)|(system.+state.+changed )|(\[timeout)|(PRM\|1\|D)|(kpr)|(kdp)|(\|lc)|(penalty))" /e /r /s</v>
      </c>
      <c r="AG150" s="1" t="str">
        <f t="shared" si="63"/>
        <v>EC</v>
      </c>
      <c r="AH150" s="92" t="str">
        <f t="shared" si="64"/>
        <v>"%USERPROFILE%\Documents\GitHub\eaglep3\Utilities\RefineRTDCRunTimes.py" --tripid 238-02 --locoid 4019 --swversion DE.1.0.8.0 --startMP 204:232689 --initTime 2016-12-02T23:50:31 --startdatetime 2016-12-02T23:56:16 --delay 1 --endMP 204:114 --enddatetime 2016-12-03T00:33:52 --enforcementcount 0 &gt;&gt;C:\Users\stu\Documents\GitHub\eaglep3-reporting\EC\2016-12-02-refined-times.txt</v>
      </c>
      <c r="AI150" s="119" t="str">
        <f t="shared" si="65"/>
        <v>echo {"issue":{"subject":"","project_id":79,"tracker_id":40,"status_id":1,"priority_id":2,"assigned_to_id":23,"start_date":"2016-12-03","description":"","custom_fields":[{"id":1,"name":"Subdivision","value":"EC"},{"id":4,"name":"Milepost","value":"0.0114"},{"id":17,"name":"Train ID","value":"238-02"},{"id":16,"name":"Locomotive ID","value":"4019"},{"id":130,"name":"Impact","value":""},{"id":150,"name":"Time of Event (Mountain Time)","value":"00:33:52"},{"id":151,"name":"Denver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x14ac:dyDescent="0.25">
      <c r="A151" s="37" t="s">
        <v>657</v>
      </c>
      <c r="B151" s="7">
        <v>4022</v>
      </c>
      <c r="C151" s="22" t="s">
        <v>210</v>
      </c>
      <c r="D151" s="22" t="s">
        <v>427</v>
      </c>
      <c r="E151" s="13">
        <v>42706.964282407411</v>
      </c>
      <c r="F151" s="13">
        <v>42706.979328703703</v>
      </c>
      <c r="G151" s="7">
        <v>1</v>
      </c>
      <c r="H151" s="22" t="s">
        <v>408</v>
      </c>
      <c r="I151" s="13">
        <v>42707.003506944442</v>
      </c>
      <c r="J151" s="7">
        <v>0</v>
      </c>
      <c r="K151" s="109" t="str">
        <f t="shared" si="54"/>
        <v>4021/4022</v>
      </c>
      <c r="L151" s="22" t="str">
        <f>VLOOKUP(A151,'Trips&amp;Operators'!$C$1:$G$99999,5,FALSE)</f>
        <v>YANAI IAN</v>
      </c>
      <c r="M151" s="6">
        <f t="shared" si="55"/>
        <v>2.417824073927477E-2</v>
      </c>
      <c r="N151" s="7">
        <f t="shared" si="69"/>
        <v>34.816666664555669</v>
      </c>
      <c r="O151" s="7"/>
      <c r="P151" s="7"/>
      <c r="Q151" s="23"/>
      <c r="R151" s="23"/>
      <c r="S151" s="35">
        <f t="shared" si="66"/>
        <v>1</v>
      </c>
      <c r="T151" s="50" t="str">
        <f t="shared" si="56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22:08:34-700',mode:absolute,to:'2016-12-03 01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1" s="52" t="str">
        <f t="shared" si="58"/>
        <v>N</v>
      </c>
      <c r="X151" s="177">
        <f t="shared" si="71"/>
        <v>1</v>
      </c>
      <c r="Y151" s="67">
        <f t="shared" si="50"/>
        <v>7.5399999999999995E-2</v>
      </c>
      <c r="Z151" s="67">
        <f t="shared" si="51"/>
        <v>23.3324</v>
      </c>
      <c r="AA151" s="67">
        <f t="shared" si="59"/>
        <v>23.257000000000001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60"/>
        <v>0239-02</v>
      </c>
      <c r="AE151" s="91" t="str">
        <f t="shared" si="61"/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AF151" s="88" t="str">
        <f t="shared" si="62"/>
        <v>"C:\Program Files (x86)\AstroGrep\AstroGrep.exe" /spath="%USERPROFILE%\AppData\Local\Temp\OnboardLogs" /stypes="app*4022*20161203*" /stext=" 07:.+((SYSTEM_STATE.+slice.+state.+changed )|(ment ac)|(multiple cpu faults)|(system.+state.+changed )|(\[timeout)|(PRM\|1\|D)|(kpr)|(kdp)|(\|lc)|(penalty))" /e /r /s</v>
      </c>
      <c r="AG151" s="1" t="str">
        <f t="shared" si="63"/>
        <v>EC</v>
      </c>
      <c r="AH151" s="92" t="str">
        <f t="shared" si="64"/>
        <v>"%USERPROFILE%\Documents\GitHub\eaglep3\Utilities\RefineRTDCRunTimes.py" --tripid 239-02 --locoid 4022 --swversion DE.1.0.8.0 --startMP 204:754 --initTime 2016-12-02T23:08:34 --startdatetime 2016-12-02T23:30:14 --delay 1 --endMP 204:233324 --enddatetime 2016-12-03T00:05:03 --enforcementcount 0 &gt;&gt;C:\Users\stu\Documents\GitHub\eaglep3-reporting\EC\2016-12-02-refined-times.txt</v>
      </c>
      <c r="AI151" s="119" t="str">
        <f t="shared" si="65"/>
        <v>echo {"issue":{"subject":"","project_id":79,"tracker_id":40,"status_id":1,"priority_id":2,"assigned_to_id":23,"start_date":"2016-12-03","description":"","custom_fields":[{"id":1,"name":"Subdivision","value":"EC"},{"id":4,"name":"Milepost","value":"23.3324"},{"id":17,"name":"Train ID","value":"239-02"},{"id":16,"name":"Locomotive ID","value":"4022"},{"id":130,"name":"Impact","value":""},{"id":150,"name":"Time of Event (Mountain Time)","value":"00:05:03"},{"id":151,"name":"Denver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460</v>
      </c>
      <c r="B152" s="7">
        <v>4030</v>
      </c>
      <c r="C152" s="22" t="s">
        <v>210</v>
      </c>
      <c r="D152" s="22" t="s">
        <v>748</v>
      </c>
      <c r="E152" s="13">
        <v>42707.015509259261</v>
      </c>
      <c r="F152" s="13">
        <v>42707.018784722219</v>
      </c>
      <c r="G152" s="7">
        <v>1</v>
      </c>
      <c r="H152" s="22" t="s">
        <v>749</v>
      </c>
      <c r="I152" s="13">
        <v>42707.045416666668</v>
      </c>
      <c r="J152" s="7">
        <v>0</v>
      </c>
      <c r="K152" s="109" t="str">
        <f t="shared" si="54"/>
        <v>4029/4030</v>
      </c>
      <c r="L152" s="22" t="str">
        <f>VLOOKUP(A152,'Trips&amp;Operators'!$C$1:$G$99999,5,FALSE)</f>
        <v>YANAI IAN</v>
      </c>
      <c r="M152" s="6">
        <f t="shared" si="55"/>
        <v>2.6631944449036382E-2</v>
      </c>
      <c r="N152" s="7">
        <f t="shared" si="69"/>
        <v>38.35000000661239</v>
      </c>
      <c r="O152" s="7"/>
      <c r="P152" s="7"/>
      <c r="Q152" s="23"/>
      <c r="R152" s="23"/>
      <c r="S152" s="35">
        <f t="shared" si="66"/>
        <v>1</v>
      </c>
      <c r="T152" s="50" t="str">
        <f t="shared" si="56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23:22:20-700',mode:absolute,to:'2016-12-03 02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2" s="52" t="str">
        <f t="shared" si="58"/>
        <v>N</v>
      </c>
      <c r="X152" s="177">
        <f t="shared" si="71"/>
        <v>1</v>
      </c>
      <c r="Y152" s="67">
        <f t="shared" si="50"/>
        <v>23.268699999999999</v>
      </c>
      <c r="Z152" s="67">
        <f t="shared" si="51"/>
        <v>2.3099999999999999E-2</v>
      </c>
      <c r="AA152" s="67">
        <f t="shared" si="59"/>
        <v>23.2456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60"/>
        <v>0240-02</v>
      </c>
      <c r="AE152" s="91" t="str">
        <f t="shared" si="61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52" s="88" t="str">
        <f t="shared" si="62"/>
        <v>"C:\Program Files (x86)\AstroGrep\AstroGrep.exe" /spath="%USERPROFILE%\AppData\Local\Temp\OnboardLogs" /stypes="app*4030*20161203*" /stext=" 08:.+((SYSTEM_STATE.+slice.+state.+changed )|(ment ac)|(multiple cpu faults)|(system.+state.+changed )|(\[timeout)|(PRM\|1\|D)|(kpr)|(kdp)|(\|lc)|(penalty))" /e /r /s</v>
      </c>
      <c r="AG152" s="1" t="str">
        <f t="shared" si="63"/>
        <v>EC</v>
      </c>
      <c r="AH152" s="92" t="str">
        <f t="shared" si="64"/>
        <v>"%USERPROFILE%\Documents\GitHub\eaglep3\Utilities\RefineRTDCRunTimes.py" --tripid 240-02 --locoid 4030 --swversion DE.1.0.8.0 --startMP 204:232687 --initTime 2016-12-03T00:22:20 --startdatetime 2016-12-03T00:27:03 --delay 1 --endMP 204:231 --enddatetime 2016-12-03T01:05:24 --enforcementcount 0 &gt;&gt;C:\Users\stu\Documents\GitHub\eaglep3-reporting\EC\2016-12-02-refined-times.txt</v>
      </c>
      <c r="AI152" s="119" t="str">
        <f t="shared" si="65"/>
        <v>echo {"issue":{"subject":"","project_id":79,"tracker_id":40,"status_id":1,"priority_id":2,"assigned_to_id":23,"start_date":"2016-12-03","description":"","custom_fields":[{"id":1,"name":"Subdivision","value":"EC"},{"id":4,"name":"Milepost","value":"0.0231"},{"id":17,"name":"Train ID","value":"240-02"},{"id":16,"name":"Locomotive ID","value":"4030"},{"id":130,"name":"Impact","value":""},{"id":150,"name":"Time of Event (Mountain Time)","value":"01:05:24"},{"id":151,"name":"Denver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459</v>
      </c>
      <c r="B153" s="7">
        <v>4011</v>
      </c>
      <c r="C153" s="22" t="s">
        <v>210</v>
      </c>
      <c r="D153" s="22" t="s">
        <v>750</v>
      </c>
      <c r="E153" s="13">
        <v>42706.996932870374</v>
      </c>
      <c r="F153" s="13">
        <v>42707.001226851855</v>
      </c>
      <c r="G153" s="7">
        <v>6</v>
      </c>
      <c r="H153" s="22" t="s">
        <v>751</v>
      </c>
      <c r="I153" s="13">
        <v>42707.001539351855</v>
      </c>
      <c r="J153" s="7">
        <v>1</v>
      </c>
      <c r="K153" s="109" t="str">
        <f t="shared" si="54"/>
        <v>4011/4012</v>
      </c>
      <c r="L153" s="22" t="str">
        <f>VLOOKUP(A153,'Trips&amp;Operators'!$C$1:$G$99999,5,FALSE)</f>
        <v>CHANDLER KELVIN</v>
      </c>
      <c r="M153" s="6">
        <f t="shared" si="55"/>
        <v>3.125000002910383E-4</v>
      </c>
      <c r="N153" s="7"/>
      <c r="O153" s="7"/>
      <c r="P153" s="7">
        <f>24*60*SUM($M153:$M154)</f>
        <v>22.5</v>
      </c>
      <c r="Q153" s="23"/>
      <c r="R153" s="23" t="s">
        <v>968</v>
      </c>
      <c r="S153" s="35">
        <f>SUM(U153:U154)/IF(AG153="EC",12,1)</f>
        <v>0.25</v>
      </c>
      <c r="T153" s="50" t="str">
        <f t="shared" si="56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22:55:35-700',mode:absolute,to:'2016-12-03 01:02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3" s="52" t="str">
        <f t="shared" si="58"/>
        <v>Y</v>
      </c>
      <c r="X153" s="177">
        <f t="shared" si="71"/>
        <v>1</v>
      </c>
      <c r="Y153" s="67">
        <f t="shared" si="50"/>
        <v>0.25869999999999999</v>
      </c>
      <c r="Z153" s="67">
        <f t="shared" si="51"/>
        <v>0.31730000000000003</v>
      </c>
      <c r="AA153" s="67">
        <f t="shared" si="59"/>
        <v>5.8600000000000041E-2</v>
      </c>
      <c r="AB153" s="64" t="str">
        <f>VLOOKUP(A153,Enforcements!$C$7:$K$19,8,0)</f>
        <v>Signal based authority (5)</v>
      </c>
      <c r="AC153" s="60" t="str">
        <f>VLOOKUP(A153,Enforcements!$C$7:$E$19,3,0)</f>
        <v>SIGNAL</v>
      </c>
      <c r="AD153" s="61" t="str">
        <f t="shared" si="60"/>
        <v>0241-02</v>
      </c>
      <c r="AE153" s="91" t="str">
        <f t="shared" si="61"/>
        <v>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 &amp; aws s3 cp s3://rtdc.mdm.uploadarchive.raw/RTDC4011/ "%USERPROFILE%\AppData\Local\Temp\OnboardLogs"\RTDC4011\2016-12-04 --exclude "*" --recursive --include "*20161204*" &amp; "%USERPROFILE%\Documents\GitHub\mrs-test-scripts\Headless Mode &amp; Sideloading\WalkAndUnGZ.bat" "%USERPROFILE%\AppData\Local\Temp\OnboardLogs"\RTDC4011\2016-12-04</v>
      </c>
      <c r="AF153" s="88" t="str">
        <f t="shared" si="62"/>
        <v>"C:\Program Files (x86)\AstroGrep\AstroGrep.exe" /spath="%USERPROFILE%\AppData\Local\Temp\OnboardLogs" /stypes="app*4011*20161203*" /stext=" 07:.+((SYSTEM_STATE.+slice.+state.+changed )|(ment ac)|(multiple cpu faults)|(system.+state.+changed )|(\[timeout)|(PRM\|1\|D)|(kpr)|(kdp)|(\|lc)|(penalty))" /e /r /s</v>
      </c>
      <c r="AG153" s="1" t="str">
        <f t="shared" si="63"/>
        <v>EC</v>
      </c>
      <c r="AH153" s="92" t="str">
        <f t="shared" si="64"/>
        <v>"%USERPROFILE%\Documents\GitHub\eaglep3\Utilities\RefineRTDCRunTimes.py" --tripid 241-02 --locoid 4011 --swversion DE.1.0.8.0 --startMP 204:2587 --initTime 2016-12-02T23:55:35 --startdatetime 2016-12-03T00:01:46 --delay 6 --endMP 204:3173 --enddatetime 2016-12-03T00:02:13 --enforcementcount 1 &gt;&gt;C:\Users\stu\Documents\GitHub\eaglep3-reporting\EC\2016-12-02-refined-times.txt</v>
      </c>
      <c r="AI153" s="119" t="str">
        <f t="shared" si="65"/>
        <v>echo {"issue":{"subject":"CCROC/crew/equipment mismatch","project_id":79,"tracker_id":40,"status_id":1,"priority_id":2,"assigned_to_id":23,"start_date":"2016-12-03","description":"","custom_fields":[{"id":1,"name":"Subdivision","value":"EC"},{"id":4,"name":"Milepost","value":"0.3173"},{"id":17,"name":"Train ID","value":"241-02"},{"id":16,"name":"Locomotive ID","value":"4011"},{"id":130,"name":"Impact","value":""},{"id":150,"name":"Time of Event (Mountain Time)","value":"00:02:13"},{"id":151,"name":"Denver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459</v>
      </c>
      <c r="B154" s="7">
        <v>4011</v>
      </c>
      <c r="C154" s="22" t="s">
        <v>210</v>
      </c>
      <c r="D154" s="22" t="s">
        <v>752</v>
      </c>
      <c r="E154" s="13">
        <v>42707.011018518519</v>
      </c>
      <c r="F154" s="13">
        <v>42707.011562500003</v>
      </c>
      <c r="G154" s="7">
        <v>0</v>
      </c>
      <c r="H154" s="22" t="s">
        <v>334</v>
      </c>
      <c r="I154" s="13">
        <v>42707.026875000003</v>
      </c>
      <c r="J154" s="7">
        <v>0</v>
      </c>
      <c r="K154" s="109" t="str">
        <f t="shared" si="54"/>
        <v>4011/4012</v>
      </c>
      <c r="L154" s="22" t="str">
        <f>VLOOKUP(A154,'Trips&amp;Operators'!$C$1:$G$99999,5,FALSE)</f>
        <v>CHANDLER KELVIN</v>
      </c>
      <c r="M154" s="6">
        <f t="shared" si="55"/>
        <v>1.5312499999708962E-2</v>
      </c>
      <c r="N154" s="7"/>
      <c r="O154" s="7"/>
      <c r="P154" s="7"/>
      <c r="Q154" s="23"/>
      <c r="R154" s="23"/>
      <c r="S154" s="35"/>
      <c r="T154" s="50" t="str">
        <f t="shared" si="56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23:15:52-700',mode:absolute,to:'2016-12-03 01:38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4" s="52" t="str">
        <f t="shared" si="58"/>
        <v>Y</v>
      </c>
      <c r="X154" s="177">
        <f t="shared" si="71"/>
        <v>0</v>
      </c>
      <c r="Y154" s="67">
        <f t="shared" si="50"/>
        <v>6.4706000000000001</v>
      </c>
      <c r="Z154" s="67">
        <f t="shared" si="51"/>
        <v>23.330500000000001</v>
      </c>
      <c r="AA154" s="67">
        <f t="shared" si="59"/>
        <v>16.8599</v>
      </c>
      <c r="AB154" s="64" t="str">
        <f>VLOOKUP(A154,Enforcements!$C$7:$K$19,8,0)</f>
        <v>Signal based authority (5)</v>
      </c>
      <c r="AC154" s="60" t="str">
        <f>VLOOKUP(A154,Enforcements!$C$7:$E$19,3,0)</f>
        <v>SIGNAL</v>
      </c>
      <c r="AD154" s="61" t="str">
        <f t="shared" si="60"/>
        <v>0241-02</v>
      </c>
      <c r="AE154" s="91" t="str">
        <f t="shared" si="61"/>
        <v>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 &amp; aws s3 cp s3://rtdc.mdm.uploadarchive.raw/RTDC4011/ "%USERPROFILE%\AppData\Local\Temp\OnboardLogs"\RTDC4011\2016-12-04 --exclude "*" --recursive --include "*20161204*" &amp; "%USERPROFILE%\Documents\GitHub\mrs-test-scripts\Headless Mode &amp; Sideloading\WalkAndUnGZ.bat" "%USERPROFILE%\AppData\Local\Temp\OnboardLogs"\RTDC4011\2016-12-04</v>
      </c>
      <c r="AF154" s="88" t="str">
        <f t="shared" si="62"/>
        <v>"C:\Program Files (x86)\AstroGrep\AstroGrep.exe" /spath="%USERPROFILE%\AppData\Local\Temp\OnboardLogs" /stypes="app*4011*20161203*" /stext=" 07:.+((SYSTEM_STATE.+slice.+state.+changed )|(ment ac)|(multiple cpu faults)|(system.+state.+changed )|(\[timeout)|(PRM\|1\|D)|(kpr)|(kdp)|(\|lc)|(penalty))" /e /r /s</v>
      </c>
      <c r="AG154" s="1" t="str">
        <f t="shared" si="63"/>
        <v>EC</v>
      </c>
      <c r="AH154" s="92" t="str">
        <f t="shared" si="64"/>
        <v>"%USERPROFILE%\Documents\GitHub\eaglep3\Utilities\RefineRTDCRunTimes.py" --tripid 241-02 --locoid 4011 --swversion DE.1.0.8.0 --startMP 204:64706 --initTime 2016-12-03T00:15:52 --startdatetime 2016-12-03T00:16:39 --delay 0 --endMP 204:233305 --enddatetime 2016-12-03T00:38:42 --enforcementcount 0 &gt;&gt;C:\Users\stu\Documents\GitHub\eaglep3-reporting\EC\2016-12-02-refined-times.txt</v>
      </c>
      <c r="AI154" s="119" t="str">
        <f t="shared" si="65"/>
        <v>echo {"issue":{"subject":"","project_id":79,"tracker_id":40,"status_id":1,"priority_id":2,"assigned_to_id":23,"start_date":"2016-12-03","description":"","custom_fields":[{"id":1,"name":"Subdivision","value":"EC"},{"id":4,"name":"Milepost","value":"23.3305"},{"id":17,"name":"Train ID","value":"241-02"},{"id":16,"name":"Locomotive ID","value":"4011"},{"id":130,"name":"Impact","value":""},{"id":150,"name":"Time of Event (Mountain Time)","value":"00:38:42"},{"id":151,"name":"Denver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462</v>
      </c>
      <c r="B155" s="7">
        <v>4012</v>
      </c>
      <c r="C155" s="22" t="s">
        <v>210</v>
      </c>
      <c r="D155" s="22" t="s">
        <v>288</v>
      </c>
      <c r="E155" s="13">
        <v>42707.034745370373</v>
      </c>
      <c r="F155" s="13">
        <v>42707.039293981485</v>
      </c>
      <c r="G155" s="7">
        <v>1</v>
      </c>
      <c r="H155" s="22" t="s">
        <v>217</v>
      </c>
      <c r="I155" s="13">
        <v>42707.067708333336</v>
      </c>
      <c r="J155" s="7">
        <v>0</v>
      </c>
      <c r="K155" s="109" t="str">
        <f t="shared" si="54"/>
        <v>4011/4012</v>
      </c>
      <c r="L155" s="22" t="str">
        <f>VLOOKUP(A155,'Trips&amp;Operators'!$C$1:$G$99999,5,FALSE)</f>
        <v>CHANDLER KELVIN</v>
      </c>
      <c r="M155" s="6">
        <f t="shared" si="55"/>
        <v>2.8414351851097308E-2</v>
      </c>
      <c r="N155" s="7">
        <f t="shared" ref="N155:N186" si="72">24*60*SUM($M155:$M155)</f>
        <v>40.916666665580124</v>
      </c>
      <c r="O155" s="7"/>
      <c r="P155" s="7"/>
      <c r="Q155" s="23"/>
      <c r="R155" s="23"/>
      <c r="S155" s="35">
        <f t="shared" ref="S155:S186" si="73">SUM(U155:U155)/IF(AG155="EC",12,1)</f>
        <v>1</v>
      </c>
      <c r="T155" s="50" t="str">
        <f t="shared" si="56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23:50:02-700',mode:absolute,to:'2016-12-03 02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5" s="52" t="str">
        <f t="shared" si="58"/>
        <v>N</v>
      </c>
      <c r="X155" s="177">
        <f t="shared" si="71"/>
        <v>1</v>
      </c>
      <c r="Y155" s="67">
        <f t="shared" si="50"/>
        <v>23.298200000000001</v>
      </c>
      <c r="Z155" s="67">
        <f t="shared" si="51"/>
        <v>1.4999999999999999E-2</v>
      </c>
      <c r="AA155" s="67">
        <f t="shared" si="59"/>
        <v>23.283200000000001</v>
      </c>
      <c r="AB155" s="64" t="str">
        <f>VLOOKUP(A155,Enforcements!$C$7:$K$19,8,0)</f>
        <v>Track device (7)</v>
      </c>
      <c r="AC155" s="60" t="str">
        <f>VLOOKUP(A155,Enforcements!$C$7:$E$19,3,0)</f>
        <v>SWITCH UNKNOWN</v>
      </c>
      <c r="AD155" s="61" t="str">
        <f t="shared" si="60"/>
        <v>0242-02</v>
      </c>
      <c r="AE155" s="91" t="str">
        <f t="shared" si="61"/>
        <v>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 &amp; aws s3 cp s3://rtdc.mdm.uploadarchive.raw/RTDC4012/ "%USERPROFILE%\AppData\Local\Temp\OnboardLogs"\RTDC4012\2016-12-04 --exclude "*" --recursive --include "*20161204*" &amp; "%USERPROFILE%\Documents\GitHub\mrs-test-scripts\Headless Mode &amp; Sideloading\WalkAndUnGZ.bat" "%USERPROFILE%\AppData\Local\Temp\OnboardLogs"\RTDC4012\2016-12-04</v>
      </c>
      <c r="AF155" s="88" t="str">
        <f t="shared" si="62"/>
        <v>"C:\Program Files (x86)\AstroGrep\AstroGrep.exe" /spath="%USERPROFILE%\AppData\Local\Temp\OnboardLogs" /stypes="app*4012*20161203*" /stext=" 08:.+((SYSTEM_STATE.+slice.+state.+changed )|(ment ac)|(multiple cpu faults)|(system.+state.+changed )|(\[timeout)|(PRM\|1\|D)|(kpr)|(kdp)|(\|lc)|(penalty))" /e /r /s</v>
      </c>
      <c r="AG155" s="1" t="str">
        <f t="shared" si="63"/>
        <v>EC</v>
      </c>
      <c r="AH155" s="92" t="str">
        <f t="shared" si="64"/>
        <v>"%USERPROFILE%\Documents\GitHub\eaglep3\Utilities\RefineRTDCRunTimes.py" --tripid 242-02 --locoid 4012 --swversion DE.1.0.8.0 --startMP 204:232982 --initTime 2016-12-03T00:50:02 --startdatetime 2016-12-03T00:56:35 --delay 1 --endMP 204:150 --enddatetime 2016-12-03T01:37:30 --enforcementcount 0 &gt;&gt;C:\Users\stu\Documents\GitHub\eaglep3-reporting\EC\2016-12-02-refined-times.txt</v>
      </c>
      <c r="AI155" s="119" t="str">
        <f t="shared" si="65"/>
        <v>echo {"issue":{"subject":"","project_id":79,"tracker_id":40,"status_id":1,"priority_id":2,"assigned_to_id":23,"start_date":"2016-12-03","description":"","custom_fields":[{"id":1,"name":"Subdivision","value":"EC"},{"id":4,"name":"Milepost","value":"0.015"},{"id":17,"name":"Train ID","value":"242-02"},{"id":16,"name":"Locomotive ID","value":"4012"},{"id":130,"name":"Impact","value":""},{"id":150,"name":"Time of Event (Mountain Time)","value":"01:37:30"},{"id":151,"name":"Denver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660</v>
      </c>
      <c r="B156" s="7">
        <v>4002</v>
      </c>
      <c r="C156" s="22" t="s">
        <v>210</v>
      </c>
      <c r="D156" s="22" t="s">
        <v>753</v>
      </c>
      <c r="E156" s="13">
        <v>42707.004999999997</v>
      </c>
      <c r="F156" s="13">
        <v>42707.021145833336</v>
      </c>
      <c r="G156" s="7">
        <v>1</v>
      </c>
      <c r="H156" s="22" t="s">
        <v>407</v>
      </c>
      <c r="I156" s="13">
        <v>42707.045416666668</v>
      </c>
      <c r="J156" s="7">
        <v>0</v>
      </c>
      <c r="K156" s="109" t="str">
        <f t="shared" si="54"/>
        <v>4001/4002</v>
      </c>
      <c r="L156" s="22" t="str">
        <f>VLOOKUP(A156,'Trips&amp;Operators'!$C$1:$G$99999,5,FALSE)</f>
        <v>STAMBAUGH JAMES</v>
      </c>
      <c r="M156" s="6">
        <f t="shared" si="55"/>
        <v>2.4270833331684116E-2</v>
      </c>
      <c r="N156" s="7">
        <f t="shared" si="72"/>
        <v>34.949999997625127</v>
      </c>
      <c r="O156" s="7"/>
      <c r="P156" s="7"/>
      <c r="Q156" s="23"/>
      <c r="R156" s="23"/>
      <c r="S156" s="35">
        <f t="shared" si="73"/>
        <v>1</v>
      </c>
      <c r="T156" s="50" t="str">
        <f t="shared" si="56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23:07:12-700',mode:absolute,to:'2016-12-03 02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6" s="52" t="str">
        <f t="shared" si="58"/>
        <v>N</v>
      </c>
      <c r="X156" s="177">
        <f t="shared" si="71"/>
        <v>1</v>
      </c>
      <c r="Y156" s="67">
        <f t="shared" si="50"/>
        <v>7.7399999999999997E-2</v>
      </c>
      <c r="Z156" s="67">
        <f t="shared" si="51"/>
        <v>23.333600000000001</v>
      </c>
      <c r="AA156" s="67">
        <f t="shared" si="59"/>
        <v>23.2562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60"/>
        <v>0243-02</v>
      </c>
      <c r="AE156" s="91" t="str">
        <f t="shared" si="61"/>
        <v>aws s3 cp s3://rtdc.mdm.uploadarchive.raw/RTDC4002/ "%USERPROFILE%\AppData\Local\Temp\OnboardLogs"\RTDC4002\2016-12-03 --exclude "*" --recursive --include "*20161203*" &amp; "%USERPROFILE%\Documents\GitHub\mrs-test-scripts\Headless Mode &amp; Sideloading\WalkAndUnGZ.bat" "%USERPROFILE%\AppData\Local\Temp\OnboardLogs"\RTDC4002\2016-12-03 &amp; aws s3 cp s3://rtdc.mdm.uploadarchive.raw/RTDC4002/ "%USERPROFILE%\AppData\Local\Temp\OnboardLogs"\RTDC4002\2016-12-04 --exclude "*" --recursive --include "*20161204*" &amp; "%USERPROFILE%\Documents\GitHub\mrs-test-scripts\Headless Mode &amp; Sideloading\WalkAndUnGZ.bat" "%USERPROFILE%\AppData\Local\Temp\OnboardLogs"\RTDC4002\2016-12-04</v>
      </c>
      <c r="AF156" s="88" t="str">
        <f t="shared" si="62"/>
        <v>"C:\Program Files (x86)\AstroGrep\AstroGrep.exe" /spath="%USERPROFILE%\AppData\Local\Temp\OnboardLogs" /stypes="app*4002*20161203*" /stext=" 08:.+((SYSTEM_STATE.+slice.+state.+changed )|(ment ac)|(multiple cpu faults)|(system.+state.+changed )|(\[timeout)|(PRM\|1\|D)|(kpr)|(kdp)|(\|lc)|(penalty))" /e /r /s</v>
      </c>
      <c r="AG156" s="1" t="str">
        <f t="shared" si="63"/>
        <v>EC</v>
      </c>
      <c r="AH156" s="92" t="str">
        <f t="shared" si="64"/>
        <v>"%USERPROFILE%\Documents\GitHub\eaglep3\Utilities\RefineRTDCRunTimes.py" --tripid 243-02 --locoid 4002 --swversion DE.1.0.8.0 --startMP 204:774 --initTime 2016-12-03T00:07:12 --startdatetime 2016-12-03T00:30:27 --delay 1 --endMP 204:233336 --enddatetime 2016-12-03T01:05:24 --enforcementcount 0 &gt;&gt;C:\Users\stu\Documents\GitHub\eaglep3-reporting\EC\2016-12-02-refined-times.txt</v>
      </c>
      <c r="AI156" s="119" t="str">
        <f t="shared" si="65"/>
        <v>echo {"issue":{"subject":"","project_id":79,"tracker_id":40,"status_id":1,"priority_id":2,"assigned_to_id":23,"start_date":"2016-12-03","description":"","custom_fields":[{"id":1,"name":"Subdivision","value":"EC"},{"id":4,"name":"Milepost","value":"23.3336"},{"id":17,"name":"Train ID","value":"243-02"},{"id":16,"name":"Locomotive ID","value":"4002"},{"id":130,"name":"Impact","value":""},{"id":150,"name":"Time of Event (Mountain Time)","value":"01:05:24"},{"id":151,"name":"Denver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662</v>
      </c>
      <c r="B157" s="7">
        <v>4010</v>
      </c>
      <c r="C157" s="22" t="s">
        <v>210</v>
      </c>
      <c r="D157" s="22" t="s">
        <v>735</v>
      </c>
      <c r="E157" s="13">
        <v>42707.056203703702</v>
      </c>
      <c r="F157" s="13">
        <v>42707.060231481482</v>
      </c>
      <c r="G157" s="7">
        <v>1</v>
      </c>
      <c r="H157" s="22" t="s">
        <v>326</v>
      </c>
      <c r="I157" s="13">
        <v>42707.085532407407</v>
      </c>
      <c r="J157" s="7">
        <v>0</v>
      </c>
      <c r="K157" s="109" t="str">
        <f t="shared" si="54"/>
        <v>4009/4010</v>
      </c>
      <c r="L157" s="22" t="str">
        <f>VLOOKUP(A157,'Trips&amp;Operators'!$C$1:$G$99999,5,FALSE)</f>
        <v>STAMBAUGH JAMES</v>
      </c>
      <c r="M157" s="6">
        <f t="shared" si="55"/>
        <v>2.5300925924966577E-2</v>
      </c>
      <c r="N157" s="7">
        <f t="shared" si="72"/>
        <v>36.433333331951872</v>
      </c>
      <c r="O157" s="7"/>
      <c r="P157" s="7"/>
      <c r="Q157" s="23"/>
      <c r="R157" s="23"/>
      <c r="S157" s="35">
        <f t="shared" si="73"/>
        <v>1</v>
      </c>
      <c r="T157" s="50" t="str">
        <f t="shared" si="56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https://search-rtdc-monitor-bjffxe2xuh6vdkpspy63sjmuny.us-east-1.es.amazonaws.com/_plugin/kibana/#/discover/Steve-Slow-Train-Analysis-(2080s-and-2083s)?_g=(refreshInterval:(display:Off,section:0,value:0),time:(from:'2016-12-03 00:20:56-700',mode:absolute,to:'2016-12-03 03:03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7" s="52" t="str">
        <f t="shared" si="58"/>
        <v>N</v>
      </c>
      <c r="X157" s="177">
        <f t="shared" si="71"/>
        <v>1</v>
      </c>
      <c r="Y157" s="67">
        <f t="shared" si="50"/>
        <v>23.268999999999998</v>
      </c>
      <c r="Z157" s="67">
        <f t="shared" si="51"/>
        <v>1.6899999999999998E-2</v>
      </c>
      <c r="AA157" s="67">
        <f t="shared" si="59"/>
        <v>23.252099999999999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60"/>
        <v>0244-02</v>
      </c>
      <c r="AE157" s="91" t="str">
        <f t="shared" si="61"/>
        <v>aws s3 cp s3://rtdc.mdm.uploadarchive.raw/RTDC4010/ "%USERPROFILE%\AppData\Local\Temp\OnboardLogs"\RTDC4010\2016-12-03 --exclude "*" --recursive --include "*20161203*" &amp; "%USERPROFILE%\Documents\GitHub\mrs-test-scripts\Headless Mode &amp; Sideloading\WalkAndUnGZ.bat" "%USERPROFILE%\AppData\Local\Temp\OnboardLogs"\RTDC4010\2016-12-03 &amp; aws s3 cp s3://rtdc.mdm.uploadarchive.raw/RTDC4010/ "%USERPROFILE%\AppData\Local\Temp\OnboardLogs"\RTDC4010\2016-12-04 --exclude "*" --recursive --include "*20161204*" &amp; "%USERPROFILE%\Documents\GitHub\mrs-test-scripts\Headless Mode &amp; Sideloading\WalkAndUnGZ.bat" "%USERPROFILE%\AppData\Local\Temp\OnboardLogs"\RTDC4010\2016-12-04</v>
      </c>
      <c r="AF157" s="88" t="str">
        <f t="shared" si="62"/>
        <v>"C:\Program Files (x86)\AstroGrep\AstroGrep.exe" /spath="%USERPROFILE%\AppData\Local\Temp\OnboardLogs" /stypes="app*4010*20161203*" /stext=" 09:.+((SYSTEM_STATE.+slice.+state.+changed )|(ment ac)|(multiple cpu faults)|(system.+state.+changed )|(\[timeout)|(PRM\|1\|D)|(kpr)|(kdp)|(\|lc)|(penalty))" /e /r /s</v>
      </c>
      <c r="AG157" s="1" t="str">
        <f t="shared" si="63"/>
        <v>EC</v>
      </c>
      <c r="AH157" s="92" t="str">
        <f t="shared" si="64"/>
        <v>"%USERPROFILE%\Documents\GitHub\eaglep3\Utilities\RefineRTDCRunTimes.py" --tripid 244-02 --locoid 4010 --swversion DE.1.0.8.0 --startMP 204:232690 --initTime 2016-12-03T01:20:56 --startdatetime 2016-12-03T01:26:44 --delay 1 --endMP 204:169 --enddatetime 2016-12-03T02:03:10 --enforcementcount 0 &gt;&gt;C:\Users\stu\Documents\GitHub\eaglep3-reporting\EC\2016-12-02-refined-times.txt</v>
      </c>
      <c r="AI157" s="119" t="str">
        <f t="shared" si="65"/>
        <v>echo {"issue":{"subject":"","project_id":79,"tracker_id":40,"status_id":1,"priority_id":2,"assigned_to_id":23,"start_date":"2016-12-03","description":"","custom_fields":[{"id":1,"name":"Subdivision","value":"EC"},{"id":4,"name":"Milepost","value":"0.0169"},{"id":17,"name":"Train ID","value":"244-02"},{"id":16,"name":"Locomotive ID","value":"4010"},{"id":130,"name":"Impact","value":""},{"id":150,"name":"Time of Event (Mountain Time)","value":"02:03:10"},{"id":151,"name":"Denver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661</v>
      </c>
      <c r="B158" s="7">
        <v>4044</v>
      </c>
      <c r="C158" s="22" t="s">
        <v>210</v>
      </c>
      <c r="D158" s="22" t="s">
        <v>754</v>
      </c>
      <c r="E158" s="13">
        <v>42707.034398148149</v>
      </c>
      <c r="F158" s="13">
        <v>42707.041863425926</v>
      </c>
      <c r="G158" s="7">
        <v>1</v>
      </c>
      <c r="H158" s="22" t="s">
        <v>755</v>
      </c>
      <c r="I158" s="13">
        <v>42707.066701388889</v>
      </c>
      <c r="J158" s="7">
        <v>0</v>
      </c>
      <c r="K158" s="109" t="str">
        <f t="shared" si="54"/>
        <v>4043/4044</v>
      </c>
      <c r="L158" s="22" t="str">
        <f>VLOOKUP(A158,'Trips&amp;Operators'!$C$1:$G$99999,5,FALSE)</f>
        <v>LEVIN SCOTT</v>
      </c>
      <c r="M158" s="6">
        <f t="shared" si="55"/>
        <v>2.4837962962919846E-2</v>
      </c>
      <c r="N158" s="7">
        <f t="shared" si="72"/>
        <v>35.766666666604578</v>
      </c>
      <c r="O158" s="7"/>
      <c r="P158" s="7"/>
      <c r="Q158" s="23"/>
      <c r="R158" s="23"/>
      <c r="S158" s="35">
        <f t="shared" si="73"/>
        <v>1</v>
      </c>
      <c r="T158" s="50" t="str">
        <f t="shared" si="56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23:49:32-700',mode:absolute,to:'2016-12-03 02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8" s="52" t="str">
        <f t="shared" si="58"/>
        <v>N</v>
      </c>
      <c r="X158" s="177">
        <f t="shared" si="71"/>
        <v>1</v>
      </c>
      <c r="Y158" s="67">
        <f t="shared" si="50"/>
        <v>7.2599999999999998E-2</v>
      </c>
      <c r="Z158" s="67">
        <f t="shared" si="51"/>
        <v>23.3353</v>
      </c>
      <c r="AA158" s="67">
        <f t="shared" si="59"/>
        <v>23.262699999999999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60"/>
        <v>0245-02</v>
      </c>
      <c r="AE158" s="91" t="str">
        <f t="shared" si="61"/>
        <v>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 &amp; 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</v>
      </c>
      <c r="AF158" s="88" t="str">
        <f t="shared" si="62"/>
        <v>"C:\Program Files (x86)\AstroGrep\AstroGrep.exe" /spath="%USERPROFILE%\AppData\Local\Temp\OnboardLogs" /stypes="app*4044*20161203*" /stext=" 08:.+((SYSTEM_STATE.+slice.+state.+changed )|(ment ac)|(multiple cpu faults)|(system.+state.+changed )|(\[timeout)|(PRM\|1\|D)|(kpr)|(kdp)|(\|lc)|(penalty))" /e /r /s</v>
      </c>
      <c r="AG158" s="1" t="str">
        <f t="shared" si="63"/>
        <v>EC</v>
      </c>
      <c r="AH158" s="92" t="str">
        <f t="shared" si="64"/>
        <v>"%USERPROFILE%\Documents\GitHub\eaglep3\Utilities\RefineRTDCRunTimes.py" --tripid 245-02 --locoid 4044 --swversion DE.1.0.8.0 --startMP 204:726 --initTime 2016-12-03T00:49:32 --startdatetime 2016-12-03T01:00:17 --delay 1 --endMP 204:233353 --enddatetime 2016-12-03T01:36:03 --enforcementcount 0 &gt;&gt;C:\Users\stu\Documents\GitHub\eaglep3-reporting\EC\2016-12-02-refined-times.txt</v>
      </c>
      <c r="AI158" s="119" t="str">
        <f t="shared" si="65"/>
        <v>echo {"issue":{"subject":"","project_id":79,"tracker_id":40,"status_id":1,"priority_id":2,"assigned_to_id":23,"start_date":"2016-12-03","description":"","custom_fields":[{"id":1,"name":"Subdivision","value":"EC"},{"id":4,"name":"Milepost","value":"23.3353"},{"id":17,"name":"Train ID","value":"245-02"},{"id":16,"name":"Locomotive ID","value":"4044"},{"id":130,"name":"Impact","value":""},{"id":150,"name":"Time of Event (Mountain Time)","value":"01:36:03"},{"id":151,"name":"Denver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664</v>
      </c>
      <c r="B159" s="7">
        <v>4019</v>
      </c>
      <c r="C159" s="22" t="s">
        <v>210</v>
      </c>
      <c r="D159" s="22" t="s">
        <v>756</v>
      </c>
      <c r="E159" s="13">
        <v>42707.078217592592</v>
      </c>
      <c r="F159" s="13">
        <v>42707.081111111111</v>
      </c>
      <c r="G159" s="7">
        <v>1</v>
      </c>
      <c r="H159" s="22" t="s">
        <v>689</v>
      </c>
      <c r="I159" s="13">
        <v>42707.10665509259</v>
      </c>
      <c r="J159" s="7">
        <v>0</v>
      </c>
      <c r="K159" s="109" t="str">
        <f t="shared" si="54"/>
        <v>4019/4020</v>
      </c>
      <c r="L159" s="22" t="str">
        <f>VLOOKUP(A159,'Trips&amp;Operators'!$C$1:$G$99999,5,FALSE)</f>
        <v>LEVIN SCOTT</v>
      </c>
      <c r="M159" s="6">
        <f t="shared" si="55"/>
        <v>2.5543981479131617E-2</v>
      </c>
      <c r="N159" s="7">
        <f t="shared" si="72"/>
        <v>36.783333329949528</v>
      </c>
      <c r="O159" s="7"/>
      <c r="P159" s="7"/>
      <c r="Q159" s="23"/>
      <c r="R159" s="23"/>
      <c r="S159" s="35">
        <f t="shared" si="73"/>
        <v>1</v>
      </c>
      <c r="T159" s="50" t="str">
        <f t="shared" si="56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https://search-rtdc-monitor-bjffxe2xuh6vdkpspy63sjmuny.us-east-1.es.amazonaws.com/_plugin/kibana/#/discover/Steve-Slow-Train-Analysis-(2080s-and-2083s)?_g=(refreshInterval:(display:Off,section:0,value:0),time:(from:'2016-12-03 00:52:38-700',mode:absolute,to:'2016-12-03 03:33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9" s="52" t="str">
        <f t="shared" si="58"/>
        <v>N</v>
      </c>
      <c r="X159" s="177">
        <f t="shared" si="71"/>
        <v>1</v>
      </c>
      <c r="Y159" s="67">
        <f t="shared" si="50"/>
        <v>23.272300000000001</v>
      </c>
      <c r="Z159" s="67">
        <f t="shared" si="51"/>
        <v>1.34E-2</v>
      </c>
      <c r="AA159" s="67">
        <f t="shared" si="59"/>
        <v>23.258900000000001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60"/>
        <v>0246-02</v>
      </c>
      <c r="AE159" s="91" t="str">
        <f t="shared" si="61"/>
        <v>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 &amp; 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</v>
      </c>
      <c r="AF159" s="88" t="str">
        <f t="shared" si="62"/>
        <v>"C:\Program Files (x86)\AstroGrep\AstroGrep.exe" /spath="%USERPROFILE%\AppData\Local\Temp\OnboardLogs" /stypes="app*4019*20161203*" /stext=" 09:.+((SYSTEM_STATE.+slice.+state.+changed )|(ment ac)|(multiple cpu faults)|(system.+state.+changed )|(\[timeout)|(PRM\|1\|D)|(kpr)|(kdp)|(\|lc)|(penalty))" /e /r /s</v>
      </c>
      <c r="AG159" s="1" t="str">
        <f t="shared" si="63"/>
        <v>EC</v>
      </c>
      <c r="AH159" s="92" t="str">
        <f t="shared" si="64"/>
        <v>"%USERPROFILE%\Documents\GitHub\eaglep3\Utilities\RefineRTDCRunTimes.py" --tripid 246-02 --locoid 4019 --swversion DE.1.0.8.0 --startMP 204:232723 --initTime 2016-12-03T01:52:38 --startdatetime 2016-12-03T01:56:48 --delay 1 --endMP 204:134 --enddatetime 2016-12-03T02:33:35 --enforcementcount 0 &gt;&gt;C:\Users\stu\Documents\GitHub\eaglep3-reporting\EC\2016-12-02-refined-times.txt</v>
      </c>
      <c r="AI159" s="119" t="str">
        <f t="shared" si="65"/>
        <v>echo {"issue":{"subject":"","project_id":79,"tracker_id":40,"status_id":1,"priority_id":2,"assigned_to_id":23,"start_date":"2016-12-03","description":"","custom_fields":[{"id":1,"name":"Subdivision","value":"EC"},{"id":4,"name":"Milepost","value":"0.0134"},{"id":17,"name":"Train ID","value":"246-02"},{"id":16,"name":"Locomotive ID","value":"4019"},{"id":130,"name":"Impact","value":""},{"id":150,"name":"Time of Event (Mountain Time)","value":"02:33:35"},{"id":151,"name":"Denver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485</v>
      </c>
      <c r="B160" s="7">
        <v>4015</v>
      </c>
      <c r="C160" s="22" t="s">
        <v>210</v>
      </c>
      <c r="D160" s="22" t="s">
        <v>419</v>
      </c>
      <c r="E160" s="13">
        <v>42706.214675925927</v>
      </c>
      <c r="F160" s="13">
        <v>42706.216840277775</v>
      </c>
      <c r="G160" s="7">
        <v>2</v>
      </c>
      <c r="H160" s="22" t="s">
        <v>427</v>
      </c>
      <c r="I160" s="13">
        <v>42706.226782407408</v>
      </c>
      <c r="J160" s="7">
        <v>0</v>
      </c>
      <c r="K160" s="109" t="str">
        <f t="shared" si="54"/>
        <v>4015/4016</v>
      </c>
      <c r="L160" s="22" t="str">
        <f>VLOOKUP(A160,'Trips&amp;Operators'!$C$1:$G$99999,5,FALSE)</f>
        <v>STRICKLAND EVAN</v>
      </c>
      <c r="M160" s="6">
        <f t="shared" si="55"/>
        <v>9.9421296326909214E-3</v>
      </c>
      <c r="N160" s="7">
        <f t="shared" si="72"/>
        <v>14.316666671074927</v>
      </c>
      <c r="O160" s="7"/>
      <c r="P160" s="7"/>
      <c r="Q160" s="23"/>
      <c r="R160" s="23"/>
      <c r="S160" s="35">
        <f t="shared" si="73"/>
        <v>1</v>
      </c>
      <c r="T160" s="50" t="str">
        <f t="shared" si="56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04:09:08-700',mode:absolute,to:'2016-12-02 06:26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0" s="52" t="str">
        <f t="shared" si="58"/>
        <v>N</v>
      </c>
      <c r="X160" s="177">
        <f t="shared" si="71"/>
        <v>554</v>
      </c>
      <c r="Y160" s="67">
        <f t="shared" si="50"/>
        <v>5.8616999999999999</v>
      </c>
      <c r="Z160" s="67">
        <f t="shared" si="51"/>
        <v>7.5399999999999995E-2</v>
      </c>
      <c r="AA160" s="67">
        <f t="shared" si="59"/>
        <v>5.7862999999999998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60"/>
        <v>0800-02</v>
      </c>
      <c r="AE160" s="91" t="str">
        <f t="shared" si="61"/>
        <v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v>
      </c>
      <c r="AF160" s="88" t="str">
        <f t="shared" si="62"/>
        <v>"C:\Program Files (x86)\AstroGrep\AstroGrep.exe" /spath="%USERPROFILE%\AppData\Local\Temp\OnboardLogs" /stypes="app*4015*20161202*" /stext=" 12:.+((SYSTEM_STATE.+slice.+state.+changed )|(ment ac)|(multiple cpu faults)|(system.+state.+changed )|(\[timeout)|(PRM\|1\|D)|(kpr)|(kdp)|(\|lc)|(penalty))" /e /r /s</v>
      </c>
      <c r="AG160" s="1" t="str">
        <f t="shared" si="63"/>
        <v>NW</v>
      </c>
      <c r="AH160" s="92" t="str">
        <f t="shared" si="64"/>
        <v>"%USERPROFILE%\Documents\GitHub\eaglep3\Utilities\RefineRTDCRunTimes.py" --tripid 800-02 --locoid 4015 --swversion DE.1.0.8.0 --startMP 300:58617 --initTime 2016-12-02T05:09:08 --startdatetime 2016-12-02T05:12:15 --delay 2 --endMP 204:754 --enddatetime 2016-12-02T05:26:34 --enforcementcount 0 &gt;&gt;C:\Users\stu\Documents\GitHub\eaglep3-reporting\EC\2016-12-02-refined-times.txt</v>
      </c>
      <c r="AI160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{"issue":{"subject":"","project_id":79,"tracker_id":40,"status_id":1,"priority_id":2,"assigned_to_id":23,"start_date":"2016-12-02","description":"","custom_fields":[{"id":1,"name":"Subdivision","value":"NW"},{"id":4,"name":"Milepost","value":"0.0754"},{"id":17,"name":"Train ID","value":"800-02"},{"id":16,"name":"Locomotive ID","value":"4015"},{"id":130,"name":"Impact","value":""},{"id":150,"name":"Time of Event (Mountain Time)","value":"05:26:34"},{"id":151,"name":"Denver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488</v>
      </c>
      <c r="B161" s="7">
        <v>4016</v>
      </c>
      <c r="C161" s="22" t="s">
        <v>210</v>
      </c>
      <c r="D161" s="22" t="s">
        <v>786</v>
      </c>
      <c r="E161" s="13">
        <v>42706.232048611113</v>
      </c>
      <c r="F161" s="13">
        <v>42706.244016203702</v>
      </c>
      <c r="G161" s="7">
        <v>1</v>
      </c>
      <c r="H161" s="22" t="s">
        <v>787</v>
      </c>
      <c r="I161" s="13">
        <v>42706.254594907405</v>
      </c>
      <c r="J161" s="7">
        <v>0</v>
      </c>
      <c r="K161" s="109" t="str">
        <f t="shared" si="54"/>
        <v>4015/4016</v>
      </c>
      <c r="L161" s="22" t="str">
        <f>VLOOKUP(A161,'Trips&amp;Operators'!$C$1:$G$99999,5,FALSE)</f>
        <v>STRICKLAND EVAN</v>
      </c>
      <c r="M161" s="6">
        <f t="shared" si="55"/>
        <v>1.0578703702776693E-2</v>
      </c>
      <c r="N161" s="7">
        <f t="shared" si="72"/>
        <v>15.233333331998438</v>
      </c>
      <c r="O161" s="7"/>
      <c r="P161" s="7"/>
      <c r="Q161" s="23"/>
      <c r="R161" s="23"/>
      <c r="S161" s="35">
        <f t="shared" si="73"/>
        <v>1</v>
      </c>
      <c r="T161" s="50" t="str">
        <f t="shared" si="56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04:34:09-700',mode:absolute,to:'2016-12-02 07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1" s="52" t="str">
        <f t="shared" si="58"/>
        <v>N</v>
      </c>
      <c r="X161" s="177">
        <f t="shared" si="71"/>
        <v>1</v>
      </c>
      <c r="Y161" s="67">
        <f t="shared" si="50"/>
        <v>0.1055</v>
      </c>
      <c r="Z161" s="67">
        <f t="shared" si="51"/>
        <v>5.8939000000000004</v>
      </c>
      <c r="AA161" s="67">
        <f t="shared" si="59"/>
        <v>5.7884000000000002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60"/>
        <v>0801-02</v>
      </c>
      <c r="AE161" s="91" t="str">
        <f t="shared" si="61"/>
        <v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v>
      </c>
      <c r="AF161" s="88" t="str">
        <f t="shared" si="62"/>
        <v>"C:\Program Files (x86)\AstroGrep\AstroGrep.exe" /spath="%USERPROFILE%\AppData\Local\Temp\OnboardLogs" /stypes="app*4016*20161202*" /stext=" 13:.+((SYSTEM_STATE.+slice.+state.+changed )|(ment ac)|(multiple cpu faults)|(system.+state.+changed )|(\[timeout)|(PRM\|1\|D)|(kpr)|(kdp)|(\|lc)|(penalty))" /e /r /s</v>
      </c>
      <c r="AG161" s="1" t="str">
        <f t="shared" si="63"/>
        <v>NW</v>
      </c>
      <c r="AH161" s="92" t="str">
        <f t="shared" si="64"/>
        <v>"%USERPROFILE%\Documents\GitHub\eaglep3\Utilities\RefineRTDCRunTimes.py" --tripid 801-02 --locoid 4016 --swversion DE.1.0.8.0 --startMP 204:1055 --initTime 2016-12-02T05:34:09 --startdatetime 2016-12-02T05:51:23 --delay 1 --endMP 300:58939 --enddatetime 2016-12-02T06:06:37 --enforcementcount 0 &gt;&gt;C:\Users\stu\Documents\GitHub\eaglep3-reporting\EC\2016-12-02-refined-times.txt</v>
      </c>
      <c r="AI161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{"issue":{"subject":"","project_id":79,"tracker_id":40,"status_id":1,"priority_id":2,"assigned_to_id":23,"start_date":"2016-12-02","description":"","custom_fields":[{"id":1,"name":"Subdivision","value":"NW"},{"id":4,"name":"Milepost","value":"5.8939"},{"id":17,"name":"Train ID","value":"801-02"},{"id":16,"name":"Locomotive ID","value":"4016"},{"id":130,"name":"Impact","value":""},{"id":150,"name":"Time of Event (Mountain Time)","value":"06:06:37"},{"id":151,"name":"Denver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495</v>
      </c>
      <c r="B162" s="7">
        <v>4015</v>
      </c>
      <c r="C162" s="22" t="s">
        <v>210</v>
      </c>
      <c r="D162" s="22" t="s">
        <v>429</v>
      </c>
      <c r="E162" s="13">
        <v>42706.25545138889</v>
      </c>
      <c r="F162" s="13">
        <v>42706.256712962961</v>
      </c>
      <c r="G162" s="7">
        <v>1</v>
      </c>
      <c r="H162" s="22" t="s">
        <v>788</v>
      </c>
      <c r="I162" s="13">
        <v>42706.27008101852</v>
      </c>
      <c r="J162" s="7">
        <v>0</v>
      </c>
      <c r="K162" s="109" t="str">
        <f t="shared" si="54"/>
        <v>4015/4016</v>
      </c>
      <c r="L162" s="22" t="str">
        <f>VLOOKUP(A162,'Trips&amp;Operators'!$C$1:$G$99999,5,FALSE)</f>
        <v>STRICKLAND EVAN</v>
      </c>
      <c r="M162" s="6">
        <f t="shared" si="55"/>
        <v>1.336805555911269E-2</v>
      </c>
      <c r="N162" s="7">
        <f t="shared" si="72"/>
        <v>19.250000005122274</v>
      </c>
      <c r="O162" s="7"/>
      <c r="P162" s="7"/>
      <c r="Q162" s="23"/>
      <c r="R162" s="23"/>
      <c r="S162" s="35">
        <f t="shared" si="73"/>
        <v>1</v>
      </c>
      <c r="T162" s="50" t="str">
        <f t="shared" si="56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05:07:51-700',mode:absolute,to:'2016-12-02 07:28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2" s="52" t="str">
        <f t="shared" si="58"/>
        <v>N</v>
      </c>
      <c r="X162" s="177">
        <f t="shared" si="71"/>
        <v>1</v>
      </c>
      <c r="Y162" s="67">
        <f t="shared" si="50"/>
        <v>5.8620999999999999</v>
      </c>
      <c r="Z162" s="67">
        <f t="shared" si="51"/>
        <v>7.1900000000000006E-2</v>
      </c>
      <c r="AA162" s="67">
        <f t="shared" si="59"/>
        <v>5.7901999999999996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60"/>
        <v>0802-02</v>
      </c>
      <c r="AE162" s="91" t="str">
        <f t="shared" si="61"/>
        <v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v>
      </c>
      <c r="AF162" s="88" t="str">
        <f t="shared" si="62"/>
        <v>"C:\Program Files (x86)\AstroGrep\AstroGrep.exe" /spath="%USERPROFILE%\AppData\Local\Temp\OnboardLogs" /stypes="app*4015*20161202*" /stext=" 13:.+((SYSTEM_STATE.+slice.+state.+changed )|(ment ac)|(multiple cpu faults)|(system.+state.+changed )|(\[timeout)|(PRM\|1\|D)|(kpr)|(kdp)|(\|lc)|(penalty))" /e /r /s</v>
      </c>
      <c r="AG162" s="1" t="str">
        <f t="shared" si="63"/>
        <v>NW</v>
      </c>
      <c r="AH162" s="92" t="str">
        <f t="shared" si="64"/>
        <v>"%USERPROFILE%\Documents\GitHub\eaglep3\Utilities\RefineRTDCRunTimes.py" --tripid 802-02 --locoid 4015 --swversion DE.1.0.8.0 --startMP 300:58621 --initTime 2016-12-02T06:07:51 --startdatetime 2016-12-02T06:09:40 --delay 1 --endMP 204:719 --enddatetime 2016-12-02T06:28:55 --enforcementcount 0 &gt;&gt;C:\Users\stu\Documents\GitHub\eaglep3-reporting\EC\2016-12-02-refined-times.txt</v>
      </c>
      <c r="AI162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{"issue":{"subject":"","project_id":79,"tracker_id":40,"status_id":1,"priority_id":2,"assigned_to_id":23,"start_date":"2016-12-02","description":"","custom_fields":[{"id":1,"name":"Subdivision","value":"NW"},{"id":4,"name":"Milepost","value":"0.0719"},{"id":17,"name":"Train ID","value":"802-02"},{"id":16,"name":"Locomotive ID","value":"4015"},{"id":130,"name":"Impact","value":""},{"id":150,"name":"Time of Event (Mountain Time)","value":"06:28:55"},{"id":151,"name":"Denver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433</v>
      </c>
      <c r="B163" s="7">
        <v>4040</v>
      </c>
      <c r="C163" s="22" t="s">
        <v>210</v>
      </c>
      <c r="D163" s="22" t="s">
        <v>789</v>
      </c>
      <c r="E163" s="13">
        <v>42706.264722222222</v>
      </c>
      <c r="F163" s="13">
        <v>42706.266550925924</v>
      </c>
      <c r="G163" s="7">
        <v>2</v>
      </c>
      <c r="H163" s="22" t="s">
        <v>790</v>
      </c>
      <c r="I163" s="13">
        <v>42706.275763888887</v>
      </c>
      <c r="J163" s="7">
        <v>0</v>
      </c>
      <c r="K163" s="109" t="str">
        <f t="shared" si="54"/>
        <v>4039/4040</v>
      </c>
      <c r="L163" s="22" t="str">
        <f>VLOOKUP(A163,'Trips&amp;Operators'!$C$1:$G$99999,5,FALSE)</f>
        <v>YORK EDGAR</v>
      </c>
      <c r="M163" s="6">
        <f t="shared" si="55"/>
        <v>9.2129629629198462E-3</v>
      </c>
      <c r="N163" s="7">
        <f t="shared" si="72"/>
        <v>13.266666666604578</v>
      </c>
      <c r="O163" s="7"/>
      <c r="P163" s="7"/>
      <c r="Q163" s="23"/>
      <c r="R163" s="23"/>
      <c r="S163" s="35">
        <f t="shared" si="73"/>
        <v>1</v>
      </c>
      <c r="T163" s="50" t="str">
        <f t="shared" si="56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05:21:12-700',mode:absolute,to:'2016-12-02 07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3" s="52" t="str">
        <f t="shared" si="58"/>
        <v>N</v>
      </c>
      <c r="X163" s="177">
        <f t="shared" si="71"/>
        <v>1</v>
      </c>
      <c r="Y163" s="67">
        <f t="shared" si="50"/>
        <v>0.1032</v>
      </c>
      <c r="Z163" s="67">
        <f t="shared" si="51"/>
        <v>5.8920000000000003</v>
      </c>
      <c r="AA163" s="67">
        <f t="shared" si="59"/>
        <v>5.7888000000000002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60"/>
        <v>0803-02</v>
      </c>
      <c r="AE163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63" s="88" t="str">
        <f t="shared" si="62"/>
        <v>"C:\Program Files (x86)\AstroGrep\AstroGrep.exe" /spath="%USERPROFILE%\AppData\Local\Temp\OnboardLogs" /stypes="app*4040*20161202*" /stext=" 13:.+((SYSTEM_STATE.+slice.+state.+changed )|(ment ac)|(multiple cpu faults)|(system.+state.+changed )|(\[timeout)|(PRM\|1\|D)|(kpr)|(kdp)|(\|lc)|(penalty))" /e /r /s</v>
      </c>
      <c r="AG163" s="1" t="str">
        <f t="shared" si="63"/>
        <v>NW</v>
      </c>
      <c r="AH163" s="92" t="str">
        <f t="shared" si="64"/>
        <v>"%USERPROFILE%\Documents\GitHub\eaglep3\Utilities\RefineRTDCRunTimes.py" --tripid 803-02 --locoid 4040 --swversion DE.1.0.8.0 --startMP 204:1032 --initTime 2016-12-02T06:21:12 --startdatetime 2016-12-02T06:23:50 --delay 2 --endMP 300:58920 --enddatetime 2016-12-02T06:37:06 --enforcementcount 0 &gt;&gt;C:\Users\stu\Documents\GitHub\eaglep3-reporting\EC\2016-12-02-refined-times.txt</v>
      </c>
      <c r="AI163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{"issue":{"subject":"","project_id":79,"tracker_id":40,"status_id":1,"priority_id":2,"assigned_to_id":23,"start_date":"2016-12-02","description":"","custom_fields":[{"id":1,"name":"Subdivision","value":"NW"},{"id":4,"name":"Milepost","value":"5.892"},{"id":17,"name":"Train ID","value":"803-02"},{"id":16,"name":"Locomotive ID","value":"4040"},{"id":130,"name":"Impact","value":""},{"id":150,"name":"Time of Event (Mountain Time)","value":"06:37:06"},{"id":151,"name":"Denver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434</v>
      </c>
      <c r="B164" s="7">
        <v>4039</v>
      </c>
      <c r="C164" s="22" t="s">
        <v>210</v>
      </c>
      <c r="D164" s="22" t="s">
        <v>791</v>
      </c>
      <c r="E164" s="13">
        <v>42706.277511574073</v>
      </c>
      <c r="F164" s="13">
        <v>42706.279027777775</v>
      </c>
      <c r="G164" s="7">
        <v>1</v>
      </c>
      <c r="H164" s="22" t="s">
        <v>416</v>
      </c>
      <c r="I164" s="13">
        <v>42706.290243055555</v>
      </c>
      <c r="J164" s="7">
        <v>0</v>
      </c>
      <c r="K164" s="109" t="str">
        <f t="shared" si="54"/>
        <v>4039/4040</v>
      </c>
      <c r="L164" s="22" t="str">
        <f>VLOOKUP(A164,'Trips&amp;Operators'!$C$1:$G$99999,5,FALSE)</f>
        <v>YORK EDGAR</v>
      </c>
      <c r="M164" s="6">
        <f t="shared" si="55"/>
        <v>1.1215277780138422E-2</v>
      </c>
      <c r="N164" s="7">
        <f t="shared" si="72"/>
        <v>16.150000003399327</v>
      </c>
      <c r="O164" s="7"/>
      <c r="P164" s="7"/>
      <c r="Q164" s="23"/>
      <c r="R164" s="23"/>
      <c r="S164" s="35">
        <f t="shared" si="73"/>
        <v>1</v>
      </c>
      <c r="T164" s="50" t="str">
        <f t="shared" si="56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05:39:37-700',mode:absolute,to:'2016-12-02 07:57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4" s="52" t="str">
        <f t="shared" si="58"/>
        <v>N</v>
      </c>
      <c r="X164" s="177">
        <f t="shared" si="71"/>
        <v>1</v>
      </c>
      <c r="Y164" s="67">
        <f t="shared" si="50"/>
        <v>5.86</v>
      </c>
      <c r="Z164" s="67">
        <f t="shared" si="51"/>
        <v>7.4300000000000005E-2</v>
      </c>
      <c r="AA164" s="67">
        <f t="shared" si="59"/>
        <v>5.7857000000000003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60"/>
        <v>0804-02</v>
      </c>
      <c r="AE164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64" s="88" t="str">
        <f t="shared" si="62"/>
        <v>"C:\Program Files (x86)\AstroGrep\AstroGrep.exe" /spath="%USERPROFILE%\AppData\Local\Temp\OnboardLogs" /stypes="app*4039*20161202*" /stext=" 13:.+((SYSTEM_STATE.+slice.+state.+changed )|(ment ac)|(multiple cpu faults)|(system.+state.+changed )|(\[timeout)|(PRM\|1\|D)|(kpr)|(kdp)|(\|lc)|(penalty))" /e /r /s</v>
      </c>
      <c r="AG164" s="1" t="str">
        <f t="shared" si="63"/>
        <v>NW</v>
      </c>
      <c r="AH164" s="92" t="str">
        <f t="shared" si="64"/>
        <v>"%USERPROFILE%\Documents\GitHub\eaglep3\Utilities\RefineRTDCRunTimes.py" --tripid 804-02 --locoid 4039 --swversion DE.1.0.8.0 --startMP 300:58600 --initTime 2016-12-02T06:39:37 --startdatetime 2016-12-02T06:41:48 --delay 1 --endMP 204:743 --enddatetime 2016-12-02T06:57:57 --enforcementcount 0 &gt;&gt;C:\Users\stu\Documents\GitHub\eaglep3-reporting\EC\2016-12-02-refined-times.txt</v>
      </c>
      <c r="AI164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{"issue":{"subject":"","project_id":79,"tracker_id":40,"status_id":1,"priority_id":2,"assigned_to_id":23,"start_date":"2016-12-02","description":"","custom_fields":[{"id":1,"name":"Subdivision","value":"NW"},{"id":4,"name":"Milepost","value":"0.0743"},{"id":17,"name":"Train ID","value":"804-02"},{"id":16,"name":"Locomotive ID","value":"4039"},{"id":130,"name":"Impact","value":""},{"id":150,"name":"Time of Event (Mountain Time)","value":"06:57:57"},{"id":151,"name":"Denver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499</v>
      </c>
      <c r="B165" s="7">
        <v>4016</v>
      </c>
      <c r="C165" s="22" t="s">
        <v>210</v>
      </c>
      <c r="D165" s="22" t="s">
        <v>792</v>
      </c>
      <c r="E165" s="13">
        <v>42706.275127314817</v>
      </c>
      <c r="F165" s="13">
        <v>42706.285729166666</v>
      </c>
      <c r="G165" s="7">
        <v>1</v>
      </c>
      <c r="H165" s="22" t="s">
        <v>793</v>
      </c>
      <c r="I165" s="13">
        <v>42706.295856481483</v>
      </c>
      <c r="J165" s="7">
        <v>0</v>
      </c>
      <c r="K165" s="109" t="str">
        <f t="shared" si="54"/>
        <v>4015/4016</v>
      </c>
      <c r="L165" s="22" t="str">
        <f>VLOOKUP(A165,'Trips&amp;Operators'!$C$1:$G$99999,5,FALSE)</f>
        <v>STRICKLAND EVAN</v>
      </c>
      <c r="M165" s="6">
        <f t="shared" si="55"/>
        <v>1.0127314817509614E-2</v>
      </c>
      <c r="N165" s="7">
        <f t="shared" si="72"/>
        <v>14.583333337213844</v>
      </c>
      <c r="O165" s="7"/>
      <c r="P165" s="7"/>
      <c r="Q165" s="23"/>
      <c r="R165" s="23"/>
      <c r="S165" s="35">
        <f t="shared" si="73"/>
        <v>1</v>
      </c>
      <c r="T165" s="50" t="str">
        <f t="shared" si="56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05:36:11-700',mode:absolute,to:'2016-12-02 08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5" s="52" t="str">
        <f t="shared" si="58"/>
        <v>N</v>
      </c>
      <c r="X165" s="177">
        <f t="shared" si="71"/>
        <v>1</v>
      </c>
      <c r="Y165" s="67">
        <f t="shared" si="50"/>
        <v>0.10390000000000001</v>
      </c>
      <c r="Z165" s="67">
        <f t="shared" si="51"/>
        <v>5.8948</v>
      </c>
      <c r="AA165" s="67">
        <f t="shared" si="59"/>
        <v>5.7908999999999997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60"/>
        <v>0805-02</v>
      </c>
      <c r="AE165" s="91" t="str">
        <f t="shared" si="61"/>
        <v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v>
      </c>
      <c r="AF165" s="88" t="str">
        <f t="shared" si="62"/>
        <v>"C:\Program Files (x86)\AstroGrep\AstroGrep.exe" /spath="%USERPROFILE%\AppData\Local\Temp\OnboardLogs" /stypes="app*4016*20161202*" /stext=" 14:.+((SYSTEM_STATE.+slice.+state.+changed )|(ment ac)|(multiple cpu faults)|(system.+state.+changed )|(\[timeout)|(PRM\|1\|D)|(kpr)|(kdp)|(\|lc)|(penalty))" /e /r /s</v>
      </c>
      <c r="AG165" s="1" t="str">
        <f t="shared" si="63"/>
        <v>NW</v>
      </c>
      <c r="AH165" s="92" t="str">
        <f t="shared" si="64"/>
        <v>"%USERPROFILE%\Documents\GitHub\eaglep3\Utilities\RefineRTDCRunTimes.py" --tripid 805-02 --locoid 4016 --swversion DE.1.0.8.0 --startMP 204:1039 --initTime 2016-12-02T06:36:11 --startdatetime 2016-12-02T06:51:27 --delay 1 --endMP 300:58948 --enddatetime 2016-12-02T07:06:02 --enforcementcount 0 &gt;&gt;C:\Users\stu\Documents\GitHub\eaglep3-reporting\EC\2016-12-02-refined-times.txt</v>
      </c>
      <c r="AI165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{"issue":{"subject":"","project_id":79,"tracker_id":40,"status_id":1,"priority_id":2,"assigned_to_id":23,"start_date":"2016-12-02","description":"","custom_fields":[{"id":1,"name":"Subdivision","value":"NW"},{"id":4,"name":"Milepost","value":"5.8948"},{"id":17,"name":"Train ID","value":"805-02"},{"id":16,"name":"Locomotive ID","value":"4016"},{"id":130,"name":"Impact","value":""},{"id":150,"name":"Time of Event (Mountain Time)","value":"07:06:02"},{"id":151,"name":"Denver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435</v>
      </c>
      <c r="B166" s="7">
        <v>4015</v>
      </c>
      <c r="C166" s="22" t="s">
        <v>210</v>
      </c>
      <c r="D166" s="22" t="s">
        <v>312</v>
      </c>
      <c r="E166" s="13">
        <v>42706.296747685185</v>
      </c>
      <c r="F166" s="13">
        <v>42706.298101851855</v>
      </c>
      <c r="G166" s="7">
        <v>1</v>
      </c>
      <c r="H166" s="22" t="s">
        <v>794</v>
      </c>
      <c r="I166" s="13">
        <v>42706.310763888891</v>
      </c>
      <c r="J166" s="7">
        <v>0</v>
      </c>
      <c r="K166" s="109" t="str">
        <f t="shared" si="54"/>
        <v>4015/4016</v>
      </c>
      <c r="L166" s="22" t="str">
        <f>VLOOKUP(A166,'Trips&amp;Operators'!$C$1:$G$99999,5,FALSE)</f>
        <v>STRICKLAND EVAN</v>
      </c>
      <c r="M166" s="6">
        <f t="shared" si="55"/>
        <v>1.2662037035624962E-2</v>
      </c>
      <c r="N166" s="7">
        <f t="shared" si="72"/>
        <v>18.233333331299946</v>
      </c>
      <c r="O166" s="7"/>
      <c r="P166" s="7"/>
      <c r="Q166" s="23"/>
      <c r="R166" s="23"/>
      <c r="S166" s="35">
        <f t="shared" si="73"/>
        <v>1</v>
      </c>
      <c r="T166" s="50" t="str">
        <f t="shared" si="56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06:07:19-700',mode:absolute,to:'2016-12-02 08:27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6" s="52" t="str">
        <f t="shared" si="58"/>
        <v>N</v>
      </c>
      <c r="X166" s="177">
        <f t="shared" si="71"/>
        <v>1</v>
      </c>
      <c r="Y166" s="67">
        <f t="shared" si="50"/>
        <v>5.8635999999999999</v>
      </c>
      <c r="Z166" s="67">
        <f t="shared" si="51"/>
        <v>7.6100000000000001E-2</v>
      </c>
      <c r="AA166" s="67">
        <f t="shared" si="59"/>
        <v>5.7874999999999996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60"/>
        <v>0806-02</v>
      </c>
      <c r="AE166" s="91" t="str">
        <f t="shared" si="61"/>
        <v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v>
      </c>
      <c r="AF166" s="88" t="str">
        <f t="shared" si="62"/>
        <v>"C:\Program Files (x86)\AstroGrep\AstroGrep.exe" /spath="%USERPROFILE%\AppData\Local\Temp\OnboardLogs" /stypes="app*4015*20161202*" /stext=" 14:.+((SYSTEM_STATE.+slice.+state.+changed )|(ment ac)|(multiple cpu faults)|(system.+state.+changed )|(\[timeout)|(PRM\|1\|D)|(kpr)|(kdp)|(\|lc)|(penalty))" /e /r /s</v>
      </c>
      <c r="AG166" s="1" t="str">
        <f t="shared" si="63"/>
        <v>NW</v>
      </c>
      <c r="AH166" s="92" t="str">
        <f t="shared" si="64"/>
        <v>"%USERPROFILE%\Documents\GitHub\eaglep3\Utilities\RefineRTDCRunTimes.py" --tripid 806-02 --locoid 4015 --swversion DE.1.0.8.0 --startMP 300:58636 --initTime 2016-12-02T07:07:19 --startdatetime 2016-12-02T07:09:16 --delay 1 --endMP 204:761 --enddatetime 2016-12-02T07:27:30 --enforcementcount 0 &gt;&gt;C:\Users\stu\Documents\GitHub\eaglep3-reporting\EC\2016-12-02-refined-times.txt</v>
      </c>
      <c r="AI166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{"issue":{"subject":"","project_id":79,"tracker_id":40,"status_id":1,"priority_id":2,"assigned_to_id":23,"start_date":"2016-12-02","description":"","custom_fields":[{"id":1,"name":"Subdivision","value":"NW"},{"id":4,"name":"Milepost","value":"0.0761"},{"id":17,"name":"Train ID","value":"806-02"},{"id":16,"name":"Locomotive ID","value":"4015"},{"id":130,"name":"Impact","value":""},{"id":150,"name":"Time of Event (Mountain Time)","value":"07:27:30"},{"id":151,"name":"Denver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503</v>
      </c>
      <c r="B167" s="7">
        <v>4040</v>
      </c>
      <c r="C167" s="22" t="s">
        <v>210</v>
      </c>
      <c r="D167" s="22" t="s">
        <v>795</v>
      </c>
      <c r="E167" s="13">
        <v>42706.291284722225</v>
      </c>
      <c r="F167" s="13">
        <v>42706.306458333333</v>
      </c>
      <c r="G167" s="7">
        <v>1</v>
      </c>
      <c r="H167" s="22" t="s">
        <v>426</v>
      </c>
      <c r="I167" s="13">
        <v>42706.315416666665</v>
      </c>
      <c r="J167" s="7">
        <v>0</v>
      </c>
      <c r="K167" s="109" t="str">
        <f t="shared" si="54"/>
        <v>4039/4040</v>
      </c>
      <c r="L167" s="22" t="str">
        <f>VLOOKUP(A167,'Trips&amp;Operators'!$C$1:$G$99999,5,FALSE)</f>
        <v>YORK EDGAR</v>
      </c>
      <c r="M167" s="6">
        <f t="shared" si="55"/>
        <v>8.9583333319751546E-3</v>
      </c>
      <c r="N167" s="7">
        <f t="shared" si="72"/>
        <v>12.899999998044223</v>
      </c>
      <c r="O167" s="7"/>
      <c r="P167" s="7"/>
      <c r="Q167" s="23"/>
      <c r="R167" s="23"/>
      <c r="S167" s="35">
        <f t="shared" si="73"/>
        <v>1</v>
      </c>
      <c r="T167" s="50" t="str">
        <f t="shared" si="56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05:59:27-700',mode:absolute,to:'2016-12-02 08:34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7" s="52" t="str">
        <f t="shared" si="58"/>
        <v>N</v>
      </c>
      <c r="X167" s="177">
        <f t="shared" si="71"/>
        <v>1</v>
      </c>
      <c r="Y167" s="67">
        <f t="shared" si="50"/>
        <v>0.1016</v>
      </c>
      <c r="Z167" s="67">
        <f t="shared" si="51"/>
        <v>5.8924000000000003</v>
      </c>
      <c r="AA167" s="67">
        <f t="shared" si="59"/>
        <v>5.7907999999999999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60"/>
        <v>0807-02</v>
      </c>
      <c r="AE167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67" s="88" t="str">
        <f t="shared" si="62"/>
        <v>"C:\Program Files (x86)\AstroGrep\AstroGrep.exe" /spath="%USERPROFILE%\AppData\Local\Temp\OnboardLogs" /stypes="app*4040*20161202*" /stext=" 14:.+((SYSTEM_STATE.+slice.+state.+changed )|(ment ac)|(multiple cpu faults)|(system.+state.+changed )|(\[timeout)|(PRM\|1\|D)|(kpr)|(kdp)|(\|lc)|(penalty))" /e /r /s</v>
      </c>
      <c r="AG167" s="1" t="str">
        <f t="shared" si="63"/>
        <v>NW</v>
      </c>
      <c r="AH167" s="92" t="str">
        <f t="shared" si="64"/>
        <v>"%USERPROFILE%\Documents\GitHub\eaglep3\Utilities\RefineRTDCRunTimes.py" --tripid 807-02 --locoid 4040 --swversion DE.1.0.8.0 --startMP 204:1016 --initTime 2016-12-02T06:59:27 --startdatetime 2016-12-02T07:21:18 --delay 1 --endMP 300:58924 --enddatetime 2016-12-02T07:34:12 --enforcementcount 0 &gt;&gt;C:\Users\stu\Documents\GitHub\eaglep3-reporting\EC\2016-12-02-refined-times.txt</v>
      </c>
      <c r="AI167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{"issue":{"subject":"","project_id":79,"tracker_id":40,"status_id":1,"priority_id":2,"assigned_to_id":23,"start_date":"2016-12-02","description":"","custom_fields":[{"id":1,"name":"Subdivision","value":"NW"},{"id":4,"name":"Milepost","value":"5.8924"},{"id":17,"name":"Train ID","value":"807-02"},{"id":16,"name":"Locomotive ID","value":"4040"},{"id":130,"name":"Impact","value":""},{"id":150,"name":"Time of Event (Mountain Time)","value":"07:34:12"},{"id":151,"name":"Denver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x14ac:dyDescent="0.25">
      <c r="A168" s="37" t="s">
        <v>507</v>
      </c>
      <c r="B168" s="7">
        <v>4039</v>
      </c>
      <c r="C168" s="22" t="s">
        <v>210</v>
      </c>
      <c r="D168" s="22" t="s">
        <v>424</v>
      </c>
      <c r="E168" s="13">
        <v>42706.316574074073</v>
      </c>
      <c r="F168" s="13">
        <v>42706.321134259262</v>
      </c>
      <c r="G168" s="7">
        <v>1</v>
      </c>
      <c r="H168" s="22" t="s">
        <v>796</v>
      </c>
      <c r="I168" s="13">
        <v>42706.330543981479</v>
      </c>
      <c r="J168" s="7">
        <v>0</v>
      </c>
      <c r="K168" s="109" t="str">
        <f t="shared" si="54"/>
        <v>4039/4040</v>
      </c>
      <c r="L168" s="22" t="str">
        <f>VLOOKUP(A168,'Trips&amp;Operators'!$C$1:$G$99999,5,FALSE)</f>
        <v>YORK EDGAR</v>
      </c>
      <c r="M168" s="6">
        <f t="shared" si="55"/>
        <v>9.4097222172422335E-3</v>
      </c>
      <c r="N168" s="7">
        <f t="shared" si="72"/>
        <v>13.549999992828816</v>
      </c>
      <c r="O168" s="7"/>
      <c r="P168" s="7"/>
      <c r="Q168" s="23"/>
      <c r="R168" s="23"/>
      <c r="S168" s="35">
        <f t="shared" si="73"/>
        <v>1</v>
      </c>
      <c r="T168" s="50" t="str">
        <f t="shared" si="56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06:35:52-700',mode:absolute,to:'2016-12-02 08:55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8" s="52" t="str">
        <f t="shared" si="58"/>
        <v>N</v>
      </c>
      <c r="X168" s="177">
        <f t="shared" si="71"/>
        <v>1</v>
      </c>
      <c r="Y168" s="67">
        <f t="shared" ref="Y168:Y199" si="74">RIGHT(D168,LEN(D168)-4)/10000</f>
        <v>5.8613</v>
      </c>
      <c r="Z168" s="67">
        <f t="shared" ref="Z168:Z199" si="75">RIGHT(H168,LEN(H168)-4)/10000</f>
        <v>7.2700000000000001E-2</v>
      </c>
      <c r="AA168" s="67">
        <f t="shared" si="59"/>
        <v>5.7885999999999997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60"/>
        <v>0808-02</v>
      </c>
      <c r="AE168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68" s="88" t="str">
        <f t="shared" si="62"/>
        <v>"C:\Program Files (x86)\AstroGrep\AstroGrep.exe" /spath="%USERPROFILE%\AppData\Local\Temp\OnboardLogs" /stypes="app*4039*20161202*" /stext=" 14:.+((SYSTEM_STATE.+slice.+state.+changed )|(ment ac)|(multiple cpu faults)|(system.+state.+changed )|(\[timeout)|(PRM\|1\|D)|(kpr)|(kdp)|(\|lc)|(penalty))" /e /r /s</v>
      </c>
      <c r="AG168" s="1" t="str">
        <f t="shared" si="63"/>
        <v>NW</v>
      </c>
      <c r="AH168" s="92" t="str">
        <f t="shared" si="64"/>
        <v>"%USERPROFILE%\Documents\GitHub\eaglep3\Utilities\RefineRTDCRunTimes.py" --tripid 808-02 --locoid 4039 --swversion DE.1.0.8.0 --startMP 300:58613 --initTime 2016-12-02T07:35:52 --startdatetime 2016-12-02T07:42:26 --delay 1 --endMP 204:727 --enddatetime 2016-12-02T07:55:59 --enforcementcount 0 &gt;&gt;C:\Users\stu\Documents\GitHub\eaglep3-reporting\EC\2016-12-02-refined-times.txt</v>
      </c>
      <c r="AI168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{"issue":{"subject":"","project_id":79,"tracker_id":40,"status_id":1,"priority_id":2,"assigned_to_id":23,"start_date":"2016-12-02","description":"","custom_fields":[{"id":1,"name":"Subdivision","value":"NW"},{"id":4,"name":"Milepost","value":"0.0727"},{"id":17,"name":"Train ID","value":"808-02"},{"id":16,"name":"Locomotive ID","value":"4039"},{"id":130,"name":"Impact","value":""},{"id":150,"name":"Time of Event (Mountain Time)","value":"07:55:59"},{"id":151,"name":"Denver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437</v>
      </c>
      <c r="B169" s="7">
        <v>4016</v>
      </c>
      <c r="C169" s="22" t="s">
        <v>210</v>
      </c>
      <c r="D169" s="22" t="s">
        <v>797</v>
      </c>
      <c r="E169" s="13">
        <v>42706.313009259262</v>
      </c>
      <c r="F169" s="13">
        <v>42706.327499999999</v>
      </c>
      <c r="G169" s="7">
        <v>1</v>
      </c>
      <c r="H169" s="22" t="s">
        <v>790</v>
      </c>
      <c r="I169" s="13">
        <v>42706.338587962964</v>
      </c>
      <c r="J169" s="7">
        <v>0</v>
      </c>
      <c r="K169" s="109" t="str">
        <f t="shared" si="54"/>
        <v>4015/4016</v>
      </c>
      <c r="L169" s="22" t="str">
        <f>VLOOKUP(A169,'Trips&amp;Operators'!$C$1:$G$99999,5,FALSE)</f>
        <v>STRICKLAND EVAN</v>
      </c>
      <c r="M169" s="6">
        <f t="shared" si="55"/>
        <v>1.1087962964666076E-2</v>
      </c>
      <c r="N169" s="7">
        <f t="shared" si="72"/>
        <v>15.966666669119149</v>
      </c>
      <c r="O169" s="7"/>
      <c r="P169" s="7"/>
      <c r="Q169" s="23"/>
      <c r="R169" s="23"/>
      <c r="S169" s="35">
        <f t="shared" si="73"/>
        <v>1</v>
      </c>
      <c r="T169" s="50" t="str">
        <f t="shared" si="56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06:30:44-700',mode:absolute,to:'2016-12-02 09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9" s="52" t="str">
        <f t="shared" si="58"/>
        <v>N</v>
      </c>
      <c r="X169" s="177">
        <f t="shared" si="71"/>
        <v>1</v>
      </c>
      <c r="Y169" s="67">
        <f t="shared" si="74"/>
        <v>0.1062</v>
      </c>
      <c r="Z169" s="67">
        <f t="shared" si="75"/>
        <v>5.8920000000000003</v>
      </c>
      <c r="AA169" s="67">
        <f t="shared" si="59"/>
        <v>5.7858000000000001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60"/>
        <v>0809-02</v>
      </c>
      <c r="AE169" s="91" t="str">
        <f t="shared" si="61"/>
        <v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v>
      </c>
      <c r="AF169" s="88" t="str">
        <f t="shared" si="62"/>
        <v>"C:\Program Files (x86)\AstroGrep\AstroGrep.exe" /spath="%USERPROFILE%\AppData\Local\Temp\OnboardLogs" /stypes="app*4016*20161202*" /stext=" 15:.+((SYSTEM_STATE.+slice.+state.+changed )|(ment ac)|(multiple cpu faults)|(system.+state.+changed )|(\[timeout)|(PRM\|1\|D)|(kpr)|(kdp)|(\|lc)|(penalty))" /e /r /s</v>
      </c>
      <c r="AG169" s="1" t="str">
        <f t="shared" si="63"/>
        <v>NW</v>
      </c>
      <c r="AH169" s="92" t="str">
        <f t="shared" si="64"/>
        <v>"%USERPROFILE%\Documents\GitHub\eaglep3\Utilities\RefineRTDCRunTimes.py" --tripid 809-02 --locoid 4016 --swversion DE.1.0.8.0 --startMP 204:1062 --initTime 2016-12-02T07:30:44 --startdatetime 2016-12-02T07:51:36 --delay 1 --endMP 300:58920 --enddatetime 2016-12-02T08:07:34 --enforcementcount 0 &gt;&gt;C:\Users\stu\Documents\GitHub\eaglep3-reporting\EC\2016-12-02-refined-times.txt</v>
      </c>
      <c r="AI169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{"issue":{"subject":"","project_id":79,"tracker_id":40,"status_id":1,"priority_id":2,"assigned_to_id":23,"start_date":"2016-12-02","description":"","custom_fields":[{"id":1,"name":"Subdivision","value":"NW"},{"id":4,"name":"Milepost","value":"5.892"},{"id":17,"name":"Train ID","value":"809-02"},{"id":16,"name":"Locomotive ID","value":"4016"},{"id":130,"name":"Impact","value":""},{"id":150,"name":"Time of Event (Mountain Time)","value":"08:07:34"},{"id":151,"name":"Denver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514</v>
      </c>
      <c r="B170" s="7">
        <v>4015</v>
      </c>
      <c r="C170" s="22" t="s">
        <v>210</v>
      </c>
      <c r="D170" s="22" t="s">
        <v>798</v>
      </c>
      <c r="E170" s="13">
        <v>42706.339467592596</v>
      </c>
      <c r="F170" s="13">
        <v>42706.340613425928</v>
      </c>
      <c r="G170" s="7">
        <v>1</v>
      </c>
      <c r="H170" s="22" t="s">
        <v>799</v>
      </c>
      <c r="I170" s="13">
        <v>42706.351921296293</v>
      </c>
      <c r="J170" s="7">
        <v>0</v>
      </c>
      <c r="K170" s="109" t="str">
        <f t="shared" si="54"/>
        <v>4015/4016</v>
      </c>
      <c r="L170" s="22" t="str">
        <f>VLOOKUP(A170,'Trips&amp;Operators'!$C$1:$G$99999,5,FALSE)</f>
        <v>STRICKLAND EVAN</v>
      </c>
      <c r="M170" s="6">
        <f t="shared" si="55"/>
        <v>1.130787036527181E-2</v>
      </c>
      <c r="N170" s="7">
        <f t="shared" si="72"/>
        <v>16.283333325991407</v>
      </c>
      <c r="O170" s="7"/>
      <c r="P170" s="7"/>
      <c r="Q170" s="23"/>
      <c r="R170" s="23"/>
      <c r="S170" s="35">
        <f t="shared" si="73"/>
        <v>1</v>
      </c>
      <c r="T170" s="50" t="str">
        <f t="shared" si="56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07:08:50-700',mode:absolute,to:'2016-12-02 09:26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70" s="52" t="str">
        <f t="shared" si="58"/>
        <v>N</v>
      </c>
      <c r="X170" s="177">
        <f t="shared" si="71"/>
        <v>1</v>
      </c>
      <c r="Y170" s="67">
        <f t="shared" si="74"/>
        <v>5.8601999999999999</v>
      </c>
      <c r="Z170" s="67">
        <f t="shared" si="75"/>
        <v>7.9200000000000007E-2</v>
      </c>
      <c r="AA170" s="67">
        <f t="shared" si="59"/>
        <v>5.7809999999999997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60"/>
        <v>0810-02</v>
      </c>
      <c r="AE170" s="91" t="str">
        <f t="shared" si="61"/>
        <v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v>
      </c>
      <c r="AF170" s="88" t="str">
        <f t="shared" si="62"/>
        <v>"C:\Program Files (x86)\AstroGrep\AstroGrep.exe" /spath="%USERPROFILE%\AppData\Local\Temp\OnboardLogs" /stypes="app*4015*20161202*" /stext=" 15:.+((SYSTEM_STATE.+slice.+state.+changed )|(ment ac)|(multiple cpu faults)|(system.+state.+changed )|(\[timeout)|(PRM\|1\|D)|(kpr)|(kdp)|(\|lc)|(penalty))" /e /r /s</v>
      </c>
      <c r="AG170" s="1" t="str">
        <f t="shared" si="63"/>
        <v>NW</v>
      </c>
      <c r="AH170" s="92" t="str">
        <f t="shared" si="64"/>
        <v>"%USERPROFILE%\Documents\GitHub\eaglep3\Utilities\RefineRTDCRunTimes.py" --tripid 810-02 --locoid 4015 --swversion DE.1.0.8.0 --startMP 300:58602 --initTime 2016-12-02T08:08:50 --startdatetime 2016-12-02T08:10:29 --delay 1 --endMP 204:792 --enddatetime 2016-12-02T08:26:46 --enforcementcount 0 &gt;&gt;C:\Users\stu\Documents\GitHub\eaglep3-reporting\EC\2016-12-02-refined-times.txt</v>
      </c>
      <c r="AI170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{"issue":{"subject":"","project_id":79,"tracker_id":40,"status_id":1,"priority_id":2,"assigned_to_id":23,"start_date":"2016-12-02","description":"","custom_fields":[{"id":1,"name":"Subdivision","value":"NW"},{"id":4,"name":"Milepost","value":"0.0792"},{"id":17,"name":"Train ID","value":"810-02"},{"id":16,"name":"Locomotive ID","value":"4015"},{"id":130,"name":"Impact","value":""},{"id":150,"name":"Time of Event (Mountain Time)","value":"08:26:46"},{"id":151,"name":"Denver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512</v>
      </c>
      <c r="B171" s="7">
        <v>4040</v>
      </c>
      <c r="C171" s="22" t="s">
        <v>210</v>
      </c>
      <c r="D171" s="22" t="s">
        <v>800</v>
      </c>
      <c r="E171" s="13">
        <v>42706.331493055557</v>
      </c>
      <c r="F171" s="13">
        <v>42706.348287037035</v>
      </c>
      <c r="G171" s="7">
        <v>1</v>
      </c>
      <c r="H171" s="22" t="s">
        <v>801</v>
      </c>
      <c r="I171" s="13">
        <v>42706.357592592591</v>
      </c>
      <c r="J171" s="7">
        <v>0</v>
      </c>
      <c r="K171" s="109" t="str">
        <f t="shared" si="54"/>
        <v>4039/4040</v>
      </c>
      <c r="L171" s="22" t="str">
        <f>VLOOKUP(A171,'Trips&amp;Operators'!$C$1:$G$99999,5,FALSE)</f>
        <v>YORK EDGAR</v>
      </c>
      <c r="M171" s="6">
        <f t="shared" si="55"/>
        <v>9.3055555553291924E-3</v>
      </c>
      <c r="N171" s="7">
        <f t="shared" si="72"/>
        <v>13.399999999674037</v>
      </c>
      <c r="O171" s="7"/>
      <c r="P171" s="7"/>
      <c r="Q171" s="23"/>
      <c r="R171" s="23"/>
      <c r="S171" s="35">
        <f t="shared" si="73"/>
        <v>1</v>
      </c>
      <c r="T171" s="50" t="str">
        <f t="shared" si="56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06:57:21-700',mode:absolute,to:'2016-12-02 09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1" s="52" t="str">
        <f t="shared" si="58"/>
        <v>N</v>
      </c>
      <c r="X171" s="177">
        <f t="shared" si="71"/>
        <v>1</v>
      </c>
      <c r="Y171" s="67">
        <f t="shared" si="74"/>
        <v>0.1014</v>
      </c>
      <c r="Z171" s="67">
        <f t="shared" si="75"/>
        <v>5.8933</v>
      </c>
      <c r="AA171" s="67">
        <f t="shared" si="59"/>
        <v>5.7919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60"/>
        <v>0811-02</v>
      </c>
      <c r="AE171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71" s="88" t="str">
        <f t="shared" si="62"/>
        <v>"C:\Program Files (x86)\AstroGrep\AstroGrep.exe" /spath="%USERPROFILE%\AppData\Local\Temp\OnboardLogs" /stypes="app*4040*20161202*" /stext=" 15:.+((SYSTEM_STATE.+slice.+state.+changed )|(ment ac)|(multiple cpu faults)|(system.+state.+changed )|(\[timeout)|(PRM\|1\|D)|(kpr)|(kdp)|(\|lc)|(penalty))" /e /r /s</v>
      </c>
      <c r="AG171" s="1" t="str">
        <f t="shared" si="63"/>
        <v>NW</v>
      </c>
      <c r="AH171" s="92" t="str">
        <f t="shared" si="64"/>
        <v>"%USERPROFILE%\Documents\GitHub\eaglep3\Utilities\RefineRTDCRunTimes.py" --tripid 811-02 --locoid 4040 --swversion DE.1.0.8.0 --startMP 204:1014 --initTime 2016-12-02T07:57:21 --startdatetime 2016-12-02T08:21:32 --delay 1 --endMP 300:58933 --enddatetime 2016-12-02T08:34:56 --enforcementcount 0 &gt;&gt;C:\Users\stu\Documents\GitHub\eaglep3-reporting\EC\2016-12-02-refined-times.txt</v>
      </c>
      <c r="AI171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{"issue":{"subject":"","project_id":79,"tracker_id":40,"status_id":1,"priority_id":2,"assigned_to_id":23,"start_date":"2016-12-02","description":"","custom_fields":[{"id":1,"name":"Subdivision","value":"NW"},{"id":4,"name":"Milepost","value":"5.8933"},{"id":17,"name":"Train ID","value":"811-02"},{"id":16,"name":"Locomotive ID","value":"4040"},{"id":130,"name":"Impact","value":""},{"id":150,"name":"Time of Event (Mountain Time)","value":"08:34:56"},{"id":151,"name":"Denver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520</v>
      </c>
      <c r="B172" s="7">
        <v>4039</v>
      </c>
      <c r="C172" s="22" t="s">
        <v>210</v>
      </c>
      <c r="D172" s="22" t="s">
        <v>430</v>
      </c>
      <c r="E172" s="13">
        <v>42706.359479166669</v>
      </c>
      <c r="F172" s="13">
        <v>42706.362060185187</v>
      </c>
      <c r="G172" s="7">
        <v>2</v>
      </c>
      <c r="H172" s="22" t="s">
        <v>678</v>
      </c>
      <c r="I172" s="13">
        <v>42706.370763888888</v>
      </c>
      <c r="J172" s="7">
        <v>0</v>
      </c>
      <c r="K172" s="109" t="str">
        <f t="shared" si="54"/>
        <v>4039/4040</v>
      </c>
      <c r="L172" s="22" t="str">
        <f>VLOOKUP(A172,'Trips&amp;Operators'!$C$1:$G$99999,5,FALSE)</f>
        <v>YORK EDGAR</v>
      </c>
      <c r="M172" s="6">
        <f t="shared" si="55"/>
        <v>8.703703701030463E-3</v>
      </c>
      <c r="N172" s="7">
        <f t="shared" si="72"/>
        <v>12.533333329483867</v>
      </c>
      <c r="O172" s="7"/>
      <c r="P172" s="7"/>
      <c r="Q172" s="23"/>
      <c r="R172" s="23"/>
      <c r="S172" s="35">
        <f t="shared" si="73"/>
        <v>1</v>
      </c>
      <c r="T172" s="50" t="str">
        <f t="shared" si="56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07:37:39-700',mode:absolute,to:'2016-12-02 09:53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2" s="52" t="str">
        <f t="shared" si="58"/>
        <v>N</v>
      </c>
      <c r="X172" s="177">
        <f t="shared" si="71"/>
        <v>1</v>
      </c>
      <c r="Y172" s="67">
        <f t="shared" si="74"/>
        <v>5.8609</v>
      </c>
      <c r="Z172" s="67">
        <f t="shared" si="75"/>
        <v>7.2400000000000006E-2</v>
      </c>
      <c r="AA172" s="67">
        <f t="shared" si="59"/>
        <v>5.7885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60"/>
        <v>0812-02</v>
      </c>
      <c r="AE172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72" s="88" t="str">
        <f t="shared" si="62"/>
        <v>"C:\Program Files (x86)\AstroGrep\AstroGrep.exe" /spath="%USERPROFILE%\AppData\Local\Temp\OnboardLogs" /stypes="app*4039*20161202*" /stext=" 15:.+((SYSTEM_STATE.+slice.+state.+changed )|(ment ac)|(multiple cpu faults)|(system.+state.+changed )|(\[timeout)|(PRM\|1\|D)|(kpr)|(kdp)|(\|lc)|(penalty))" /e /r /s</v>
      </c>
      <c r="AG172" s="1" t="str">
        <f t="shared" si="63"/>
        <v>NW</v>
      </c>
      <c r="AH172" s="92" t="str">
        <f t="shared" si="64"/>
        <v>"%USERPROFILE%\Documents\GitHub\eaglep3\Utilities\RefineRTDCRunTimes.py" --tripid 812-02 --locoid 4039 --swversion DE.1.0.8.0 --startMP 300:58609 --initTime 2016-12-02T08:37:39 --startdatetime 2016-12-02T08:41:22 --delay 2 --endMP 204:724 --enddatetime 2016-12-02T08:53:54 --enforcementcount 0 &gt;&gt;C:\Users\stu\Documents\GitHub\eaglep3-reporting\EC\2016-12-02-refined-times.txt</v>
      </c>
      <c r="AI172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{"issue":{"subject":"","project_id":79,"tracker_id":40,"status_id":1,"priority_id":2,"assigned_to_id":23,"start_date":"2016-12-02","description":"","custom_fields":[{"id":1,"name":"Subdivision","value":"NW"},{"id":4,"name":"Milepost","value":"0.0724"},{"id":17,"name":"Train ID","value":"812-02"},{"id":16,"name":"Locomotive ID","value":"4039"},{"id":130,"name":"Impact","value":""},{"id":150,"name":"Time of Event (Mountain Time)","value":"08:53:54"},{"id":151,"name":"Denver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440</v>
      </c>
      <c r="B173" s="7">
        <v>4040</v>
      </c>
      <c r="C173" s="22" t="s">
        <v>210</v>
      </c>
      <c r="D173" s="22" t="s">
        <v>789</v>
      </c>
      <c r="E173" s="13">
        <v>42706.373726851853</v>
      </c>
      <c r="F173" s="13">
        <v>42706.389814814815</v>
      </c>
      <c r="G173" s="7">
        <v>1</v>
      </c>
      <c r="H173" s="22" t="s">
        <v>801</v>
      </c>
      <c r="I173" s="13">
        <v>42706.398946759262</v>
      </c>
      <c r="J173" s="7">
        <v>0</v>
      </c>
      <c r="K173" s="109" t="str">
        <f t="shared" si="54"/>
        <v>4039/4040</v>
      </c>
      <c r="L173" s="22" t="str">
        <f>VLOOKUP(A173,'Trips&amp;Operators'!$C$1:$G$99999,5,FALSE)</f>
        <v>YORK EDGAR</v>
      </c>
      <c r="M173" s="6">
        <f t="shared" si="55"/>
        <v>9.1319444472901523E-3</v>
      </c>
      <c r="N173" s="7">
        <f t="shared" si="72"/>
        <v>13.150000004097819</v>
      </c>
      <c r="O173" s="7"/>
      <c r="P173" s="7"/>
      <c r="Q173" s="23"/>
      <c r="R173" s="23"/>
      <c r="S173" s="35">
        <f t="shared" si="73"/>
        <v>1</v>
      </c>
      <c r="T173" s="50" t="str">
        <f t="shared" si="56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07:58:10-700',mode:absolute,to:'2016-12-02 10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3" s="52" t="str">
        <f t="shared" si="58"/>
        <v>N</v>
      </c>
      <c r="X173" s="177">
        <f t="shared" si="71"/>
        <v>1</v>
      </c>
      <c r="Y173" s="67">
        <f t="shared" si="74"/>
        <v>0.1032</v>
      </c>
      <c r="Z173" s="67">
        <f t="shared" si="75"/>
        <v>5.8933</v>
      </c>
      <c r="AA173" s="67">
        <f t="shared" si="59"/>
        <v>5.7900999999999998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60"/>
        <v>0813-02</v>
      </c>
      <c r="AE173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73" s="88" t="str">
        <f t="shared" si="62"/>
        <v>"C:\Program Files (x86)\AstroGrep\AstroGrep.exe" /spath="%USERPROFILE%\AppData\Local\Temp\OnboardLogs" /stypes="app*4040*20161202*" /stext=" 16:.+((SYSTEM_STATE.+slice.+state.+changed )|(ment ac)|(multiple cpu faults)|(system.+state.+changed )|(\[timeout)|(PRM\|1\|D)|(kpr)|(kdp)|(\|lc)|(penalty))" /e /r /s</v>
      </c>
      <c r="AG173" s="1" t="str">
        <f t="shared" si="63"/>
        <v>NW</v>
      </c>
      <c r="AH173" s="92" t="str">
        <f t="shared" si="64"/>
        <v>"%USERPROFILE%\Documents\GitHub\eaglep3\Utilities\RefineRTDCRunTimes.py" --tripid 813-02 --locoid 4040 --swversion DE.1.0.8.0 --startMP 204:1032 --initTime 2016-12-02T08:58:10 --startdatetime 2016-12-02T09:21:20 --delay 1 --endMP 300:58933 --enddatetime 2016-12-02T09:34:29 --enforcementcount 0 &gt;&gt;C:\Users\stu\Documents\GitHub\eaglep3-reporting\EC\2016-12-02-refined-times.txt</v>
      </c>
      <c r="AI173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{"issue":{"subject":"","project_id":79,"tracker_id":40,"status_id":1,"priority_id":2,"assigned_to_id":23,"start_date":"2016-12-02","description":"","custom_fields":[{"id":1,"name":"Subdivision","value":"NW"},{"id":4,"name":"Milepost","value":"5.8933"},{"id":17,"name":"Train ID","value":"813-02"},{"id":16,"name":"Locomotive ID","value":"4040"},{"id":130,"name":"Impact","value":""},{"id":150,"name":"Time of Event (Mountain Time)","value":"09:34:29"},{"id":151,"name":"Denver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528</v>
      </c>
      <c r="B174" s="7">
        <v>4039</v>
      </c>
      <c r="C174" s="22" t="s">
        <v>210</v>
      </c>
      <c r="D174" s="22" t="s">
        <v>802</v>
      </c>
      <c r="E174" s="13">
        <v>42706.400671296295</v>
      </c>
      <c r="F174" s="13">
        <v>42706.402581018519</v>
      </c>
      <c r="G174" s="7">
        <v>0</v>
      </c>
      <c r="H174" s="22" t="s">
        <v>678</v>
      </c>
      <c r="I174" s="13">
        <v>42706.412847222222</v>
      </c>
      <c r="J174" s="7">
        <v>0</v>
      </c>
      <c r="K174" s="109" t="str">
        <f t="shared" si="54"/>
        <v>4039/4040</v>
      </c>
      <c r="L174" s="22" t="str">
        <f>VLOOKUP(A174,'Trips&amp;Operators'!$C$1:$G$99999,5,FALSE)</f>
        <v>YORK EDGAR</v>
      </c>
      <c r="M174" s="6">
        <f t="shared" si="55"/>
        <v>1.0266203702485655E-2</v>
      </c>
      <c r="N174" s="7">
        <f t="shared" si="72"/>
        <v>14.783333331579342</v>
      </c>
      <c r="O174" s="7"/>
      <c r="P174" s="7"/>
      <c r="Q174" s="23"/>
      <c r="R174" s="23"/>
      <c r="S174" s="35">
        <f t="shared" si="73"/>
        <v>1</v>
      </c>
      <c r="T174" s="50" t="str">
        <f t="shared" si="56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08:36:58-700',mode:absolute,to:'2016-12-02 10:54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4" s="52" t="str">
        <f t="shared" si="58"/>
        <v>N</v>
      </c>
      <c r="X174" s="177">
        <f t="shared" si="71"/>
        <v>1</v>
      </c>
      <c r="Y174" s="67">
        <f t="shared" si="74"/>
        <v>5.8605999999999998</v>
      </c>
      <c r="Z174" s="67">
        <f t="shared" si="75"/>
        <v>7.2400000000000006E-2</v>
      </c>
      <c r="AA174" s="67">
        <f t="shared" si="59"/>
        <v>5.7881999999999998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60"/>
        <v>0814-02</v>
      </c>
      <c r="AE174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74" s="88" t="str">
        <f t="shared" si="62"/>
        <v>"C:\Program Files (x86)\AstroGrep\AstroGrep.exe" /spath="%USERPROFILE%\AppData\Local\Temp\OnboardLogs" /stypes="app*4039*20161202*" /stext=" 16:.+((SYSTEM_STATE.+slice.+state.+changed )|(ment ac)|(multiple cpu faults)|(system.+state.+changed )|(\[timeout)|(PRM\|1\|D)|(kpr)|(kdp)|(\|lc)|(penalty))" /e /r /s</v>
      </c>
      <c r="AG174" s="1" t="str">
        <f t="shared" si="63"/>
        <v>NW</v>
      </c>
      <c r="AH174" s="92" t="str">
        <f t="shared" si="64"/>
        <v>"%USERPROFILE%\Documents\GitHub\eaglep3\Utilities\RefineRTDCRunTimes.py" --tripid 814-02 --locoid 4039 --swversion DE.1.0.8.0 --startMP 300:58606 --initTime 2016-12-02T09:36:58 --startdatetime 2016-12-02T09:39:43 --delay 0 --endMP 204:724 --enddatetime 2016-12-02T09:54:30 --enforcementcount 0 &gt;&gt;C:\Users\stu\Documents\GitHub\eaglep3-reporting\EC\2016-12-02-refined-times.txt</v>
      </c>
      <c r="AI174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{"issue":{"subject":"","project_id":79,"tracker_id":40,"status_id":1,"priority_id":2,"assigned_to_id":23,"start_date":"2016-12-02","description":"","custom_fields":[{"id":1,"name":"Subdivision","value":"NW"},{"id":4,"name":"Milepost","value":"0.0724"},{"id":17,"name":"Train ID","value":"814-02"},{"id":16,"name":"Locomotive ID","value":"4039"},{"id":130,"name":"Impact","value":""},{"id":150,"name":"Time of Event (Mountain Time)","value":"09:54:30"},{"id":151,"name":"Denver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531</v>
      </c>
      <c r="B175" s="7">
        <v>4040</v>
      </c>
      <c r="C175" s="22" t="s">
        <v>210</v>
      </c>
      <c r="D175" s="22" t="s">
        <v>803</v>
      </c>
      <c r="E175" s="13">
        <v>42706.413993055554</v>
      </c>
      <c r="F175" s="13">
        <v>42706.431620370371</v>
      </c>
      <c r="G175" s="7">
        <v>1</v>
      </c>
      <c r="H175" s="22" t="s">
        <v>415</v>
      </c>
      <c r="I175" s="13">
        <v>42706.440393518518</v>
      </c>
      <c r="J175" s="7">
        <v>0</v>
      </c>
      <c r="K175" s="109" t="str">
        <f t="shared" si="54"/>
        <v>4039/4040</v>
      </c>
      <c r="L175" s="22" t="str">
        <f>VLOOKUP(A175,'Trips&amp;Operators'!$C$1:$G$99999,5,FALSE)</f>
        <v>YORK EDGAR</v>
      </c>
      <c r="M175" s="6">
        <f t="shared" si="55"/>
        <v>8.7731481471564621E-3</v>
      </c>
      <c r="N175" s="7">
        <f t="shared" si="72"/>
        <v>12.633333331905305</v>
      </c>
      <c r="O175" s="7"/>
      <c r="P175" s="7"/>
      <c r="Q175" s="23"/>
      <c r="R175" s="23"/>
      <c r="S175" s="35">
        <f t="shared" si="73"/>
        <v>1</v>
      </c>
      <c r="T175" s="50" t="str">
        <f t="shared" si="56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08:56:09-700',mode:absolute,to:'2016-12-02 11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5" s="52" t="str">
        <f t="shared" si="58"/>
        <v>N</v>
      </c>
      <c r="X175" s="177">
        <f t="shared" si="71"/>
        <v>1</v>
      </c>
      <c r="Y175" s="67">
        <f t="shared" si="74"/>
        <v>0.1007</v>
      </c>
      <c r="Z175" s="67">
        <f t="shared" si="75"/>
        <v>5.8928000000000003</v>
      </c>
      <c r="AA175" s="67">
        <f t="shared" si="59"/>
        <v>5.7921000000000005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60"/>
        <v>0815-02</v>
      </c>
      <c r="AE175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75" s="88" t="str">
        <f t="shared" si="62"/>
        <v>"C:\Program Files (x86)\AstroGrep\AstroGrep.exe" /spath="%USERPROFILE%\AppData\Local\Temp\OnboardLogs" /stypes="app*4040*20161202*" /stext=" 17:.+((SYSTEM_STATE.+slice.+state.+changed )|(ment ac)|(multiple cpu faults)|(system.+state.+changed )|(\[timeout)|(PRM\|1\|D)|(kpr)|(kdp)|(\|lc)|(penalty))" /e /r /s</v>
      </c>
      <c r="AG175" s="1" t="str">
        <f t="shared" si="63"/>
        <v>NW</v>
      </c>
      <c r="AH175" s="92" t="str">
        <f t="shared" si="64"/>
        <v>"%USERPROFILE%\Documents\GitHub\eaglep3\Utilities\RefineRTDCRunTimes.py" --tripid 815-02 --locoid 4040 --swversion DE.1.0.8.0 --startMP 204:1007 --initTime 2016-12-02T09:56:09 --startdatetime 2016-12-02T10:21:32 --delay 1 --endMP 300:58928 --enddatetime 2016-12-02T10:34:10 --enforcementcount 0 &gt;&gt;C:\Users\stu\Documents\GitHub\eaglep3-reporting\EC\2016-12-02-refined-times.txt</v>
      </c>
      <c r="AI175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{"issue":{"subject":"","project_id":79,"tracker_id":40,"status_id":1,"priority_id":2,"assigned_to_id":23,"start_date":"2016-12-02","description":"","custom_fields":[{"id":1,"name":"Subdivision","value":"NW"},{"id":4,"name":"Milepost","value":"5.8928"},{"id":17,"name":"Train ID","value":"815-02"},{"id":16,"name":"Locomotive ID","value":"4040"},{"id":130,"name":"Impact","value":""},{"id":150,"name":"Time of Event (Mountain Time)","value":"10:34:10"},{"id":151,"name":"Denver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538</v>
      </c>
      <c r="B176" s="7">
        <v>4039</v>
      </c>
      <c r="C176" s="22" t="s">
        <v>210</v>
      </c>
      <c r="D176" s="22" t="s">
        <v>429</v>
      </c>
      <c r="E176" s="13">
        <v>42706.443668981483</v>
      </c>
      <c r="F176" s="13">
        <v>42706.445567129631</v>
      </c>
      <c r="G176" s="7">
        <v>1</v>
      </c>
      <c r="H176" s="22" t="s">
        <v>804</v>
      </c>
      <c r="I176" s="13">
        <v>42706.454398148147</v>
      </c>
      <c r="J176" s="7">
        <v>0</v>
      </c>
      <c r="K176" s="109" t="str">
        <f t="shared" si="54"/>
        <v>4039/4040</v>
      </c>
      <c r="L176" s="22" t="str">
        <f>VLOOKUP(A176,'Trips&amp;Operators'!$C$1:$G$99999,5,FALSE)</f>
        <v>YORK EDGAR</v>
      </c>
      <c r="M176" s="6">
        <f t="shared" si="55"/>
        <v>8.8310185165028088E-3</v>
      </c>
      <c r="N176" s="7">
        <f t="shared" si="72"/>
        <v>12.716666663764045</v>
      </c>
      <c r="O176" s="7"/>
      <c r="P176" s="7"/>
      <c r="Q176" s="23"/>
      <c r="R176" s="23"/>
      <c r="S176" s="35">
        <f t="shared" si="73"/>
        <v>1</v>
      </c>
      <c r="T176" s="50" t="str">
        <f t="shared" si="56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09:38:53-700',mode:absolute,to:'2016-12-02 11:54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6" s="52" t="str">
        <f t="shared" si="58"/>
        <v>N</v>
      </c>
      <c r="X176" s="177">
        <f t="shared" si="71"/>
        <v>1</v>
      </c>
      <c r="Y176" s="67">
        <f t="shared" si="74"/>
        <v>5.8620999999999999</v>
      </c>
      <c r="Z176" s="67">
        <f t="shared" si="75"/>
        <v>7.3599999999999999E-2</v>
      </c>
      <c r="AA176" s="67">
        <f t="shared" si="59"/>
        <v>5.7885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60"/>
        <v>0816-02</v>
      </c>
      <c r="AE176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76" s="88" t="str">
        <f t="shared" si="62"/>
        <v>"C:\Program Files (x86)\AstroGrep\AstroGrep.exe" /spath="%USERPROFILE%\AppData\Local\Temp\OnboardLogs" /stypes="app*4039*20161202*" /stext=" 17:.+((SYSTEM_STATE.+slice.+state.+changed )|(ment ac)|(multiple cpu faults)|(system.+state.+changed )|(\[timeout)|(PRM\|1\|D)|(kpr)|(kdp)|(\|lc)|(penalty))" /e /r /s</v>
      </c>
      <c r="AG176" s="1" t="str">
        <f t="shared" si="63"/>
        <v>NW</v>
      </c>
      <c r="AH176" s="92" t="str">
        <f t="shared" si="64"/>
        <v>"%USERPROFILE%\Documents\GitHub\eaglep3\Utilities\RefineRTDCRunTimes.py" --tripid 816-02 --locoid 4039 --swversion DE.1.0.8.0 --startMP 300:58621 --initTime 2016-12-02T10:38:53 --startdatetime 2016-12-02T10:41:37 --delay 1 --endMP 204:736 --enddatetime 2016-12-02T10:54:20 --enforcementcount 0 &gt;&gt;C:\Users\stu\Documents\GitHub\eaglep3-reporting\EC\2016-12-02-refined-times.txt</v>
      </c>
      <c r="AI176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{"issue":{"subject":"","project_id":79,"tracker_id":40,"status_id":1,"priority_id":2,"assigned_to_id":23,"start_date":"2016-12-02","description":"","custom_fields":[{"id":1,"name":"Subdivision","value":"NW"},{"id":4,"name":"Milepost","value":"0.0736"},{"id":17,"name":"Train ID","value":"816-02"},{"id":16,"name":"Locomotive ID","value":"4039"},{"id":130,"name":"Impact","value":""},{"id":150,"name":"Time of Event (Mountain Time)","value":"10:54:20"},{"id":151,"name":"Denver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550</v>
      </c>
      <c r="B177" s="7">
        <v>4040</v>
      </c>
      <c r="C177" s="22" t="s">
        <v>210</v>
      </c>
      <c r="D177" s="22" t="s">
        <v>805</v>
      </c>
      <c r="E177" s="13">
        <v>42706.470706018517</v>
      </c>
      <c r="F177" s="13">
        <v>42706.473356481481</v>
      </c>
      <c r="G177" s="7">
        <v>1</v>
      </c>
      <c r="H177" s="22" t="s">
        <v>422</v>
      </c>
      <c r="I177" s="13">
        <v>42706.483634259261</v>
      </c>
      <c r="J177" s="7">
        <v>0</v>
      </c>
      <c r="K177" s="109" t="str">
        <f t="shared" si="54"/>
        <v>4039/4040</v>
      </c>
      <c r="L177" s="22" t="str">
        <f>VLOOKUP(A177,'Trips&amp;Operators'!$C$1:$G$99999,5,FALSE)</f>
        <v>PERKINS DARREN</v>
      </c>
      <c r="M177" s="6">
        <f t="shared" si="55"/>
        <v>1.0277777779265307E-2</v>
      </c>
      <c r="N177" s="7">
        <f t="shared" si="72"/>
        <v>14.800000002142042</v>
      </c>
      <c r="O177" s="7"/>
      <c r="P177" s="7"/>
      <c r="Q177" s="23"/>
      <c r="R177" s="23"/>
      <c r="S177" s="35">
        <f t="shared" si="73"/>
        <v>1</v>
      </c>
      <c r="T177" s="50" t="str">
        <f t="shared" si="56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10:17:49-700',mode:absolute,to:'2016-12-02 12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7" s="52" t="str">
        <f t="shared" si="58"/>
        <v>N</v>
      </c>
      <c r="X177" s="177">
        <f t="shared" si="71"/>
        <v>1</v>
      </c>
      <c r="Y177" s="67">
        <f t="shared" si="74"/>
        <v>0.1018</v>
      </c>
      <c r="Z177" s="67">
        <f t="shared" si="75"/>
        <v>5.8940999999999999</v>
      </c>
      <c r="AA177" s="67">
        <f t="shared" si="59"/>
        <v>5.7923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60"/>
        <v>0817-02</v>
      </c>
      <c r="AE177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77" s="88" t="str">
        <f t="shared" si="62"/>
        <v>"C:\Program Files (x86)\AstroGrep\AstroGrep.exe" /spath="%USERPROFILE%\AppData\Local\Temp\OnboardLogs" /stypes="app*4040*20161202*" /stext=" 18:.+((SYSTEM_STATE.+slice.+state.+changed )|(ment ac)|(multiple cpu faults)|(system.+state.+changed )|(\[timeout)|(PRM\|1\|D)|(kpr)|(kdp)|(\|lc)|(penalty))" /e /r /s</v>
      </c>
      <c r="AG177" s="1" t="str">
        <f t="shared" si="63"/>
        <v>NW</v>
      </c>
      <c r="AH177" s="92" t="str">
        <f t="shared" si="64"/>
        <v>"%USERPROFILE%\Documents\GitHub\eaglep3\Utilities\RefineRTDCRunTimes.py" --tripid 817-02 --locoid 4040 --swversion DE.1.0.8.0 --startMP 204:1018 --initTime 2016-12-02T11:17:49 --startdatetime 2016-12-02T11:21:38 --delay 1 --endMP 300:58941 --enddatetime 2016-12-02T11:36:26 --enforcementcount 0 &gt;&gt;C:\Users\stu\Documents\GitHub\eaglep3-reporting\EC\2016-12-02-refined-times.txt</v>
      </c>
      <c r="AI177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{"issue":{"subject":"","project_id":79,"tracker_id":40,"status_id":1,"priority_id":2,"assigned_to_id":23,"start_date":"2016-12-02","description":"","custom_fields":[{"id":1,"name":"Subdivision","value":"NW"},{"id":4,"name":"Milepost","value":"5.8941"},{"id":17,"name":"Train ID","value":"817-02"},{"id":16,"name":"Locomotive ID","value":"4040"},{"id":130,"name":"Impact","value":""},{"id":150,"name":"Time of Event (Mountain Time)","value":"11:36:26"},{"id":151,"name":"Denver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556</v>
      </c>
      <c r="B178" s="7">
        <v>4039</v>
      </c>
      <c r="C178" s="22" t="s">
        <v>210</v>
      </c>
      <c r="D178" s="22" t="s">
        <v>417</v>
      </c>
      <c r="E178" s="13">
        <v>42706.485034722224</v>
      </c>
      <c r="F178" s="13">
        <v>42706.487071759257</v>
      </c>
      <c r="G178" s="7">
        <v>1</v>
      </c>
      <c r="H178" s="22" t="s">
        <v>806</v>
      </c>
      <c r="I178" s="13">
        <v>42706.497939814813</v>
      </c>
      <c r="J178" s="7">
        <v>0</v>
      </c>
      <c r="K178" s="109" t="str">
        <f t="shared" si="54"/>
        <v>4039/4040</v>
      </c>
      <c r="L178" s="22" t="str">
        <f>VLOOKUP(A178,'Trips&amp;Operators'!$C$1:$G$99999,5,FALSE)</f>
        <v>PERKINS DARREN</v>
      </c>
      <c r="M178" s="6">
        <f t="shared" si="55"/>
        <v>1.0868055556784384E-2</v>
      </c>
      <c r="N178" s="7">
        <f t="shared" si="72"/>
        <v>15.650000001769513</v>
      </c>
      <c r="O178" s="7"/>
      <c r="P178" s="7"/>
      <c r="Q178" s="23"/>
      <c r="R178" s="23"/>
      <c r="S178" s="35">
        <f t="shared" si="73"/>
        <v>1</v>
      </c>
      <c r="T178" s="50" t="str">
        <f t="shared" si="56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10:38:27-700',mode:absolute,to:'2016-12-02 12:57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8" s="52" t="str">
        <f t="shared" si="58"/>
        <v>N</v>
      </c>
      <c r="X178" s="177">
        <f t="shared" si="71"/>
        <v>1</v>
      </c>
      <c r="Y178" s="67">
        <f t="shared" si="74"/>
        <v>5.8619000000000003</v>
      </c>
      <c r="Z178" s="67">
        <f t="shared" si="75"/>
        <v>6.7299999999999999E-2</v>
      </c>
      <c r="AA178" s="67">
        <f t="shared" si="59"/>
        <v>5.7946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60"/>
        <v>0818-02</v>
      </c>
      <c r="AE178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78" s="88" t="str">
        <f t="shared" si="62"/>
        <v>"C:\Program Files (x86)\AstroGrep\AstroGrep.exe" /spath="%USERPROFILE%\AppData\Local\Temp\OnboardLogs" /stypes="app*4039*20161202*" /stext=" 18:.+((SYSTEM_STATE.+slice.+state.+changed )|(ment ac)|(multiple cpu faults)|(system.+state.+changed )|(\[timeout)|(PRM\|1\|D)|(kpr)|(kdp)|(\|lc)|(penalty))" /e /r /s</v>
      </c>
      <c r="AG178" s="1" t="str">
        <f t="shared" si="63"/>
        <v>NW</v>
      </c>
      <c r="AH178" s="92" t="str">
        <f t="shared" si="64"/>
        <v>"%USERPROFILE%\Documents\GitHub\eaglep3\Utilities\RefineRTDCRunTimes.py" --tripid 818-02 --locoid 4039 --swversion DE.1.0.8.0 --startMP 300:58619 --initTime 2016-12-02T11:38:27 --startdatetime 2016-12-02T11:41:23 --delay 1 --endMP 204:673 --enddatetime 2016-12-02T11:57:02 --enforcementcount 0 &gt;&gt;C:\Users\stu\Documents\GitHub\eaglep3-reporting\EC\2016-12-02-refined-times.txt</v>
      </c>
      <c r="AI178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{"issue":{"subject":"","project_id":79,"tracker_id":40,"status_id":1,"priority_id":2,"assigned_to_id":23,"start_date":"2016-12-02","description":"","custom_fields":[{"id":1,"name":"Subdivision","value":"NW"},{"id":4,"name":"Milepost","value":"0.0673"},{"id":17,"name":"Train ID","value":"818-02"},{"id":16,"name":"Locomotive ID","value":"4039"},{"id":130,"name":"Impact","value":""},{"id":150,"name":"Time of Event (Mountain Time)","value":"11:57:02"},{"id":151,"name":"Denver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559</v>
      </c>
      <c r="B179" s="7">
        <v>4040</v>
      </c>
      <c r="C179" s="22" t="s">
        <v>210</v>
      </c>
      <c r="D179" s="22" t="s">
        <v>425</v>
      </c>
      <c r="E179" s="13">
        <v>42706.498981481483</v>
      </c>
      <c r="F179" s="13">
        <v>42706.514733796299</v>
      </c>
      <c r="G179" s="7">
        <v>1</v>
      </c>
      <c r="H179" s="22" t="s">
        <v>426</v>
      </c>
      <c r="I179" s="13">
        <v>42706.5237037037</v>
      </c>
      <c r="J179" s="7">
        <v>0</v>
      </c>
      <c r="K179" s="109" t="str">
        <f t="shared" si="54"/>
        <v>4039/4040</v>
      </c>
      <c r="L179" s="22" t="str">
        <f>VLOOKUP(A179,'Trips&amp;Operators'!$C$1:$G$99999,5,FALSE)</f>
        <v>YORK EDGAR</v>
      </c>
      <c r="M179" s="6">
        <f t="shared" si="55"/>
        <v>8.9699074014788494E-3</v>
      </c>
      <c r="N179" s="7">
        <f t="shared" si="72"/>
        <v>12.916666658129543</v>
      </c>
      <c r="O179" s="7"/>
      <c r="P179" s="7"/>
      <c r="Q179" s="23"/>
      <c r="R179" s="23"/>
      <c r="S179" s="35">
        <f t="shared" si="73"/>
        <v>1</v>
      </c>
      <c r="T179" s="50" t="str">
        <f t="shared" si="56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10:58:32-700',mode:absolute,to:'2016-12-02 13:34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9" s="52" t="str">
        <f t="shared" si="58"/>
        <v>N</v>
      </c>
      <c r="X179" s="177">
        <f t="shared" si="71"/>
        <v>1</v>
      </c>
      <c r="Y179" s="67">
        <f t="shared" si="74"/>
        <v>9.74E-2</v>
      </c>
      <c r="Z179" s="67">
        <f t="shared" si="75"/>
        <v>5.8924000000000003</v>
      </c>
      <c r="AA179" s="67">
        <f t="shared" si="59"/>
        <v>5.7949999999999999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60"/>
        <v>0819-02</v>
      </c>
      <c r="AE179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79" s="88" t="str">
        <f t="shared" si="62"/>
        <v>"C:\Program Files (x86)\AstroGrep\AstroGrep.exe" /spath="%USERPROFILE%\AppData\Local\Temp\OnboardLogs" /stypes="app*4040*20161202*" /stext=" 19:.+((SYSTEM_STATE.+slice.+state.+changed )|(ment ac)|(multiple cpu faults)|(system.+state.+changed )|(\[timeout)|(PRM\|1\|D)|(kpr)|(kdp)|(\|lc)|(penalty))" /e /r /s</v>
      </c>
      <c r="AG179" s="1" t="str">
        <f t="shared" si="63"/>
        <v>NW</v>
      </c>
      <c r="AH179" s="92" t="str">
        <f t="shared" si="64"/>
        <v>"%USERPROFILE%\Documents\GitHub\eaglep3\Utilities\RefineRTDCRunTimes.py" --tripid 819-02 --locoid 4040 --swversion DE.1.0.8.0 --startMP 204:974 --initTime 2016-12-02T11:58:32 --startdatetime 2016-12-02T12:21:13 --delay 1 --endMP 300:58924 --enddatetime 2016-12-02T12:34:08 --enforcementcount 0 &gt;&gt;C:\Users\stu\Documents\GitHub\eaglep3-reporting\EC\2016-12-02-refined-times.txt</v>
      </c>
      <c r="AI179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{"issue":{"subject":"","project_id":79,"tracker_id":40,"status_id":1,"priority_id":2,"assigned_to_id":23,"start_date":"2016-12-02","description":"","custom_fields":[{"id":1,"name":"Subdivision","value":"NW"},{"id":4,"name":"Milepost","value":"5.8924"},{"id":17,"name":"Train ID","value":"819-02"},{"id":16,"name":"Locomotive ID","value":"4040"},{"id":130,"name":"Impact","value":""},{"id":150,"name":"Time of Event (Mountain Time)","value":"12:34:08"},{"id":151,"name":"Denver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562</v>
      </c>
      <c r="B180" s="7">
        <v>4039</v>
      </c>
      <c r="C180" s="22" t="s">
        <v>210</v>
      </c>
      <c r="D180" s="22" t="s">
        <v>807</v>
      </c>
      <c r="E180" s="13">
        <v>42706.525590277779</v>
      </c>
      <c r="F180" s="13">
        <v>42706.528356481482</v>
      </c>
      <c r="G180" s="7">
        <v>1</v>
      </c>
      <c r="H180" s="22" t="s">
        <v>808</v>
      </c>
      <c r="I180" s="13">
        <v>42706.537499999999</v>
      </c>
      <c r="J180" s="7">
        <v>0</v>
      </c>
      <c r="K180" s="109" t="str">
        <f t="shared" si="54"/>
        <v>4039/4040</v>
      </c>
      <c r="L180" s="22" t="str">
        <f>VLOOKUP(A180,'Trips&amp;Operators'!$C$1:$G$99999,5,FALSE)</f>
        <v>YORK EDGAR</v>
      </c>
      <c r="M180" s="6">
        <f t="shared" si="55"/>
        <v>9.1435185167938471E-3</v>
      </c>
      <c r="N180" s="7">
        <f t="shared" si="72"/>
        <v>13.16666666418314</v>
      </c>
      <c r="O180" s="7"/>
      <c r="P180" s="7"/>
      <c r="Q180" s="23"/>
      <c r="R180" s="23"/>
      <c r="S180" s="35">
        <f t="shared" si="73"/>
        <v>1</v>
      </c>
      <c r="T180" s="50" t="str">
        <f t="shared" si="56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11:36:51-700',mode:absolute,to:'2016-12-02 13:54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0" s="52" t="str">
        <f t="shared" si="58"/>
        <v>N</v>
      </c>
      <c r="X180" s="177">
        <f t="shared" si="71"/>
        <v>1</v>
      </c>
      <c r="Y180" s="67">
        <f t="shared" si="74"/>
        <v>5.8597999999999999</v>
      </c>
      <c r="Z180" s="67">
        <f t="shared" si="75"/>
        <v>7.5200000000000003E-2</v>
      </c>
      <c r="AA180" s="67">
        <f t="shared" si="59"/>
        <v>5.7846000000000002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60"/>
        <v>0820-02</v>
      </c>
      <c r="AE180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80" s="88" t="str">
        <f t="shared" si="62"/>
        <v>"C:\Program Files (x86)\AstroGrep\AstroGrep.exe" /spath="%USERPROFILE%\AppData\Local\Temp\OnboardLogs" /stypes="app*4039*20161202*" /stext=" 19:.+((SYSTEM_STATE.+slice.+state.+changed )|(ment ac)|(multiple cpu faults)|(system.+state.+changed )|(\[timeout)|(PRM\|1\|D)|(kpr)|(kdp)|(\|lc)|(penalty))" /e /r /s</v>
      </c>
      <c r="AG180" s="1" t="str">
        <f t="shared" si="63"/>
        <v>NW</v>
      </c>
      <c r="AH180" s="92" t="str">
        <f t="shared" si="64"/>
        <v>"%USERPROFILE%\Documents\GitHub\eaglep3\Utilities\RefineRTDCRunTimes.py" --tripid 820-02 --locoid 4039 --swversion DE.1.0.8.0 --startMP 300:58598 --initTime 2016-12-02T12:36:51 --startdatetime 2016-12-02T12:40:50 --delay 1 --endMP 204:752 --enddatetime 2016-12-02T12:54:00 --enforcementcount 0 &gt;&gt;C:\Users\stu\Documents\GitHub\eaglep3-reporting\EC\2016-12-02-refined-times.txt</v>
      </c>
      <c r="AI180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{"issue":{"subject":"","project_id":79,"tracker_id":40,"status_id":1,"priority_id":2,"assigned_to_id":23,"start_date":"2016-12-02","description":"","custom_fields":[{"id":1,"name":"Subdivision","value":"NW"},{"id":4,"name":"Milepost","value":"0.0752"},{"id":17,"name":"Train ID","value":"820-02"},{"id":16,"name":"Locomotive ID","value":"4039"},{"id":130,"name":"Impact","value":""},{"id":150,"name":"Time of Event (Mountain Time)","value":"12:54:00"},{"id":151,"name":"Denver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568</v>
      </c>
      <c r="B181" s="7">
        <v>4040</v>
      </c>
      <c r="C181" s="22" t="s">
        <v>210</v>
      </c>
      <c r="D181" s="22" t="s">
        <v>789</v>
      </c>
      <c r="E181" s="13">
        <v>42706.55096064815</v>
      </c>
      <c r="F181" s="13">
        <v>42706.556469907409</v>
      </c>
      <c r="G181" s="7">
        <v>1</v>
      </c>
      <c r="H181" s="22" t="s">
        <v>787</v>
      </c>
      <c r="I181" s="13">
        <v>42706.565671296295</v>
      </c>
      <c r="J181" s="7">
        <v>0</v>
      </c>
      <c r="K181" s="109" t="str">
        <f t="shared" si="54"/>
        <v>4039/4040</v>
      </c>
      <c r="L181" s="22" t="str">
        <f>VLOOKUP(A181,'Trips&amp;Operators'!$C$1:$G$99999,5,FALSE)</f>
        <v>DAVIDSON DAVID</v>
      </c>
      <c r="M181" s="6">
        <f t="shared" si="55"/>
        <v>9.2013888861401938E-3</v>
      </c>
      <c r="N181" s="7">
        <f t="shared" si="72"/>
        <v>13.249999996041879</v>
      </c>
      <c r="O181" s="7"/>
      <c r="P181" s="7"/>
      <c r="Q181" s="23"/>
      <c r="R181" s="23"/>
      <c r="S181" s="35">
        <f t="shared" si="73"/>
        <v>1</v>
      </c>
      <c r="T181" s="50" t="str">
        <f t="shared" si="56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12:13:23-700',mode:absolute,to:'2016-12-02 14:34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1" s="52" t="str">
        <f t="shared" si="58"/>
        <v>N</v>
      </c>
      <c r="X181" s="177">
        <f t="shared" si="71"/>
        <v>1</v>
      </c>
      <c r="Y181" s="67">
        <f t="shared" si="74"/>
        <v>0.1032</v>
      </c>
      <c r="Z181" s="67">
        <f t="shared" si="75"/>
        <v>5.8939000000000004</v>
      </c>
      <c r="AA181" s="67">
        <f t="shared" si="59"/>
        <v>5.7907000000000002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60"/>
        <v>0821-02</v>
      </c>
      <c r="AE181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81" s="88" t="str">
        <f t="shared" si="62"/>
        <v>"C:\Program Files (x86)\AstroGrep\AstroGrep.exe" /spath="%USERPROFILE%\AppData\Local\Temp\OnboardLogs" /stypes="app*4040*20161202*" /stext=" 20:.+((SYSTEM_STATE.+slice.+state.+changed )|(ment ac)|(multiple cpu faults)|(system.+state.+changed )|(\[timeout)|(PRM\|1\|D)|(kpr)|(kdp)|(\|lc)|(penalty))" /e /r /s</v>
      </c>
      <c r="AG181" s="1" t="str">
        <f t="shared" si="63"/>
        <v>NW</v>
      </c>
      <c r="AH181" s="92" t="str">
        <f t="shared" si="64"/>
        <v>"%USERPROFILE%\Documents\GitHub\eaglep3\Utilities\RefineRTDCRunTimes.py" --tripid 821-02 --locoid 4040 --swversion DE.1.0.8.0 --startMP 204:1032 --initTime 2016-12-02T13:13:23 --startdatetime 2016-12-02T13:21:19 --delay 1 --endMP 300:58939 --enddatetime 2016-12-02T13:34:34 --enforcementcount 0 &gt;&gt;C:\Users\stu\Documents\GitHub\eaglep3-reporting\EC\2016-12-02-refined-times.txt</v>
      </c>
      <c r="AI181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{"issue":{"subject":"","project_id":79,"tracker_id":40,"status_id":1,"priority_id":2,"assigned_to_id":23,"start_date":"2016-12-02","description":"","custom_fields":[{"id":1,"name":"Subdivision","value":"NW"},{"id":4,"name":"Milepost","value":"5.8939"},{"id":17,"name":"Train ID","value":"821-02"},{"id":16,"name":"Locomotive ID","value":"4040"},{"id":130,"name":"Impact","value":""},{"id":150,"name":"Time of Event (Mountain Time)","value":"13:34:34"},{"id":151,"name":"Denver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571</v>
      </c>
      <c r="B182" s="7">
        <v>4039</v>
      </c>
      <c r="C182" s="22" t="s">
        <v>210</v>
      </c>
      <c r="D182" s="22" t="s">
        <v>270</v>
      </c>
      <c r="E182" s="13">
        <v>42706.567048611112</v>
      </c>
      <c r="F182" s="13">
        <v>42706.568842592591</v>
      </c>
      <c r="G182" s="7">
        <v>1</v>
      </c>
      <c r="H182" s="22" t="s">
        <v>809</v>
      </c>
      <c r="I182" s="13">
        <v>42706.579641203702</v>
      </c>
      <c r="J182" s="7">
        <v>0</v>
      </c>
      <c r="K182" s="109" t="str">
        <f t="shared" si="54"/>
        <v>4039/4040</v>
      </c>
      <c r="L182" s="22" t="str">
        <f>VLOOKUP(A182,'Trips&amp;Operators'!$C$1:$G$99999,5,FALSE)</f>
        <v>DAVIDSON DAVID</v>
      </c>
      <c r="M182" s="6">
        <f t="shared" si="55"/>
        <v>1.0798611110658385E-2</v>
      </c>
      <c r="N182" s="7">
        <f t="shared" si="72"/>
        <v>15.549999999348074</v>
      </c>
      <c r="O182" s="7"/>
      <c r="P182" s="7"/>
      <c r="Q182" s="23"/>
      <c r="R182" s="23"/>
      <c r="S182" s="35">
        <f t="shared" si="73"/>
        <v>1</v>
      </c>
      <c r="T182" s="50" t="str">
        <f t="shared" si="56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12:36:33-700',mode:absolute,to:'2016-12-02 14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2" s="52" t="str">
        <f t="shared" si="58"/>
        <v>N</v>
      </c>
      <c r="X182" s="177">
        <f t="shared" ref="X182:X213" si="76">VALUE(LEFT(AD182,4))-VALUE(LEFT(AD181,4))</f>
        <v>1</v>
      </c>
      <c r="Y182" s="67">
        <f t="shared" si="74"/>
        <v>5.8611000000000004</v>
      </c>
      <c r="Z182" s="67">
        <f t="shared" si="75"/>
        <v>7.5700000000000003E-2</v>
      </c>
      <c r="AA182" s="67">
        <f t="shared" si="59"/>
        <v>5.7854000000000001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60"/>
        <v>0822-02</v>
      </c>
      <c r="AE182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82" s="88" t="str">
        <f t="shared" si="62"/>
        <v>"C:\Program Files (x86)\AstroGrep\AstroGrep.exe" /spath="%USERPROFILE%\AppData\Local\Temp\OnboardLogs" /stypes="app*4039*20161202*" /stext=" 20:.+((SYSTEM_STATE.+slice.+state.+changed )|(ment ac)|(multiple cpu faults)|(system.+state.+changed )|(\[timeout)|(PRM\|1\|D)|(kpr)|(kdp)|(\|lc)|(penalty))" /e /r /s</v>
      </c>
      <c r="AG182" s="1" t="str">
        <f t="shared" si="63"/>
        <v>NW</v>
      </c>
      <c r="AH182" s="92" t="str">
        <f t="shared" si="64"/>
        <v>"%USERPROFILE%\Documents\GitHub\eaglep3\Utilities\RefineRTDCRunTimes.py" --tripid 822-02 --locoid 4039 --swversion DE.1.0.8.0 --startMP 300:58611 --initTime 2016-12-02T13:36:33 --startdatetime 2016-12-02T13:39:08 --delay 1 --endMP 204:757 --enddatetime 2016-12-02T13:54:41 --enforcementcount 0 &gt;&gt;C:\Users\stu\Documents\GitHub\eaglep3-reporting\EC\2016-12-02-refined-times.txt</v>
      </c>
      <c r="AI182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{"issue":{"subject":"","project_id":79,"tracker_id":40,"status_id":1,"priority_id":2,"assigned_to_id":23,"start_date":"2016-12-02","description":"","custom_fields":[{"id":1,"name":"Subdivision","value":"NW"},{"id":4,"name":"Milepost","value":"0.0757"},{"id":17,"name":"Train ID","value":"822-02"},{"id":16,"name":"Locomotive ID","value":"4039"},{"id":130,"name":"Impact","value":""},{"id":150,"name":"Time of Event (Mountain Time)","value":"13:54:41"},{"id":151,"name":"Denver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575</v>
      </c>
      <c r="B183" s="7">
        <v>4040</v>
      </c>
      <c r="C183" s="22" t="s">
        <v>210</v>
      </c>
      <c r="D183" s="22" t="s">
        <v>810</v>
      </c>
      <c r="E183" s="13">
        <v>42706.593240740738</v>
      </c>
      <c r="F183" s="13">
        <v>42706.598113425927</v>
      </c>
      <c r="G183" s="7">
        <v>1</v>
      </c>
      <c r="H183" s="22" t="s">
        <v>428</v>
      </c>
      <c r="I183" s="13">
        <v>42706.61</v>
      </c>
      <c r="J183" s="7">
        <v>0</v>
      </c>
      <c r="K183" s="109" t="str">
        <f t="shared" si="54"/>
        <v>4039/4040</v>
      </c>
      <c r="L183" s="22" t="str">
        <f>VLOOKUP(A183,'Trips&amp;Operators'!$C$1:$G$99999,5,FALSE)</f>
        <v>DAVIDSON DAVID</v>
      </c>
      <c r="M183" s="6">
        <f t="shared" si="55"/>
        <v>1.1886574073287193E-2</v>
      </c>
      <c r="N183" s="7">
        <f t="shared" si="72"/>
        <v>17.116666665533558</v>
      </c>
      <c r="O183" s="7"/>
      <c r="P183" s="7"/>
      <c r="Q183" s="23"/>
      <c r="R183" s="23"/>
      <c r="S183" s="35">
        <f t="shared" si="73"/>
        <v>1</v>
      </c>
      <c r="T183" s="50" t="str">
        <f t="shared" si="56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13:14:16-700',mode:absolute,to:'2016-12-02 15:38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3" s="52" t="str">
        <f t="shared" si="58"/>
        <v>N</v>
      </c>
      <c r="X183" s="177">
        <f t="shared" si="76"/>
        <v>1</v>
      </c>
      <c r="Y183" s="67">
        <f t="shared" si="74"/>
        <v>0.1037</v>
      </c>
      <c r="Z183" s="67">
        <f t="shared" si="75"/>
        <v>5.8944000000000001</v>
      </c>
      <c r="AA183" s="67">
        <f t="shared" si="59"/>
        <v>5.7907000000000002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60"/>
        <v>0823-02</v>
      </c>
      <c r="AE183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83" s="88" t="str">
        <f t="shared" si="62"/>
        <v>"C:\Program Files (x86)\AstroGrep\AstroGrep.exe" /spath="%USERPROFILE%\AppData\Local\Temp\OnboardLogs" /stypes="app*4040*20161202*" /stext=" 21:.+((SYSTEM_STATE.+slice.+state.+changed )|(ment ac)|(multiple cpu faults)|(system.+state.+changed )|(\[timeout)|(PRM\|1\|D)|(kpr)|(kdp)|(\|lc)|(penalty))" /e /r /s</v>
      </c>
      <c r="AG183" s="1" t="str">
        <f t="shared" si="63"/>
        <v>NW</v>
      </c>
      <c r="AH183" s="92" t="str">
        <f t="shared" si="64"/>
        <v>"%USERPROFILE%\Documents\GitHub\eaglep3\Utilities\RefineRTDCRunTimes.py" --tripid 823-02 --locoid 4040 --swversion DE.1.0.8.0 --startMP 204:1037 --initTime 2016-12-02T14:14:16 --startdatetime 2016-12-02T14:21:17 --delay 1 --endMP 300:58944 --enddatetime 2016-12-02T14:38:24 --enforcementcount 0 &gt;&gt;C:\Users\stu\Documents\GitHub\eaglep3-reporting\EC\2016-12-02-refined-times.txt</v>
      </c>
      <c r="AI183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{"issue":{"subject":"","project_id":79,"tracker_id":40,"status_id":1,"priority_id":2,"assigned_to_id":23,"start_date":"2016-12-02","description":"","custom_fields":[{"id":1,"name":"Subdivision","value":"NW"},{"id":4,"name":"Milepost","value":"5.8944"},{"id":17,"name":"Train ID","value":"823-02"},{"id":16,"name":"Locomotive ID","value":"4040"},{"id":130,"name":"Impact","value":""},{"id":150,"name":"Time of Event (Mountain Time)","value":"14:38:24"},{"id":151,"name":"Denver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580</v>
      </c>
      <c r="B184" s="7">
        <v>4039</v>
      </c>
      <c r="C184" s="22" t="s">
        <v>210</v>
      </c>
      <c r="D184" s="22" t="s">
        <v>423</v>
      </c>
      <c r="E184" s="13">
        <v>42706.610914351855</v>
      </c>
      <c r="F184" s="13">
        <v>42706.612013888887</v>
      </c>
      <c r="G184" s="7">
        <v>0</v>
      </c>
      <c r="H184" s="22" t="s">
        <v>811</v>
      </c>
      <c r="I184" s="13">
        <v>42706.621041666665</v>
      </c>
      <c r="J184" s="7">
        <v>0</v>
      </c>
      <c r="K184" s="109" t="str">
        <f t="shared" si="54"/>
        <v>4039/4040</v>
      </c>
      <c r="L184" s="22" t="str">
        <f>VLOOKUP(A184,'Trips&amp;Operators'!$C$1:$G$99999,5,FALSE)</f>
        <v>DAVIDSON DAVID</v>
      </c>
      <c r="M184" s="6">
        <f t="shared" si="55"/>
        <v>9.0277777781011537E-3</v>
      </c>
      <c r="N184" s="7">
        <f t="shared" si="72"/>
        <v>13.000000000465661</v>
      </c>
      <c r="O184" s="7"/>
      <c r="P184" s="7"/>
      <c r="Q184" s="23"/>
      <c r="R184" s="23"/>
      <c r="S184" s="35">
        <f t="shared" si="73"/>
        <v>1</v>
      </c>
      <c r="T184" s="50" t="str">
        <f t="shared" si="56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13:39:43-700',mode:absolute,to:'2016-12-02 15:54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4" s="52" t="str">
        <f t="shared" si="58"/>
        <v>N</v>
      </c>
      <c r="X184" s="177">
        <f t="shared" si="76"/>
        <v>1</v>
      </c>
      <c r="Y184" s="67">
        <f t="shared" si="74"/>
        <v>5.8625999999999996</v>
      </c>
      <c r="Z184" s="67">
        <f t="shared" si="75"/>
        <v>7.4999999999999997E-2</v>
      </c>
      <c r="AA184" s="67">
        <f t="shared" si="59"/>
        <v>5.7875999999999994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60"/>
        <v>0824-02</v>
      </c>
      <c r="AE184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84" s="88" t="str">
        <f t="shared" si="62"/>
        <v>"C:\Program Files (x86)\AstroGrep\AstroGrep.exe" /spath="%USERPROFILE%\AppData\Local\Temp\OnboardLogs" /stypes="app*4039*20161202*" /stext=" 21:.+((SYSTEM_STATE.+slice.+state.+changed )|(ment ac)|(multiple cpu faults)|(system.+state.+changed )|(\[timeout)|(PRM\|1\|D)|(kpr)|(kdp)|(\|lc)|(penalty))" /e /r /s</v>
      </c>
      <c r="AG184" s="1" t="str">
        <f t="shared" si="63"/>
        <v>NW</v>
      </c>
      <c r="AH184" s="92" t="str">
        <f t="shared" si="64"/>
        <v>"%USERPROFILE%\Documents\GitHub\eaglep3\Utilities\RefineRTDCRunTimes.py" --tripid 824-02 --locoid 4039 --swversion DE.1.0.8.0 --startMP 300:58626 --initTime 2016-12-02T14:39:43 --startdatetime 2016-12-02T14:41:18 --delay 0 --endMP 204:750 --enddatetime 2016-12-02T14:54:18 --enforcementcount 0 &gt;&gt;C:\Users\stu\Documents\GitHub\eaglep3-reporting\EC\2016-12-02-refined-times.txt</v>
      </c>
      <c r="AI184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{"issue":{"subject":"","project_id":79,"tracker_id":40,"status_id":1,"priority_id":2,"assigned_to_id":23,"start_date":"2016-12-02","description":"","custom_fields":[{"id":1,"name":"Subdivision","value":"NW"},{"id":4,"name":"Milepost","value":"0.075"},{"id":17,"name":"Train ID","value":"824-02"},{"id":16,"name":"Locomotive ID","value":"4039"},{"id":130,"name":"Impact","value":""},{"id":150,"name":"Time of Event (Mountain Time)","value":"14:54:18"},{"id":151,"name":"Denver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451</v>
      </c>
      <c r="B185" s="7">
        <v>4040</v>
      </c>
      <c r="C185" s="22" t="s">
        <v>210</v>
      </c>
      <c r="D185" s="22" t="s">
        <v>812</v>
      </c>
      <c r="E185" s="13">
        <v>42706.62300925926</v>
      </c>
      <c r="F185" s="13">
        <v>42706.639803240738</v>
      </c>
      <c r="G185" s="7">
        <v>1</v>
      </c>
      <c r="H185" s="22" t="s">
        <v>793</v>
      </c>
      <c r="I185" s="13">
        <v>42706.649930555555</v>
      </c>
      <c r="J185" s="7">
        <v>0</v>
      </c>
      <c r="K185" s="109" t="str">
        <f t="shared" si="54"/>
        <v>4039/4040</v>
      </c>
      <c r="L185" s="22" t="str">
        <f>VLOOKUP(A185,'Trips&amp;Operators'!$C$1:$G$99999,5,FALSE)</f>
        <v>DAVIDSON DAVID</v>
      </c>
      <c r="M185" s="6">
        <f t="shared" si="55"/>
        <v>1.0127314817509614E-2</v>
      </c>
      <c r="N185" s="7">
        <f t="shared" si="72"/>
        <v>14.583333337213844</v>
      </c>
      <c r="O185" s="7"/>
      <c r="P185" s="7"/>
      <c r="Q185" s="23"/>
      <c r="R185" s="23"/>
      <c r="S185" s="35">
        <f t="shared" si="73"/>
        <v>1</v>
      </c>
      <c r="T185" s="50" t="str">
        <f t="shared" si="56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13:57:08-700',mode:absolute,to:'2016-12-02 16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5" s="52" t="str">
        <f t="shared" si="58"/>
        <v>N</v>
      </c>
      <c r="X185" s="177">
        <f t="shared" si="76"/>
        <v>1</v>
      </c>
      <c r="Y185" s="67">
        <f t="shared" si="74"/>
        <v>0.1046</v>
      </c>
      <c r="Z185" s="67">
        <f t="shared" si="75"/>
        <v>5.8948</v>
      </c>
      <c r="AA185" s="67">
        <f t="shared" si="59"/>
        <v>5.7902000000000005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60"/>
        <v>0825-02</v>
      </c>
      <c r="AE185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85" s="88" t="str">
        <f t="shared" si="62"/>
        <v>"C:\Program Files (x86)\AstroGrep\AstroGrep.exe" /spath="%USERPROFILE%\AppData\Local\Temp\OnboardLogs" /stypes="app*4040*20161202*" /stext=" 22:.+((SYSTEM_STATE.+slice.+state.+changed )|(ment ac)|(multiple cpu faults)|(system.+state.+changed )|(\[timeout)|(PRM\|1\|D)|(kpr)|(kdp)|(\|lc)|(penalty))" /e /r /s</v>
      </c>
      <c r="AG185" s="1" t="str">
        <f t="shared" si="63"/>
        <v>NW</v>
      </c>
      <c r="AH185" s="92" t="str">
        <f t="shared" si="64"/>
        <v>"%USERPROFILE%\Documents\GitHub\eaglep3\Utilities\RefineRTDCRunTimes.py" --tripid 825-02 --locoid 4040 --swversion DE.1.0.8.0 --startMP 204:1046 --initTime 2016-12-02T14:57:08 --startdatetime 2016-12-02T15:21:19 --delay 1 --endMP 300:58948 --enddatetime 2016-12-02T15:35:54 --enforcementcount 0 &gt;&gt;C:\Users\stu\Documents\GitHub\eaglep3-reporting\EC\2016-12-02-refined-times.txt</v>
      </c>
      <c r="AI185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{"issue":{"subject":"","project_id":79,"tracker_id":40,"status_id":1,"priority_id":2,"assigned_to_id":23,"start_date":"2016-12-02","description":"","custom_fields":[{"id":1,"name":"Subdivision","value":"NW"},{"id":4,"name":"Milepost","value":"5.8948"},{"id":17,"name":"Train ID","value":"825-02"},{"id":16,"name":"Locomotive ID","value":"4040"},{"id":130,"name":"Impact","value":""},{"id":150,"name":"Time of Event (Mountain Time)","value":"15:35:54"},{"id":151,"name":"Denver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590</v>
      </c>
      <c r="B186" s="7">
        <v>4039</v>
      </c>
      <c r="C186" s="22" t="s">
        <v>210</v>
      </c>
      <c r="D186" s="22" t="s">
        <v>813</v>
      </c>
      <c r="E186" s="13">
        <v>42706.650949074072</v>
      </c>
      <c r="F186" s="13">
        <v>42706.652754629627</v>
      </c>
      <c r="G186" s="7">
        <v>1</v>
      </c>
      <c r="H186" s="22" t="s">
        <v>814</v>
      </c>
      <c r="I186" s="13">
        <v>42706.664456018516</v>
      </c>
      <c r="J186" s="7">
        <v>0</v>
      </c>
      <c r="K186" s="109" t="str">
        <f t="shared" si="54"/>
        <v>4039/4040</v>
      </c>
      <c r="L186" s="22" t="str">
        <f>VLOOKUP(A186,'Trips&amp;Operators'!$C$1:$G$99999,5,FALSE)</f>
        <v>DAVIDSON DAVID</v>
      </c>
      <c r="M186" s="6">
        <f t="shared" si="55"/>
        <v>1.17013888884685E-2</v>
      </c>
      <c r="N186" s="7">
        <f t="shared" si="72"/>
        <v>16.84999999939464</v>
      </c>
      <c r="O186" s="7"/>
      <c r="P186" s="7"/>
      <c r="Q186" s="23"/>
      <c r="R186" s="23"/>
      <c r="S186" s="35">
        <f t="shared" si="73"/>
        <v>1</v>
      </c>
      <c r="T186" s="50" t="str">
        <f t="shared" si="56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14:37:22-700',mode:absolute,to:'2016-12-02 16:56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6" s="52" t="str">
        <f t="shared" si="58"/>
        <v>N</v>
      </c>
      <c r="X186" s="177">
        <f t="shared" si="76"/>
        <v>1</v>
      </c>
      <c r="Y186" s="67">
        <f t="shared" si="74"/>
        <v>5.8632</v>
      </c>
      <c r="Z186" s="67">
        <f t="shared" si="75"/>
        <v>7.5899999999999995E-2</v>
      </c>
      <c r="AA186" s="67">
        <f t="shared" si="59"/>
        <v>5.7873000000000001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60"/>
        <v>0826-02</v>
      </c>
      <c r="AE186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86" s="88" t="str">
        <f t="shared" si="62"/>
        <v>"C:\Program Files (x86)\AstroGrep\AstroGrep.exe" /spath="%USERPROFILE%\AppData\Local\Temp\OnboardLogs" /stypes="app*4039*20161202*" /stext=" 22:.+((SYSTEM_STATE.+slice.+state.+changed )|(ment ac)|(multiple cpu faults)|(system.+state.+changed )|(\[timeout)|(PRM\|1\|D)|(kpr)|(kdp)|(\|lc)|(penalty))" /e /r /s</v>
      </c>
      <c r="AG186" s="1" t="str">
        <f t="shared" si="63"/>
        <v>NW</v>
      </c>
      <c r="AH186" s="92" t="str">
        <f t="shared" si="64"/>
        <v>"%USERPROFILE%\Documents\GitHub\eaglep3\Utilities\RefineRTDCRunTimes.py" --tripid 826-02 --locoid 4039 --swversion DE.1.0.8.0 --startMP 300:58632 --initTime 2016-12-02T15:37:22 --startdatetime 2016-12-02T15:39:58 --delay 1 --endMP 204:759 --enddatetime 2016-12-02T15:56:49 --enforcementcount 0 &gt;&gt;C:\Users\stu\Documents\GitHub\eaglep3-reporting\EC\2016-12-02-refined-times.txt</v>
      </c>
      <c r="AI186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{"issue":{"subject":"","project_id":79,"tracker_id":40,"status_id":1,"priority_id":2,"assigned_to_id":23,"start_date":"2016-12-02","description":"","custom_fields":[{"id":1,"name":"Subdivision","value":"NW"},{"id":4,"name":"Milepost","value":"0.0759"},{"id":17,"name":"Train ID","value":"826-02"},{"id":16,"name":"Locomotive ID","value":"4039"},{"id":130,"name":"Impact","value":""},{"id":150,"name":"Time of Event (Mountain Time)","value":"15:56:49"},{"id":151,"name":"Denver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588</v>
      </c>
      <c r="B187" s="7">
        <v>4016</v>
      </c>
      <c r="C187" s="22" t="s">
        <v>210</v>
      </c>
      <c r="D187" s="22" t="s">
        <v>815</v>
      </c>
      <c r="E187" s="13">
        <v>42706.646631944444</v>
      </c>
      <c r="F187" s="13">
        <v>42706.66070601852</v>
      </c>
      <c r="G187" s="7">
        <v>1</v>
      </c>
      <c r="H187" s="22" t="s">
        <v>426</v>
      </c>
      <c r="I187" s="13">
        <v>42706.670127314814</v>
      </c>
      <c r="J187" s="7">
        <v>0</v>
      </c>
      <c r="K187" s="109" t="str">
        <f t="shared" si="54"/>
        <v>4015/4016</v>
      </c>
      <c r="L187" s="22" t="str">
        <f>VLOOKUP(A187,'Trips&amp;Operators'!$C$1:$G$99999,5,FALSE)</f>
        <v>NEWELL JAMES</v>
      </c>
      <c r="M187" s="6">
        <f t="shared" si="55"/>
        <v>9.4212962940218858E-3</v>
      </c>
      <c r="N187" s="7">
        <f t="shared" ref="N187:N218" si="77">24*60*SUM($M187:$M187)</f>
        <v>13.566666663391516</v>
      </c>
      <c r="O187" s="7"/>
      <c r="P187" s="7"/>
      <c r="Q187" s="23"/>
      <c r="R187" s="23"/>
      <c r="S187" s="35">
        <f t="shared" ref="S187:S218" si="78">SUM(U187:U187)/IF(AG187="EC",12,1)</f>
        <v>1</v>
      </c>
      <c r="T187" s="50" t="str">
        <f t="shared" si="56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14:31:09-700',mode:absolute,to:'2016-12-02 17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7" s="52" t="str">
        <f t="shared" si="58"/>
        <v>N</v>
      </c>
      <c r="X187" s="177">
        <f t="shared" si="76"/>
        <v>1</v>
      </c>
      <c r="Y187" s="67">
        <f t="shared" si="74"/>
        <v>9.4799999999999995E-2</v>
      </c>
      <c r="Z187" s="67">
        <f t="shared" si="75"/>
        <v>5.8924000000000003</v>
      </c>
      <c r="AA187" s="67">
        <f t="shared" si="59"/>
        <v>5.7976000000000001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60"/>
        <v>0827-02</v>
      </c>
      <c r="AE187" s="91" t="str">
        <f t="shared" si="61"/>
        <v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v>
      </c>
      <c r="AF187" s="88" t="str">
        <f t="shared" si="62"/>
        <v>"C:\Program Files (x86)\AstroGrep\AstroGrep.exe" /spath="%USERPROFILE%\AppData\Local\Temp\OnboardLogs" /stypes="app*4016*20161202*" /stext=" 23:.+((SYSTEM_STATE.+slice.+state.+changed )|(ment ac)|(multiple cpu faults)|(system.+state.+changed )|(\[timeout)|(PRM\|1\|D)|(kpr)|(kdp)|(\|lc)|(penalty))" /e /r /s</v>
      </c>
      <c r="AG187" s="1" t="str">
        <f t="shared" si="63"/>
        <v>NW</v>
      </c>
      <c r="AH187" s="92" t="str">
        <f t="shared" si="64"/>
        <v>"%USERPROFILE%\Documents\GitHub\eaglep3\Utilities\RefineRTDCRunTimes.py" --tripid 827-02 --locoid 4016 --swversion DE.1.0.8.0 --startMP 204:948 --initTime 2016-12-02T15:31:09 --startdatetime 2016-12-02T15:51:25 --delay 1 --endMP 300:58924 --enddatetime 2016-12-02T16:04:59 --enforcementcount 0 &gt;&gt;C:\Users\stu\Documents\GitHub\eaglep3-reporting\EC\2016-12-02-refined-times.txt</v>
      </c>
      <c r="AI187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{"issue":{"subject":"","project_id":79,"tracker_id":40,"status_id":1,"priority_id":2,"assigned_to_id":23,"start_date":"2016-12-02","description":"","custom_fields":[{"id":1,"name":"Subdivision","value":"NW"},{"id":4,"name":"Milepost","value":"5.8924"},{"id":17,"name":"Train ID","value":"827-02"},{"id":16,"name":"Locomotive ID","value":"4016"},{"id":130,"name":"Impact","value":""},{"id":150,"name":"Time of Event (Mountain Time)","value":"16:04:59"},{"id":151,"name":"Denver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453</v>
      </c>
      <c r="B188" s="7">
        <v>4015</v>
      </c>
      <c r="C188" s="22" t="s">
        <v>210</v>
      </c>
      <c r="D188" s="22" t="s">
        <v>802</v>
      </c>
      <c r="E188" s="13">
        <v>42706.671111111114</v>
      </c>
      <c r="F188" s="13">
        <v>42706.672222222223</v>
      </c>
      <c r="G188" s="7">
        <v>1</v>
      </c>
      <c r="H188" s="22" t="s">
        <v>816</v>
      </c>
      <c r="I188" s="13">
        <v>42706.685127314813</v>
      </c>
      <c r="J188" s="7">
        <v>0</v>
      </c>
      <c r="K188" s="109" t="str">
        <f t="shared" si="54"/>
        <v>4015/4016</v>
      </c>
      <c r="L188" s="22" t="str">
        <f>VLOOKUP(A188,'Trips&amp;Operators'!$C$1:$G$99999,5,FALSE)</f>
        <v>NEWELL JAMES</v>
      </c>
      <c r="M188" s="6">
        <f t="shared" si="55"/>
        <v>1.2905092589790002E-2</v>
      </c>
      <c r="N188" s="7">
        <f t="shared" si="77"/>
        <v>18.583333329297602</v>
      </c>
      <c r="O188" s="7"/>
      <c r="P188" s="7"/>
      <c r="Q188" s="23"/>
      <c r="R188" s="23"/>
      <c r="S188" s="35">
        <f t="shared" si="78"/>
        <v>1</v>
      </c>
      <c r="T188" s="50" t="str">
        <f t="shared" si="56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15:06:24-700',mode:absolute,to:'2016-12-02 17:26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8" s="52" t="str">
        <f t="shared" si="58"/>
        <v>N</v>
      </c>
      <c r="X188" s="177">
        <f t="shared" si="76"/>
        <v>1</v>
      </c>
      <c r="Y188" s="67">
        <f t="shared" si="74"/>
        <v>5.8605999999999998</v>
      </c>
      <c r="Z188" s="67">
        <f t="shared" si="75"/>
        <v>6.6100000000000006E-2</v>
      </c>
      <c r="AA188" s="67">
        <f t="shared" si="59"/>
        <v>5.7945000000000002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60"/>
        <v>0828-02</v>
      </c>
      <c r="AE188" s="91" t="str">
        <f t="shared" si="61"/>
        <v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v>
      </c>
      <c r="AF188" s="88" t="str">
        <f t="shared" si="62"/>
        <v>"C:\Program Files (x86)\AstroGrep\AstroGrep.exe" /spath="%USERPROFILE%\AppData\Local\Temp\OnboardLogs" /stypes="app*4015*20161202*" /stext=" 23:.+((SYSTEM_STATE.+slice.+state.+changed )|(ment ac)|(multiple cpu faults)|(system.+state.+changed )|(\[timeout)|(PRM\|1\|D)|(kpr)|(kdp)|(\|lc)|(penalty))" /e /r /s</v>
      </c>
      <c r="AG188" s="1" t="str">
        <f t="shared" si="63"/>
        <v>NW</v>
      </c>
      <c r="AH188" s="92" t="str">
        <f t="shared" si="64"/>
        <v>"%USERPROFILE%\Documents\GitHub\eaglep3\Utilities\RefineRTDCRunTimes.py" --tripid 828-02 --locoid 4015 --swversion DE.1.0.8.0 --startMP 300:58606 --initTime 2016-12-02T16:06:24 --startdatetime 2016-12-02T16:08:00 --delay 1 --endMP 204:661 --enddatetime 2016-12-02T16:26:35 --enforcementcount 0 &gt;&gt;C:\Users\stu\Documents\GitHub\eaglep3-reporting\EC\2016-12-02-refined-times.txt</v>
      </c>
      <c r="AI188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{"issue":{"subject":"","project_id":79,"tracker_id":40,"status_id":1,"priority_id":2,"assigned_to_id":23,"start_date":"2016-12-02","description":"","custom_fields":[{"id":1,"name":"Subdivision","value":"NW"},{"id":4,"name":"Milepost","value":"0.0661"},{"id":17,"name":"Train ID","value":"828-02"},{"id":16,"name":"Locomotive ID","value":"4015"},{"id":130,"name":"Impact","value":""},{"id":150,"name":"Time of Event (Mountain Time)","value":"16:26:35"},{"id":151,"name":"Denver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596</v>
      </c>
      <c r="B189" s="7">
        <v>4040</v>
      </c>
      <c r="C189" s="22" t="s">
        <v>210</v>
      </c>
      <c r="D189" s="22" t="s">
        <v>810</v>
      </c>
      <c r="E189" s="13">
        <v>42706.675300925926</v>
      </c>
      <c r="F189" s="13">
        <v>42706.681469907409</v>
      </c>
      <c r="G189" s="7">
        <v>1</v>
      </c>
      <c r="H189" s="22" t="s">
        <v>801</v>
      </c>
      <c r="I189" s="13">
        <v>42706.69263888889</v>
      </c>
      <c r="J189" s="7">
        <v>0</v>
      </c>
      <c r="K189" s="109" t="str">
        <f t="shared" si="54"/>
        <v>4039/4040</v>
      </c>
      <c r="L189" s="22" t="str">
        <f>VLOOKUP(A189,'Trips&amp;Operators'!$C$1:$G$99999,5,FALSE)</f>
        <v>DAVIDSON DAVID</v>
      </c>
      <c r="M189" s="6">
        <f t="shared" si="55"/>
        <v>1.116898148029577E-2</v>
      </c>
      <c r="N189" s="7">
        <f t="shared" si="77"/>
        <v>16.083333331625909</v>
      </c>
      <c r="O189" s="7"/>
      <c r="P189" s="7"/>
      <c r="Q189" s="23"/>
      <c r="R189" s="23"/>
      <c r="S189" s="35">
        <f t="shared" si="78"/>
        <v>1</v>
      </c>
      <c r="T189" s="50" t="str">
        <f t="shared" si="56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15:12:26-700',mode:absolute,to:'2016-12-02 17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9" s="52" t="str">
        <f t="shared" si="58"/>
        <v>N</v>
      </c>
      <c r="X189" s="177">
        <f t="shared" si="76"/>
        <v>1</v>
      </c>
      <c r="Y189" s="67">
        <f t="shared" si="74"/>
        <v>0.1037</v>
      </c>
      <c r="Z189" s="67">
        <f t="shared" si="75"/>
        <v>5.8933</v>
      </c>
      <c r="AA189" s="67">
        <f t="shared" si="59"/>
        <v>5.7896000000000001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60"/>
        <v>0829-02</v>
      </c>
      <c r="AE189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89" s="88" t="str">
        <f t="shared" si="62"/>
        <v>"C:\Program Files (x86)\AstroGrep\AstroGrep.exe" /spath="%USERPROFILE%\AppData\Local\Temp\OnboardLogs" /stypes="app*4040*20161202*" /stext=" 23:.+((SYSTEM_STATE.+slice.+state.+changed )|(ment ac)|(multiple cpu faults)|(system.+state.+changed )|(\[timeout)|(PRM\|1\|D)|(kpr)|(kdp)|(\|lc)|(penalty))" /e /r /s</v>
      </c>
      <c r="AG189" s="1" t="str">
        <f t="shared" si="63"/>
        <v>NW</v>
      </c>
      <c r="AH189" s="92" t="str">
        <f t="shared" si="64"/>
        <v>"%USERPROFILE%\Documents\GitHub\eaglep3\Utilities\RefineRTDCRunTimes.py" --tripid 829-02 --locoid 4040 --swversion DE.1.0.8.0 --startMP 204:1037 --initTime 2016-12-02T16:12:26 --startdatetime 2016-12-02T16:21:19 --delay 1 --endMP 300:58933 --enddatetime 2016-12-02T16:37:24 --enforcementcount 0 &gt;&gt;C:\Users\stu\Documents\GitHub\eaglep3-reporting\EC\2016-12-02-refined-times.txt</v>
      </c>
      <c r="AI189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{"issue":{"subject":"","project_id":79,"tracker_id":40,"status_id":1,"priority_id":2,"assigned_to_id":23,"start_date":"2016-12-02","description":"","custom_fields":[{"id":1,"name":"Subdivision","value":"NW"},{"id":4,"name":"Milepost","value":"5.8933"},{"id":17,"name":"Train ID","value":"829-02"},{"id":16,"name":"Locomotive ID","value":"4040"},{"id":130,"name":"Impact","value":""},{"id":150,"name":"Time of Event (Mountain Time)","value":"16:37:24"},{"id":151,"name":"Denver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602</v>
      </c>
      <c r="B190" s="7">
        <v>4039</v>
      </c>
      <c r="C190" s="22" t="s">
        <v>210</v>
      </c>
      <c r="D190" s="22" t="s">
        <v>798</v>
      </c>
      <c r="E190" s="13">
        <v>42706.693796296298</v>
      </c>
      <c r="F190" s="13">
        <v>42706.695138888892</v>
      </c>
      <c r="G190" s="7">
        <v>1</v>
      </c>
      <c r="H190" s="22" t="s">
        <v>794</v>
      </c>
      <c r="I190" s="13">
        <v>42706.706493055557</v>
      </c>
      <c r="J190" s="7">
        <v>0</v>
      </c>
      <c r="K190" s="109" t="str">
        <f t="shared" si="54"/>
        <v>4039/4040</v>
      </c>
      <c r="L190" s="22" t="str">
        <f>VLOOKUP(A190,'Trips&amp;Operators'!$C$1:$G$99999,5,FALSE)</f>
        <v>DAVIDSON DAVID</v>
      </c>
      <c r="M190" s="6">
        <f t="shared" si="55"/>
        <v>1.1354166665114462E-2</v>
      </c>
      <c r="N190" s="7">
        <f t="shared" si="77"/>
        <v>16.349999997764826</v>
      </c>
      <c r="O190" s="7"/>
      <c r="P190" s="7"/>
      <c r="Q190" s="23"/>
      <c r="R190" s="23"/>
      <c r="S190" s="35">
        <f t="shared" si="78"/>
        <v>1</v>
      </c>
      <c r="T190" s="50" t="str">
        <f t="shared" si="56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15:39:04-700',mode:absolute,to:'2016-12-02 17:57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0" s="52" t="str">
        <f t="shared" si="58"/>
        <v>N</v>
      </c>
      <c r="X190" s="177">
        <f t="shared" si="76"/>
        <v>1</v>
      </c>
      <c r="Y190" s="67">
        <f t="shared" si="74"/>
        <v>5.8601999999999999</v>
      </c>
      <c r="Z190" s="67">
        <f t="shared" si="75"/>
        <v>7.6100000000000001E-2</v>
      </c>
      <c r="AA190" s="67">
        <f t="shared" si="59"/>
        <v>5.7840999999999996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60"/>
        <v>0830-02</v>
      </c>
      <c r="AE190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90" s="88" t="str">
        <f t="shared" si="62"/>
        <v>"C:\Program Files (x86)\AstroGrep\AstroGrep.exe" /spath="%USERPROFILE%\AppData\Local\Temp\OnboardLogs" /stypes="app*4039*20161202*" /stext=" 23:.+((SYSTEM_STATE.+slice.+state.+changed )|(ment ac)|(multiple cpu faults)|(system.+state.+changed )|(\[timeout)|(PRM\|1\|D)|(kpr)|(kdp)|(\|lc)|(penalty))" /e /r /s</v>
      </c>
      <c r="AG190" s="1" t="str">
        <f t="shared" si="63"/>
        <v>NW</v>
      </c>
      <c r="AH190" s="92" t="str">
        <f t="shared" si="64"/>
        <v>"%USERPROFILE%\Documents\GitHub\eaglep3\Utilities\RefineRTDCRunTimes.py" --tripid 830-02 --locoid 4039 --swversion DE.1.0.8.0 --startMP 300:58602 --initTime 2016-12-02T16:39:04 --startdatetime 2016-12-02T16:41:00 --delay 1 --endMP 204:761 --enddatetime 2016-12-02T16:57:21 --enforcementcount 0 &gt;&gt;C:\Users\stu\Documents\GitHub\eaglep3-reporting\EC\2016-12-02-refined-times.txt</v>
      </c>
      <c r="AI190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{"issue":{"subject":"","project_id":79,"tracker_id":40,"status_id":1,"priority_id":2,"assigned_to_id":23,"start_date":"2016-12-02","description":"","custom_fields":[{"id":1,"name":"Subdivision","value":"NW"},{"id":4,"name":"Milepost","value":"0.0761"},{"id":17,"name":"Train ID","value":"830-02"},{"id":16,"name":"Locomotive ID","value":"4039"},{"id":130,"name":"Impact","value":""},{"id":150,"name":"Time of Event (Mountain Time)","value":"16:57:21"},{"id":151,"name":"Denver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599</v>
      </c>
      <c r="B191" s="7">
        <v>4016</v>
      </c>
      <c r="C191" s="22" t="s">
        <v>210</v>
      </c>
      <c r="D191" s="22" t="s">
        <v>310</v>
      </c>
      <c r="E191" s="13">
        <v>42706.686493055553</v>
      </c>
      <c r="F191" s="13">
        <v>42706.702349537038</v>
      </c>
      <c r="G191" s="7">
        <v>1</v>
      </c>
      <c r="H191" s="22" t="s">
        <v>817</v>
      </c>
      <c r="I191" s="13">
        <v>42706.711678240739</v>
      </c>
      <c r="J191" s="7">
        <v>0</v>
      </c>
      <c r="K191" s="109" t="str">
        <f t="shared" si="54"/>
        <v>4015/4016</v>
      </c>
      <c r="L191" s="22" t="str">
        <f>VLOOKUP(A191,'Trips&amp;Operators'!$C$1:$G$99999,5,FALSE)</f>
        <v>NEWELL JAMES</v>
      </c>
      <c r="M191" s="6">
        <f t="shared" si="55"/>
        <v>9.3287037016125396E-3</v>
      </c>
      <c r="N191" s="7">
        <f t="shared" si="77"/>
        <v>13.433333330322057</v>
      </c>
      <c r="O191" s="7"/>
      <c r="P191" s="7"/>
      <c r="Q191" s="23"/>
      <c r="R191" s="23"/>
      <c r="S191" s="35">
        <f t="shared" si="78"/>
        <v>1</v>
      </c>
      <c r="T191" s="50" t="str">
        <f t="shared" si="56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15:28:33-700',mode:absolute,to:'2016-12-02 18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1" s="52" t="str">
        <f t="shared" si="58"/>
        <v>N</v>
      </c>
      <c r="X191" s="177">
        <f t="shared" si="76"/>
        <v>1</v>
      </c>
      <c r="Y191" s="67">
        <f t="shared" si="74"/>
        <v>9.7799999999999998E-2</v>
      </c>
      <c r="Z191" s="67">
        <f t="shared" si="75"/>
        <v>5.8917999999999999</v>
      </c>
      <c r="AA191" s="67">
        <f t="shared" si="59"/>
        <v>5.7939999999999996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60"/>
        <v>0831-02</v>
      </c>
      <c r="AE191" s="91" t="str">
        <f t="shared" si="61"/>
        <v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v>
      </c>
      <c r="AF191" s="88" t="str">
        <f t="shared" si="62"/>
        <v>"C:\Program Files (x86)\AstroGrep\AstroGrep.exe" /spath="%USERPROFILE%\AppData\Local\Temp\OnboardLogs" /stypes="app*4016*20161203*" /stext=" 00:.+((SYSTEM_STATE.+slice.+state.+changed )|(ment ac)|(multiple cpu faults)|(system.+state.+changed )|(\[timeout)|(PRM\|1\|D)|(kpr)|(kdp)|(\|lc)|(penalty))" /e /r /s</v>
      </c>
      <c r="AG191" s="1" t="str">
        <f t="shared" si="63"/>
        <v>NW</v>
      </c>
      <c r="AH191" s="92" t="str">
        <f t="shared" si="64"/>
        <v>"%USERPROFILE%\Documents\GitHub\eaglep3\Utilities\RefineRTDCRunTimes.py" --tripid 831-02 --locoid 4016 --swversion DE.1.0.8.0 --startMP 204:978 --initTime 2016-12-02T16:28:33 --startdatetime 2016-12-02T16:51:23 --delay 1 --endMP 300:58918 --enddatetime 2016-12-02T17:04:49 --enforcementcount 0 &gt;&gt;C:\Users\stu\Documents\GitHub\eaglep3-reporting\EC\2016-12-02-refined-times.txt</v>
      </c>
      <c r="AI191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{"issue":{"subject":"","project_id":79,"tracker_id":40,"status_id":1,"priority_id":2,"assigned_to_id":23,"start_date":"2016-12-02","description":"","custom_fields":[{"id":1,"name":"Subdivision","value":"NW"},{"id":4,"name":"Milepost","value":"5.8918"},{"id":17,"name":"Train ID","value":"831-02"},{"id":16,"name":"Locomotive ID","value":"4016"},{"id":130,"name":"Impact","value":""},{"id":150,"name":"Time of Event (Mountain Time)","value":"17:04:49"},{"id":151,"name":"Denver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605</v>
      </c>
      <c r="B192" s="7">
        <v>4015</v>
      </c>
      <c r="C192" s="22" t="s">
        <v>210</v>
      </c>
      <c r="D192" s="22" t="s">
        <v>802</v>
      </c>
      <c r="E192" s="13">
        <v>42706.712465277778</v>
      </c>
      <c r="F192" s="13">
        <v>42706.713576388887</v>
      </c>
      <c r="G192" s="7">
        <v>0</v>
      </c>
      <c r="H192" s="22" t="s">
        <v>816</v>
      </c>
      <c r="I192" s="13">
        <v>42706.726319444446</v>
      </c>
      <c r="J192" s="7">
        <v>0</v>
      </c>
      <c r="K192" s="109" t="str">
        <f t="shared" si="54"/>
        <v>4015/4016</v>
      </c>
      <c r="L192" s="22" t="str">
        <f>VLOOKUP(A192,'Trips&amp;Operators'!$C$1:$G$99999,5,FALSE)</f>
        <v>NEWELL JAMES</v>
      </c>
      <c r="M192" s="6">
        <f t="shared" si="55"/>
        <v>1.2743055558530614E-2</v>
      </c>
      <c r="N192" s="7">
        <f t="shared" si="77"/>
        <v>18.350000004284084</v>
      </c>
      <c r="O192" s="7"/>
      <c r="P192" s="7"/>
      <c r="Q192" s="23"/>
      <c r="R192" s="23"/>
      <c r="S192" s="35">
        <f t="shared" si="78"/>
        <v>1</v>
      </c>
      <c r="T192" s="50" t="str">
        <f t="shared" si="56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16:05:57-700',mode:absolute,to:'2016-12-02 18:25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2" s="52" t="str">
        <f t="shared" si="58"/>
        <v>N</v>
      </c>
      <c r="X192" s="177">
        <f t="shared" si="76"/>
        <v>1</v>
      </c>
      <c r="Y192" s="67">
        <f t="shared" si="74"/>
        <v>5.8605999999999998</v>
      </c>
      <c r="Z192" s="67">
        <f t="shared" si="75"/>
        <v>6.6100000000000006E-2</v>
      </c>
      <c r="AA192" s="67">
        <f t="shared" si="59"/>
        <v>5.7945000000000002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60"/>
        <v>0832-02</v>
      </c>
      <c r="AE192" s="91" t="str">
        <f t="shared" si="61"/>
        <v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v>
      </c>
      <c r="AF192" s="88" t="str">
        <f t="shared" si="62"/>
        <v>"C:\Program Files (x86)\AstroGrep\AstroGrep.exe" /spath="%USERPROFILE%\AppData\Local\Temp\OnboardLogs" /stypes="app*4015*20161203*" /stext=" 00:.+((SYSTEM_STATE.+slice.+state.+changed )|(ment ac)|(multiple cpu faults)|(system.+state.+changed )|(\[timeout)|(PRM\|1\|D)|(kpr)|(kdp)|(\|lc)|(penalty))" /e /r /s</v>
      </c>
      <c r="AG192" s="1" t="str">
        <f t="shared" si="63"/>
        <v>NW</v>
      </c>
      <c r="AH192" s="92" t="str">
        <f t="shared" si="64"/>
        <v>"%USERPROFILE%\Documents\GitHub\eaglep3\Utilities\RefineRTDCRunTimes.py" --tripid 832-02 --locoid 4015 --swversion DE.1.0.8.0 --startMP 300:58606 --initTime 2016-12-02T17:05:57 --startdatetime 2016-12-02T17:07:33 --delay 0 --endMP 204:661 --enddatetime 2016-12-02T17:25:54 --enforcementcount 0 &gt;&gt;C:\Users\stu\Documents\GitHub\eaglep3-reporting\EC\2016-12-02-refined-times.txt</v>
      </c>
      <c r="AI192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{"issue":{"subject":"","project_id":79,"tracker_id":40,"status_id":1,"priority_id":2,"assigned_to_id":23,"start_date":"2016-12-02","description":"","custom_fields":[{"id":1,"name":"Subdivision","value":"NW"},{"id":4,"name":"Milepost","value":"0.0661"},{"id":17,"name":"Train ID","value":"832-02"},{"id":16,"name":"Locomotive ID","value":"4015"},{"id":130,"name":"Impact","value":""},{"id":150,"name":"Time of Event (Mountain Time)","value":"17:25:54"},{"id":151,"name":"Denver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608</v>
      </c>
      <c r="B193" s="7">
        <v>4040</v>
      </c>
      <c r="C193" s="22" t="s">
        <v>210</v>
      </c>
      <c r="D193" s="22" t="s">
        <v>818</v>
      </c>
      <c r="E193" s="13">
        <v>42706.718171296299</v>
      </c>
      <c r="F193" s="13">
        <v>42706.723541666666</v>
      </c>
      <c r="G193" s="7">
        <v>1</v>
      </c>
      <c r="H193" s="22" t="s">
        <v>311</v>
      </c>
      <c r="I193" s="13">
        <v>42706.733865740738</v>
      </c>
      <c r="J193" s="7">
        <v>0</v>
      </c>
      <c r="K193" s="109" t="str">
        <f t="shared" si="54"/>
        <v>4039/4040</v>
      </c>
      <c r="L193" s="22" t="str">
        <f>VLOOKUP(A193,'Trips&amp;Operators'!$C$1:$G$99999,5,FALSE)</f>
        <v>DAVIDSON DAVID</v>
      </c>
      <c r="M193" s="6">
        <f t="shared" si="55"/>
        <v>1.0324074071832001E-2</v>
      </c>
      <c r="N193" s="7">
        <f t="shared" si="77"/>
        <v>14.866666663438082</v>
      </c>
      <c r="O193" s="7"/>
      <c r="P193" s="7"/>
      <c r="Q193" s="23"/>
      <c r="R193" s="23"/>
      <c r="S193" s="35">
        <f t="shared" si="78"/>
        <v>1</v>
      </c>
      <c r="T193" s="50" t="str">
        <f t="shared" si="56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16:14:10-700',mode:absolute,to:'2016-12-02 18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3" s="52" t="str">
        <f t="shared" si="58"/>
        <v>N</v>
      </c>
      <c r="X193" s="177">
        <f t="shared" si="76"/>
        <v>1</v>
      </c>
      <c r="Y193" s="67">
        <f t="shared" si="74"/>
        <v>0.10340000000000001</v>
      </c>
      <c r="Z193" s="67">
        <f t="shared" si="75"/>
        <v>5.8935000000000004</v>
      </c>
      <c r="AA193" s="67">
        <f t="shared" si="59"/>
        <v>5.7901000000000007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60"/>
        <v>0833-02</v>
      </c>
      <c r="AE193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93" s="88" t="str">
        <f t="shared" si="62"/>
        <v>"C:\Program Files (x86)\AstroGrep\AstroGrep.exe" /spath="%USERPROFILE%\AppData\Local\Temp\OnboardLogs" /stypes="app*4040*20161203*" /stext=" 00:.+((SYSTEM_STATE.+slice.+state.+changed )|(ment ac)|(multiple cpu faults)|(system.+state.+changed )|(\[timeout)|(PRM\|1\|D)|(kpr)|(kdp)|(\|lc)|(penalty))" /e /r /s</v>
      </c>
      <c r="AG193" s="1" t="str">
        <f t="shared" si="63"/>
        <v>NW</v>
      </c>
      <c r="AH193" s="92" t="str">
        <f t="shared" si="64"/>
        <v>"%USERPROFILE%\Documents\GitHub\eaglep3\Utilities\RefineRTDCRunTimes.py" --tripid 833-02 --locoid 4040 --swversion DE.1.0.8.0 --startMP 204:1034 --initTime 2016-12-02T17:14:10 --startdatetime 2016-12-02T17:21:54 --delay 1 --endMP 300:58935 --enddatetime 2016-12-02T17:36:46 --enforcementcount 0 &gt;&gt;C:\Users\stu\Documents\GitHub\eaglep3-reporting\EC\2016-12-02-refined-times.txt</v>
      </c>
      <c r="AI193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{"issue":{"subject":"","project_id":79,"tracker_id":40,"status_id":1,"priority_id":2,"assigned_to_id":23,"start_date":"2016-12-02","description":"","custom_fields":[{"id":1,"name":"Subdivision","value":"NW"},{"id":4,"name":"Milepost","value":"5.8935"},{"id":17,"name":"Train ID","value":"833-02"},{"id":16,"name":"Locomotive ID","value":"4040"},{"id":130,"name":"Impact","value":""},{"id":150,"name":"Time of Event (Mountain Time)","value":"17:36:46"},{"id":151,"name":"Denver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613</v>
      </c>
      <c r="B194" s="7">
        <v>4039</v>
      </c>
      <c r="C194" s="22" t="s">
        <v>210</v>
      </c>
      <c r="D194" s="22" t="s">
        <v>819</v>
      </c>
      <c r="E194" s="13">
        <v>42706.734988425924</v>
      </c>
      <c r="F194" s="13">
        <v>42706.736377314817</v>
      </c>
      <c r="G194" s="7">
        <v>1</v>
      </c>
      <c r="H194" s="22" t="s">
        <v>420</v>
      </c>
      <c r="I194" s="13">
        <v>42706.749293981484</v>
      </c>
      <c r="J194" s="7">
        <v>0</v>
      </c>
      <c r="K194" s="109" t="str">
        <f t="shared" si="54"/>
        <v>4039/4040</v>
      </c>
      <c r="L194" s="22" t="str">
        <f>VLOOKUP(A194,'Trips&amp;Operators'!$C$1:$G$99999,5,FALSE)</f>
        <v>DAVIDSON DAVID</v>
      </c>
      <c r="M194" s="6">
        <f t="shared" si="55"/>
        <v>1.2916666666569654E-2</v>
      </c>
      <c r="N194" s="7">
        <f t="shared" si="77"/>
        <v>18.599999999860302</v>
      </c>
      <c r="O194" s="7"/>
      <c r="P194" s="7"/>
      <c r="Q194" s="23"/>
      <c r="R194" s="23"/>
      <c r="S194" s="35">
        <f t="shared" si="78"/>
        <v>1</v>
      </c>
      <c r="T194" s="50" t="str">
        <f t="shared" si="56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16:38:23-700',mode:absolute,to:'2016-12-02 18:58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4" s="52" t="str">
        <f t="shared" si="58"/>
        <v>N</v>
      </c>
      <c r="X194" s="177">
        <f t="shared" si="76"/>
        <v>1</v>
      </c>
      <c r="Y194" s="67">
        <f t="shared" si="74"/>
        <v>5.8608000000000002</v>
      </c>
      <c r="Z194" s="67">
        <f t="shared" si="75"/>
        <v>7.3099999999999998E-2</v>
      </c>
      <c r="AA194" s="67">
        <f t="shared" si="59"/>
        <v>5.7877000000000001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60"/>
        <v>0834-02</v>
      </c>
      <c r="AE194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94" s="88" t="str">
        <f t="shared" si="62"/>
        <v>"C:\Program Files (x86)\AstroGrep\AstroGrep.exe" /spath="%USERPROFILE%\AppData\Local\Temp\OnboardLogs" /stypes="app*4039*20161203*" /stext=" 00:.+((SYSTEM_STATE.+slice.+state.+changed )|(ment ac)|(multiple cpu faults)|(system.+state.+changed )|(\[timeout)|(PRM\|1\|D)|(kpr)|(kdp)|(\|lc)|(penalty))" /e /r /s</v>
      </c>
      <c r="AG194" s="1" t="str">
        <f t="shared" si="63"/>
        <v>NW</v>
      </c>
      <c r="AH194" s="92" t="str">
        <f t="shared" si="64"/>
        <v>"%USERPROFILE%\Documents\GitHub\eaglep3\Utilities\RefineRTDCRunTimes.py" --tripid 834-02 --locoid 4039 --swversion DE.1.0.8.0 --startMP 300:58608 --initTime 2016-12-02T17:38:23 --startdatetime 2016-12-02T17:40:23 --delay 1 --endMP 204:731 --enddatetime 2016-12-02T17:58:59 --enforcementcount 0 &gt;&gt;C:\Users\stu\Documents\GitHub\eaglep3-reporting\EC\2016-12-02-refined-times.txt</v>
      </c>
      <c r="AI194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{"issue":{"subject":"","project_id":79,"tracker_id":40,"status_id":1,"priority_id":2,"assigned_to_id":23,"start_date":"2016-12-02","description":"","custom_fields":[{"id":1,"name":"Subdivision","value":"NW"},{"id":4,"name":"Milepost","value":"0.0731"},{"id":17,"name":"Train ID","value":"834-02"},{"id":16,"name":"Locomotive ID","value":"4039"},{"id":130,"name":"Impact","value":""},{"id":150,"name":"Time of Event (Mountain Time)","value":"17:58:59"},{"id":151,"name":"Denver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612</v>
      </c>
      <c r="B195" s="7">
        <v>4016</v>
      </c>
      <c r="C195" s="22" t="s">
        <v>210</v>
      </c>
      <c r="D195" s="22" t="s">
        <v>820</v>
      </c>
      <c r="E195" s="13">
        <v>42706.728321759256</v>
      </c>
      <c r="F195" s="13">
        <v>42706.744097222225</v>
      </c>
      <c r="G195" s="7">
        <v>1</v>
      </c>
      <c r="H195" s="22" t="s">
        <v>821</v>
      </c>
      <c r="I195" s="13">
        <v>42706.754062499997</v>
      </c>
      <c r="J195" s="7">
        <v>0</v>
      </c>
      <c r="K195" s="109" t="str">
        <f t="shared" si="54"/>
        <v>4015/4016</v>
      </c>
      <c r="L195" s="22" t="str">
        <f>VLOOKUP(A195,'Trips&amp;Operators'!$C$1:$G$99999,5,FALSE)</f>
        <v>NEWELL JAMES</v>
      </c>
      <c r="M195" s="6">
        <f t="shared" si="55"/>
        <v>9.965277771698311E-3</v>
      </c>
      <c r="N195" s="7">
        <f t="shared" si="77"/>
        <v>14.349999991245568</v>
      </c>
      <c r="O195" s="7"/>
      <c r="P195" s="7"/>
      <c r="Q195" s="23"/>
      <c r="R195" s="23"/>
      <c r="S195" s="35">
        <f t="shared" si="78"/>
        <v>1</v>
      </c>
      <c r="T195" s="50" t="str">
        <f t="shared" si="56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16:28:47-700',mode:absolute,to:'2016-12-02 19:05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5" s="52" t="str">
        <f t="shared" si="58"/>
        <v>N</v>
      </c>
      <c r="X195" s="177">
        <f t="shared" si="76"/>
        <v>1</v>
      </c>
      <c r="Y195" s="67">
        <f t="shared" si="74"/>
        <v>9.5699999999999993E-2</v>
      </c>
      <c r="Z195" s="67">
        <f t="shared" si="75"/>
        <v>5.8912000000000004</v>
      </c>
      <c r="AA195" s="67">
        <f t="shared" si="59"/>
        <v>5.7955000000000005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60"/>
        <v>0835-02</v>
      </c>
      <c r="AE195" s="91" t="str">
        <f t="shared" si="61"/>
        <v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v>
      </c>
      <c r="AF195" s="88" t="str">
        <f t="shared" si="62"/>
        <v>"C:\Program Files (x86)\AstroGrep\AstroGrep.exe" /spath="%USERPROFILE%\AppData\Local\Temp\OnboardLogs" /stypes="app*4016*20161203*" /stext=" 01:.+((SYSTEM_STATE.+slice.+state.+changed )|(ment ac)|(multiple cpu faults)|(system.+state.+changed )|(\[timeout)|(PRM\|1\|D)|(kpr)|(kdp)|(\|lc)|(penalty))" /e /r /s</v>
      </c>
      <c r="AG195" s="1" t="str">
        <f t="shared" si="63"/>
        <v>NW</v>
      </c>
      <c r="AH195" s="92" t="str">
        <f t="shared" si="64"/>
        <v>"%USERPROFILE%\Documents\GitHub\eaglep3\Utilities\RefineRTDCRunTimes.py" --tripid 835-02 --locoid 4016 --swversion DE.1.0.8.0 --startMP 204:957 --initTime 2016-12-02T17:28:47 --startdatetime 2016-12-02T17:51:30 --delay 1 --endMP 300:58912 --enddatetime 2016-12-02T18:05:51 --enforcementcount 0 &gt;&gt;C:\Users\stu\Documents\GitHub\eaglep3-reporting\EC\2016-12-02-refined-times.txt</v>
      </c>
      <c r="AI195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{"issue":{"subject":"","project_id":79,"tracker_id":40,"status_id":1,"priority_id":2,"assigned_to_id":23,"start_date":"2016-12-02","description":"","custom_fields":[{"id":1,"name":"Subdivision","value":"NW"},{"id":4,"name":"Milepost","value":"5.8912"},{"id":17,"name":"Train ID","value":"835-02"},{"id":16,"name":"Locomotive ID","value":"4016"},{"id":130,"name":"Impact","value":""},{"id":150,"name":"Time of Event (Mountain Time)","value":"18:05:51"},{"id":151,"name":"Denver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620</v>
      </c>
      <c r="B196" s="7">
        <v>4015</v>
      </c>
      <c r="C196" s="22" t="s">
        <v>210</v>
      </c>
      <c r="D196" s="22" t="s">
        <v>802</v>
      </c>
      <c r="E196" s="13">
        <v>42706.754837962966</v>
      </c>
      <c r="F196" s="13">
        <v>42706.756076388891</v>
      </c>
      <c r="G196" s="7">
        <v>1</v>
      </c>
      <c r="H196" s="22" t="s">
        <v>822</v>
      </c>
      <c r="I196" s="13">
        <v>42706.767557870371</v>
      </c>
      <c r="J196" s="7">
        <v>0</v>
      </c>
      <c r="K196" s="109" t="str">
        <f t="shared" si="54"/>
        <v>4015/4016</v>
      </c>
      <c r="L196" s="22" t="str">
        <f>VLOOKUP(A196,'Trips&amp;Operators'!$C$1:$G$99999,5,FALSE)</f>
        <v>NEWELL JAMES</v>
      </c>
      <c r="M196" s="6">
        <f t="shared" si="55"/>
        <v>1.1481481480586808E-2</v>
      </c>
      <c r="N196" s="7">
        <f t="shared" si="77"/>
        <v>16.533333332045004</v>
      </c>
      <c r="O196" s="7"/>
      <c r="P196" s="7"/>
      <c r="Q196" s="23"/>
      <c r="R196" s="23"/>
      <c r="S196" s="35">
        <f t="shared" si="78"/>
        <v>1</v>
      </c>
      <c r="T196" s="50" t="str">
        <f t="shared" si="56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17:06:58-700',mode:absolute,to:'2016-12-02 19:25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6" s="52" t="str">
        <f t="shared" si="58"/>
        <v>N</v>
      </c>
      <c r="X196" s="177">
        <f t="shared" si="76"/>
        <v>1</v>
      </c>
      <c r="Y196" s="67">
        <f t="shared" si="74"/>
        <v>5.8605999999999998</v>
      </c>
      <c r="Z196" s="67">
        <f t="shared" si="75"/>
        <v>6.6600000000000006E-2</v>
      </c>
      <c r="AA196" s="67">
        <f t="shared" si="59"/>
        <v>5.7939999999999996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60"/>
        <v>0836-02</v>
      </c>
      <c r="AE196" s="91" t="str">
        <f t="shared" si="61"/>
        <v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v>
      </c>
      <c r="AF196" s="88" t="str">
        <f t="shared" si="62"/>
        <v>"C:\Program Files (x86)\AstroGrep\AstroGrep.exe" /spath="%USERPROFILE%\AppData\Local\Temp\OnboardLogs" /stypes="app*4015*20161203*" /stext=" 01:.+((SYSTEM_STATE.+slice.+state.+changed )|(ment ac)|(multiple cpu faults)|(system.+state.+changed )|(\[timeout)|(PRM\|1\|D)|(kpr)|(kdp)|(\|lc)|(penalty))" /e /r /s</v>
      </c>
      <c r="AG196" s="1" t="str">
        <f t="shared" si="63"/>
        <v>NW</v>
      </c>
      <c r="AH196" s="92" t="str">
        <f t="shared" si="64"/>
        <v>"%USERPROFILE%\Documents\GitHub\eaglep3\Utilities\RefineRTDCRunTimes.py" --tripid 836-02 --locoid 4015 --swversion DE.1.0.8.0 --startMP 300:58606 --initTime 2016-12-02T18:06:58 --startdatetime 2016-12-02T18:08:45 --delay 1 --endMP 204:666 --enddatetime 2016-12-02T18:25:17 --enforcementcount 0 &gt;&gt;C:\Users\stu\Documents\GitHub\eaglep3-reporting\EC\2016-12-02-refined-times.txt</v>
      </c>
      <c r="AI196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{"issue":{"subject":"","project_id":79,"tracker_id":40,"status_id":1,"priority_id":2,"assigned_to_id":23,"start_date":"2016-12-02","description":"","custom_fields":[{"id":1,"name":"Subdivision","value":"NW"},{"id":4,"name":"Milepost","value":"0.0666"},{"id":17,"name":"Train ID","value":"836-02"},{"id":16,"name":"Locomotive ID","value":"4015"},{"id":130,"name":"Impact","value":""},{"id":150,"name":"Time of Event (Mountain Time)","value":"18:25:17"},{"id":151,"name":"Denver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621</v>
      </c>
      <c r="B197" s="7">
        <v>4040</v>
      </c>
      <c r="C197" s="22" t="s">
        <v>210</v>
      </c>
      <c r="D197" s="22" t="s">
        <v>818</v>
      </c>
      <c r="E197" s="13">
        <v>42706.757511574076</v>
      </c>
      <c r="F197" s="13">
        <v>42706.764872685184</v>
      </c>
      <c r="G197" s="7">
        <v>1</v>
      </c>
      <c r="H197" s="22" t="s">
        <v>793</v>
      </c>
      <c r="I197" s="13">
        <v>42706.774525462963</v>
      </c>
      <c r="J197" s="7">
        <v>0</v>
      </c>
      <c r="K197" s="109" t="str">
        <f t="shared" si="54"/>
        <v>4039/4040</v>
      </c>
      <c r="L197" s="22" t="str">
        <f>VLOOKUP(A197,'Trips&amp;Operators'!$C$1:$G$99999,5,FALSE)</f>
        <v>DAVIDSON DAVID</v>
      </c>
      <c r="M197" s="6">
        <f t="shared" si="55"/>
        <v>9.6527777786832303E-3</v>
      </c>
      <c r="N197" s="7">
        <f t="shared" si="77"/>
        <v>13.900000001303852</v>
      </c>
      <c r="O197" s="7"/>
      <c r="P197" s="7"/>
      <c r="Q197" s="23"/>
      <c r="R197" s="23"/>
      <c r="S197" s="35">
        <f t="shared" si="78"/>
        <v>1</v>
      </c>
      <c r="T197" s="50" t="str">
        <f t="shared" si="56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17:10:49-700',mode:absolute,to:'2016-12-02 19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7" s="52" t="str">
        <f t="shared" si="58"/>
        <v>N</v>
      </c>
      <c r="X197" s="177">
        <f t="shared" si="76"/>
        <v>1</v>
      </c>
      <c r="Y197" s="67">
        <f t="shared" si="74"/>
        <v>0.10340000000000001</v>
      </c>
      <c r="Z197" s="67">
        <f t="shared" si="75"/>
        <v>5.8948</v>
      </c>
      <c r="AA197" s="67">
        <f t="shared" si="59"/>
        <v>5.7914000000000003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60"/>
        <v>0837-02</v>
      </c>
      <c r="AE197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197" s="88" t="str">
        <f t="shared" si="62"/>
        <v>"C:\Program Files (x86)\AstroGrep\AstroGrep.exe" /spath="%USERPROFILE%\AppData\Local\Temp\OnboardLogs" /stypes="app*4040*20161203*" /stext=" 01:.+((SYSTEM_STATE.+slice.+state.+changed )|(ment ac)|(multiple cpu faults)|(system.+state.+changed )|(\[timeout)|(PRM\|1\|D)|(kpr)|(kdp)|(\|lc)|(penalty))" /e /r /s</v>
      </c>
      <c r="AG197" s="1" t="str">
        <f t="shared" si="63"/>
        <v>NW</v>
      </c>
      <c r="AH197" s="92" t="str">
        <f t="shared" si="64"/>
        <v>"%USERPROFILE%\Documents\GitHub\eaglep3\Utilities\RefineRTDCRunTimes.py" --tripid 837-02 --locoid 4040 --swversion DE.1.0.8.0 --startMP 204:1034 --initTime 2016-12-02T18:10:49 --startdatetime 2016-12-02T18:21:25 --delay 1 --endMP 300:58948 --enddatetime 2016-12-02T18:35:19 --enforcementcount 0 &gt;&gt;C:\Users\stu\Documents\GitHub\eaglep3-reporting\EC\2016-12-02-refined-times.txt</v>
      </c>
      <c r="AI197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{"issue":{"subject":"","project_id":79,"tracker_id":40,"status_id":1,"priority_id":2,"assigned_to_id":23,"start_date":"2016-12-02","description":"","custom_fields":[{"id":1,"name":"Subdivision","value":"NW"},{"id":4,"name":"Milepost","value":"5.8948"},{"id":17,"name":"Train ID","value":"837-02"},{"id":16,"name":"Locomotive ID","value":"4040"},{"id":130,"name":"Impact","value":""},{"id":150,"name":"Time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628</v>
      </c>
      <c r="B198" s="7">
        <v>4039</v>
      </c>
      <c r="C198" s="22" t="s">
        <v>210</v>
      </c>
      <c r="D198" s="22" t="s">
        <v>419</v>
      </c>
      <c r="E198" s="13">
        <v>42706.775555555556</v>
      </c>
      <c r="F198" s="13">
        <v>42706.777256944442</v>
      </c>
      <c r="G198" s="7">
        <v>1</v>
      </c>
      <c r="H198" s="22" t="s">
        <v>338</v>
      </c>
      <c r="I198" s="13">
        <v>42706.792199074072</v>
      </c>
      <c r="J198" s="7">
        <v>0</v>
      </c>
      <c r="K198" s="109" t="str">
        <f t="shared" si="54"/>
        <v>4039/4040</v>
      </c>
      <c r="L198" s="22" t="str">
        <f>VLOOKUP(A198,'Trips&amp;Operators'!$C$1:$G$99999,5,FALSE)</f>
        <v>DAVIDSON DAVID</v>
      </c>
      <c r="M198" s="6">
        <f t="shared" si="55"/>
        <v>1.4942129630071577E-2</v>
      </c>
      <c r="N198" s="7">
        <f t="shared" si="77"/>
        <v>21.51666666730307</v>
      </c>
      <c r="O198" s="7"/>
      <c r="P198" s="7"/>
      <c r="Q198" s="23"/>
      <c r="R198" s="23"/>
      <c r="S198" s="35">
        <f t="shared" si="78"/>
        <v>1</v>
      </c>
      <c r="T198" s="50" t="str">
        <f t="shared" si="56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17:36:48-700',mode:absolute,to:'2016-12-02 20:00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8" s="52" t="str">
        <f t="shared" si="58"/>
        <v>N</v>
      </c>
      <c r="X198" s="177">
        <f t="shared" si="76"/>
        <v>1</v>
      </c>
      <c r="Y198" s="67">
        <f t="shared" si="74"/>
        <v>5.8616999999999999</v>
      </c>
      <c r="Z198" s="67">
        <f t="shared" si="75"/>
        <v>7.5499999999999998E-2</v>
      </c>
      <c r="AA198" s="67">
        <f t="shared" si="59"/>
        <v>5.7862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60"/>
        <v>0838-02</v>
      </c>
      <c r="AE198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198" s="88" t="str">
        <f t="shared" si="62"/>
        <v>"C:\Program Files (x86)\AstroGrep\AstroGrep.exe" /spath="%USERPROFILE%\AppData\Local\Temp\OnboardLogs" /stypes="app*4039*20161203*" /stext=" 02:.+((SYSTEM_STATE.+slice.+state.+changed )|(ment ac)|(multiple cpu faults)|(system.+state.+changed )|(\[timeout)|(PRM\|1\|D)|(kpr)|(kdp)|(\|lc)|(penalty))" /e /r /s</v>
      </c>
      <c r="AG198" s="1" t="str">
        <f t="shared" si="63"/>
        <v>NW</v>
      </c>
      <c r="AH198" s="92" t="str">
        <f t="shared" si="64"/>
        <v>"%USERPROFILE%\Documents\GitHub\eaglep3\Utilities\RefineRTDCRunTimes.py" --tripid 838-02 --locoid 4039 --swversion DE.1.0.8.0 --startMP 300:58617 --initTime 2016-12-02T18:36:48 --startdatetime 2016-12-02T18:39:15 --delay 1 --endMP 204:755 --enddatetime 2016-12-02T19:00:46 --enforcementcount 0 &gt;&gt;C:\Users\stu\Documents\GitHub\eaglep3-reporting\EC\2016-12-02-refined-times.txt</v>
      </c>
      <c r="AI198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{"issue":{"subject":"","project_id":79,"tracker_id":40,"status_id":1,"priority_id":2,"assigned_to_id":23,"start_date":"2016-12-02","description":"","custom_fields":[{"id":1,"name":"Subdivision","value":"NW"},{"id":4,"name":"Milepost","value":"0.0755"},{"id":17,"name":"Train ID","value":"838-02"},{"id":16,"name":"Locomotive ID","value":"4039"},{"id":130,"name":"Impact","value":""},{"id":150,"name":"Time of Event (Mountain Time)","value":"19:00:46"},{"id":151,"name":"Denver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627</v>
      </c>
      <c r="B199" s="7">
        <v>4016</v>
      </c>
      <c r="C199" s="22" t="s">
        <v>210</v>
      </c>
      <c r="D199" s="22" t="s">
        <v>431</v>
      </c>
      <c r="E199" s="13">
        <v>42706.769305555557</v>
      </c>
      <c r="F199" s="13">
        <v>42706.785567129627</v>
      </c>
      <c r="G199" s="7">
        <v>0</v>
      </c>
      <c r="H199" s="22" t="s">
        <v>823</v>
      </c>
      <c r="I199" s="13">
        <v>42706.794872685183</v>
      </c>
      <c r="J199" s="7">
        <v>0</v>
      </c>
      <c r="K199" s="109" t="str">
        <f t="shared" si="54"/>
        <v>4015/4016</v>
      </c>
      <c r="L199" s="22" t="str">
        <f>VLOOKUP(A199,'Trips&amp;Operators'!$C$1:$G$99999,5,FALSE)</f>
        <v>NEWELL JAMES</v>
      </c>
      <c r="M199" s="6">
        <f t="shared" si="55"/>
        <v>9.3055555553291924E-3</v>
      </c>
      <c r="N199" s="7">
        <f t="shared" si="77"/>
        <v>13.399999999674037</v>
      </c>
      <c r="O199" s="7"/>
      <c r="P199" s="7"/>
      <c r="Q199" s="23"/>
      <c r="R199" s="23"/>
      <c r="S199" s="35">
        <f t="shared" si="78"/>
        <v>1</v>
      </c>
      <c r="T199" s="50" t="str">
        <f t="shared" si="56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17:27:48-700',mode:absolute,to:'2016-12-02 20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9" s="52" t="str">
        <f t="shared" si="58"/>
        <v>N</v>
      </c>
      <c r="X199" s="177">
        <f t="shared" si="76"/>
        <v>1</v>
      </c>
      <c r="Y199" s="67">
        <f t="shared" si="74"/>
        <v>9.5100000000000004E-2</v>
      </c>
      <c r="Z199" s="67">
        <f t="shared" si="75"/>
        <v>5.8914</v>
      </c>
      <c r="AA199" s="67">
        <f t="shared" si="59"/>
        <v>5.7962999999999996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60"/>
        <v>0839-02</v>
      </c>
      <c r="AE199" s="91" t="str">
        <f t="shared" si="61"/>
        <v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v>
      </c>
      <c r="AF199" s="88" t="str">
        <f t="shared" si="62"/>
        <v>"C:\Program Files (x86)\AstroGrep\AstroGrep.exe" /spath="%USERPROFILE%\AppData\Local\Temp\OnboardLogs" /stypes="app*4016*20161203*" /stext=" 02:.+((SYSTEM_STATE.+slice.+state.+changed )|(ment ac)|(multiple cpu faults)|(system.+state.+changed )|(\[timeout)|(PRM\|1\|D)|(kpr)|(kdp)|(\|lc)|(penalty))" /e /r /s</v>
      </c>
      <c r="AG199" s="1" t="str">
        <f t="shared" si="63"/>
        <v>NW</v>
      </c>
      <c r="AH199" s="92" t="str">
        <f t="shared" si="64"/>
        <v>"%USERPROFILE%\Documents\GitHub\eaglep3\Utilities\RefineRTDCRunTimes.py" --tripid 839-02 --locoid 4016 --swversion DE.1.0.8.0 --startMP 204:951 --initTime 2016-12-02T18:27:48 --startdatetime 2016-12-02T18:51:13 --delay 0 --endMP 300:58914 --enddatetime 2016-12-02T19:04:37 --enforcementcount 0 &gt;&gt;C:\Users\stu\Documents\GitHub\eaglep3-reporting\EC\2016-12-02-refined-times.txt</v>
      </c>
      <c r="AI199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{"issue":{"subject":"","project_id":79,"tracker_id":40,"status_id":1,"priority_id":2,"assigned_to_id":23,"start_date":"2016-12-02","description":"","custom_fields":[{"id":1,"name":"Subdivision","value":"NW"},{"id":4,"name":"Milepost","value":"5.8914"},{"id":17,"name":"Train ID","value":"839-02"},{"id":16,"name":"Locomotive ID","value":"4016"},{"id":130,"name":"Impact","value":""},{"id":150,"name":"Time of Event (Mountain Time)","value":"19:04:37"},{"id":151,"name":"Denver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638</v>
      </c>
      <c r="B200" s="7">
        <v>4039</v>
      </c>
      <c r="C200" s="22" t="s">
        <v>210</v>
      </c>
      <c r="D200" s="22" t="s">
        <v>417</v>
      </c>
      <c r="E200" s="13">
        <v>42706.816284722219</v>
      </c>
      <c r="F200" s="13">
        <v>42706.817488425928</v>
      </c>
      <c r="G200" s="7">
        <v>1</v>
      </c>
      <c r="H200" s="22" t="s">
        <v>824</v>
      </c>
      <c r="I200" s="13">
        <v>42706.831157407411</v>
      </c>
      <c r="J200" s="7">
        <v>0</v>
      </c>
      <c r="K200" s="109" t="str">
        <f t="shared" si="54"/>
        <v>4039/4040</v>
      </c>
      <c r="L200" s="22" t="str">
        <f>VLOOKUP(A200,'Trips&amp;Operators'!$C$1:$G$99999,5,FALSE)</f>
        <v>DAVIDSON DAVID</v>
      </c>
      <c r="M200" s="6">
        <f t="shared" si="55"/>
        <v>1.3668981482624076E-2</v>
      </c>
      <c r="N200" s="7">
        <f t="shared" si="77"/>
        <v>19.68333333497867</v>
      </c>
      <c r="O200" s="7"/>
      <c r="P200" s="7"/>
      <c r="Q200" s="23"/>
      <c r="R200" s="23"/>
      <c r="S200" s="35">
        <f t="shared" si="78"/>
        <v>1</v>
      </c>
      <c r="T200" s="50" t="str">
        <f t="shared" si="56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18:35:27-700',mode:absolute,to:'2016-12-02 20:56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0" s="52" t="str">
        <f t="shared" si="58"/>
        <v>N</v>
      </c>
      <c r="X200" s="177">
        <f t="shared" si="76"/>
        <v>1</v>
      </c>
      <c r="Y200" s="67">
        <f t="shared" ref="Y200:Y232" si="79">RIGHT(D200,LEN(D200)-4)/10000</f>
        <v>5.8619000000000003</v>
      </c>
      <c r="Z200" s="67">
        <f t="shared" ref="Z200:Z232" si="80">RIGHT(H200,LEN(H200)-4)/10000</f>
        <v>6.9599999999999995E-2</v>
      </c>
      <c r="AA200" s="67">
        <f t="shared" si="59"/>
        <v>5.7923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60"/>
        <v>0840-02</v>
      </c>
      <c r="AE200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200" s="88" t="str">
        <f t="shared" si="62"/>
        <v>"C:\Program Files (x86)\AstroGrep\AstroGrep.exe" /spath="%USERPROFILE%\AppData\Local\Temp\OnboardLogs" /stypes="app*4039*20161203*" /stext=" 02:.+((SYSTEM_STATE.+slice.+state.+changed )|(ment ac)|(multiple cpu faults)|(system.+state.+changed )|(\[timeout)|(PRM\|1\|D)|(kpr)|(kdp)|(\|lc)|(penalty))" /e /r /s</v>
      </c>
      <c r="AG200" s="1" t="str">
        <f t="shared" si="63"/>
        <v>NW</v>
      </c>
      <c r="AH200" s="92" t="str">
        <f t="shared" si="64"/>
        <v>"%USERPROFILE%\Documents\GitHub\eaglep3\Utilities\RefineRTDCRunTimes.py" --tripid 840-02 --locoid 4039 --swversion DE.1.0.8.0 --startMP 300:58619 --initTime 2016-12-02T19:35:27 --startdatetime 2016-12-02T19:37:11 --delay 1 --endMP 204:696 --enddatetime 2016-12-02T19:56:52 --enforcementcount 0 &gt;&gt;C:\Users\stu\Documents\GitHub\eaglep3-reporting\EC\2016-12-02-refined-times.txt</v>
      </c>
      <c r="AI200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{"issue":{"subject":"","project_id":79,"tracker_id":40,"status_id":1,"priority_id":2,"assigned_to_id":23,"start_date":"2016-12-02","description":"","custom_fields":[{"id":1,"name":"Subdivision","value":"NW"},{"id":4,"name":"Milepost","value":"0.0696"},{"id":17,"name":"Train ID","value":"840-02"},{"id":16,"name":"Locomotive ID","value":"4039"},{"id":130,"name":"Impact","value":""},{"id":150,"name":"Time of Event (Mountain Time)","value":"19:56:52"},{"id":151,"name":"Denver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635</v>
      </c>
      <c r="B201" s="7">
        <v>4040</v>
      </c>
      <c r="C201" s="22" t="s">
        <v>210</v>
      </c>
      <c r="D201" s="22" t="s">
        <v>792</v>
      </c>
      <c r="E201" s="13">
        <v>42706.802789351852</v>
      </c>
      <c r="F201" s="13">
        <v>42706.806574074071</v>
      </c>
      <c r="G201" s="7">
        <v>1</v>
      </c>
      <c r="H201" s="22" t="s">
        <v>422</v>
      </c>
      <c r="I201" s="13">
        <v>42706.815578703703</v>
      </c>
      <c r="J201" s="7">
        <v>0</v>
      </c>
      <c r="K201" s="109" t="str">
        <f t="shared" si="54"/>
        <v>4039/4040</v>
      </c>
      <c r="L201" s="22" t="str">
        <f>VLOOKUP(A201,'Trips&amp;Operators'!$C$1:$G$99999,5,FALSE)</f>
        <v>DAVIDSON DAVID</v>
      </c>
      <c r="M201" s="6">
        <f t="shared" si="55"/>
        <v>9.0046296318178065E-3</v>
      </c>
      <c r="N201" s="7">
        <f t="shared" si="77"/>
        <v>12.966666669817641</v>
      </c>
      <c r="O201" s="7"/>
      <c r="P201" s="7"/>
      <c r="Q201" s="23"/>
      <c r="R201" s="23"/>
      <c r="S201" s="35">
        <f t="shared" si="78"/>
        <v>1</v>
      </c>
      <c r="T201" s="50" t="str">
        <f t="shared" si="56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18:16:01-700',mode:absolute,to:'2016-12-02 20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1" s="52" t="str">
        <f t="shared" si="58"/>
        <v>N</v>
      </c>
      <c r="X201" s="177">
        <f t="shared" si="76"/>
        <v>1</v>
      </c>
      <c r="Y201" s="67">
        <f t="shared" si="79"/>
        <v>0.10390000000000001</v>
      </c>
      <c r="Z201" s="67">
        <f t="shared" si="80"/>
        <v>5.8940999999999999</v>
      </c>
      <c r="AA201" s="67">
        <f t="shared" si="59"/>
        <v>5.7901999999999996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60"/>
        <v>0841-02</v>
      </c>
      <c r="AE201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201" s="88" t="str">
        <f t="shared" si="62"/>
        <v>"C:\Program Files (x86)\AstroGrep\AstroGrep.exe" /spath="%USERPROFILE%\AppData\Local\Temp\OnboardLogs" /stypes="app*4040*20161203*" /stext=" 02:.+((SYSTEM_STATE.+slice.+state.+changed )|(ment ac)|(multiple cpu faults)|(system.+state.+changed )|(\[timeout)|(PRM\|1\|D)|(kpr)|(kdp)|(\|lc)|(penalty))" /e /r /s</v>
      </c>
      <c r="AG201" s="1" t="str">
        <f t="shared" si="63"/>
        <v>NW</v>
      </c>
      <c r="AH201" s="92" t="str">
        <f t="shared" si="64"/>
        <v>"%USERPROFILE%\Documents\GitHub\eaglep3\Utilities\RefineRTDCRunTimes.py" --tripid 841-02 --locoid 4040 --swversion DE.1.0.8.0 --startMP 204:1039 --initTime 2016-12-02T19:16:01 --startdatetime 2016-12-02T19:21:28 --delay 1 --endMP 300:58941 --enddatetime 2016-12-02T19:34:26 --enforcementcount 0 &gt;&gt;C:\Users\stu\Documents\GitHub\eaglep3-reporting\EC\2016-12-02-refined-times.txt</v>
      </c>
      <c r="AI201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{"issue":{"subject":"","project_id":79,"tracker_id":40,"status_id":1,"priority_id":2,"assigned_to_id":23,"start_date":"2016-12-02","description":"","custom_fields":[{"id":1,"name":"Subdivision","value":"NW"},{"id":4,"name":"Milepost","value":"5.8941"},{"id":17,"name":"Train ID","value":"841-02"},{"id":16,"name":"Locomotive ID","value":"4040"},{"id":130,"name":"Impact","value":""},{"id":150,"name":"Time of Event (Mountain Time)","value":"19:34:26"},{"id":151,"name":"Denver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643</v>
      </c>
      <c r="B202" s="7">
        <v>4039</v>
      </c>
      <c r="C202" s="22" t="s">
        <v>210</v>
      </c>
      <c r="D202" s="22" t="s">
        <v>813</v>
      </c>
      <c r="E202" s="13">
        <v>42706.859710648147</v>
      </c>
      <c r="F202" s="13">
        <v>42706.860856481479</v>
      </c>
      <c r="G202" s="7">
        <v>1</v>
      </c>
      <c r="H202" s="22" t="s">
        <v>746</v>
      </c>
      <c r="I202" s="13">
        <v>42706.871261574073</v>
      </c>
      <c r="J202" s="7">
        <v>0</v>
      </c>
      <c r="K202" s="109" t="str">
        <f t="shared" si="54"/>
        <v>4039/4040</v>
      </c>
      <c r="L202" s="22" t="str">
        <f>VLOOKUP(A202,'Trips&amp;Operators'!$C$1:$G$99999,5,FALSE)</f>
        <v>DAVIDSON DAVID</v>
      </c>
      <c r="M202" s="6">
        <f t="shared" si="55"/>
        <v>1.0405092594737653E-2</v>
      </c>
      <c r="N202" s="7">
        <f t="shared" si="77"/>
        <v>14.98333333642222</v>
      </c>
      <c r="O202" s="7"/>
      <c r="P202" s="7"/>
      <c r="Q202" s="23"/>
      <c r="R202" s="23"/>
      <c r="S202" s="35">
        <f t="shared" si="78"/>
        <v>1</v>
      </c>
      <c r="T202" s="50" t="str">
        <f t="shared" si="56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19:37:59-700',mode:absolute,to:'2016-12-02 21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2" s="52" t="str">
        <f t="shared" si="58"/>
        <v>N</v>
      </c>
      <c r="X202" s="177">
        <f t="shared" si="76"/>
        <v>1</v>
      </c>
      <c r="Y202" s="67">
        <f t="shared" si="79"/>
        <v>5.8632</v>
      </c>
      <c r="Z202" s="67">
        <f t="shared" si="80"/>
        <v>7.4800000000000005E-2</v>
      </c>
      <c r="AA202" s="67">
        <f t="shared" si="59"/>
        <v>5.7884000000000002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60"/>
        <v>0842-02</v>
      </c>
      <c r="AE202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202" s="88" t="str">
        <f t="shared" si="62"/>
        <v>"C:\Program Files (x86)\AstroGrep\AstroGrep.exe" /spath="%USERPROFILE%\AppData\Local\Temp\OnboardLogs" /stypes="app*4039*20161203*" /stext=" 03:.+((SYSTEM_STATE.+slice.+state.+changed )|(ment ac)|(multiple cpu faults)|(system.+state.+changed )|(\[timeout)|(PRM\|1\|D)|(kpr)|(kdp)|(\|lc)|(penalty))" /e /r /s</v>
      </c>
      <c r="AG202" s="1" t="str">
        <f t="shared" si="63"/>
        <v>NW</v>
      </c>
      <c r="AH202" s="92" t="str">
        <f t="shared" si="64"/>
        <v>"%USERPROFILE%\Documents\GitHub\eaglep3\Utilities\RefineRTDCRunTimes.py" --tripid 842-02 --locoid 4039 --swversion DE.1.0.8.0 --startMP 300:58632 --initTime 2016-12-02T20:37:59 --startdatetime 2016-12-02T20:39:38 --delay 1 --endMP 204:748 --enddatetime 2016-12-02T20:54:37 --enforcementcount 0 &gt;&gt;C:\Users\stu\Documents\GitHub\eaglep3-reporting\EC\2016-12-02-refined-times.txt</v>
      </c>
      <c r="AI202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{"issue":{"subject":"","project_id":79,"tracker_id":40,"status_id":1,"priority_id":2,"assigned_to_id":23,"start_date":"2016-12-02","description":"","custom_fields":[{"id":1,"name":"Subdivision","value":"NW"},{"id":4,"name":"Milepost","value":"0.0748"},{"id":17,"name":"Train ID","value":"842-02"},{"id":16,"name":"Locomotive ID","value":"4039"},{"id":130,"name":"Impact","value":""},{"id":150,"name":"Time of Event (Mountain Time)","value":"20:54:37"},{"id":151,"name":"Denver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641</v>
      </c>
      <c r="B203" s="7">
        <v>4040</v>
      </c>
      <c r="C203" s="22" t="s">
        <v>210</v>
      </c>
      <c r="D203" s="22" t="s">
        <v>421</v>
      </c>
      <c r="E203" s="13">
        <v>42706.845462962963</v>
      </c>
      <c r="F203" s="13">
        <v>42706.848032407404</v>
      </c>
      <c r="G203" s="7">
        <v>1</v>
      </c>
      <c r="H203" s="22" t="s">
        <v>825</v>
      </c>
      <c r="I203" s="13">
        <v>42706.856805555559</v>
      </c>
      <c r="J203" s="7">
        <v>0</v>
      </c>
      <c r="K203" s="109" t="str">
        <f t="shared" si="54"/>
        <v>4039/4040</v>
      </c>
      <c r="L203" s="22" t="str">
        <f>VLOOKUP(A203,'Trips&amp;Operators'!$C$1:$G$99999,5,FALSE)</f>
        <v>DAVIDSON DAVID</v>
      </c>
      <c r="M203" s="6">
        <f t="shared" si="55"/>
        <v>8.7731481544324197E-3</v>
      </c>
      <c r="N203" s="7">
        <f t="shared" si="77"/>
        <v>12.633333342382684</v>
      </c>
      <c r="O203" s="7"/>
      <c r="P203" s="7"/>
      <c r="Q203" s="23"/>
      <c r="R203" s="23"/>
      <c r="S203" s="35">
        <f t="shared" si="78"/>
        <v>1</v>
      </c>
      <c r="T203" s="50" t="str">
        <f t="shared" si="56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19:17:28-700',mode:absolute,to:'2016-12-02 21:33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3" s="52" t="str">
        <f t="shared" si="58"/>
        <v>N</v>
      </c>
      <c r="X203" s="177">
        <f t="shared" si="76"/>
        <v>1</v>
      </c>
      <c r="Y203" s="67">
        <f t="shared" si="79"/>
        <v>0.10249999999999999</v>
      </c>
      <c r="Z203" s="67">
        <f t="shared" si="80"/>
        <v>5.8949999999999996</v>
      </c>
      <c r="AA203" s="67">
        <f t="shared" si="59"/>
        <v>5.7924999999999995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60"/>
        <v>0843-02</v>
      </c>
      <c r="AE203" s="91" t="str">
        <f t="shared" si="61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203" s="88" t="str">
        <f t="shared" si="62"/>
        <v>"C:\Program Files (x86)\AstroGrep\AstroGrep.exe" /spath="%USERPROFILE%\AppData\Local\Temp\OnboardLogs" /stypes="app*4040*20161203*" /stext=" 03:.+((SYSTEM_STATE.+slice.+state.+changed )|(ment ac)|(multiple cpu faults)|(system.+state.+changed )|(\[timeout)|(PRM\|1\|D)|(kpr)|(kdp)|(\|lc)|(penalty))" /e /r /s</v>
      </c>
      <c r="AG203" s="1" t="str">
        <f t="shared" si="63"/>
        <v>NW</v>
      </c>
      <c r="AH203" s="92" t="str">
        <f t="shared" si="64"/>
        <v>"%USERPROFILE%\Documents\GitHub\eaglep3\Utilities\RefineRTDCRunTimes.py" --tripid 843-02 --locoid 4040 --swversion DE.1.0.8.0 --startMP 204:1025 --initTime 2016-12-02T20:17:28 --startdatetime 2016-12-02T20:21:10 --delay 1 --endMP 300:58950 --enddatetime 2016-12-02T20:33:48 --enforcementcount 0 &gt;&gt;C:\Users\stu\Documents\GitHub\eaglep3-reporting\EC\2016-12-02-refined-times.txt</v>
      </c>
      <c r="AI203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{"issue":{"subject":"","project_id":79,"tracker_id":40,"status_id":1,"priority_id":2,"assigned_to_id":23,"start_date":"2016-12-02","description":"","custom_fields":[{"id":1,"name":"Subdivision","value":"NW"},{"id":4,"name":"Milepost","value":"5.895"},{"id":17,"name":"Train ID","value":"843-02"},{"id":16,"name":"Locomotive ID","value":"4040"},{"id":130,"name":"Impact","value":""},{"id":150,"name":"Time of Event (Mountain Time)","value":"20:33:48"},{"id":151,"name":"Denver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649</v>
      </c>
      <c r="B204" s="7">
        <v>4039</v>
      </c>
      <c r="C204" s="22" t="s">
        <v>210</v>
      </c>
      <c r="D204" s="22" t="s">
        <v>819</v>
      </c>
      <c r="E204" s="13">
        <v>42706.899976851855</v>
      </c>
      <c r="F204" s="13">
        <v>42706.901284722226</v>
      </c>
      <c r="G204" s="7">
        <v>1</v>
      </c>
      <c r="H204" s="22" t="s">
        <v>826</v>
      </c>
      <c r="I204" s="13">
        <v>42706.912812499999</v>
      </c>
      <c r="J204" s="7">
        <v>0</v>
      </c>
      <c r="K204" s="109" t="str">
        <f t="shared" si="54"/>
        <v>4039/4040</v>
      </c>
      <c r="L204" s="22" t="str">
        <f>VLOOKUP(A204,'Trips&amp;Operators'!$C$1:$G$99999,5,FALSE)</f>
        <v>NEWELL JAMES</v>
      </c>
      <c r="M204" s="6">
        <f t="shared" si="55"/>
        <v>1.1527777773153502E-2</v>
      </c>
      <c r="N204" s="7">
        <f t="shared" si="77"/>
        <v>16.599999993341044</v>
      </c>
      <c r="O204" s="7"/>
      <c r="P204" s="7"/>
      <c r="Q204" s="23"/>
      <c r="R204" s="23"/>
      <c r="S204" s="35">
        <f t="shared" si="78"/>
        <v>1</v>
      </c>
      <c r="T204" s="50" t="str">
        <f t="shared" si="56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https://search-rtdc-monitor-bjffxe2xuh6vdkpspy63sjmuny.us-east-1.es.amazonaws.com/_plugin/kibana/#/discover/Steve-Slow-Train-Analysis-(2080s-and-2083s)?_g=(refreshInterval:(display:Off,section:0,value:0),time:(from:'2016-12-02 20:35:58-700',mode:absolute,to:'2016-12-02 22:54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4" s="52" t="str">
        <f t="shared" si="58"/>
        <v>N</v>
      </c>
      <c r="X204" s="177">
        <f t="shared" si="76"/>
        <v>1</v>
      </c>
      <c r="Y204" s="67">
        <f t="shared" si="79"/>
        <v>5.8608000000000002</v>
      </c>
      <c r="Z204" s="67">
        <f t="shared" si="80"/>
        <v>6.5199999999999994E-2</v>
      </c>
      <c r="AA204" s="67">
        <f t="shared" si="59"/>
        <v>5.7956000000000003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60"/>
        <v>0844-02</v>
      </c>
      <c r="AE204" s="91" t="str">
        <f t="shared" si="61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204" s="88" t="str">
        <f t="shared" si="62"/>
        <v>"C:\Program Files (x86)\AstroGrep\AstroGrep.exe" /spath="%USERPROFILE%\AppData\Local\Temp\OnboardLogs" /stypes="app*4039*20161203*" /stext=" 04:.+((SYSTEM_STATE.+slice.+state.+changed )|(ment ac)|(multiple cpu faults)|(system.+state.+changed )|(\[timeout)|(PRM\|1\|D)|(kpr)|(kdp)|(\|lc)|(penalty))" /e /r /s</v>
      </c>
      <c r="AG204" s="1" t="str">
        <f t="shared" si="63"/>
        <v>NW</v>
      </c>
      <c r="AH204" s="92" t="str">
        <f t="shared" si="64"/>
        <v>"%USERPROFILE%\Documents\GitHub\eaglep3\Utilities\RefineRTDCRunTimes.py" --tripid 844-02 --locoid 4039 --swversion DE.1.0.8.0 --startMP 300:58608 --initTime 2016-12-02T21:35:58 --startdatetime 2016-12-02T21:37:51 --delay 1 --endMP 204:652 --enddatetime 2016-12-02T21:54:27 --enforcementcount 0 &gt;&gt;C:\Users\stu\Documents\GitHub\eaglep3-reporting\EC\2016-12-02-refined-times.txt</v>
      </c>
      <c r="AI204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{"issue":{"subject":"","project_id":79,"tracker_id":40,"status_id":1,"priority_id":2,"assigned_to_id":23,"start_date":"2016-12-02","description":"","custom_fields":[{"id":1,"name":"Subdivision","value":"NW"},{"id":4,"name":"Milepost","value":"0.0652"},{"id":17,"name":"Train ID","value":"844-02"},{"id":16,"name":"Locomotive ID","value":"4039"},{"id":130,"name":"Impact","value":""},{"id":150,"name":"Time of Event (Mountain Time)","value":"21:54:27"},{"id":151,"name":"Denver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646</v>
      </c>
      <c r="B205" s="7">
        <v>4040</v>
      </c>
      <c r="C205" s="22" t="s">
        <v>210</v>
      </c>
      <c r="D205" s="22" t="s">
        <v>339</v>
      </c>
      <c r="E205" s="13">
        <v>42706.87972222222</v>
      </c>
      <c r="F205" s="13">
        <v>42706.889849537038</v>
      </c>
      <c r="G205" s="7">
        <v>1</v>
      </c>
      <c r="H205" s="22" t="s">
        <v>418</v>
      </c>
      <c r="I205" s="13">
        <v>42706.899236111109</v>
      </c>
      <c r="J205" s="7">
        <v>0</v>
      </c>
      <c r="K205" s="109" t="str">
        <f t="shared" ref="K205:K232" si="81">IF(ISEVEN(B205),(B205-1)&amp;"/"&amp;B205,B205&amp;"/"&amp;(B205+1))</f>
        <v>4039/4040</v>
      </c>
      <c r="L205" s="22" t="str">
        <f>VLOOKUP(A205,'Trips&amp;Operators'!$C$1:$G$99999,5,FALSE)</f>
        <v>NEWELL JAMES</v>
      </c>
      <c r="M205" s="6">
        <f t="shared" ref="M205:M232" si="82">I205-F205</f>
        <v>9.3865740709588863E-3</v>
      </c>
      <c r="N205" s="7">
        <f t="shared" si="77"/>
        <v>13.516666662180796</v>
      </c>
      <c r="O205" s="7"/>
      <c r="P205" s="7"/>
      <c r="Q205" s="23"/>
      <c r="R205" s="23"/>
      <c r="S205" s="35">
        <f t="shared" si="78"/>
        <v>1</v>
      </c>
      <c r="T205" s="50" t="str">
        <f t="shared" ref="T205:T232" si="83"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32" si="84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https://search-rtdc-monitor-bjffxe2xuh6vdkpspy63sjmuny.us-east-1.es.amazonaws.com/_plugin/kibana/#/discover/Steve-Slow-Train-Analysis-(2080s-and-2083s)?_g=(refreshInterval:(display:Off,section:0,value:0),time:(from:'2016-12-02 20:06:48-700',mode:absolute,to:'2016-12-02 22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5" s="52" t="str">
        <f t="shared" ref="W205:W232" si="85">IF(AA205&lt;IF(AG205="EC",23,5.65),"Y","N")</f>
        <v>N</v>
      </c>
      <c r="X205" s="177">
        <f t="shared" si="76"/>
        <v>1</v>
      </c>
      <c r="Y205" s="67">
        <f t="shared" si="79"/>
        <v>0.10489999999999999</v>
      </c>
      <c r="Z205" s="67">
        <f t="shared" si="80"/>
        <v>5.8925999999999998</v>
      </c>
      <c r="AA205" s="67">
        <f t="shared" ref="AA205:AA232" si="86">ABS(Z205-Y205)</f>
        <v>5.7877000000000001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ref="AD205:AD232" si="87">IF(LEN(A205)=6,"0"&amp;A205,A205)</f>
        <v>0845-02</v>
      </c>
      <c r="AE205" s="91" t="str">
        <f t="shared" ref="AE205:AE232" si="8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205" s="88" t="str">
        <f t="shared" ref="AF205:AF232" si="89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/stypes="app*4040*20161203*" /stext=" 04:.+((SYSTEM_STATE.+slice.+state.+changed )|(ment ac)|(multiple cpu faults)|(system.+state.+changed )|(\[timeout)|(PRM\|1\|D)|(kpr)|(kdp)|(\|lc)|(penalty))" /e /r /s</v>
      </c>
      <c r="AG205" s="1" t="str">
        <f t="shared" ref="AG205:AG232" si="90">IFERROR(IF(VALUE(LEFT(AD205,2))&lt;=2,"EC",IF(OR(VALUE(LEFT(AD205,2))=8,VALUE(LEFT(AD205,2))=18),"NW","Other")),"Other")</f>
        <v>NW</v>
      </c>
      <c r="AH205" s="92" t="str">
        <f t="shared" si="64"/>
        <v>"%USERPROFILE%\Documents\GitHub\eaglep3\Utilities\RefineRTDCRunTimes.py" --tripid 845-02 --locoid 4040 --swversion DE.1.0.8.0 --startMP 204:1049 --initTime 2016-12-02T21:06:48 --startdatetime 2016-12-02T21:21:23 --delay 1 --endMP 300:58926 --enddatetime 2016-12-02T21:34:54 --enforcementcount 0 &gt;&gt;C:\Users\stu\Documents\GitHub\eaglep3-reporting\EC\2016-12-02-refined-times.txt</v>
      </c>
      <c r="AI205" s="119" t="str">
        <f t="shared" si="65"/>
        <v>echo {"issue":{"subject":"","project_id":79,"tracker_id":40,"status_id":1,"priority_id":2,"assigned_to_id":23,"start_date":"2016-12-02","description":"","custom_fields":[{"id":1,"name":"Subdivision","value":"NW"},{"id":4,"name":"Milepost","value":"5.8926"},{"id":17,"name":"Train ID","value":"845-02"},{"id":16,"name":"Locomotive ID","value":"4040"},{"id":130,"name":"Impact","value":""},{"id":150,"name":"Time of Event (Mountain Time)","value":"21:34:54"},{"id":151,"name":"Denver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654</v>
      </c>
      <c r="B206" s="7">
        <v>4039</v>
      </c>
      <c r="C206" s="22" t="s">
        <v>210</v>
      </c>
      <c r="D206" s="22" t="s">
        <v>802</v>
      </c>
      <c r="E206" s="13">
        <v>42706.944340277776</v>
      </c>
      <c r="F206" s="13">
        <v>42706.946030092593</v>
      </c>
      <c r="G206" s="7">
        <v>1</v>
      </c>
      <c r="H206" s="22" t="s">
        <v>340</v>
      </c>
      <c r="I206" s="13">
        <v>42706.955451388887</v>
      </c>
      <c r="J206" s="7">
        <v>0</v>
      </c>
      <c r="K206" s="109" t="str">
        <f t="shared" si="81"/>
        <v>4039/4040</v>
      </c>
      <c r="L206" s="22" t="str">
        <f>VLOOKUP(A206,'Trips&amp;Operators'!$C$1:$G$99999,5,FALSE)</f>
        <v>LALONDE GREGORY</v>
      </c>
      <c r="M206" s="6">
        <f t="shared" si="82"/>
        <v>9.4212962940218858E-3</v>
      </c>
      <c r="N206" s="7">
        <f t="shared" si="77"/>
        <v>13.566666663391516</v>
      </c>
      <c r="O206" s="7"/>
      <c r="P206" s="7"/>
      <c r="Q206" s="23"/>
      <c r="R206" s="23"/>
      <c r="S206" s="35">
        <f t="shared" si="78"/>
        <v>1</v>
      </c>
      <c r="T206" s="50" t="str">
        <f t="shared" si="83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21:39:51-700',mode:absolute,to:'2016-12-02 23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6" s="52" t="str">
        <f t="shared" si="85"/>
        <v>N</v>
      </c>
      <c r="X206" s="177">
        <f t="shared" si="76"/>
        <v>1</v>
      </c>
      <c r="Y206" s="67">
        <f t="shared" si="79"/>
        <v>5.8605999999999998</v>
      </c>
      <c r="Z206" s="67">
        <f t="shared" si="80"/>
        <v>6.6400000000000001E-2</v>
      </c>
      <c r="AA206" s="67">
        <f t="shared" si="86"/>
        <v>5.7942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87"/>
        <v>0846-02</v>
      </c>
      <c r="AE206" s="91" t="str">
        <f t="shared" si="88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206" s="88" t="str">
        <f t="shared" si="89"/>
        <v>"C:\Program Files (x86)\AstroGrep\AstroGrep.exe" /spath="%USERPROFILE%\AppData\Local\Temp\OnboardLogs" /stypes="app*4039*20161203*" /stext=" 05:.+((SYSTEM_STATE.+slice.+state.+changed )|(ment ac)|(multiple cpu faults)|(system.+state.+changed )|(\[timeout)|(PRM\|1\|D)|(kpr)|(kdp)|(\|lc)|(penalty))" /e /r /s</v>
      </c>
      <c r="AG206" s="1" t="str">
        <f t="shared" si="90"/>
        <v>NW</v>
      </c>
      <c r="AH206" s="92" t="str">
        <f t="shared" ref="AH206:AH232" si="91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846-02 --locoid 4039 --swversion DE.1.0.8.0 --startMP 300:58606 --initTime 2016-12-02T22:39:51 --startdatetime 2016-12-02T22:42:17 --delay 1 --endMP 204:664 --enddatetime 2016-12-02T22:55:51 --enforcementcount 0 &gt;&gt;C:\Users\stu\Documents\GitHub\eaglep3-reporting\EC\2016-12-02-refined-times.txt</v>
      </c>
      <c r="AI206" s="119" t="str">
        <f t="shared" ref="AI206:AI232" si="92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{"issue":{"subject":"","project_id":79,"tracker_id":40,"status_id":1,"priority_id":2,"assigned_to_id":23,"start_date":"2016-12-02","description":"","custom_fields":[{"id":1,"name":"Subdivision","value":"NW"},{"id":4,"name":"Milepost","value":"0.0664"},{"id":17,"name":"Train ID","value":"846-02"},{"id":16,"name":"Locomotive ID","value":"4039"},{"id":130,"name":"Impact","value":""},{"id":150,"name":"Time of Event (Mountain Time)","value":"22:55:51"},{"id":151,"name":"Denver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651</v>
      </c>
      <c r="B207" s="7">
        <v>4040</v>
      </c>
      <c r="C207" s="22" t="s">
        <v>210</v>
      </c>
      <c r="D207" s="22" t="s">
        <v>827</v>
      </c>
      <c r="E207" s="13">
        <v>42706.914953703701</v>
      </c>
      <c r="F207" s="13">
        <v>42706.931585648148</v>
      </c>
      <c r="G207" s="7">
        <v>17</v>
      </c>
      <c r="H207" s="22" t="s">
        <v>828</v>
      </c>
      <c r="I207" s="13">
        <v>42706.940798611111</v>
      </c>
      <c r="J207" s="7">
        <v>0</v>
      </c>
      <c r="K207" s="109" t="str">
        <f t="shared" si="81"/>
        <v>4039/4040</v>
      </c>
      <c r="L207" s="22" t="str">
        <f>VLOOKUP(A207,'Trips&amp;Operators'!$C$1:$G$99999,5,FALSE)</f>
        <v>NEWELL JAMES</v>
      </c>
      <c r="M207" s="6">
        <f t="shared" si="82"/>
        <v>9.2129629629198462E-3</v>
      </c>
      <c r="N207" s="7">
        <f t="shared" si="77"/>
        <v>13.266666666604578</v>
      </c>
      <c r="O207" s="7"/>
      <c r="P207" s="7"/>
      <c r="Q207" s="23"/>
      <c r="R207" s="23"/>
      <c r="S207" s="35">
        <f t="shared" si="78"/>
        <v>1</v>
      </c>
      <c r="T207" s="50" t="str">
        <f t="shared" si="83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20:57:32-700',mode:absolute,to:'2016-12-02 23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7" s="52" t="str">
        <f t="shared" si="85"/>
        <v>N</v>
      </c>
      <c r="X207" s="177">
        <f t="shared" si="76"/>
        <v>1</v>
      </c>
      <c r="Y207" s="67">
        <f t="shared" si="79"/>
        <v>9.6699999999999994E-2</v>
      </c>
      <c r="Z207" s="67">
        <f t="shared" si="80"/>
        <v>5.8916000000000004</v>
      </c>
      <c r="AA207" s="67">
        <f t="shared" si="86"/>
        <v>5.7949000000000002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87"/>
        <v>0847-02</v>
      </c>
      <c r="AE207" s="91" t="str">
        <f t="shared" si="88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207" s="88" t="str">
        <f t="shared" si="89"/>
        <v>"C:\Program Files (x86)\AstroGrep\AstroGrep.exe" /spath="%USERPROFILE%\AppData\Local\Temp\OnboardLogs" /stypes="app*4040*20161203*" /stext=" 05:.+((SYSTEM_STATE.+slice.+state.+changed )|(ment ac)|(multiple cpu faults)|(system.+state.+changed )|(\[timeout)|(PRM\|1\|D)|(kpr)|(kdp)|(\|lc)|(penalty))" /e /r /s</v>
      </c>
      <c r="AG207" s="1" t="str">
        <f t="shared" si="90"/>
        <v>NW</v>
      </c>
      <c r="AH207" s="92" t="str">
        <f t="shared" si="91"/>
        <v>"%USERPROFILE%\Documents\GitHub\eaglep3\Utilities\RefineRTDCRunTimes.py" --tripid 847-02 --locoid 4040 --swversion DE.1.0.8.0 --startMP 204:967 --initTime 2016-12-02T21:57:32 --startdatetime 2016-12-02T22:21:29 --delay 17 --endMP 300:58916 --enddatetime 2016-12-02T22:34:45 --enforcementcount 0 &gt;&gt;C:\Users\stu\Documents\GitHub\eaglep3-reporting\EC\2016-12-02-refined-times.txt</v>
      </c>
      <c r="AI207" s="119" t="str">
        <f t="shared" si="92"/>
        <v>echo {"issue":{"subject":"","project_id":79,"tracker_id":40,"status_id":1,"priority_id":2,"assigned_to_id":23,"start_date":"2016-12-02","description":"","custom_fields":[{"id":1,"name":"Subdivision","value":"NW"},{"id":4,"name":"Milepost","value":"5.8916"},{"id":17,"name":"Train ID","value":"847-02"},{"id":16,"name":"Locomotive ID","value":"4040"},{"id":130,"name":"Impact","value":""},{"id":150,"name":"Time of Event (Mountain Time)","value":"22:34:45"},{"id":151,"name":"Denver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656</v>
      </c>
      <c r="B208" s="7">
        <v>4040</v>
      </c>
      <c r="C208" s="22" t="s">
        <v>210</v>
      </c>
      <c r="D208" s="22" t="s">
        <v>827</v>
      </c>
      <c r="E208" s="13">
        <v>42706.957106481481</v>
      </c>
      <c r="F208" s="13">
        <v>42706.973090277781</v>
      </c>
      <c r="G208" s="7">
        <v>2</v>
      </c>
      <c r="H208" s="22" t="s">
        <v>793</v>
      </c>
      <c r="I208" s="13">
        <v>42706.982395833336</v>
      </c>
      <c r="J208" s="7">
        <v>0</v>
      </c>
      <c r="K208" s="109" t="str">
        <f t="shared" si="81"/>
        <v>4039/4040</v>
      </c>
      <c r="L208" s="22" t="str">
        <f>VLOOKUP(A208,'Trips&amp;Operators'!$C$1:$G$99999,5,FALSE)</f>
        <v>LALONDE GREGORY</v>
      </c>
      <c r="M208" s="6">
        <f t="shared" si="82"/>
        <v>9.3055555553291924E-3</v>
      </c>
      <c r="N208" s="7">
        <f t="shared" si="77"/>
        <v>13.399999999674037</v>
      </c>
      <c r="O208" s="7"/>
      <c r="P208" s="7"/>
      <c r="Q208" s="23"/>
      <c r="R208" s="23"/>
      <c r="S208" s="35">
        <f t="shared" si="78"/>
        <v>1</v>
      </c>
      <c r="T208" s="50" t="str">
        <f t="shared" si="83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21:58:14-700',mode:absolute,to:'2016-12-03 00:34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8" s="52" t="str">
        <f t="shared" si="85"/>
        <v>N</v>
      </c>
      <c r="X208" s="177">
        <f t="shared" si="76"/>
        <v>2</v>
      </c>
      <c r="Y208" s="67">
        <f t="shared" si="79"/>
        <v>9.6699999999999994E-2</v>
      </c>
      <c r="Z208" s="67">
        <f t="shared" si="80"/>
        <v>5.8948</v>
      </c>
      <c r="AA208" s="67">
        <f t="shared" si="86"/>
        <v>5.7980999999999998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87"/>
        <v>0849-02</v>
      </c>
      <c r="AE208" s="91" t="str">
        <f t="shared" si="88"/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AF208" s="88" t="str">
        <f t="shared" si="89"/>
        <v>"C:\Program Files (x86)\AstroGrep\AstroGrep.exe" /spath="%USERPROFILE%\AppData\Local\Temp\OnboardLogs" /stypes="app*4040*20161203*" /stext=" 06:.+((SYSTEM_STATE.+slice.+state.+changed )|(ment ac)|(multiple cpu faults)|(system.+state.+changed )|(\[timeout)|(PRM\|1\|D)|(kpr)|(kdp)|(\|lc)|(penalty))" /e /r /s</v>
      </c>
      <c r="AG208" s="1" t="str">
        <f t="shared" si="90"/>
        <v>NW</v>
      </c>
      <c r="AH208" s="92" t="str">
        <f t="shared" si="91"/>
        <v>"%USERPROFILE%\Documents\GitHub\eaglep3\Utilities\RefineRTDCRunTimes.py" --tripid 849-02 --locoid 4040 --swversion DE.1.0.8.0 --startMP 204:967 --initTime 2016-12-02T22:58:14 --startdatetime 2016-12-02T23:21:15 --delay 2 --endMP 300:58948 --enddatetime 2016-12-02T23:34:39 --enforcementcount 0 &gt;&gt;C:\Users\stu\Documents\GitHub\eaglep3-reporting\EC\2016-12-02-refined-times.txt</v>
      </c>
      <c r="AI208" s="119" t="str">
        <f t="shared" si="92"/>
        <v>echo {"issue":{"subject":"","project_id":79,"tracker_id":40,"status_id":1,"priority_id":2,"assigned_to_id":23,"start_date":"2016-12-02","description":"","custom_fields":[{"id":1,"name":"Subdivision","value":"NW"},{"id":4,"name":"Milepost","value":"5.8948"},{"id":17,"name":"Train ID","value":"849-02"},{"id":16,"name":"Locomotive ID","value":"4040"},{"id":130,"name":"Impact","value":""},{"id":150,"name":"Time of Event (Mountain Time)","value":"23:34:39"},{"id":151,"name":"Denver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463</v>
      </c>
      <c r="B209" s="7">
        <v>4041</v>
      </c>
      <c r="C209" s="22" t="s">
        <v>210</v>
      </c>
      <c r="D209" s="22" t="s">
        <v>757</v>
      </c>
      <c r="E209" s="13">
        <v>42706.120798611111</v>
      </c>
      <c r="F209" s="13">
        <v>42706.122395833336</v>
      </c>
      <c r="G209" s="7">
        <v>1</v>
      </c>
      <c r="H209" s="22" t="s">
        <v>758</v>
      </c>
      <c r="I209" s="13">
        <v>42706.127916666665</v>
      </c>
      <c r="J209" s="7">
        <v>0</v>
      </c>
      <c r="K209" s="109" t="str">
        <f t="shared" si="81"/>
        <v>4041/4042</v>
      </c>
      <c r="L209" s="22" t="str">
        <f>VLOOKUP(A209,'Trips&amp;Operators'!$C$1:$G$99999,5,FALSE)</f>
        <v>GRASTON MATHEU</v>
      </c>
      <c r="M209" s="6">
        <f t="shared" si="82"/>
        <v>5.5208333287737332E-3</v>
      </c>
      <c r="N209" s="7">
        <f t="shared" si="77"/>
        <v>7.9499999934341758</v>
      </c>
      <c r="O209" s="7"/>
      <c r="P209" s="7"/>
      <c r="Q209" s="23"/>
      <c r="R209" s="23"/>
      <c r="S209" s="35">
        <f t="shared" si="78"/>
        <v>1</v>
      </c>
      <c r="T209" s="50" t="str">
        <f t="shared" si="83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01:53:57-700',mode:absolute,to:'2016-12-02 04:04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9" s="52" t="str">
        <f t="shared" si="85"/>
        <v>Y</v>
      </c>
      <c r="X209" s="177">
        <f t="shared" si="76"/>
        <v>-547</v>
      </c>
      <c r="Y209" s="67">
        <f t="shared" si="79"/>
        <v>2.2816999999999998</v>
      </c>
      <c r="Z209" s="67">
        <f t="shared" si="80"/>
        <v>1.03E-2</v>
      </c>
      <c r="AA209" s="67">
        <f t="shared" si="86"/>
        <v>2.2713999999999999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87"/>
        <v>0302-02</v>
      </c>
      <c r="AE209" s="91" t="str">
        <f t="shared" si="88"/>
        <v>aws s3 cp s3://rtdc.mdm.uploadarchive.raw/RTDC4041/ "%USERPROFILE%\AppData\Local\Temp\OnboardLogs"\RTDC4041\2016-12-02 --exclude "*" --recursive --include "*20161202*" &amp; "%USERPROFILE%\Documents\GitHub\mrs-test-scripts\Headless Mode &amp; Sideloading\WalkAndUnGZ.bat" "%USERPROFILE%\AppData\Local\Temp\OnboardLogs"\RTDC4041\2016-12-02 &amp; 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</v>
      </c>
      <c r="AF209" s="88" t="str">
        <f t="shared" si="89"/>
        <v>"C:\Program Files (x86)\AstroGrep\AstroGrep.exe" /spath="%USERPROFILE%\AppData\Local\Temp\OnboardLogs" /stypes="app*4041*20161202*" /stext=" 10:.+((SYSTEM_STATE.+slice.+state.+changed )|(ment ac)|(multiple cpu faults)|(system.+state.+changed )|(\[timeout)|(PRM\|1\|D)|(kpr)|(kdp)|(\|lc)|(penalty))" /e /r /s</v>
      </c>
      <c r="AG209" s="1" t="str">
        <f t="shared" si="90"/>
        <v>Other</v>
      </c>
      <c r="AH209" s="92" t="str">
        <f t="shared" si="91"/>
        <v>"%USERPROFILE%\Documents\GitHub\eaglep3\Utilities\RefineRTDCRunTimes.py" --tripid 302-02 --locoid 4041 --swversion DE.1.0.8.0 --startMP 300:22817 --initTime 2016-12-02T02:53:57 --startdatetime 2016-12-02T02:56:15 --delay 1 --endMP 204:103 --enddatetime 2016-12-02T03:04:12 --enforcementcount 0 &gt;&gt;C:\Users\stu\Documents\GitHub\eaglep3-reporting\EC\2016-12-02-refined-times.txt</v>
      </c>
      <c r="AI209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{"issue":{"subject":"","project_id":79,"tracker_id":40,"status_id":1,"priority_id":2,"assigned_to_id":23,"start_date":"2016-12-02","description":"","custom_fields":[{"id":1,"name":"Subdivision","value":"Other"},{"id":4,"name":"Milepost","value":"0.0103"},{"id":17,"name":"Train ID","value":"302-02"},{"id":16,"name":"Locomotive ID","value":"4041"},{"id":130,"name":"Impact","value":""},{"id":150,"name":"Time of Event (Mountain Time)","value":"03:04:12"},{"id":151,"name":"Denver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629</v>
      </c>
      <c r="B210" s="7">
        <v>4003</v>
      </c>
      <c r="C210" s="22" t="s">
        <v>210</v>
      </c>
      <c r="D210" s="22" t="s">
        <v>394</v>
      </c>
      <c r="E210" s="13">
        <v>42706.777824074074</v>
      </c>
      <c r="F210" s="13">
        <v>25568.708333333332</v>
      </c>
      <c r="G210" s="7">
        <v>1</v>
      </c>
      <c r="H210" s="22" t="s">
        <v>759</v>
      </c>
      <c r="I210" s="13">
        <v>25568.708333333332</v>
      </c>
      <c r="J210" s="7">
        <v>0</v>
      </c>
      <c r="K210" s="109" t="str">
        <f t="shared" si="81"/>
        <v>4003/4004</v>
      </c>
      <c r="L210" s="22" t="str">
        <f>VLOOKUP(A210,'Trips&amp;Operators'!$C$1:$G$99999,5,FALSE)</f>
        <v>MOSES BRADLEY</v>
      </c>
      <c r="M210" s="6">
        <f t="shared" si="82"/>
        <v>0</v>
      </c>
      <c r="N210" s="7">
        <f t="shared" si="77"/>
        <v>0</v>
      </c>
      <c r="O210" s="7"/>
      <c r="P210" s="7"/>
      <c r="Q210" s="23"/>
      <c r="R210" s="23"/>
      <c r="S210" s="35">
        <f t="shared" si="78"/>
        <v>1</v>
      </c>
      <c r="T210" s="50" t="str">
        <f t="shared" si="83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17:40:04-700',mode:absolute,to:'1969-12-31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0" s="52" t="str">
        <f t="shared" si="85"/>
        <v>Y</v>
      </c>
      <c r="X210" s="177">
        <f t="shared" si="76"/>
        <v>1</v>
      </c>
      <c r="Y210" s="67">
        <f t="shared" si="79"/>
        <v>4.6899999999999997E-2</v>
      </c>
      <c r="Z210" s="67">
        <f t="shared" si="80"/>
        <v>2.3292999999999999</v>
      </c>
      <c r="AA210" s="67">
        <f t="shared" si="86"/>
        <v>2.2824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87"/>
        <v>0303-02</v>
      </c>
      <c r="AE210" s="91" t="str">
        <f t="shared" si="88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0" s="88" t="str">
        <f t="shared" si="89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10" s="1" t="str">
        <f t="shared" si="90"/>
        <v>Other</v>
      </c>
      <c r="AH210" s="92" t="str">
        <f t="shared" si="91"/>
        <v>"%USERPROFILE%\Documents\GitHub\eaglep3\Utilities\RefineRTDCRunTimes.py" --tripid 303-02 --locoid 4003 --swversion DE.1.0.8.0 --startMP 204:469 --initTime 2016-12-02T18:40:04 --startdatetime 1969-12-31T17:00:00 --delay 1 --endMP 300:23293 --enddatetime 1969-12-31T17:00:00 --enforcementcount 0 &gt;&gt;C:\Users\stu\Documents\GitHub\eaglep3-reporting\EC\2016-12-02-refined-times.txt</v>
      </c>
      <c r="AI210" s="11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ID","value":"303-02"},{"id":16,"name":"Locomotive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465</v>
      </c>
      <c r="B211" s="7">
        <v>4013</v>
      </c>
      <c r="C211" s="22" t="s">
        <v>210</v>
      </c>
      <c r="D211" s="22" t="s">
        <v>760</v>
      </c>
      <c r="E211" s="13">
        <v>42706.143321759257</v>
      </c>
      <c r="F211" s="13">
        <v>42706.144432870373</v>
      </c>
      <c r="G211" s="7">
        <v>1</v>
      </c>
      <c r="H211" s="22" t="s">
        <v>761</v>
      </c>
      <c r="I211" s="13">
        <v>42706.151030092595</v>
      </c>
      <c r="J211" s="7">
        <v>0</v>
      </c>
      <c r="K211" s="109" t="str">
        <f t="shared" si="81"/>
        <v>4013/4014</v>
      </c>
      <c r="L211" s="22" t="str">
        <f>VLOOKUP(A211,'Trips&amp;Operators'!$C$1:$G$99999,5,FALSE)</f>
        <v>DAVIS WENDY</v>
      </c>
      <c r="M211" s="6">
        <f t="shared" si="82"/>
        <v>6.5972222218988463E-3</v>
      </c>
      <c r="N211" s="7">
        <f t="shared" si="77"/>
        <v>9.4999999995343387</v>
      </c>
      <c r="O211" s="7"/>
      <c r="P211" s="7"/>
      <c r="Q211" s="23"/>
      <c r="R211" s="23"/>
      <c r="S211" s="35">
        <f t="shared" si="78"/>
        <v>1</v>
      </c>
      <c r="T211" s="50" t="str">
        <f t="shared" si="83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02:26:23-700',mode:absolute,to:'2016-12-02 04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1" s="52" t="str">
        <f t="shared" si="85"/>
        <v>Y</v>
      </c>
      <c r="X211" s="177">
        <f t="shared" si="76"/>
        <v>1</v>
      </c>
      <c r="Y211" s="67">
        <f t="shared" si="79"/>
        <v>2.3180000000000001</v>
      </c>
      <c r="Z211" s="67">
        <f t="shared" si="80"/>
        <v>1.09E-2</v>
      </c>
      <c r="AA211" s="67">
        <f t="shared" si="86"/>
        <v>2.3071000000000002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87"/>
        <v>0304-02</v>
      </c>
      <c r="AE211" s="91" t="str">
        <f t="shared" si="88"/>
        <v>aws s3 cp s3://rtdc.mdm.uploadarchive.raw/RTDC4013/ "%USERPROFILE%\AppData\Local\Temp\OnboardLogs"\RTDC4013\2016-12-02 --exclude "*" --recursive --include "*20161202*" &amp; "%USERPROFILE%\Documents\GitHub\mrs-test-scripts\Headless Mode &amp; Sideloading\WalkAndUnGZ.bat" "%USERPROFILE%\AppData\Local\Temp\OnboardLogs"\RTDC4013\2016-12-02 &amp; 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</v>
      </c>
      <c r="AF211" s="88" t="str">
        <f t="shared" si="89"/>
        <v>"C:\Program Files (x86)\AstroGrep\AstroGrep.exe" /spath="%USERPROFILE%\AppData\Local\Temp\OnboardLogs" /stypes="app*4013*20161202*" /stext=" 10:.+((SYSTEM_STATE.+slice.+state.+changed )|(ment ac)|(multiple cpu faults)|(system.+state.+changed )|(\[timeout)|(PRM\|1\|D)|(kpr)|(kdp)|(\|lc)|(penalty))" /e /r /s</v>
      </c>
      <c r="AG211" s="1" t="str">
        <f t="shared" si="90"/>
        <v>Other</v>
      </c>
      <c r="AH211" s="92" t="str">
        <f t="shared" si="91"/>
        <v>"%USERPROFILE%\Documents\GitHub\eaglep3\Utilities\RefineRTDCRunTimes.py" --tripid 304-02 --locoid 4013 --swversion DE.1.0.8.0 --startMP 300:23180 --initTime 2016-12-02T03:26:23 --startdatetime 2016-12-02T03:27:59 --delay 1 --endMP 204:109 --enddatetime 2016-12-02T03:37:29 --enforcementcount 0 &gt;&gt;C:\Users\stu\Documents\GitHub\eaglep3-reporting\EC\2016-12-02-refined-times.txt</v>
      </c>
      <c r="AI211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{"issue":{"subject":"","project_id":79,"tracker_id":40,"status_id":1,"priority_id":2,"assigned_to_id":23,"start_date":"2016-12-02","description":"","custom_fields":[{"id":1,"name":"Subdivision","value":"Other"},{"id":4,"name":"Milepost","value":"0.0109"},{"id":17,"name":"Train ID","value":"304-02"},{"id":16,"name":"Locomotive ID","value":"4013"},{"id":130,"name":"Impact","value":""},{"id":150,"name":"Time of Event (Mountain Time)","value":"03:37:29"},{"id":151,"name":"Denver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634</v>
      </c>
      <c r="B212" s="7">
        <v>4027</v>
      </c>
      <c r="C212" s="22" t="s">
        <v>210</v>
      </c>
      <c r="D212" s="22" t="s">
        <v>249</v>
      </c>
      <c r="E212" s="13">
        <v>42706.79828703704</v>
      </c>
      <c r="F212" s="13">
        <v>25568.708333333332</v>
      </c>
      <c r="G212" s="7">
        <v>1</v>
      </c>
      <c r="H212" s="22" t="s">
        <v>412</v>
      </c>
      <c r="I212" s="13">
        <v>25568.708333333332</v>
      </c>
      <c r="J212" s="7">
        <v>0</v>
      </c>
      <c r="K212" s="109" t="str">
        <f t="shared" si="81"/>
        <v>4027/4028</v>
      </c>
      <c r="L212" s="22" t="str">
        <f>VLOOKUP(A212,'Trips&amp;Operators'!$C$1:$G$99999,5,FALSE)</f>
        <v>SHOOK JOHN</v>
      </c>
      <c r="M212" s="6">
        <f t="shared" si="82"/>
        <v>0</v>
      </c>
      <c r="N212" s="7">
        <f t="shared" si="77"/>
        <v>0</v>
      </c>
      <c r="O212" s="7"/>
      <c r="P212" s="7"/>
      <c r="Q212" s="23"/>
      <c r="R212" s="23"/>
      <c r="S212" s="35">
        <f t="shared" si="78"/>
        <v>1</v>
      </c>
      <c r="T212" s="50" t="str">
        <f t="shared" si="83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18:09:32-700',mode:absolute,to:'1969-12-31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2" s="52" t="str">
        <f t="shared" si="85"/>
        <v>Y</v>
      </c>
      <c r="X212" s="177">
        <f t="shared" si="76"/>
        <v>1</v>
      </c>
      <c r="Y212" s="67">
        <f t="shared" si="79"/>
        <v>4.5999999999999999E-2</v>
      </c>
      <c r="Z212" s="67">
        <f t="shared" si="80"/>
        <v>2.3308</v>
      </c>
      <c r="AA212" s="67">
        <f t="shared" si="86"/>
        <v>2.2848000000000002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87"/>
        <v>0305-02</v>
      </c>
      <c r="AE212" s="91" t="str">
        <f t="shared" si="88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2" s="88" t="str">
        <f t="shared" si="89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2" s="1" t="str">
        <f t="shared" si="90"/>
        <v>Other</v>
      </c>
      <c r="AH212" s="92" t="str">
        <f t="shared" si="91"/>
        <v>"%USERPROFILE%\Documents\GitHub\eaglep3\Utilities\RefineRTDCRunTimes.py" --tripid 305-02 --locoid 4027 --swversion DE.1.0.8.0 --startMP 204:460 --initTime 2016-12-02T19:09:32 --startdatetime 1969-12-31T17:00:00 --delay 1 --endMP 300:23308 --enddatetime 1969-12-31T17:00:00 --enforcementcount 0 &gt;&gt;C:\Users\stu\Documents\GitHub\eaglep3-reporting\EC\2016-12-02-refined-times.txt</v>
      </c>
      <c r="AI212" s="11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ID","value":"305-02"},{"id":16,"name":"Locomotive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469</v>
      </c>
      <c r="B213" s="7">
        <v>4028</v>
      </c>
      <c r="C213" s="22" t="s">
        <v>210</v>
      </c>
      <c r="D213" s="22" t="s">
        <v>762</v>
      </c>
      <c r="E213" s="13">
        <v>42706.15729166667</v>
      </c>
      <c r="F213" s="13">
        <v>42706.158587962964</v>
      </c>
      <c r="G213" s="7">
        <v>1</v>
      </c>
      <c r="H213" s="22" t="s">
        <v>763</v>
      </c>
      <c r="I213" s="13">
        <v>42706.165555555555</v>
      </c>
      <c r="J213" s="7">
        <v>0</v>
      </c>
      <c r="K213" s="109" t="str">
        <f t="shared" si="81"/>
        <v>4027/4028</v>
      </c>
      <c r="L213" s="22" t="str">
        <f>VLOOKUP(A213,'Trips&amp;Operators'!$C$1:$G$99999,5,FALSE)</f>
        <v>ROBINSON KADDIBA</v>
      </c>
      <c r="M213" s="6">
        <f t="shared" si="82"/>
        <v>6.9675925915362313E-3</v>
      </c>
      <c r="N213" s="7">
        <f t="shared" si="77"/>
        <v>10.033333331812173</v>
      </c>
      <c r="O213" s="7"/>
      <c r="P213" s="7"/>
      <c r="Q213" s="23"/>
      <c r="R213" s="23"/>
      <c r="S213" s="35">
        <f t="shared" si="78"/>
        <v>1</v>
      </c>
      <c r="T213" s="50" t="str">
        <f t="shared" si="83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02:46:30-700',mode:absolute,to:'2016-12-02 04:58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3" s="52" t="str">
        <f t="shared" si="85"/>
        <v>Y</v>
      </c>
      <c r="X213" s="177">
        <f t="shared" si="76"/>
        <v>1</v>
      </c>
      <c r="Y213" s="67">
        <f t="shared" si="79"/>
        <v>2.3210999999999999</v>
      </c>
      <c r="Z213" s="67">
        <f t="shared" si="80"/>
        <v>7.9000000000000008E-3</v>
      </c>
      <c r="AA213" s="67">
        <f t="shared" si="86"/>
        <v>2.3132000000000001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87"/>
        <v>0306-02</v>
      </c>
      <c r="AE213" s="91" t="str">
        <f t="shared" si="88"/>
        <v>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 &amp; 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</v>
      </c>
      <c r="AF213" s="88" t="str">
        <f t="shared" si="89"/>
        <v>"C:\Program Files (x86)\AstroGrep\AstroGrep.exe" /spath="%USERPROFILE%\AppData\Local\Temp\OnboardLogs" /stypes="app*4028*20161202*" /stext=" 10:.+((SYSTEM_STATE.+slice.+state.+changed )|(ment ac)|(multiple cpu faults)|(system.+state.+changed )|(\[timeout)|(PRM\|1\|D)|(kpr)|(kdp)|(\|lc)|(penalty))" /e /r /s</v>
      </c>
      <c r="AG213" s="1" t="str">
        <f t="shared" si="90"/>
        <v>Other</v>
      </c>
      <c r="AH213" s="92" t="str">
        <f t="shared" si="91"/>
        <v>"%USERPROFILE%\Documents\GitHub\eaglep3\Utilities\RefineRTDCRunTimes.py" --tripid 306-02 --locoid 4028 --swversion DE.1.0.8.0 --startMP 300:23211 --initTime 2016-12-02T03:46:30 --startdatetime 2016-12-02T03:48:22 --delay 1 --endMP 204:79 --enddatetime 2016-12-02T03:58:24 --enforcementcount 0 &gt;&gt;C:\Users\stu\Documents\GitHub\eaglep3-reporting\EC\2016-12-02-refined-times.txt</v>
      </c>
      <c r="AI213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{"issue":{"subject":"","project_id":79,"tracker_id":40,"status_id":1,"priority_id":2,"assigned_to_id":23,"start_date":"2016-12-02","description":"","custom_fields":[{"id":1,"name":"Subdivision","value":"Other"},{"id":4,"name":"Milepost","value":"0.0079"},{"id":17,"name":"Train ID","value":"306-02"},{"id":16,"name":"Locomotive ID","value":"4028"},{"id":130,"name":"Impact","value":""},{"id":150,"name":"Time of Event (Mountain Time)","value":"03:58:24"},{"id":151,"name":"Denver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639</v>
      </c>
      <c r="B214" s="7">
        <v>4014</v>
      </c>
      <c r="C214" s="22" t="s">
        <v>210</v>
      </c>
      <c r="D214" s="22" t="s">
        <v>733</v>
      </c>
      <c r="E214" s="13">
        <v>42706.818182870367</v>
      </c>
      <c r="F214" s="13">
        <v>25568.708333333332</v>
      </c>
      <c r="G214" s="7">
        <v>2</v>
      </c>
      <c r="H214" s="22" t="s">
        <v>414</v>
      </c>
      <c r="I214" s="13">
        <v>25568.708333333332</v>
      </c>
      <c r="J214" s="7">
        <v>0</v>
      </c>
      <c r="K214" s="109" t="str">
        <f t="shared" si="81"/>
        <v>4013/4014</v>
      </c>
      <c r="L214" s="22" t="str">
        <f>VLOOKUP(A214,'Trips&amp;Operators'!$C$1:$G$99999,5,FALSE)</f>
        <v>STORY SAMANTHA</v>
      </c>
      <c r="M214" s="6">
        <f t="shared" si="82"/>
        <v>0</v>
      </c>
      <c r="N214" s="7">
        <f t="shared" si="77"/>
        <v>0</v>
      </c>
      <c r="O214" s="7"/>
      <c r="P214" s="7"/>
      <c r="Q214" s="23"/>
      <c r="R214" s="23"/>
      <c r="S214" s="35">
        <f t="shared" si="78"/>
        <v>1</v>
      </c>
      <c r="T214" s="50" t="str">
        <f t="shared" si="83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18:38:11-700',mode:absolute,to:'1969-12-31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4" s="52" t="str">
        <f t="shared" si="85"/>
        <v>Y</v>
      </c>
      <c r="X214" s="177">
        <f t="shared" ref="X214:X232" si="93">VALUE(LEFT(AD214,4))-VALUE(LEFT(AD213,4))</f>
        <v>1</v>
      </c>
      <c r="Y214" s="67">
        <f t="shared" si="79"/>
        <v>4.0899999999999999E-2</v>
      </c>
      <c r="Z214" s="67">
        <f t="shared" si="80"/>
        <v>2.331</v>
      </c>
      <c r="AA214" s="67">
        <f t="shared" si="86"/>
        <v>2.2900999999999998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87"/>
        <v>0307-02</v>
      </c>
      <c r="AE214" s="91" t="str">
        <f t="shared" si="88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4" s="88" t="str">
        <f t="shared" si="89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4" s="1" t="str">
        <f t="shared" si="90"/>
        <v>Other</v>
      </c>
      <c r="AH214" s="92" t="str">
        <f t="shared" si="91"/>
        <v>"%USERPROFILE%\Documents\GitHub\eaglep3\Utilities\RefineRTDCRunTimes.py" --tripid 307-02 --locoid 4014 --swversion DE.1.0.8.0 --startMP 204:409 --initTime 2016-12-02T19:38:11 --startdatetime 1969-12-31T17:00:00 --delay 2 --endMP 300:23310 --enddatetime 1969-12-31T17:00:00 --enforcementcount 0 &gt;&gt;C:\Users\stu\Documents\GitHub\eaglep3-reporting\EC\2016-12-02-refined-times.txt</v>
      </c>
      <c r="AI214" s="11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ID","value":"307-02"},{"id":16,"name":"Locomotive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472</v>
      </c>
      <c r="B215" s="7">
        <v>4001</v>
      </c>
      <c r="C215" s="22" t="s">
        <v>210</v>
      </c>
      <c r="D215" s="22" t="s">
        <v>764</v>
      </c>
      <c r="E215" s="13">
        <v>42706.171979166669</v>
      </c>
      <c r="F215" s="13">
        <v>42706.173125000001</v>
      </c>
      <c r="G215" s="7">
        <v>1</v>
      </c>
      <c r="H215" s="22" t="s">
        <v>765</v>
      </c>
      <c r="I215" s="13">
        <v>42706.179027777776</v>
      </c>
      <c r="J215" s="7">
        <v>0</v>
      </c>
      <c r="K215" s="109" t="str">
        <f t="shared" si="81"/>
        <v>4001/4002</v>
      </c>
      <c r="L215" s="22" t="str">
        <f>VLOOKUP(A215,'Trips&amp;Operators'!$C$1:$G$99999,5,FALSE)</f>
        <v>BRANNON JEFFREY</v>
      </c>
      <c r="M215" s="6">
        <f t="shared" si="82"/>
        <v>5.9027777751907706E-3</v>
      </c>
      <c r="N215" s="7">
        <f t="shared" si="77"/>
        <v>8.4999999962747097</v>
      </c>
      <c r="O215" s="7"/>
      <c r="P215" s="7"/>
      <c r="Q215" s="23"/>
      <c r="R215" s="23"/>
      <c r="S215" s="35">
        <f t="shared" si="78"/>
        <v>1</v>
      </c>
      <c r="T215" s="50" t="str">
        <f t="shared" si="83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03:07:39-700',mode:absolute,to:'2016-12-02 05:17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5" s="52" t="str">
        <f t="shared" si="85"/>
        <v>Y</v>
      </c>
      <c r="X215" s="177">
        <f t="shared" si="93"/>
        <v>1</v>
      </c>
      <c r="Y215" s="67">
        <f t="shared" si="79"/>
        <v>2.3622000000000001</v>
      </c>
      <c r="Z215" s="67">
        <f t="shared" si="80"/>
        <v>1.2999999999999999E-2</v>
      </c>
      <c r="AA215" s="67">
        <f t="shared" si="86"/>
        <v>2.3492000000000002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87"/>
        <v>0308-02</v>
      </c>
      <c r="AE215" s="91" t="str">
        <f t="shared" si="88"/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AF215" s="88" t="str">
        <f t="shared" si="89"/>
        <v>"C:\Program Files (x86)\AstroGrep\AstroGrep.exe" /spath="%USERPROFILE%\AppData\Local\Temp\OnboardLogs" /stypes="app*4001*20161202*" /stext=" 11:.+((SYSTEM_STATE.+slice.+state.+changed )|(ment ac)|(multiple cpu faults)|(system.+state.+changed )|(\[timeout)|(PRM\|1\|D)|(kpr)|(kdp)|(\|lc)|(penalty))" /e /r /s</v>
      </c>
      <c r="AG215" s="1" t="str">
        <f t="shared" si="90"/>
        <v>Other</v>
      </c>
      <c r="AH215" s="92" t="str">
        <f t="shared" si="91"/>
        <v>"%USERPROFILE%\Documents\GitHub\eaglep3\Utilities\RefineRTDCRunTimes.py" --tripid 308-02 --locoid 4001 --swversion DE.1.0.8.0 --startMP 300:23622 --initTime 2016-12-02T04:07:39 --startdatetime 2016-12-02T04:09:18 --delay 1 --endMP 204:130 --enddatetime 2016-12-02T04:17:48 --enforcementcount 0 &gt;&gt;C:\Users\stu\Documents\GitHub\eaglep3-reporting\EC\2016-12-02-refined-times.txt</v>
      </c>
      <c r="AI215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{"issue":{"subject":"","project_id":79,"tracker_id":40,"status_id":1,"priority_id":2,"assigned_to_id":23,"start_date":"2016-12-02","description":"","custom_fields":[{"id":1,"name":"Subdivision","value":"Other"},{"id":4,"name":"Milepost","value":"0.013"},{"id":17,"name":"Train ID","value":"308-02"},{"id":16,"name":"Locomotive ID","value":"4001"},{"id":130,"name":"Impact","value":""},{"id":150,"name":"Time of Event (Mountain Time)","value":"04:17:48"},{"id":151,"name":"Denver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461</v>
      </c>
      <c r="B216" s="7">
        <v>4022</v>
      </c>
      <c r="C216" s="22" t="s">
        <v>210</v>
      </c>
      <c r="D216" s="22" t="s">
        <v>766</v>
      </c>
      <c r="E216" s="13">
        <v>42707.047685185185</v>
      </c>
      <c r="F216" s="13">
        <v>25568.708333333332</v>
      </c>
      <c r="G216" s="7">
        <v>1</v>
      </c>
      <c r="H216" s="22" t="s">
        <v>767</v>
      </c>
      <c r="I216" s="13">
        <v>25568.708333333332</v>
      </c>
      <c r="J216" s="7">
        <v>0</v>
      </c>
      <c r="K216" s="109" t="str">
        <f t="shared" si="81"/>
        <v>4021/4022</v>
      </c>
      <c r="L216" s="22" t="str">
        <f>VLOOKUP(A216,'Trips&amp;Operators'!$C$1:$G$99999,5,FALSE)</f>
        <v>YANAI IAN</v>
      </c>
      <c r="M216" s="6">
        <f t="shared" si="82"/>
        <v>0</v>
      </c>
      <c r="N216" s="7">
        <f t="shared" si="77"/>
        <v>0</v>
      </c>
      <c r="O216" s="7"/>
      <c r="P216" s="7"/>
      <c r="Q216" s="23"/>
      <c r="R216" s="23"/>
      <c r="S216" s="35">
        <f t="shared" si="78"/>
        <v>1</v>
      </c>
      <c r="T216" s="50" t="str">
        <f t="shared" si="83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https://search-rtdc-monitor-bjffxe2xuh6vdkpspy63sjmuny.us-east-1.es.amazonaws.com/_plugin/kibana/#/discover/Steve-Slow-Train-Analysis-(2080s-and-2083s)?_g=(refreshInterval:(display:Off,section:0,value:0),time:(from:'2016-12-03 00:08:40-700',mode:absolute,to:'1969-12-31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6" s="52" t="str">
        <f t="shared" si="85"/>
        <v>Y</v>
      </c>
      <c r="X216" s="177">
        <f t="shared" si="93"/>
        <v>1</v>
      </c>
      <c r="Y216" s="67">
        <f t="shared" si="79"/>
        <v>8.9200000000000002E-2</v>
      </c>
      <c r="Z216" s="67">
        <f t="shared" si="80"/>
        <v>2.3132000000000001</v>
      </c>
      <c r="AA216" s="67">
        <f t="shared" si="86"/>
        <v>2.2240000000000002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87"/>
        <v>0309-02</v>
      </c>
      <c r="AE216" s="91" t="str">
        <f t="shared" si="88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6" s="88" t="str">
        <f t="shared" si="89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6" s="1" t="str">
        <f t="shared" si="90"/>
        <v>Other</v>
      </c>
      <c r="AH216" s="92" t="str">
        <f t="shared" si="91"/>
        <v>"%USERPROFILE%\Documents\GitHub\eaglep3\Utilities\RefineRTDCRunTimes.py" --tripid 309-02 --locoid 4022 --swversion DE.1.0.8.0 --startMP 204:892 --initTime 2016-12-03T01:08:40 --startdatetime 1969-12-31T17:00:00 --delay 1 --endMP 300:23132 --enddatetime 1969-12-31T17:00:00 --enforcementcount 0 &gt;&gt;C:\Users\stu\Documents\GitHub\eaglep3-reporting\EC\2016-12-02-refined-times.txt</v>
      </c>
      <c r="AI216" s="11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{"issue":{"subject":"","project_id":79,"tracker_id":40,"status_id":1,"priority_id":2,"assigned_to_id":23,"start_date":"1969-12-31","description":"","custom_fields":[{"id":1,"name":"Subdivision","value":"Other"},{"id":4,"name":"Milepost","value":"2.3132"},{"id":17,"name":"Train ID","value":"309-02"},{"id":16,"name":"Locomotive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476</v>
      </c>
      <c r="B217" s="7">
        <v>4004</v>
      </c>
      <c r="C217" s="22" t="s">
        <v>210</v>
      </c>
      <c r="D217" s="22" t="s">
        <v>768</v>
      </c>
      <c r="E217" s="13">
        <v>42706.183935185189</v>
      </c>
      <c r="F217" s="13">
        <v>42706.185613425929</v>
      </c>
      <c r="G217" s="7">
        <v>1</v>
      </c>
      <c r="H217" s="22" t="s">
        <v>206</v>
      </c>
      <c r="I217" s="13">
        <v>42706.191736111112</v>
      </c>
      <c r="J217" s="7">
        <v>0</v>
      </c>
      <c r="K217" s="109" t="str">
        <f t="shared" si="81"/>
        <v>4003/4004</v>
      </c>
      <c r="L217" s="22" t="str">
        <f>VLOOKUP(A217,'Trips&amp;Operators'!$C$1:$G$99999,5,FALSE)</f>
        <v>MAGEE KENYA</v>
      </c>
      <c r="M217" s="6">
        <f t="shared" si="82"/>
        <v>6.1226851830724627E-3</v>
      </c>
      <c r="N217" s="7">
        <f t="shared" si="77"/>
        <v>8.8166666636243463</v>
      </c>
      <c r="O217" s="7"/>
      <c r="P217" s="7"/>
      <c r="Q217" s="23"/>
      <c r="R217" s="23"/>
      <c r="S217" s="35">
        <f t="shared" si="78"/>
        <v>1</v>
      </c>
      <c r="T217" s="50" t="str">
        <f t="shared" si="83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03:24:52-700',mode:absolute,to:'2016-12-02 05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7" s="52" t="str">
        <f t="shared" si="85"/>
        <v>Y</v>
      </c>
      <c r="X217" s="177">
        <f t="shared" si="93"/>
        <v>1</v>
      </c>
      <c r="Y217" s="67">
        <f t="shared" si="79"/>
        <v>2.351</v>
      </c>
      <c r="Z217" s="67">
        <f t="shared" si="80"/>
        <v>1.5599999999999999E-2</v>
      </c>
      <c r="AA217" s="67">
        <f t="shared" si="86"/>
        <v>2.3353999999999999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87"/>
        <v>0310-02</v>
      </c>
      <c r="AE217" s="91" t="str">
        <f t="shared" si="88"/>
        <v>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 &amp; 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</v>
      </c>
      <c r="AF217" s="88" t="str">
        <f t="shared" si="89"/>
        <v>"C:\Program Files (x86)\AstroGrep\AstroGrep.exe" /spath="%USERPROFILE%\AppData\Local\Temp\OnboardLogs" /stypes="app*4004*20161202*" /stext=" 11:.+((SYSTEM_STATE.+slice.+state.+changed )|(ment ac)|(multiple cpu faults)|(system.+state.+changed )|(\[timeout)|(PRM\|1\|D)|(kpr)|(kdp)|(\|lc)|(penalty))" /e /r /s</v>
      </c>
      <c r="AG217" s="1" t="str">
        <f t="shared" si="90"/>
        <v>Other</v>
      </c>
      <c r="AH217" s="92" t="str">
        <f t="shared" si="91"/>
        <v>"%USERPROFILE%\Documents\GitHub\eaglep3\Utilities\RefineRTDCRunTimes.py" --tripid 310-02 --locoid 4004 --swversion DE.1.0.8.0 --startMP 300:23510 --initTime 2016-12-02T04:24:52 --startdatetime 2016-12-02T04:27:17 --delay 1 --endMP 204:156 --enddatetime 2016-12-02T04:36:06 --enforcementcount 0 &gt;&gt;C:\Users\stu\Documents\GitHub\eaglep3-reporting\EC\2016-12-02-refined-times.txt</v>
      </c>
      <c r="AI217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{"issue":{"subject":"","project_id":79,"tracker_id":40,"status_id":1,"priority_id":2,"assigned_to_id":23,"start_date":"2016-12-02","description":"","custom_fields":[{"id":1,"name":"Subdivision","value":"Other"},{"id":4,"name":"Milepost","value":"0.0156"},{"id":17,"name":"Train ID","value":"310-02"},{"id":16,"name":"Locomotive ID","value":"4004"},{"id":130,"name":"Impact","value":""},{"id":150,"name":"Time of Event (Mountain Time)","value":"04:36:06"},{"id":151,"name":"Denver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663</v>
      </c>
      <c r="B218" s="7">
        <v>4011</v>
      </c>
      <c r="C218" s="22" t="s">
        <v>210</v>
      </c>
      <c r="D218" s="22" t="s">
        <v>289</v>
      </c>
      <c r="E218" s="13">
        <v>42707.069953703707</v>
      </c>
      <c r="F218" s="13">
        <v>42707.071388888886</v>
      </c>
      <c r="G218" s="7">
        <v>1</v>
      </c>
      <c r="H218" s="22" t="s">
        <v>769</v>
      </c>
      <c r="I218" s="13">
        <v>42707.0778587963</v>
      </c>
      <c r="J218" s="7">
        <v>0</v>
      </c>
      <c r="K218" s="109" t="str">
        <f t="shared" si="81"/>
        <v>4011/4012</v>
      </c>
      <c r="L218" s="22" t="str">
        <f>VLOOKUP(A218,'Trips&amp;Operators'!$C$1:$G$99999,5,FALSE)</f>
        <v>CHANDLER KELVIN</v>
      </c>
      <c r="M218" s="6">
        <f t="shared" si="82"/>
        <v>6.4699074137024581E-3</v>
      </c>
      <c r="N218" s="7">
        <f t="shared" si="77"/>
        <v>9.3166666757315397</v>
      </c>
      <c r="O218" s="7"/>
      <c r="P218" s="7"/>
      <c r="Q218" s="23"/>
      <c r="R218" s="23"/>
      <c r="S218" s="35">
        <f t="shared" si="78"/>
        <v>1</v>
      </c>
      <c r="T218" s="50" t="str">
        <f t="shared" si="83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https://search-rtdc-monitor-bjffxe2xuh6vdkpspy63sjmuny.us-east-1.es.amazonaws.com/_plugin/kibana/#/discover/Steve-Slow-Train-Analysis-(2080s-and-2083s)?_g=(refreshInterval:(display:Off,section:0,value:0),time:(from:'2016-12-03 00:40:44-700',mode:absolute,to:'2016-12-03 02:52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8" s="52" t="str">
        <f t="shared" si="85"/>
        <v>Y</v>
      </c>
      <c r="X218" s="177">
        <f t="shared" si="93"/>
        <v>1</v>
      </c>
      <c r="Y218" s="67">
        <f t="shared" si="79"/>
        <v>4.58E-2</v>
      </c>
      <c r="Z218" s="67">
        <f t="shared" si="80"/>
        <v>2.2850000000000001</v>
      </c>
      <c r="AA218" s="67">
        <f t="shared" si="86"/>
        <v>2.2392000000000003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87"/>
        <v>0311-02</v>
      </c>
      <c r="AE218" s="91" t="str">
        <f t="shared" si="88"/>
        <v>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 &amp; aws s3 cp s3://rtdc.mdm.uploadarchive.raw/RTDC4011/ "%USERPROFILE%\AppData\Local\Temp\OnboardLogs"\RTDC4011\2016-12-04 --exclude "*" --recursive --include "*20161204*" &amp; "%USERPROFILE%\Documents\GitHub\mrs-test-scripts\Headless Mode &amp; Sideloading\WalkAndUnGZ.bat" "%USERPROFILE%\AppData\Local\Temp\OnboardLogs"\RTDC4011\2016-12-04</v>
      </c>
      <c r="AF218" s="88" t="str">
        <f t="shared" si="89"/>
        <v>"C:\Program Files (x86)\AstroGrep\AstroGrep.exe" /spath="%USERPROFILE%\AppData\Local\Temp\OnboardLogs" /stypes="app*4011*20161203*" /stext=" 08:.+((SYSTEM_STATE.+slice.+state.+changed )|(ment ac)|(multiple cpu faults)|(system.+state.+changed )|(\[timeout)|(PRM\|1\|D)|(kpr)|(kdp)|(\|lc)|(penalty))" /e /r /s</v>
      </c>
      <c r="AG218" s="1" t="str">
        <f t="shared" si="90"/>
        <v>Other</v>
      </c>
      <c r="AH218" s="92" t="str">
        <f t="shared" si="91"/>
        <v>"%USERPROFILE%\Documents\GitHub\eaglep3\Utilities\RefineRTDCRunTimes.py" --tripid 311-02 --locoid 4011 --swversion DE.1.0.8.0 --startMP 204:458 --initTime 2016-12-03T01:40:44 --startdatetime 2016-12-03T01:42:48 --delay 1 --endMP 300:22850 --enddatetime 2016-12-03T01:52:07 --enforcementcount 0 &gt;&gt;C:\Users\stu\Documents\GitHub\eaglep3-reporting\EC\2016-12-02-refined-times.txt</v>
      </c>
      <c r="AI218" s="119" t="str">
        <f t="shared" si="92"/>
        <v>echo {"issue":{"subject":"","project_id":79,"tracker_id":40,"status_id":1,"priority_id":2,"assigned_to_id":23,"start_date":"2016-12-03","description":"","custom_fields":[{"id":1,"name":"Subdivision","value":"Other"},{"id":4,"name":"Milepost","value":"2.285"},{"id":17,"name":"Train ID","value":"311-02"},{"id":16,"name":"Locomotive ID","value":"4011"},{"id":130,"name":"Impact","value":""},{"id":150,"name":"Time of Event (Mountain Time)","value":"01:52:07"},{"id":151,"name":"Denver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665</v>
      </c>
      <c r="B219" s="7">
        <v>4002</v>
      </c>
      <c r="C219" s="22" t="s">
        <v>210</v>
      </c>
      <c r="D219" s="22" t="s">
        <v>770</v>
      </c>
      <c r="E219" s="13">
        <v>42707.087731481479</v>
      </c>
      <c r="F219" s="13">
        <v>25568.708333333332</v>
      </c>
      <c r="G219" s="7">
        <v>2</v>
      </c>
      <c r="H219" s="22" t="s">
        <v>771</v>
      </c>
      <c r="I219" s="13">
        <v>25568.708333333332</v>
      </c>
      <c r="J219" s="7">
        <v>0</v>
      </c>
      <c r="K219" s="109" t="str">
        <f t="shared" si="81"/>
        <v>4001/4002</v>
      </c>
      <c r="L219" s="22" t="str">
        <f>VLOOKUP(A219,'Trips&amp;Operators'!$C$1:$G$99999,5,FALSE)</f>
        <v>STAMBAUGH JAMES</v>
      </c>
      <c r="M219" s="6">
        <f t="shared" si="82"/>
        <v>0</v>
      </c>
      <c r="N219" s="7">
        <f t="shared" ref="N219:N232" si="94">24*60*SUM($M219:$M219)</f>
        <v>0</v>
      </c>
      <c r="O219" s="7"/>
      <c r="P219" s="7"/>
      <c r="Q219" s="23"/>
      <c r="R219" s="23"/>
      <c r="S219" s="35">
        <f t="shared" ref="S219:S232" si="95">SUM(U219:U219)/IF(AG219="EC",12,1)</f>
        <v>1</v>
      </c>
      <c r="T219" s="50" t="str">
        <f t="shared" si="83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https://search-rtdc-monitor-bjffxe2xuh6vdkpspy63sjmuny.us-east-1.es.amazonaws.com/_plugin/kibana/#/discover/Steve-Slow-Train-Analysis-(2080s-and-2083s)?_g=(refreshInterval:(display:Off,section:0,value:0),time:(from:'2016-12-03 01:06:20-700',mode:absolute,to:'1969-12-31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9" s="52" t="str">
        <f t="shared" si="85"/>
        <v>Y</v>
      </c>
      <c r="X219" s="177">
        <f t="shared" si="93"/>
        <v>2</v>
      </c>
      <c r="Y219" s="67">
        <f t="shared" si="79"/>
        <v>0.13020000000000001</v>
      </c>
      <c r="Z219" s="67">
        <f t="shared" si="80"/>
        <v>2.3296999999999999</v>
      </c>
      <c r="AA219" s="67">
        <f t="shared" si="86"/>
        <v>2.1995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87"/>
        <v>0313-02</v>
      </c>
      <c r="AE219" s="91" t="str">
        <f t="shared" si="88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9" s="88" t="str">
        <f t="shared" si="89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9" s="1" t="str">
        <f t="shared" si="90"/>
        <v>Other</v>
      </c>
      <c r="AH219" s="92" t="str">
        <f t="shared" si="91"/>
        <v>"%USERPROFILE%\Documents\GitHub\eaglep3\Utilities\RefineRTDCRunTimes.py" --tripid 313-02 --locoid 4002 --swversion DE.1.0.8.0 --startMP 204:1302 --initTime 2016-12-03T02:06:20 --startdatetime 1969-12-31T17:00:00 --delay 2 --endMP 300:23297 --enddatetime 1969-12-31T17:00:00 --enforcementcount 0 &gt;&gt;C:\Users\stu\Documents\GitHub\eaglep3-reporting\EC\2016-12-02-refined-times.txt</v>
      </c>
      <c r="AI219" s="11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ID","value":"313-02"},{"id":16,"name":"Locomotive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666</v>
      </c>
      <c r="B220" s="7">
        <v>4044</v>
      </c>
      <c r="C220" s="22" t="s">
        <v>210</v>
      </c>
      <c r="D220" s="22" t="s">
        <v>772</v>
      </c>
      <c r="E220" s="13">
        <v>42707.1091087963</v>
      </c>
      <c r="F220" s="13">
        <v>25568.708333333332</v>
      </c>
      <c r="G220" s="7">
        <v>1</v>
      </c>
      <c r="H220" s="22" t="s">
        <v>773</v>
      </c>
      <c r="I220" s="13">
        <v>25568.708333333332</v>
      </c>
      <c r="J220" s="7">
        <v>0</v>
      </c>
      <c r="K220" s="109" t="str">
        <f t="shared" si="81"/>
        <v>4043/4044</v>
      </c>
      <c r="L220" s="22" t="str">
        <f>VLOOKUP(A220,'Trips&amp;Operators'!$C$1:$G$99999,5,FALSE)</f>
        <v>LEVIN SCOTT</v>
      </c>
      <c r="M220" s="6">
        <f t="shared" si="82"/>
        <v>0</v>
      </c>
      <c r="N220" s="7">
        <f t="shared" si="94"/>
        <v>0</v>
      </c>
      <c r="O220" s="7"/>
      <c r="P220" s="7"/>
      <c r="Q220" s="23"/>
      <c r="R220" s="23"/>
      <c r="S220" s="35">
        <f t="shared" si="95"/>
        <v>1</v>
      </c>
      <c r="T220" s="50" t="str">
        <f t="shared" si="83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https://search-rtdc-monitor-bjffxe2xuh6vdkpspy63sjmuny.us-east-1.es.amazonaws.com/_plugin/kibana/#/discover/Steve-Slow-Train-Analysis-(2080s-and-2083s)?_g=(refreshInterval:(display:Off,section:0,value:0),time:(from:'2016-12-03 01:37:07-700',mode:absolute,to:'1969-12-31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0" s="52" t="str">
        <f t="shared" si="85"/>
        <v>Y</v>
      </c>
      <c r="X220" s="177">
        <f t="shared" si="93"/>
        <v>2</v>
      </c>
      <c r="Y220" s="67">
        <f t="shared" si="79"/>
        <v>7.6499999999999999E-2</v>
      </c>
      <c r="Z220" s="67">
        <f t="shared" si="80"/>
        <v>2.3311999999999999</v>
      </c>
      <c r="AA220" s="67">
        <f t="shared" si="86"/>
        <v>2.2547000000000001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87"/>
        <v>0315-02</v>
      </c>
      <c r="AE220" s="91" t="str">
        <f t="shared" si="88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0" s="88" t="str">
        <f t="shared" si="89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20" s="1" t="str">
        <f t="shared" si="90"/>
        <v>Other</v>
      </c>
      <c r="AH220" s="92" t="str">
        <f t="shared" si="91"/>
        <v>"%USERPROFILE%\Documents\GitHub\eaglep3\Utilities\RefineRTDCRunTimes.py" --tripid 315-02 --locoid 4044 --swversion DE.1.0.8.0 --startMP 204:765 --initTime 2016-12-03T02:37:07 --startdatetime 1969-12-31T17:00:00 --delay 1 --endMP 300:23312 --enddatetime 1969-12-31T17:00:00 --enforcementcount 0 &gt;&gt;C:\Users\stu\Documents\GitHub\eaglep3-reporting\EC\2016-12-02-refined-times.txt</v>
      </c>
      <c r="AI220" s="11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ID","value":"315-02"},{"id":16,"name":"Locomotive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492</v>
      </c>
      <c r="B221" s="7">
        <v>4039</v>
      </c>
      <c r="C221" s="22" t="s">
        <v>210</v>
      </c>
      <c r="D221" s="22" t="s">
        <v>829</v>
      </c>
      <c r="E221" s="13">
        <v>42706.253067129626</v>
      </c>
      <c r="F221" s="13">
        <v>42706.25445601852</v>
      </c>
      <c r="G221" s="7">
        <v>1</v>
      </c>
      <c r="H221" s="22" t="s">
        <v>830</v>
      </c>
      <c r="I221" s="13">
        <v>42706.259826388887</v>
      </c>
      <c r="J221" s="7">
        <v>0</v>
      </c>
      <c r="K221" s="109" t="str">
        <f t="shared" si="81"/>
        <v>4039/4040</v>
      </c>
      <c r="L221" s="22" t="str">
        <f>VLOOKUP(A221,'Trips&amp;Operators'!$C$1:$G$99999,5,FALSE)</f>
        <v>YORK EDGAR</v>
      </c>
      <c r="M221" s="6">
        <f t="shared" si="82"/>
        <v>5.3703703670180403E-3</v>
      </c>
      <c r="N221" s="7">
        <f t="shared" si="94"/>
        <v>7.733333328505978</v>
      </c>
      <c r="O221" s="7"/>
      <c r="P221" s="7"/>
      <c r="Q221" s="23"/>
      <c r="R221" s="23"/>
      <c r="S221" s="35">
        <f t="shared" si="95"/>
        <v>1</v>
      </c>
      <c r="T221" s="50" t="str">
        <f t="shared" si="83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05:04:25-700',mode:absolute,to:'2016-12-02 07:14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1" s="52" t="str">
        <f t="shared" si="85"/>
        <v>Y</v>
      </c>
      <c r="X221" s="177">
        <f t="shared" si="93"/>
        <v>587</v>
      </c>
      <c r="Y221" s="67">
        <f t="shared" si="79"/>
        <v>2.3323999999999998</v>
      </c>
      <c r="Z221" s="67">
        <f t="shared" si="80"/>
        <v>7.22E-2</v>
      </c>
      <c r="AA221" s="67">
        <f t="shared" si="86"/>
        <v>2.2601999999999998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87"/>
        <v>0902-02</v>
      </c>
      <c r="AE221" s="91" t="str">
        <f t="shared" si="88"/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AF221" s="88" t="str">
        <f t="shared" si="89"/>
        <v>"C:\Program Files (x86)\AstroGrep\AstroGrep.exe" /spath="%USERPROFILE%\AppData\Local\Temp\OnboardLogs" /stypes="app*4039*20161202*" /stext=" 13:.+((SYSTEM_STATE.+slice.+state.+changed )|(ment ac)|(multiple cpu faults)|(system.+state.+changed )|(\[timeout)|(PRM\|1\|D)|(kpr)|(kdp)|(\|lc)|(penalty))" /e /r /s</v>
      </c>
      <c r="AG221" s="1" t="str">
        <f t="shared" si="90"/>
        <v>Other</v>
      </c>
      <c r="AH221" s="92" t="str">
        <f t="shared" si="91"/>
        <v>"%USERPROFILE%\Documents\GitHub\eaglep3\Utilities\RefineRTDCRunTimes.py" --tripid 902-02 --locoid 4039 --swversion DE.1.0.8.0 --startMP 300:23324 --initTime 2016-12-02T06:04:25 --startdatetime 2016-12-02T06:06:25 --delay 1 --endMP 204:722 --enddatetime 2016-12-02T06:14:09 --enforcementcount 0 &gt;&gt;C:\Users\stu\Documents\GitHub\eaglep3-reporting\EC\2016-12-02-refined-times.txt</v>
      </c>
      <c r="AI221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{"issue":{"subject":"","project_id":79,"tracker_id":40,"status_id":1,"priority_id":2,"assigned_to_id":23,"start_date":"2016-12-02","description":"","custom_fields":[{"id":1,"name":"Subdivision","value":"Other"},{"id":4,"name":"Milepost","value":"0.0722"},{"id":17,"name":"Train ID","value":"902-02"},{"id":16,"name":"Locomotive ID","value":"4039"},{"id":130,"name":"Impact","value":""},{"id":150,"name":"Time of Event (Mountain Time)","value":"06:14:09"},{"id":151,"name":"Denver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517</v>
      </c>
      <c r="B222" s="7">
        <v>4016</v>
      </c>
      <c r="C222" s="22" t="s">
        <v>210</v>
      </c>
      <c r="D222" s="22" t="s">
        <v>797</v>
      </c>
      <c r="E222" s="13">
        <v>42706.354027777779</v>
      </c>
      <c r="F222" s="13">
        <v>42706.355347222219</v>
      </c>
      <c r="G222" s="7">
        <v>1</v>
      </c>
      <c r="H222" s="22" t="s">
        <v>831</v>
      </c>
      <c r="I222" s="13">
        <v>42706.363807870373</v>
      </c>
      <c r="J222" s="7">
        <v>0</v>
      </c>
      <c r="K222" s="109" t="str">
        <f t="shared" si="81"/>
        <v>4015/4016</v>
      </c>
      <c r="L222" s="22" t="str">
        <f>VLOOKUP(A222,'Trips&amp;Operators'!$C$1:$G$99999,5,FALSE)</f>
        <v>STRICKLAND EVAN</v>
      </c>
      <c r="M222" s="6">
        <f t="shared" si="82"/>
        <v>8.4606481541413814E-3</v>
      </c>
      <c r="N222" s="7">
        <f t="shared" si="94"/>
        <v>12.183333341963589</v>
      </c>
      <c r="O222" s="7"/>
      <c r="P222" s="7"/>
      <c r="Q222" s="23"/>
      <c r="R222" s="23"/>
      <c r="S222" s="35">
        <f t="shared" si="95"/>
        <v>1</v>
      </c>
      <c r="T222" s="50" t="str">
        <f t="shared" si="83"/>
        <v>NorthBound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07:29:48-700',mode:absolute,to:'2016-12-02 09:43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2" s="52" t="str">
        <f t="shared" si="85"/>
        <v>Y</v>
      </c>
      <c r="X222" s="177">
        <f t="shared" si="93"/>
        <v>1</v>
      </c>
      <c r="Y222" s="67">
        <f t="shared" si="79"/>
        <v>0.1062</v>
      </c>
      <c r="Z222" s="67">
        <f t="shared" si="80"/>
        <v>3.1848000000000001</v>
      </c>
      <c r="AA222" s="67">
        <f t="shared" si="86"/>
        <v>3.0786000000000002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87"/>
        <v>0903-02</v>
      </c>
      <c r="AE222" s="91" t="str">
        <f t="shared" si="88"/>
        <v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v>
      </c>
      <c r="AF222" s="88" t="str">
        <f t="shared" si="89"/>
        <v>"C:\Program Files (x86)\AstroGrep\AstroGrep.exe" /spath="%USERPROFILE%\AppData\Local\Temp\OnboardLogs" /stypes="app*4016*20161202*" /stext=" 15:.+((SYSTEM_STATE.+slice.+state.+changed )|(ment ac)|(multiple cpu faults)|(system.+state.+changed )|(\[timeout)|(PRM\|1\|D)|(kpr)|(kdp)|(\|lc)|(penalty))" /e /r /s</v>
      </c>
      <c r="AG222" s="1" t="str">
        <f t="shared" si="90"/>
        <v>Other</v>
      </c>
      <c r="AH222" s="92" t="str">
        <f t="shared" si="91"/>
        <v>"%USERPROFILE%\Documents\GitHub\eaglep3\Utilities\RefineRTDCRunTimes.py" --tripid 903-02 --locoid 4016 --swversion DE.1.0.8.0 --startMP 204:1062 --initTime 2016-12-02T08:29:48 --startdatetime 2016-12-02T08:31:42 --delay 1 --endMP 300:31848 --enddatetime 2016-12-02T08:43:53 --enforcementcount 0 &gt;&gt;C:\Users\stu\Documents\GitHub\eaglep3-reporting\EC\2016-12-02-refined-times.txt</v>
      </c>
      <c r="AI222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{"issue":{"subject":"","project_id":79,"tracker_id":40,"status_id":1,"priority_id":2,"assigned_to_id":23,"start_date":"2016-12-02","description":"","custom_fields":[{"id":1,"name":"Subdivision","value":"Other"},{"id":4,"name":"Milepost","value":"3.1848"},{"id":17,"name":"Train ID","value":"903-02"},{"id":16,"name":"Locomotive ID","value":"4016"},{"id":130,"name":"Impact","value":""},{"id":150,"name":"Time of Event (Mountain Time)","value":"08:43:53"},{"id":151,"name":"Denver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584</v>
      </c>
      <c r="B223" s="7">
        <v>4015</v>
      </c>
      <c r="C223" s="22" t="s">
        <v>210</v>
      </c>
      <c r="D223" s="22" t="s">
        <v>832</v>
      </c>
      <c r="E223" s="13">
        <v>42706.637731481482</v>
      </c>
      <c r="F223" s="13">
        <v>42706.639409722222</v>
      </c>
      <c r="G223" s="7">
        <v>2</v>
      </c>
      <c r="H223" s="22" t="s">
        <v>822</v>
      </c>
      <c r="I223" s="13">
        <v>42706.644745370373</v>
      </c>
      <c r="J223" s="7">
        <v>0</v>
      </c>
      <c r="K223" s="109" t="str">
        <f t="shared" si="81"/>
        <v>4015/4016</v>
      </c>
      <c r="L223" s="22" t="str">
        <f>VLOOKUP(A223,'Trips&amp;Operators'!$C$1:$G$99999,5,FALSE)</f>
        <v>NEWELL JAMES</v>
      </c>
      <c r="M223" s="6">
        <f t="shared" si="82"/>
        <v>5.3356481512309983E-3</v>
      </c>
      <c r="N223" s="7">
        <f t="shared" si="94"/>
        <v>7.6833333377726376</v>
      </c>
      <c r="O223" s="7"/>
      <c r="P223" s="7"/>
      <c r="Q223" s="23"/>
      <c r="R223" s="23"/>
      <c r="S223" s="35">
        <f t="shared" si="95"/>
        <v>1</v>
      </c>
      <c r="T223" s="50" t="str">
        <f t="shared" si="83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14:18:20-700',mode:absolute,to:'2016-12-02 16:28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3" s="52" t="str">
        <f t="shared" si="85"/>
        <v>Y</v>
      </c>
      <c r="X223" s="177">
        <f t="shared" si="93"/>
        <v>1</v>
      </c>
      <c r="Y223" s="67">
        <f t="shared" si="79"/>
        <v>2.3645999999999998</v>
      </c>
      <c r="Z223" s="67">
        <f t="shared" si="80"/>
        <v>6.6600000000000006E-2</v>
      </c>
      <c r="AA223" s="67">
        <f t="shared" si="86"/>
        <v>2.2979999999999996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87"/>
        <v>0904-02</v>
      </c>
      <c r="AE223" s="91" t="str">
        <f t="shared" si="88"/>
        <v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v>
      </c>
      <c r="AF223" s="88" t="str">
        <f t="shared" si="89"/>
        <v>"C:\Program Files (x86)\AstroGrep\AstroGrep.exe" /spath="%USERPROFILE%\AppData\Local\Temp\OnboardLogs" /stypes="app*4015*20161202*" /stext=" 22:.+((SYSTEM_STATE.+slice.+state.+changed )|(ment ac)|(multiple cpu faults)|(system.+state.+changed )|(\[timeout)|(PRM\|1\|D)|(kpr)|(kdp)|(\|lc)|(penalty))" /e /r /s</v>
      </c>
      <c r="AG223" s="1" t="str">
        <f t="shared" si="90"/>
        <v>Other</v>
      </c>
      <c r="AH223" s="92" t="str">
        <f t="shared" si="91"/>
        <v>"%USERPROFILE%\Documents\GitHub\eaglep3\Utilities\RefineRTDCRunTimes.py" --tripid 904-02 --locoid 4015 --swversion DE.1.0.8.0 --startMP 300:23646 --initTime 2016-12-02T15:18:20 --startdatetime 2016-12-02T15:20:45 --delay 2 --endMP 204:666 --enddatetime 2016-12-02T15:28:26 --enforcementcount 0 &gt;&gt;C:\Users\stu\Documents\GitHub\eaglep3-reporting\EC\2016-12-02-refined-times.txt</v>
      </c>
      <c r="AI223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{"issue":{"subject":"","project_id":79,"tracker_id":40,"status_id":1,"priority_id":2,"assigned_to_id":23,"start_date":"2016-12-02","description":"","custom_fields":[{"id":1,"name":"Subdivision","value":"Other"},{"id":4,"name":"Milepost","value":"0.0666"},{"id":17,"name":"Train ID","value":"904-02"},{"id":16,"name":"Locomotive ID","value":"4015"},{"id":130,"name":"Impact","value":""},{"id":150,"name":"Time of Event (Mountain Time)","value":"15:28:26"},{"id":151,"name":"Denver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632</v>
      </c>
      <c r="B224" s="7">
        <v>4015</v>
      </c>
      <c r="C224" s="22" t="s">
        <v>210</v>
      </c>
      <c r="D224" s="22" t="s">
        <v>791</v>
      </c>
      <c r="E224" s="13">
        <v>42706.795717592591</v>
      </c>
      <c r="F224" s="13">
        <v>25568.708333333332</v>
      </c>
      <c r="G224" s="7">
        <v>1</v>
      </c>
      <c r="H224" s="22" t="s">
        <v>833</v>
      </c>
      <c r="I224" s="13">
        <v>25568.708333333332</v>
      </c>
      <c r="J224" s="7">
        <v>0</v>
      </c>
      <c r="K224" s="109" t="str">
        <f t="shared" si="81"/>
        <v>4015/4016</v>
      </c>
      <c r="L224" s="22" t="str">
        <f>VLOOKUP(A224,'Trips&amp;Operators'!$C$1:$G$99999,5,FALSE)</f>
        <v>NEWELL JAMES</v>
      </c>
      <c r="M224" s="6">
        <f t="shared" si="82"/>
        <v>0</v>
      </c>
      <c r="N224" s="7">
        <f t="shared" si="94"/>
        <v>0</v>
      </c>
      <c r="O224" s="7"/>
      <c r="P224" s="7"/>
      <c r="Q224" s="23"/>
      <c r="R224" s="23"/>
      <c r="S224" s="35">
        <f t="shared" si="95"/>
        <v>0</v>
      </c>
      <c r="T224" s="50" t="str">
        <f t="shared" si="83"/>
        <v>Southbound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18:05:50-700',mode:absolute,to:'1969-12-31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4" s="52" t="str">
        <f t="shared" si="85"/>
        <v>Y</v>
      </c>
      <c r="X224" s="177">
        <f t="shared" si="93"/>
        <v>2</v>
      </c>
      <c r="Y224" s="67">
        <f t="shared" si="79"/>
        <v>5.86</v>
      </c>
      <c r="Z224" s="67">
        <f t="shared" si="80"/>
        <v>2.8778000000000001</v>
      </c>
      <c r="AA224" s="67">
        <f t="shared" si="86"/>
        <v>2.9822000000000002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87"/>
        <v>0906-02</v>
      </c>
      <c r="AE224" s="91" t="str">
        <f t="shared" si="88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24" s="88" t="str">
        <f t="shared" si="89"/>
        <v>"C:\Program Files (x86)\AstroGrep\AstroGrep.exe" /spath="%USERPROFILE%\AppData\Local\Temp\OnboardLogs" /stypes="app*4015*19700101*" /stext=" 00:.+((SYSTEM_STATE.+slice.+state.+changed )|(ment ac)|(multiple cpu faults)|(system.+state.+changed )|(\[timeout)|(PRM\|1\|D)|(kpr)|(kdp)|(\|lc)|(penalty))" /e /r /s</v>
      </c>
      <c r="AG224" s="1" t="str">
        <f t="shared" si="90"/>
        <v>Other</v>
      </c>
      <c r="AH224" s="92" t="str">
        <f t="shared" si="91"/>
        <v>"%USERPROFILE%\Documents\GitHub\eaglep3\Utilities\RefineRTDCRunTimes.py" --tripid 906-02 --locoid 4015 --swversion DE.1.0.8.0 --startMP 300:58600 --initTime 2016-12-02T19:05:50 --startdatetime 1969-12-31T17:00:00 --delay 1 --endMP 300:28778 --enddatetime 1969-12-31T17:00:00 --enforcementcount 0 &gt;&gt;C:\Users\stu\Documents\GitHub\eaglep3-reporting\EC\2016-12-02-refined-times.txt</v>
      </c>
      <c r="AI224" s="11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{"issue":{"subject":"","project_id":79,"tracker_id":40,"status_id":1,"priority_id":2,"assigned_to_id":23,"start_date":"1969-12-31","description":"","custom_fields":[{"id":1,"name":"Subdivision","value":"Other"},{"id":4,"name":"Milepost","value":"2.8778"},{"id":17,"name":"Train ID","value":"906-02"},{"id":16,"name":"Locomotive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535</v>
      </c>
      <c r="B225" s="7">
        <v>4008</v>
      </c>
      <c r="C225" s="22" t="s">
        <v>210</v>
      </c>
      <c r="D225" s="22" t="s">
        <v>774</v>
      </c>
      <c r="E225" s="13">
        <v>42706.436226851853</v>
      </c>
      <c r="F225" s="13">
        <v>42706.437743055554</v>
      </c>
      <c r="G225" s="7">
        <v>1</v>
      </c>
      <c r="H225" s="22" t="s">
        <v>775</v>
      </c>
      <c r="I225" s="13">
        <v>42706.442361111112</v>
      </c>
      <c r="J225" s="7">
        <v>0</v>
      </c>
      <c r="K225" s="109" t="str">
        <f t="shared" si="81"/>
        <v>4007/4008</v>
      </c>
      <c r="L225" s="22" t="str">
        <f>VLOOKUP(A225,'Trips&amp;Operators'!$C$1:$G$99999,5,FALSE)</f>
        <v>BROWN JACOB</v>
      </c>
      <c r="M225" s="6">
        <f t="shared" si="82"/>
        <v>4.6180555582395755E-3</v>
      </c>
      <c r="N225" s="7">
        <f t="shared" si="94"/>
        <v>6.6500000038649887</v>
      </c>
      <c r="O225" s="7"/>
      <c r="P225" s="7"/>
      <c r="Q225" s="23"/>
      <c r="R225" s="23"/>
      <c r="S225" s="35">
        <f t="shared" si="95"/>
        <v>0</v>
      </c>
      <c r="T225" s="50" t="e">
        <f t="shared" si="83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09:28:10-700',mode:absolute,to:'2016-12-02 11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5" s="52" t="str">
        <f t="shared" si="85"/>
        <v>Y</v>
      </c>
      <c r="X225" s="177" t="e">
        <f t="shared" si="93"/>
        <v>#VALUE!</v>
      </c>
      <c r="Y225" s="67">
        <f t="shared" si="79"/>
        <v>2.1926000000000001</v>
      </c>
      <c r="Z225" s="67">
        <f t="shared" si="80"/>
        <v>1.2E-2</v>
      </c>
      <c r="AA225" s="67">
        <f t="shared" si="86"/>
        <v>2.1806000000000001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87"/>
        <v>50-02</v>
      </c>
      <c r="AE225" s="91" t="str">
        <f t="shared" si="88"/>
        <v>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 &amp; aws s3 cp s3://rtdc.mdm.uploadarchive.raw/RTDC4008/ "%USERPROFILE%\AppData\Local\Temp\OnboardLogs"\RTDC4008\2016-12-03 --exclude "*" --recursive --include "*20161203*" &amp; "%USERPROFILE%\Documents\GitHub\mrs-test-scripts\Headless Mode &amp; Sideloading\WalkAndUnGZ.bat" "%USERPROFILE%\AppData\Local\Temp\OnboardLogs"\RTDC4008\2016-12-03</v>
      </c>
      <c r="AF225" s="88" t="str">
        <f t="shared" si="89"/>
        <v>"C:\Program Files (x86)\AstroGrep\AstroGrep.exe" /spath="%USERPROFILE%\AppData\Local\Temp\OnboardLogs" /stypes="app*4008*20161202*" /stext=" 17:.+((SYSTEM_STATE.+slice.+state.+changed )|(ment ac)|(multiple cpu faults)|(system.+state.+changed )|(\[timeout)|(PRM\|1\|D)|(kpr)|(kdp)|(\|lc)|(penalty))" /e /r /s</v>
      </c>
      <c r="AG225" s="1" t="str">
        <f t="shared" si="90"/>
        <v>Other</v>
      </c>
      <c r="AH225" s="92" t="str">
        <f t="shared" si="91"/>
        <v>"%USERPROFILE%\Documents\GitHub\eaglep3\Utilities\RefineRTDCRunTimes.py" --tripid 50-02 --locoid 4008 --swversion DE.1.0.8.0 --startMP 300:21926 --initTime 2016-12-02T10:28:10 --startdatetime 2016-12-02T10:30:21 --delay 1 --endMP 204:120 --enddatetime 2016-12-02T10:37:00 --enforcementcount 0 &gt;&gt;C:\Users\stu\Documents\GitHub\eaglep3-reporting\EC\2016-12-02-refined-times.txt</v>
      </c>
      <c r="AI225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{"issue":{"subject":"","project_id":79,"tracker_id":40,"status_id":1,"priority_id":2,"assigned_to_id":23,"start_date":"2016-12-02","description":"","custom_fields":[{"id":1,"name":"Subdivision","value":"Other"},{"id":4,"name":"Milepost","value":"0.012"},{"id":17,"name":"Train ID","value":"50-02"},{"id":16,"name":"Locomotive ID","value":"4008"},{"id":130,"name":"Impact","value":""},{"id":150,"name":"Time of Event (Mountain Time)","value":"10:37:00"},{"id":151,"name":"Denver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547</v>
      </c>
      <c r="B226" s="7">
        <v>4007</v>
      </c>
      <c r="C226" s="22" t="s">
        <v>210</v>
      </c>
      <c r="D226" s="22" t="s">
        <v>776</v>
      </c>
      <c r="E226" s="13">
        <v>42706.465011574073</v>
      </c>
      <c r="F226" s="13">
        <v>25568.708333333332</v>
      </c>
      <c r="G226" s="7">
        <v>1</v>
      </c>
      <c r="H226" s="22" t="s">
        <v>777</v>
      </c>
      <c r="I226" s="13">
        <v>25568.708333333332</v>
      </c>
      <c r="J226" s="7">
        <v>0</v>
      </c>
      <c r="K226" s="109" t="str">
        <f t="shared" si="81"/>
        <v>4007/4008</v>
      </c>
      <c r="L226" s="22" t="str">
        <f>VLOOKUP(A226,'Trips&amp;Operators'!$C$1:$G$99999,5,FALSE)</f>
        <v>CUSHING HARRY</v>
      </c>
      <c r="M226" s="6">
        <f t="shared" si="82"/>
        <v>0</v>
      </c>
      <c r="N226" s="7">
        <f t="shared" si="94"/>
        <v>0</v>
      </c>
      <c r="O226" s="7"/>
      <c r="P226" s="7"/>
      <c r="Q226" s="23"/>
      <c r="R226" s="23"/>
      <c r="S226" s="35">
        <f t="shared" si="95"/>
        <v>0</v>
      </c>
      <c r="T226" s="50" t="e">
        <f t="shared" si="83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10:09:37-700',mode:absolute,to:'1969-12-31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6" s="52" t="str">
        <f t="shared" si="85"/>
        <v>Y</v>
      </c>
      <c r="X226" s="177" t="e">
        <f t="shared" si="93"/>
        <v>#VALUE!</v>
      </c>
      <c r="Y226" s="67">
        <f t="shared" si="79"/>
        <v>4.1200000000000001E-2</v>
      </c>
      <c r="Z226" s="67">
        <f t="shared" si="80"/>
        <v>2.4228999999999998</v>
      </c>
      <c r="AA226" s="67">
        <f t="shared" si="86"/>
        <v>2.3816999999999999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87"/>
        <v>51-02</v>
      </c>
      <c r="AE226" s="91" t="str">
        <f t="shared" si="88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26" s="88" t="str">
        <f t="shared" si="89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26" s="1" t="str">
        <f t="shared" si="90"/>
        <v>Other</v>
      </c>
      <c r="AH226" s="92" t="str">
        <f t="shared" si="91"/>
        <v>"%USERPROFILE%\Documents\GitHub\eaglep3\Utilities\RefineRTDCRunTimes.py" --tripid 51-02 --locoid 4007 --swversion DE.1.0.8.0 --startMP 204:412 --initTime 2016-12-02T11:09:37 --startdatetime 1969-12-31T17:00:00 --delay 1 --endMP 300:24229 --enddatetime 1969-12-31T17:00:00 --enforcementcount 0 &gt;&gt;C:\Users\stu\Documents\GitHub\eaglep3-reporting\EC\2016-12-02-refined-times.txt</v>
      </c>
      <c r="AI226" s="11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{"issue":{"subject":"","project_id":79,"tracker_id":40,"status_id":1,"priority_id":2,"assigned_to_id":23,"start_date":"1969-12-31","description":"","custom_fields":[{"id":1,"name":"Subdivision","value":"Other"},{"id":4,"name":"Milepost","value":"2.4229"},{"id":17,"name":"Train ID","value":"51-02"},{"id":16,"name":"Locomotive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443</v>
      </c>
      <c r="B227" s="7">
        <v>4054</v>
      </c>
      <c r="C227" s="22" t="s">
        <v>210</v>
      </c>
      <c r="D227" s="22" t="s">
        <v>778</v>
      </c>
      <c r="E227" s="13">
        <v>42706.454097222224</v>
      </c>
      <c r="F227" s="13">
        <v>42706.457453703704</v>
      </c>
      <c r="G227" s="7">
        <v>3</v>
      </c>
      <c r="H227" s="22" t="s">
        <v>406</v>
      </c>
      <c r="I227" s="13">
        <v>42706.464548611111</v>
      </c>
      <c r="J227" s="7">
        <v>0</v>
      </c>
      <c r="K227" s="109" t="str">
        <f t="shared" si="81"/>
        <v>4053/4054</v>
      </c>
      <c r="L227" s="22" t="str">
        <f>VLOOKUP(A227,'Trips&amp;Operators'!$C$1:$G$99999,5,FALSE)</f>
        <v>SMITH MICHAEL</v>
      </c>
      <c r="M227" s="6">
        <f t="shared" si="82"/>
        <v>7.0949074070085771E-3</v>
      </c>
      <c r="N227" s="7">
        <f t="shared" si="94"/>
        <v>10.216666666092351</v>
      </c>
      <c r="O227" s="7"/>
      <c r="P227" s="7"/>
      <c r="Q227" s="23"/>
      <c r="R227" s="23"/>
      <c r="S227" s="35">
        <f t="shared" si="95"/>
        <v>0</v>
      </c>
      <c r="T227" s="50" t="e">
        <f t="shared" si="83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09:53:54-700',mode:absolute,to:'2016-12-02 12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7" s="52" t="str">
        <f t="shared" si="85"/>
        <v>Y</v>
      </c>
      <c r="X227" s="177" t="e">
        <f t="shared" si="93"/>
        <v>#VALUE!</v>
      </c>
      <c r="Y227" s="67">
        <f t="shared" si="79"/>
        <v>2.2181000000000002</v>
      </c>
      <c r="Z227" s="67">
        <f t="shared" si="80"/>
        <v>9.0200000000000002E-2</v>
      </c>
      <c r="AA227" s="67">
        <f t="shared" si="86"/>
        <v>2.1279000000000003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87"/>
        <v>52-02</v>
      </c>
      <c r="AE227" s="91" t="str">
        <f t="shared" si="88"/>
        <v>aws s3 cp s3://rtdc.mdm.uploadarchive.raw/RTDC4054/ "%USERPROFILE%\AppData\Local\Temp\OnboardLogs"\RTDC4054\2016-12-02 --exclude "*" --recursive --include "*20161202*" &amp; "%USERPROFILE%\Documents\GitHub\mrs-test-scripts\Headless Mode &amp; Sideloading\WalkAndUnGZ.bat" "%USERPROFILE%\AppData\Local\Temp\OnboardLogs"\RTDC4054\2016-12-02 &amp; aws s3 cp s3://rtdc.mdm.uploadarchive.raw/RTDC4054/ "%USERPROFILE%\AppData\Local\Temp\OnboardLogs"\RTDC4054\2016-12-03 --exclude "*" --recursive --include "*20161203*" &amp; "%USERPROFILE%\Documents\GitHub\mrs-test-scripts\Headless Mode &amp; Sideloading\WalkAndUnGZ.bat" "%USERPROFILE%\AppData\Local\Temp\OnboardLogs"\RTDC4054\2016-12-03</v>
      </c>
      <c r="AF227" s="88" t="str">
        <f t="shared" si="89"/>
        <v>"C:\Program Files (x86)\AstroGrep\AstroGrep.exe" /spath="%USERPROFILE%\AppData\Local\Temp\OnboardLogs" /stypes="app*4054*20161202*" /stext=" 18:.+((SYSTEM_STATE.+slice.+state.+changed )|(ment ac)|(multiple cpu faults)|(system.+state.+changed )|(\[timeout)|(PRM\|1\|D)|(kpr)|(kdp)|(\|lc)|(penalty))" /e /r /s</v>
      </c>
      <c r="AG227" s="1" t="str">
        <f t="shared" si="90"/>
        <v>Other</v>
      </c>
      <c r="AH227" s="92" t="str">
        <f t="shared" si="91"/>
        <v>"%USERPROFILE%\Documents\GitHub\eaglep3\Utilities\RefineRTDCRunTimes.py" --tripid 52-02 --locoid 4054 --swversion DE.1.0.8.0 --startMP 300:22181 --initTime 2016-12-02T10:53:54 --startdatetime 2016-12-02T10:58:44 --delay 3 --endMP 204:902 --enddatetime 2016-12-02T11:08:57 --enforcementcount 0 &gt;&gt;C:\Users\stu\Documents\GitHub\eaglep3-reporting\EC\2016-12-02-refined-times.txt</v>
      </c>
      <c r="AI227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{"issue":{"subject":"","project_id":79,"tracker_id":40,"status_id":1,"priority_id":2,"assigned_to_id":23,"start_date":"2016-12-02","description":"","custom_fields":[{"id":1,"name":"Subdivision","value":"Other"},{"id":4,"name":"Milepost","value":"0.0902"},{"id":17,"name":"Train ID","value":"52-02"},{"id":16,"name":"Locomotive ID","value":"4054"},{"id":130,"name":"Impact","value":""},{"id":150,"name":"Time of Event (Mountain Time)","value":"11:08:57"},{"id":151,"name":"Denver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554</v>
      </c>
      <c r="B228" s="7">
        <v>4053</v>
      </c>
      <c r="C228" s="22" t="s">
        <v>210</v>
      </c>
      <c r="D228" s="22" t="s">
        <v>779</v>
      </c>
      <c r="E228" s="13">
        <v>42706.482858796298</v>
      </c>
      <c r="F228" s="13">
        <v>25568.708333333332</v>
      </c>
      <c r="G228" s="7">
        <v>2</v>
      </c>
      <c r="H228" s="22" t="s">
        <v>780</v>
      </c>
      <c r="I228" s="13">
        <v>25568.708333333332</v>
      </c>
      <c r="J228" s="7">
        <v>0</v>
      </c>
      <c r="K228" s="109" t="str">
        <f t="shared" si="81"/>
        <v>4053/4054</v>
      </c>
      <c r="L228" s="22" t="str">
        <f>VLOOKUP(A228,'Trips&amp;Operators'!$C$1:$G$99999,5,FALSE)</f>
        <v>BRANNON JEFFREY</v>
      </c>
      <c r="M228" s="6">
        <f t="shared" si="82"/>
        <v>0</v>
      </c>
      <c r="N228" s="7">
        <f t="shared" si="94"/>
        <v>0</v>
      </c>
      <c r="O228" s="7"/>
      <c r="P228" s="7"/>
      <c r="Q228" s="23"/>
      <c r="R228" s="23"/>
      <c r="S228" s="35">
        <f t="shared" si="95"/>
        <v>0</v>
      </c>
      <c r="T228" s="50" t="e">
        <f t="shared" si="83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10:35:19-700',mode:absolute,to:'1969-12-31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8" s="52" t="str">
        <f t="shared" si="85"/>
        <v>Y</v>
      </c>
      <c r="X228" s="177" t="e">
        <f t="shared" si="93"/>
        <v>#VALUE!</v>
      </c>
      <c r="Y228" s="67">
        <f t="shared" si="79"/>
        <v>0.1216</v>
      </c>
      <c r="Z228" s="67">
        <f t="shared" si="80"/>
        <v>2.4205000000000001</v>
      </c>
      <c r="AA228" s="67">
        <f t="shared" si="86"/>
        <v>2.2989000000000002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87"/>
        <v>53-02</v>
      </c>
      <c r="AE228" s="91" t="str">
        <f t="shared" si="88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28" s="88" t="str">
        <f t="shared" si="89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28" s="1" t="str">
        <f t="shared" si="90"/>
        <v>Other</v>
      </c>
      <c r="AH228" s="92" t="str">
        <f t="shared" si="91"/>
        <v>"%USERPROFILE%\Documents\GitHub\eaglep3\Utilities\RefineRTDCRunTimes.py" --tripid 53-02 --locoid 4053 --swversion DE.1.0.8.0 --startMP 204:1216 --initTime 2016-12-02T11:35:19 --startdatetime 1969-12-31T17:00:00 --delay 2 --endMP 300:24205 --enddatetime 1969-12-31T17:00:00 --enforcementcount 0 &gt;&gt;C:\Users\stu\Documents\GitHub\eaglep3-reporting\EC\2016-12-02-refined-times.txt</v>
      </c>
      <c r="AI228" s="11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{"issue":{"subject":"","project_id":79,"tracker_id":40,"status_id":1,"priority_id":2,"assigned_to_id":23,"start_date":"1969-12-31","description":"","custom_fields":[{"id":1,"name":"Subdivision","value":"Other"},{"id":4,"name":"Milepost","value":"2.4205"},{"id":17,"name":"Train ID","value":"53-02"},{"id":16,"name":"Locomotive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609</v>
      </c>
      <c r="B229" s="7">
        <v>4042</v>
      </c>
      <c r="C229" s="22" t="s">
        <v>210</v>
      </c>
      <c r="D229" s="22" t="s">
        <v>781</v>
      </c>
      <c r="E229" s="13">
        <v>42706.72115740741</v>
      </c>
      <c r="F229" s="13">
        <v>25568.708333333332</v>
      </c>
      <c r="G229" s="7">
        <v>2</v>
      </c>
      <c r="H229" s="22" t="s">
        <v>773</v>
      </c>
      <c r="I229" s="13">
        <v>25568.708333333332</v>
      </c>
      <c r="J229" s="7">
        <v>0</v>
      </c>
      <c r="K229" s="109" t="str">
        <f t="shared" si="81"/>
        <v>4041/4042</v>
      </c>
      <c r="L229" s="22" t="str">
        <f>VLOOKUP(A229,'Trips&amp;Operators'!$C$1:$G$99999,5,FALSE)</f>
        <v>BROWN JACOB</v>
      </c>
      <c r="M229" s="6">
        <f t="shared" si="82"/>
        <v>0</v>
      </c>
      <c r="N229" s="7">
        <f t="shared" si="94"/>
        <v>0</v>
      </c>
      <c r="O229" s="7"/>
      <c r="P229" s="7"/>
      <c r="Q229" s="23"/>
      <c r="R229" s="23"/>
      <c r="S229" s="35">
        <f t="shared" si="95"/>
        <v>0</v>
      </c>
      <c r="T229" s="50" t="e">
        <f t="shared" si="83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16:18:28-700',mode:absolute,to:'1969-12-31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9" s="52" t="str">
        <f t="shared" si="85"/>
        <v>Y</v>
      </c>
      <c r="X229" s="177" t="e">
        <f t="shared" si="93"/>
        <v>#VALUE!</v>
      </c>
      <c r="Y229" s="67">
        <f t="shared" si="79"/>
        <v>0.14899999999999999</v>
      </c>
      <c r="Z229" s="67">
        <f t="shared" si="80"/>
        <v>2.3311999999999999</v>
      </c>
      <c r="AA229" s="67">
        <f t="shared" si="86"/>
        <v>2.1821999999999999</v>
      </c>
      <c r="AB229" s="64" t="e">
        <f>VLOOKUP(A229,Enforcements!$C$7:$K$19,8,0)</f>
        <v>#N/A</v>
      </c>
      <c r="AC229" s="60" t="e">
        <f>VLOOKUP(A229,Enforcements!$C$7:$E$19,3,0)</f>
        <v>#N/A</v>
      </c>
      <c r="AD229" s="61" t="str">
        <f t="shared" si="87"/>
        <v>65-02</v>
      </c>
      <c r="AE229" s="91" t="str">
        <f t="shared" si="88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9" s="88" t="str">
        <f t="shared" si="89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29" s="1" t="str">
        <f t="shared" si="90"/>
        <v>Other</v>
      </c>
      <c r="AH229" s="92" t="str">
        <f t="shared" si="91"/>
        <v>"%USERPROFILE%\Documents\GitHub\eaglep3\Utilities\RefineRTDCRunTimes.py" --tripid 65-02 --locoid 4042 --swversion DE.1.0.8.0 --startMP 204:1490 --initTime 2016-12-02T17:18:28 --startdatetime 1969-12-31T17:00:00 --delay 2 --endMP 300:23312 --enddatetime 1969-12-31T17:00:00 --enforcementcount 0 &gt;&gt;C:\Users\stu\Documents\GitHub\eaglep3-reporting\EC\2016-12-02-refined-times.txt</v>
      </c>
      <c r="AI229" s="11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ID","value":"65-02"},{"id":16,"name":"Locomotive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455</v>
      </c>
      <c r="B230" s="7">
        <v>4054</v>
      </c>
      <c r="C230" s="22" t="s">
        <v>210</v>
      </c>
      <c r="D230" s="22" t="s">
        <v>782</v>
      </c>
      <c r="E230" s="13">
        <v>42706.737546296295</v>
      </c>
      <c r="F230" s="13">
        <v>42706.742048611108</v>
      </c>
      <c r="G230" s="7">
        <v>6</v>
      </c>
      <c r="H230" s="22">
        <v>8.5347222222222232</v>
      </c>
      <c r="I230" s="13">
        <v>42706.753703703704</v>
      </c>
      <c r="J230" s="7">
        <v>0</v>
      </c>
      <c r="K230" s="109" t="str">
        <f t="shared" si="81"/>
        <v>4053/4054</v>
      </c>
      <c r="L230" s="22" t="str">
        <f>VLOOKUP(A230,'Trips&amp;Operators'!$C$1:$G$99999,5,FALSE)</f>
        <v>CHANDLER KELVIN</v>
      </c>
      <c r="M230" s="6">
        <f t="shared" si="82"/>
        <v>1.1655092595901806E-2</v>
      </c>
      <c r="N230" s="7">
        <f t="shared" si="94"/>
        <v>16.783333338098601</v>
      </c>
      <c r="O230" s="7"/>
      <c r="P230" s="7"/>
      <c r="Q230" s="23"/>
      <c r="R230" s="23"/>
      <c r="S230" s="35">
        <f t="shared" si="95"/>
        <v>0</v>
      </c>
      <c r="T230" s="50" t="e">
        <f t="shared" si="83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16:42:04-700',mode:absolute,to:'2016-12-02 19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30" s="52" t="str">
        <f t="shared" si="85"/>
        <v>N</v>
      </c>
      <c r="X230" s="177" t="e">
        <f t="shared" si="93"/>
        <v>#VALUE!</v>
      </c>
      <c r="Y230" s="67">
        <f t="shared" si="79"/>
        <v>2.3161</v>
      </c>
      <c r="Z230" s="67">
        <f t="shared" si="80"/>
        <v>47222222.222199999</v>
      </c>
      <c r="AA230" s="67">
        <f t="shared" si="86"/>
        <v>47222219.906099997</v>
      </c>
      <c r="AB230" s="64" t="e">
        <f>VLOOKUP(A230,Enforcements!$C$7:$K$19,8,0)</f>
        <v>#N/A</v>
      </c>
      <c r="AC230" s="60" t="e">
        <f>VLOOKUP(A230,Enforcements!$C$7:$E$19,3,0)</f>
        <v>#N/A</v>
      </c>
      <c r="AD230" s="61" t="str">
        <f t="shared" si="87"/>
        <v>68-02</v>
      </c>
      <c r="AE230" s="91" t="str">
        <f t="shared" si="88"/>
        <v>aws s3 cp s3://rtdc.mdm.uploadarchive.raw/RTDC4054/ "%USERPROFILE%\AppData\Local\Temp\OnboardLogs"\RTDC4054\2016-12-02 --exclude "*" --recursive --include "*20161202*" &amp; "%USERPROFILE%\Documents\GitHub\mrs-test-scripts\Headless Mode &amp; Sideloading\WalkAndUnGZ.bat" "%USERPROFILE%\AppData\Local\Temp\OnboardLogs"\RTDC4054\2016-12-02 &amp; aws s3 cp s3://rtdc.mdm.uploadarchive.raw/RTDC4054/ "%USERPROFILE%\AppData\Local\Temp\OnboardLogs"\RTDC4054\2016-12-03 --exclude "*" --recursive --include "*20161203*" &amp; "%USERPROFILE%\Documents\GitHub\mrs-test-scripts\Headless Mode &amp; Sideloading\WalkAndUnGZ.bat" "%USERPROFILE%\AppData\Local\Temp\OnboardLogs"\RTDC4054\2016-12-03</v>
      </c>
      <c r="AF230" s="88" t="str">
        <f t="shared" si="89"/>
        <v>"C:\Program Files (x86)\AstroGrep\AstroGrep.exe" /spath="%USERPROFILE%\AppData\Local\Temp\OnboardLogs" /stypes="app*4054*20161203*" /stext=" 01:.+((SYSTEM_STATE.+slice.+state.+changed )|(ment ac)|(multiple cpu faults)|(system.+state.+changed )|(\[timeout)|(PRM\|1\|D)|(kpr)|(kdp)|(\|lc)|(penalty))" /e /r /s</v>
      </c>
      <c r="AG230" s="1" t="str">
        <f t="shared" si="90"/>
        <v>Other</v>
      </c>
      <c r="AH230" s="92" t="str">
        <f t="shared" si="91"/>
        <v>"%USERPROFILE%\Documents\GitHub\eaglep3\Utilities\RefineRTDCRunTimes.py" --tripid 68-02 --locoid 4054 --swversion DE.1.0.8.0 --startMP 300:23161 --initTime 2016-12-02T17:42:04 --startdatetime 2016-12-02T17:48:33 --delay 6 --endMP 8.53472222222222 --enddatetime 2016-12-02T18:05:20 --enforcementcount 0 &gt;&gt;C:\Users\stu\Documents\GitHub\eaglep3-reporting\EC\2016-12-02-refined-times.txt</v>
      </c>
      <c r="AI230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47222222.2222"},{"id":17,"name":"Train ID","value":"68-02"},{"id":16,"name":"Locomotive ID","value":"4054"},{"id":130,"name":"Impact","value":""},{"id":150,"name":"Time of Event (Mountain Time)","value":"18:05:20"},{"id":151,"name":"Denver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623</v>
      </c>
      <c r="B231" s="7">
        <v>4053</v>
      </c>
      <c r="C231" s="22" t="s">
        <v>210</v>
      </c>
      <c r="D231" s="22" t="s">
        <v>783</v>
      </c>
      <c r="E231" s="13">
        <v>42706.761458333334</v>
      </c>
      <c r="F231" s="13">
        <v>25568.708333333332</v>
      </c>
      <c r="G231" s="7">
        <v>1</v>
      </c>
      <c r="H231" s="22" t="s">
        <v>773</v>
      </c>
      <c r="I231" s="13">
        <v>25568.708333333332</v>
      </c>
      <c r="J231" s="7">
        <v>0</v>
      </c>
      <c r="K231" s="109" t="str">
        <f t="shared" si="81"/>
        <v>4053/4054</v>
      </c>
      <c r="L231" s="22" t="str">
        <f>VLOOKUP(A231,'Trips&amp;Operators'!$C$1:$G$99999,5,FALSE)</f>
        <v>CLARK KATHLEEN</v>
      </c>
      <c r="M231" s="6">
        <f t="shared" si="82"/>
        <v>0</v>
      </c>
      <c r="N231" s="7">
        <f t="shared" si="94"/>
        <v>0</v>
      </c>
      <c r="O231" s="7"/>
      <c r="P231" s="7"/>
      <c r="Q231" s="23"/>
      <c r="R231" s="23"/>
      <c r="S231" s="35">
        <f t="shared" si="95"/>
        <v>0</v>
      </c>
      <c r="T231" s="50" t="e">
        <f t="shared" si="83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17:16:30-700',mode:absolute,to:'1969-12-31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1" s="52" t="str">
        <f t="shared" si="85"/>
        <v>Y</v>
      </c>
      <c r="X231" s="177" t="e">
        <f t="shared" si="93"/>
        <v>#VALUE!</v>
      </c>
      <c r="Y231" s="67">
        <f t="shared" si="79"/>
        <v>3.5000000000000003E-2</v>
      </c>
      <c r="Z231" s="67">
        <f t="shared" si="80"/>
        <v>2.3311999999999999</v>
      </c>
      <c r="AA231" s="67">
        <f t="shared" si="86"/>
        <v>2.2961999999999998</v>
      </c>
      <c r="AB231" s="64" t="e">
        <f>VLOOKUP(A231,Enforcements!$C$7:$K$19,8,0)</f>
        <v>#N/A</v>
      </c>
      <c r="AC231" s="60" t="e">
        <f>VLOOKUP(A231,Enforcements!$C$7:$E$19,3,0)</f>
        <v>#N/A</v>
      </c>
      <c r="AD231" s="61" t="str">
        <f t="shared" si="87"/>
        <v>69-02</v>
      </c>
      <c r="AE231" s="91" t="str">
        <f t="shared" si="88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31" s="88" t="str">
        <f t="shared" si="89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31" s="1" t="str">
        <f t="shared" si="90"/>
        <v>Other</v>
      </c>
      <c r="AH231" s="92" t="str">
        <f t="shared" si="91"/>
        <v>"%USERPROFILE%\Documents\GitHub\eaglep3\Utilities\RefineRTDCRunTimes.py" --tripid 69-02 --locoid 4053 --swversion DE.1.0.8.0 --startMP 204:350 --initTime 2016-12-02T18:16:30 --startdatetime 1969-12-31T17:00:00 --delay 1 --endMP 300:23312 --enddatetime 1969-12-31T17:00:00 --enforcementcount 0 &gt;&gt;C:\Users\stu\Documents\GitHub\eaglep3-reporting\EC\2016-12-02-refined-times.txt</v>
      </c>
      <c r="AI231" s="11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ID","value":"69-02"},{"id":16,"name":"Locomotive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619</v>
      </c>
      <c r="B232" s="7">
        <v>4032</v>
      </c>
      <c r="C232" s="22" t="s">
        <v>210</v>
      </c>
      <c r="D232" s="22" t="s">
        <v>784</v>
      </c>
      <c r="E232" s="13">
        <v>42706.748182870368</v>
      </c>
      <c r="F232" s="13">
        <v>42706.749456018515</v>
      </c>
      <c r="G232" s="7">
        <v>1</v>
      </c>
      <c r="H232" s="22" t="s">
        <v>785</v>
      </c>
      <c r="I232" s="13">
        <v>42706.756539351853</v>
      </c>
      <c r="J232" s="7">
        <v>0</v>
      </c>
      <c r="K232" s="109" t="str">
        <f t="shared" si="81"/>
        <v>4031/4032</v>
      </c>
      <c r="L232" s="22" t="str">
        <f>VLOOKUP(A232,'Trips&amp;Operators'!$C$1:$G$99999,5,FALSE)</f>
        <v>MACDONALD THOMAS</v>
      </c>
      <c r="M232" s="6">
        <f t="shared" si="82"/>
        <v>7.0833333375048824E-3</v>
      </c>
      <c r="N232" s="7">
        <f t="shared" si="94"/>
        <v>10.200000006007031</v>
      </c>
      <c r="O232" s="7"/>
      <c r="P232" s="7"/>
      <c r="Q232" s="23"/>
      <c r="R232" s="23"/>
      <c r="S232" s="35">
        <f t="shared" si="95"/>
        <v>0</v>
      </c>
      <c r="T232" s="50" t="e">
        <f t="shared" si="83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84"/>
        <v>https://search-rtdc-monitor-bjffxe2xuh6vdkpspy63sjmuny.us-east-1.es.amazonaws.com/_plugin/kibana/#/discover/Steve-Slow-Train-Analysis-(2080s-and-2083s)?_g=(refreshInterval:(display:Off,section:0,value:0),time:(from:'2016-12-02 16:57:23-700',mode:absolute,to:'2016-12-02 19:09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2" s="52" t="str">
        <f t="shared" si="85"/>
        <v>Y</v>
      </c>
      <c r="X232" s="177" t="e">
        <f t="shared" si="93"/>
        <v>#VALUE!</v>
      </c>
      <c r="Y232" s="67">
        <f t="shared" si="79"/>
        <v>2.1795</v>
      </c>
      <c r="Z232" s="67">
        <f t="shared" si="80"/>
        <v>0.18729999999999999</v>
      </c>
      <c r="AA232" s="67">
        <f t="shared" si="86"/>
        <v>1.9922</v>
      </c>
      <c r="AB232" s="64" t="e">
        <f>VLOOKUP(A232,Enforcements!$C$7:$K$19,8,0)</f>
        <v>#N/A</v>
      </c>
      <c r="AC232" s="60" t="e">
        <f>VLOOKUP(A232,Enforcements!$C$7:$E$19,3,0)</f>
        <v>#N/A</v>
      </c>
      <c r="AD232" s="61" t="str">
        <f t="shared" si="87"/>
        <v>72-02</v>
      </c>
      <c r="AE232" s="91" t="str">
        <f t="shared" si="88"/>
        <v>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 &amp; aws s3 cp s3://rtdc.mdm.uploadarchive.raw/RTDC4032/ "%USERPROFILE%\AppData\Local\Temp\OnboardLogs"\RTDC4032\2016-12-03 --exclude "*" --recursive --include "*20161203*" &amp; "%USERPROFILE%\Documents\GitHub\mrs-test-scripts\Headless Mode &amp; Sideloading\WalkAndUnGZ.bat" "%USERPROFILE%\AppData\Local\Temp\OnboardLogs"\RTDC4032\2016-12-03</v>
      </c>
      <c r="AF232" s="88" t="str">
        <f t="shared" si="89"/>
        <v>"C:\Program Files (x86)\AstroGrep\AstroGrep.exe" /spath="%USERPROFILE%\AppData\Local\Temp\OnboardLogs" /stypes="app*4032*20161203*" /stext=" 01:.+((SYSTEM_STATE.+slice.+state.+changed )|(ment ac)|(multiple cpu faults)|(system.+state.+changed )|(\[timeout)|(PRM\|1\|D)|(kpr)|(kdp)|(\|lc)|(penalty))" /e /r /s</v>
      </c>
      <c r="AG232" s="1" t="str">
        <f t="shared" si="90"/>
        <v>Other</v>
      </c>
      <c r="AH232" s="92" t="str">
        <f t="shared" si="91"/>
        <v>"%USERPROFILE%\Documents\GitHub\eaglep3\Utilities\RefineRTDCRunTimes.py" --tripid 72-02 --locoid 4032 --swversion DE.1.0.8.0 --startMP 300:21795 --initTime 2016-12-02T17:57:23 --startdatetime 2016-12-02T17:59:13 --delay 1 --endMP 204:1873 --enddatetime 2016-12-02T18:09:25 --enforcementcount 0 &gt;&gt;C:\Users\stu\Documents\GitHub\eaglep3-reporting\EC\2016-12-02-refined-times.txt</v>
      </c>
      <c r="AI232" s="119" t="str">
        <f t="shared" si="92"/>
        <v>echo {"issue":{"subject":"","project_id":79,"tracker_id":40,"status_id":1,"priority_id":2,"assigned_to_id":23,"start_date":"2016-12-02","description":"","custom_fields":[{"id":1,"name":"Subdivision","value":"Other"},{"id":4,"name":"Milepost","value":"0.1873"},{"id":17,"name":"Train ID","value":"72-02"},{"id":16,"name":"Locomotive ID","value":"4032"},{"id":130,"name":"Impact","value":""},{"id":150,"name":"Time of Event (Mountain Time)","value":"18:09:25"},{"id":151,"name":"Denver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</sheetData>
  <autoFilter ref="A12:AG238"/>
  <sortState ref="A13:AH200">
    <sortCondition ref="AG13:AG200"/>
    <sortCondition ref="AD13:AD200"/>
  </sortState>
  <mergeCells count="1">
    <mergeCell ref="A11:P11"/>
  </mergeCells>
  <conditionalFormatting sqref="W11:W12 W248:X1048576 W13:X232">
    <cfRule type="cellIs" dxfId="10" priority="344" operator="equal">
      <formula>"Y"</formula>
    </cfRule>
  </conditionalFormatting>
  <conditionalFormatting sqref="X248:X1048576 X13:X232">
    <cfRule type="cellIs" dxfId="9" priority="327" operator="greaterThan">
      <formula>1</formula>
    </cfRule>
  </conditionalFormatting>
  <conditionalFormatting sqref="X248:X1048576 X12:X232">
    <cfRule type="cellIs" dxfId="8" priority="324" operator="equal">
      <formula>0</formula>
    </cfRule>
  </conditionalFormatting>
  <conditionalFormatting sqref="A13:S232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4"/>
  <sheetViews>
    <sheetView topLeftCell="A2" zoomScaleNormal="100" workbookViewId="0">
      <selection activeCell="AC7" sqref="AC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2.5703125" style="48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COUNTIF($O$7:$O$333,"=Y")</f>
        <v>5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COUNTA($O$7:$O$333)-O2</f>
        <v>32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- 2016-12-02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238</v>
      </c>
    </row>
    <row r="7" spans="1:30" s="1" customFormat="1" x14ac:dyDescent="0.25">
      <c r="A7" s="36">
        <v>42706.341412037036</v>
      </c>
      <c r="B7" s="31" t="s">
        <v>319</v>
      </c>
      <c r="C7" s="31" t="s">
        <v>438</v>
      </c>
      <c r="D7" s="31" t="s">
        <v>49</v>
      </c>
      <c r="E7" s="31" t="s">
        <v>314</v>
      </c>
      <c r="F7" s="47">
        <v>0</v>
      </c>
      <c r="G7" s="47">
        <v>113</v>
      </c>
      <c r="H7" s="47">
        <v>27358</v>
      </c>
      <c r="I7" s="47">
        <v>27239</v>
      </c>
      <c r="J7" s="31" t="s">
        <v>315</v>
      </c>
      <c r="K7" s="47">
        <v>27350</v>
      </c>
      <c r="L7" s="154" t="s">
        <v>51</v>
      </c>
      <c r="M7" s="155">
        <f t="shared" ref="M7:M43" si="0">CONVERT((I7-K7)/10000,"mi","ft")*IF(L7="Increasing Mileposts (1)",-1,1)</f>
        <v>-58.607999999999997</v>
      </c>
      <c r="N7" s="156" t="str">
        <f>VLOOKUP(C7,'Trips&amp;Operators'!$C$1:$G$99999,5,FALSE)</f>
        <v>SPECTOR MICHAEL</v>
      </c>
      <c r="O7" s="182" t="s">
        <v>196</v>
      </c>
      <c r="P7" s="157" t="s">
        <v>860</v>
      </c>
      <c r="Q7" s="31"/>
      <c r="R7" s="100" t="str">
        <f>VLOOKUP(C7,'Train Runs'!$A$13:$AE$9982,31,0)</f>
        <v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v>
      </c>
      <c r="S7" s="103" t="str">
        <f>VLOOKUP(C7,'Train Runs'!$A$13:$AE$9982,22,0)</f>
        <v>https://search-rtdc-monitor-bjffxe2xuh6vdkpspy63sjmuny.us-east-1.es.amazonaws.com/_plugin/kibana/#/discover/Steve-Slow-Train-Analysis-(2080s-and-2083s)?_g=(refreshInterval:(display:Off,section:0,value:0),time:(from:'2016-12-02 06:36:21-700',mode:absolute,to:'2016-12-02 09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7" s="105" t="str">
        <f t="shared" ref="T7:T4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/stypes="*4043*201612021*" /stext=" 15:.+((SYSTEM_STATE.+slice.+state.+changed )|(ment ac)|(multiple cpu faults)|(system.+state.+changed )|(\[timeout)|(PRM\|1\|D)|(kpr)|(kdp)|(\|lc)|(penalty))" /e /r /s</v>
      </c>
      <c r="U7" s="9" t="str">
        <f t="shared" ref="U7:U43" si="2">MID(B7,13,4)</f>
        <v>4043</v>
      </c>
      <c r="V7" s="36">
        <f t="shared" ref="V7:V43" si="3">A7-utc_offset/24</f>
        <v>42706.6330787037</v>
      </c>
      <c r="W7" s="50" t="str">
        <f t="shared" ref="W7:W43" si="4">IF(VALUE(LEFT(IF(LEN(C7)=6,"0"&amp;C7,C7),2))&lt;=2,"EC",IF(OR(VALUE(LEFT(IF(LEN(C7)=6,"0"&amp;C7,C7),2))=8,VALUE(LEFT(IF(LEN(C7)=6,"0"&amp;C7,C7),2))=18),"NW","Other"))</f>
        <v>EC</v>
      </c>
      <c r="X7" s="50" t="str">
        <f t="shared" ref="X7:X43" si="5">IF(AND(E7="TRACK WARRANT AUTHORITY",G7&lt;10),"OMIT","KEEP")</f>
        <v>KEEP</v>
      </c>
      <c r="Y7" s="119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arrival","project_id":79,"tracker_id":40,"status_id":1,"priority_id":2,"assigned_to_id":23,"start_date":"2016-12-02","description":"","custom_fields":[{"id":1,"name":"Subdivision","value":"EC"},{"id":4,"name":"Milepost","value":"2.735"},{"id":17,"name":"Train ID","value":"126-02"},{"id":16,"name":"Locomotive ID","value":"4043"},{"id":130,"name":"Impact","value":""},{"id":150,"name":"Time of Event (Mountain Time)","value":"08:11:38"},{"id":151,"name":"Denver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3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"%USERPROFILE%\AppData\Local\Temp\OnboardLogs"\RTDC4043\*4043*201612021*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"%USERPROFILE%\AppData\Local\Temp\OnboardLogs"\RTDC4043\*4043*201612021* &gt;&gt; 42706-slicedisagreementcheck.txt</v>
      </c>
    </row>
    <row r="8" spans="1:30" s="1" customFormat="1" x14ac:dyDescent="0.25">
      <c r="A8" s="36">
        <v>42706.870868055557</v>
      </c>
      <c r="B8" s="31" t="s">
        <v>318</v>
      </c>
      <c r="C8" s="31" t="s">
        <v>457</v>
      </c>
      <c r="D8" s="31" t="s">
        <v>49</v>
      </c>
      <c r="E8" s="31" t="s">
        <v>314</v>
      </c>
      <c r="F8" s="47">
        <v>310</v>
      </c>
      <c r="G8" s="47">
        <v>371</v>
      </c>
      <c r="H8" s="47">
        <v>35631</v>
      </c>
      <c r="I8" s="47">
        <v>34722</v>
      </c>
      <c r="J8" s="31" t="s">
        <v>315</v>
      </c>
      <c r="K8" s="47">
        <v>33257</v>
      </c>
      <c r="L8" s="154" t="s">
        <v>51</v>
      </c>
      <c r="M8" s="155">
        <f t="shared" si="0"/>
        <v>773.52</v>
      </c>
      <c r="N8" s="156" t="str">
        <f>VLOOKUP(C8,'Trips&amp;Operators'!$C$1:$G$99999,5,FALSE)</f>
        <v>YANAI IAN</v>
      </c>
      <c r="O8" s="182" t="s">
        <v>196</v>
      </c>
      <c r="P8" s="157" t="s">
        <v>860</v>
      </c>
      <c r="Q8" s="31"/>
      <c r="R8" s="100" t="str">
        <f>VLOOKUP(C8,'Train Runs'!$A$13:$AE$9982,31,0)</f>
        <v>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 &amp; 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</v>
      </c>
      <c r="S8" s="103" t="str">
        <f>VLOOKUP(C8,'Train Runs'!$A$13:$AE$9982,22,0)</f>
        <v>https://search-rtdc-monitor-bjffxe2xuh6vdkpspy63sjmuny.us-east-1.es.amazonaws.com/_plugin/kibana/#/discover/Steve-Slow-Train-Analysis-(2080s-and-2083s)?_g=(refreshInterval:(display:Off,section:0,value:0),time:(from:'2016-12-02 19:16:58-700',mode:absolute,to:'2016-12-02 22:04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8" s="105" t="str">
        <f t="shared" si="1"/>
        <v>"C:\Program Files (x86)\AstroGrep\AstroGrep.exe" /spath="%USERPROFILE%\AppData\Local\Temp\OnboardLogs" /stypes="*4021*201612030*" /stext=" 03:.+((SYSTEM_STATE.+slice.+state.+changed )|(ment ac)|(multiple cpu faults)|(system.+state.+changed )|(\[timeout)|(PRM\|1\|D)|(kpr)|(kdp)|(\|lc)|(penalty))" /e /r /s</v>
      </c>
      <c r="U8" s="9" t="str">
        <f t="shared" si="2"/>
        <v>4021</v>
      </c>
      <c r="V8" s="36">
        <f t="shared" si="3"/>
        <v>42707.162534722222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arrival","project_id":79,"tracker_id":40,"status_id":1,"priority_id":2,"assigned_to_id":23,"start_date":"2016-12-02","description":"","custom_fields":[{"id":1,"name":"Subdivision","value":"EC"},{"id":4,"name":"Milepost","value":"3.3257"},{"id":17,"name":"Train ID","value":"224-02"},{"id":16,"name":"Locomotive ID","value":"4021"},{"id":130,"name":"Impact","value":""},{"id":150,"name":"Time of Event (Mountain Time)","value":"20:54:03"},{"id":151,"name":"Denver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"%USERPROFILE%\AppData\Local\Temp\OnboardLogs"\RTDC4021\*4021*201612030*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"%USERPROFILE%\AppData\Local\Temp\OnboardLogs"\RTDC4021\*4021*201612030* &gt;&gt; 42706-slicedisagreementcheck.txt</v>
      </c>
    </row>
    <row r="9" spans="1:30" s="1" customFormat="1" x14ac:dyDescent="0.25">
      <c r="A9" s="36">
        <v>42706.836319444446</v>
      </c>
      <c r="B9" s="31" t="s">
        <v>208</v>
      </c>
      <c r="C9" s="31" t="s">
        <v>456</v>
      </c>
      <c r="D9" s="31" t="s">
        <v>49</v>
      </c>
      <c r="E9" s="31" t="s">
        <v>197</v>
      </c>
      <c r="F9" s="47">
        <v>400</v>
      </c>
      <c r="G9" s="47">
        <v>498</v>
      </c>
      <c r="H9" s="47">
        <v>17187</v>
      </c>
      <c r="I9" s="47">
        <v>17982</v>
      </c>
      <c r="J9" s="31" t="s">
        <v>198</v>
      </c>
      <c r="K9" s="47">
        <v>17867</v>
      </c>
      <c r="L9" s="154" t="s">
        <v>50</v>
      </c>
      <c r="M9" s="155">
        <f t="shared" si="0"/>
        <v>-60.72</v>
      </c>
      <c r="N9" s="156" t="str">
        <f>VLOOKUP(C9,'Trips&amp;Operators'!$C$1:$G$99999,5,FALSE)</f>
        <v>CHANDLER KELVIN</v>
      </c>
      <c r="O9" s="182" t="s">
        <v>196</v>
      </c>
      <c r="P9" s="157"/>
      <c r="Q9" s="31"/>
      <c r="R9" s="100" t="str">
        <f>VLOOKUP(C9,'Train Runs'!$A$13:$AE$9982,31,0)</f>
        <v>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 &amp; 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</v>
      </c>
      <c r="S9" s="103" t="str">
        <f>VLOOKUP(C9,'Train Runs'!$A$13:$AE$9982,22,0)</f>
        <v>https://search-rtdc-monitor-bjffxe2xuh6vdkpspy63sjmuny.us-east-1.es.amazonaws.com/_plugin/kibana/#/discover/Steve-Slow-Train-Analysis-(2080s-and-2083s)?_g=(refreshInterval:(display:Off,section:0,value:0),time:(from:'2016-12-02 18:58:50-700',mode:absolute,to:'2016-12-02 21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9" s="105" t="str">
        <f t="shared" si="1"/>
        <v>"C:\Program Files (x86)\AstroGrep\AstroGrep.exe" /spath="%USERPROFILE%\AppData\Local\Temp\OnboardLogs" /stypes="*4011*201612030*" /stext=" 03:.+((SYSTEM_STATE.+slice.+state.+changed )|(ment ac)|(multiple cpu faults)|(system.+state.+changed )|(\[timeout)|(PRM\|1\|D)|(kpr)|(kdp)|(\|lc)|(penalty))" /e /r /s</v>
      </c>
      <c r="U9" s="9" t="str">
        <f t="shared" si="2"/>
        <v>4011</v>
      </c>
      <c r="V9" s="36">
        <f t="shared" si="3"/>
        <v>42707.127986111111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{"issue":{"subject":"","project_id":79,"tracker_id":40,"status_id":1,"priority_id":2,"assigned_to_id":23,"start_date":"2016-12-02","description":"","custom_fields":[{"id":1,"name":"Subdivision","value":"EC"},{"id":4,"name":"Milepost","value":"1.7867"},{"id":17,"name":"Train ID","value":"225-02"},{"id":16,"name":"Locomotive ID","value":"4011"},{"id":130,"name":"Impact","value":""},{"id":150,"name":"Time of Event (Mountain Time)","value":"20:04:18"},{"id":151,"name":"Denver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"%USERPROFILE%\AppData\Local\Temp\OnboardLogs"\RTDC4011\*4011*201612030*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"%USERPROFILE%\AppData\Local\Temp\OnboardLogs"\RTDC4011\*4011*201612030* &gt;&gt; 42706-slicedisagreementcheck.txt</v>
      </c>
    </row>
    <row r="10" spans="1:30" s="1" customFormat="1" x14ac:dyDescent="0.25">
      <c r="A10" s="36">
        <v>42706.342962962961</v>
      </c>
      <c r="B10" s="31" t="s">
        <v>319</v>
      </c>
      <c r="C10" s="31" t="s">
        <v>438</v>
      </c>
      <c r="D10" s="31" t="s">
        <v>49</v>
      </c>
      <c r="E10" s="31" t="s">
        <v>197</v>
      </c>
      <c r="F10" s="47">
        <v>300</v>
      </c>
      <c r="G10" s="47">
        <v>459</v>
      </c>
      <c r="H10" s="47">
        <v>24286</v>
      </c>
      <c r="I10" s="47">
        <v>22768</v>
      </c>
      <c r="J10" s="31" t="s">
        <v>198</v>
      </c>
      <c r="K10" s="47">
        <v>21848</v>
      </c>
      <c r="L10" s="154" t="s">
        <v>51</v>
      </c>
      <c r="M10" s="155">
        <f t="shared" si="0"/>
        <v>485.76</v>
      </c>
      <c r="N10" s="156" t="str">
        <f>VLOOKUP(C10,'Trips&amp;Operators'!$C$1:$G$99999,5,FALSE)</f>
        <v>SPECTOR MICHAEL</v>
      </c>
      <c r="O10" s="182" t="s">
        <v>196</v>
      </c>
      <c r="P10" s="157"/>
      <c r="Q10" s="31"/>
      <c r="R10" s="100" t="str">
        <f>VLOOKUP(C10,'Train Runs'!$A$13:$AE$9982,31,0)</f>
        <v>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 &amp; 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</v>
      </c>
      <c r="S10" s="103" t="str">
        <f>VLOOKUP(C10,'Train Runs'!$A$13:$AE$9982,22,0)</f>
        <v>https://search-rtdc-monitor-bjffxe2xuh6vdkpspy63sjmuny.us-east-1.es.amazonaws.com/_plugin/kibana/#/discover/Steve-Slow-Train-Analysis-(2080s-and-2083s)?_g=(refreshInterval:(display:Off,section:0,value:0),time:(from:'2016-12-02 06:36:21-700',mode:absolute,to:'2016-12-02 09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0" s="105" t="str">
        <f t="shared" si="1"/>
        <v>"C:\Program Files (x86)\AstroGrep\AstroGrep.exe" /spath="%USERPROFILE%\AppData\Local\Temp\OnboardLogs" /stypes="*4043*201612021*" /stext=" 15:.+((SYSTEM_STATE.+slice.+state.+changed )|(ment ac)|(multiple cpu faults)|(system.+state.+changed )|(\[timeout)|(PRM\|1\|D)|(kpr)|(kdp)|(\|lc)|(penalty))" /e /r /s</v>
      </c>
      <c r="U10" s="9" t="str">
        <f t="shared" si="2"/>
        <v>4043</v>
      </c>
      <c r="V10" s="36">
        <f t="shared" si="3"/>
        <v>42706.634629629625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{"issue":{"subject":"","project_id":79,"tracker_id":40,"status_id":1,"priority_id":2,"assigned_to_id":23,"start_date":"2016-12-02","description":"","custom_fields":[{"id":1,"name":"Subdivision","value":"EC"},{"id":4,"name":"Milepost","value":"2.1848"},{"id":17,"name":"Train ID","value":"126-02"},{"id":16,"name":"Locomotive ID","value":"4043"},{"id":130,"name":"Impact","value":""},{"id":150,"name":"Time of Event (Mountain Time)","value":"08:13:52"},{"id":151,"name":"Denver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"%USERPROFILE%\AppData\Local\Temp\OnboardLogs"\RTDC4043\*4043*201612021*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"%USERPROFILE%\AppData\Local\Temp\OnboardLogs"\RTDC4043\*4043*201612021* &gt;&gt; 42706-slicedisagreementcheck.txt</v>
      </c>
    </row>
    <row r="11" spans="1:30" s="1" customFormat="1" x14ac:dyDescent="0.25">
      <c r="A11" s="36">
        <v>42706.542002314818</v>
      </c>
      <c r="B11" s="31" t="s">
        <v>220</v>
      </c>
      <c r="C11" s="31" t="s">
        <v>446</v>
      </c>
      <c r="D11" s="31" t="s">
        <v>49</v>
      </c>
      <c r="E11" s="31" t="s">
        <v>197</v>
      </c>
      <c r="F11" s="47">
        <v>600</v>
      </c>
      <c r="G11" s="47">
        <v>658</v>
      </c>
      <c r="H11" s="47">
        <v>182426</v>
      </c>
      <c r="I11" s="47">
        <v>185218</v>
      </c>
      <c r="J11" s="31" t="s">
        <v>198</v>
      </c>
      <c r="K11" s="47">
        <v>183829</v>
      </c>
      <c r="L11" s="154" t="s">
        <v>50</v>
      </c>
      <c r="M11" s="155">
        <f t="shared" si="0"/>
        <v>-733.39200000000005</v>
      </c>
      <c r="N11" s="156" t="str">
        <f>VLOOKUP(C11,'Trips&amp;Operators'!$C$1:$G$99999,5,FALSE)</f>
        <v>STORY SAMANTHA</v>
      </c>
      <c r="O11" s="182" t="s">
        <v>196</v>
      </c>
      <c r="P11" s="157"/>
      <c r="Q11" s="31"/>
      <c r="R11" s="100" t="str">
        <f>VLOOKUP(C11,'Train Runs'!$A$13:$AE$9982,31,0)</f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S11" s="103" t="str">
        <f>VLOOKUP(C11,'Train Runs'!$A$13:$AE$9982,22,0)</f>
        <v>https://search-rtdc-monitor-bjffxe2xuh6vdkpspy63sjmuny.us-east-1.es.amazonaws.com/_plugin/kibana/#/discover/Steve-Slow-Train-Analysis-(2080s-and-2083s)?_g=(refreshInterval:(display:Off,section:0,value:0),time:(from:'2016-12-02 11:24:25-700',mode:absolute,to:'2016-12-02 14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1" s="105" t="str">
        <f t="shared" si="1"/>
        <v>"C:\Program Files (x86)\AstroGrep\AstroGrep.exe" /spath="%USERPROFILE%\AppData\Local\Temp\OnboardLogs" /stypes="*4022*201612022*" /stext=" 20:.+((SYSTEM_STATE.+slice.+state.+changed )|(ment ac)|(multiple cpu faults)|(system.+state.+changed )|(\[timeout)|(PRM\|1\|D)|(kpr)|(kdp)|(\|lc)|(penalty))" /e /r /s</v>
      </c>
      <c r="U11" s="9" t="str">
        <f t="shared" si="2"/>
        <v>4022</v>
      </c>
      <c r="V11" s="36">
        <f t="shared" si="3"/>
        <v>42706.833668981482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{"issue":{"subject":"","project_id":79,"tracker_id":40,"status_id":1,"priority_id":2,"assigned_to_id":23,"start_date":"2016-12-02","description":"","custom_fields":[{"id":1,"name":"Subdivision","value":"EC"},{"id":4,"name":"Milepost","value":"18.3829"},{"id":17,"name":"Train ID","value":"171-02"},{"id":16,"name":"Locomotive ID","value":"4022"},{"id":130,"name":"Impact","value":""},{"id":150,"name":"Time of Event (Mountain Time)","value":"13:00:29"},{"id":151,"name":"Denver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"%USERPROFILE%\AppData\Local\Temp\OnboardLogs"\RTDC4022\*4022*201612022*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"%USERPROFILE%\AppData\Local\Temp\OnboardLogs"\RTDC4022\*4022*201612022* &gt;&gt; 42706-slicedisagreementcheck.txt</v>
      </c>
    </row>
    <row r="12" spans="1:30" s="1" customFormat="1" x14ac:dyDescent="0.25">
      <c r="A12" s="36">
        <v>42706.616608796299</v>
      </c>
      <c r="B12" s="31" t="s">
        <v>220</v>
      </c>
      <c r="C12" s="31" t="s">
        <v>449</v>
      </c>
      <c r="D12" s="31" t="s">
        <v>49</v>
      </c>
      <c r="E12" s="31" t="s">
        <v>197</v>
      </c>
      <c r="F12" s="47">
        <v>450</v>
      </c>
      <c r="G12" s="47">
        <v>540</v>
      </c>
      <c r="H12" s="47">
        <v>218357</v>
      </c>
      <c r="I12" s="47">
        <v>220221</v>
      </c>
      <c r="J12" s="31" t="s">
        <v>198</v>
      </c>
      <c r="K12" s="47">
        <v>218954</v>
      </c>
      <c r="L12" s="154" t="s">
        <v>50</v>
      </c>
      <c r="M12" s="155">
        <f t="shared" si="0"/>
        <v>-668.976</v>
      </c>
      <c r="N12" s="156" t="str">
        <f>VLOOKUP(C12,'Trips&amp;Operators'!$C$1:$G$99999,5,FALSE)</f>
        <v>STORY SAMANTHA</v>
      </c>
      <c r="O12" s="182" t="s">
        <v>196</v>
      </c>
      <c r="P12" s="157"/>
      <c r="Q12" s="31"/>
      <c r="R12" s="100" t="str">
        <f>VLOOKUP(C12,'Train Runs'!$A$13:$AE$9982,31,0)</f>
        <v>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 &amp; 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</v>
      </c>
      <c r="S12" s="103" t="str">
        <f>VLOOKUP(C12,'Train Runs'!$A$13:$AE$9982,22,0)</f>
        <v>https://search-rtdc-monitor-bjffxe2xuh6vdkpspy63sjmuny.us-east-1.es.amazonaws.com/_plugin/kibana/#/discover/Steve-Slow-Train-Analysis-(2080s-and-2083s)?_g=(refreshInterval:(display:Off,section:0,value:0),time:(from:'2016-12-02 13:08:15-700',mode:absolute,to:'2016-12-02 15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2" s="105" t="str">
        <f t="shared" si="1"/>
        <v>"C:\Program Files (x86)\AstroGrep\AstroGrep.exe" /spath="%USERPROFILE%\AppData\Local\Temp\OnboardLogs" /stypes="*4022*201612022*" /stext=" 21:.+((SYSTEM_STATE.+slice.+state.+changed )|(ment ac)|(multiple cpu faults)|(system.+state.+changed )|(\[timeout)|(PRM\|1\|D)|(kpr)|(kdp)|(\|lc)|(penalty))" /e /r /s</v>
      </c>
      <c r="U12" s="9" t="str">
        <f t="shared" si="2"/>
        <v>4022</v>
      </c>
      <c r="V12" s="36">
        <f t="shared" si="3"/>
        <v>42706.908275462964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{"issue":{"subject":"","project_id":79,"tracker_id":40,"status_id":1,"priority_id":2,"assigned_to_id":23,"start_date":"2016-12-02","description":"","custom_fields":[{"id":1,"name":"Subdivision","value":"EC"},{"id":4,"name":"Milepost","value":"21.8954"},{"id":17,"name":"Train ID","value":"185-02"},{"id":16,"name":"Locomotive ID","value":"4022"},{"id":130,"name":"Impact","value":""},{"id":150,"name":"Time of Event (Mountain Time)","value":"14:47:55"},{"id":151,"name":"Denver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"%USERPROFILE%\AppData\Local\Temp\OnboardLogs"\RTDC4022\*4022*201612022*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"%USERPROFILE%\AppData\Local\Temp\OnboardLogs"\RTDC4022\*4022*201612022* &gt;&gt; 42706-slicedisagreementcheck.txt</v>
      </c>
    </row>
    <row r="13" spans="1:30" s="1" customFormat="1" x14ac:dyDescent="0.25">
      <c r="A13" s="36">
        <v>42706.389814814815</v>
      </c>
      <c r="B13" s="31" t="s">
        <v>254</v>
      </c>
      <c r="C13" s="31" t="s">
        <v>439</v>
      </c>
      <c r="D13" s="31" t="s">
        <v>49</v>
      </c>
      <c r="E13" s="31" t="s">
        <v>197</v>
      </c>
      <c r="F13" s="47">
        <v>150</v>
      </c>
      <c r="G13" s="47">
        <v>312</v>
      </c>
      <c r="H13" s="47">
        <v>228421</v>
      </c>
      <c r="I13" s="47">
        <v>229368</v>
      </c>
      <c r="J13" s="31" t="s">
        <v>198</v>
      </c>
      <c r="K13" s="47">
        <v>230436</v>
      </c>
      <c r="L13" s="154" t="s">
        <v>50</v>
      </c>
      <c r="M13" s="155">
        <f t="shared" si="0"/>
        <v>563.904</v>
      </c>
      <c r="N13" s="156" t="str">
        <f>VLOOKUP(C13,'Trips&amp;Operators'!$C$1:$G$99999,5,FALSE)</f>
        <v>PERKINS DARREN</v>
      </c>
      <c r="O13" s="182" t="s">
        <v>196</v>
      </c>
      <c r="P13" s="157"/>
      <c r="Q13" s="31"/>
      <c r="R13" s="100" t="str">
        <f>VLOOKUP(C13,'Train Runs'!$A$13:$AE$9982,31,0)</f>
        <v>aws s3 cp s3://rtdc.mdm.uploadarchive.raw/RTDC4042/ "%USERPROFILE%\AppData\Local\Temp\OnboardLogs"\RTDC4042\2016-12-02 --exclude "*" --recursive --include "*20161202*" &amp; "%USERPROFILE%\Documents\GitHub\mrs-test-scripts\Headless Mode &amp; Sideloading\WalkAndUnGZ.bat" "%USERPROFILE%\AppData\Local\Temp\OnboardLogs"\RTDC4042\2016-12-02 &amp; 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</v>
      </c>
      <c r="S13" s="103" t="str">
        <f>VLOOKUP(C13,'Train Runs'!$A$13:$AE$9982,22,0)</f>
        <v>https://search-rtdc-monitor-bjffxe2xuh6vdkpspy63sjmuny.us-east-1.es.amazonaws.com/_plugin/kibana/#/discover/Steve-Slow-Train-Analysis-(2080s-and-2083s)?_g=(refreshInterval:(display:Off,section:0,value:0),time:(from:'2016-12-02 07:38:24-700',mode:absolute,to:'2016-12-02 10:24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3" s="105" t="str">
        <f t="shared" si="1"/>
        <v>"C:\Program Files (x86)\AstroGrep\AstroGrep.exe" /spath="%USERPROFILE%\AppData\Local\Temp\OnboardLogs" /stypes="*4042*201612021*" /stext=" 16:.+((SYSTEM_STATE.+slice.+state.+changed )|(ment ac)|(multiple cpu faults)|(system.+state.+changed )|(\[timeout)|(PRM\|1\|D)|(kpr)|(kdp)|(\|lc)|(penalty))" /e /r /s</v>
      </c>
      <c r="U13" s="9" t="str">
        <f t="shared" si="2"/>
        <v>4042</v>
      </c>
      <c r="V13" s="36">
        <f t="shared" si="3"/>
        <v>42706.681481481479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{"issue":{"subject":"","project_id":79,"tracker_id":40,"status_id":1,"priority_id":2,"assigned_to_id":23,"start_date":"2016-12-02","description":"","custom_fields":[{"id":1,"name":"Subdivision","value":"EC"},{"id":4,"name":"Milepost","value":"23.0436"},{"id":17,"name":"Train ID","value":"141-02"},{"id":16,"name":"Locomotive ID","value":"4042"},{"id":130,"name":"Impact","value":""},{"id":150,"name":"Time of Event (Mountain Time)","value":"09:21:20"},{"id":151,"name":"Denver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"%USERPROFILE%\AppData\Local\Temp\OnboardLogs"\RTDC4042\*4042*201612021*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"%USERPROFILE%\AppData\Local\Temp\OnboardLogs"\RTDC4042\*4042*201612021* &gt;&gt; 42706-slicedisagreementcheck.txt</v>
      </c>
    </row>
    <row r="14" spans="1:30" s="1" customFormat="1" x14ac:dyDescent="0.25">
      <c r="A14" s="36">
        <v>42706.390821759262</v>
      </c>
      <c r="B14" s="31" t="s">
        <v>254</v>
      </c>
      <c r="C14" s="31" t="s">
        <v>439</v>
      </c>
      <c r="D14" s="31" t="s">
        <v>98</v>
      </c>
      <c r="E14" s="31" t="s">
        <v>197</v>
      </c>
      <c r="F14" s="47">
        <v>150</v>
      </c>
      <c r="G14" s="47">
        <v>205</v>
      </c>
      <c r="H14" s="47">
        <v>230931</v>
      </c>
      <c r="I14" s="47">
        <v>231331</v>
      </c>
      <c r="J14" s="31" t="s">
        <v>198</v>
      </c>
      <c r="K14" s="47">
        <v>230436</v>
      </c>
      <c r="L14" s="154" t="s">
        <v>50</v>
      </c>
      <c r="M14" s="155">
        <f t="shared" si="0"/>
        <v>-472.56</v>
      </c>
      <c r="N14" s="156" t="str">
        <f>VLOOKUP(C14,'Trips&amp;Operators'!$C$1:$G$99999,5,FALSE)</f>
        <v>PERKINS DARREN</v>
      </c>
      <c r="O14" s="182" t="s">
        <v>196</v>
      </c>
      <c r="P14" s="157"/>
      <c r="Q14" s="31"/>
      <c r="R14" s="100" t="str">
        <f>VLOOKUP(C14,'Train Runs'!$A$13:$AE$9982,31,0)</f>
        <v>aws s3 cp s3://rtdc.mdm.uploadarchive.raw/RTDC4042/ "%USERPROFILE%\AppData\Local\Temp\OnboardLogs"\RTDC4042\2016-12-02 --exclude "*" --recursive --include "*20161202*" &amp; "%USERPROFILE%\Documents\GitHub\mrs-test-scripts\Headless Mode &amp; Sideloading\WalkAndUnGZ.bat" "%USERPROFILE%\AppData\Local\Temp\OnboardLogs"\RTDC4042\2016-12-02 &amp; 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</v>
      </c>
      <c r="S14" s="103" t="str">
        <f>VLOOKUP(C14,'Train Runs'!$A$13:$AE$9982,22,0)</f>
        <v>https://search-rtdc-monitor-bjffxe2xuh6vdkpspy63sjmuny.us-east-1.es.amazonaws.com/_plugin/kibana/#/discover/Steve-Slow-Train-Analysis-(2080s-and-2083s)?_g=(refreshInterval:(display:Off,section:0,value:0),time:(from:'2016-12-02 07:38:24-700',mode:absolute,to:'2016-12-02 10:24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4" s="105" t="str">
        <f t="shared" si="1"/>
        <v>"C:\Program Files (x86)\AstroGrep\AstroGrep.exe" /spath="%USERPROFILE%\AppData\Local\Temp\OnboardLogs" /stypes="*4042*201612021*" /stext=" 16:.+((SYSTEM_STATE.+slice.+state.+changed )|(ment ac)|(multiple cpu faults)|(system.+state.+changed )|(\[timeout)|(PRM\|1\|D)|(kpr)|(kdp)|(\|lc)|(penalty))" /e /r /s</v>
      </c>
      <c r="U14" s="9" t="str">
        <f t="shared" si="2"/>
        <v>4042</v>
      </c>
      <c r="V14" s="36">
        <f t="shared" si="3"/>
        <v>42706.682488425926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{"issue":{"subject":"","project_id":79,"tracker_id":40,"status_id":1,"priority_id":2,"assigned_to_id":23,"start_date":"2016-12-02","description":"","custom_fields":[{"id":1,"name":"Subdivision","value":"EC"},{"id":4,"name":"Milepost","value":"23.0436"},{"id":17,"name":"Train ID","value":"141-02"},{"id":16,"name":"Locomotive ID","value":"4042"},{"id":130,"name":"Impact","value":""},{"id":150,"name":"Time of Event (Mountain Time)","value":"09:22:47"},{"id":151,"name":"Denver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"%USERPROFILE%\AppData\Local\Temp\OnboardLogs"\RTDC4042\*4042*201612021*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"%USERPROFILE%\AppData\Local\Temp\OnboardLogs"\RTDC4042\*4042*201612021* &gt;&gt; 42706-slicedisagreementcheck.txt</v>
      </c>
    </row>
    <row r="15" spans="1:30" s="1" customFormat="1" x14ac:dyDescent="0.25">
      <c r="A15" s="36">
        <v>42707.001446759263</v>
      </c>
      <c r="B15" s="31" t="s">
        <v>208</v>
      </c>
      <c r="C15" s="31" t="s">
        <v>459</v>
      </c>
      <c r="D15" s="31" t="s">
        <v>98</v>
      </c>
      <c r="E15" s="31" t="s">
        <v>199</v>
      </c>
      <c r="F15" s="47">
        <v>0</v>
      </c>
      <c r="G15" s="47">
        <v>101</v>
      </c>
      <c r="H15" s="47">
        <v>3047</v>
      </c>
      <c r="I15" s="47">
        <v>3195</v>
      </c>
      <c r="J15" s="31" t="s">
        <v>200</v>
      </c>
      <c r="K15" s="47">
        <v>2789</v>
      </c>
      <c r="L15" s="154" t="s">
        <v>50</v>
      </c>
      <c r="M15" s="155">
        <f t="shared" si="0"/>
        <v>-214.36799999999999</v>
      </c>
      <c r="N15" s="156" t="str">
        <f>VLOOKUP(C15,'Trips&amp;Operators'!$C$1:$G$99999,5,FALSE)</f>
        <v>CHANDLER KELVIN</v>
      </c>
      <c r="O15" s="182" t="s">
        <v>196</v>
      </c>
      <c r="P15" s="157" t="s">
        <v>856</v>
      </c>
      <c r="Q15" s="31"/>
      <c r="R15" s="100" t="str">
        <f>VLOOKUP(C15,'Train Runs'!$A$13:$AE$9982,31,0)</f>
        <v>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 &amp; aws s3 cp s3://rtdc.mdm.uploadarchive.raw/RTDC4011/ "%USERPROFILE%\AppData\Local\Temp\OnboardLogs"\RTDC4011\2016-12-04 --exclude "*" --recursive --include "*20161204*" &amp; "%USERPROFILE%\Documents\GitHub\mrs-test-scripts\Headless Mode &amp; Sideloading\WalkAndUnGZ.bat" "%USERPROFILE%\AppData\Local\Temp\OnboardLogs"\RTDC4011\2016-12-04</v>
      </c>
      <c r="S15" s="103" t="str">
        <f>VLOOKUP(C15,'Train Runs'!$A$13:$AE$9982,22,0)</f>
        <v>https://search-rtdc-monitor-bjffxe2xuh6vdkpspy63sjmuny.us-east-1.es.amazonaws.com/_plugin/kibana/#/discover/Steve-Slow-Train-Analysis-(2080s-and-2083s)?_g=(refreshInterval:(display:Off,section:0,value:0),time:(from:'2016-12-02 22:55:35-700',mode:absolute,to:'2016-12-03 01:02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5" s="105" t="str">
        <f t="shared" si="1"/>
        <v>"C:\Program Files (x86)\AstroGrep\AstroGrep.exe" /spath="%USERPROFILE%\AppData\Local\Temp\OnboardLogs" /stypes="*4011*201612030*" /stext=" 07:.+((SYSTEM_STATE.+slice.+state.+changed )|(ment ac)|(multiple cpu faults)|(system.+state.+changed )|(\[timeout)|(PRM\|1\|D)|(kpr)|(kdp)|(\|lc)|(penalty))" /e /r /s</v>
      </c>
      <c r="U15" s="9" t="str">
        <f t="shared" si="2"/>
        <v>4011</v>
      </c>
      <c r="V15" s="36">
        <f t="shared" si="3"/>
        <v>42707.293113425927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{"issue":{"subject":"Went active too close to signal","project_id":79,"tracker_id":40,"status_id":1,"priority_id":2,"assigned_to_id":23,"start_date":"2016-12-03","description":"","custom_fields":[{"id":1,"name":"Subdivision","value":"EC"},{"id":4,"name":"Milepost","value":"0.2789"},{"id":17,"name":"Train ID","value":"241-02"},{"id":16,"name":"Locomotive ID","value":"4011"},{"id":130,"name":"Impact","value":""},{"id":150,"name":"Time of Event (Mountain Time)","value":"00:02:05"},{"id":151,"name":"Denver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"%USERPROFILE%\AppData\Local\Temp\OnboardLogs"\RTDC4011\*4011*201612030*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"%USERPROFILE%\AppData\Local\Temp\OnboardLogs"\RTDC4011\*4011*201612030* &gt;&gt; 42706-slicedisagreementcheck.txt</v>
      </c>
    </row>
    <row r="16" spans="1:30" s="1" customFormat="1" x14ac:dyDescent="0.25">
      <c r="A16" s="36">
        <v>42706.740740740737</v>
      </c>
      <c r="B16" s="31" t="s">
        <v>368</v>
      </c>
      <c r="C16" s="31" t="s">
        <v>454</v>
      </c>
      <c r="D16" s="31" t="s">
        <v>49</v>
      </c>
      <c r="E16" s="31" t="s">
        <v>199</v>
      </c>
      <c r="F16" s="47">
        <v>0</v>
      </c>
      <c r="G16" s="47">
        <v>658</v>
      </c>
      <c r="H16" s="47">
        <v>78153</v>
      </c>
      <c r="I16" s="47">
        <v>80687</v>
      </c>
      <c r="J16" s="31" t="s">
        <v>200</v>
      </c>
      <c r="K16" s="47">
        <v>81738</v>
      </c>
      <c r="L16" s="154" t="s">
        <v>50</v>
      </c>
      <c r="M16" s="155">
        <f t="shared" si="0"/>
        <v>554.928</v>
      </c>
      <c r="N16" s="156" t="str">
        <f>VLOOKUP(C16,'Trips&amp;Operators'!$C$1:$G$99999,5,FALSE)</f>
        <v>SHOOK JOHN</v>
      </c>
      <c r="O16" s="182" t="s">
        <v>240</v>
      </c>
      <c r="P16" s="157" t="s">
        <v>862</v>
      </c>
      <c r="Q16" s="31"/>
      <c r="R16" s="100" t="str">
        <f>VLOOKUP(C16,'Train Runs'!$A$13:$AE$9982,31,0)</f>
        <v>aws s3 cp s3://rtdc.mdm.uploadarchive.raw/RTDC4027/ "%USERPROFILE%\AppData\Local\Temp\OnboardLogs"\RTDC4027\2016-12-02 --exclude "*" --recursive --include "*20161202*" &amp; "%USERPROFILE%\Documents\GitHub\mrs-test-scripts\Headless Mode &amp; Sideloading\WalkAndUnGZ.bat" "%USERPROFILE%\AppData\Local\Temp\OnboardLogs"\RTDC4027\2016-12-02 &amp; 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</v>
      </c>
      <c r="S16" s="103" t="str">
        <f>VLOOKUP(C16,'Train Runs'!$A$13:$AE$9982,22,0)</f>
        <v>https://search-rtdc-monitor-bjffxe2xuh6vdkpspy63sjmuny.us-east-1.es.amazonaws.com/_plugin/kibana/#/discover/Steve-Slow-Train-Analysis-(2080s-and-2083s)?_g=(refreshInterval:(display:Off,section:0,value:0),time:(from:'2016-12-02 16:23:42-700',mode:absolute,to:'2016-12-02 19:07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6" s="105" t="str">
        <f t="shared" si="1"/>
        <v>"C:\Program Files (x86)\AstroGrep\AstroGrep.exe" /spath="%USERPROFILE%\AppData\Local\Temp\OnboardLogs" /stypes="*4027*201612030*" /stext=" 00:.+((SYSTEM_STATE.+slice.+state.+changed )|(ment ac)|(multiple cpu faults)|(system.+state.+changed )|(\[timeout)|(PRM\|1\|D)|(kpr)|(kdp)|(\|lc)|(penalty))" /e /r /s</v>
      </c>
      <c r="U16" s="9" t="str">
        <f t="shared" si="2"/>
        <v>4027</v>
      </c>
      <c r="V16" s="36">
        <f t="shared" si="3"/>
        <v>42707.032407407401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{"issue":{"subject":"Code 9 issue at EC0816RH 75-1T 1N","project_id":79,"tracker_id":40,"status_id":1,"priority_id":2,"assigned_to_id":23,"start_date":"2016-12-02","description":"At 17:46:11, EC0816RH 75-1T 1N dropped from 270 to STOP &amp; PROCEED. Do logs show anything going wrong during this time?","custom_fields":[{"id":1,"name":"Subdivision","value":"EC"},{"id":4,"name":"Milepost","value":"8.1738"},{"id":17,"name":"Train ID","value":"211-02"},{"id":16,"name":"Locomotive ID","value":"4027"},{"id":130,"name":"Impact","value":"Enforcement"},{"id":150,"name":"Time of Event (Mountain Time)","value":"17:46:40"},{"id":151,"name":"Denver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6" s="53" t="s">
        <v>861</v>
      </c>
      <c r="AA16" s="53" t="s">
        <v>125</v>
      </c>
      <c r="AB16" s="53" t="s">
        <v>130</v>
      </c>
      <c r="AC16" s="138" t="str">
        <f t="shared" si="7"/>
        <v>grep -hSE -A100 "Enforcement Action" "%USERPROFILE%\AppData\Local\Temp\OnboardLogs"\RTDC4027\*4027*201612030*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"%USERPROFILE%\AppData\Local\Temp\OnboardLogs"\RTDC4027\*4027*201612030* &gt;&gt; 42706-slicedisagreementcheck.txt</v>
      </c>
    </row>
    <row r="17" spans="1:30" s="1" customFormat="1" x14ac:dyDescent="0.25">
      <c r="A17" s="36">
        <v>42707.064062500001</v>
      </c>
      <c r="B17" s="31" t="s">
        <v>216</v>
      </c>
      <c r="C17" s="31" t="s">
        <v>462</v>
      </c>
      <c r="D17" s="31" t="s">
        <v>98</v>
      </c>
      <c r="E17" s="31" t="s">
        <v>357</v>
      </c>
      <c r="F17" s="47">
        <v>0</v>
      </c>
      <c r="G17" s="47">
        <v>545</v>
      </c>
      <c r="H17" s="47">
        <v>11620</v>
      </c>
      <c r="I17" s="47">
        <v>9760</v>
      </c>
      <c r="J17" s="31" t="s">
        <v>358</v>
      </c>
      <c r="K17" s="47">
        <v>17100</v>
      </c>
      <c r="L17" s="154" t="s">
        <v>51</v>
      </c>
      <c r="M17" s="155">
        <f t="shared" si="0"/>
        <v>-3875.52</v>
      </c>
      <c r="N17" s="156" t="str">
        <f>VLOOKUP(C17,'Trips&amp;Operators'!$C$1:$G$99999,5,FALSE)</f>
        <v>CHANDLER KELVIN</v>
      </c>
      <c r="O17" s="182" t="s">
        <v>240</v>
      </c>
      <c r="P17" s="157" t="s">
        <v>863</v>
      </c>
      <c r="Q17" s="31"/>
      <c r="R17" s="100" t="str">
        <f>VLOOKUP(C17,'Train Runs'!$A$13:$AE$9982,31,0)</f>
        <v>aws s3 cp s3://rtdc.mdm.uploadarchive.raw/RTDC4012/ "%USERPROFILE%\AppData\Local\Temp\OnboardLogs"\RTDC4012\2016-12-03 --exclude "*" --recursive --include "*20161203*" &amp; "%USERPROFILE%\Documents\GitHub\mrs-test-scripts\Headless Mode &amp; Sideloading\WalkAndUnGZ.bat" "%USERPROFILE%\AppData\Local\Temp\OnboardLogs"\RTDC4012\2016-12-03 &amp; aws s3 cp s3://rtdc.mdm.uploadarchive.raw/RTDC4012/ "%USERPROFILE%\AppData\Local\Temp\OnboardLogs"\RTDC4012\2016-12-04 --exclude "*" --recursive --include "*20161204*" &amp; "%USERPROFILE%\Documents\GitHub\mrs-test-scripts\Headless Mode &amp; Sideloading\WalkAndUnGZ.bat" "%USERPROFILE%\AppData\Local\Temp\OnboardLogs"\RTDC4012\2016-12-04</v>
      </c>
      <c r="S17" s="103" t="str">
        <f>VLOOKUP(C17,'Train Runs'!$A$13:$AE$9982,22,0)</f>
        <v>https://search-rtdc-monitor-bjffxe2xuh6vdkpspy63sjmuny.us-east-1.es.amazonaws.com/_plugin/kibana/#/discover/Steve-Slow-Train-Analysis-(2080s-and-2083s)?_g=(refreshInterval:(display:Off,section:0,value:0),time:(from:'2016-12-02 23:50:02-700',mode:absolute,to:'2016-12-03 02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7" s="105" t="str">
        <f t="shared" si="1"/>
        <v>"C:\Program Files (x86)\AstroGrep\AstroGrep.exe" /spath="%USERPROFILE%\AppData\Local\Temp\OnboardLogs" /stypes="*4012*201612030*" /stext=" 08:.+((SYSTEM_STATE.+slice.+state.+changed )|(ment ac)|(multiple cpu faults)|(system.+state.+changed )|(\[timeout)|(PRM\|1\|D)|(kpr)|(kdp)|(\|lc)|(penalty))" /e /r /s</v>
      </c>
      <c r="U17" s="9" t="str">
        <f t="shared" si="2"/>
        <v>4012</v>
      </c>
      <c r="V17" s="36">
        <f t="shared" si="3"/>
        <v>42707.355729166666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{"issue":{"subject":"Wi-MAX data drop","project_id":79,"tracker_id":40,"status_id":1,"priority_id":2,"assigned_to_id":23,"start_date":"2016-12-03","description":"","custom_fields":[{"id":1,"name":"Subdivision","value":"EC"},{"id":4,"name":"Milepost","value":"1.71"},{"id":17,"name":"Train ID","value":"242-02"},{"id":16,"name":"Locomotive ID","value":"4012"},{"id":130,"name":"Impact","value":""},{"id":150,"name":"Time of Event (Mountain Time)","value":"01:32:15"},{"id":151,"name":"Denver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"%USERPROFILE%\AppData\Local\Temp\OnboardLogs"\RTDC4012\*4012*201612030*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"%USERPROFILE%\AppData\Local\Temp\OnboardLogs"\RTDC4012\*4012*201612030* &gt;&gt; 42706-slicedisagreementcheck.txt</v>
      </c>
    </row>
    <row r="18" spans="1:30" s="1" customFormat="1" x14ac:dyDescent="0.25">
      <c r="A18" s="36">
        <v>42706.650925925926</v>
      </c>
      <c r="B18" s="31" t="s">
        <v>260</v>
      </c>
      <c r="C18" s="31" t="s">
        <v>452</v>
      </c>
      <c r="D18" s="31" t="s">
        <v>49</v>
      </c>
      <c r="E18" s="31" t="s">
        <v>357</v>
      </c>
      <c r="F18" s="47">
        <v>0</v>
      </c>
      <c r="G18" s="47">
        <v>385</v>
      </c>
      <c r="H18" s="47">
        <v>123526</v>
      </c>
      <c r="I18" s="47">
        <v>124681</v>
      </c>
      <c r="J18" s="31" t="s">
        <v>358</v>
      </c>
      <c r="K18" s="47">
        <v>126678</v>
      </c>
      <c r="L18" s="154" t="s">
        <v>50</v>
      </c>
      <c r="M18" s="155">
        <f t="shared" si="0"/>
        <v>1054.4159999999999</v>
      </c>
      <c r="N18" s="156" t="str">
        <f>VLOOKUP(C18,'Trips&amp;Operators'!$C$1:$G$99999,5,FALSE)</f>
        <v>MOSES BRADLEY</v>
      </c>
      <c r="O18" s="182" t="s">
        <v>240</v>
      </c>
      <c r="P18" s="157" t="s">
        <v>863</v>
      </c>
      <c r="Q18" s="31"/>
      <c r="R18" s="100" t="str">
        <f>VLOOKUP(C18,'Train Runs'!$A$13:$AE$9982,31,0)</f>
        <v>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 &amp; 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</v>
      </c>
      <c r="S18" s="103" t="str">
        <f>VLOOKUP(C18,'Train Runs'!$A$13:$AE$9982,22,0)</f>
        <v>https://search-rtdc-monitor-bjffxe2xuh6vdkpspy63sjmuny.us-east-1.es.amazonaws.com/_plugin/kibana/#/discover/Steve-Slow-Train-Analysis-(2080s-and-2083s)?_g=(refreshInterval:(display:Off,section:0,value:0),time:(from:'2016-12-02 14:11:48-700',mode:absolute,to:'2016-12-02 16:52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8" s="105" t="str">
        <f t="shared" si="1"/>
        <v>"C:\Program Files (x86)\AstroGrep\AstroGrep.exe" /spath="%USERPROFILE%\AppData\Local\Temp\OnboardLogs" /stypes="*4003*201612022*" /stext=" 22:.+((SYSTEM_STATE.+slice.+state.+changed )|(ment ac)|(multiple cpu faults)|(system.+state.+changed )|(\[timeout)|(PRM\|1\|D)|(kpr)|(kdp)|(\|lc)|(penalty))" /e /r /s</v>
      </c>
      <c r="U18" s="9" t="str">
        <f t="shared" si="2"/>
        <v>4003</v>
      </c>
      <c r="V18" s="36">
        <f t="shared" si="3"/>
        <v>42706.94259259259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{"issue":{"subject":"Wi-MAX data drop","project_id":79,"tracker_id":40,"status_id":1,"priority_id":2,"assigned_to_id":23,"start_date":"2016-12-02","description":"http://stevetu21.github.io/eaglep3/load_kml.html?kml=http://rtdc.gmaps-snips.s3.amazonaws.com/90d77b6b-a4c7-4678-a63e-30fce996c252.kml","custom_fields":[{"id":1,"name":"Subdivision","value":"EC"},{"id":4,"name":"Milepost","value":"12.6678"},{"id":17,"name":"Train ID","value":"193-02"},{"id":16,"name":"Locomotive ID","value":"4003"},{"id":130,"name":"Impact","value":"Enforcement"},{"id":150,"name":"Time of Event (Mountain Time)","value":"15:37:20"},{"id":151,"name":"Denver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53" t="s">
        <v>864</v>
      </c>
      <c r="AA18" s="53" t="s">
        <v>125</v>
      </c>
      <c r="AB18" s="53" t="s">
        <v>138</v>
      </c>
      <c r="AC18" s="138" t="str">
        <f t="shared" si="7"/>
        <v>grep -hSE -A100 "Enforcement Action" "%USERPROFILE%\AppData\Local\Temp\OnboardLogs"\RTDC4003\*4003*201612022*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"%USERPROFILE%\AppData\Local\Temp\OnboardLogs"\RTDC4003\*4003*201612022* &gt;&gt; 42706-slicedisagreementcheck.txt</v>
      </c>
    </row>
    <row r="19" spans="1:30" s="1" customFormat="1" x14ac:dyDescent="0.25">
      <c r="A19" s="36">
        <v>42706.244189814817</v>
      </c>
      <c r="B19" s="31" t="s">
        <v>234</v>
      </c>
      <c r="C19" s="31" t="s">
        <v>432</v>
      </c>
      <c r="D19" s="31" t="s">
        <v>49</v>
      </c>
      <c r="E19" s="31" t="s">
        <v>317</v>
      </c>
      <c r="F19" s="47">
        <v>150</v>
      </c>
      <c r="G19" s="47">
        <v>222</v>
      </c>
      <c r="H19" s="47">
        <v>26454</v>
      </c>
      <c r="I19" s="47">
        <v>26796</v>
      </c>
      <c r="J19" s="31" t="s">
        <v>315</v>
      </c>
      <c r="K19" s="47">
        <v>27000</v>
      </c>
      <c r="L19" s="154" t="s">
        <v>50</v>
      </c>
      <c r="M19" s="155">
        <f t="shared" si="0"/>
        <v>107.712</v>
      </c>
      <c r="N19" s="156" t="str">
        <f>VLOOKUP(C19,'Trips&amp;Operators'!$C$1:$G$99999,5,FALSE)</f>
        <v>DAVIS WENDY</v>
      </c>
      <c r="O19" s="182" t="s">
        <v>196</v>
      </c>
      <c r="P19" s="157"/>
      <c r="Q19" s="31"/>
      <c r="R19" s="100" t="str">
        <f>VLOOKUP(C19,'Train Runs'!$A$13:$AE$9982,31,0)</f>
        <v>aws s3 cp s3://rtdc.mdm.uploadarchive.raw/RTDC4014/ "%USERPROFILE%\AppData\Local\Temp\OnboardLogs"\RTDC4014\2016-12-02 --exclude "*" --recursive --include "*20161202*" &amp; "%USERPROFILE%\Documents\GitHub\mrs-test-scripts\Headless Mode &amp; Sideloading\WalkAndUnGZ.bat" "%USERPROFILE%\AppData\Local\Temp\OnboardLogs"\RTDC4014\2016-12-02 &amp; 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</v>
      </c>
      <c r="S19" s="103" t="str">
        <f>VLOOKUP(C19,'Train Runs'!$A$13:$AE$9982,22,0)</f>
        <v>https://search-rtdc-monitor-bjffxe2xuh6vdkpspy63sjmuny.us-east-1.es.amazonaws.com/_plugin/kibana/#/discover/Steve-Slow-Train-Analysis-(2080s-and-2083s)?_g=(refreshInterval:(display:Off,section:0,value:0),time:(from:'2016-12-02 04:31:15-700',mode:absolute,to:'2016-12-02 07:21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9" s="105" t="str">
        <f t="shared" si="1"/>
        <v>"C:\Program Files (x86)\AstroGrep\AstroGrep.exe" /spath="%USERPROFILE%\AppData\Local\Temp\OnboardLogs" /stypes="*4014*201612021*" /stext=" 12:.+((SYSTEM_STATE.+slice.+state.+changed )|(ment ac)|(multiple cpu faults)|(system.+state.+changed )|(\[timeout)|(PRM\|1\|D)|(kpr)|(kdp)|(\|lc)|(penalty))" /e /r /s</v>
      </c>
      <c r="U19" s="9" t="str">
        <f t="shared" si="2"/>
        <v>4014</v>
      </c>
      <c r="V19" s="36">
        <f t="shared" si="3"/>
        <v>42706.535856481481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{"issue":{"subject":"","project_id":79,"tracker_id":40,"status_id":1,"priority_id":2,"assigned_to_id":23,"start_date":"2016-12-02","description":"","custom_fields":[{"id":1,"name":"Subdivision","value":"EC"},{"id":4,"name":"Milepost","value":"2.7"},{"id":17,"name":"Train ID","value":"117-02"},{"id":16,"name":"Locomotive ID","value":"4014"},{"id":130,"name":"Impact","value":""},{"id":150,"name":"Time of Event (Mountain Time)","value":"05:51:38"},{"id":151,"name":"Denver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"%USERPROFILE%\AppData\Local\Temp\OnboardLogs"\RTDC4014\*4014*201612021*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"%USERPROFILE%\AppData\Local\Temp\OnboardLogs"\RTDC4014\*4014*201612021* &gt;&gt; 42706-slicedisagreementcheck.txt</v>
      </c>
    </row>
    <row r="20" spans="1:30" x14ac:dyDescent="0.25">
      <c r="A20" s="36">
        <v>42706.93582175926</v>
      </c>
      <c r="B20" s="31" t="s">
        <v>373</v>
      </c>
      <c r="C20" s="31" t="s">
        <v>458</v>
      </c>
      <c r="D20" s="31" t="s">
        <v>98</v>
      </c>
      <c r="E20" s="31" t="s">
        <v>317</v>
      </c>
      <c r="F20" s="47">
        <v>150</v>
      </c>
      <c r="G20" s="47">
        <v>218</v>
      </c>
      <c r="H20" s="47">
        <v>26372</v>
      </c>
      <c r="I20" s="47">
        <v>25847</v>
      </c>
      <c r="J20" s="31" t="s">
        <v>315</v>
      </c>
      <c r="K20" s="47">
        <v>27399</v>
      </c>
      <c r="L20" s="154" t="s">
        <v>51</v>
      </c>
      <c r="M20" s="155">
        <f t="shared" si="0"/>
        <v>-819.45600000000002</v>
      </c>
      <c r="N20" s="156" t="str">
        <f>VLOOKUP(C20,'Trips&amp;Operators'!$C$1:$G$99999,5,FALSE)</f>
        <v>LEVIN SCOTT</v>
      </c>
      <c r="O20" s="182" t="s">
        <v>196</v>
      </c>
      <c r="P20" s="157"/>
      <c r="Q20" s="31"/>
      <c r="R20" s="100" t="str">
        <f>VLOOKUP(C20,'Train Runs'!$A$13:$AE$9982,31,0)</f>
        <v>aws s3 cp s3://rtdc.mdm.uploadarchive.raw/RTDC4019/ "%USERPROFILE%\AppData\Local\Temp\OnboardLogs"\RTDC4019\2016-12-02 --exclude "*" --recursive --include "*20161202*" &amp; "%USERPROFILE%\Documents\GitHub\mrs-test-scripts\Headless Mode &amp; Sideloading\WalkAndUnGZ.bat" "%USERPROFILE%\AppData\Local\Temp\OnboardLogs"\RTDC4019\2016-12-02 &amp; 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</v>
      </c>
      <c r="S20" s="103" t="str">
        <f>VLOOKUP(C20,'Train Runs'!$A$13:$AE$9982,22,0)</f>
        <v>https://search-rtdc-monitor-bjffxe2xuh6vdkpspy63sjmuny.us-east-1.es.amazonaws.com/_plugin/kibana/#/discover/Steve-Slow-Train-Analysis-(2080s-and-2083s)?_g=(refreshInterval:(display:Off,section:0,value:0),time:(from:'2016-12-02 20:52:01-700',mode:absolute,to:'2016-12-02 23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0" s="105" t="str">
        <f t="shared" si="1"/>
        <v>"C:\Program Files (x86)\AstroGrep\AstroGrep.exe" /spath="%USERPROFILE%\AppData\Local\Temp\OnboardLogs" /stypes="*4019*201612030*" /stext=" 05:.+((SYSTEM_STATE.+slice.+state.+changed )|(ment ac)|(multiple cpu faults)|(system.+state.+changed )|(\[timeout)|(PRM\|1\|D)|(kpr)|(kdp)|(\|lc)|(penalty))" /e /r /s</v>
      </c>
      <c r="U20" s="9" t="str">
        <f t="shared" si="2"/>
        <v>4019</v>
      </c>
      <c r="V20" s="36">
        <f t="shared" si="3"/>
        <v>42707.227488425924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{"issue":{"subject":"","project_id":79,"tracker_id":40,"status_id":1,"priority_id":2,"assigned_to_id":23,"start_date":"2016-12-02","description":"","custom_fields":[{"id":1,"name":"Subdivision","value":"EC"},{"id":4,"name":"Milepost","value":"2.7399"},{"id":17,"name":"Train ID","value":"230-02"},{"id":16,"name":"Locomotive ID","value":"4019"},{"id":130,"name":"Impact","value":""},{"id":150,"name":"Time of Event (Mountain Time)","value":"22:27:35"},{"id":151,"name":"Denver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"%USERPROFILE%\AppData\Local\Temp\OnboardLogs"\RTDC4019\*4019*201612030*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"%USERPROFILE%\AppData\Local\Temp\OnboardLogs"\RTDC4019\*4019*201612030* &gt;&gt; 42706-slicedisagreementcheck.txt</v>
      </c>
    </row>
    <row r="21" spans="1:30" x14ac:dyDescent="0.25">
      <c r="A21" s="36">
        <v>42706.325497685182</v>
      </c>
      <c r="B21" s="31" t="s">
        <v>292</v>
      </c>
      <c r="C21" s="31" t="s">
        <v>436</v>
      </c>
      <c r="D21" s="31" t="s">
        <v>49</v>
      </c>
      <c r="E21" s="31" t="s">
        <v>201</v>
      </c>
      <c r="F21" s="47">
        <v>0</v>
      </c>
      <c r="G21" s="47">
        <v>56</v>
      </c>
      <c r="H21" s="47">
        <v>194</v>
      </c>
      <c r="I21" s="47">
        <v>145</v>
      </c>
      <c r="J21" s="31" t="s">
        <v>202</v>
      </c>
      <c r="K21" s="47">
        <v>1</v>
      </c>
      <c r="L21" s="154" t="s">
        <v>51</v>
      </c>
      <c r="M21" s="155">
        <f t="shared" si="0"/>
        <v>76.031999999999996</v>
      </c>
      <c r="N21" s="156" t="str">
        <f>VLOOKUP(C21,'Trips&amp;Operators'!$C$1:$G$99999,5,FALSE)</f>
        <v>BRANNON JEFFREY</v>
      </c>
      <c r="O21" s="182" t="s">
        <v>196</v>
      </c>
      <c r="P21" s="157"/>
      <c r="Q21" s="31"/>
      <c r="R21" s="100" t="str">
        <f>VLOOKUP(C21,'Train Runs'!$A$13:$AE$9982,31,0)</f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S21" s="103" t="str">
        <f>VLOOKUP(C21,'Train Runs'!$A$13:$AE$9982,22,0)</f>
        <v>https://search-rtdc-monitor-bjffxe2xuh6vdkpspy63sjmuny.us-east-1.es.amazonaws.com/_plugin/kibana/#/discover/Steve-Slow-Train-Analysis-(2080s-and-2083s)?_g=(refreshInterval:(display:Off,section:0,value:0),time:(from:'2016-12-02 06:07:01-700',mode:absolute,to:'2016-12-02 08:48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1" s="105" t="str">
        <f t="shared" si="1"/>
        <v>"C:\Program Files (x86)\AstroGrep\AstroGrep.exe" /spath="%USERPROFILE%\AppData\Local\Temp\OnboardLogs" /stypes="*4001*201612021*" /stext=" 14:.+((SYSTEM_STATE.+slice.+state.+changed )|(ment ac)|(multiple cpu faults)|(system.+state.+changed )|(\[timeout)|(PRM\|1\|D)|(kpr)|(kdp)|(\|lc)|(penalty))" /e /r /s</v>
      </c>
      <c r="U21" s="9" t="str">
        <f t="shared" si="2"/>
        <v>4001</v>
      </c>
      <c r="V21" s="36">
        <f t="shared" si="3"/>
        <v>42706.617164351846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{"issue":{"subject":"","project_id":79,"tracker_id":40,"status_id":1,"priority_id":2,"assigned_to_id":23,"start_date":"2016-12-02","description":"","custom_fields":[{"id":1,"name":"Subdivision","value":"EC"},{"id":4,"name":"Milepost","value":"0.0001"},{"id":17,"name":"Train ID","value":"122-02"},{"id":16,"name":"Locomotive ID","value":"4001"},{"id":130,"name":"Impact","value":""},{"id":150,"name":"Time of Event (Mountain Time)","value":"07:48:43"},{"id":151,"name":"Denver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"%USERPROFILE%\AppData\Local\Temp\OnboardLogs"\RTDC4001\*4001*201612021*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"%USERPROFILE%\AppData\Local\Temp\OnboardLogs"\RTDC4001\*4001*201612021* &gt;&gt; 42706-slicedisagreementcheck.txt</v>
      </c>
    </row>
    <row r="22" spans="1:30" x14ac:dyDescent="0.25">
      <c r="A22" s="36">
        <v>42706.509004629632</v>
      </c>
      <c r="B22" s="31" t="s">
        <v>255</v>
      </c>
      <c r="C22" s="31" t="s">
        <v>444</v>
      </c>
      <c r="D22" s="31" t="s">
        <v>49</v>
      </c>
      <c r="E22" s="31" t="s">
        <v>201</v>
      </c>
      <c r="F22" s="47">
        <v>0</v>
      </c>
      <c r="G22" s="47">
        <v>70</v>
      </c>
      <c r="H22" s="47">
        <v>353</v>
      </c>
      <c r="I22" s="47">
        <v>262</v>
      </c>
      <c r="J22" s="31" t="s">
        <v>202</v>
      </c>
      <c r="K22" s="47">
        <v>1</v>
      </c>
      <c r="L22" s="154" t="s">
        <v>51</v>
      </c>
      <c r="M22" s="155">
        <f t="shared" si="0"/>
        <v>137.80799999999999</v>
      </c>
      <c r="N22" s="156" t="str">
        <f>VLOOKUP(C22,'Trips&amp;Operators'!$C$1:$G$99999,5,FALSE)</f>
        <v>STRICKLAND EVAN</v>
      </c>
      <c r="O22" s="182" t="s">
        <v>196</v>
      </c>
      <c r="P22" s="157"/>
      <c r="Q22" s="31"/>
      <c r="R22" s="100" t="str">
        <f>VLOOKUP(C22,'Train Runs'!$A$13:$AE$9982,31,0)</f>
        <v>aws s3 cp s3://rtdc.mdm.uploadarchive.raw/RTDC4041/ "%USERPROFILE%\AppData\Local\Temp\OnboardLogs"\RTDC4041\2016-12-02 --exclude "*" --recursive --include "*20161202*" &amp; "%USERPROFILE%\Documents\GitHub\mrs-test-scripts\Headless Mode &amp; Sideloading\WalkAndUnGZ.bat" "%USERPROFILE%\AppData\Local\Temp\OnboardLogs"\RTDC4041\2016-12-02 &amp; 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</v>
      </c>
      <c r="S22" s="103" t="str">
        <f>VLOOKUP(C22,'Train Runs'!$A$13:$AE$9982,22,0)</f>
        <v>https://search-rtdc-monitor-bjffxe2xuh6vdkpspy63sjmuny.us-east-1.es.amazonaws.com/_plugin/kibana/#/discover/Steve-Slow-Train-Analysis-(2080s-and-2083s)?_g=(refreshInterval:(display:Off,section:0,value:0),time:(from:'2016-12-02 10:17:56-700',mode:absolute,to:'2016-12-02 13:09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2" s="105" t="str">
        <f t="shared" si="1"/>
        <v>"C:\Program Files (x86)\AstroGrep\AstroGrep.exe" /spath="%USERPROFILE%\AppData\Local\Temp\OnboardLogs" /stypes="*4041*201612021*" /stext=" 19:.+((SYSTEM_STATE.+slice.+state.+changed )|(ment ac)|(multiple cpu faults)|(system.+state.+changed )|(\[timeout)|(PRM\|1\|D)|(kpr)|(kdp)|(\|lc)|(penalty))" /e /r /s</v>
      </c>
      <c r="U22" s="9" t="str">
        <f t="shared" si="2"/>
        <v>4041</v>
      </c>
      <c r="V22" s="36">
        <f t="shared" si="3"/>
        <v>42706.800671296296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{"issue":{"subject":"","project_id":79,"tracker_id":40,"status_id":1,"priority_id":2,"assigned_to_id":23,"start_date":"2016-12-02","description":"","custom_fields":[{"id":1,"name":"Subdivision","value":"EC"},{"id":4,"name":"Milepost","value":"0.0001"},{"id":17,"name":"Train ID","value":"156-02"},{"id":16,"name":"Locomotive ID","value":"4041"},{"id":130,"name":"Impact","value":""},{"id":150,"name":"Time of Event (Mountain Time)","value":"12:12:58"},{"id":151,"name":"Denver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"%USERPROFILE%\AppData\Local\Temp\OnboardLogs"\RTDC4041\*4041*201612021*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"%USERPROFILE%\AppData\Local\Temp\OnboardLogs"\RTDC4041\*4041*201612021* &gt;&gt; 42706-slicedisagreementcheck.txt</v>
      </c>
    </row>
    <row r="23" spans="1:30" ht="15" customHeight="1" x14ac:dyDescent="0.25">
      <c r="A23" s="36">
        <v>42706.509525462963</v>
      </c>
      <c r="B23" s="31" t="s">
        <v>255</v>
      </c>
      <c r="C23" s="31" t="s">
        <v>444</v>
      </c>
      <c r="D23" s="31" t="s">
        <v>49</v>
      </c>
      <c r="E23" s="31" t="s">
        <v>201</v>
      </c>
      <c r="F23" s="47">
        <v>0</v>
      </c>
      <c r="G23" s="47">
        <v>39</v>
      </c>
      <c r="H23" s="47">
        <v>225</v>
      </c>
      <c r="I23" s="47">
        <v>178</v>
      </c>
      <c r="J23" s="31" t="s">
        <v>202</v>
      </c>
      <c r="K23" s="47">
        <v>1</v>
      </c>
      <c r="L23" s="154" t="s">
        <v>51</v>
      </c>
      <c r="M23" s="155">
        <f t="shared" si="0"/>
        <v>93.456000000000003</v>
      </c>
      <c r="N23" s="156" t="str">
        <f>VLOOKUP(C23,'Trips&amp;Operators'!$C$1:$G$99999,5,FALSE)</f>
        <v>STRICKLAND EVAN</v>
      </c>
      <c r="O23" s="182" t="s">
        <v>196</v>
      </c>
      <c r="P23" s="157"/>
      <c r="Q23" s="31"/>
      <c r="R23" s="100" t="str">
        <f>VLOOKUP(C23,'Train Runs'!$A$13:$AE$9982,31,0)</f>
        <v>aws s3 cp s3://rtdc.mdm.uploadarchive.raw/RTDC4041/ "%USERPROFILE%\AppData\Local\Temp\OnboardLogs"\RTDC4041\2016-12-02 --exclude "*" --recursive --include "*20161202*" &amp; "%USERPROFILE%\Documents\GitHub\mrs-test-scripts\Headless Mode &amp; Sideloading\WalkAndUnGZ.bat" "%USERPROFILE%\AppData\Local\Temp\OnboardLogs"\RTDC4041\2016-12-02 &amp; 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</v>
      </c>
      <c r="S23" s="103" t="str">
        <f>VLOOKUP(C23,'Train Runs'!$A$13:$AE$9982,22,0)</f>
        <v>https://search-rtdc-monitor-bjffxe2xuh6vdkpspy63sjmuny.us-east-1.es.amazonaws.com/_plugin/kibana/#/discover/Steve-Slow-Train-Analysis-(2080s-and-2083s)?_g=(refreshInterval:(display:Off,section:0,value:0),time:(from:'2016-12-02 10:17:56-700',mode:absolute,to:'2016-12-02 13:09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5" t="str">
        <f t="shared" si="1"/>
        <v>"C:\Program Files (x86)\AstroGrep\AstroGrep.exe" /spath="%USERPROFILE%\AppData\Local\Temp\OnboardLogs" /stypes="*4041*201612021*" /stext=" 19:.+((SYSTEM_STATE.+slice.+state.+changed )|(ment ac)|(multiple cpu faults)|(system.+state.+changed )|(\[timeout)|(PRM\|1\|D)|(kpr)|(kdp)|(\|lc)|(penalty))" /e /r /s</v>
      </c>
      <c r="U23" s="9" t="str">
        <f t="shared" si="2"/>
        <v>4041</v>
      </c>
      <c r="V23" s="36">
        <f t="shared" si="3"/>
        <v>42706.801192129627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{"issue":{"subject":"","project_id":79,"tracker_id":40,"status_id":1,"priority_id":2,"assigned_to_id":23,"start_date":"2016-12-02","description":"","custom_fields":[{"id":1,"name":"Subdivision","value":"EC"},{"id":4,"name":"Milepost","value":"0.0001"},{"id":17,"name":"Train ID","value":"156-02"},{"id":16,"name":"Locomotive ID","value":"4041"},{"id":130,"name":"Impact","value":""},{"id":150,"name":"Time of Event (Mountain Time)","value":"12:13:43"},{"id":151,"name":"Denver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"%USERPROFILE%\AppData\Local\Temp\OnboardLogs"\RTDC4041\*4041*201612021*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"%USERPROFILE%\AppData\Local\Temp\OnboardLogs"\RTDC4041\*4041*201612021* &gt;&gt; 42706-slicedisagreementcheck.txt</v>
      </c>
    </row>
    <row r="24" spans="1:30" x14ac:dyDescent="0.25">
      <c r="A24" s="36">
        <v>42706.545567129629</v>
      </c>
      <c r="B24" s="31" t="s">
        <v>292</v>
      </c>
      <c r="C24" s="31" t="s">
        <v>447</v>
      </c>
      <c r="D24" s="31" t="s">
        <v>49</v>
      </c>
      <c r="E24" s="31" t="s">
        <v>201</v>
      </c>
      <c r="F24" s="47">
        <v>0</v>
      </c>
      <c r="G24" s="47">
        <v>52</v>
      </c>
      <c r="H24" s="47">
        <v>185</v>
      </c>
      <c r="I24" s="47">
        <v>119</v>
      </c>
      <c r="J24" s="31" t="s">
        <v>202</v>
      </c>
      <c r="K24" s="47">
        <v>1</v>
      </c>
      <c r="L24" s="154" t="s">
        <v>51</v>
      </c>
      <c r="M24" s="155">
        <f t="shared" si="0"/>
        <v>62.304000000000002</v>
      </c>
      <c r="N24" s="156" t="str">
        <f>VLOOKUP(C24,'Trips&amp;Operators'!$C$1:$G$99999,5,FALSE)</f>
        <v>BONDS REYNALDO</v>
      </c>
      <c r="O24" s="182" t="s">
        <v>196</v>
      </c>
      <c r="P24" s="157"/>
      <c r="Q24" s="31"/>
      <c r="R24" s="100" t="str">
        <f>VLOOKUP(C24,'Train Runs'!$A$13:$AE$9982,31,0)</f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S24" s="103" t="str">
        <f>VLOOKUP(C24,'Train Runs'!$A$13:$AE$9982,22,0)</f>
        <v>https://search-rtdc-monitor-bjffxe2xuh6vdkpspy63sjmuny.us-east-1.es.amazonaws.com/_plugin/kibana/#/discover/Steve-Slow-Train-Analysis-(2080s-and-2083s)?_g=(refreshInterval:(display:Off,section:0,value:0),time:(from:'2016-12-02 11:14:36-700',mode:absolute,to:'2016-12-02 14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5" t="str">
        <f t="shared" si="1"/>
        <v>"C:\Program Files (x86)\AstroGrep\AstroGrep.exe" /spath="%USERPROFILE%\AppData\Local\Temp\OnboardLogs" /stypes="*4001*201612022*" /stext=" 20:.+((SYSTEM_STATE.+slice.+state.+changed )|(ment ac)|(multiple cpu faults)|(system.+state.+changed )|(\[timeout)|(PRM\|1\|D)|(kpr)|(kdp)|(\|lc)|(penalty))" /e /r /s</v>
      </c>
      <c r="U24" s="9" t="str">
        <f t="shared" si="2"/>
        <v>4001</v>
      </c>
      <c r="V24" s="36">
        <f t="shared" si="3"/>
        <v>42706.837233796294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{"issue":{"subject":"","project_id":79,"tracker_id":40,"status_id":1,"priority_id":2,"assigned_to_id":23,"start_date":"2016-12-02","description":"","custom_fields":[{"id":1,"name":"Subdivision","value":"EC"},{"id":4,"name":"Milepost","value":"0.0001"},{"id":17,"name":"Train ID","value":"164-02"},{"id":16,"name":"Locomotive ID","value":"4001"},{"id":130,"name":"Impact","value":""},{"id":150,"name":"Time of Event (Mountain Time)","value":"13:05:37"},{"id":151,"name":"Denver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"%USERPROFILE%\AppData\Local\Temp\OnboardLogs"\RTDC4001\*4001*201612022*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"%USERPROFILE%\AppData\Local\Temp\OnboardLogs"\RTDC4001\*4001*201612022* &gt;&gt; 42706-slicedisagreementcheck.txt</v>
      </c>
    </row>
    <row r="25" spans="1:30" x14ac:dyDescent="0.25">
      <c r="A25" s="36">
        <v>42706.617650462962</v>
      </c>
      <c r="B25" s="31" t="s">
        <v>292</v>
      </c>
      <c r="C25" s="31" t="s">
        <v>450</v>
      </c>
      <c r="D25" s="31" t="s">
        <v>49</v>
      </c>
      <c r="E25" s="31" t="s">
        <v>201</v>
      </c>
      <c r="F25" s="47">
        <v>0</v>
      </c>
      <c r="G25" s="47">
        <v>72</v>
      </c>
      <c r="H25" s="47">
        <v>265</v>
      </c>
      <c r="I25" s="47">
        <v>181</v>
      </c>
      <c r="J25" s="31" t="s">
        <v>202</v>
      </c>
      <c r="K25" s="47">
        <v>1</v>
      </c>
      <c r="L25" s="154" t="s">
        <v>51</v>
      </c>
      <c r="M25" s="155">
        <f t="shared" si="0"/>
        <v>95.04</v>
      </c>
      <c r="N25" s="156" t="str">
        <f>VLOOKUP(C25,'Trips&amp;Operators'!$C$1:$G$99999,5,FALSE)</f>
        <v>BONDS REYNALDO</v>
      </c>
      <c r="O25" s="182" t="s">
        <v>196</v>
      </c>
      <c r="P25" s="157"/>
      <c r="Q25" s="31"/>
      <c r="R25" s="100" t="str">
        <f>VLOOKUP(C25,'Train Runs'!$A$13:$AE$9982,31,0)</f>
        <v>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 &amp; 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</v>
      </c>
      <c r="S25" s="103" t="str">
        <f>VLOOKUP(C25,'Train Runs'!$A$13:$AE$9982,22,0)</f>
        <v>https://search-rtdc-monitor-bjffxe2xuh6vdkpspy63sjmuny.us-east-1.es.amazonaws.com/_plugin/kibana/#/discover/Steve-Slow-Train-Analysis-(2080s-and-2083s)?_g=(refreshInterval:(display:Off,section:0,value:0),time:(from:'2016-12-02 12:55:27-700',mode:absolute,to:'2016-12-02 15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5" s="105" t="str">
        <f t="shared" si="1"/>
        <v>"C:\Program Files (x86)\AstroGrep\AstroGrep.exe" /spath="%USERPROFILE%\AppData\Local\Temp\OnboardLogs" /stypes="*4001*201612022*" /stext=" 21:.+((SYSTEM_STATE.+slice.+state.+changed )|(ment ac)|(multiple cpu faults)|(system.+state.+changed )|(\[timeout)|(PRM\|1\|D)|(kpr)|(kdp)|(\|lc)|(penalty))" /e /r /s</v>
      </c>
      <c r="U25" s="9" t="str">
        <f t="shared" si="2"/>
        <v>4001</v>
      </c>
      <c r="V25" s="36">
        <f t="shared" si="3"/>
        <v>42706.909317129626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{"issue":{"subject":"","project_id":79,"tracker_id":40,"status_id":1,"priority_id":2,"assigned_to_id":23,"start_date":"2016-12-02","description":"","custom_fields":[{"id":1,"name":"Subdivision","value":"EC"},{"id":4,"name":"Milepost","value":"0.0001"},{"id":17,"name":"Train ID","value":"178-02"},{"id":16,"name":"Locomotive ID","value":"4001"},{"id":130,"name":"Impact","value":""},{"id":150,"name":"Time of Event (Mountain Time)","value":"14:49:25"},{"id":151,"name":"Denver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"%USERPROFILE%\AppData\Local\Temp\OnboardLogs"\RTDC4001\*4001*201612022*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"%USERPROFILE%\AppData\Local\Temp\OnboardLogs"\RTDC4001\*4001*201612022* &gt;&gt; 42706-slicedisagreementcheck.txt</v>
      </c>
    </row>
    <row r="26" spans="1:30" x14ac:dyDescent="0.25">
      <c r="A26" s="36">
        <v>42707.045416666668</v>
      </c>
      <c r="B26" s="31" t="s">
        <v>313</v>
      </c>
      <c r="C26" s="31" t="s">
        <v>460</v>
      </c>
      <c r="D26" s="31" t="s">
        <v>49</v>
      </c>
      <c r="E26" s="31" t="s">
        <v>201</v>
      </c>
      <c r="F26" s="47">
        <v>0</v>
      </c>
      <c r="G26" s="47">
        <v>72</v>
      </c>
      <c r="H26" s="47">
        <v>274</v>
      </c>
      <c r="I26" s="47">
        <v>201</v>
      </c>
      <c r="J26" s="31" t="s">
        <v>202</v>
      </c>
      <c r="K26" s="47">
        <v>1</v>
      </c>
      <c r="L26" s="154" t="s">
        <v>51</v>
      </c>
      <c r="M26" s="155">
        <f t="shared" si="0"/>
        <v>105.6</v>
      </c>
      <c r="N26" s="156" t="str">
        <f>VLOOKUP(C26,'Trips&amp;Operators'!$C$1:$G$99999,5,FALSE)</f>
        <v>YANAI IAN</v>
      </c>
      <c r="O26" s="182" t="s">
        <v>196</v>
      </c>
      <c r="P26" s="157"/>
      <c r="Q26" s="31"/>
      <c r="R26" s="100" t="str">
        <f>VLOOKUP(C26,'Train Runs'!$A$13:$AE$9982,31,0)</f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S26" s="103" t="str">
        <f>VLOOKUP(C26,'Train Runs'!$A$13:$AE$9982,22,0)</f>
        <v>https://search-rtdc-monitor-bjffxe2xuh6vdkpspy63sjmuny.us-east-1.es.amazonaws.com/_plugin/kibana/#/discover/Steve-Slow-Train-Analysis-(2080s-and-2083s)?_g=(refreshInterval:(display:Off,section:0,value:0),time:(from:'2016-12-02 23:22:20-700',mode:absolute,to:'2016-12-03 02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6" s="105" t="str">
        <f t="shared" si="1"/>
        <v>"C:\Program Files (x86)\AstroGrep\AstroGrep.exe" /spath="%USERPROFILE%\AppData\Local\Temp\OnboardLogs" /stypes="*4030*201612030*" /stext=" 08:.+((SYSTEM_STATE.+slice.+state.+changed )|(ment ac)|(multiple cpu faults)|(system.+state.+changed )|(\[timeout)|(PRM\|1\|D)|(kpr)|(kdp)|(\|lc)|(penalty))" /e /r /s</v>
      </c>
      <c r="U26" s="9" t="str">
        <f t="shared" si="2"/>
        <v>4030</v>
      </c>
      <c r="V26" s="36">
        <f t="shared" si="3"/>
        <v>42707.337083333332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{"issue":{"subject":"","project_id":79,"tracker_id":40,"status_id":1,"priority_id":2,"assigned_to_id":23,"start_date":"2016-12-03","description":"","custom_fields":[{"id":1,"name":"Subdivision","value":"EC"},{"id":4,"name":"Milepost","value":"0.0001"},{"id":17,"name":"Train ID","value":"240-02"},{"id":16,"name":"Locomotive ID","value":"4030"},{"id":130,"name":"Impact","value":""},{"id":150,"name":"Time of Event (Mountain Time)","value":"01:05:24"},{"id":151,"name":"Denver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"%USERPROFILE%\AppData\Local\Temp\OnboardLogs"\RTDC4030\*4030*201612030*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"%USERPROFILE%\AppData\Local\Temp\OnboardLogs"\RTDC4030\*4030*201612030* &gt;&gt; 42706-slicedisagreementcheck.txt</v>
      </c>
    </row>
    <row r="27" spans="1:30" x14ac:dyDescent="0.25">
      <c r="A27" s="36">
        <v>42706.538483796299</v>
      </c>
      <c r="B27" s="31" t="s">
        <v>254</v>
      </c>
      <c r="C27" s="31" t="s">
        <v>445</v>
      </c>
      <c r="D27" s="31" t="s">
        <v>49</v>
      </c>
      <c r="E27" s="31" t="s">
        <v>201</v>
      </c>
      <c r="F27" s="47">
        <v>0</v>
      </c>
      <c r="G27" s="47">
        <v>39</v>
      </c>
      <c r="H27" s="47">
        <v>233312</v>
      </c>
      <c r="I27" s="47">
        <v>233370</v>
      </c>
      <c r="J27" s="31" t="s">
        <v>202</v>
      </c>
      <c r="K27" s="47">
        <v>233491</v>
      </c>
      <c r="L27" s="154" t="s">
        <v>50</v>
      </c>
      <c r="M27" s="155">
        <f t="shared" si="0"/>
        <v>63.887999999999998</v>
      </c>
      <c r="N27" s="156" t="str">
        <f>VLOOKUP(C27,'Trips&amp;Operators'!$C$1:$G$99999,5,FALSE)</f>
        <v>SHOOK JOHN</v>
      </c>
      <c r="O27" s="182" t="s">
        <v>196</v>
      </c>
      <c r="P27" s="157"/>
      <c r="Q27" s="31"/>
      <c r="R27" s="100" t="str">
        <f>VLOOKUP(C27,'Train Runs'!$A$13:$AE$9982,31,0)</f>
        <v>aws s3 cp s3://rtdc.mdm.uploadarchive.raw/RTDC4042/ "%USERPROFILE%\AppData\Local\Temp\OnboardLogs"\RTDC4042\2016-12-02 --exclude "*" --recursive --include "*20161202*" &amp; "%USERPROFILE%\Documents\GitHub\mrs-test-scripts\Headless Mode &amp; Sideloading\WalkAndUnGZ.bat" "%USERPROFILE%\AppData\Local\Temp\OnboardLogs"\RTDC4042\2016-12-02 &amp; 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</v>
      </c>
      <c r="S27" s="103" t="str">
        <f>VLOOKUP(C27,'Train Runs'!$A$13:$AE$9982,22,0)</f>
        <v>https://search-rtdc-monitor-bjffxe2xuh6vdkpspy63sjmuny.us-east-1.es.amazonaws.com/_plugin/kibana/#/discover/Steve-Slow-Train-Analysis-(2080s-and-2083s)?_g=(refreshInterval:(display:Off,section:0,value:0),time:(from:'2016-12-02 11:15:31-700',mode:absolute,to:'2016-12-02 13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7" s="105" t="str">
        <f t="shared" si="1"/>
        <v>"C:\Program Files (x86)\AstroGrep\AstroGrep.exe" /spath="%USERPROFILE%\AppData\Local\Temp\OnboardLogs" /stypes="*4042*201612021*" /stext=" 19:.+((SYSTEM_STATE.+slice.+state.+changed )|(ment ac)|(multiple cpu faults)|(system.+state.+changed )|(\[timeout)|(PRM\|1\|D)|(kpr)|(kdp)|(\|lc)|(penalty))" /e /r /s</v>
      </c>
      <c r="U27" s="9" t="str">
        <f t="shared" si="2"/>
        <v>4042</v>
      </c>
      <c r="V27" s="36">
        <f t="shared" si="3"/>
        <v>42706.830150462964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{"issue":{"subject":"","project_id":79,"tracker_id":40,"status_id":1,"priority_id":2,"assigned_to_id":23,"start_date":"2016-12-02","description":"","custom_fields":[{"id":1,"name":"Subdivision","value":"EC"},{"id":4,"name":"Milepost","value":"23.3491"},{"id":17,"name":"Train ID","value":"169-02"},{"id":16,"name":"Locomotive ID","value":"4042"},{"id":130,"name":"Impact","value":""},{"id":150,"name":"Time of Event (Mountain Time)","value":"12:55:25"},{"id":151,"name":"Denver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"%USERPROFILE%\AppData\Local\Temp\OnboardLogs"\RTDC4042\*4042*201612021*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"%USERPROFILE%\AppData\Local\Temp\OnboardLogs"\RTDC4042\*4042*201612021* &gt;&gt; 42706-slicedisagreementcheck.txt</v>
      </c>
    </row>
    <row r="28" spans="1:30" x14ac:dyDescent="0.25">
      <c r="A28" s="36">
        <v>42706.597395833334</v>
      </c>
      <c r="B28" s="31" t="s">
        <v>184</v>
      </c>
      <c r="C28" s="31" t="s">
        <v>448</v>
      </c>
      <c r="D28" s="31" t="s">
        <v>49</v>
      </c>
      <c r="E28" s="31" t="s">
        <v>201</v>
      </c>
      <c r="F28" s="47">
        <v>0</v>
      </c>
      <c r="G28" s="47">
        <v>127</v>
      </c>
      <c r="H28" s="47">
        <v>232539</v>
      </c>
      <c r="I28" s="47">
        <v>232685</v>
      </c>
      <c r="J28" s="31" t="s">
        <v>202</v>
      </c>
      <c r="K28" s="47">
        <v>233491</v>
      </c>
      <c r="L28" s="154" t="s">
        <v>50</v>
      </c>
      <c r="M28" s="155">
        <f t="shared" si="0"/>
        <v>425.56799999999998</v>
      </c>
      <c r="N28" s="156" t="str">
        <f>VLOOKUP(C28,'Trips&amp;Operators'!$C$1:$G$99999,5,FALSE)</f>
        <v>ADANE ELSHADAY</v>
      </c>
      <c r="O28" s="182" t="s">
        <v>196</v>
      </c>
      <c r="P28" s="157"/>
      <c r="Q28" s="31"/>
      <c r="R28" s="100" t="str">
        <f>VLOOKUP(C28,'Train Runs'!$A$13:$AE$9982,31,0)</f>
        <v>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 &amp; aws s3 cp s3://rtdc.mdm.uploadarchive.raw/RTDC4044/ "%USERPROFILE%\AppData\Local\Temp\OnboardLogs"\RTDC4044\2016-12-03 --exclude "*" --recursive --include "*20161203*" &amp; "%USERPROFILE%\Documents\GitHub\mrs-test-scripts\Headless Mode &amp; Sideloading\WalkAndUnGZ.bat" "%USERPROFILE%\AppData\Local\Temp\OnboardLogs"\RTDC4044\2016-12-03</v>
      </c>
      <c r="S28" s="103" t="str">
        <f>VLOOKUP(C28,'Train Runs'!$A$13:$AE$9982,22,0)</f>
        <v>https://search-rtdc-monitor-bjffxe2xuh6vdkpspy63sjmuny.us-east-1.es.amazonaws.com/_plugin/kibana/#/discover/Steve-Slow-Train-Analysis-(2080s-and-2083s)?_g=(refreshInterval:(display:Off,section:0,value:0),time:(from:'2016-12-02 12:39:12-700',mode:absolute,to:'2016-12-02 15:19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8" s="105" t="str">
        <f t="shared" si="1"/>
        <v>"C:\Program Files (x86)\AstroGrep\AstroGrep.exe" /spath="%USERPROFILE%\AppData\Local\Temp\OnboardLogs" /stypes="*4044*201612022*" /stext=" 21:.+((SYSTEM_STATE.+slice.+state.+changed )|(ment ac)|(multiple cpu faults)|(system.+state.+changed )|(\[timeout)|(PRM\|1\|D)|(kpr)|(kdp)|(\|lc)|(penalty))" /e /r /s</v>
      </c>
      <c r="U28" s="9" t="str">
        <f t="shared" si="2"/>
        <v>4044</v>
      </c>
      <c r="V28" s="36">
        <f t="shared" si="3"/>
        <v>42706.889062499999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{"issue":{"subject":"","project_id":79,"tracker_id":40,"status_id":1,"priority_id":2,"assigned_to_id":23,"start_date":"2016-12-02","description":"","custom_fields":[{"id":1,"name":"Subdivision","value":"EC"},{"id":4,"name":"Milepost","value":"23.3491"},{"id":17,"name":"Train ID","value":"181-02"},{"id":16,"name":"Locomotive ID","value":"4044"},{"id":130,"name":"Impact","value":""},{"id":150,"name":"Time of Event (Mountain Time)","value":"14:20:15"},{"id":151,"name":"Denver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"%USERPROFILE%\AppData\Local\Temp\OnboardLogs"\RTDC4044\*4044*201612022*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"%USERPROFILE%\AppData\Local\Temp\OnboardLogs"\RTDC4044\*4044*201612022* &gt;&gt; 42706-slicedisagreementcheck.txt</v>
      </c>
    </row>
    <row r="29" spans="1:30" ht="15" customHeight="1" x14ac:dyDescent="0.25">
      <c r="A29" s="36">
        <v>42706.268414351849</v>
      </c>
      <c r="B29" s="31" t="s">
        <v>211</v>
      </c>
      <c r="C29" s="31" t="s">
        <v>433</v>
      </c>
      <c r="D29" s="31" t="s">
        <v>49</v>
      </c>
      <c r="E29" s="31" t="s">
        <v>314</v>
      </c>
      <c r="F29" s="47">
        <v>90</v>
      </c>
      <c r="G29" s="47">
        <v>346</v>
      </c>
      <c r="H29" s="47">
        <v>8109</v>
      </c>
      <c r="I29" s="47">
        <v>9119</v>
      </c>
      <c r="J29" s="31" t="s">
        <v>315</v>
      </c>
      <c r="K29" s="47">
        <v>10716</v>
      </c>
      <c r="L29" s="154" t="s">
        <v>50</v>
      </c>
      <c r="M29" s="155">
        <f t="shared" si="0"/>
        <v>843.21600000000001</v>
      </c>
      <c r="N29" s="156" t="str">
        <f>VLOOKUP(C29,'Trips&amp;Operators'!$C$1:$G$99999,5,FALSE)</f>
        <v>YORK EDGAR</v>
      </c>
      <c r="O29" s="182" t="s">
        <v>196</v>
      </c>
      <c r="P29" s="157" t="s">
        <v>860</v>
      </c>
      <c r="Q29" s="31"/>
      <c r="R29" s="100" t="str">
        <f>VLOOKUP(C29,'Train Runs'!$A$13:$AE$9982,31,0)</f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S29" s="103" t="str">
        <f>VLOOKUP(C29,'Train Runs'!$A$13:$AE$9982,22,0)</f>
        <v>https://search-rtdc-monitor-bjffxe2xuh6vdkpspy63sjmuny.us-east-1.es.amazonaws.com/_plugin/kibana/#/discover/Steve-Slow-Train-Analysis-(2080s-and-2083s)?_g=(refreshInterval:(display:Off,section:0,value:0),time:(from:'2016-12-02 05:21:12-700',mode:absolute,to:'2016-12-02 07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9" s="105" t="str">
        <f t="shared" si="1"/>
        <v>"C:\Program Files (x86)\AstroGrep\AstroGrep.exe" /spath="%USERPROFILE%\AppData\Local\Temp\OnboardLogs" /stypes="*4040*201612021*" /stext=" 13:.+((SYSTEM_STATE.+slice.+state.+changed )|(ment ac)|(multiple cpu faults)|(system.+state.+changed )|(\[timeout)|(PRM\|1\|D)|(kpr)|(kdp)|(\|lc)|(penalty))" /e /r /s</v>
      </c>
      <c r="U29" s="9" t="str">
        <f t="shared" si="2"/>
        <v>4040</v>
      </c>
      <c r="V29" s="36">
        <f t="shared" si="3"/>
        <v>42706.560081018513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{"issue":{"subject":"Early arrival","project_id":79,"tracker_id":40,"status_id":1,"priority_id":2,"assigned_to_id":23,"start_date":"2016-12-02","description":"","custom_fields":[{"id":1,"name":"Subdivision","value":"NW"},{"id":4,"name":"Milepost","value":"1.0716"},{"id":17,"name":"Train ID","value":"803-02"},{"id":16,"name":"Locomotive ID","value":"4040"},{"id":130,"name":"Impact","value":""},{"id":150,"name":"Time of Event (Mountain Time)","value":"06:26:31"},{"id":151,"name":"Denver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"%USERPROFILE%\AppData\Local\Temp\OnboardLogs"\RTDC4040\*4040*201612021*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"%USERPROFILE%\AppData\Local\Temp\OnboardLogs"\RTDC4040\*4040*201612021* &gt;&gt; 42706-slicedisagreementcheck.txt</v>
      </c>
    </row>
    <row r="30" spans="1:30" ht="15" customHeight="1" x14ac:dyDescent="0.25">
      <c r="A30" s="36">
        <v>42706.285543981481</v>
      </c>
      <c r="B30" s="31" t="s">
        <v>213</v>
      </c>
      <c r="C30" s="31" t="s">
        <v>434</v>
      </c>
      <c r="D30" s="31" t="s">
        <v>49</v>
      </c>
      <c r="E30" s="31" t="s">
        <v>314</v>
      </c>
      <c r="F30" s="47">
        <v>90</v>
      </c>
      <c r="G30" s="47">
        <v>141</v>
      </c>
      <c r="H30" s="47">
        <v>11220</v>
      </c>
      <c r="I30" s="47">
        <v>10996</v>
      </c>
      <c r="J30" s="31" t="s">
        <v>315</v>
      </c>
      <c r="K30" s="47">
        <v>10988</v>
      </c>
      <c r="L30" s="154" t="s">
        <v>51</v>
      </c>
      <c r="M30" s="155">
        <f t="shared" si="0"/>
        <v>4.2240000000000002</v>
      </c>
      <c r="N30" s="156" t="str">
        <f>VLOOKUP(C30,'Trips&amp;Operators'!$C$1:$G$99999,5,FALSE)</f>
        <v>YORK EDGAR</v>
      </c>
      <c r="O30" s="182" t="s">
        <v>196</v>
      </c>
      <c r="P30" s="157" t="s">
        <v>860</v>
      </c>
      <c r="Q30" s="31"/>
      <c r="R30" s="100" t="str">
        <f>VLOOKUP(C30,'Train Runs'!$A$13:$AE$9982,31,0)</f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S30" s="103" t="str">
        <f>VLOOKUP(C30,'Train Runs'!$A$13:$AE$9982,22,0)</f>
        <v>https://search-rtdc-monitor-bjffxe2xuh6vdkpspy63sjmuny.us-east-1.es.amazonaws.com/_plugin/kibana/#/discover/Steve-Slow-Train-Analysis-(2080s-and-2083s)?_g=(refreshInterval:(display:Off,section:0,value:0),time:(from:'2016-12-02 05:39:37-700',mode:absolute,to:'2016-12-02 07:57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0" s="105" t="str">
        <f t="shared" si="1"/>
        <v>"C:\Program Files (x86)\AstroGrep\AstroGrep.exe" /spath="%USERPROFILE%\AppData\Local\Temp\OnboardLogs" /stypes="*4039*201612021*" /stext=" 13:.+((SYSTEM_STATE.+slice.+state.+changed )|(ment ac)|(multiple cpu faults)|(system.+state.+changed )|(\[timeout)|(PRM\|1\|D)|(kpr)|(kdp)|(\|lc)|(penalty))" /e /r /s</v>
      </c>
      <c r="U30" s="9" t="str">
        <f t="shared" si="2"/>
        <v>4039</v>
      </c>
      <c r="V30" s="36">
        <f t="shared" si="3"/>
        <v>42706.577210648145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{"issue":{"subject":"Early arrival","project_id":79,"tracker_id":40,"status_id":1,"priority_id":2,"assigned_to_id":23,"start_date":"2016-12-02","description":"","custom_fields":[{"id":1,"name":"Subdivision","value":"NW"},{"id":4,"name":"Milepost","value":"1.0988"},{"id":17,"name":"Train ID","value":"804-02"},{"id":16,"name":"Locomotive ID","value":"4039"},{"id":130,"name":"Impact","value":""},{"id":150,"name":"Time of Event (Mountain Time)","value":"06:51:11"},{"id":151,"name":"Denver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"%USERPROFILE%\AppData\Local\Temp\OnboardLogs"\RTDC4039\*4039*201612021*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"%USERPROFILE%\AppData\Local\Temp\OnboardLogs"\RTDC4039\*4039*201612021* &gt;&gt; 42706-slicedisagreementcheck.txt</v>
      </c>
    </row>
    <row r="31" spans="1:30" x14ac:dyDescent="0.25">
      <c r="A31" s="36">
        <v>42706.393460648149</v>
      </c>
      <c r="B31" s="31" t="s">
        <v>211</v>
      </c>
      <c r="C31" s="31" t="s">
        <v>440</v>
      </c>
      <c r="D31" s="31" t="s">
        <v>49</v>
      </c>
      <c r="E31" s="31" t="s">
        <v>197</v>
      </c>
      <c r="F31" s="47">
        <v>300</v>
      </c>
      <c r="G31" s="47">
        <v>457</v>
      </c>
      <c r="H31" s="47">
        <v>18970</v>
      </c>
      <c r="I31" s="47">
        <v>20311</v>
      </c>
      <c r="J31" s="31" t="s">
        <v>198</v>
      </c>
      <c r="K31" s="47">
        <v>21299</v>
      </c>
      <c r="L31" s="154" t="s">
        <v>50</v>
      </c>
      <c r="M31" s="155">
        <f t="shared" si="0"/>
        <v>521.66399999999999</v>
      </c>
      <c r="N31" s="156" t="str">
        <f>VLOOKUP(C31,'Trips&amp;Operators'!$C$1:$G$99999,5,FALSE)</f>
        <v>YORK EDGAR</v>
      </c>
      <c r="O31" s="182" t="s">
        <v>196</v>
      </c>
      <c r="P31" s="157"/>
      <c r="Q31" s="31"/>
      <c r="R31" s="100" t="str">
        <f>VLOOKUP(C31,'Train Runs'!$A$13:$AE$9982,31,0)</f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S31" s="103" t="str">
        <f>VLOOKUP(C31,'Train Runs'!$A$13:$AE$9982,22,0)</f>
        <v>https://search-rtdc-monitor-bjffxe2xuh6vdkpspy63sjmuny.us-east-1.es.amazonaws.com/_plugin/kibana/#/discover/Steve-Slow-Train-Analysis-(2080s-and-2083s)?_g=(refreshInterval:(display:Off,section:0,value:0),time:(from:'2016-12-02 07:58:10-700',mode:absolute,to:'2016-12-02 10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1" s="105" t="str">
        <f t="shared" si="1"/>
        <v>"C:\Program Files (x86)\AstroGrep\AstroGrep.exe" /spath="%USERPROFILE%\AppData\Local\Temp\OnboardLogs" /stypes="*4040*201612021*" /stext=" 16:.+((SYSTEM_STATE.+slice.+state.+changed )|(ment ac)|(multiple cpu faults)|(system.+state.+changed )|(\[timeout)|(PRM\|1\|D)|(kpr)|(kdp)|(\|lc)|(penalty))" /e /r /s</v>
      </c>
      <c r="U31" s="9" t="str">
        <f t="shared" si="2"/>
        <v>4040</v>
      </c>
      <c r="V31" s="36">
        <f t="shared" si="3"/>
        <v>42706.685127314813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{"issue":{"subject":"","project_id":79,"tracker_id":40,"status_id":1,"priority_id":2,"assigned_to_id":23,"start_date":"2016-12-02","description":"","custom_fields":[{"id":1,"name":"Subdivision","value":"NW"},{"id":4,"name":"Milepost","value":"2.1299"},{"id":17,"name":"Train ID","value":"813-02"},{"id":16,"name":"Locomotive ID","value":"4040"},{"id":130,"name":"Impact","value":""},{"id":150,"name":"Time of Event (Mountain Time)","value":"09:26:35"},{"id":151,"name":"Denver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"%USERPROFILE%\AppData\Local\Temp\OnboardLogs"\RTDC4040\*4040*201612021*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"%USERPROFILE%\AppData\Local\Temp\OnboardLogs"\RTDC4040\*4040*201612021* &gt;&gt; 42706-slicedisagreementcheck.txt</v>
      </c>
    </row>
    <row r="32" spans="1:30" x14ac:dyDescent="0.25">
      <c r="A32" s="36">
        <v>42706.333935185183</v>
      </c>
      <c r="B32" s="31" t="s">
        <v>291</v>
      </c>
      <c r="C32" s="31" t="s">
        <v>437</v>
      </c>
      <c r="D32" s="31" t="s">
        <v>49</v>
      </c>
      <c r="E32" s="31" t="s">
        <v>197</v>
      </c>
      <c r="F32" s="47">
        <v>300</v>
      </c>
      <c r="G32" s="47">
        <v>392</v>
      </c>
      <c r="H32" s="47">
        <v>38774</v>
      </c>
      <c r="I32" s="47">
        <v>39718</v>
      </c>
      <c r="J32" s="31" t="s">
        <v>198</v>
      </c>
      <c r="K32" s="47">
        <v>39716</v>
      </c>
      <c r="L32" s="154" t="s">
        <v>50</v>
      </c>
      <c r="M32" s="155">
        <f t="shared" si="0"/>
        <v>-1.056</v>
      </c>
      <c r="N32" s="156" t="str">
        <f>VLOOKUP(C32,'Trips&amp;Operators'!$C$1:$G$99999,5,FALSE)</f>
        <v>STRICKLAND EVAN</v>
      </c>
      <c r="O32" s="182" t="s">
        <v>196</v>
      </c>
      <c r="P32" s="157"/>
      <c r="Q32" s="31"/>
      <c r="R32" s="100" t="str">
        <f>VLOOKUP(C32,'Train Runs'!$A$13:$AE$9982,31,0)</f>
        <v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v>
      </c>
      <c r="S32" s="103" t="str">
        <f>VLOOKUP(C32,'Train Runs'!$A$13:$AE$9982,22,0)</f>
        <v>https://search-rtdc-monitor-bjffxe2xuh6vdkpspy63sjmuny.us-east-1.es.amazonaws.com/_plugin/kibana/#/discover/Steve-Slow-Train-Analysis-(2080s-and-2083s)?_g=(refreshInterval:(display:Off,section:0,value:0),time:(from:'2016-12-02 06:30:44-700',mode:absolute,to:'2016-12-02 09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2" s="105" t="str">
        <f t="shared" si="1"/>
        <v>"C:\Program Files (x86)\AstroGrep\AstroGrep.exe" /spath="%USERPROFILE%\AppData\Local\Temp\OnboardLogs" /stypes="*4016*201612021*" /stext=" 15:.+((SYSTEM_STATE.+slice.+state.+changed )|(ment ac)|(multiple cpu faults)|(system.+state.+changed )|(\[timeout)|(PRM\|1\|D)|(kpr)|(kdp)|(\|lc)|(penalty))" /e /r /s</v>
      </c>
      <c r="U32" s="9" t="str">
        <f t="shared" si="2"/>
        <v>4016</v>
      </c>
      <c r="V32" s="36">
        <f t="shared" si="3"/>
        <v>42706.625601851847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{"issue":{"subject":"","project_id":79,"tracker_id":40,"status_id":1,"priority_id":2,"assigned_to_id":23,"start_date":"2016-12-02","description":"","custom_fields":[{"id":1,"name":"Subdivision","value":"NW"},{"id":4,"name":"Milepost","value":"3.9716"},{"id":17,"name":"Train ID","value":"809-02"},{"id":16,"name":"Locomotive ID","value":"4016"},{"id":130,"name":"Impact","value":""},{"id":150,"name":"Time of Event (Mountain Time)","value":"08:00:52"},{"id":151,"name":"Denver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"%USERPROFILE%\AppData\Local\Temp\OnboardLogs"\RTDC4016\*4016*201612021*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"%USERPROFILE%\AppData\Local\Temp\OnboardLogs"\RTDC4016\*4016*201612021* &gt;&gt; 42706-slicedisagreementcheck.txt</v>
      </c>
    </row>
    <row r="33" spans="1:30" x14ac:dyDescent="0.25">
      <c r="A33" s="36">
        <v>42706.335069444445</v>
      </c>
      <c r="B33" s="31" t="s">
        <v>291</v>
      </c>
      <c r="C33" s="31" t="s">
        <v>437</v>
      </c>
      <c r="D33" s="31" t="s">
        <v>98</v>
      </c>
      <c r="E33" s="31" t="s">
        <v>197</v>
      </c>
      <c r="F33" s="47">
        <v>400</v>
      </c>
      <c r="G33" s="47">
        <v>450</v>
      </c>
      <c r="H33" s="47">
        <v>43758</v>
      </c>
      <c r="I33" s="47">
        <v>45221</v>
      </c>
      <c r="J33" s="31" t="s">
        <v>198</v>
      </c>
      <c r="K33" s="47">
        <v>41797</v>
      </c>
      <c r="L33" s="154" t="s">
        <v>50</v>
      </c>
      <c r="M33" s="155">
        <f t="shared" si="0"/>
        <v>-1807.8720000000001</v>
      </c>
      <c r="N33" s="156" t="str">
        <f>VLOOKUP(C33,'Trips&amp;Operators'!$C$1:$G$99999,5,FALSE)</f>
        <v>STRICKLAND EVAN</v>
      </c>
      <c r="O33" s="182" t="s">
        <v>196</v>
      </c>
      <c r="P33" s="157"/>
      <c r="Q33" s="31"/>
      <c r="R33" s="100" t="str">
        <f>VLOOKUP(C33,'Train Runs'!$A$13:$AE$9982,31,0)</f>
        <v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v>
      </c>
      <c r="S33" s="103" t="str">
        <f>VLOOKUP(C33,'Train Runs'!$A$13:$AE$9982,22,0)</f>
        <v>https://search-rtdc-monitor-bjffxe2xuh6vdkpspy63sjmuny.us-east-1.es.amazonaws.com/_plugin/kibana/#/discover/Steve-Slow-Train-Analysis-(2080s-and-2083s)?_g=(refreshInterval:(display:Off,section:0,value:0),time:(from:'2016-12-02 06:30:44-700',mode:absolute,to:'2016-12-02 09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3" s="105" t="str">
        <f t="shared" si="1"/>
        <v>"C:\Program Files (x86)\AstroGrep\AstroGrep.exe" /spath="%USERPROFILE%\AppData\Local\Temp\OnboardLogs" /stypes="*4016*201612021*" /stext=" 15:.+((SYSTEM_STATE.+slice.+state.+changed )|(ment ac)|(multiple cpu faults)|(system.+state.+changed )|(\[timeout)|(PRM\|1\|D)|(kpr)|(kdp)|(\|lc)|(penalty))" /e /r /s</v>
      </c>
      <c r="U33" s="9" t="str">
        <f t="shared" si="2"/>
        <v>4016</v>
      </c>
      <c r="V33" s="36">
        <f t="shared" si="3"/>
        <v>42706.626736111109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{"issue":{"subject":"","project_id":79,"tracker_id":40,"status_id":1,"priority_id":2,"assigned_to_id":23,"start_date":"2016-12-02","description":"","custom_fields":[{"id":1,"name":"Subdivision","value":"NW"},{"id":4,"name":"Milepost","value":"4.1797"},{"id":17,"name":"Train ID","value":"809-02"},{"id":16,"name":"Locomotive ID","value":"4016"},{"id":130,"name":"Impact","value":""},{"id":150,"name":"Time of Event (Mountain Time)","value":"08:02:30"},{"id":151,"name":"Denver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"%USERPROFILE%\AppData\Local\Temp\OnboardLogs"\RTDC4016\*4016*201612021*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"%USERPROFILE%\AppData\Local\Temp\OnboardLogs"\RTDC4016\*4016*201612021* &gt;&gt; 42706-slicedisagreementcheck.txt</v>
      </c>
    </row>
    <row r="34" spans="1:30" x14ac:dyDescent="0.25">
      <c r="A34" s="36">
        <v>42706.646377314813</v>
      </c>
      <c r="B34" s="31" t="s">
        <v>211</v>
      </c>
      <c r="C34" s="31" t="s">
        <v>451</v>
      </c>
      <c r="D34" s="31" t="s">
        <v>98</v>
      </c>
      <c r="E34" s="31" t="s">
        <v>197</v>
      </c>
      <c r="F34" s="47">
        <v>400</v>
      </c>
      <c r="G34" s="47">
        <v>451</v>
      </c>
      <c r="H34" s="47">
        <v>43723</v>
      </c>
      <c r="I34" s="47">
        <v>45055</v>
      </c>
      <c r="J34" s="31" t="s">
        <v>198</v>
      </c>
      <c r="K34" s="47">
        <v>41797</v>
      </c>
      <c r="L34" s="154" t="s">
        <v>50</v>
      </c>
      <c r="M34" s="155">
        <f t="shared" si="0"/>
        <v>-1720.2239999999999</v>
      </c>
      <c r="N34" s="156" t="str">
        <f>VLOOKUP(C34,'Trips&amp;Operators'!$C$1:$G$99999,5,FALSE)</f>
        <v>DAVIDSON DAVID</v>
      </c>
      <c r="O34" s="182" t="s">
        <v>196</v>
      </c>
      <c r="P34" s="157"/>
      <c r="Q34" s="31"/>
      <c r="R34" s="100" t="str">
        <f>VLOOKUP(C34,'Train Runs'!$A$13:$AE$9982,31,0)</f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S34" s="103" t="str">
        <f>VLOOKUP(C34,'Train Runs'!$A$13:$AE$9982,22,0)</f>
        <v>https://search-rtdc-monitor-bjffxe2xuh6vdkpspy63sjmuny.us-east-1.es.amazonaws.com/_plugin/kibana/#/discover/Steve-Slow-Train-Analysis-(2080s-and-2083s)?_g=(refreshInterval:(display:Off,section:0,value:0),time:(from:'2016-12-02 13:57:08-700',mode:absolute,to:'2016-12-02 16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4" s="105" t="str">
        <f t="shared" si="1"/>
        <v>"C:\Program Files (x86)\AstroGrep\AstroGrep.exe" /spath="%USERPROFILE%\AppData\Local\Temp\OnboardLogs" /stypes="*4040*201612022*" /stext=" 22:.+((SYSTEM_STATE.+slice.+state.+changed )|(ment ac)|(multiple cpu faults)|(system.+state.+changed )|(\[timeout)|(PRM\|1\|D)|(kpr)|(kdp)|(\|lc)|(penalty))" /e /r /s</v>
      </c>
      <c r="U34" s="9" t="str">
        <f t="shared" si="2"/>
        <v>4040</v>
      </c>
      <c r="V34" s="36">
        <f t="shared" si="3"/>
        <v>42706.938043981478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{"issue":{"subject":"","project_id":79,"tracker_id":40,"status_id":1,"priority_id":2,"assigned_to_id":23,"start_date":"2016-12-02","description":"","custom_fields":[{"id":1,"name":"Subdivision","value":"NW"},{"id":4,"name":"Milepost","value":"4.1797"},{"id":17,"name":"Train ID","value":"825-02"},{"id":16,"name":"Locomotive ID","value":"4040"},{"id":130,"name":"Impact","value":""},{"id":150,"name":"Time of Event (Mountain Time)","value":"15:30:47"},{"id":151,"name":"Denver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"%USERPROFILE%\AppData\Local\Temp\OnboardLogs"\RTDC4040\*4040*201612022*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"%USERPROFILE%\AppData\Local\Temp\OnboardLogs"\RTDC4040\*4040*201612022* &gt;&gt; 42706-slicedisagreementcheck.txt</v>
      </c>
    </row>
    <row r="35" spans="1:30" x14ac:dyDescent="0.25">
      <c r="A35" s="36">
        <v>42706.30128472222</v>
      </c>
      <c r="B35" s="31" t="s">
        <v>359</v>
      </c>
      <c r="C35" s="31" t="s">
        <v>435</v>
      </c>
      <c r="D35" s="31" t="s">
        <v>98</v>
      </c>
      <c r="E35" s="31" t="s">
        <v>197</v>
      </c>
      <c r="F35" s="47">
        <v>150</v>
      </c>
      <c r="G35" s="47">
        <v>201</v>
      </c>
      <c r="H35" s="47">
        <v>56650</v>
      </c>
      <c r="I35" s="47">
        <v>56260</v>
      </c>
      <c r="J35" s="31" t="s">
        <v>198</v>
      </c>
      <c r="K35" s="47">
        <v>59050</v>
      </c>
      <c r="L35" s="154" t="s">
        <v>51</v>
      </c>
      <c r="M35" s="155">
        <f t="shared" si="0"/>
        <v>-1473.12</v>
      </c>
      <c r="N35" s="156" t="str">
        <f>VLOOKUP(C35,'Trips&amp;Operators'!$C$1:$G$99999,5,FALSE)</f>
        <v>STRICKLAND EVAN</v>
      </c>
      <c r="O35" s="182" t="s">
        <v>196</v>
      </c>
      <c r="P35" s="157"/>
      <c r="Q35" s="31"/>
      <c r="R35" s="100" t="str">
        <f>VLOOKUP(C35,'Train Runs'!$A$13:$AE$9982,31,0)</f>
        <v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v>
      </c>
      <c r="S35" s="103" t="str">
        <f>VLOOKUP(C35,'Train Runs'!$A$13:$AE$9982,22,0)</f>
        <v>https://search-rtdc-monitor-bjffxe2xuh6vdkpspy63sjmuny.us-east-1.es.amazonaws.com/_plugin/kibana/#/discover/Steve-Slow-Train-Analysis-(2080s-and-2083s)?_g=(refreshInterval:(display:Off,section:0,value:0),time:(from:'2016-12-02 06:07:19-700',mode:absolute,to:'2016-12-02 08:27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5" s="105" t="str">
        <f t="shared" si="1"/>
        <v>"C:\Program Files (x86)\AstroGrep\AstroGrep.exe" /spath="%USERPROFILE%\AppData\Local\Temp\OnboardLogs" /stypes="*4015*201612021*" /stext=" 14:.+((SYSTEM_STATE.+slice.+state.+changed )|(ment ac)|(multiple cpu faults)|(system.+state.+changed )|(\[timeout)|(PRM\|1\|D)|(kpr)|(kdp)|(\|lc)|(penalty))" /e /r /s</v>
      </c>
      <c r="U35" s="9" t="str">
        <f t="shared" si="2"/>
        <v>4015</v>
      </c>
      <c r="V35" s="36">
        <f t="shared" si="3"/>
        <v>42706.592951388884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{"issue":{"subject":"","project_id":79,"tracker_id":40,"status_id":1,"priority_id":2,"assigned_to_id":23,"start_date":"2016-12-02","description":"","custom_fields":[{"id":1,"name":"Subdivision","value":"NW"},{"id":4,"name":"Milepost","value":"5.905"},{"id":17,"name":"Train ID","value":"806-02"},{"id":16,"name":"Locomotive ID","value":"4015"},{"id":130,"name":"Impact","value":""},{"id":150,"name":"Time of Event (Mountain Time)","value":"07:13:51"},{"id":151,"name":"Denver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"%USERPROFILE%\AppData\Local\Temp\OnboardLogs"\RTDC4015\*4015*201612021*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"%USERPROFILE%\AppData\Local\Temp\OnboardLogs"\RTDC4015\*4015*201612021* &gt;&gt; 42706-slicedisagreementcheck.txt</v>
      </c>
    </row>
    <row r="36" spans="1:30" x14ac:dyDescent="0.25">
      <c r="A36" s="36">
        <v>42706.28665509259</v>
      </c>
      <c r="B36" s="31" t="s">
        <v>213</v>
      </c>
      <c r="C36" s="31" t="s">
        <v>434</v>
      </c>
      <c r="D36" s="31" t="s">
        <v>49</v>
      </c>
      <c r="E36" s="31" t="s">
        <v>199</v>
      </c>
      <c r="F36" s="47">
        <v>0</v>
      </c>
      <c r="G36" s="47">
        <v>341</v>
      </c>
      <c r="H36" s="47">
        <v>8971</v>
      </c>
      <c r="I36" s="47">
        <v>8336</v>
      </c>
      <c r="J36" s="31" t="s">
        <v>200</v>
      </c>
      <c r="K36" s="47">
        <v>6799</v>
      </c>
      <c r="L36" s="154" t="s">
        <v>51</v>
      </c>
      <c r="M36" s="155">
        <f t="shared" si="0"/>
        <v>811.53599999999994</v>
      </c>
      <c r="N36" s="156" t="str">
        <f>VLOOKUP(C36,'Trips&amp;Operators'!$C$1:$G$99999,5,FALSE)</f>
        <v>YORK EDGAR</v>
      </c>
      <c r="O36" s="182" t="s">
        <v>196</v>
      </c>
      <c r="P36" s="157" t="s">
        <v>865</v>
      </c>
      <c r="Q36" s="31"/>
      <c r="R36" s="100" t="str">
        <f>VLOOKUP(C36,'Train Runs'!$A$13:$AE$9982,31,0)</f>
        <v>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 &amp; 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</v>
      </c>
      <c r="S36" s="103" t="str">
        <f>VLOOKUP(C36,'Train Runs'!$A$13:$AE$9982,22,0)</f>
        <v>https://search-rtdc-monitor-bjffxe2xuh6vdkpspy63sjmuny.us-east-1.es.amazonaws.com/_plugin/kibana/#/discover/Steve-Slow-Train-Analysis-(2080s-and-2083s)?_g=(refreshInterval:(display:Off,section:0,value:0),time:(from:'2016-12-02 05:39:37-700',mode:absolute,to:'2016-12-02 07:57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6" s="105" t="str">
        <f t="shared" si="1"/>
        <v>"C:\Program Files (x86)\AstroGrep\AstroGrep.exe" /spath="%USERPROFILE%\AppData\Local\Temp\OnboardLogs" /stypes="*4039*201612021*" /stext=" 13:.+((SYSTEM_STATE.+slice.+state.+changed )|(ment ac)|(multiple cpu faults)|(system.+state.+changed )|(\[timeout)|(PRM\|1\|D)|(kpr)|(kdp)|(\|lc)|(penalty))" /e /r /s</v>
      </c>
      <c r="U36" s="9" t="str">
        <f t="shared" si="2"/>
        <v>4039</v>
      </c>
      <c r="V36" s="36">
        <f t="shared" si="3"/>
        <v>42706.578321759254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{"issue":{"subject":"RESTRICTED aspect","project_id":79,"tracker_id":40,"status_id":1,"priority_id":2,"assigned_to_id":23,"start_date":"2016-12-02","description":"","custom_fields":[{"id":1,"name":"Subdivision","value":"NW"},{"id":4,"name":"Milepost","value":"0.6799"},{"id":17,"name":"Train ID","value":"804-02"},{"id":16,"name":"Locomotive ID","value":"4039"},{"id":130,"name":"Impact","value":""},{"id":150,"name":"Time of Event (Mountain Time)","value":"06:52:47"},{"id":151,"name":"Denver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"%USERPROFILE%\AppData\Local\Temp\OnboardLogs"\RTDC4039\*4039*201612021*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"%USERPROFILE%\AppData\Local\Temp\OnboardLogs"\RTDC4039\*4039*201612021* &gt;&gt; 42706-slicedisagreementcheck.txt</v>
      </c>
    </row>
    <row r="37" spans="1:30" x14ac:dyDescent="0.25">
      <c r="A37" s="36">
        <v>42706.30709490741</v>
      </c>
      <c r="B37" s="31" t="s">
        <v>359</v>
      </c>
      <c r="C37" s="31" t="s">
        <v>435</v>
      </c>
      <c r="D37" s="31" t="s">
        <v>98</v>
      </c>
      <c r="E37" s="31" t="s">
        <v>199</v>
      </c>
      <c r="F37" s="47">
        <v>0</v>
      </c>
      <c r="G37" s="47">
        <v>94</v>
      </c>
      <c r="H37" s="47">
        <v>11004</v>
      </c>
      <c r="I37" s="47">
        <v>10723</v>
      </c>
      <c r="J37" s="31" t="s">
        <v>200</v>
      </c>
      <c r="K37" s="47">
        <v>11016</v>
      </c>
      <c r="L37" s="154" t="s">
        <v>51</v>
      </c>
      <c r="M37" s="155">
        <f t="shared" si="0"/>
        <v>-154.70400000000001</v>
      </c>
      <c r="N37" s="156" t="str">
        <f>VLOOKUP(C37,'Trips&amp;Operators'!$C$1:$G$99999,5,FALSE)</f>
        <v>STRICKLAND EVAN</v>
      </c>
      <c r="O37" s="182" t="s">
        <v>196</v>
      </c>
      <c r="P37" s="157" t="s">
        <v>866</v>
      </c>
      <c r="Q37" s="31"/>
      <c r="R37" s="100" t="str">
        <f>VLOOKUP(C37,'Train Runs'!$A$13:$AE$9982,31,0)</f>
        <v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v>
      </c>
      <c r="S37" s="103" t="str">
        <f>VLOOKUP(C37,'Train Runs'!$A$13:$AE$9982,22,0)</f>
        <v>https://search-rtdc-monitor-bjffxe2xuh6vdkpspy63sjmuny.us-east-1.es.amazonaws.com/_plugin/kibana/#/discover/Steve-Slow-Train-Analysis-(2080s-and-2083s)?_g=(refreshInterval:(display:Off,section:0,value:0),time:(from:'2016-12-02 06:07:19-700',mode:absolute,to:'2016-12-02 08:27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7" s="105" t="str">
        <f t="shared" si="1"/>
        <v>"C:\Program Files (x86)\AstroGrep\AstroGrep.exe" /spath="%USERPROFILE%\AppData\Local\Temp\OnboardLogs" /stypes="*4015*201612021*" /stext=" 14:.+((SYSTEM_STATE.+slice.+state.+changed )|(ment ac)|(multiple cpu faults)|(system.+state.+changed )|(\[timeout)|(PRM\|1\|D)|(kpr)|(kdp)|(\|lc)|(penalty))" /e /r /s</v>
      </c>
      <c r="U37" s="9" t="str">
        <f t="shared" si="2"/>
        <v>4015</v>
      </c>
      <c r="V37" s="36">
        <f t="shared" si="3"/>
        <v>42706.598761574074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{"issue":{"subject":"STOP aspect","project_id":79,"tracker_id":40,"status_id":1,"priority_id":2,"assigned_to_id":23,"start_date":"2016-12-02","description":"","custom_fields":[{"id":1,"name":"Subdivision","value":"NW"},{"id":4,"name":"Milepost","value":"1.1016"},{"id":17,"name":"Train ID","value":"806-02"},{"id":16,"name":"Locomotive ID","value":"4015"},{"id":130,"name":"Impact","value":""},{"id":150,"name":"Time of Event (Mountain Time)","value":"07:22:13"},{"id":151,"name":"Denver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"%USERPROFILE%\AppData\Local\Temp\OnboardLogs"\RTDC4015\*4015*201612021*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"%USERPROFILE%\AppData\Local\Temp\OnboardLogs"\RTDC4015\*4015*201612021* &gt;&gt; 42706-slicedisagreementcheck.txt</v>
      </c>
    </row>
    <row r="38" spans="1:30" x14ac:dyDescent="0.25">
      <c r="A38" s="36">
        <v>42706.685127314813</v>
      </c>
      <c r="B38" s="31" t="s">
        <v>359</v>
      </c>
      <c r="C38" s="31" t="s">
        <v>453</v>
      </c>
      <c r="D38" s="31" t="s">
        <v>49</v>
      </c>
      <c r="E38" s="31" t="s">
        <v>201</v>
      </c>
      <c r="F38" s="47">
        <v>0</v>
      </c>
      <c r="G38" s="47">
        <v>38</v>
      </c>
      <c r="H38" s="47">
        <v>708</v>
      </c>
      <c r="I38" s="47">
        <v>663</v>
      </c>
      <c r="J38" s="31" t="s">
        <v>202</v>
      </c>
      <c r="K38" s="47">
        <v>575</v>
      </c>
      <c r="L38" s="154" t="s">
        <v>51</v>
      </c>
      <c r="M38" s="155">
        <f t="shared" si="0"/>
        <v>46.463999999999999</v>
      </c>
      <c r="N38" s="156" t="str">
        <f>VLOOKUP(C38,'Trips&amp;Operators'!$C$1:$G$99999,5,FALSE)</f>
        <v>NEWELL JAMES</v>
      </c>
      <c r="O38" s="182" t="s">
        <v>240</v>
      </c>
      <c r="P38" s="157" t="s">
        <v>965</v>
      </c>
      <c r="Q38" s="31"/>
      <c r="R38" s="100" t="str">
        <f>VLOOKUP(C38,'Train Runs'!$A$13:$AE$9982,31,0)</f>
        <v>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 &amp; 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</v>
      </c>
      <c r="S38" s="103" t="str">
        <f>VLOOKUP(C38,'Train Runs'!$A$13:$AE$9982,22,0)</f>
        <v>https://search-rtdc-monitor-bjffxe2xuh6vdkpspy63sjmuny.us-east-1.es.amazonaws.com/_plugin/kibana/#/discover/Steve-Slow-Train-Analysis-(2080s-and-2083s)?_g=(refreshInterval:(display:Off,section:0,value:0),time:(from:'2016-12-02 15:06:24-700',mode:absolute,to:'2016-12-02 17:26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8" s="105" t="str">
        <f t="shared" si="1"/>
        <v>"C:\Program Files (x86)\AstroGrep\AstroGrep.exe" /spath="%USERPROFILE%\AppData\Local\Temp\OnboardLogs" /stypes="*4015*201612022*" /stext=" 23:.+((SYSTEM_STATE.+slice.+state.+changed )|(ment ac)|(multiple cpu faults)|(system.+state.+changed )|(\[timeout)|(PRM\|1\|D)|(kpr)|(kdp)|(\|lc)|(penalty))" /e /r /s</v>
      </c>
      <c r="U38" s="9" t="str">
        <f t="shared" si="2"/>
        <v>4015</v>
      </c>
      <c r="V38" s="36">
        <f t="shared" si="3"/>
        <v>42706.976793981477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{"issue":{"subject":"Banner without braking","project_id":79,"tracker_id":40,"status_id":1,"priority_id":2,"assigned_to_id":23,"start_date":"2016-12-02","description":"CPU1 commanded, others did not","custom_fields":[{"id":1,"name":"Subdivision","value":"NW"},{"id":4,"name":"Milepost","value":"0.0575"},{"id":17,"name":"Train ID","value":"828-02"},{"id":16,"name":"Locomotive ID","value":"4015"},{"id":130,"name":"Impact","value":"Others"},{"id":150,"name":"Time of Event (Mountain Time)","value":"16:26:35"},{"id":151,"name":"Denver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38" s="53" t="s">
        <v>967</v>
      </c>
      <c r="AA38" s="53" t="s">
        <v>137</v>
      </c>
      <c r="AB38" s="53" t="s">
        <v>174</v>
      </c>
      <c r="AC38" s="138" t="str">
        <f t="shared" si="7"/>
        <v>grep -hSE -A100 "Enforcement Action" "%USERPROFILE%\AppData\Local\Temp\OnboardLogs"\RTDC4015\*4015*201612022*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"%USERPROFILE%\AppData\Local\Temp\OnboardLogs"\RTDC4015\*4015*201612022* &gt;&gt; 42706-slicedisagreementcheck.txt</v>
      </c>
    </row>
    <row r="39" spans="1:30" x14ac:dyDescent="0.25">
      <c r="A39" s="36">
        <v>42706.338587962964</v>
      </c>
      <c r="B39" s="31" t="s">
        <v>291</v>
      </c>
      <c r="C39" s="31" t="s">
        <v>437</v>
      </c>
      <c r="D39" s="31" t="s">
        <v>49</v>
      </c>
      <c r="E39" s="31" t="s">
        <v>201</v>
      </c>
      <c r="F39" s="47">
        <v>0</v>
      </c>
      <c r="G39" s="47">
        <v>112</v>
      </c>
      <c r="H39" s="47">
        <v>58542</v>
      </c>
      <c r="I39" s="47">
        <v>58952</v>
      </c>
      <c r="J39" s="31" t="s">
        <v>202</v>
      </c>
      <c r="K39" s="47">
        <v>59048</v>
      </c>
      <c r="L39" s="154" t="s">
        <v>50</v>
      </c>
      <c r="M39" s="155">
        <f t="shared" si="0"/>
        <v>50.688000000000002</v>
      </c>
      <c r="N39" s="156" t="str">
        <f>VLOOKUP(C39,'Trips&amp;Operators'!$C$1:$G$99999,5,FALSE)</f>
        <v>STRICKLAND EVAN</v>
      </c>
      <c r="O39" s="182" t="s">
        <v>240</v>
      </c>
      <c r="P39" s="157" t="s">
        <v>965</v>
      </c>
      <c r="Q39" s="31"/>
      <c r="R39" s="100" t="str">
        <f>VLOOKUP(C39,'Train Runs'!$A$13:$AE$9982,31,0)</f>
        <v>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 &amp; 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</v>
      </c>
      <c r="S39" s="103" t="str">
        <f>VLOOKUP(C39,'Train Runs'!$A$13:$AE$9982,22,0)</f>
        <v>https://search-rtdc-monitor-bjffxe2xuh6vdkpspy63sjmuny.us-east-1.es.amazonaws.com/_plugin/kibana/#/discover/Steve-Slow-Train-Analysis-(2080s-and-2083s)?_g=(refreshInterval:(display:Off,section:0,value:0),time:(from:'2016-12-02 06:30:44-700',mode:absolute,to:'2016-12-02 09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9" s="105" t="str">
        <f t="shared" si="1"/>
        <v>"C:\Program Files (x86)\AstroGrep\AstroGrep.exe" /spath="%USERPROFILE%\AppData\Local\Temp\OnboardLogs" /stypes="*4016*201612021*" /stext=" 15:.+((SYSTEM_STATE.+slice.+state.+changed )|(ment ac)|(multiple cpu faults)|(system.+state.+changed )|(\[timeout)|(PRM\|1\|D)|(kpr)|(kdp)|(\|lc)|(penalty))" /e /r /s</v>
      </c>
      <c r="U39" s="9" t="str">
        <f t="shared" si="2"/>
        <v>4016</v>
      </c>
      <c r="V39" s="36">
        <f t="shared" si="3"/>
        <v>42706.630254629628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{"issue":{"subject":"Banner without braking","project_id":79,"tracker_id":40,"status_id":1,"priority_id":2,"assigned_to_id":23,"start_date":"2016-12-02","description":"CPU2 commanded, others did not","custom_fields":[{"id":1,"name":"Subdivision","value":"NW"},{"id":4,"name":"Milepost","value":"5.9048"},{"id":17,"name":"Train ID","value":"809-02"},{"id":16,"name":"Locomotive ID","value":"4016"},{"id":130,"name":"Impact","value":"Others"},{"id":150,"name":"Time of Event (Mountain Time)","value":"08:07:34"},{"id":151,"name":"Denver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39" s="53" t="s">
        <v>966</v>
      </c>
      <c r="AA39" s="53" t="s">
        <v>137</v>
      </c>
      <c r="AB39" s="53" t="s">
        <v>174</v>
      </c>
      <c r="AC39" s="138" t="str">
        <f t="shared" si="7"/>
        <v>grep -hSE -A100 "Enforcement Action" "%USERPROFILE%\AppData\Local\Temp\OnboardLogs"\RTDC4016\*4016*201612021*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"%USERPROFILE%\AppData\Local\Temp\OnboardLogs"\RTDC4016\*4016*201612021* &gt;&gt; 42706-slicedisagreementcheck.txt</v>
      </c>
    </row>
    <row r="40" spans="1:30" x14ac:dyDescent="0.25">
      <c r="A40" s="36">
        <v>42706.649930555555</v>
      </c>
      <c r="B40" s="31" t="s">
        <v>211</v>
      </c>
      <c r="C40" s="31" t="s">
        <v>451</v>
      </c>
      <c r="D40" s="31" t="s">
        <v>49</v>
      </c>
      <c r="E40" s="31" t="s">
        <v>201</v>
      </c>
      <c r="F40" s="47">
        <v>0</v>
      </c>
      <c r="G40" s="47">
        <v>31</v>
      </c>
      <c r="H40" s="47">
        <v>58965</v>
      </c>
      <c r="I40" s="47">
        <v>58978</v>
      </c>
      <c r="J40" s="31" t="s">
        <v>202</v>
      </c>
      <c r="K40" s="47">
        <v>59058</v>
      </c>
      <c r="L40" s="154" t="s">
        <v>50</v>
      </c>
      <c r="M40" s="155">
        <f t="shared" si="0"/>
        <v>42.24</v>
      </c>
      <c r="N40" s="156" t="str">
        <f>VLOOKUP(C40,'Trips&amp;Operators'!$C$1:$G$99999,5,FALSE)</f>
        <v>DAVIDSON DAVID</v>
      </c>
      <c r="O40" s="182" t="s">
        <v>196</v>
      </c>
      <c r="P40" s="157"/>
      <c r="Q40" s="31"/>
      <c r="R40" s="100" t="str">
        <f>VLOOKUP(C40,'Train Runs'!$A$13:$AE$9982,31,0)</f>
        <v>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 &amp; 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</v>
      </c>
      <c r="S40" s="103" t="str">
        <f>VLOOKUP(C40,'Train Runs'!$A$13:$AE$9982,22,0)</f>
        <v>https://search-rtdc-monitor-bjffxe2xuh6vdkpspy63sjmuny.us-east-1.es.amazonaws.com/_plugin/kibana/#/discover/Steve-Slow-Train-Analysis-(2080s-and-2083s)?_g=(refreshInterval:(display:Off,section:0,value:0),time:(from:'2016-12-02 13:57:08-700',mode:absolute,to:'2016-12-02 16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0" s="105" t="str">
        <f t="shared" si="1"/>
        <v>"C:\Program Files (x86)\AstroGrep\AstroGrep.exe" /spath="%USERPROFILE%\AppData\Local\Temp\OnboardLogs" /stypes="*4040*201612022*" /stext=" 22:.+((SYSTEM_STATE.+slice.+state.+changed )|(ment ac)|(multiple cpu faults)|(system.+state.+changed )|(\[timeout)|(PRM\|1\|D)|(kpr)|(kdp)|(\|lc)|(penalty))" /e /r /s</v>
      </c>
      <c r="U40" s="9" t="str">
        <f t="shared" si="2"/>
        <v>4040</v>
      </c>
      <c r="V40" s="36">
        <f t="shared" si="3"/>
        <v>42706.94159722222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{"issue":{"subject":"","project_id":79,"tracker_id":40,"status_id":1,"priority_id":2,"assigned_to_id":23,"start_date":"2016-12-02","description":"","custom_fields":[{"id":1,"name":"Subdivision","value":"NW"},{"id":4,"name":"Milepost","value":"5.9058"},{"id":17,"name":"Train ID","value":"825-02"},{"id":16,"name":"Locomotive ID","value":"4040"},{"id":130,"name":"Impact","value":""},{"id":150,"name":"Time of Event (Mountain Time)","value":"15:35:54"},{"id":151,"name":"Denver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"%USERPROFILE%\AppData\Local\Temp\OnboardLogs"\RTDC4040\*4040*201612022*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"%USERPROFILE%\AppData\Local\Temp\OnboardLogs"\RTDC4040\*4040*201612022* &gt;&gt; 42706-slicedisagreementcheck.txt</v>
      </c>
    </row>
    <row r="41" spans="1:30" x14ac:dyDescent="0.25">
      <c r="A41" s="36">
        <v>42706.461157407408</v>
      </c>
      <c r="B41" s="31" t="s">
        <v>442</v>
      </c>
      <c r="C41" s="31" t="s">
        <v>443</v>
      </c>
      <c r="D41" s="31" t="s">
        <v>49</v>
      </c>
      <c r="E41" s="31" t="s">
        <v>199</v>
      </c>
      <c r="F41" s="47">
        <v>0</v>
      </c>
      <c r="G41" s="47">
        <v>106</v>
      </c>
      <c r="H41" s="47">
        <v>7416</v>
      </c>
      <c r="I41" s="47">
        <v>7273</v>
      </c>
      <c r="J41" s="31" t="s">
        <v>200</v>
      </c>
      <c r="K41" s="47">
        <v>6799</v>
      </c>
      <c r="L41" s="154" t="s">
        <v>51</v>
      </c>
      <c r="M41" s="155">
        <f t="shared" si="0"/>
        <v>250.27199999999999</v>
      </c>
      <c r="N41" s="156" t="str">
        <f>VLOOKUP(C41,'Trips&amp;Operators'!$C$1:$G$99999,5,FALSE)</f>
        <v>SMITH MICHAEL</v>
      </c>
      <c r="O41" s="182" t="s">
        <v>196</v>
      </c>
      <c r="P41" s="157"/>
      <c r="Q41" s="31"/>
      <c r="R41" s="100" t="str">
        <f>VLOOKUP(C41,'Train Runs'!$A$13:$AE$9982,31,0)</f>
        <v>aws s3 cp s3://rtdc.mdm.uploadarchive.raw/RTDC4054/ "%USERPROFILE%\AppData\Local\Temp\OnboardLogs"\RTDC4054\2016-12-02 --exclude "*" --recursive --include "*20161202*" &amp; "%USERPROFILE%\Documents\GitHub\mrs-test-scripts\Headless Mode &amp; Sideloading\WalkAndUnGZ.bat" "%USERPROFILE%\AppData\Local\Temp\OnboardLogs"\RTDC4054\2016-12-02 &amp; aws s3 cp s3://rtdc.mdm.uploadarchive.raw/RTDC4054/ "%USERPROFILE%\AppData\Local\Temp\OnboardLogs"\RTDC4054\2016-12-03 --exclude "*" --recursive --include "*20161203*" &amp; "%USERPROFILE%\Documents\GitHub\mrs-test-scripts\Headless Mode &amp; Sideloading\WalkAndUnGZ.bat" "%USERPROFILE%\AppData\Local\Temp\OnboardLogs"\RTDC4054\2016-12-03</v>
      </c>
      <c r="S41" s="103" t="str">
        <f>VLOOKUP(C41,'Train Runs'!$A$13:$AE$9982,22,0)</f>
        <v>https://search-rtdc-monitor-bjffxe2xuh6vdkpspy63sjmuny.us-east-1.es.amazonaws.com/_plugin/kibana/#/discover/Steve-Slow-Train-Analysis-(2080s-and-2083s)?_g=(refreshInterval:(display:Off,section:0,value:0),time:(from:'2016-12-02 09:53:54-700',mode:absolute,to:'2016-12-02 12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1" s="105" t="str">
        <f t="shared" si="1"/>
        <v>"C:\Program Files (x86)\AstroGrep\AstroGrep.exe" /spath="%USERPROFILE%\AppData\Local\Temp\OnboardLogs" /stypes="*4054*201612021*" /stext=" 18:.+((SYSTEM_STATE.+slice.+state.+changed )|(ment ac)|(multiple cpu faults)|(system.+state.+changed )|(\[timeout)|(PRM\|1\|D)|(kpr)|(kdp)|(\|lc)|(penalty))" /e /r /s</v>
      </c>
      <c r="U41" s="9" t="str">
        <f t="shared" si="2"/>
        <v>4054</v>
      </c>
      <c r="V41" s="36">
        <f t="shared" si="3"/>
        <v>42706.752824074072</v>
      </c>
      <c r="W41" s="50" t="str">
        <f t="shared" si="4"/>
        <v>Other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{"issue":{"subject":"","project_id":79,"tracker_id":40,"status_id":1,"priority_id":2,"assigned_to_id":23,"start_date":"2016-12-02","description":"","custom_fields":[{"id":1,"name":"Subdivision","value":"Other"},{"id":4,"name":"Milepost","value":"0.6799"},{"id":17,"name":"Train ID","value":"52-02"},{"id":16,"name":"Locomotive ID","value":"4054"},{"id":130,"name":"Impact","value":""},{"id":150,"name":"Time of Event (Mountain Time)","value":"11:04:04"},{"id":151,"name":"Denver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"%USERPROFILE%\AppData\Local\Temp\OnboardLogs"\RTDC4054\*4054*201612021*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"%USERPROFILE%\AppData\Local\Temp\OnboardLogs"\RTDC4054\*4054*201612021* &gt;&gt; 42706-slicedisagreementcheck.txt</v>
      </c>
    </row>
    <row r="42" spans="1:30" x14ac:dyDescent="0.25">
      <c r="A42" s="36">
        <v>42707.052025462966</v>
      </c>
      <c r="B42" s="31" t="s">
        <v>220</v>
      </c>
      <c r="C42" s="31" t="s">
        <v>461</v>
      </c>
      <c r="D42" s="31" t="s">
        <v>98</v>
      </c>
      <c r="E42" s="31" t="s">
        <v>317</v>
      </c>
      <c r="F42" s="47">
        <v>100</v>
      </c>
      <c r="G42" s="47">
        <v>152</v>
      </c>
      <c r="H42" s="47">
        <v>11704</v>
      </c>
      <c r="I42" s="47">
        <v>11981</v>
      </c>
      <c r="J42" s="31" t="s">
        <v>315</v>
      </c>
      <c r="K42" s="47">
        <v>10701</v>
      </c>
      <c r="L42" s="154" t="s">
        <v>50</v>
      </c>
      <c r="M42" s="155">
        <f t="shared" si="0"/>
        <v>-675.84</v>
      </c>
      <c r="N42" s="156" t="str">
        <f>VLOOKUP(C42,'Trips&amp;Operators'!$C$1:$G$99999,5,FALSE)</f>
        <v>YANAI IAN</v>
      </c>
      <c r="O42" s="182" t="s">
        <v>196</v>
      </c>
      <c r="P42" s="157"/>
      <c r="Q42" s="31"/>
      <c r="R42" s="100" t="str">
        <f>VLOOKUP(C42,'Train Runs'!$A$13:$AE$9982,31,0)</f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S42" s="103" t="str">
        <f>VLOOKUP(C42,'Train Runs'!$A$13:$AE$9982,22,0)</f>
        <v>https://search-rtdc-monitor-bjffxe2xuh6vdkpspy63sjmuny.us-east-1.es.amazonaws.com/_plugin/kibana/#/discover/Steve-Slow-Train-Analysis-(2080s-and-2083s)?_g=(refreshInterval:(display:Off,section:0,value:0),time:(from:'2016-12-03 00:08:40-700',mode:absolute,to:'1969-12-31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42" s="105" t="str">
        <f t="shared" si="1"/>
        <v>"C:\Program Files (x86)\AstroGrep\AstroGrep.exe" /spath="%USERPROFILE%\AppData\Local\Temp\OnboardLogs" /stypes="*4022*201612030*" /stext=" 08:.+((SYSTEM_STATE.+slice.+state.+changed )|(ment ac)|(multiple cpu faults)|(system.+state.+changed )|(\[timeout)|(PRM\|1\|D)|(kpr)|(kdp)|(\|lc)|(penalty))" /e /r /s</v>
      </c>
      <c r="U42" s="9" t="str">
        <f t="shared" si="2"/>
        <v>4022</v>
      </c>
      <c r="V42" s="36">
        <f t="shared" si="3"/>
        <v>42707.343692129631</v>
      </c>
      <c r="W42" s="50" t="str">
        <f t="shared" si="4"/>
        <v>Other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{"issue":{"subject":"","project_id":79,"tracker_id":40,"status_id":1,"priority_id":2,"assigned_to_id":23,"start_date":"2016-12-03","description":"","custom_fields":[{"id":1,"name":"Subdivision","value":"Other"},{"id":4,"name":"Milepost","value":"1.0701"},{"id":17,"name":"Train ID","value":"309-02"},{"id":16,"name":"Locomotive ID","value":"4022"},{"id":130,"name":"Impact","value":""},{"id":150,"name":"Time of Event (Mountain Time)","value":"01:14:55"},{"id":151,"name":"Denver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"%USERPROFILE%\AppData\Local\Temp\OnboardLogs"\RTDC4022\*4022*201612030*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"%USERPROFILE%\AppData\Local\Temp\OnboardLogs"\RTDC4022\*4022*201612030* &gt;&gt; 42706-slicedisagreementcheck.txt</v>
      </c>
    </row>
    <row r="43" spans="1:30" x14ac:dyDescent="0.25">
      <c r="A43" s="36">
        <v>42706.75371527778</v>
      </c>
      <c r="B43" s="31" t="s">
        <v>442</v>
      </c>
      <c r="C43" s="31" t="s">
        <v>455</v>
      </c>
      <c r="D43" s="31" t="s">
        <v>49</v>
      </c>
      <c r="E43" s="31" t="s">
        <v>201</v>
      </c>
      <c r="F43" s="47">
        <v>0</v>
      </c>
      <c r="G43" s="47">
        <v>26</v>
      </c>
      <c r="H43" s="47">
        <v>50</v>
      </c>
      <c r="I43" s="47">
        <v>19</v>
      </c>
      <c r="J43" s="31" t="s">
        <v>202</v>
      </c>
      <c r="K43" s="47">
        <v>1</v>
      </c>
      <c r="L43" s="154" t="s">
        <v>51</v>
      </c>
      <c r="M43" s="155">
        <f t="shared" si="0"/>
        <v>9.5039999999999996</v>
      </c>
      <c r="N43" s="156" t="str">
        <f>VLOOKUP(C43,'Trips&amp;Operators'!$C$1:$G$99999,5,FALSE)</f>
        <v>CHANDLER KELVIN</v>
      </c>
      <c r="O43" s="182" t="s">
        <v>196</v>
      </c>
      <c r="P43" s="157"/>
      <c r="Q43" s="31"/>
      <c r="R43" s="100" t="str">
        <f>VLOOKUP(C43,'Train Runs'!$A$13:$AE$9982,31,0)</f>
        <v>aws s3 cp s3://rtdc.mdm.uploadarchive.raw/RTDC4054/ "%USERPROFILE%\AppData\Local\Temp\OnboardLogs"\RTDC4054\2016-12-02 --exclude "*" --recursive --include "*20161202*" &amp; "%USERPROFILE%\Documents\GitHub\mrs-test-scripts\Headless Mode &amp; Sideloading\WalkAndUnGZ.bat" "%USERPROFILE%\AppData\Local\Temp\OnboardLogs"\RTDC4054\2016-12-02 &amp; aws s3 cp s3://rtdc.mdm.uploadarchive.raw/RTDC4054/ "%USERPROFILE%\AppData\Local\Temp\OnboardLogs"\RTDC4054\2016-12-03 --exclude "*" --recursive --include "*20161203*" &amp; "%USERPROFILE%\Documents\GitHub\mrs-test-scripts\Headless Mode &amp; Sideloading\WalkAndUnGZ.bat" "%USERPROFILE%\AppData\Local\Temp\OnboardLogs"\RTDC4054\2016-12-03</v>
      </c>
      <c r="S43" s="103" t="str">
        <f>VLOOKUP(C43,'Train Runs'!$A$13:$AE$9982,22,0)</f>
        <v>https://search-rtdc-monitor-bjffxe2xuh6vdkpspy63sjmuny.us-east-1.es.amazonaws.com/_plugin/kibana/#/discover/Steve-Slow-Train-Analysis-(2080s-and-2083s)?_g=(refreshInterval:(display:Off,section:0,value:0),time:(from:'2016-12-02 16:42:04-700',mode:absolute,to:'2016-12-02 19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3" s="105" t="str">
        <f t="shared" si="1"/>
        <v>"C:\Program Files (x86)\AstroGrep\AstroGrep.exe" /spath="%USERPROFILE%\AppData\Local\Temp\OnboardLogs" /stypes="*4054*201612030*" /stext=" 01:.+((SYSTEM_STATE.+slice.+state.+changed )|(ment ac)|(multiple cpu faults)|(system.+state.+changed )|(\[timeout)|(PRM\|1\|D)|(kpr)|(kdp)|(\|lc)|(penalty))" /e /r /s</v>
      </c>
      <c r="U43" s="9" t="str">
        <f t="shared" si="2"/>
        <v>4054</v>
      </c>
      <c r="V43" s="36">
        <f t="shared" si="3"/>
        <v>42707.045381944445</v>
      </c>
      <c r="W43" s="50" t="str">
        <f t="shared" si="4"/>
        <v>Other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{"issue":{"subject":"","project_id":79,"tracker_id":40,"status_id":1,"priority_id":2,"assigned_to_id":23,"start_date":"2016-12-02","description":"","custom_fields":[{"id":1,"name":"Subdivision","value":"Other"},{"id":4,"name":"Milepost","value":"0.0001"},{"id":17,"name":"Train ID","value":"68-02"},{"id":16,"name":"Locomotive ID","value":"4054"},{"id":130,"name":"Impact","value":""},{"id":150,"name":"Time of Event (Mountain Time)","value":"18:05:21"},{"id":151,"name":"Denver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"%USERPROFILE%\AppData\Local\Temp\OnboardLogs"\RTDC4054\*4054*201612030*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"%USERPROFILE%\AppData\Local\Temp\OnboardLogs"\RTDC4054\*4054*201612030* &gt;&gt; 42706-slicedisagreementcheck.txt</v>
      </c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</sheetData>
  <autoFilter ref="A6:AC45">
    <sortState ref="A7:AC46">
      <sortCondition ref="V6:V46"/>
    </sortState>
  </autoFilter>
  <sortState ref="A7:AD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5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"/>
  <sheetViews>
    <sheetView workbookViewId="0">
      <selection activeCell="A3" sqref="A3:XFD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2016-12-02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-02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3" s="31" t="e">
        <f>VLOOKUP(B3,'Train Runs'!$A$13:$A$99979,1,FALSE)</f>
        <v>#N/A</v>
      </c>
      <c r="K3" s="31" t="e">
        <f>IF(VLOOKUP(A3,$K$38:$K$61,1,FALSE),"Cancelled")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-02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:I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4" s="31" t="e">
        <f>VLOOKUP(B4,'Train Runs'!$A$13:$A$99979,1,FALSE)</f>
        <v>#N/A</v>
      </c>
      <c r="K4" s="31" t="e">
        <f t="shared" ref="K4:K8" si="2">IF(VLOOKUP(A4,$K$38:$K$61,1,FALSE),"Cancelled")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-02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5" s="31" t="e">
        <f>VLOOKUP(B5,'Train Runs'!$A$13:$A$99979,1,FALSE)</f>
        <v>#N/A</v>
      </c>
      <c r="K5" s="31" t="e">
        <f t="shared" si="2"/>
        <v>#N/A</v>
      </c>
    </row>
    <row r="6" spans="1:11" x14ac:dyDescent="0.25">
      <c r="A6" s="171"/>
      <c r="B6" s="47" t="str">
        <f>A6&amp;"-"&amp;IF(DAY(Variables!$A$2)&lt;10,0,"")&amp;DAY(Variables!$A$2)</f>
        <v>-02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6" s="31" t="e">
        <f>VLOOKUP(B6,'Train Runs'!$A$13:$A$99979,1,FALSE)</f>
        <v>#N/A</v>
      </c>
      <c r="K6" s="31" t="e">
        <f t="shared" si="2"/>
        <v>#N/A</v>
      </c>
    </row>
    <row r="7" spans="1:11" x14ac:dyDescent="0.25">
      <c r="A7" s="171"/>
      <c r="B7" s="47" t="str">
        <f>A7&amp;"-"&amp;IF(DAY(Variables!$A$2)&lt;10,0,"")&amp;DAY(Variables!$A$2)</f>
        <v>-02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7" s="31" t="e">
        <f>VLOOKUP(B7,'Train Runs'!$A$13:$A$99979,1,FALSE)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-02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8" s="31" t="e">
        <f>VLOOKUP(B8,'Train Runs'!$A$13:$A$99979,1,FALSE)</f>
        <v>#N/A</v>
      </c>
      <c r="K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356</v>
      </c>
      <c r="G1" s="8" t="s">
        <v>355</v>
      </c>
    </row>
    <row r="2" spans="1:7" x14ac:dyDescent="0.25">
      <c r="A2" s="8">
        <v>42706.035787037035</v>
      </c>
      <c r="B2" s="21" t="s">
        <v>271</v>
      </c>
      <c r="C2" s="21" t="s">
        <v>361</v>
      </c>
      <c r="D2" s="165">
        <v>1300000</v>
      </c>
      <c r="E2" s="21" t="s">
        <v>113</v>
      </c>
      <c r="F2" s="21" t="s">
        <v>353</v>
      </c>
      <c r="G2" s="8" t="str">
        <f>E2&amp;" "&amp;F2</f>
        <v>LEVIN SCOTT</v>
      </c>
    </row>
    <row r="3" spans="1:7" x14ac:dyDescent="0.25">
      <c r="A3" s="8">
        <v>42706.04965277778</v>
      </c>
      <c r="B3" s="21" t="s">
        <v>316</v>
      </c>
      <c r="C3" s="21" t="s">
        <v>390</v>
      </c>
      <c r="D3" s="165">
        <v>1290000</v>
      </c>
      <c r="E3" s="21" t="s">
        <v>294</v>
      </c>
      <c r="F3" s="21" t="s">
        <v>341</v>
      </c>
      <c r="G3" s="8" t="str">
        <f t="shared" ref="G3:G66" si="0">E3&amp;" "&amp;F3</f>
        <v>COOLAHAN JOHN</v>
      </c>
    </row>
    <row r="4" spans="1:7" x14ac:dyDescent="0.25">
      <c r="A4" s="8">
        <v>42706.05704861111</v>
      </c>
      <c r="B4" s="21" t="s">
        <v>264</v>
      </c>
      <c r="C4" s="21" t="s">
        <v>391</v>
      </c>
      <c r="D4" s="165">
        <v>2000000</v>
      </c>
      <c r="E4" s="21" t="s">
        <v>215</v>
      </c>
      <c r="F4" s="21" t="s">
        <v>354</v>
      </c>
      <c r="G4" s="8" t="str">
        <f t="shared" si="0"/>
        <v>STAMBAUGH JAMES</v>
      </c>
    </row>
    <row r="5" spans="1:7" x14ac:dyDescent="0.25">
      <c r="A5" s="8">
        <v>42706.06658564815</v>
      </c>
      <c r="B5" s="21" t="s">
        <v>246</v>
      </c>
      <c r="C5" s="21" t="s">
        <v>392</v>
      </c>
      <c r="D5" s="165">
        <v>1300000</v>
      </c>
      <c r="E5" s="21" t="s">
        <v>113</v>
      </c>
      <c r="F5" s="21" t="s">
        <v>353</v>
      </c>
      <c r="G5" s="8" t="str">
        <f t="shared" si="0"/>
        <v>LEVIN SCOTT</v>
      </c>
    </row>
    <row r="6" spans="1:7" x14ac:dyDescent="0.25">
      <c r="A6" s="8">
        <v>42706.121249999997</v>
      </c>
      <c r="B6" s="21" t="s">
        <v>255</v>
      </c>
      <c r="C6" s="21" t="s">
        <v>463</v>
      </c>
      <c r="D6" s="165">
        <v>1240000</v>
      </c>
      <c r="E6" s="21" t="s">
        <v>371</v>
      </c>
      <c r="F6" s="21" t="s">
        <v>372</v>
      </c>
      <c r="G6" s="8" t="str">
        <f t="shared" si="0"/>
        <v>GRASTON MATHEU</v>
      </c>
    </row>
    <row r="7" spans="1:7" x14ac:dyDescent="0.25">
      <c r="A7" s="8">
        <v>42706.130624999998</v>
      </c>
      <c r="B7" s="21" t="s">
        <v>184</v>
      </c>
      <c r="C7" s="21" t="s">
        <v>464</v>
      </c>
      <c r="D7" s="165">
        <v>1240000</v>
      </c>
      <c r="E7" s="21" t="s">
        <v>371</v>
      </c>
      <c r="F7" s="21" t="s">
        <v>372</v>
      </c>
      <c r="G7" s="8" t="str">
        <f t="shared" si="0"/>
        <v>GRASTON MATHEU</v>
      </c>
    </row>
    <row r="8" spans="1:7" x14ac:dyDescent="0.25">
      <c r="A8" s="8">
        <v>42706.143831018519</v>
      </c>
      <c r="B8" s="21" t="s">
        <v>235</v>
      </c>
      <c r="C8" s="21" t="s">
        <v>465</v>
      </c>
      <c r="D8" s="165">
        <v>1990000</v>
      </c>
      <c r="E8" s="21" t="s">
        <v>466</v>
      </c>
      <c r="F8" s="21" t="s">
        <v>467</v>
      </c>
      <c r="G8" s="8" t="str">
        <f t="shared" si="0"/>
        <v>DAVIS WENDY</v>
      </c>
    </row>
    <row r="9" spans="1:7" ht="15.75" thickBot="1" x14ac:dyDescent="0.3">
      <c r="A9" s="25">
        <v>42706.154016203705</v>
      </c>
      <c r="B9" s="21" t="s">
        <v>220</v>
      </c>
      <c r="C9" s="21" t="s">
        <v>468</v>
      </c>
      <c r="D9" s="165">
        <v>1990000</v>
      </c>
      <c r="E9" s="21" t="s">
        <v>466</v>
      </c>
      <c r="F9" s="21" t="s">
        <v>467</v>
      </c>
      <c r="G9" s="8" t="str">
        <f t="shared" si="0"/>
        <v>DAVIS WENDY</v>
      </c>
    </row>
    <row r="10" spans="1:7" x14ac:dyDescent="0.25">
      <c r="A10" s="8">
        <v>42706.157812500001</v>
      </c>
      <c r="B10" s="21" t="s">
        <v>367</v>
      </c>
      <c r="C10" s="21" t="s">
        <v>469</v>
      </c>
      <c r="D10" s="165">
        <v>2140000</v>
      </c>
      <c r="E10" s="21" t="s">
        <v>363</v>
      </c>
      <c r="F10" s="21" t="s">
        <v>364</v>
      </c>
      <c r="G10" s="8" t="str">
        <f t="shared" si="0"/>
        <v>ROBINSON KADDIBA</v>
      </c>
    </row>
    <row r="11" spans="1:7" x14ac:dyDescent="0.25">
      <c r="A11" s="8">
        <v>42706.164166666669</v>
      </c>
      <c r="B11" s="21" t="s">
        <v>255</v>
      </c>
      <c r="C11" s="21" t="s">
        <v>470</v>
      </c>
      <c r="D11" s="165">
        <v>1240000</v>
      </c>
      <c r="E11" s="21" t="s">
        <v>371</v>
      </c>
      <c r="F11" s="21" t="s">
        <v>372</v>
      </c>
      <c r="G11" s="8" t="str">
        <f t="shared" si="0"/>
        <v>GRASTON MATHEU</v>
      </c>
    </row>
    <row r="12" spans="1:7" x14ac:dyDescent="0.25">
      <c r="A12" s="8">
        <v>42706.168553240743</v>
      </c>
      <c r="B12" s="21" t="s">
        <v>208</v>
      </c>
      <c r="C12" s="21" t="s">
        <v>471</v>
      </c>
      <c r="D12" s="165">
        <v>2140000</v>
      </c>
      <c r="E12" s="21" t="s">
        <v>363</v>
      </c>
      <c r="F12" s="21" t="s">
        <v>364</v>
      </c>
      <c r="G12" s="8" t="str">
        <f t="shared" si="0"/>
        <v>ROBINSON KADDIBA</v>
      </c>
    </row>
    <row r="13" spans="1:7" x14ac:dyDescent="0.25">
      <c r="A13" s="8">
        <v>42706.171307870369</v>
      </c>
      <c r="B13" s="21" t="s">
        <v>292</v>
      </c>
      <c r="C13" s="21" t="s">
        <v>472</v>
      </c>
      <c r="D13" s="165">
        <v>1190000</v>
      </c>
      <c r="E13" s="21" t="s">
        <v>473</v>
      </c>
      <c r="F13" s="21" t="s">
        <v>474</v>
      </c>
      <c r="G13" s="8" t="str">
        <f t="shared" si="0"/>
        <v>BRANNON JEFFREY</v>
      </c>
    </row>
    <row r="14" spans="1:7" x14ac:dyDescent="0.25">
      <c r="A14" s="8">
        <v>42706.172291666669</v>
      </c>
      <c r="B14" s="21" t="s">
        <v>292</v>
      </c>
      <c r="C14" s="21" t="s">
        <v>472</v>
      </c>
      <c r="D14" s="165">
        <v>1190000</v>
      </c>
      <c r="E14" s="21" t="s">
        <v>473</v>
      </c>
      <c r="F14" s="21" t="s">
        <v>474</v>
      </c>
      <c r="G14" s="8" t="str">
        <f t="shared" si="0"/>
        <v>BRANNON JEFFREY</v>
      </c>
    </row>
    <row r="15" spans="1:7" x14ac:dyDescent="0.25">
      <c r="A15" s="8">
        <v>42706.181157407409</v>
      </c>
      <c r="B15" s="21" t="s">
        <v>218</v>
      </c>
      <c r="C15" s="21" t="s">
        <v>475</v>
      </c>
      <c r="D15" s="165">
        <v>1190000</v>
      </c>
      <c r="E15" s="21" t="s">
        <v>473</v>
      </c>
      <c r="F15" s="21" t="s">
        <v>474</v>
      </c>
      <c r="G15" s="8" t="str">
        <f t="shared" si="0"/>
        <v>BRANNON JEFFREY</v>
      </c>
    </row>
    <row r="16" spans="1:7" x14ac:dyDescent="0.25">
      <c r="A16" s="8">
        <v>42706.182060185187</v>
      </c>
      <c r="B16" s="21" t="s">
        <v>218</v>
      </c>
      <c r="C16" s="21" t="s">
        <v>475</v>
      </c>
      <c r="D16" s="165">
        <v>1190000</v>
      </c>
      <c r="E16" s="21" t="s">
        <v>473</v>
      </c>
      <c r="F16" s="21" t="s">
        <v>474</v>
      </c>
      <c r="G16" s="8" t="str">
        <f t="shared" si="0"/>
        <v>BRANNON JEFFREY</v>
      </c>
    </row>
    <row r="17" spans="1:7" x14ac:dyDescent="0.25">
      <c r="A17" s="8">
        <v>42706.18476851852</v>
      </c>
      <c r="B17" s="21" t="s">
        <v>261</v>
      </c>
      <c r="C17" s="21" t="s">
        <v>476</v>
      </c>
      <c r="D17" s="165">
        <v>2610000</v>
      </c>
      <c r="E17" s="21" t="s">
        <v>477</v>
      </c>
      <c r="F17" s="21" t="s">
        <v>478</v>
      </c>
      <c r="G17" s="8" t="str">
        <f t="shared" si="0"/>
        <v>MAGEE KENYA</v>
      </c>
    </row>
    <row r="18" spans="1:7" x14ac:dyDescent="0.25">
      <c r="A18" s="8">
        <v>42706.190601851849</v>
      </c>
      <c r="B18" s="21" t="s">
        <v>235</v>
      </c>
      <c r="C18" s="21" t="s">
        <v>479</v>
      </c>
      <c r="D18" s="165">
        <v>1990000</v>
      </c>
      <c r="E18" s="21" t="s">
        <v>466</v>
      </c>
      <c r="F18" s="21" t="s">
        <v>467</v>
      </c>
      <c r="G18" s="8" t="str">
        <f t="shared" si="0"/>
        <v>DAVIS WENDY</v>
      </c>
    </row>
    <row r="19" spans="1:7" x14ac:dyDescent="0.25">
      <c r="A19" s="8">
        <v>42706.195335648146</v>
      </c>
      <c r="B19" s="21" t="s">
        <v>260</v>
      </c>
      <c r="C19" s="21" t="s">
        <v>480</v>
      </c>
      <c r="D19" s="165">
        <v>2610000</v>
      </c>
      <c r="E19" s="21" t="s">
        <v>477</v>
      </c>
      <c r="F19" s="21" t="s">
        <v>478</v>
      </c>
      <c r="G19" s="8" t="str">
        <f t="shared" si="0"/>
        <v>MAGEE KENYA</v>
      </c>
    </row>
    <row r="20" spans="1:7" x14ac:dyDescent="0.25">
      <c r="A20" s="8">
        <v>42706.201990740738</v>
      </c>
      <c r="B20" s="21" t="s">
        <v>291</v>
      </c>
      <c r="C20" s="21" t="s">
        <v>481</v>
      </c>
      <c r="D20" s="165">
        <v>1760000</v>
      </c>
      <c r="E20" s="21" t="s">
        <v>365</v>
      </c>
      <c r="F20" s="21" t="s">
        <v>366</v>
      </c>
      <c r="G20" s="8" t="str">
        <f t="shared" si="0"/>
        <v>STRICKLAND EVAN</v>
      </c>
    </row>
    <row r="21" spans="1:7" x14ac:dyDescent="0.25">
      <c r="A21" s="8">
        <v>42706.205567129633</v>
      </c>
      <c r="B21" s="21" t="s">
        <v>184</v>
      </c>
      <c r="C21" s="21" t="s">
        <v>482</v>
      </c>
      <c r="D21" s="165">
        <v>1090000</v>
      </c>
      <c r="E21" s="21" t="s">
        <v>301</v>
      </c>
      <c r="F21" s="21" t="s">
        <v>343</v>
      </c>
      <c r="G21" s="8" t="str">
        <f t="shared" si="0"/>
        <v>SPECTOR MICHAEL</v>
      </c>
    </row>
    <row r="22" spans="1:7" x14ac:dyDescent="0.25">
      <c r="A22" s="27">
        <v>42706.209537037037</v>
      </c>
      <c r="B22" s="21" t="s">
        <v>367</v>
      </c>
      <c r="C22" s="21" t="s">
        <v>483</v>
      </c>
      <c r="D22" s="165">
        <v>2140000</v>
      </c>
      <c r="E22" s="21" t="s">
        <v>363</v>
      </c>
      <c r="F22" s="21" t="s">
        <v>364</v>
      </c>
      <c r="G22" s="8" t="str">
        <f t="shared" si="0"/>
        <v>ROBINSON KADDIBA</v>
      </c>
    </row>
    <row r="23" spans="1:7" x14ac:dyDescent="0.25">
      <c r="A23" s="8">
        <v>42706.210127314815</v>
      </c>
      <c r="B23" s="21" t="s">
        <v>254</v>
      </c>
      <c r="C23" s="21" t="s">
        <v>484</v>
      </c>
      <c r="D23" s="165">
        <v>1240000</v>
      </c>
      <c r="E23" s="21" t="s">
        <v>371</v>
      </c>
      <c r="F23" s="21" t="s">
        <v>372</v>
      </c>
      <c r="G23" s="8" t="str">
        <f t="shared" si="0"/>
        <v>GRASTON MATHEU</v>
      </c>
    </row>
    <row r="24" spans="1:7" x14ac:dyDescent="0.25">
      <c r="A24" s="8">
        <v>42706.215925925928</v>
      </c>
      <c r="B24" s="21" t="s">
        <v>359</v>
      </c>
      <c r="C24" s="21" t="s">
        <v>485</v>
      </c>
      <c r="D24" s="165">
        <v>1760000</v>
      </c>
      <c r="E24" s="21" t="s">
        <v>365</v>
      </c>
      <c r="F24" s="21" t="s">
        <v>366</v>
      </c>
      <c r="G24" s="8" t="str">
        <f t="shared" si="0"/>
        <v>STRICKLAND EVAN</v>
      </c>
    </row>
    <row r="25" spans="1:7" x14ac:dyDescent="0.25">
      <c r="A25" s="8">
        <v>42706.216307870367</v>
      </c>
      <c r="B25" s="21" t="s">
        <v>292</v>
      </c>
      <c r="C25" s="21" t="s">
        <v>486</v>
      </c>
      <c r="D25" s="165">
        <v>1190000</v>
      </c>
      <c r="E25" s="21" t="s">
        <v>473</v>
      </c>
      <c r="F25" s="21" t="s">
        <v>474</v>
      </c>
      <c r="G25" s="8" t="str">
        <f t="shared" si="0"/>
        <v>BRANNON JEFFREY</v>
      </c>
    </row>
    <row r="26" spans="1:7" x14ac:dyDescent="0.25">
      <c r="A26" s="8">
        <v>42706.227858796294</v>
      </c>
      <c r="B26" s="21" t="s">
        <v>220</v>
      </c>
      <c r="C26" s="21" t="s">
        <v>487</v>
      </c>
      <c r="D26" s="165">
        <v>2630000</v>
      </c>
      <c r="E26" s="21" t="s">
        <v>257</v>
      </c>
      <c r="F26" s="21" t="s">
        <v>345</v>
      </c>
      <c r="G26" s="8" t="str">
        <f t="shared" si="0"/>
        <v>SAFIEF AEIMEN</v>
      </c>
    </row>
    <row r="27" spans="1:7" x14ac:dyDescent="0.25">
      <c r="A27" s="8">
        <v>42706.230671296296</v>
      </c>
      <c r="B27" s="21" t="s">
        <v>234</v>
      </c>
      <c r="C27" s="21" t="s">
        <v>432</v>
      </c>
      <c r="D27" s="165">
        <v>1990000</v>
      </c>
      <c r="E27" s="21" t="s">
        <v>466</v>
      </c>
      <c r="F27" s="21" t="s">
        <v>467</v>
      </c>
      <c r="G27" s="8" t="str">
        <f t="shared" si="0"/>
        <v>DAVIS WENDY</v>
      </c>
    </row>
    <row r="28" spans="1:7" x14ac:dyDescent="0.25">
      <c r="A28" s="8">
        <v>42706.23265046296</v>
      </c>
      <c r="B28" s="21" t="s">
        <v>291</v>
      </c>
      <c r="C28" s="21" t="s">
        <v>488</v>
      </c>
      <c r="D28" s="165">
        <v>1760000</v>
      </c>
      <c r="E28" s="21" t="s">
        <v>365</v>
      </c>
      <c r="F28" s="21" t="s">
        <v>366</v>
      </c>
      <c r="G28" s="8" t="str">
        <f t="shared" si="0"/>
        <v>STRICKLAND EVAN</v>
      </c>
    </row>
    <row r="29" spans="1:7" x14ac:dyDescent="0.25">
      <c r="A29" s="8">
        <v>42706.234293981484</v>
      </c>
      <c r="B29" s="21" t="s">
        <v>261</v>
      </c>
      <c r="C29" s="21" t="s">
        <v>489</v>
      </c>
      <c r="D29" s="165">
        <v>2610000</v>
      </c>
      <c r="E29" s="21" t="s">
        <v>477</v>
      </c>
      <c r="F29" s="21" t="s">
        <v>478</v>
      </c>
      <c r="G29" s="8" t="str">
        <f t="shared" si="0"/>
        <v>MAGEE KENYA</v>
      </c>
    </row>
    <row r="30" spans="1:7" x14ac:dyDescent="0.25">
      <c r="A30" s="8">
        <v>42706.244641203702</v>
      </c>
      <c r="B30" s="21" t="s">
        <v>319</v>
      </c>
      <c r="C30" s="21" t="s">
        <v>490</v>
      </c>
      <c r="D30" s="165">
        <v>1090000</v>
      </c>
      <c r="E30" s="21" t="s">
        <v>301</v>
      </c>
      <c r="F30" s="21" t="s">
        <v>343</v>
      </c>
      <c r="G30" s="8" t="str">
        <f t="shared" si="0"/>
        <v>SPECTOR MICHAEL</v>
      </c>
    </row>
    <row r="31" spans="1:7" x14ac:dyDescent="0.25">
      <c r="A31" s="8">
        <v>42706.246898148151</v>
      </c>
      <c r="B31" s="21" t="s">
        <v>208</v>
      </c>
      <c r="C31" s="21" t="s">
        <v>491</v>
      </c>
      <c r="D31" s="165">
        <v>2140000</v>
      </c>
      <c r="E31" s="21" t="s">
        <v>363</v>
      </c>
      <c r="F31" s="21" t="s">
        <v>364</v>
      </c>
      <c r="G31" s="8" t="str">
        <f t="shared" si="0"/>
        <v>ROBINSON KADDIBA</v>
      </c>
    </row>
    <row r="32" spans="1:7" x14ac:dyDescent="0.25">
      <c r="A32" s="8">
        <v>42706.253634259258</v>
      </c>
      <c r="B32" s="21" t="s">
        <v>213</v>
      </c>
      <c r="C32" s="21" t="s">
        <v>492</v>
      </c>
      <c r="D32" s="165">
        <v>1830000</v>
      </c>
      <c r="E32" s="21" t="s">
        <v>369</v>
      </c>
      <c r="F32" s="21" t="s">
        <v>370</v>
      </c>
      <c r="G32" s="8" t="str">
        <f t="shared" si="0"/>
        <v>YORK EDGAR</v>
      </c>
    </row>
    <row r="33" spans="1:7" x14ac:dyDescent="0.25">
      <c r="A33" s="8">
        <v>42706.254606481481</v>
      </c>
      <c r="B33" s="21" t="s">
        <v>218</v>
      </c>
      <c r="C33" s="21" t="s">
        <v>493</v>
      </c>
      <c r="D33" s="165">
        <v>1190000</v>
      </c>
      <c r="E33" s="21" t="s">
        <v>473</v>
      </c>
      <c r="F33" s="21" t="s">
        <v>474</v>
      </c>
      <c r="G33" s="8" t="str">
        <f t="shared" si="0"/>
        <v>BRANNON JEFFREY</v>
      </c>
    </row>
    <row r="34" spans="1:7" x14ac:dyDescent="0.25">
      <c r="A34" s="8">
        <v>42706.255150462966</v>
      </c>
      <c r="B34" s="21" t="s">
        <v>255</v>
      </c>
      <c r="C34" s="21" t="s">
        <v>494</v>
      </c>
      <c r="D34" s="165">
        <v>1240000</v>
      </c>
      <c r="E34" s="21" t="s">
        <v>371</v>
      </c>
      <c r="F34" s="21" t="s">
        <v>372</v>
      </c>
      <c r="G34" s="8" t="str">
        <f t="shared" si="0"/>
        <v>GRASTON MATHEU</v>
      </c>
    </row>
    <row r="35" spans="1:7" x14ac:dyDescent="0.25">
      <c r="A35" s="8">
        <v>42706.255902777775</v>
      </c>
      <c r="B35" s="21" t="s">
        <v>359</v>
      </c>
      <c r="C35" s="21" t="s">
        <v>495</v>
      </c>
      <c r="D35" s="165">
        <v>1760000</v>
      </c>
      <c r="E35" s="21" t="s">
        <v>365</v>
      </c>
      <c r="F35" s="21" t="s">
        <v>366</v>
      </c>
      <c r="G35" s="8" t="str">
        <f t="shared" si="0"/>
        <v>STRICKLAND EVAN</v>
      </c>
    </row>
    <row r="36" spans="1:7" x14ac:dyDescent="0.25">
      <c r="A36" s="8">
        <v>42706.265706018516</v>
      </c>
      <c r="B36" s="21" t="s">
        <v>211</v>
      </c>
      <c r="C36" s="21" t="s">
        <v>433</v>
      </c>
      <c r="D36" s="165">
        <v>1830000</v>
      </c>
      <c r="E36" s="21" t="s">
        <v>369</v>
      </c>
      <c r="F36" s="21" t="s">
        <v>370</v>
      </c>
      <c r="G36" s="8" t="str">
        <f t="shared" si="0"/>
        <v>YORK EDGAR</v>
      </c>
    </row>
    <row r="37" spans="1:7" x14ac:dyDescent="0.25">
      <c r="A37" s="8">
        <v>42706.265856481485</v>
      </c>
      <c r="B37" s="21" t="s">
        <v>318</v>
      </c>
      <c r="C37" s="21" t="s">
        <v>496</v>
      </c>
      <c r="D37" s="165">
        <v>2630000</v>
      </c>
      <c r="E37" s="21" t="s">
        <v>257</v>
      </c>
      <c r="F37" s="21" t="s">
        <v>345</v>
      </c>
      <c r="G37" s="8" t="str">
        <f t="shared" si="0"/>
        <v>SAFIEF AEIMEN</v>
      </c>
    </row>
    <row r="38" spans="1:7" x14ac:dyDescent="0.25">
      <c r="A38" s="8">
        <v>42706.267557870371</v>
      </c>
      <c r="B38" s="21" t="s">
        <v>260</v>
      </c>
      <c r="C38" s="21" t="s">
        <v>497</v>
      </c>
      <c r="D38" s="165">
        <v>2610000</v>
      </c>
      <c r="E38" s="21" t="s">
        <v>477</v>
      </c>
      <c r="F38" s="21" t="s">
        <v>478</v>
      </c>
      <c r="G38" s="8" t="str">
        <f t="shared" si="0"/>
        <v>MAGEE KENYA</v>
      </c>
    </row>
    <row r="39" spans="1:7" x14ac:dyDescent="0.25">
      <c r="A39" s="8">
        <v>42706.273356481484</v>
      </c>
      <c r="B39" s="21" t="s">
        <v>235</v>
      </c>
      <c r="C39" s="21" t="s">
        <v>498</v>
      </c>
      <c r="D39" s="165">
        <v>1990000</v>
      </c>
      <c r="E39" s="21" t="s">
        <v>466</v>
      </c>
      <c r="F39" s="21" t="s">
        <v>467</v>
      </c>
      <c r="G39" s="8" t="str">
        <f t="shared" si="0"/>
        <v>DAVIS WENDY</v>
      </c>
    </row>
    <row r="40" spans="1:7" x14ac:dyDescent="0.25">
      <c r="A40" s="8">
        <v>42706.275763888887</v>
      </c>
      <c r="B40" s="26" t="s">
        <v>291</v>
      </c>
      <c r="C40" s="21" t="s">
        <v>499</v>
      </c>
      <c r="D40" s="165">
        <v>1760000</v>
      </c>
      <c r="E40" s="21" t="s">
        <v>365</v>
      </c>
      <c r="F40" s="21" t="s">
        <v>366</v>
      </c>
      <c r="G40" s="8" t="str">
        <f t="shared" si="0"/>
        <v>STRICKLAND EVAN</v>
      </c>
    </row>
    <row r="41" spans="1:7" x14ac:dyDescent="0.25">
      <c r="A41" s="8">
        <v>42706.278020833335</v>
      </c>
      <c r="B41" s="21" t="s">
        <v>184</v>
      </c>
      <c r="C41" s="21" t="s">
        <v>500</v>
      </c>
      <c r="D41" s="165">
        <v>1090000</v>
      </c>
      <c r="E41" s="21" t="s">
        <v>301</v>
      </c>
      <c r="F41" s="21" t="s">
        <v>343</v>
      </c>
      <c r="G41" s="8" t="str">
        <f t="shared" si="0"/>
        <v>SPECTOR MICHAEL</v>
      </c>
    </row>
    <row r="42" spans="1:7" x14ac:dyDescent="0.25">
      <c r="A42" s="8">
        <v>42706.278020833335</v>
      </c>
      <c r="B42" s="21" t="s">
        <v>213</v>
      </c>
      <c r="C42" s="21" t="s">
        <v>434</v>
      </c>
      <c r="D42" s="165">
        <v>1830000</v>
      </c>
      <c r="E42" s="21" t="s">
        <v>369</v>
      </c>
      <c r="F42" s="21" t="s">
        <v>370</v>
      </c>
      <c r="G42" s="8" t="str">
        <f t="shared" si="0"/>
        <v>YORK EDGAR</v>
      </c>
    </row>
    <row r="43" spans="1:7" x14ac:dyDescent="0.25">
      <c r="A43" s="8">
        <v>42706.282743055555</v>
      </c>
      <c r="B43" s="21" t="s">
        <v>216</v>
      </c>
      <c r="C43" s="21" t="s">
        <v>501</v>
      </c>
      <c r="D43" s="165">
        <v>2140000</v>
      </c>
      <c r="E43" s="21" t="s">
        <v>363</v>
      </c>
      <c r="F43" s="21" t="s">
        <v>364</v>
      </c>
      <c r="G43" s="8" t="str">
        <f t="shared" si="0"/>
        <v>ROBINSON KADDIBA</v>
      </c>
    </row>
    <row r="44" spans="1:7" x14ac:dyDescent="0.25">
      <c r="A44" s="8">
        <v>42706.289895833332</v>
      </c>
      <c r="B44" s="21" t="s">
        <v>254</v>
      </c>
      <c r="C44" s="21" t="s">
        <v>502</v>
      </c>
      <c r="D44" s="165">
        <v>1240000</v>
      </c>
      <c r="E44" s="21" t="s">
        <v>371</v>
      </c>
      <c r="F44" s="21" t="s">
        <v>372</v>
      </c>
      <c r="G44" s="8" t="str">
        <f t="shared" si="0"/>
        <v>GRASTON MATHEU</v>
      </c>
    </row>
    <row r="45" spans="1:7" x14ac:dyDescent="0.25">
      <c r="A45" s="8">
        <v>42706.291631944441</v>
      </c>
      <c r="B45" s="21" t="s">
        <v>211</v>
      </c>
      <c r="C45" s="21" t="s">
        <v>503</v>
      </c>
      <c r="D45" s="165">
        <v>1830000</v>
      </c>
      <c r="E45" s="21" t="s">
        <v>369</v>
      </c>
      <c r="F45" s="21" t="s">
        <v>370</v>
      </c>
      <c r="G45" s="8" t="str">
        <f t="shared" si="0"/>
        <v>YORK EDGAR</v>
      </c>
    </row>
    <row r="46" spans="1:7" x14ac:dyDescent="0.25">
      <c r="A46" s="8">
        <v>42706.296875</v>
      </c>
      <c r="B46" s="21" t="s">
        <v>292</v>
      </c>
      <c r="C46" s="21" t="s">
        <v>436</v>
      </c>
      <c r="D46" s="165">
        <v>1190000</v>
      </c>
      <c r="E46" s="21" t="s">
        <v>473</v>
      </c>
      <c r="F46" s="21" t="s">
        <v>474</v>
      </c>
      <c r="G46" s="8" t="str">
        <f t="shared" si="0"/>
        <v>BRANNON JEFFREY</v>
      </c>
    </row>
    <row r="47" spans="1:7" x14ac:dyDescent="0.25">
      <c r="A47" s="8">
        <v>42706.297222222223</v>
      </c>
      <c r="B47" s="21" t="s">
        <v>359</v>
      </c>
      <c r="C47" s="21" t="s">
        <v>435</v>
      </c>
      <c r="D47" s="165">
        <v>1760000</v>
      </c>
      <c r="E47" s="21" t="s">
        <v>365</v>
      </c>
      <c r="F47" s="21" t="s">
        <v>366</v>
      </c>
      <c r="G47" s="8" t="str">
        <f t="shared" si="0"/>
        <v>STRICKLAND EVAN</v>
      </c>
    </row>
    <row r="48" spans="1:7" x14ac:dyDescent="0.25">
      <c r="A48" s="8">
        <v>42706.299270833333</v>
      </c>
      <c r="B48" s="21" t="s">
        <v>220</v>
      </c>
      <c r="C48" s="21" t="s">
        <v>504</v>
      </c>
      <c r="D48" s="165">
        <v>2630000</v>
      </c>
      <c r="E48" s="21" t="s">
        <v>257</v>
      </c>
      <c r="F48" s="21" t="s">
        <v>345</v>
      </c>
      <c r="G48" s="8" t="str">
        <f t="shared" si="0"/>
        <v>SAFIEF AEIMEN</v>
      </c>
    </row>
    <row r="49" spans="1:7" x14ac:dyDescent="0.25">
      <c r="A49" s="8">
        <v>42706.299768518518</v>
      </c>
      <c r="B49" s="21" t="s">
        <v>261</v>
      </c>
      <c r="C49" s="21" t="s">
        <v>505</v>
      </c>
      <c r="D49" s="165">
        <v>2610000</v>
      </c>
      <c r="E49" s="21" t="s">
        <v>477</v>
      </c>
      <c r="F49" s="21" t="s">
        <v>478</v>
      </c>
      <c r="G49" s="8" t="str">
        <f t="shared" si="0"/>
        <v>MAGEE KENYA</v>
      </c>
    </row>
    <row r="50" spans="1:7" x14ac:dyDescent="0.25">
      <c r="A50" s="8">
        <v>42706.308229166665</v>
      </c>
      <c r="B50" s="21" t="s">
        <v>234</v>
      </c>
      <c r="C50" s="21" t="s">
        <v>506</v>
      </c>
      <c r="D50" s="165">
        <v>1990000</v>
      </c>
      <c r="E50" s="21" t="s">
        <v>466</v>
      </c>
      <c r="F50" s="21" t="s">
        <v>467</v>
      </c>
      <c r="G50" s="8" t="str">
        <f t="shared" si="0"/>
        <v>DAVIS WENDY</v>
      </c>
    </row>
    <row r="51" spans="1:7" x14ac:dyDescent="0.25">
      <c r="A51" s="8">
        <v>42706.313472222224</v>
      </c>
      <c r="B51" s="21" t="s">
        <v>291</v>
      </c>
      <c r="C51" s="21" t="s">
        <v>437</v>
      </c>
      <c r="D51" s="165">
        <v>1760000</v>
      </c>
      <c r="E51" s="21" t="s">
        <v>365</v>
      </c>
      <c r="F51" s="21" t="s">
        <v>366</v>
      </c>
      <c r="G51" s="8" t="str">
        <f t="shared" si="0"/>
        <v>STRICKLAND EVAN</v>
      </c>
    </row>
    <row r="52" spans="1:7" x14ac:dyDescent="0.25">
      <c r="A52" s="8">
        <v>42706.317060185182</v>
      </c>
      <c r="B52" s="21" t="s">
        <v>213</v>
      </c>
      <c r="C52" s="21" t="s">
        <v>507</v>
      </c>
      <c r="D52" s="165">
        <v>1830000</v>
      </c>
      <c r="E52" s="21" t="s">
        <v>369</v>
      </c>
      <c r="F52" s="21" t="s">
        <v>370</v>
      </c>
      <c r="G52" s="8" t="str">
        <f t="shared" si="0"/>
        <v>YORK EDGAR</v>
      </c>
    </row>
    <row r="53" spans="1:7" x14ac:dyDescent="0.25">
      <c r="A53" s="8">
        <v>42706.317291666666</v>
      </c>
      <c r="B53" s="21" t="s">
        <v>319</v>
      </c>
      <c r="C53" s="21" t="s">
        <v>438</v>
      </c>
      <c r="D53" s="165">
        <v>1090000</v>
      </c>
      <c r="E53" s="21" t="s">
        <v>301</v>
      </c>
      <c r="F53" s="21" t="s">
        <v>343</v>
      </c>
      <c r="G53" s="8" t="str">
        <f t="shared" si="0"/>
        <v>SPECTOR MICHAEL</v>
      </c>
    </row>
    <row r="54" spans="1:7" x14ac:dyDescent="0.25">
      <c r="A54" s="8">
        <v>42706.318032407406</v>
      </c>
      <c r="B54" s="21" t="s">
        <v>208</v>
      </c>
      <c r="C54" s="21" t="s">
        <v>508</v>
      </c>
      <c r="D54" s="165">
        <v>2140000</v>
      </c>
      <c r="E54" s="21" t="s">
        <v>363</v>
      </c>
      <c r="F54" s="21" t="s">
        <v>364</v>
      </c>
      <c r="G54" s="8" t="str">
        <f t="shared" si="0"/>
        <v>ROBINSON KADDIBA</v>
      </c>
    </row>
    <row r="55" spans="1:7" x14ac:dyDescent="0.25">
      <c r="A55" s="8">
        <v>42706.327407407407</v>
      </c>
      <c r="B55" s="21" t="s">
        <v>218</v>
      </c>
      <c r="C55" s="21" t="s">
        <v>509</v>
      </c>
      <c r="D55" s="165">
        <v>1190000</v>
      </c>
      <c r="E55" s="21" t="s">
        <v>473</v>
      </c>
      <c r="F55" s="21" t="s">
        <v>474</v>
      </c>
      <c r="G55" s="8" t="str">
        <f t="shared" si="0"/>
        <v>BRANNON JEFFREY</v>
      </c>
    </row>
    <row r="56" spans="1:7" x14ac:dyDescent="0.25">
      <c r="A56" s="8">
        <v>42706.328113425923</v>
      </c>
      <c r="B56" s="21" t="s">
        <v>255</v>
      </c>
      <c r="C56" s="21" t="s">
        <v>510</v>
      </c>
      <c r="D56" s="165">
        <v>1240000</v>
      </c>
      <c r="E56" s="21" t="s">
        <v>371</v>
      </c>
      <c r="F56" s="21" t="s">
        <v>372</v>
      </c>
      <c r="G56" s="8" t="str">
        <f t="shared" si="0"/>
        <v>GRASTON MATHEU</v>
      </c>
    </row>
    <row r="57" spans="1:7" x14ac:dyDescent="0.25">
      <c r="A57" s="8">
        <v>42706.330833333333</v>
      </c>
      <c r="B57" s="21" t="s">
        <v>318</v>
      </c>
      <c r="C57" s="21" t="s">
        <v>511</v>
      </c>
      <c r="D57" s="165">
        <v>2630000</v>
      </c>
      <c r="E57" s="21" t="s">
        <v>257</v>
      </c>
      <c r="F57" s="21" t="s">
        <v>345</v>
      </c>
      <c r="G57" s="8" t="str">
        <f t="shared" si="0"/>
        <v>SAFIEF AEIMEN</v>
      </c>
    </row>
    <row r="58" spans="1:7" x14ac:dyDescent="0.25">
      <c r="A58" s="8">
        <v>42706.331805555557</v>
      </c>
      <c r="B58" s="21" t="s">
        <v>211</v>
      </c>
      <c r="C58" s="21" t="s">
        <v>512</v>
      </c>
      <c r="D58" s="165">
        <v>1830000</v>
      </c>
      <c r="E58" s="21" t="s">
        <v>369</v>
      </c>
      <c r="F58" s="21" t="s">
        <v>370</v>
      </c>
      <c r="G58" s="8" t="str">
        <f t="shared" si="0"/>
        <v>YORK EDGAR</v>
      </c>
    </row>
    <row r="59" spans="1:7" x14ac:dyDescent="0.25">
      <c r="A59" s="8">
        <v>42706.339803240742</v>
      </c>
      <c r="B59" s="21" t="s">
        <v>260</v>
      </c>
      <c r="C59" s="21" t="s">
        <v>513</v>
      </c>
      <c r="D59" s="165">
        <v>2610000</v>
      </c>
      <c r="E59" s="21" t="s">
        <v>477</v>
      </c>
      <c r="F59" s="21" t="s">
        <v>478</v>
      </c>
      <c r="G59" s="8" t="str">
        <f t="shared" si="0"/>
        <v>MAGEE KENYA</v>
      </c>
    </row>
    <row r="60" spans="1:7" x14ac:dyDescent="0.25">
      <c r="A60" s="8">
        <v>42706.339837962965</v>
      </c>
      <c r="B60" s="21" t="s">
        <v>359</v>
      </c>
      <c r="C60" s="21" t="s">
        <v>514</v>
      </c>
      <c r="D60" s="165">
        <v>1760000</v>
      </c>
      <c r="E60" s="21" t="s">
        <v>365</v>
      </c>
      <c r="F60" s="21" t="s">
        <v>366</v>
      </c>
      <c r="G60" s="8" t="str">
        <f t="shared" si="0"/>
        <v>STRICKLAND EVAN</v>
      </c>
    </row>
    <row r="61" spans="1:7" x14ac:dyDescent="0.25">
      <c r="A61" s="8">
        <v>42706.348287037035</v>
      </c>
      <c r="B61" s="21" t="s">
        <v>235</v>
      </c>
      <c r="C61" s="21" t="s">
        <v>515</v>
      </c>
      <c r="D61" s="165">
        <v>1990000</v>
      </c>
      <c r="E61" s="21" t="s">
        <v>466</v>
      </c>
      <c r="F61" s="21" t="s">
        <v>467</v>
      </c>
      <c r="G61" s="8" t="str">
        <f t="shared" si="0"/>
        <v>DAVIS WENDY</v>
      </c>
    </row>
    <row r="62" spans="1:7" x14ac:dyDescent="0.25">
      <c r="A62" s="8">
        <v>42706.353796296295</v>
      </c>
      <c r="B62" s="21" t="s">
        <v>184</v>
      </c>
      <c r="C62" s="21" t="s">
        <v>516</v>
      </c>
      <c r="D62" s="165">
        <v>1090000</v>
      </c>
      <c r="E62" s="21" t="s">
        <v>301</v>
      </c>
      <c r="F62" s="21" t="s">
        <v>343</v>
      </c>
      <c r="G62" s="8" t="str">
        <f t="shared" si="0"/>
        <v>SPECTOR MICHAEL</v>
      </c>
    </row>
    <row r="63" spans="1:7" x14ac:dyDescent="0.25">
      <c r="A63" s="8">
        <v>42706.354548611111</v>
      </c>
      <c r="B63" s="21" t="s">
        <v>291</v>
      </c>
      <c r="C63" s="21" t="s">
        <v>517</v>
      </c>
      <c r="D63" s="165">
        <v>1760000</v>
      </c>
      <c r="E63" s="21" t="s">
        <v>365</v>
      </c>
      <c r="F63" s="21" t="s">
        <v>366</v>
      </c>
      <c r="G63" s="8" t="str">
        <f t="shared" si="0"/>
        <v>STRICKLAND EVAN</v>
      </c>
    </row>
    <row r="64" spans="1:7" x14ac:dyDescent="0.25">
      <c r="A64" s="27">
        <v>42706.356446759259</v>
      </c>
      <c r="B64" s="21" t="s">
        <v>216</v>
      </c>
      <c r="C64" s="21" t="s">
        <v>518</v>
      </c>
      <c r="D64" s="165">
        <v>2140000</v>
      </c>
      <c r="E64" s="21" t="s">
        <v>363</v>
      </c>
      <c r="F64" s="21" t="s">
        <v>364</v>
      </c>
      <c r="G64" s="8" t="str">
        <f t="shared" si="0"/>
        <v>ROBINSON KADDIBA</v>
      </c>
    </row>
    <row r="65" spans="1:7" x14ac:dyDescent="0.25">
      <c r="A65" s="8">
        <v>42706.359780092593</v>
      </c>
      <c r="B65" s="21" t="s">
        <v>292</v>
      </c>
      <c r="C65" s="21" t="s">
        <v>519</v>
      </c>
      <c r="D65" s="165">
        <v>1190000</v>
      </c>
      <c r="E65" s="21" t="s">
        <v>473</v>
      </c>
      <c r="F65" s="21" t="s">
        <v>474</v>
      </c>
      <c r="G65" s="8" t="str">
        <f t="shared" si="0"/>
        <v>BRANNON JEFFREY</v>
      </c>
    </row>
    <row r="66" spans="1:7" x14ac:dyDescent="0.25">
      <c r="A66" s="8">
        <v>42706.360625000001</v>
      </c>
      <c r="B66" s="21" t="s">
        <v>254</v>
      </c>
      <c r="C66" s="21" t="s">
        <v>439</v>
      </c>
      <c r="D66" s="165">
        <v>2620000</v>
      </c>
      <c r="E66" s="21" t="s">
        <v>300</v>
      </c>
      <c r="F66" s="21" t="s">
        <v>346</v>
      </c>
      <c r="G66" s="8" t="str">
        <f t="shared" si="0"/>
        <v>PERKINS DARREN</v>
      </c>
    </row>
    <row r="67" spans="1:7" x14ac:dyDescent="0.25">
      <c r="A67" s="8">
        <v>42706.360879629632</v>
      </c>
      <c r="B67" s="21" t="s">
        <v>213</v>
      </c>
      <c r="C67" s="21" t="s">
        <v>520</v>
      </c>
      <c r="D67" s="165">
        <v>1830000</v>
      </c>
      <c r="E67" s="21" t="s">
        <v>369</v>
      </c>
      <c r="F67" s="21" t="s">
        <v>370</v>
      </c>
      <c r="G67" s="8" t="str">
        <f t="shared" ref="G67:G130" si="1">E67&amp;" "&amp;F67</f>
        <v>YORK EDGAR</v>
      </c>
    </row>
    <row r="68" spans="1:7" x14ac:dyDescent="0.25">
      <c r="A68" s="8">
        <v>42706.370462962965</v>
      </c>
      <c r="B68" s="21" t="s">
        <v>220</v>
      </c>
      <c r="C68" s="21" t="s">
        <v>521</v>
      </c>
      <c r="D68" s="165">
        <v>2630000</v>
      </c>
      <c r="E68" s="21" t="s">
        <v>257</v>
      </c>
      <c r="F68" s="21" t="s">
        <v>345</v>
      </c>
      <c r="G68" s="8" t="str">
        <f t="shared" si="1"/>
        <v>SAFIEF AEIMEN</v>
      </c>
    </row>
    <row r="69" spans="1:7" x14ac:dyDescent="0.25">
      <c r="A69" s="8">
        <v>42706.374178240738</v>
      </c>
      <c r="B69" s="21" t="s">
        <v>211</v>
      </c>
      <c r="C69" s="21" t="s">
        <v>440</v>
      </c>
      <c r="D69" s="165">
        <v>1830000</v>
      </c>
      <c r="E69" s="21" t="s">
        <v>369</v>
      </c>
      <c r="F69" s="21" t="s">
        <v>370</v>
      </c>
      <c r="G69" s="8" t="str">
        <f t="shared" si="1"/>
        <v>YORK EDGAR</v>
      </c>
    </row>
    <row r="70" spans="1:7" x14ac:dyDescent="0.25">
      <c r="A70" s="8">
        <v>42706.378495370373</v>
      </c>
      <c r="B70" s="21" t="s">
        <v>261</v>
      </c>
      <c r="C70" s="21" t="s">
        <v>522</v>
      </c>
      <c r="D70" s="165">
        <v>2610000</v>
      </c>
      <c r="E70" s="21" t="s">
        <v>477</v>
      </c>
      <c r="F70" s="21" t="s">
        <v>478</v>
      </c>
      <c r="G70" s="8" t="str">
        <f t="shared" si="1"/>
        <v>MAGEE KENYA</v>
      </c>
    </row>
    <row r="71" spans="1:7" x14ac:dyDescent="0.25">
      <c r="A71" s="8">
        <v>42706.381377314814</v>
      </c>
      <c r="B71" s="21" t="s">
        <v>234</v>
      </c>
      <c r="C71" s="21" t="s">
        <v>523</v>
      </c>
      <c r="D71" s="165">
        <v>1990000</v>
      </c>
      <c r="E71" s="21" t="s">
        <v>466</v>
      </c>
      <c r="F71" s="21" t="s">
        <v>467</v>
      </c>
      <c r="G71" s="8" t="str">
        <f t="shared" si="1"/>
        <v>DAVIS WENDY</v>
      </c>
    </row>
    <row r="72" spans="1:7" x14ac:dyDescent="0.25">
      <c r="A72" s="8">
        <v>42706.3903125</v>
      </c>
      <c r="B72" s="21" t="s">
        <v>319</v>
      </c>
      <c r="C72" s="21" t="s">
        <v>524</v>
      </c>
      <c r="D72" s="165">
        <v>1090000</v>
      </c>
      <c r="E72" s="21" t="s">
        <v>301</v>
      </c>
      <c r="F72" s="21" t="s">
        <v>343</v>
      </c>
      <c r="G72" s="8" t="str">
        <f t="shared" si="1"/>
        <v>SPECTOR MICHAEL</v>
      </c>
    </row>
    <row r="73" spans="1:7" x14ac:dyDescent="0.25">
      <c r="A73" s="8">
        <v>42706.390706018516</v>
      </c>
      <c r="B73" s="21" t="s">
        <v>208</v>
      </c>
      <c r="C73" s="21" t="s">
        <v>525</v>
      </c>
      <c r="D73" s="165">
        <v>2140000</v>
      </c>
      <c r="E73" s="21" t="s">
        <v>363</v>
      </c>
      <c r="F73" s="21" t="s">
        <v>364</v>
      </c>
      <c r="G73" s="8" t="str">
        <f t="shared" si="1"/>
        <v>ROBINSON KADDIBA</v>
      </c>
    </row>
    <row r="74" spans="1:7" x14ac:dyDescent="0.25">
      <c r="A74" s="8">
        <v>42706.396180555559</v>
      </c>
      <c r="B74" s="21" t="s">
        <v>255</v>
      </c>
      <c r="C74" s="21" t="s">
        <v>526</v>
      </c>
      <c r="D74" s="165">
        <v>2620000</v>
      </c>
      <c r="E74" s="21" t="s">
        <v>300</v>
      </c>
      <c r="F74" s="21" t="s">
        <v>346</v>
      </c>
      <c r="G74" s="8" t="str">
        <f t="shared" si="1"/>
        <v>PERKINS DARREN</v>
      </c>
    </row>
    <row r="75" spans="1:7" x14ac:dyDescent="0.25">
      <c r="A75" s="8">
        <v>42706.40048611111</v>
      </c>
      <c r="B75" s="21" t="s">
        <v>218</v>
      </c>
      <c r="C75" s="21" t="s">
        <v>527</v>
      </c>
      <c r="D75" s="165">
        <v>1190000</v>
      </c>
      <c r="E75" s="21" t="s">
        <v>473</v>
      </c>
      <c r="F75" s="21" t="s">
        <v>474</v>
      </c>
      <c r="G75" s="8" t="str">
        <f t="shared" si="1"/>
        <v>BRANNON JEFFREY</v>
      </c>
    </row>
    <row r="76" spans="1:7" x14ac:dyDescent="0.25">
      <c r="A76" s="8">
        <v>42706.400995370372</v>
      </c>
      <c r="B76" s="21" t="s">
        <v>213</v>
      </c>
      <c r="C76" s="21" t="s">
        <v>528</v>
      </c>
      <c r="D76" s="165">
        <v>1830000</v>
      </c>
      <c r="E76" s="21" t="s">
        <v>369</v>
      </c>
      <c r="F76" s="21" t="s">
        <v>370</v>
      </c>
      <c r="G76" s="8" t="str">
        <f t="shared" si="1"/>
        <v>YORK EDGAR</v>
      </c>
    </row>
    <row r="77" spans="1:7" x14ac:dyDescent="0.25">
      <c r="A77" s="8">
        <v>42706.412986111114</v>
      </c>
      <c r="B77" s="21" t="s">
        <v>260</v>
      </c>
      <c r="C77" s="21" t="s">
        <v>529</v>
      </c>
      <c r="D77" s="165">
        <v>2610000</v>
      </c>
      <c r="E77" s="21" t="s">
        <v>477</v>
      </c>
      <c r="F77" s="21" t="s">
        <v>478</v>
      </c>
      <c r="G77" s="8" t="str">
        <f t="shared" si="1"/>
        <v>MAGEE KENYA</v>
      </c>
    </row>
    <row r="78" spans="1:7" x14ac:dyDescent="0.25">
      <c r="A78" s="8">
        <v>42706.413402777776</v>
      </c>
      <c r="B78" s="21" t="s">
        <v>318</v>
      </c>
      <c r="C78" s="21" t="s">
        <v>530</v>
      </c>
      <c r="D78" s="165">
        <v>2630000</v>
      </c>
      <c r="E78" s="21" t="s">
        <v>257</v>
      </c>
      <c r="F78" s="21" t="s">
        <v>345</v>
      </c>
      <c r="G78" s="8" t="str">
        <f t="shared" si="1"/>
        <v>SAFIEF AEIMEN</v>
      </c>
    </row>
    <row r="79" spans="1:7" x14ac:dyDescent="0.25">
      <c r="A79" s="8">
        <v>42706.414293981485</v>
      </c>
      <c r="B79" s="21" t="s">
        <v>211</v>
      </c>
      <c r="C79" s="21" t="s">
        <v>531</v>
      </c>
      <c r="D79" s="165">
        <v>1830000</v>
      </c>
      <c r="E79" s="21" t="s">
        <v>369</v>
      </c>
      <c r="F79" s="21" t="s">
        <v>370</v>
      </c>
      <c r="G79" s="8" t="str">
        <f t="shared" si="1"/>
        <v>YORK EDGAR</v>
      </c>
    </row>
    <row r="80" spans="1:7" x14ac:dyDescent="0.25">
      <c r="A80" s="8">
        <v>42706.417696759258</v>
      </c>
      <c r="B80" s="21" t="s">
        <v>235</v>
      </c>
      <c r="C80" s="21" t="s">
        <v>532</v>
      </c>
      <c r="D80" s="165">
        <v>1990000</v>
      </c>
      <c r="E80" s="21" t="s">
        <v>466</v>
      </c>
      <c r="F80" s="21" t="s">
        <v>467</v>
      </c>
      <c r="G80" s="8" t="str">
        <f t="shared" si="1"/>
        <v>DAVIS WENDY</v>
      </c>
    </row>
    <row r="81" spans="1:7" x14ac:dyDescent="0.25">
      <c r="A81" s="8">
        <v>42706.423159722224</v>
      </c>
      <c r="B81" s="21" t="s">
        <v>184</v>
      </c>
      <c r="C81" s="21" t="s">
        <v>441</v>
      </c>
      <c r="D81" s="165">
        <v>1090000</v>
      </c>
      <c r="E81" s="21" t="s">
        <v>301</v>
      </c>
      <c r="F81" s="21" t="s">
        <v>343</v>
      </c>
      <c r="G81" s="8" t="str">
        <f t="shared" si="1"/>
        <v>SPECTOR MICHAEL</v>
      </c>
    </row>
    <row r="82" spans="1:7" x14ac:dyDescent="0.25">
      <c r="A82" s="8">
        <v>42706.427835648145</v>
      </c>
      <c r="B82" s="21" t="s">
        <v>216</v>
      </c>
      <c r="C82" s="21" t="s">
        <v>533</v>
      </c>
      <c r="D82" s="165">
        <v>2140000</v>
      </c>
      <c r="E82" s="21" t="s">
        <v>363</v>
      </c>
      <c r="F82" s="21" t="s">
        <v>364</v>
      </c>
      <c r="G82" s="8" t="str">
        <f t="shared" si="1"/>
        <v>ROBINSON KADDIBA</v>
      </c>
    </row>
    <row r="83" spans="1:7" x14ac:dyDescent="0.25">
      <c r="A83" s="8">
        <v>42706.434594907405</v>
      </c>
      <c r="B83" s="21" t="s">
        <v>254</v>
      </c>
      <c r="C83" s="21" t="s">
        <v>534</v>
      </c>
      <c r="D83" s="165">
        <v>1760000</v>
      </c>
      <c r="E83" s="21" t="s">
        <v>365</v>
      </c>
      <c r="F83" s="21" t="s">
        <v>366</v>
      </c>
      <c r="G83" s="8" t="str">
        <f t="shared" si="1"/>
        <v>STRICKLAND EVAN</v>
      </c>
    </row>
    <row r="84" spans="1:7" x14ac:dyDescent="0.25">
      <c r="A84" s="8">
        <v>42706.436944444446</v>
      </c>
      <c r="B84" s="21" t="s">
        <v>298</v>
      </c>
      <c r="C84" s="21" t="s">
        <v>535</v>
      </c>
      <c r="D84" s="165">
        <v>2270000</v>
      </c>
      <c r="E84" s="21" t="s">
        <v>330</v>
      </c>
      <c r="F84" s="21" t="s">
        <v>352</v>
      </c>
      <c r="G84" s="8" t="str">
        <f t="shared" si="1"/>
        <v>BROWN JACOB</v>
      </c>
    </row>
    <row r="85" spans="1:7" x14ac:dyDescent="0.25">
      <c r="A85" s="8">
        <v>42706.437662037039</v>
      </c>
      <c r="B85" s="21" t="s">
        <v>292</v>
      </c>
      <c r="C85" s="21" t="s">
        <v>536</v>
      </c>
      <c r="D85" s="165">
        <v>1190000</v>
      </c>
      <c r="E85" s="21" t="s">
        <v>473</v>
      </c>
      <c r="F85" s="21" t="s">
        <v>474</v>
      </c>
      <c r="G85" s="8" t="str">
        <f t="shared" si="1"/>
        <v>BRANNON JEFFREY</v>
      </c>
    </row>
    <row r="86" spans="1:7" x14ac:dyDescent="0.25">
      <c r="A86" s="8">
        <v>42706.442673611113</v>
      </c>
      <c r="B86" s="21" t="s">
        <v>220</v>
      </c>
      <c r="C86" s="21" t="s">
        <v>537</v>
      </c>
      <c r="D86" s="165">
        <v>2630000</v>
      </c>
      <c r="E86" s="21" t="s">
        <v>257</v>
      </c>
      <c r="F86" s="21" t="s">
        <v>345</v>
      </c>
      <c r="G86" s="8" t="str">
        <f t="shared" si="1"/>
        <v>SAFIEF AEIMEN</v>
      </c>
    </row>
    <row r="87" spans="1:7" x14ac:dyDescent="0.25">
      <c r="A87" s="8">
        <v>42706.444050925929</v>
      </c>
      <c r="B87" s="21" t="s">
        <v>213</v>
      </c>
      <c r="C87" s="21" t="s">
        <v>538</v>
      </c>
      <c r="D87" s="165">
        <v>1830000</v>
      </c>
      <c r="E87" s="21" t="s">
        <v>369</v>
      </c>
      <c r="F87" s="21" t="s">
        <v>370</v>
      </c>
      <c r="G87" s="8" t="str">
        <f t="shared" si="1"/>
        <v>YORK EDGAR</v>
      </c>
    </row>
    <row r="88" spans="1:7" x14ac:dyDescent="0.25">
      <c r="A88" s="8">
        <v>42706.447835648149</v>
      </c>
      <c r="B88" s="21" t="s">
        <v>261</v>
      </c>
      <c r="C88" s="21" t="s">
        <v>539</v>
      </c>
      <c r="D88" s="165">
        <v>2610000</v>
      </c>
      <c r="E88" s="21" t="s">
        <v>477</v>
      </c>
      <c r="F88" s="21" t="s">
        <v>478</v>
      </c>
      <c r="G88" s="8" t="str">
        <f t="shared" si="1"/>
        <v>MAGEE KENYA</v>
      </c>
    </row>
    <row r="89" spans="1:7" x14ac:dyDescent="0.25">
      <c r="A89" s="8">
        <v>42706.455775462964</v>
      </c>
      <c r="B89" s="21" t="s">
        <v>234</v>
      </c>
      <c r="C89" s="21" t="s">
        <v>540</v>
      </c>
      <c r="D89" s="165">
        <v>880000</v>
      </c>
      <c r="E89" s="21" t="s">
        <v>541</v>
      </c>
      <c r="F89" s="21" t="s">
        <v>343</v>
      </c>
      <c r="G89" s="8" t="str">
        <f t="shared" si="1"/>
        <v>STEWART MICHAEL</v>
      </c>
    </row>
    <row r="90" spans="1:7" x14ac:dyDescent="0.25">
      <c r="A90" s="8">
        <v>42706.456446759257</v>
      </c>
      <c r="B90" s="21" t="s">
        <v>442</v>
      </c>
      <c r="C90" s="21" t="s">
        <v>443</v>
      </c>
      <c r="D90" s="165">
        <v>2230000</v>
      </c>
      <c r="E90" s="21" t="s">
        <v>542</v>
      </c>
      <c r="F90" s="21" t="s">
        <v>343</v>
      </c>
      <c r="G90" s="8" t="str">
        <f t="shared" si="1"/>
        <v>SMITH MICHAEL</v>
      </c>
    </row>
    <row r="91" spans="1:7" x14ac:dyDescent="0.25">
      <c r="A91" s="8">
        <v>42706.458831018521</v>
      </c>
      <c r="B91" s="21" t="s">
        <v>319</v>
      </c>
      <c r="C91" s="21" t="s">
        <v>543</v>
      </c>
      <c r="D91" s="165">
        <v>1090000</v>
      </c>
      <c r="E91" s="21" t="s">
        <v>301</v>
      </c>
      <c r="F91" s="21" t="s">
        <v>343</v>
      </c>
      <c r="G91" s="8" t="str">
        <f t="shared" si="1"/>
        <v>SPECTOR MICHAEL</v>
      </c>
    </row>
    <row r="92" spans="1:7" x14ac:dyDescent="0.25">
      <c r="A92" s="8">
        <v>42706.463009259256</v>
      </c>
      <c r="B92" s="21" t="s">
        <v>208</v>
      </c>
      <c r="C92" s="21" t="s">
        <v>544</v>
      </c>
      <c r="D92" s="165">
        <v>930000</v>
      </c>
      <c r="E92" s="21" t="s">
        <v>545</v>
      </c>
      <c r="F92" s="21" t="s">
        <v>546</v>
      </c>
      <c r="G92" s="8" t="str">
        <f t="shared" si="1"/>
        <v>CLARK KATHLEEN</v>
      </c>
    </row>
    <row r="93" spans="1:7" x14ac:dyDescent="0.25">
      <c r="A93" s="8">
        <v>42706.46503472222</v>
      </c>
      <c r="B93" s="21" t="s">
        <v>234</v>
      </c>
      <c r="C93" s="21" t="s">
        <v>540</v>
      </c>
      <c r="D93" s="165">
        <v>880000</v>
      </c>
      <c r="E93" s="21" t="s">
        <v>541</v>
      </c>
      <c r="F93" s="21" t="s">
        <v>343</v>
      </c>
      <c r="G93" s="8" t="str">
        <f t="shared" si="1"/>
        <v>STEWART MICHAEL</v>
      </c>
    </row>
    <row r="94" spans="1:7" x14ac:dyDescent="0.25">
      <c r="A94" s="8">
        <v>42706.465462962966</v>
      </c>
      <c r="B94" s="21" t="s">
        <v>299</v>
      </c>
      <c r="C94" s="21" t="s">
        <v>547</v>
      </c>
      <c r="D94" s="165">
        <v>1200000</v>
      </c>
      <c r="E94" s="21" t="s">
        <v>548</v>
      </c>
      <c r="F94" s="21" t="s">
        <v>549</v>
      </c>
      <c r="G94" s="8" t="str">
        <f t="shared" si="1"/>
        <v>CUSHING HARRY</v>
      </c>
    </row>
    <row r="95" spans="1:7" x14ac:dyDescent="0.25">
      <c r="A95" s="8">
        <v>42706.47146990741</v>
      </c>
      <c r="B95" s="21" t="s">
        <v>211</v>
      </c>
      <c r="C95" s="21" t="s">
        <v>550</v>
      </c>
      <c r="D95" s="165">
        <v>2620000</v>
      </c>
      <c r="E95" s="21" t="s">
        <v>300</v>
      </c>
      <c r="F95" s="21" t="s">
        <v>346</v>
      </c>
      <c r="G95" s="8" t="str">
        <f t="shared" si="1"/>
        <v>PERKINS DARREN</v>
      </c>
    </row>
    <row r="96" spans="1:7" x14ac:dyDescent="0.25">
      <c r="A96" s="8">
        <v>42706.471550925926</v>
      </c>
      <c r="B96" s="21" t="s">
        <v>255</v>
      </c>
      <c r="C96" s="21" t="s">
        <v>444</v>
      </c>
      <c r="D96" s="165">
        <v>1760000</v>
      </c>
      <c r="E96" s="21" t="s">
        <v>365</v>
      </c>
      <c r="F96" s="21" t="s">
        <v>366</v>
      </c>
      <c r="G96" s="8" t="str">
        <f t="shared" si="1"/>
        <v>STRICKLAND EVAN</v>
      </c>
    </row>
    <row r="97" spans="1:7" x14ac:dyDescent="0.25">
      <c r="A97" s="8">
        <v>42706.474120370367</v>
      </c>
      <c r="B97" s="21" t="s">
        <v>218</v>
      </c>
      <c r="C97" s="21" t="s">
        <v>551</v>
      </c>
      <c r="D97" s="165">
        <v>940000</v>
      </c>
      <c r="E97" s="21" t="s">
        <v>302</v>
      </c>
      <c r="F97" s="21" t="s">
        <v>347</v>
      </c>
      <c r="G97" s="8" t="str">
        <f t="shared" si="1"/>
        <v>BONDS REYNALDO</v>
      </c>
    </row>
    <row r="98" spans="1:7" x14ac:dyDescent="0.25">
      <c r="A98" s="8">
        <v>42706.476157407407</v>
      </c>
      <c r="B98" s="21" t="s">
        <v>318</v>
      </c>
      <c r="C98" s="21" t="s">
        <v>552</v>
      </c>
      <c r="D98" s="165">
        <v>2630000</v>
      </c>
      <c r="E98" s="21" t="s">
        <v>257</v>
      </c>
      <c r="F98" s="21" t="s">
        <v>345</v>
      </c>
      <c r="G98" s="8" t="str">
        <f t="shared" si="1"/>
        <v>SAFIEF AEIMEN</v>
      </c>
    </row>
    <row r="99" spans="1:7" x14ac:dyDescent="0.25">
      <c r="A99" s="8">
        <v>42706.483263888891</v>
      </c>
      <c r="B99" s="21" t="s">
        <v>553</v>
      </c>
      <c r="C99" s="21" t="s">
        <v>554</v>
      </c>
      <c r="D99" s="165">
        <v>1190000</v>
      </c>
      <c r="E99" s="21" t="s">
        <v>473</v>
      </c>
      <c r="F99" s="21" t="s">
        <v>474</v>
      </c>
      <c r="G99" s="8" t="str">
        <f t="shared" si="1"/>
        <v>BRANNON JEFFREY</v>
      </c>
    </row>
    <row r="100" spans="1:7" x14ac:dyDescent="0.25">
      <c r="A100" s="8">
        <v>42706.485590277778</v>
      </c>
      <c r="B100" s="21" t="s">
        <v>260</v>
      </c>
      <c r="C100" s="21" t="s">
        <v>555</v>
      </c>
      <c r="D100" s="165">
        <v>2040000</v>
      </c>
      <c r="E100" s="21" t="s">
        <v>329</v>
      </c>
      <c r="F100" s="21" t="s">
        <v>350</v>
      </c>
      <c r="G100" s="8" t="str">
        <f t="shared" si="1"/>
        <v>MOSES BRADLEY</v>
      </c>
    </row>
    <row r="101" spans="1:7" x14ac:dyDescent="0.25">
      <c r="A101" s="8">
        <v>42706.485798611109</v>
      </c>
      <c r="B101" s="21" t="s">
        <v>213</v>
      </c>
      <c r="C101" s="21" t="s">
        <v>556</v>
      </c>
      <c r="D101" s="165">
        <v>2620000</v>
      </c>
      <c r="E101" s="21" t="s">
        <v>300</v>
      </c>
      <c r="F101" s="21" t="s">
        <v>346</v>
      </c>
      <c r="G101" s="8" t="str">
        <f t="shared" si="1"/>
        <v>PERKINS DARREN</v>
      </c>
    </row>
    <row r="102" spans="1:7" x14ac:dyDescent="0.25">
      <c r="A102" s="8">
        <v>42706.494814814818</v>
      </c>
      <c r="B102" s="21" t="s">
        <v>235</v>
      </c>
      <c r="C102" s="21" t="s">
        <v>557</v>
      </c>
      <c r="D102" s="165">
        <v>880000</v>
      </c>
      <c r="E102" s="21" t="s">
        <v>541</v>
      </c>
      <c r="F102" s="21" t="s">
        <v>343</v>
      </c>
      <c r="G102" s="8" t="str">
        <f t="shared" si="1"/>
        <v>STEWART MICHAEL</v>
      </c>
    </row>
    <row r="103" spans="1:7" x14ac:dyDescent="0.25">
      <c r="A103" s="8">
        <v>42706.498622685183</v>
      </c>
      <c r="B103" s="21" t="s">
        <v>184</v>
      </c>
      <c r="C103" s="21" t="s">
        <v>558</v>
      </c>
      <c r="D103" s="165">
        <v>1820000</v>
      </c>
      <c r="E103" s="21" t="s">
        <v>328</v>
      </c>
      <c r="F103" s="21" t="s">
        <v>348</v>
      </c>
      <c r="G103" s="8" t="str">
        <f t="shared" si="1"/>
        <v>ADANE ELSHADAY</v>
      </c>
    </row>
    <row r="104" spans="1:7" x14ac:dyDescent="0.25">
      <c r="A104" s="8">
        <v>42706.49962962963</v>
      </c>
      <c r="B104" s="21" t="s">
        <v>211</v>
      </c>
      <c r="C104" s="21" t="s">
        <v>559</v>
      </c>
      <c r="D104" s="165">
        <v>1830000</v>
      </c>
      <c r="E104" s="21" t="s">
        <v>369</v>
      </c>
      <c r="F104" s="21" t="s">
        <v>370</v>
      </c>
      <c r="G104" s="8" t="str">
        <f t="shared" si="1"/>
        <v>YORK EDGAR</v>
      </c>
    </row>
    <row r="105" spans="1:7" x14ac:dyDescent="0.25">
      <c r="A105" s="8">
        <v>42706.50199074074</v>
      </c>
      <c r="B105" s="21" t="s">
        <v>216</v>
      </c>
      <c r="C105" s="21" t="s">
        <v>560</v>
      </c>
      <c r="D105" s="165">
        <v>930000</v>
      </c>
      <c r="E105" s="21" t="s">
        <v>545</v>
      </c>
      <c r="F105" s="21" t="s">
        <v>546</v>
      </c>
      <c r="G105" s="8" t="str">
        <f t="shared" si="1"/>
        <v>CLARK KATHLEEN</v>
      </c>
    </row>
    <row r="106" spans="1:7" x14ac:dyDescent="0.25">
      <c r="A106" s="8">
        <v>42706.510706018518</v>
      </c>
      <c r="B106" s="21" t="s">
        <v>292</v>
      </c>
      <c r="C106" s="21" t="s">
        <v>447</v>
      </c>
      <c r="D106" s="165">
        <v>940000</v>
      </c>
      <c r="E106" s="21" t="s">
        <v>302</v>
      </c>
      <c r="F106" s="21" t="s">
        <v>347</v>
      </c>
      <c r="G106" s="8" t="str">
        <f t="shared" si="1"/>
        <v>BONDS REYNALDO</v>
      </c>
    </row>
    <row r="107" spans="1:7" x14ac:dyDescent="0.25">
      <c r="A107" s="8">
        <v>42706.511377314811</v>
      </c>
      <c r="B107" s="21" t="s">
        <v>254</v>
      </c>
      <c r="C107" s="21" t="s">
        <v>445</v>
      </c>
      <c r="D107" s="165">
        <v>2020000</v>
      </c>
      <c r="E107" s="21" t="s">
        <v>374</v>
      </c>
      <c r="F107" s="21" t="s">
        <v>341</v>
      </c>
      <c r="G107" s="8" t="str">
        <f t="shared" si="1"/>
        <v>SHOOK JOHN</v>
      </c>
    </row>
    <row r="108" spans="1:7" x14ac:dyDescent="0.25">
      <c r="A108" s="8">
        <v>42706.517523148148</v>
      </c>
      <c r="B108" s="21" t="s">
        <v>220</v>
      </c>
      <c r="C108" s="21" t="s">
        <v>446</v>
      </c>
      <c r="D108" s="165">
        <v>1740000</v>
      </c>
      <c r="E108" s="21" t="s">
        <v>320</v>
      </c>
      <c r="F108" s="21" t="s">
        <v>349</v>
      </c>
      <c r="G108" s="8" t="str">
        <f t="shared" si="1"/>
        <v>STORY SAMANTHA</v>
      </c>
    </row>
    <row r="109" spans="1:7" x14ac:dyDescent="0.25">
      <c r="A109" s="8">
        <v>42706.525648148148</v>
      </c>
      <c r="B109" s="21" t="s">
        <v>261</v>
      </c>
      <c r="C109" s="21" t="s">
        <v>561</v>
      </c>
      <c r="D109" s="165">
        <v>2040000</v>
      </c>
      <c r="E109" s="21" t="s">
        <v>329</v>
      </c>
      <c r="F109" s="21" t="s">
        <v>350</v>
      </c>
      <c r="G109" s="8" t="str">
        <f t="shared" si="1"/>
        <v>MOSES BRADLEY</v>
      </c>
    </row>
    <row r="110" spans="1:7" x14ac:dyDescent="0.25">
      <c r="A110" s="8">
        <v>42706.525937500002</v>
      </c>
      <c r="B110" s="21" t="s">
        <v>213</v>
      </c>
      <c r="C110" s="21" t="s">
        <v>562</v>
      </c>
      <c r="D110" s="165">
        <v>1830000</v>
      </c>
      <c r="E110" s="21" t="s">
        <v>369</v>
      </c>
      <c r="F110" s="21" t="s">
        <v>370</v>
      </c>
      <c r="G110" s="8" t="str">
        <f t="shared" si="1"/>
        <v>YORK EDGAR</v>
      </c>
    </row>
    <row r="111" spans="1:7" x14ac:dyDescent="0.25">
      <c r="A111" s="8">
        <v>42706.526736111111</v>
      </c>
      <c r="B111" s="21" t="s">
        <v>234</v>
      </c>
      <c r="C111" s="21" t="s">
        <v>563</v>
      </c>
      <c r="D111" s="165">
        <v>880000</v>
      </c>
      <c r="E111" s="21" t="s">
        <v>541</v>
      </c>
      <c r="F111" s="21" t="s">
        <v>343</v>
      </c>
      <c r="G111" s="8" t="str">
        <f t="shared" si="1"/>
        <v>STEWART MICHAEL</v>
      </c>
    </row>
    <row r="112" spans="1:7" x14ac:dyDescent="0.25">
      <c r="A112" s="8">
        <v>42706.52920138889</v>
      </c>
      <c r="B112" s="21" t="s">
        <v>216</v>
      </c>
      <c r="C112" s="21" t="s">
        <v>560</v>
      </c>
      <c r="D112" s="165">
        <v>930000</v>
      </c>
      <c r="E112" s="21" t="s">
        <v>545</v>
      </c>
      <c r="F112" s="21" t="s">
        <v>546</v>
      </c>
      <c r="G112" s="8" t="str">
        <f t="shared" si="1"/>
        <v>CLARK KATHLEEN</v>
      </c>
    </row>
    <row r="113" spans="1:7" x14ac:dyDescent="0.25">
      <c r="A113" s="8">
        <v>42706.529826388891</v>
      </c>
      <c r="B113" s="21" t="s">
        <v>319</v>
      </c>
      <c r="C113" s="21" t="s">
        <v>564</v>
      </c>
      <c r="D113" s="165">
        <v>1820000</v>
      </c>
      <c r="E113" s="21" t="s">
        <v>328</v>
      </c>
      <c r="F113" s="21" t="s">
        <v>348</v>
      </c>
      <c r="G113" s="8" t="str">
        <f t="shared" si="1"/>
        <v>ADANE ELSHADAY</v>
      </c>
    </row>
    <row r="114" spans="1:7" x14ac:dyDescent="0.25">
      <c r="A114" s="8">
        <v>42706.540729166663</v>
      </c>
      <c r="B114" s="21" t="s">
        <v>208</v>
      </c>
      <c r="C114" s="21" t="s">
        <v>565</v>
      </c>
      <c r="D114" s="165">
        <v>930000</v>
      </c>
      <c r="E114" s="21" t="s">
        <v>545</v>
      </c>
      <c r="F114" s="21" t="s">
        <v>546</v>
      </c>
      <c r="G114" s="8" t="str">
        <f t="shared" si="1"/>
        <v>CLARK KATHLEEN</v>
      </c>
    </row>
    <row r="115" spans="1:7" x14ac:dyDescent="0.25">
      <c r="A115" s="8">
        <v>42706.547546296293</v>
      </c>
      <c r="B115" s="21" t="s">
        <v>218</v>
      </c>
      <c r="C115" s="21" t="s">
        <v>566</v>
      </c>
      <c r="D115" s="165">
        <v>940000</v>
      </c>
      <c r="E115" s="21" t="s">
        <v>302</v>
      </c>
      <c r="F115" s="21" t="s">
        <v>347</v>
      </c>
      <c r="G115" s="8" t="str">
        <f t="shared" si="1"/>
        <v>BONDS REYNALDO</v>
      </c>
    </row>
    <row r="116" spans="1:7" x14ac:dyDescent="0.25">
      <c r="A116" s="8">
        <v>42706.547858796293</v>
      </c>
      <c r="B116" s="21" t="s">
        <v>255</v>
      </c>
      <c r="C116" s="21" t="s">
        <v>567</v>
      </c>
      <c r="D116" s="165">
        <v>2020000</v>
      </c>
      <c r="E116" s="21" t="s">
        <v>374</v>
      </c>
      <c r="F116" s="21" t="s">
        <v>341</v>
      </c>
      <c r="G116" s="8" t="str">
        <f t="shared" si="1"/>
        <v>SHOOK JOHN</v>
      </c>
    </row>
    <row r="117" spans="1:7" x14ac:dyDescent="0.25">
      <c r="A117" s="8">
        <v>42706.551655092589</v>
      </c>
      <c r="B117" s="21" t="s">
        <v>211</v>
      </c>
      <c r="C117" s="21" t="s">
        <v>568</v>
      </c>
      <c r="D117" s="165">
        <v>2600000</v>
      </c>
      <c r="E117" s="21" t="s">
        <v>256</v>
      </c>
      <c r="F117" s="21" t="s">
        <v>344</v>
      </c>
      <c r="G117" s="8" t="str">
        <f t="shared" si="1"/>
        <v>DAVIDSON DAVID</v>
      </c>
    </row>
    <row r="118" spans="1:7" x14ac:dyDescent="0.25">
      <c r="A118" s="8">
        <v>42706.556018518517</v>
      </c>
      <c r="B118" s="21" t="s">
        <v>318</v>
      </c>
      <c r="C118" s="21" t="s">
        <v>569</v>
      </c>
      <c r="D118" s="165">
        <v>1740000</v>
      </c>
      <c r="E118" s="21" t="s">
        <v>320</v>
      </c>
      <c r="F118" s="21" t="s">
        <v>349</v>
      </c>
      <c r="G118" s="8" t="str">
        <f t="shared" si="1"/>
        <v>STORY SAMANTHA</v>
      </c>
    </row>
    <row r="119" spans="1:7" x14ac:dyDescent="0.25">
      <c r="A119" s="8">
        <v>42706.560300925928</v>
      </c>
      <c r="B119" s="21" t="s">
        <v>260</v>
      </c>
      <c r="C119" s="21" t="s">
        <v>570</v>
      </c>
      <c r="D119" s="165">
        <v>2040000</v>
      </c>
      <c r="E119" s="21" t="s">
        <v>329</v>
      </c>
      <c r="F119" s="21" t="s">
        <v>350</v>
      </c>
      <c r="G119" s="8" t="str">
        <f t="shared" si="1"/>
        <v>MOSES BRADLEY</v>
      </c>
    </row>
    <row r="120" spans="1:7" x14ac:dyDescent="0.25">
      <c r="A120" s="8">
        <v>42706.56759259259</v>
      </c>
      <c r="B120" s="21" t="s">
        <v>213</v>
      </c>
      <c r="C120" s="21" t="s">
        <v>571</v>
      </c>
      <c r="D120" s="165">
        <v>2600000</v>
      </c>
      <c r="E120" s="21" t="s">
        <v>256</v>
      </c>
      <c r="F120" s="21" t="s">
        <v>344</v>
      </c>
      <c r="G120" s="8" t="str">
        <f t="shared" si="1"/>
        <v>DAVIDSON DAVID</v>
      </c>
    </row>
    <row r="121" spans="1:7" x14ac:dyDescent="0.25">
      <c r="A121" s="8">
        <v>42706.56763888889</v>
      </c>
      <c r="B121" s="21" t="s">
        <v>235</v>
      </c>
      <c r="C121" s="21" t="s">
        <v>572</v>
      </c>
      <c r="D121" s="165">
        <v>880000</v>
      </c>
      <c r="E121" s="21" t="s">
        <v>541</v>
      </c>
      <c r="F121" s="21" t="s">
        <v>343</v>
      </c>
      <c r="G121" s="8" t="str">
        <f t="shared" si="1"/>
        <v>STEWART MICHAEL</v>
      </c>
    </row>
    <row r="122" spans="1:7" x14ac:dyDescent="0.25">
      <c r="A122" s="8">
        <v>42706.569444444445</v>
      </c>
      <c r="B122" s="26" t="s">
        <v>184</v>
      </c>
      <c r="C122" s="21" t="s">
        <v>448</v>
      </c>
      <c r="D122" s="165">
        <v>1820000</v>
      </c>
      <c r="E122" s="21" t="s">
        <v>328</v>
      </c>
      <c r="F122" s="21" t="s">
        <v>348</v>
      </c>
      <c r="G122" s="8" t="str">
        <f t="shared" si="1"/>
        <v>ADANE ELSHADAY</v>
      </c>
    </row>
    <row r="123" spans="1:7" x14ac:dyDescent="0.25">
      <c r="A123" s="8">
        <v>42706.57608796296</v>
      </c>
      <c r="B123" s="21" t="s">
        <v>216</v>
      </c>
      <c r="C123" s="21" t="s">
        <v>573</v>
      </c>
      <c r="D123" s="165">
        <v>930000</v>
      </c>
      <c r="E123" s="21" t="s">
        <v>545</v>
      </c>
      <c r="F123" s="21" t="s">
        <v>546</v>
      </c>
      <c r="G123" s="8" t="str">
        <f t="shared" si="1"/>
        <v>CLARK KATHLEEN</v>
      </c>
    </row>
    <row r="124" spans="1:7" x14ac:dyDescent="0.25">
      <c r="A124" s="8">
        <v>42706.579131944447</v>
      </c>
      <c r="B124" s="21" t="s">
        <v>254</v>
      </c>
      <c r="C124" s="21" t="s">
        <v>574</v>
      </c>
      <c r="D124" s="165">
        <v>2020000</v>
      </c>
      <c r="E124" s="21" t="s">
        <v>374</v>
      </c>
      <c r="F124" s="21" t="s">
        <v>341</v>
      </c>
      <c r="G124" s="8" t="str">
        <f t="shared" si="1"/>
        <v>SHOOK JOHN</v>
      </c>
    </row>
    <row r="125" spans="1:7" x14ac:dyDescent="0.25">
      <c r="A125" s="8">
        <v>42706.580648148149</v>
      </c>
      <c r="B125" s="21" t="s">
        <v>292</v>
      </c>
      <c r="C125" s="21" t="s">
        <v>450</v>
      </c>
      <c r="D125" s="165">
        <v>940000</v>
      </c>
      <c r="E125" s="21" t="s">
        <v>302</v>
      </c>
      <c r="F125" s="21" t="s">
        <v>347</v>
      </c>
      <c r="G125" s="8" t="str">
        <f t="shared" si="1"/>
        <v>BONDS REYNALDO</v>
      </c>
    </row>
    <row r="126" spans="1:7" x14ac:dyDescent="0.25">
      <c r="A126" s="8">
        <v>42706.589525462965</v>
      </c>
      <c r="B126" s="21" t="s">
        <v>220</v>
      </c>
      <c r="C126" s="21" t="s">
        <v>449</v>
      </c>
      <c r="D126" s="165">
        <v>1740000</v>
      </c>
      <c r="E126" s="21" t="s">
        <v>320</v>
      </c>
      <c r="F126" s="21" t="s">
        <v>349</v>
      </c>
      <c r="G126" s="8" t="str">
        <f t="shared" si="1"/>
        <v>STORY SAMANTHA</v>
      </c>
    </row>
    <row r="127" spans="1:7" x14ac:dyDescent="0.25">
      <c r="A127" s="8">
        <v>42706.593831018516</v>
      </c>
      <c r="B127" s="21" t="s">
        <v>211</v>
      </c>
      <c r="C127" s="21" t="s">
        <v>575</v>
      </c>
      <c r="D127" s="165">
        <v>2600000</v>
      </c>
      <c r="E127" s="21" t="s">
        <v>256</v>
      </c>
      <c r="F127" s="21" t="s">
        <v>344</v>
      </c>
      <c r="G127" s="8" t="str">
        <f t="shared" si="1"/>
        <v>DAVIDSON DAVID</v>
      </c>
    </row>
    <row r="128" spans="1:7" x14ac:dyDescent="0.25">
      <c r="A128" s="8">
        <v>42706.599039351851</v>
      </c>
      <c r="B128" s="21" t="s">
        <v>261</v>
      </c>
      <c r="C128" s="21" t="s">
        <v>576</v>
      </c>
      <c r="D128" s="165">
        <v>2040000</v>
      </c>
      <c r="E128" s="21" t="s">
        <v>329</v>
      </c>
      <c r="F128" s="21" t="s">
        <v>350</v>
      </c>
      <c r="G128" s="8" t="str">
        <f t="shared" si="1"/>
        <v>MOSES BRADLEY</v>
      </c>
    </row>
    <row r="129" spans="1:7" x14ac:dyDescent="0.25">
      <c r="A129" s="8">
        <v>42706.6</v>
      </c>
      <c r="B129" s="21" t="s">
        <v>234</v>
      </c>
      <c r="C129" s="21" t="s">
        <v>577</v>
      </c>
      <c r="D129" s="165">
        <v>880000</v>
      </c>
      <c r="E129" s="21" t="s">
        <v>541</v>
      </c>
      <c r="F129" s="21" t="s">
        <v>343</v>
      </c>
      <c r="G129" s="8" t="str">
        <f t="shared" si="1"/>
        <v>STEWART MICHAEL</v>
      </c>
    </row>
    <row r="130" spans="1:7" x14ac:dyDescent="0.25">
      <c r="A130" s="8">
        <v>42706.600729166668</v>
      </c>
      <c r="B130" s="21" t="s">
        <v>319</v>
      </c>
      <c r="C130" s="21" t="s">
        <v>578</v>
      </c>
      <c r="D130" s="165">
        <v>1820000</v>
      </c>
      <c r="E130" s="21" t="s">
        <v>328</v>
      </c>
      <c r="F130" s="21" t="s">
        <v>348</v>
      </c>
      <c r="G130" s="8" t="str">
        <f t="shared" si="1"/>
        <v>ADANE ELSHADAY</v>
      </c>
    </row>
    <row r="131" spans="1:7" x14ac:dyDescent="0.25">
      <c r="A131" s="8">
        <v>42706.610324074078</v>
      </c>
      <c r="B131" s="21" t="s">
        <v>208</v>
      </c>
      <c r="C131" s="21" t="s">
        <v>579</v>
      </c>
      <c r="D131" s="165">
        <v>930000</v>
      </c>
      <c r="E131" s="21" t="s">
        <v>545</v>
      </c>
      <c r="F131" s="21" t="s">
        <v>546</v>
      </c>
      <c r="G131" s="8" t="str">
        <f t="shared" ref="G131:G194" si="2">E131&amp;" "&amp;F131</f>
        <v>CLARK KATHLEEN</v>
      </c>
    </row>
    <row r="132" spans="1:7" x14ac:dyDescent="0.25">
      <c r="A132" s="8">
        <v>42706.611226851855</v>
      </c>
      <c r="B132" s="21" t="s">
        <v>213</v>
      </c>
      <c r="C132" s="21" t="s">
        <v>580</v>
      </c>
      <c r="D132" s="165">
        <v>2600000</v>
      </c>
      <c r="E132" s="21" t="s">
        <v>256</v>
      </c>
      <c r="F132" s="21" t="s">
        <v>344</v>
      </c>
      <c r="G132" s="8" t="str">
        <f t="shared" si="2"/>
        <v>DAVIDSON DAVID</v>
      </c>
    </row>
    <row r="133" spans="1:7" x14ac:dyDescent="0.25">
      <c r="A133" s="8">
        <v>42706.619467592594</v>
      </c>
      <c r="B133" s="21" t="s">
        <v>218</v>
      </c>
      <c r="C133" s="21" t="s">
        <v>581</v>
      </c>
      <c r="D133" s="165">
        <v>940000</v>
      </c>
      <c r="E133" s="21" t="s">
        <v>302</v>
      </c>
      <c r="F133" s="21" t="s">
        <v>347</v>
      </c>
      <c r="G133" s="8" t="str">
        <f t="shared" si="2"/>
        <v>BONDS REYNALDO</v>
      </c>
    </row>
    <row r="134" spans="1:7" x14ac:dyDescent="0.25">
      <c r="A134" s="8">
        <v>42706.619652777779</v>
      </c>
      <c r="B134" s="21" t="s">
        <v>255</v>
      </c>
      <c r="C134" s="21" t="s">
        <v>582</v>
      </c>
      <c r="D134" s="165">
        <v>2020000</v>
      </c>
      <c r="E134" s="21" t="s">
        <v>374</v>
      </c>
      <c r="F134" s="21" t="s">
        <v>341</v>
      </c>
      <c r="G134" s="8" t="str">
        <f t="shared" si="2"/>
        <v>SHOOK JOHN</v>
      </c>
    </row>
    <row r="135" spans="1:7" x14ac:dyDescent="0.25">
      <c r="A135" s="8">
        <v>42706.623541666668</v>
      </c>
      <c r="B135" s="21" t="s">
        <v>211</v>
      </c>
      <c r="C135" s="21" t="s">
        <v>451</v>
      </c>
      <c r="D135" s="165">
        <v>2600000</v>
      </c>
      <c r="E135" s="21" t="s">
        <v>256</v>
      </c>
      <c r="F135" s="21" t="s">
        <v>344</v>
      </c>
      <c r="G135" s="8" t="str">
        <f t="shared" si="2"/>
        <v>DAVIDSON DAVID</v>
      </c>
    </row>
    <row r="136" spans="1:7" x14ac:dyDescent="0.25">
      <c r="A136" s="8">
        <v>42706.624328703707</v>
      </c>
      <c r="B136" s="21" t="s">
        <v>318</v>
      </c>
      <c r="C136" s="21" t="s">
        <v>583</v>
      </c>
      <c r="D136" s="165">
        <v>1740000</v>
      </c>
      <c r="E136" s="21" t="s">
        <v>320</v>
      </c>
      <c r="F136" s="21" t="s">
        <v>349</v>
      </c>
      <c r="G136" s="8" t="str">
        <f t="shared" si="2"/>
        <v>STORY SAMANTHA</v>
      </c>
    </row>
    <row r="137" spans="1:7" x14ac:dyDescent="0.25">
      <c r="A137" s="8">
        <v>42706.625231481485</v>
      </c>
      <c r="B137" s="21" t="s">
        <v>318</v>
      </c>
      <c r="C137" s="21" t="s">
        <v>583</v>
      </c>
      <c r="D137" s="165">
        <v>1740000</v>
      </c>
      <c r="E137" s="21" t="s">
        <v>320</v>
      </c>
      <c r="F137" s="21" t="s">
        <v>349</v>
      </c>
      <c r="G137" s="8" t="str">
        <f t="shared" si="2"/>
        <v>STORY SAMANTHA</v>
      </c>
    </row>
    <row r="138" spans="1:7" x14ac:dyDescent="0.25">
      <c r="A138" s="8">
        <v>42706.633564814816</v>
      </c>
      <c r="B138" s="21" t="s">
        <v>260</v>
      </c>
      <c r="C138" s="21" t="s">
        <v>452</v>
      </c>
      <c r="D138" s="165">
        <v>2040000</v>
      </c>
      <c r="E138" s="21" t="s">
        <v>329</v>
      </c>
      <c r="F138" s="21" t="s">
        <v>350</v>
      </c>
      <c r="G138" s="8" t="str">
        <f t="shared" si="2"/>
        <v>MOSES BRADLEY</v>
      </c>
    </row>
    <row r="139" spans="1:7" x14ac:dyDescent="0.25">
      <c r="A139" s="8">
        <v>42706.638182870367</v>
      </c>
      <c r="B139" s="21" t="s">
        <v>359</v>
      </c>
      <c r="C139" s="21" t="s">
        <v>584</v>
      </c>
      <c r="D139" s="165">
        <v>1810000</v>
      </c>
      <c r="E139" s="21" t="s">
        <v>585</v>
      </c>
      <c r="F139" s="21" t="s">
        <v>354</v>
      </c>
      <c r="G139" s="8" t="str">
        <f t="shared" si="2"/>
        <v>NEWELL JAMES</v>
      </c>
    </row>
    <row r="140" spans="1:7" x14ac:dyDescent="0.25">
      <c r="A140" s="8">
        <v>42706.640798611108</v>
      </c>
      <c r="B140" s="21" t="s">
        <v>184</v>
      </c>
      <c r="C140" s="21" t="s">
        <v>586</v>
      </c>
      <c r="D140" s="165">
        <v>2230000</v>
      </c>
      <c r="E140" s="21" t="s">
        <v>542</v>
      </c>
      <c r="F140" s="21" t="s">
        <v>343</v>
      </c>
      <c r="G140" s="8" t="str">
        <f t="shared" si="2"/>
        <v>SMITH MICHAEL</v>
      </c>
    </row>
    <row r="141" spans="1:7" x14ac:dyDescent="0.25">
      <c r="A141" s="8">
        <v>42706.640925925924</v>
      </c>
      <c r="B141" s="21" t="s">
        <v>235</v>
      </c>
      <c r="C141" s="21" t="s">
        <v>587</v>
      </c>
      <c r="D141" s="165">
        <v>880000</v>
      </c>
      <c r="E141" s="21" t="s">
        <v>541</v>
      </c>
      <c r="F141" s="21" t="s">
        <v>343</v>
      </c>
      <c r="G141" s="8" t="str">
        <f t="shared" si="2"/>
        <v>STEWART MICHAEL</v>
      </c>
    </row>
    <row r="142" spans="1:7" x14ac:dyDescent="0.25">
      <c r="A142" s="8">
        <v>42706.647106481483</v>
      </c>
      <c r="B142" s="21" t="s">
        <v>291</v>
      </c>
      <c r="C142" s="21" t="s">
        <v>588</v>
      </c>
      <c r="D142" s="165">
        <v>1810000</v>
      </c>
      <c r="E142" s="21" t="s">
        <v>585</v>
      </c>
      <c r="F142" s="21" t="s">
        <v>354</v>
      </c>
      <c r="G142" s="8" t="str">
        <f t="shared" si="2"/>
        <v>NEWELL JAMES</v>
      </c>
    </row>
    <row r="143" spans="1:7" x14ac:dyDescent="0.25">
      <c r="A143" s="8">
        <v>42706.649502314816</v>
      </c>
      <c r="B143" s="21" t="s">
        <v>216</v>
      </c>
      <c r="C143" s="21" t="s">
        <v>589</v>
      </c>
      <c r="D143" s="165">
        <v>930000</v>
      </c>
      <c r="E143" s="21" t="s">
        <v>545</v>
      </c>
      <c r="F143" s="21" t="s">
        <v>546</v>
      </c>
      <c r="G143" s="8" t="str">
        <f t="shared" si="2"/>
        <v>CLARK KATHLEEN</v>
      </c>
    </row>
    <row r="144" spans="1:7" x14ac:dyDescent="0.25">
      <c r="A144" s="8">
        <v>42706.651331018518</v>
      </c>
      <c r="B144" s="21" t="s">
        <v>213</v>
      </c>
      <c r="C144" s="21" t="s">
        <v>590</v>
      </c>
      <c r="D144" s="165">
        <v>2600000</v>
      </c>
      <c r="E144" s="21" t="s">
        <v>256</v>
      </c>
      <c r="F144" s="21" t="s">
        <v>344</v>
      </c>
      <c r="G144" s="8" t="str">
        <f t="shared" si="2"/>
        <v>DAVIDSON DAVID</v>
      </c>
    </row>
    <row r="145" spans="1:7" x14ac:dyDescent="0.25">
      <c r="A145" s="8">
        <v>42706.651689814818</v>
      </c>
      <c r="B145" s="21" t="s">
        <v>368</v>
      </c>
      <c r="C145" s="21" t="s">
        <v>591</v>
      </c>
      <c r="D145" s="165">
        <v>2020000</v>
      </c>
      <c r="E145" s="21" t="s">
        <v>374</v>
      </c>
      <c r="F145" s="21" t="s">
        <v>341</v>
      </c>
      <c r="G145" s="8" t="str">
        <f t="shared" si="2"/>
        <v>SHOOK JOHN</v>
      </c>
    </row>
    <row r="146" spans="1:7" x14ac:dyDescent="0.25">
      <c r="A146" s="8">
        <v>42706.654988425929</v>
      </c>
      <c r="B146" s="21" t="s">
        <v>292</v>
      </c>
      <c r="C146" s="21" t="s">
        <v>592</v>
      </c>
      <c r="D146" s="165">
        <v>940000</v>
      </c>
      <c r="E146" s="21" t="s">
        <v>302</v>
      </c>
      <c r="F146" s="21" t="s">
        <v>347</v>
      </c>
      <c r="G146" s="8" t="str">
        <f t="shared" si="2"/>
        <v>BONDS REYNALDO</v>
      </c>
    </row>
    <row r="147" spans="1:7" x14ac:dyDescent="0.25">
      <c r="A147" s="8">
        <v>42706.662303240744</v>
      </c>
      <c r="B147" s="21" t="s">
        <v>220</v>
      </c>
      <c r="C147" s="21" t="s">
        <v>593</v>
      </c>
      <c r="D147" s="165">
        <v>1740000</v>
      </c>
      <c r="E147" s="21" t="s">
        <v>320</v>
      </c>
      <c r="F147" s="21" t="s">
        <v>349</v>
      </c>
      <c r="G147" s="8" t="str">
        <f t="shared" si="2"/>
        <v>STORY SAMANTHA</v>
      </c>
    </row>
    <row r="148" spans="1:7" x14ac:dyDescent="0.25">
      <c r="A148" s="8">
        <v>42706.671238425923</v>
      </c>
      <c r="B148" s="21" t="s">
        <v>261</v>
      </c>
      <c r="C148" s="21" t="s">
        <v>594</v>
      </c>
      <c r="D148" s="165">
        <v>2040000</v>
      </c>
      <c r="E148" s="21" t="s">
        <v>329</v>
      </c>
      <c r="F148" s="21" t="s">
        <v>350</v>
      </c>
      <c r="G148" s="8" t="str">
        <f t="shared" si="2"/>
        <v>MOSES BRADLEY</v>
      </c>
    </row>
    <row r="149" spans="1:7" x14ac:dyDescent="0.25">
      <c r="A149" s="8">
        <v>42706.671446759261</v>
      </c>
      <c r="B149" s="21" t="s">
        <v>359</v>
      </c>
      <c r="C149" s="21" t="s">
        <v>453</v>
      </c>
      <c r="D149" s="165">
        <v>1810000</v>
      </c>
      <c r="E149" s="21" t="s">
        <v>585</v>
      </c>
      <c r="F149" s="21" t="s">
        <v>354</v>
      </c>
      <c r="G149" s="8" t="str">
        <f t="shared" si="2"/>
        <v>NEWELL JAMES</v>
      </c>
    </row>
    <row r="150" spans="1:7" x14ac:dyDescent="0.25">
      <c r="A150" s="8">
        <v>42706.673032407409</v>
      </c>
      <c r="B150" s="21" t="s">
        <v>234</v>
      </c>
      <c r="C150" s="21" t="s">
        <v>595</v>
      </c>
      <c r="D150" s="165">
        <v>880000</v>
      </c>
      <c r="E150" s="21" t="s">
        <v>541</v>
      </c>
      <c r="F150" s="21" t="s">
        <v>343</v>
      </c>
      <c r="G150" s="8" t="str">
        <f t="shared" si="2"/>
        <v>STEWART MICHAEL</v>
      </c>
    </row>
    <row r="151" spans="1:7" x14ac:dyDescent="0.25">
      <c r="A151" s="8">
        <v>42706.675775462965</v>
      </c>
      <c r="B151" s="21" t="s">
        <v>211</v>
      </c>
      <c r="C151" s="21" t="s">
        <v>596</v>
      </c>
      <c r="D151" s="165">
        <v>2600000</v>
      </c>
      <c r="E151" s="21" t="s">
        <v>256</v>
      </c>
      <c r="F151" s="21" t="s">
        <v>344</v>
      </c>
      <c r="G151" s="8" t="str">
        <f t="shared" si="2"/>
        <v>DAVIDSON DAVID</v>
      </c>
    </row>
    <row r="152" spans="1:7" x14ac:dyDescent="0.25">
      <c r="A152" s="8">
        <v>42706.677546296298</v>
      </c>
      <c r="B152" s="21" t="s">
        <v>319</v>
      </c>
      <c r="C152" s="21" t="s">
        <v>597</v>
      </c>
      <c r="D152" s="165">
        <v>2230000</v>
      </c>
      <c r="E152" s="21" t="s">
        <v>542</v>
      </c>
      <c r="F152" s="21" t="s">
        <v>343</v>
      </c>
      <c r="G152" s="8" t="str">
        <f t="shared" si="2"/>
        <v>SMITH MICHAEL</v>
      </c>
    </row>
    <row r="153" spans="1:7" x14ac:dyDescent="0.25">
      <c r="A153" s="8">
        <v>42706.684374999997</v>
      </c>
      <c r="B153" s="21" t="s">
        <v>208</v>
      </c>
      <c r="C153" s="21" t="s">
        <v>598</v>
      </c>
      <c r="D153" s="165">
        <v>930000</v>
      </c>
      <c r="E153" s="21" t="s">
        <v>545</v>
      </c>
      <c r="F153" s="21" t="s">
        <v>546</v>
      </c>
      <c r="G153" s="8" t="str">
        <f t="shared" si="2"/>
        <v>CLARK KATHLEEN</v>
      </c>
    </row>
    <row r="154" spans="1:7" x14ac:dyDescent="0.25">
      <c r="A154" s="8">
        <v>42706.686782407407</v>
      </c>
      <c r="B154" s="21" t="s">
        <v>291</v>
      </c>
      <c r="C154" s="21" t="s">
        <v>599</v>
      </c>
      <c r="D154" s="165">
        <v>1810000</v>
      </c>
      <c r="E154" s="21" t="s">
        <v>585</v>
      </c>
      <c r="F154" s="21" t="s">
        <v>354</v>
      </c>
      <c r="G154" s="8" t="str">
        <f t="shared" si="2"/>
        <v>NEWELL JAMES</v>
      </c>
    </row>
    <row r="155" spans="1:7" x14ac:dyDescent="0.25">
      <c r="A155" s="8">
        <v>42706.689756944441</v>
      </c>
      <c r="B155" s="21" t="s">
        <v>367</v>
      </c>
      <c r="C155" s="21" t="s">
        <v>600</v>
      </c>
      <c r="D155" s="165">
        <v>2020000</v>
      </c>
      <c r="E155" s="21" t="s">
        <v>374</v>
      </c>
      <c r="F155" s="21" t="s">
        <v>341</v>
      </c>
      <c r="G155" s="8" t="str">
        <f t="shared" si="2"/>
        <v>SHOOK JOHN</v>
      </c>
    </row>
    <row r="156" spans="1:7" x14ac:dyDescent="0.25">
      <c r="A156" s="8">
        <v>42706.692615740743</v>
      </c>
      <c r="B156" s="21" t="s">
        <v>218</v>
      </c>
      <c r="C156" s="21" t="s">
        <v>601</v>
      </c>
      <c r="D156" s="165">
        <v>940000</v>
      </c>
      <c r="E156" s="21" t="s">
        <v>302</v>
      </c>
      <c r="F156" s="21" t="s">
        <v>347</v>
      </c>
      <c r="G156" s="8" t="str">
        <f t="shared" si="2"/>
        <v>BONDS REYNALDO</v>
      </c>
    </row>
    <row r="157" spans="1:7" x14ac:dyDescent="0.25">
      <c r="A157" s="8">
        <v>42706.694178240738</v>
      </c>
      <c r="B157" s="21" t="s">
        <v>213</v>
      </c>
      <c r="C157" s="21" t="s">
        <v>602</v>
      </c>
      <c r="D157" s="165">
        <v>2600000</v>
      </c>
      <c r="E157" s="21" t="s">
        <v>256</v>
      </c>
      <c r="F157" s="21" t="s">
        <v>344</v>
      </c>
      <c r="G157" s="8" t="str">
        <f t="shared" si="2"/>
        <v>DAVIDSON DAVID</v>
      </c>
    </row>
    <row r="158" spans="1:7" x14ac:dyDescent="0.25">
      <c r="A158" s="8">
        <v>42706.70144675926</v>
      </c>
      <c r="B158" s="21" t="s">
        <v>318</v>
      </c>
      <c r="C158" s="21" t="s">
        <v>603</v>
      </c>
      <c r="D158" s="165">
        <v>1740000</v>
      </c>
      <c r="E158" s="21" t="s">
        <v>320</v>
      </c>
      <c r="F158" s="21" t="s">
        <v>349</v>
      </c>
      <c r="G158" s="8" t="str">
        <f t="shared" si="2"/>
        <v>STORY SAMANTHA</v>
      </c>
    </row>
    <row r="159" spans="1:7" x14ac:dyDescent="0.25">
      <c r="A159" s="8">
        <v>42706.706134259257</v>
      </c>
      <c r="B159" s="21" t="s">
        <v>260</v>
      </c>
      <c r="C159" s="21" t="s">
        <v>604</v>
      </c>
      <c r="D159" s="165">
        <v>2040000</v>
      </c>
      <c r="E159" s="21" t="s">
        <v>329</v>
      </c>
      <c r="F159" s="21" t="s">
        <v>350</v>
      </c>
      <c r="G159" s="8" t="str">
        <f t="shared" si="2"/>
        <v>MOSES BRADLEY</v>
      </c>
    </row>
    <row r="160" spans="1:7" x14ac:dyDescent="0.25">
      <c r="A160" s="8">
        <v>42706.712800925925</v>
      </c>
      <c r="B160" s="21" t="s">
        <v>359</v>
      </c>
      <c r="C160" s="21" t="s">
        <v>605</v>
      </c>
      <c r="D160" s="165">
        <v>1810000</v>
      </c>
      <c r="E160" s="21" t="s">
        <v>585</v>
      </c>
      <c r="F160" s="21" t="s">
        <v>354</v>
      </c>
      <c r="G160" s="8" t="str">
        <f t="shared" si="2"/>
        <v>NEWELL JAMES</v>
      </c>
    </row>
    <row r="161" spans="1:7" x14ac:dyDescent="0.25">
      <c r="A161" s="8">
        <v>42706.71297453704</v>
      </c>
      <c r="B161" s="21" t="s">
        <v>235</v>
      </c>
      <c r="C161" s="21" t="s">
        <v>606</v>
      </c>
      <c r="D161" s="165">
        <v>880000</v>
      </c>
      <c r="E161" s="21" t="s">
        <v>541</v>
      </c>
      <c r="F161" s="21" t="s">
        <v>343</v>
      </c>
      <c r="G161" s="8" t="str">
        <f t="shared" si="2"/>
        <v>STEWART MICHAEL</v>
      </c>
    </row>
    <row r="162" spans="1:7" x14ac:dyDescent="0.25">
      <c r="A162" s="8">
        <v>42706.715636574074</v>
      </c>
      <c r="B162" s="21" t="s">
        <v>184</v>
      </c>
      <c r="C162" s="21" t="s">
        <v>607</v>
      </c>
      <c r="D162" s="165">
        <v>1820000</v>
      </c>
      <c r="E162" s="21" t="s">
        <v>328</v>
      </c>
      <c r="F162" s="21" t="s">
        <v>348</v>
      </c>
      <c r="G162" s="8" t="str">
        <f t="shared" si="2"/>
        <v>ADANE ELSHADAY</v>
      </c>
    </row>
    <row r="163" spans="1:7" x14ac:dyDescent="0.25">
      <c r="A163" s="8">
        <v>42706.718541666669</v>
      </c>
      <c r="B163" s="21" t="s">
        <v>211</v>
      </c>
      <c r="C163" s="21" t="s">
        <v>608</v>
      </c>
      <c r="D163" s="165">
        <v>2600000</v>
      </c>
      <c r="E163" s="21" t="s">
        <v>256</v>
      </c>
      <c r="F163" s="21" t="s">
        <v>344</v>
      </c>
      <c r="G163" s="8" t="str">
        <f t="shared" si="2"/>
        <v>DAVIDSON DAVID</v>
      </c>
    </row>
    <row r="164" spans="1:7" x14ac:dyDescent="0.25">
      <c r="A164" s="8">
        <v>42706.722060185188</v>
      </c>
      <c r="B164" s="21" t="s">
        <v>254</v>
      </c>
      <c r="C164" s="21" t="s">
        <v>609</v>
      </c>
      <c r="D164" s="165">
        <v>2270000</v>
      </c>
      <c r="E164" s="21" t="s">
        <v>330</v>
      </c>
      <c r="F164" s="21" t="s">
        <v>352</v>
      </c>
      <c r="G164" s="8" t="str">
        <f t="shared" si="2"/>
        <v>BROWN JACOB</v>
      </c>
    </row>
    <row r="165" spans="1:7" x14ac:dyDescent="0.25">
      <c r="A165" s="8">
        <v>42706.722962962966</v>
      </c>
      <c r="B165" s="21" t="s">
        <v>216</v>
      </c>
      <c r="C165" s="21" t="s">
        <v>610</v>
      </c>
      <c r="D165" s="165">
        <v>930000</v>
      </c>
      <c r="E165" s="21" t="s">
        <v>545</v>
      </c>
      <c r="F165" s="21" t="s">
        <v>546</v>
      </c>
      <c r="G165" s="8" t="str">
        <f t="shared" si="2"/>
        <v>CLARK KATHLEEN</v>
      </c>
    </row>
    <row r="166" spans="1:7" x14ac:dyDescent="0.25">
      <c r="A166" s="8">
        <v>42706.725312499999</v>
      </c>
      <c r="B166" s="21" t="s">
        <v>368</v>
      </c>
      <c r="C166" s="21" t="s">
        <v>454</v>
      </c>
      <c r="D166" s="165">
        <v>2020000</v>
      </c>
      <c r="E166" s="21" t="s">
        <v>374</v>
      </c>
      <c r="F166" s="21" t="s">
        <v>341</v>
      </c>
      <c r="G166" s="8" t="str">
        <f t="shared" si="2"/>
        <v>SHOOK JOHN</v>
      </c>
    </row>
    <row r="167" spans="1:7" x14ac:dyDescent="0.25">
      <c r="A167" s="8">
        <v>42706.72824074074</v>
      </c>
      <c r="B167" s="21" t="s">
        <v>292</v>
      </c>
      <c r="C167" s="21" t="s">
        <v>611</v>
      </c>
      <c r="D167" s="165">
        <v>940000</v>
      </c>
      <c r="E167" s="21" t="s">
        <v>302</v>
      </c>
      <c r="F167" s="21" t="s">
        <v>347</v>
      </c>
      <c r="G167" s="8" t="str">
        <f t="shared" si="2"/>
        <v>BONDS REYNALDO</v>
      </c>
    </row>
    <row r="168" spans="1:7" x14ac:dyDescent="0.25">
      <c r="A168" s="8">
        <v>42706.728634259256</v>
      </c>
      <c r="B168" s="21" t="s">
        <v>291</v>
      </c>
      <c r="C168" s="21" t="s">
        <v>612</v>
      </c>
      <c r="D168" s="165">
        <v>1810000</v>
      </c>
      <c r="E168" s="21" t="s">
        <v>585</v>
      </c>
      <c r="F168" s="21" t="s">
        <v>354</v>
      </c>
      <c r="G168" s="8" t="str">
        <f t="shared" si="2"/>
        <v>NEWELL JAMES</v>
      </c>
    </row>
    <row r="169" spans="1:7" x14ac:dyDescent="0.25">
      <c r="A169" s="8">
        <v>42706.735358796293</v>
      </c>
      <c r="B169" s="21" t="s">
        <v>213</v>
      </c>
      <c r="C169" s="21" t="s">
        <v>613</v>
      </c>
      <c r="D169" s="165">
        <v>2600000</v>
      </c>
      <c r="E169" s="21" t="s">
        <v>256</v>
      </c>
      <c r="F169" s="21" t="s">
        <v>344</v>
      </c>
      <c r="G169" s="8" t="str">
        <f t="shared" si="2"/>
        <v>DAVIDSON DAVID</v>
      </c>
    </row>
    <row r="170" spans="1:7" x14ac:dyDescent="0.25">
      <c r="A170" s="8">
        <v>42706.737199074072</v>
      </c>
      <c r="B170" s="21" t="s">
        <v>220</v>
      </c>
      <c r="C170" s="21" t="s">
        <v>614</v>
      </c>
      <c r="D170" s="165">
        <v>1230000</v>
      </c>
      <c r="E170" s="21" t="s">
        <v>303</v>
      </c>
      <c r="F170" s="21" t="s">
        <v>342</v>
      </c>
      <c r="G170" s="8" t="str">
        <f t="shared" si="2"/>
        <v>YANAI IAN</v>
      </c>
    </row>
    <row r="171" spans="1:7" x14ac:dyDescent="0.25">
      <c r="A171" s="8">
        <v>42706.741435185184</v>
      </c>
      <c r="B171" s="21" t="s">
        <v>442</v>
      </c>
      <c r="C171" s="21" t="s">
        <v>455</v>
      </c>
      <c r="D171" s="165">
        <v>1800000</v>
      </c>
      <c r="E171" s="21" t="s">
        <v>273</v>
      </c>
      <c r="F171" s="21" t="s">
        <v>615</v>
      </c>
      <c r="G171" s="8" t="str">
        <f t="shared" si="2"/>
        <v>CHANDLER KELVIN</v>
      </c>
    </row>
    <row r="172" spans="1:7" x14ac:dyDescent="0.25">
      <c r="A172" s="8">
        <v>42706.745150462964</v>
      </c>
      <c r="B172" s="21" t="s">
        <v>261</v>
      </c>
      <c r="C172" s="21" t="s">
        <v>616</v>
      </c>
      <c r="D172" s="165">
        <v>2040000</v>
      </c>
      <c r="E172" s="21" t="s">
        <v>329</v>
      </c>
      <c r="F172" s="21" t="s">
        <v>350</v>
      </c>
      <c r="G172" s="8" t="str">
        <f t="shared" si="2"/>
        <v>MOSES BRADLEY</v>
      </c>
    </row>
    <row r="173" spans="1:7" x14ac:dyDescent="0.25">
      <c r="A173" s="8">
        <v>42706.746724537035</v>
      </c>
      <c r="B173" s="21" t="s">
        <v>234</v>
      </c>
      <c r="C173" s="21" t="s">
        <v>617</v>
      </c>
      <c r="D173" s="165">
        <v>1740000</v>
      </c>
      <c r="E173" s="21" t="s">
        <v>320</v>
      </c>
      <c r="F173" s="21" t="s">
        <v>349</v>
      </c>
      <c r="G173" s="8" t="str">
        <f t="shared" si="2"/>
        <v>STORY SAMANTHA</v>
      </c>
    </row>
    <row r="174" spans="1:7" x14ac:dyDescent="0.25">
      <c r="A174" s="8">
        <v>42706.746828703705</v>
      </c>
      <c r="B174" s="21" t="s">
        <v>319</v>
      </c>
      <c r="C174" s="21" t="s">
        <v>618</v>
      </c>
      <c r="D174" s="165">
        <v>1820000</v>
      </c>
      <c r="E174" s="21" t="s">
        <v>328</v>
      </c>
      <c r="F174" s="21" t="s">
        <v>348</v>
      </c>
      <c r="G174" s="8" t="str">
        <f t="shared" si="2"/>
        <v>ADANE ELSHADAY</v>
      </c>
    </row>
    <row r="175" spans="1:7" x14ac:dyDescent="0.25">
      <c r="A175" s="8">
        <v>42706.748657407406</v>
      </c>
      <c r="B175" s="21" t="s">
        <v>271</v>
      </c>
      <c r="C175" s="21" t="s">
        <v>619</v>
      </c>
      <c r="D175" s="165">
        <v>2560000</v>
      </c>
      <c r="E175" s="21" t="s">
        <v>376</v>
      </c>
      <c r="F175" s="21" t="s">
        <v>377</v>
      </c>
      <c r="G175" s="8" t="str">
        <f t="shared" si="2"/>
        <v>MACDONALD THOMAS</v>
      </c>
    </row>
    <row r="176" spans="1:7" x14ac:dyDescent="0.25">
      <c r="A176" s="8">
        <v>42706.755185185182</v>
      </c>
      <c r="B176" s="21" t="s">
        <v>359</v>
      </c>
      <c r="C176" s="21" t="s">
        <v>620</v>
      </c>
      <c r="D176" s="165">
        <v>1810000</v>
      </c>
      <c r="E176" s="21" t="s">
        <v>585</v>
      </c>
      <c r="F176" s="21" t="s">
        <v>354</v>
      </c>
      <c r="G176" s="8" t="str">
        <f t="shared" si="2"/>
        <v>NEWELL JAMES</v>
      </c>
    </row>
    <row r="177" spans="1:7" x14ac:dyDescent="0.25">
      <c r="A177" s="8">
        <v>42706.757939814815</v>
      </c>
      <c r="B177" s="21" t="s">
        <v>211</v>
      </c>
      <c r="C177" s="21" t="s">
        <v>621</v>
      </c>
      <c r="D177" s="165">
        <v>2600000</v>
      </c>
      <c r="E177" s="21" t="s">
        <v>256</v>
      </c>
      <c r="F177" s="21" t="s">
        <v>344</v>
      </c>
      <c r="G177" s="8" t="str">
        <f t="shared" si="2"/>
        <v>DAVIDSON DAVID</v>
      </c>
    </row>
    <row r="178" spans="1:7" x14ac:dyDescent="0.25">
      <c r="A178" s="8">
        <v>42706.759583333333</v>
      </c>
      <c r="B178" s="21" t="s">
        <v>208</v>
      </c>
      <c r="C178" s="21" t="s">
        <v>622</v>
      </c>
      <c r="D178" s="165">
        <v>1800000</v>
      </c>
      <c r="E178" s="21" t="s">
        <v>273</v>
      </c>
      <c r="F178" s="21" t="s">
        <v>615</v>
      </c>
      <c r="G178" s="8" t="str">
        <f t="shared" si="2"/>
        <v>CHANDLER KELVIN</v>
      </c>
    </row>
    <row r="179" spans="1:7" x14ac:dyDescent="0.25">
      <c r="A179" s="8">
        <v>42706.761932870373</v>
      </c>
      <c r="B179" s="21" t="s">
        <v>553</v>
      </c>
      <c r="C179" s="21" t="s">
        <v>623</v>
      </c>
      <c r="D179" s="165">
        <v>930000</v>
      </c>
      <c r="E179" s="21" t="s">
        <v>545</v>
      </c>
      <c r="F179" s="21" t="s">
        <v>546</v>
      </c>
      <c r="G179" s="8" t="str">
        <f t="shared" si="2"/>
        <v>CLARK KATHLEEN</v>
      </c>
    </row>
    <row r="180" spans="1:7" x14ac:dyDescent="0.25">
      <c r="A180" s="8">
        <v>42706.762465277781</v>
      </c>
      <c r="B180" s="21" t="s">
        <v>367</v>
      </c>
      <c r="C180" s="21" t="s">
        <v>624</v>
      </c>
      <c r="D180" s="165">
        <v>2020000</v>
      </c>
      <c r="E180" s="21" t="s">
        <v>374</v>
      </c>
      <c r="F180" s="21" t="s">
        <v>341</v>
      </c>
      <c r="G180" s="8" t="str">
        <f t="shared" si="2"/>
        <v>SHOOK JOHN</v>
      </c>
    </row>
    <row r="181" spans="1:7" x14ac:dyDescent="0.25">
      <c r="A181" s="8">
        <v>42706.766238425924</v>
      </c>
      <c r="B181" s="21" t="s">
        <v>318</v>
      </c>
      <c r="C181" s="21" t="s">
        <v>625</v>
      </c>
      <c r="D181" s="165">
        <v>1230000</v>
      </c>
      <c r="E181" s="21" t="s">
        <v>303</v>
      </c>
      <c r="F181" s="21" t="s">
        <v>342</v>
      </c>
      <c r="G181" s="8" t="str">
        <f t="shared" si="2"/>
        <v>YANAI IAN</v>
      </c>
    </row>
    <row r="182" spans="1:7" x14ac:dyDescent="0.25">
      <c r="A182" s="8">
        <v>42706.766828703701</v>
      </c>
      <c r="B182" s="21" t="s">
        <v>218</v>
      </c>
      <c r="C182" s="21" t="s">
        <v>626</v>
      </c>
      <c r="D182" s="165">
        <v>2000000</v>
      </c>
      <c r="E182" s="21" t="s">
        <v>215</v>
      </c>
      <c r="F182" s="21" t="s">
        <v>354</v>
      </c>
      <c r="G182" s="8" t="str">
        <f t="shared" si="2"/>
        <v>STAMBAUGH JAMES</v>
      </c>
    </row>
    <row r="183" spans="1:7" x14ac:dyDescent="0.25">
      <c r="A183" s="8">
        <v>42706.769594907404</v>
      </c>
      <c r="B183" s="21" t="s">
        <v>291</v>
      </c>
      <c r="C183" s="21" t="s">
        <v>627</v>
      </c>
      <c r="D183" s="165">
        <v>1810000</v>
      </c>
      <c r="E183" s="21" t="s">
        <v>585</v>
      </c>
      <c r="F183" s="21" t="s">
        <v>354</v>
      </c>
      <c r="G183" s="8" t="str">
        <f t="shared" si="2"/>
        <v>NEWELL JAMES</v>
      </c>
    </row>
    <row r="184" spans="1:7" x14ac:dyDescent="0.25">
      <c r="A184" s="8">
        <v>42706.77611111111</v>
      </c>
      <c r="B184" s="21" t="s">
        <v>213</v>
      </c>
      <c r="C184" s="21" t="s">
        <v>628</v>
      </c>
      <c r="D184" s="165">
        <v>2600000</v>
      </c>
      <c r="E184" s="21" t="s">
        <v>256</v>
      </c>
      <c r="F184" s="21" t="s">
        <v>344</v>
      </c>
      <c r="G184" s="8" t="str">
        <f t="shared" si="2"/>
        <v>DAVIDSON DAVID</v>
      </c>
    </row>
    <row r="185" spans="1:7" x14ac:dyDescent="0.25">
      <c r="A185" s="8">
        <v>42706.778263888889</v>
      </c>
      <c r="B185" s="21" t="s">
        <v>260</v>
      </c>
      <c r="C185" s="21" t="s">
        <v>629</v>
      </c>
      <c r="D185" s="165">
        <v>2040000</v>
      </c>
      <c r="E185" s="21" t="s">
        <v>329</v>
      </c>
      <c r="F185" s="21" t="s">
        <v>350</v>
      </c>
      <c r="G185" s="8" t="str">
        <f t="shared" si="2"/>
        <v>MOSES BRADLEY</v>
      </c>
    </row>
    <row r="186" spans="1:7" x14ac:dyDescent="0.25">
      <c r="A186" s="8">
        <v>42706.786412037036</v>
      </c>
      <c r="B186" s="21" t="s">
        <v>184</v>
      </c>
      <c r="C186" s="21" t="s">
        <v>630</v>
      </c>
      <c r="D186" s="165">
        <v>1300000</v>
      </c>
      <c r="E186" s="21" t="s">
        <v>113</v>
      </c>
      <c r="F186" s="21" t="s">
        <v>353</v>
      </c>
      <c r="G186" s="8" t="str">
        <f t="shared" si="2"/>
        <v>LEVIN SCOTT</v>
      </c>
    </row>
    <row r="187" spans="1:7" x14ac:dyDescent="0.25">
      <c r="A187" s="8">
        <v>42706.787233796298</v>
      </c>
      <c r="B187" s="21" t="s">
        <v>235</v>
      </c>
      <c r="C187" s="21" t="s">
        <v>617</v>
      </c>
      <c r="D187" s="165">
        <v>1740000</v>
      </c>
      <c r="E187" s="21" t="s">
        <v>320</v>
      </c>
      <c r="F187" s="21" t="s">
        <v>349</v>
      </c>
      <c r="G187" s="8" t="str">
        <f t="shared" si="2"/>
        <v>STORY SAMANTHA</v>
      </c>
    </row>
    <row r="188" spans="1:7" x14ac:dyDescent="0.25">
      <c r="A188" s="8">
        <v>42706.787754629629</v>
      </c>
      <c r="B188" s="21" t="s">
        <v>235</v>
      </c>
      <c r="C188" s="21" t="s">
        <v>631</v>
      </c>
      <c r="D188" s="165">
        <v>1740000</v>
      </c>
      <c r="E188" s="21" t="s">
        <v>320</v>
      </c>
      <c r="F188" s="21" t="s">
        <v>349</v>
      </c>
      <c r="G188" s="8" t="str">
        <f t="shared" si="2"/>
        <v>STORY SAMANTHA</v>
      </c>
    </row>
    <row r="189" spans="1:7" x14ac:dyDescent="0.25">
      <c r="A189" s="8">
        <v>42706.796053240738</v>
      </c>
      <c r="B189" s="21" t="s">
        <v>359</v>
      </c>
      <c r="C189" s="21" t="s">
        <v>632</v>
      </c>
      <c r="D189" s="165">
        <v>1810000</v>
      </c>
      <c r="E189" s="21" t="s">
        <v>585</v>
      </c>
      <c r="F189" s="21" t="s">
        <v>354</v>
      </c>
      <c r="G189" s="8" t="str">
        <f t="shared" si="2"/>
        <v>NEWELL JAMES</v>
      </c>
    </row>
    <row r="190" spans="1:7" x14ac:dyDescent="0.25">
      <c r="A190" s="8">
        <v>42706.797326388885</v>
      </c>
      <c r="B190" s="21" t="s">
        <v>216</v>
      </c>
      <c r="C190" s="21" t="s">
        <v>633</v>
      </c>
      <c r="D190" s="165">
        <v>1800000</v>
      </c>
      <c r="E190" s="21" t="s">
        <v>273</v>
      </c>
      <c r="F190" s="21" t="s">
        <v>615</v>
      </c>
      <c r="G190" s="8" t="str">
        <f t="shared" si="2"/>
        <v>CHANDLER KELVIN</v>
      </c>
    </row>
    <row r="191" spans="1:7" x14ac:dyDescent="0.25">
      <c r="A191" s="8">
        <v>42706.798657407409</v>
      </c>
      <c r="B191" s="21" t="s">
        <v>368</v>
      </c>
      <c r="C191" s="21" t="s">
        <v>634</v>
      </c>
      <c r="D191" s="165">
        <v>2020000</v>
      </c>
      <c r="E191" s="21" t="s">
        <v>374</v>
      </c>
      <c r="F191" s="21" t="s">
        <v>341</v>
      </c>
      <c r="G191" s="8" t="str">
        <f t="shared" si="2"/>
        <v>SHOOK JOHN</v>
      </c>
    </row>
    <row r="192" spans="1:7" x14ac:dyDescent="0.25">
      <c r="A192" s="8">
        <v>42706.803159722222</v>
      </c>
      <c r="B192" s="21" t="s">
        <v>211</v>
      </c>
      <c r="C192" s="21" t="s">
        <v>635</v>
      </c>
      <c r="D192" s="165">
        <v>2600000</v>
      </c>
      <c r="E192" s="21" t="s">
        <v>256</v>
      </c>
      <c r="F192" s="21" t="s">
        <v>344</v>
      </c>
      <c r="G192" s="8" t="str">
        <f t="shared" si="2"/>
        <v>DAVIDSON DAVID</v>
      </c>
    </row>
    <row r="193" spans="1:7" x14ac:dyDescent="0.25">
      <c r="A193" s="8">
        <v>42706.80667824074</v>
      </c>
      <c r="B193" s="21" t="s">
        <v>292</v>
      </c>
      <c r="C193" s="21" t="s">
        <v>636</v>
      </c>
      <c r="D193" s="165">
        <v>2000000</v>
      </c>
      <c r="E193" s="21" t="s">
        <v>215</v>
      </c>
      <c r="F193" s="21" t="s">
        <v>354</v>
      </c>
      <c r="G193" s="8" t="str">
        <f t="shared" si="2"/>
        <v>STAMBAUGH JAMES</v>
      </c>
    </row>
    <row r="194" spans="1:7" x14ac:dyDescent="0.25">
      <c r="A194" s="8">
        <v>42706.807141203702</v>
      </c>
      <c r="B194" s="21" t="s">
        <v>220</v>
      </c>
      <c r="C194" s="21" t="s">
        <v>637</v>
      </c>
      <c r="D194" s="165">
        <v>1230000</v>
      </c>
      <c r="E194" s="21" t="s">
        <v>303</v>
      </c>
      <c r="F194" s="21" t="s">
        <v>342</v>
      </c>
      <c r="G194" s="8" t="str">
        <f t="shared" si="2"/>
        <v>YANAI IAN</v>
      </c>
    </row>
    <row r="195" spans="1:7" x14ac:dyDescent="0.25">
      <c r="A195" s="8">
        <v>42706.81659722222</v>
      </c>
      <c r="B195" s="21" t="s">
        <v>213</v>
      </c>
      <c r="C195" s="21" t="s">
        <v>638</v>
      </c>
      <c r="D195" s="165">
        <v>2600000</v>
      </c>
      <c r="E195" s="21" t="s">
        <v>256</v>
      </c>
      <c r="F195" s="21" t="s">
        <v>344</v>
      </c>
      <c r="G195" s="8" t="str">
        <f t="shared" ref="G195:G258" si="3">E195&amp;" "&amp;F195</f>
        <v>DAVIDSON DAVID</v>
      </c>
    </row>
    <row r="196" spans="1:7" x14ac:dyDescent="0.25">
      <c r="A196" s="8">
        <v>42706.818541666667</v>
      </c>
      <c r="B196" s="21" t="s">
        <v>234</v>
      </c>
      <c r="C196" s="21" t="s">
        <v>639</v>
      </c>
      <c r="D196" s="165">
        <v>1740000</v>
      </c>
      <c r="E196" s="21" t="s">
        <v>320</v>
      </c>
      <c r="F196" s="21" t="s">
        <v>349</v>
      </c>
      <c r="G196" s="8" t="str">
        <f t="shared" si="3"/>
        <v>STORY SAMANTHA</v>
      </c>
    </row>
    <row r="197" spans="1:7" x14ac:dyDescent="0.25">
      <c r="A197" s="8">
        <v>42706.827361111114</v>
      </c>
      <c r="B197" s="21" t="s">
        <v>319</v>
      </c>
      <c r="C197" s="21" t="s">
        <v>640</v>
      </c>
      <c r="D197" s="165">
        <v>1300000</v>
      </c>
      <c r="E197" s="21" t="s">
        <v>113</v>
      </c>
      <c r="F197" s="21" t="s">
        <v>353</v>
      </c>
      <c r="G197" s="8" t="str">
        <f t="shared" si="3"/>
        <v>LEVIN SCOTT</v>
      </c>
    </row>
    <row r="198" spans="1:7" x14ac:dyDescent="0.25">
      <c r="A198" s="8">
        <v>42706.832835648151</v>
      </c>
      <c r="B198" s="21" t="s">
        <v>208</v>
      </c>
      <c r="C198" s="21" t="s">
        <v>456</v>
      </c>
      <c r="D198" s="165">
        <v>1800000</v>
      </c>
      <c r="E198" s="21" t="s">
        <v>273</v>
      </c>
      <c r="F198" s="21" t="s">
        <v>615</v>
      </c>
      <c r="G198" s="8" t="str">
        <f t="shared" si="3"/>
        <v>CHANDLER KELVIN</v>
      </c>
    </row>
    <row r="199" spans="1:7" x14ac:dyDescent="0.25">
      <c r="A199" s="8">
        <v>42706.845682870371</v>
      </c>
      <c r="B199" s="21" t="s">
        <v>318</v>
      </c>
      <c r="C199" s="21" t="s">
        <v>457</v>
      </c>
      <c r="D199" s="165">
        <v>1230000</v>
      </c>
      <c r="E199" s="21" t="s">
        <v>303</v>
      </c>
      <c r="F199" s="21" t="s">
        <v>342</v>
      </c>
      <c r="G199" s="8" t="str">
        <f t="shared" si="3"/>
        <v>YANAI IAN</v>
      </c>
    </row>
    <row r="200" spans="1:7" x14ac:dyDescent="0.25">
      <c r="A200" s="8">
        <v>42706.845775462964</v>
      </c>
      <c r="B200" s="21" t="s">
        <v>211</v>
      </c>
      <c r="C200" s="21" t="s">
        <v>641</v>
      </c>
      <c r="D200" s="165">
        <v>2600000</v>
      </c>
      <c r="E200" s="21" t="s">
        <v>256</v>
      </c>
      <c r="F200" s="21" t="s">
        <v>344</v>
      </c>
      <c r="G200" s="8" t="str">
        <f t="shared" si="3"/>
        <v>DAVIDSON DAVID</v>
      </c>
    </row>
    <row r="201" spans="1:7" x14ac:dyDescent="0.25">
      <c r="A201" s="8">
        <v>42706.845868055556</v>
      </c>
      <c r="B201" s="21" t="s">
        <v>218</v>
      </c>
      <c r="C201" s="21" t="s">
        <v>642</v>
      </c>
      <c r="D201" s="165">
        <v>2000000</v>
      </c>
      <c r="E201" s="21" t="s">
        <v>215</v>
      </c>
      <c r="F201" s="21" t="s">
        <v>354</v>
      </c>
      <c r="G201" s="8" t="str">
        <f t="shared" si="3"/>
        <v>STAMBAUGH JAMES</v>
      </c>
    </row>
    <row r="202" spans="1:7" x14ac:dyDescent="0.25">
      <c r="A202" s="27">
        <v>42706.860034722224</v>
      </c>
      <c r="B202" s="21" t="s">
        <v>213</v>
      </c>
      <c r="C202" s="21" t="s">
        <v>643</v>
      </c>
      <c r="D202" s="165">
        <v>2600000</v>
      </c>
      <c r="E202" s="21" t="s">
        <v>256</v>
      </c>
      <c r="F202" s="21" t="s">
        <v>344</v>
      </c>
      <c r="G202" s="8" t="str">
        <f t="shared" si="3"/>
        <v>DAVIDSON DAVID</v>
      </c>
    </row>
    <row r="203" spans="1:7" x14ac:dyDescent="0.25">
      <c r="A203" s="8">
        <v>42706.870497685188</v>
      </c>
      <c r="B203" s="21" t="s">
        <v>184</v>
      </c>
      <c r="C203" s="21" t="s">
        <v>644</v>
      </c>
      <c r="D203" s="165">
        <v>1300000</v>
      </c>
      <c r="E203" s="21" t="s">
        <v>113</v>
      </c>
      <c r="F203" s="21" t="s">
        <v>353</v>
      </c>
      <c r="G203" s="8" t="str">
        <f t="shared" si="3"/>
        <v>LEVIN SCOTT</v>
      </c>
    </row>
    <row r="204" spans="1:7" x14ac:dyDescent="0.25">
      <c r="A204" s="8">
        <v>42706.871076388888</v>
      </c>
      <c r="B204" s="21" t="s">
        <v>216</v>
      </c>
      <c r="C204" s="21" t="s">
        <v>645</v>
      </c>
      <c r="D204" s="165">
        <v>1800000</v>
      </c>
      <c r="E204" s="21" t="s">
        <v>273</v>
      </c>
      <c r="F204" s="21" t="s">
        <v>615</v>
      </c>
      <c r="G204" s="8" t="str">
        <f t="shared" si="3"/>
        <v>CHANDLER KELVIN</v>
      </c>
    </row>
    <row r="205" spans="1:7" x14ac:dyDescent="0.25">
      <c r="A205" s="8">
        <v>42706.880312499998</v>
      </c>
      <c r="B205" s="21" t="s">
        <v>211</v>
      </c>
      <c r="C205" s="21" t="s">
        <v>646</v>
      </c>
      <c r="D205" s="165">
        <v>1810000</v>
      </c>
      <c r="E205" s="21" t="s">
        <v>585</v>
      </c>
      <c r="F205" s="21" t="s">
        <v>354</v>
      </c>
      <c r="G205" s="8" t="str">
        <f t="shared" si="3"/>
        <v>NEWELL JAMES</v>
      </c>
    </row>
    <row r="206" spans="1:7" x14ac:dyDescent="0.25">
      <c r="A206" s="8">
        <v>42706.88244212963</v>
      </c>
      <c r="B206" s="21" t="s">
        <v>220</v>
      </c>
      <c r="C206" s="21" t="s">
        <v>647</v>
      </c>
      <c r="D206" s="165">
        <v>1230000</v>
      </c>
      <c r="E206" s="21" t="s">
        <v>303</v>
      </c>
      <c r="F206" s="21" t="s">
        <v>342</v>
      </c>
      <c r="G206" s="8" t="str">
        <f t="shared" si="3"/>
        <v>YANAI IAN</v>
      </c>
    </row>
    <row r="207" spans="1:7" x14ac:dyDescent="0.25">
      <c r="A207" s="8">
        <v>42706.885277777779</v>
      </c>
      <c r="B207" s="21" t="s">
        <v>264</v>
      </c>
      <c r="C207" s="21" t="s">
        <v>648</v>
      </c>
      <c r="D207" s="165">
        <v>2000000</v>
      </c>
      <c r="E207" s="21" t="s">
        <v>215</v>
      </c>
      <c r="F207" s="21" t="s">
        <v>354</v>
      </c>
      <c r="G207" s="8" t="str">
        <f t="shared" si="3"/>
        <v>STAMBAUGH JAMES</v>
      </c>
    </row>
    <row r="208" spans="1:7" x14ac:dyDescent="0.25">
      <c r="A208" s="8">
        <v>42706.90048611111</v>
      </c>
      <c r="B208" s="21" t="s">
        <v>213</v>
      </c>
      <c r="C208" s="21" t="s">
        <v>649</v>
      </c>
      <c r="D208" s="165">
        <v>1810000</v>
      </c>
      <c r="E208" s="21" t="s">
        <v>585</v>
      </c>
      <c r="F208" s="21" t="s">
        <v>354</v>
      </c>
      <c r="G208" s="8" t="str">
        <f t="shared" si="3"/>
        <v>NEWELL JAMES</v>
      </c>
    </row>
    <row r="209" spans="1:7" x14ac:dyDescent="0.25">
      <c r="A209" s="8">
        <v>42706.903946759259</v>
      </c>
      <c r="B209" s="21" t="s">
        <v>216</v>
      </c>
      <c r="C209" s="21" t="s">
        <v>645</v>
      </c>
      <c r="D209" s="165">
        <v>1800000</v>
      </c>
      <c r="E209" s="21" t="s">
        <v>273</v>
      </c>
      <c r="F209" s="21" t="s">
        <v>615</v>
      </c>
      <c r="G209" s="8" t="str">
        <f t="shared" si="3"/>
        <v>CHANDLER KELVIN</v>
      </c>
    </row>
    <row r="210" spans="1:7" x14ac:dyDescent="0.25">
      <c r="A210" s="8">
        <v>42706.911828703705</v>
      </c>
      <c r="B210" s="21" t="s">
        <v>373</v>
      </c>
      <c r="C210" s="21" t="s">
        <v>458</v>
      </c>
      <c r="D210" s="165">
        <v>1300000</v>
      </c>
      <c r="E210" s="21" t="s">
        <v>113</v>
      </c>
      <c r="F210" s="21" t="s">
        <v>353</v>
      </c>
      <c r="G210" s="8" t="str">
        <f t="shared" si="3"/>
        <v>LEVIN SCOTT</v>
      </c>
    </row>
    <row r="211" spans="1:7" x14ac:dyDescent="0.25">
      <c r="A211" s="8">
        <v>42706.913703703707</v>
      </c>
      <c r="B211" s="21" t="s">
        <v>208</v>
      </c>
      <c r="C211" s="21" t="s">
        <v>650</v>
      </c>
      <c r="D211" s="165">
        <v>1800000</v>
      </c>
      <c r="E211" s="21" t="s">
        <v>273</v>
      </c>
      <c r="F211" s="21" t="s">
        <v>615</v>
      </c>
      <c r="G211" s="8" t="str">
        <f t="shared" si="3"/>
        <v>CHANDLER KELVIN</v>
      </c>
    </row>
    <row r="212" spans="1:7" x14ac:dyDescent="0.25">
      <c r="A212" s="8">
        <v>42706.915324074071</v>
      </c>
      <c r="B212" s="21" t="s">
        <v>211</v>
      </c>
      <c r="C212" s="21" t="s">
        <v>651</v>
      </c>
      <c r="D212" s="165">
        <v>1810000</v>
      </c>
      <c r="E212" s="21" t="s">
        <v>585</v>
      </c>
      <c r="F212" s="21" t="s">
        <v>354</v>
      </c>
      <c r="G212" s="8" t="str">
        <f t="shared" si="3"/>
        <v>NEWELL JAMES</v>
      </c>
    </row>
    <row r="213" spans="1:7" x14ac:dyDescent="0.25">
      <c r="A213" s="8">
        <v>42706.926238425927</v>
      </c>
      <c r="B213" s="21" t="s">
        <v>218</v>
      </c>
      <c r="C213" s="21" t="s">
        <v>652</v>
      </c>
      <c r="D213" s="165">
        <v>2000000</v>
      </c>
      <c r="E213" s="21" t="s">
        <v>215</v>
      </c>
      <c r="F213" s="21" t="s">
        <v>354</v>
      </c>
      <c r="G213" s="8" t="str">
        <f t="shared" si="3"/>
        <v>STAMBAUGH JAMES</v>
      </c>
    </row>
    <row r="214" spans="1:7" x14ac:dyDescent="0.25">
      <c r="A214" s="8">
        <v>42706.927777777775</v>
      </c>
      <c r="B214" s="21" t="s">
        <v>313</v>
      </c>
      <c r="C214" s="21" t="s">
        <v>653</v>
      </c>
      <c r="D214" s="165">
        <v>1230000</v>
      </c>
      <c r="E214" s="21" t="s">
        <v>303</v>
      </c>
      <c r="F214" s="21" t="s">
        <v>342</v>
      </c>
      <c r="G214" s="8" t="str">
        <f t="shared" si="3"/>
        <v>YANAI IAN</v>
      </c>
    </row>
    <row r="215" spans="1:7" x14ac:dyDescent="0.25">
      <c r="A215" s="8">
        <v>42706.943194444444</v>
      </c>
      <c r="B215" s="21" t="s">
        <v>213</v>
      </c>
      <c r="C215" s="21" t="s">
        <v>654</v>
      </c>
      <c r="D215" s="165">
        <v>2530000</v>
      </c>
      <c r="E215" s="21" t="s">
        <v>274</v>
      </c>
      <c r="F215" s="21" t="s">
        <v>378</v>
      </c>
      <c r="G215" s="8" t="str">
        <f t="shared" si="3"/>
        <v>LALONDE GREGORY</v>
      </c>
    </row>
    <row r="216" spans="1:7" x14ac:dyDescent="0.25">
      <c r="A216" s="8">
        <v>42706.944895833331</v>
      </c>
      <c r="B216" s="21" t="s">
        <v>213</v>
      </c>
      <c r="C216" s="21" t="s">
        <v>654</v>
      </c>
      <c r="D216" s="165">
        <v>2530000</v>
      </c>
      <c r="E216" s="21" t="s">
        <v>274</v>
      </c>
      <c r="F216" s="21" t="s">
        <v>378</v>
      </c>
      <c r="G216" s="8" t="str">
        <f t="shared" si="3"/>
        <v>LALONDE GREGORY</v>
      </c>
    </row>
    <row r="217" spans="1:7" x14ac:dyDescent="0.25">
      <c r="A217" s="8">
        <v>42706.954467592594</v>
      </c>
      <c r="B217" s="21" t="s">
        <v>184</v>
      </c>
      <c r="C217" s="21" t="s">
        <v>655</v>
      </c>
      <c r="D217" s="165">
        <v>1300000</v>
      </c>
      <c r="E217" s="21" t="s">
        <v>113</v>
      </c>
      <c r="F217" s="21" t="s">
        <v>353</v>
      </c>
      <c r="G217" s="8" t="str">
        <f t="shared" si="3"/>
        <v>LEVIN SCOTT</v>
      </c>
    </row>
    <row r="218" spans="1:7" x14ac:dyDescent="0.25">
      <c r="A218" s="8">
        <v>42706.957812499997</v>
      </c>
      <c r="B218" s="21" t="s">
        <v>211</v>
      </c>
      <c r="C218" s="21" t="s">
        <v>656</v>
      </c>
      <c r="D218" s="165">
        <v>2530000</v>
      </c>
      <c r="E218" s="21" t="s">
        <v>274</v>
      </c>
      <c r="F218" s="21" t="s">
        <v>378</v>
      </c>
      <c r="G218" s="8" t="str">
        <f t="shared" si="3"/>
        <v>LALONDE GREGORY</v>
      </c>
    </row>
    <row r="219" spans="1:7" x14ac:dyDescent="0.25">
      <c r="A219" s="8">
        <v>42706.964722222219</v>
      </c>
      <c r="B219" s="21" t="s">
        <v>220</v>
      </c>
      <c r="C219" s="21" t="s">
        <v>657</v>
      </c>
      <c r="D219" s="165">
        <v>1230000</v>
      </c>
      <c r="E219" s="21" t="s">
        <v>303</v>
      </c>
      <c r="F219" s="21" t="s">
        <v>342</v>
      </c>
      <c r="G219" s="8" t="str">
        <f t="shared" si="3"/>
        <v>YANAI IAN</v>
      </c>
    </row>
    <row r="220" spans="1:7" x14ac:dyDescent="0.25">
      <c r="A220" s="8">
        <v>42706.97388888889</v>
      </c>
      <c r="B220" s="21" t="s">
        <v>264</v>
      </c>
      <c r="C220" s="21" t="s">
        <v>658</v>
      </c>
      <c r="D220" s="165">
        <v>2000000</v>
      </c>
      <c r="E220" s="21" t="s">
        <v>215</v>
      </c>
      <c r="F220" s="21" t="s">
        <v>354</v>
      </c>
      <c r="G220" s="8" t="str">
        <f t="shared" si="3"/>
        <v>STAMBAUGH JAMES</v>
      </c>
    </row>
    <row r="221" spans="1:7" x14ac:dyDescent="0.25">
      <c r="A221" s="8">
        <v>42706.994143518517</v>
      </c>
      <c r="B221" s="21" t="s">
        <v>373</v>
      </c>
      <c r="C221" s="21" t="s">
        <v>659</v>
      </c>
      <c r="D221" s="165">
        <v>1300000</v>
      </c>
      <c r="E221" s="21" t="s">
        <v>113</v>
      </c>
      <c r="F221" s="21" t="s">
        <v>353</v>
      </c>
      <c r="G221" s="8" t="str">
        <f t="shared" si="3"/>
        <v>LEVIN SCOTT</v>
      </c>
    </row>
    <row r="222" spans="1:7" x14ac:dyDescent="0.25">
      <c r="A222" s="8">
        <v>42706.997650462959</v>
      </c>
      <c r="B222" s="21" t="s">
        <v>208</v>
      </c>
      <c r="C222" s="21" t="s">
        <v>459</v>
      </c>
      <c r="D222" s="165">
        <v>1800000</v>
      </c>
      <c r="E222" s="21" t="s">
        <v>273</v>
      </c>
      <c r="F222" s="21" t="s">
        <v>615</v>
      </c>
      <c r="G222" s="8" t="str">
        <f t="shared" si="3"/>
        <v>CHANDLER KELVIN</v>
      </c>
    </row>
    <row r="223" spans="1:7" x14ac:dyDescent="0.25">
      <c r="A223" s="8">
        <v>42707.005312499998</v>
      </c>
      <c r="B223" s="21" t="s">
        <v>218</v>
      </c>
      <c r="C223" s="21" t="s">
        <v>660</v>
      </c>
      <c r="D223" s="165">
        <v>2000000</v>
      </c>
      <c r="E223" s="21" t="s">
        <v>215</v>
      </c>
      <c r="F223" s="21" t="s">
        <v>354</v>
      </c>
      <c r="G223" s="8" t="str">
        <f t="shared" si="3"/>
        <v>STAMBAUGH JAMES</v>
      </c>
    </row>
    <row r="224" spans="1:7" x14ac:dyDescent="0.25">
      <c r="A224" s="8">
        <v>42707.011192129627</v>
      </c>
      <c r="B224" t="s">
        <v>208</v>
      </c>
      <c r="C224" t="s">
        <v>459</v>
      </c>
      <c r="D224" s="165">
        <v>1800000</v>
      </c>
      <c r="E224" t="s">
        <v>273</v>
      </c>
      <c r="F224" s="21" t="s">
        <v>615</v>
      </c>
      <c r="G224" s="8" t="str">
        <f t="shared" si="3"/>
        <v>CHANDLER KELVIN</v>
      </c>
    </row>
    <row r="225" spans="1:7" x14ac:dyDescent="0.25">
      <c r="A225" s="8">
        <v>42707.015810185185</v>
      </c>
      <c r="B225" t="s">
        <v>313</v>
      </c>
      <c r="C225" t="s">
        <v>460</v>
      </c>
      <c r="D225" s="165">
        <v>1230000</v>
      </c>
      <c r="E225" t="s">
        <v>303</v>
      </c>
      <c r="F225" s="21" t="s">
        <v>342</v>
      </c>
      <c r="G225" s="8" t="str">
        <f t="shared" si="3"/>
        <v>YANAI IAN</v>
      </c>
    </row>
    <row r="226" spans="1:7" x14ac:dyDescent="0.25">
      <c r="A226" s="8">
        <v>42707.034710648149</v>
      </c>
      <c r="B226" t="s">
        <v>184</v>
      </c>
      <c r="C226" t="s">
        <v>661</v>
      </c>
      <c r="D226" s="165">
        <v>1300000</v>
      </c>
      <c r="E226" t="s">
        <v>113</v>
      </c>
      <c r="F226" s="21" t="s">
        <v>353</v>
      </c>
      <c r="G226" s="8" t="str">
        <f t="shared" si="3"/>
        <v>LEVIN SCOTT</v>
      </c>
    </row>
    <row r="227" spans="1:7" x14ac:dyDescent="0.25">
      <c r="A227" s="8">
        <v>42707.035057870373</v>
      </c>
      <c r="B227" t="s">
        <v>216</v>
      </c>
      <c r="C227" t="s">
        <v>462</v>
      </c>
      <c r="D227" s="165">
        <v>1800000</v>
      </c>
      <c r="E227" t="s">
        <v>273</v>
      </c>
      <c r="F227" s="21" t="s">
        <v>615</v>
      </c>
      <c r="G227" s="8" t="str">
        <f t="shared" si="3"/>
        <v>CHANDLER KELVIN</v>
      </c>
    </row>
    <row r="228" spans="1:7" x14ac:dyDescent="0.25">
      <c r="A228" s="8">
        <v>42707.048159722224</v>
      </c>
      <c r="B228" t="s">
        <v>220</v>
      </c>
      <c r="C228" t="s">
        <v>461</v>
      </c>
      <c r="D228" s="165">
        <v>1230000</v>
      </c>
      <c r="E228" t="s">
        <v>303</v>
      </c>
      <c r="F228" s="21" t="s">
        <v>342</v>
      </c>
      <c r="G228" s="8" t="str">
        <f t="shared" si="3"/>
        <v>YANAI IAN</v>
      </c>
    </row>
    <row r="229" spans="1:7" x14ac:dyDescent="0.25">
      <c r="A229" s="8">
        <v>42707.056574074071</v>
      </c>
      <c r="B229" t="s">
        <v>264</v>
      </c>
      <c r="C229" t="s">
        <v>662</v>
      </c>
      <c r="D229" s="165">
        <v>2000000</v>
      </c>
      <c r="E229" t="s">
        <v>215</v>
      </c>
      <c r="F229" s="21" t="s">
        <v>354</v>
      </c>
      <c r="G229" s="8" t="str">
        <f t="shared" si="3"/>
        <v>STAMBAUGH JAMES</v>
      </c>
    </row>
    <row r="230" spans="1:7" x14ac:dyDescent="0.25">
      <c r="A230" s="8">
        <v>42707.070486111108</v>
      </c>
      <c r="B230" t="s">
        <v>208</v>
      </c>
      <c r="C230" t="s">
        <v>663</v>
      </c>
      <c r="D230" s="165">
        <v>1800000</v>
      </c>
      <c r="E230" t="s">
        <v>273</v>
      </c>
      <c r="F230" s="21" t="s">
        <v>615</v>
      </c>
      <c r="G230" s="8" t="str">
        <f t="shared" si="3"/>
        <v>CHANDLER KELVIN</v>
      </c>
    </row>
    <row r="231" spans="1:7" x14ac:dyDescent="0.25">
      <c r="A231" s="8">
        <v>42707.078761574077</v>
      </c>
      <c r="B231" t="s">
        <v>373</v>
      </c>
      <c r="C231" t="s">
        <v>664</v>
      </c>
      <c r="D231" s="165">
        <v>1300000</v>
      </c>
      <c r="E231" t="s">
        <v>113</v>
      </c>
      <c r="F231" s="21" t="s">
        <v>353</v>
      </c>
      <c r="G231" s="8" t="str">
        <f t="shared" si="3"/>
        <v>LEVIN SCOTT</v>
      </c>
    </row>
    <row r="232" spans="1:7" x14ac:dyDescent="0.25">
      <c r="A232" s="8">
        <v>42707.088449074072</v>
      </c>
      <c r="B232" t="s">
        <v>218</v>
      </c>
      <c r="C232" t="s">
        <v>665</v>
      </c>
      <c r="D232" s="165">
        <v>2000000</v>
      </c>
      <c r="E232" t="s">
        <v>215</v>
      </c>
      <c r="F232" s="21" t="s">
        <v>354</v>
      </c>
      <c r="G232" s="8" t="str">
        <f t="shared" si="3"/>
        <v>STAMBAUGH JAMES</v>
      </c>
    </row>
    <row r="233" spans="1:7" x14ac:dyDescent="0.25">
      <c r="A233" s="8">
        <v>42707.109386574077</v>
      </c>
      <c r="B233" t="s">
        <v>184</v>
      </c>
      <c r="C233" t="s">
        <v>666</v>
      </c>
      <c r="D233" s="165">
        <v>1300000</v>
      </c>
      <c r="E233" t="s">
        <v>113</v>
      </c>
      <c r="F233" s="21" t="s">
        <v>353</v>
      </c>
      <c r="G233" s="8" t="str">
        <f t="shared" si="3"/>
        <v>LEVIN SCOTT</v>
      </c>
    </row>
    <row r="234" spans="1:7" x14ac:dyDescent="0.25">
      <c r="A234" s="8">
        <v>42705.921944444446</v>
      </c>
      <c r="B234" t="s">
        <v>183</v>
      </c>
      <c r="C234" t="s">
        <v>379</v>
      </c>
      <c r="D234" s="165">
        <v>2000000</v>
      </c>
      <c r="E234" t="s">
        <v>215</v>
      </c>
      <c r="F234" s="21" t="s">
        <v>354</v>
      </c>
      <c r="G234" s="8" t="str">
        <f t="shared" si="3"/>
        <v>STAMBAUGH JAMES</v>
      </c>
    </row>
    <row r="235" spans="1:7" x14ac:dyDescent="0.25">
      <c r="A235" s="8">
        <v>42705.929074074076</v>
      </c>
      <c r="B235" t="s">
        <v>223</v>
      </c>
      <c r="C235" t="s">
        <v>380</v>
      </c>
      <c r="D235" s="165">
        <v>1290000</v>
      </c>
      <c r="E235" t="s">
        <v>294</v>
      </c>
      <c r="F235" s="21" t="s">
        <v>341</v>
      </c>
      <c r="G235" s="8" t="str">
        <f t="shared" si="3"/>
        <v>COOLAHAN JOHN</v>
      </c>
    </row>
    <row r="236" spans="1:7" x14ac:dyDescent="0.25">
      <c r="A236" s="8">
        <v>42705.941400462965</v>
      </c>
      <c r="B236" t="s">
        <v>261</v>
      </c>
      <c r="C236" t="s">
        <v>381</v>
      </c>
      <c r="D236" s="165">
        <v>1230000</v>
      </c>
      <c r="E236" t="s">
        <v>303</v>
      </c>
      <c r="F236" s="21" t="s">
        <v>342</v>
      </c>
      <c r="G236" s="8" t="str">
        <f t="shared" si="3"/>
        <v>YANAI IAN</v>
      </c>
    </row>
    <row r="237" spans="1:7" x14ac:dyDescent="0.25">
      <c r="A237" s="8">
        <v>42705.951643518521</v>
      </c>
      <c r="B237" t="s">
        <v>375</v>
      </c>
      <c r="C237" t="s">
        <v>382</v>
      </c>
      <c r="D237" s="165">
        <v>1180000</v>
      </c>
      <c r="E237" t="s">
        <v>293</v>
      </c>
      <c r="F237" s="21" t="s">
        <v>351</v>
      </c>
      <c r="G237" s="8" t="str">
        <f t="shared" si="3"/>
        <v>LEVERE CRAIG</v>
      </c>
    </row>
    <row r="238" spans="1:7" x14ac:dyDescent="0.25">
      <c r="A238" s="8">
        <v>42705.952060185184</v>
      </c>
      <c r="B238" t="s">
        <v>271</v>
      </c>
      <c r="C238" t="s">
        <v>383</v>
      </c>
      <c r="D238" s="165">
        <v>1300000</v>
      </c>
      <c r="E238" t="s">
        <v>113</v>
      </c>
      <c r="F238" s="21" t="s">
        <v>353</v>
      </c>
      <c r="G238" s="8" t="str">
        <f t="shared" si="3"/>
        <v>LEVIN SCOTT</v>
      </c>
    </row>
    <row r="239" spans="1:7" x14ac:dyDescent="0.25">
      <c r="A239" s="8">
        <v>42705.97446759259</v>
      </c>
      <c r="B239" t="s">
        <v>264</v>
      </c>
      <c r="C239" t="s">
        <v>384</v>
      </c>
      <c r="D239" s="165">
        <v>2000000</v>
      </c>
      <c r="E239" t="s">
        <v>215</v>
      </c>
      <c r="F239" s="21" t="s">
        <v>354</v>
      </c>
      <c r="G239" s="8" t="str">
        <f t="shared" si="3"/>
        <v>STAMBAUGH JAMES</v>
      </c>
    </row>
    <row r="240" spans="1:7" x14ac:dyDescent="0.25">
      <c r="A240" s="8">
        <v>42705.976018518515</v>
      </c>
      <c r="B240" t="s">
        <v>222</v>
      </c>
      <c r="C240" t="s">
        <v>385</v>
      </c>
      <c r="D240" s="165">
        <v>1290000</v>
      </c>
      <c r="E240" t="s">
        <v>294</v>
      </c>
      <c r="F240" s="21" t="s">
        <v>341</v>
      </c>
      <c r="G240" s="8" t="str">
        <f t="shared" si="3"/>
        <v>COOLAHAN JOHN</v>
      </c>
    </row>
    <row r="241" spans="1:7" x14ac:dyDescent="0.25">
      <c r="A241" s="8">
        <v>42705.993807870371</v>
      </c>
      <c r="B241" t="s">
        <v>360</v>
      </c>
      <c r="C241" t="s">
        <v>386</v>
      </c>
      <c r="D241" s="165">
        <v>1180000</v>
      </c>
      <c r="E241" t="s">
        <v>293</v>
      </c>
      <c r="F241" s="21" t="s">
        <v>351</v>
      </c>
      <c r="G241" s="8" t="str">
        <f t="shared" si="3"/>
        <v>LEVERE CRAIG</v>
      </c>
    </row>
    <row r="242" spans="1:7" x14ac:dyDescent="0.25">
      <c r="A242" s="8">
        <v>42705.99627314815</v>
      </c>
      <c r="B242" t="s">
        <v>246</v>
      </c>
      <c r="C242" t="s">
        <v>387</v>
      </c>
      <c r="D242" s="165">
        <v>1300000</v>
      </c>
      <c r="E242" t="s">
        <v>113</v>
      </c>
      <c r="F242" s="21" t="s">
        <v>353</v>
      </c>
      <c r="G242" s="8" t="str">
        <f t="shared" si="3"/>
        <v>LEVIN SCOTT</v>
      </c>
    </row>
    <row r="243" spans="1:7" x14ac:dyDescent="0.25">
      <c r="A243" s="8">
        <v>42706.004305555558</v>
      </c>
      <c r="B243" t="s">
        <v>183</v>
      </c>
      <c r="C243" t="s">
        <v>388</v>
      </c>
      <c r="D243" s="165">
        <v>2000000</v>
      </c>
      <c r="E243" t="s">
        <v>215</v>
      </c>
      <c r="F243" s="21" t="s">
        <v>354</v>
      </c>
      <c r="G243" s="8" t="str">
        <f t="shared" si="3"/>
        <v>STAMBAUGH JAMES</v>
      </c>
    </row>
    <row r="244" spans="1:7" x14ac:dyDescent="0.25">
      <c r="A244" s="8">
        <v>42706.00990740741</v>
      </c>
      <c r="B244" t="s">
        <v>223</v>
      </c>
      <c r="C244" t="s">
        <v>362</v>
      </c>
      <c r="D244" s="165">
        <v>1290000</v>
      </c>
      <c r="E244" t="s">
        <v>294</v>
      </c>
      <c r="F244" s="21" t="s">
        <v>341</v>
      </c>
      <c r="G244" s="8" t="str">
        <f t="shared" si="3"/>
        <v>COOLAHAN JOHN</v>
      </c>
    </row>
    <row r="245" spans="1:7" x14ac:dyDescent="0.25">
      <c r="A245" s="8">
        <v>42706.026990740742</v>
      </c>
      <c r="B245" t="s">
        <v>375</v>
      </c>
      <c r="C245" t="s">
        <v>389</v>
      </c>
      <c r="D245" s="165">
        <v>1180000</v>
      </c>
      <c r="E245" t="s">
        <v>293</v>
      </c>
      <c r="F245" s="21" t="s">
        <v>351</v>
      </c>
      <c r="G245" s="8" t="str">
        <f t="shared" si="3"/>
        <v>LEVERE CRAIG</v>
      </c>
    </row>
    <row r="246" spans="1:7" x14ac:dyDescent="0.25">
      <c r="A246" s="8">
        <v>42706.035787037035</v>
      </c>
      <c r="B246" t="s">
        <v>271</v>
      </c>
      <c r="C246" t="s">
        <v>361</v>
      </c>
      <c r="D246" s="165">
        <v>1300000</v>
      </c>
      <c r="E246" t="s">
        <v>113</v>
      </c>
      <c r="F246" s="21" t="s">
        <v>353</v>
      </c>
      <c r="G246" s="8" t="str">
        <f t="shared" si="3"/>
        <v>LEVIN SCOTT</v>
      </c>
    </row>
    <row r="247" spans="1:7" x14ac:dyDescent="0.25">
      <c r="A247" s="8">
        <v>42706.04965277778</v>
      </c>
      <c r="B247" t="s">
        <v>316</v>
      </c>
      <c r="C247" t="s">
        <v>390</v>
      </c>
      <c r="D247" s="165">
        <v>1290000</v>
      </c>
      <c r="E247" t="s">
        <v>294</v>
      </c>
      <c r="F247" s="21" t="s">
        <v>341</v>
      </c>
      <c r="G247" s="8" t="str">
        <f t="shared" si="3"/>
        <v>COOLAHAN JOHN</v>
      </c>
    </row>
    <row r="248" spans="1:7" x14ac:dyDescent="0.25">
      <c r="A248" s="8">
        <v>42706.05704861111</v>
      </c>
      <c r="B248" t="s">
        <v>264</v>
      </c>
      <c r="C248" t="s">
        <v>391</v>
      </c>
      <c r="D248" s="165">
        <v>2000000</v>
      </c>
      <c r="E248" t="s">
        <v>215</v>
      </c>
      <c r="F248" s="21" t="s">
        <v>354</v>
      </c>
      <c r="G248" s="8" t="str">
        <f t="shared" si="3"/>
        <v>STAMBAUGH JAMES</v>
      </c>
    </row>
    <row r="249" spans="1:7" x14ac:dyDescent="0.25">
      <c r="A249" s="8">
        <v>42706.06658564815</v>
      </c>
      <c r="B249" t="s">
        <v>246</v>
      </c>
      <c r="C249" t="s">
        <v>392</v>
      </c>
      <c r="D249" s="165">
        <v>1300000</v>
      </c>
      <c r="E249" t="s">
        <v>113</v>
      </c>
      <c r="F249" s="21" t="s">
        <v>353</v>
      </c>
      <c r="G249" s="8" t="str">
        <f t="shared" si="3"/>
        <v>LEVIN SCOTT</v>
      </c>
    </row>
    <row r="250" spans="1:7" x14ac:dyDescent="0.25">
      <c r="A250" s="8">
        <v>42700.022650462961</v>
      </c>
      <c r="B250" t="s">
        <v>154</v>
      </c>
      <c r="C250" t="s">
        <v>275</v>
      </c>
      <c r="D250" s="165">
        <v>2530000</v>
      </c>
      <c r="E250" t="s">
        <v>274</v>
      </c>
      <c r="F250" s="21" t="str">
        <f t="shared" ref="F250:F265" si="4">B250</f>
        <v>rtdc.l.rtdc.4051:itc</v>
      </c>
      <c r="G250" s="8" t="str">
        <f t="shared" si="3"/>
        <v>LALONDE rtdc.l.rtdc.4051:itc</v>
      </c>
    </row>
    <row r="251" spans="1:7" x14ac:dyDescent="0.25">
      <c r="A251" s="8">
        <v>42700.032500000001</v>
      </c>
      <c r="B251" t="s">
        <v>235</v>
      </c>
      <c r="C251" t="s">
        <v>272</v>
      </c>
      <c r="D251" s="165">
        <v>1800000</v>
      </c>
      <c r="E251" t="s">
        <v>273</v>
      </c>
      <c r="F251" s="21" t="str">
        <f t="shared" si="4"/>
        <v>rtdc.l.rtdc.4013:itc</v>
      </c>
      <c r="G251" s="8" t="str">
        <f t="shared" si="3"/>
        <v>CHANDLER rtdc.l.rtdc.4013:itc</v>
      </c>
    </row>
    <row r="252" spans="1:7" x14ac:dyDescent="0.25">
      <c r="A252" s="8">
        <v>42700.037488425929</v>
      </c>
      <c r="B252" t="s">
        <v>211</v>
      </c>
      <c r="C252" t="s">
        <v>277</v>
      </c>
      <c r="D252" s="165">
        <v>2600000</v>
      </c>
      <c r="E252" t="s">
        <v>256</v>
      </c>
      <c r="F252" s="21" t="str">
        <f t="shared" si="4"/>
        <v>rtdc.l.rtdc.4040:itc</v>
      </c>
      <c r="G252" s="8" t="str">
        <f t="shared" si="3"/>
        <v>DAVIDSON rtdc.l.rtdc.4040:itc</v>
      </c>
    </row>
    <row r="253" spans="1:7" x14ac:dyDescent="0.25">
      <c r="A253" s="8">
        <v>42700.045208333337</v>
      </c>
      <c r="B253" t="s">
        <v>155</v>
      </c>
      <c r="C253" t="s">
        <v>276</v>
      </c>
      <c r="D253" s="165">
        <v>2530000</v>
      </c>
      <c r="E253" t="s">
        <v>274</v>
      </c>
      <c r="F253" s="21" t="str">
        <f t="shared" si="4"/>
        <v>rtdc.l.rtdc.4052:itc</v>
      </c>
      <c r="G253" s="8" t="str">
        <f t="shared" si="3"/>
        <v>LALONDE rtdc.l.rtdc.4052:itc</v>
      </c>
    </row>
    <row r="254" spans="1:7" x14ac:dyDescent="0.25">
      <c r="A254" s="8">
        <v>42700.045347222222</v>
      </c>
      <c r="B254" t="s">
        <v>248</v>
      </c>
      <c r="C254" t="s">
        <v>278</v>
      </c>
      <c r="D254" s="165">
        <v>2630000</v>
      </c>
      <c r="E254" t="s">
        <v>257</v>
      </c>
      <c r="F254" s="21" t="str">
        <f t="shared" si="4"/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255</v>
      </c>
      <c r="C255" t="s">
        <v>279</v>
      </c>
      <c r="D255" s="165">
        <v>2000000</v>
      </c>
      <c r="E255" t="s">
        <v>215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275</v>
      </c>
      <c r="D256" s="165">
        <v>2530000</v>
      </c>
      <c r="E256" t="s">
        <v>274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234</v>
      </c>
      <c r="C257" t="s">
        <v>280</v>
      </c>
      <c r="D257" s="165">
        <v>1800000</v>
      </c>
      <c r="E257" t="s">
        <v>273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213</v>
      </c>
      <c r="C258" t="s">
        <v>281</v>
      </c>
      <c r="D258" s="165">
        <v>2600000</v>
      </c>
      <c r="E258" t="s">
        <v>256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276</v>
      </c>
      <c r="D259" s="165">
        <v>2530000</v>
      </c>
      <c r="E259" t="s">
        <v>274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254</v>
      </c>
      <c r="C260" t="s">
        <v>282</v>
      </c>
      <c r="D260" s="165">
        <v>2000000</v>
      </c>
      <c r="E260" t="s">
        <v>215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275</v>
      </c>
      <c r="D261" s="165">
        <v>2530000</v>
      </c>
      <c r="E261" t="s">
        <v>274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211</v>
      </c>
      <c r="C262" t="s">
        <v>283</v>
      </c>
      <c r="D262" s="165">
        <v>2600000</v>
      </c>
      <c r="E262" t="s">
        <v>256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208</v>
      </c>
      <c r="C263" t="s">
        <v>224</v>
      </c>
      <c r="D263" s="165">
        <v>2000000</v>
      </c>
      <c r="E263" t="s">
        <v>215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220</v>
      </c>
      <c r="C264" t="s">
        <v>225</v>
      </c>
      <c r="D264" s="165">
        <v>2550000</v>
      </c>
      <c r="E264" t="s">
        <v>219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223</v>
      </c>
      <c r="C265" t="s">
        <v>226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218</v>
      </c>
      <c r="C266" t="s">
        <v>227</v>
      </c>
      <c r="D266" s="165">
        <v>2420000</v>
      </c>
      <c r="E266" t="s">
        <v>221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216</v>
      </c>
      <c r="C267" t="s">
        <v>228</v>
      </c>
      <c r="D267" s="165">
        <v>2000000</v>
      </c>
      <c r="E267" t="s">
        <v>215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222</v>
      </c>
      <c r="C268" t="s">
        <v>229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667</v>
      </c>
      <c r="I1" s="164" t="s">
        <v>171</v>
      </c>
      <c r="J1" s="164" t="s">
        <v>172</v>
      </c>
      <c r="K1" s="164" t="s">
        <v>668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26.46</v>
      </c>
      <c r="B2" s="165">
        <v>0.79</v>
      </c>
      <c r="C2" s="165">
        <v>10.1</v>
      </c>
      <c r="D2" s="8">
        <v>42706</v>
      </c>
      <c r="E2" s="165">
        <v>0.49</v>
      </c>
      <c r="F2" s="165" t="s">
        <v>285</v>
      </c>
      <c r="G2" s="165">
        <v>264.95999999999998</v>
      </c>
      <c r="H2" s="165"/>
      <c r="I2" s="165">
        <v>0</v>
      </c>
      <c r="J2" s="165">
        <v>0</v>
      </c>
      <c r="K2" s="165"/>
      <c r="L2" s="165">
        <v>1021.72</v>
      </c>
      <c r="M2" s="165" t="s">
        <v>393</v>
      </c>
      <c r="N2" s="165">
        <v>26.46</v>
      </c>
      <c r="O2" s="165">
        <v>1480662000</v>
      </c>
      <c r="P2" s="165">
        <v>6.65</v>
      </c>
      <c r="Q2" s="165">
        <v>336</v>
      </c>
      <c r="R2" s="165">
        <v>1.22</v>
      </c>
    </row>
    <row r="3" spans="1:18" x14ac:dyDescent="0.25">
      <c r="A3" s="165">
        <v>26.05</v>
      </c>
      <c r="B3" s="165">
        <v>0.7</v>
      </c>
      <c r="C3" s="165">
        <v>10.01</v>
      </c>
      <c r="D3" s="8">
        <v>42706.041666666664</v>
      </c>
      <c r="E3" s="165">
        <v>0.5</v>
      </c>
      <c r="F3" s="165" t="s">
        <v>285</v>
      </c>
      <c r="G3" s="165">
        <v>264.3</v>
      </c>
      <c r="H3" s="165"/>
      <c r="I3" s="165">
        <v>0</v>
      </c>
      <c r="J3" s="165">
        <v>0</v>
      </c>
      <c r="K3" s="165"/>
      <c r="L3" s="165">
        <v>1022.31</v>
      </c>
      <c r="M3" s="165" t="s">
        <v>393</v>
      </c>
      <c r="N3" s="165">
        <v>26.05</v>
      </c>
      <c r="O3" s="165">
        <v>1480665600</v>
      </c>
      <c r="P3" s="165">
        <v>6.48</v>
      </c>
      <c r="Q3" s="165">
        <v>327</v>
      </c>
      <c r="R3" s="165">
        <v>1.96</v>
      </c>
    </row>
    <row r="4" spans="1:18" x14ac:dyDescent="0.25">
      <c r="A4" s="165">
        <v>25.45</v>
      </c>
      <c r="B4" s="165">
        <v>0.7</v>
      </c>
      <c r="C4" s="165">
        <v>9.0500000000000007</v>
      </c>
      <c r="D4" s="8">
        <v>42706.083333333336</v>
      </c>
      <c r="E4" s="165">
        <v>0.49</v>
      </c>
      <c r="F4" s="165" t="s">
        <v>285</v>
      </c>
      <c r="G4" s="165">
        <v>263.64</v>
      </c>
      <c r="H4" s="165"/>
      <c r="I4" s="165">
        <v>0</v>
      </c>
      <c r="J4" s="165">
        <v>0</v>
      </c>
      <c r="K4" s="165"/>
      <c r="L4" s="165">
        <v>1022.93</v>
      </c>
      <c r="M4" s="165" t="s">
        <v>393</v>
      </c>
      <c r="N4" s="165">
        <v>25.45</v>
      </c>
      <c r="O4" s="165">
        <v>1480669200</v>
      </c>
      <c r="P4" s="165">
        <v>5.28</v>
      </c>
      <c r="Q4" s="165">
        <v>322</v>
      </c>
      <c r="R4" s="165">
        <v>2.0499999999999998</v>
      </c>
    </row>
    <row r="5" spans="1:18" x14ac:dyDescent="0.25">
      <c r="A5" s="165">
        <v>24.23</v>
      </c>
      <c r="B5" s="165">
        <v>0.54</v>
      </c>
      <c r="C5" s="165">
        <v>8.83</v>
      </c>
      <c r="D5" s="8">
        <v>42706.125</v>
      </c>
      <c r="E5" s="165">
        <v>0.51</v>
      </c>
      <c r="F5" s="165" t="s">
        <v>285</v>
      </c>
      <c r="G5" s="165">
        <v>263.82</v>
      </c>
      <c r="H5" s="165"/>
      <c r="I5" s="165">
        <v>0</v>
      </c>
      <c r="J5" s="165">
        <v>0</v>
      </c>
      <c r="K5" s="165"/>
      <c r="L5" s="165">
        <v>1023.52</v>
      </c>
      <c r="M5" s="165" t="s">
        <v>304</v>
      </c>
      <c r="N5" s="165">
        <v>24.23</v>
      </c>
      <c r="O5" s="165">
        <v>1480672800</v>
      </c>
      <c r="P5" s="165">
        <v>4.71</v>
      </c>
      <c r="Q5" s="165">
        <v>326</v>
      </c>
      <c r="R5" s="165">
        <v>1.36</v>
      </c>
    </row>
    <row r="6" spans="1:18" x14ac:dyDescent="0.25">
      <c r="A6" s="165">
        <v>22.86</v>
      </c>
      <c r="B6" s="165">
        <v>0.46</v>
      </c>
      <c r="C6" s="165">
        <v>9.1300000000000008</v>
      </c>
      <c r="D6" s="8">
        <v>42706.166666666664</v>
      </c>
      <c r="E6" s="165">
        <v>0.55000000000000004</v>
      </c>
      <c r="F6" s="165" t="s">
        <v>285</v>
      </c>
      <c r="G6" s="165">
        <v>264.39</v>
      </c>
      <c r="H6" s="165"/>
      <c r="I6" s="165">
        <v>0</v>
      </c>
      <c r="J6" s="165">
        <v>0</v>
      </c>
      <c r="K6" s="165"/>
      <c r="L6" s="165">
        <v>1024.0999999999999</v>
      </c>
      <c r="M6" s="165" t="s">
        <v>304</v>
      </c>
      <c r="N6" s="165">
        <v>22.86</v>
      </c>
      <c r="O6" s="165">
        <v>1480676400</v>
      </c>
      <c r="P6" s="165">
        <v>4.9800000000000004</v>
      </c>
      <c r="Q6" s="165">
        <v>323</v>
      </c>
      <c r="R6" s="165">
        <v>2.13</v>
      </c>
    </row>
    <row r="7" spans="1:18" x14ac:dyDescent="0.25">
      <c r="A7" s="165">
        <v>22.63</v>
      </c>
      <c r="B7" s="165">
        <v>0.39</v>
      </c>
      <c r="C7" s="165">
        <v>11.14</v>
      </c>
      <c r="D7" s="8">
        <v>42706.208333333336</v>
      </c>
      <c r="E7" s="165">
        <v>0.61</v>
      </c>
      <c r="F7" s="165" t="s">
        <v>285</v>
      </c>
      <c r="G7" s="165">
        <v>265.18</v>
      </c>
      <c r="H7" s="165"/>
      <c r="I7" s="165">
        <v>0</v>
      </c>
      <c r="J7" s="165">
        <v>0</v>
      </c>
      <c r="K7" s="165"/>
      <c r="L7" s="165">
        <v>1024.75</v>
      </c>
      <c r="M7" s="165" t="s">
        <v>304</v>
      </c>
      <c r="N7" s="165">
        <v>22.63</v>
      </c>
      <c r="O7" s="165">
        <v>1480680000</v>
      </c>
      <c r="P7" s="165">
        <v>9.9600000000000009</v>
      </c>
      <c r="Q7" s="165">
        <v>344</v>
      </c>
      <c r="R7" s="165">
        <v>1.26</v>
      </c>
    </row>
    <row r="8" spans="1:18" x14ac:dyDescent="0.25">
      <c r="A8" s="165">
        <v>21.48</v>
      </c>
      <c r="B8" s="165">
        <v>0.39</v>
      </c>
      <c r="C8" s="165">
        <v>10.41</v>
      </c>
      <c r="D8" s="8">
        <v>42706.25</v>
      </c>
      <c r="E8" s="165">
        <v>0.62</v>
      </c>
      <c r="F8" s="165" t="s">
        <v>285</v>
      </c>
      <c r="G8" s="165">
        <v>266.13</v>
      </c>
      <c r="H8" s="165"/>
      <c r="I8" s="165">
        <v>0</v>
      </c>
      <c r="J8" s="165">
        <v>0</v>
      </c>
      <c r="K8" s="165"/>
      <c r="L8" s="165">
        <v>1025.6500000000001</v>
      </c>
      <c r="M8" s="165" t="s">
        <v>304</v>
      </c>
      <c r="N8" s="165">
        <v>21.48</v>
      </c>
      <c r="O8" s="165">
        <v>1480683600</v>
      </c>
      <c r="P8" s="165">
        <v>6.59</v>
      </c>
      <c r="Q8" s="165">
        <v>338</v>
      </c>
      <c r="R8" s="165">
        <v>1.38</v>
      </c>
    </row>
    <row r="9" spans="1:18" x14ac:dyDescent="0.25">
      <c r="A9" s="165">
        <v>22.7</v>
      </c>
      <c r="B9" s="165">
        <v>0.49</v>
      </c>
      <c r="C9" s="165">
        <v>11.74</v>
      </c>
      <c r="D9" s="8">
        <v>42706.291666666664</v>
      </c>
      <c r="E9" s="165">
        <v>0.62</v>
      </c>
      <c r="F9" s="165" t="s">
        <v>285</v>
      </c>
      <c r="G9" s="165">
        <v>267.29000000000002</v>
      </c>
      <c r="H9" s="165"/>
      <c r="I9" s="165">
        <v>0</v>
      </c>
      <c r="J9" s="165">
        <v>0</v>
      </c>
      <c r="K9" s="165"/>
      <c r="L9" s="165">
        <v>1026.5899999999999</v>
      </c>
      <c r="M9" s="165" t="s">
        <v>304</v>
      </c>
      <c r="N9" s="165">
        <v>22.7</v>
      </c>
      <c r="O9" s="165">
        <v>1480687200</v>
      </c>
      <c r="P9" s="165">
        <v>4.4800000000000004</v>
      </c>
      <c r="Q9" s="165">
        <v>325</v>
      </c>
      <c r="R9" s="165">
        <v>1.26</v>
      </c>
    </row>
    <row r="10" spans="1:18" x14ac:dyDescent="0.25">
      <c r="A10" s="165">
        <v>24.5</v>
      </c>
      <c r="B10" s="165">
        <v>0.59</v>
      </c>
      <c r="C10" s="165">
        <v>13.69</v>
      </c>
      <c r="D10" s="8">
        <v>42706.333333333336</v>
      </c>
      <c r="E10" s="165">
        <v>0.63</v>
      </c>
      <c r="F10" s="165" t="s">
        <v>286</v>
      </c>
      <c r="G10" s="165">
        <v>268.61</v>
      </c>
      <c r="H10" s="165"/>
      <c r="I10" s="165">
        <v>0</v>
      </c>
      <c r="J10" s="165">
        <v>0</v>
      </c>
      <c r="K10" s="165"/>
      <c r="L10" s="165">
        <v>1027.1300000000001</v>
      </c>
      <c r="M10" s="165" t="s">
        <v>304</v>
      </c>
      <c r="N10" s="165">
        <v>24.5</v>
      </c>
      <c r="O10" s="165">
        <v>1480690800</v>
      </c>
      <c r="P10" s="165">
        <v>4.1500000000000004</v>
      </c>
      <c r="Q10" s="165">
        <v>211</v>
      </c>
      <c r="R10" s="165">
        <v>0.5</v>
      </c>
    </row>
    <row r="11" spans="1:18" x14ac:dyDescent="0.25">
      <c r="A11" s="165">
        <v>27.66</v>
      </c>
      <c r="B11" s="165">
        <v>0.61</v>
      </c>
      <c r="C11" s="165">
        <v>16.190000000000001</v>
      </c>
      <c r="D11" s="8">
        <v>42706.375</v>
      </c>
      <c r="E11" s="165">
        <v>0.62</v>
      </c>
      <c r="F11" s="165" t="s">
        <v>286</v>
      </c>
      <c r="G11" s="165">
        <v>270.14</v>
      </c>
      <c r="H11" s="165"/>
      <c r="I11" s="165">
        <v>0</v>
      </c>
      <c r="J11" s="165">
        <v>0</v>
      </c>
      <c r="K11" s="165"/>
      <c r="L11" s="165">
        <v>1027.03</v>
      </c>
      <c r="M11" s="165" t="s">
        <v>393</v>
      </c>
      <c r="N11" s="165">
        <v>27.66</v>
      </c>
      <c r="O11" s="165">
        <v>1480694400</v>
      </c>
      <c r="P11" s="165">
        <v>4.07</v>
      </c>
      <c r="Q11" s="165">
        <v>209</v>
      </c>
      <c r="R11" s="165">
        <v>0.43</v>
      </c>
    </row>
    <row r="12" spans="1:18" x14ac:dyDescent="0.25">
      <c r="A12" s="165">
        <v>30.57</v>
      </c>
      <c r="B12" s="165">
        <v>0.62</v>
      </c>
      <c r="C12" s="165">
        <v>17.66</v>
      </c>
      <c r="D12" s="8">
        <v>42706.416666666664</v>
      </c>
      <c r="E12" s="165">
        <v>0.57999999999999996</v>
      </c>
      <c r="F12" s="165" t="s">
        <v>286</v>
      </c>
      <c r="G12" s="165">
        <v>271.83</v>
      </c>
      <c r="H12" s="165"/>
      <c r="I12" s="165">
        <v>0</v>
      </c>
      <c r="J12" s="165">
        <v>0</v>
      </c>
      <c r="K12" s="165"/>
      <c r="L12" s="165">
        <v>1026.45</v>
      </c>
      <c r="M12" s="165" t="s">
        <v>393</v>
      </c>
      <c r="N12" s="165">
        <v>30.57</v>
      </c>
      <c r="O12" s="165">
        <v>1480698000</v>
      </c>
      <c r="P12" s="165">
        <v>4.1500000000000004</v>
      </c>
      <c r="Q12" s="165">
        <v>106</v>
      </c>
      <c r="R12" s="165">
        <v>1.38</v>
      </c>
    </row>
    <row r="13" spans="1:18" x14ac:dyDescent="0.25">
      <c r="A13" s="165">
        <v>33.08</v>
      </c>
      <c r="B13" s="165">
        <v>0.72</v>
      </c>
      <c r="C13" s="165">
        <v>18.41</v>
      </c>
      <c r="D13" s="8">
        <v>42706.458333333336</v>
      </c>
      <c r="E13" s="165">
        <v>0.54</v>
      </c>
      <c r="F13" s="165" t="s">
        <v>286</v>
      </c>
      <c r="G13" s="165">
        <v>273.51</v>
      </c>
      <c r="H13" s="165"/>
      <c r="I13" s="165">
        <v>0</v>
      </c>
      <c r="J13" s="165">
        <v>0</v>
      </c>
      <c r="K13" s="165"/>
      <c r="L13" s="165">
        <v>1025.82</v>
      </c>
      <c r="M13" s="165" t="s">
        <v>393</v>
      </c>
      <c r="N13" s="165">
        <v>33.08</v>
      </c>
      <c r="O13" s="165">
        <v>1480701600</v>
      </c>
      <c r="P13" s="165">
        <v>4.0199999999999996</v>
      </c>
      <c r="Q13" s="165">
        <v>85</v>
      </c>
      <c r="R13" s="165">
        <v>2.33</v>
      </c>
    </row>
    <row r="14" spans="1:18" x14ac:dyDescent="0.25">
      <c r="A14" s="165">
        <v>31.43</v>
      </c>
      <c r="B14" s="165">
        <v>0.74</v>
      </c>
      <c r="C14" s="165">
        <v>20.309999999999999</v>
      </c>
      <c r="D14" s="8">
        <v>42706.5</v>
      </c>
      <c r="E14" s="165">
        <v>0.56000000000000005</v>
      </c>
      <c r="F14" s="165" t="s">
        <v>286</v>
      </c>
      <c r="G14" s="165">
        <v>275.11</v>
      </c>
      <c r="H14" s="165"/>
      <c r="I14" s="165">
        <v>1.6000000000000001E-3</v>
      </c>
      <c r="J14" s="165">
        <v>0.03</v>
      </c>
      <c r="K14" s="165" t="s">
        <v>669</v>
      </c>
      <c r="L14" s="165">
        <v>1025.33</v>
      </c>
      <c r="M14" s="165" t="s">
        <v>393</v>
      </c>
      <c r="N14" s="165">
        <v>34.31</v>
      </c>
      <c r="O14" s="165">
        <v>1480705200</v>
      </c>
      <c r="P14" s="165">
        <v>4.1100000000000003</v>
      </c>
      <c r="Q14" s="165">
        <v>95</v>
      </c>
      <c r="R14" s="165">
        <v>3.39</v>
      </c>
    </row>
    <row r="15" spans="1:18" x14ac:dyDescent="0.25">
      <c r="A15" s="165">
        <v>30.68</v>
      </c>
      <c r="B15" s="165">
        <v>0.76</v>
      </c>
      <c r="C15" s="165">
        <v>21.66</v>
      </c>
      <c r="D15" s="8">
        <v>42706.541666666664</v>
      </c>
      <c r="E15" s="165">
        <v>0.61</v>
      </c>
      <c r="F15" s="165" t="s">
        <v>286</v>
      </c>
      <c r="G15" s="165">
        <v>276.69</v>
      </c>
      <c r="H15" s="165"/>
      <c r="I15" s="165">
        <v>3.0000000000000001E-3</v>
      </c>
      <c r="J15" s="165">
        <v>0.1</v>
      </c>
      <c r="K15" s="165" t="s">
        <v>669</v>
      </c>
      <c r="L15" s="165">
        <v>1024.83</v>
      </c>
      <c r="M15" s="165" t="s">
        <v>393</v>
      </c>
      <c r="N15" s="165">
        <v>33.630000000000003</v>
      </c>
      <c r="O15" s="165">
        <v>1480708800</v>
      </c>
      <c r="P15" s="165">
        <v>7.17</v>
      </c>
      <c r="Q15" s="165">
        <v>99</v>
      </c>
      <c r="R15" s="165">
        <v>3.37</v>
      </c>
    </row>
    <row r="16" spans="1:18" x14ac:dyDescent="0.25">
      <c r="A16" s="165">
        <v>30.41</v>
      </c>
      <c r="B16" s="165">
        <v>0.67</v>
      </c>
      <c r="C16" s="165">
        <v>24.89</v>
      </c>
      <c r="D16" s="8">
        <v>42706.583333333336</v>
      </c>
      <c r="E16" s="165">
        <v>0.71</v>
      </c>
      <c r="F16" s="165" t="s">
        <v>670</v>
      </c>
      <c r="G16" s="165">
        <v>278.26</v>
      </c>
      <c r="H16" s="165">
        <v>5.3999999999999999E-2</v>
      </c>
      <c r="I16" s="165">
        <v>7.1000000000000004E-3</v>
      </c>
      <c r="J16" s="165">
        <v>0.36</v>
      </c>
      <c r="K16" s="165" t="s">
        <v>670</v>
      </c>
      <c r="L16" s="165">
        <v>1024.54</v>
      </c>
      <c r="M16" s="165" t="s">
        <v>671</v>
      </c>
      <c r="N16" s="165">
        <v>33.200000000000003</v>
      </c>
      <c r="O16" s="165">
        <v>1480712400</v>
      </c>
      <c r="P16" s="165">
        <v>3.9</v>
      </c>
      <c r="Q16" s="165">
        <v>81</v>
      </c>
      <c r="R16" s="165">
        <v>3.19</v>
      </c>
    </row>
    <row r="17" spans="1:18" x14ac:dyDescent="0.25">
      <c r="A17" s="165">
        <v>34.020000000000003</v>
      </c>
      <c r="B17" s="165">
        <v>0.65</v>
      </c>
      <c r="C17" s="165">
        <v>24.76</v>
      </c>
      <c r="D17" s="8">
        <v>42706.625</v>
      </c>
      <c r="E17" s="165">
        <v>0.69</v>
      </c>
      <c r="F17" s="165" t="s">
        <v>670</v>
      </c>
      <c r="G17" s="165">
        <v>279.75</v>
      </c>
      <c r="H17" s="165">
        <v>2.3E-2</v>
      </c>
      <c r="I17" s="165">
        <v>3.0000000000000001E-3</v>
      </c>
      <c r="J17" s="165">
        <v>0.1</v>
      </c>
      <c r="K17" s="165" t="s">
        <v>670</v>
      </c>
      <c r="L17" s="165">
        <v>1024.6500000000001</v>
      </c>
      <c r="M17" s="165" t="s">
        <v>672</v>
      </c>
      <c r="N17" s="165">
        <v>34.020000000000003</v>
      </c>
      <c r="O17" s="165">
        <v>1480716000</v>
      </c>
      <c r="P17" s="165">
        <v>4.51</v>
      </c>
      <c r="Q17" s="165">
        <v>99</v>
      </c>
      <c r="R17" s="165">
        <v>2.86</v>
      </c>
    </row>
    <row r="18" spans="1:18" x14ac:dyDescent="0.25">
      <c r="A18" s="165">
        <v>30.68</v>
      </c>
      <c r="B18" s="165">
        <v>0.7</v>
      </c>
      <c r="C18" s="165">
        <v>22.38</v>
      </c>
      <c r="D18" s="8">
        <v>42706.666666666664</v>
      </c>
      <c r="E18" s="165">
        <v>0.64</v>
      </c>
      <c r="F18" s="165" t="s">
        <v>286</v>
      </c>
      <c r="G18" s="165">
        <v>281.22000000000003</v>
      </c>
      <c r="H18" s="165">
        <v>1.2999999999999999E-2</v>
      </c>
      <c r="I18" s="165">
        <v>1.8E-3</v>
      </c>
      <c r="J18" s="165">
        <v>0.04</v>
      </c>
      <c r="K18" s="165" t="s">
        <v>670</v>
      </c>
      <c r="L18" s="165">
        <v>1024.82</v>
      </c>
      <c r="M18" s="165" t="s">
        <v>393</v>
      </c>
      <c r="N18" s="165">
        <v>33.340000000000003</v>
      </c>
      <c r="O18" s="165">
        <v>1480719600</v>
      </c>
      <c r="P18" s="165">
        <v>4.84</v>
      </c>
      <c r="Q18" s="165">
        <v>84</v>
      </c>
      <c r="R18" s="165">
        <v>3.11</v>
      </c>
    </row>
    <row r="19" spans="1:18" x14ac:dyDescent="0.25">
      <c r="A19" s="165">
        <v>31.8</v>
      </c>
      <c r="B19" s="165">
        <v>0.74</v>
      </c>
      <c r="C19" s="165">
        <v>21.92</v>
      </c>
      <c r="D19" s="8">
        <v>42706.708333333336</v>
      </c>
      <c r="E19" s="165">
        <v>0.66</v>
      </c>
      <c r="F19" s="165" t="s">
        <v>670</v>
      </c>
      <c r="G19" s="165">
        <v>282.86</v>
      </c>
      <c r="H19" s="165">
        <v>1.9E-2</v>
      </c>
      <c r="I19" s="165">
        <v>2.5000000000000001E-3</v>
      </c>
      <c r="J19" s="165">
        <v>0.08</v>
      </c>
      <c r="K19" s="165" t="s">
        <v>670</v>
      </c>
      <c r="L19" s="165">
        <v>1025.02</v>
      </c>
      <c r="M19" s="165" t="s">
        <v>672</v>
      </c>
      <c r="N19" s="165">
        <v>31.8</v>
      </c>
      <c r="O19" s="165">
        <v>1480723200</v>
      </c>
      <c r="P19" s="165">
        <v>5.0199999999999996</v>
      </c>
      <c r="Q19" s="165">
        <v>109</v>
      </c>
      <c r="R19" s="165">
        <v>1.91</v>
      </c>
    </row>
    <row r="20" spans="1:18" x14ac:dyDescent="0.25">
      <c r="A20" s="165">
        <v>29.82</v>
      </c>
      <c r="B20" s="165">
        <v>0.75</v>
      </c>
      <c r="C20" s="165">
        <v>21.77</v>
      </c>
      <c r="D20" s="8">
        <v>42706.75</v>
      </c>
      <c r="E20" s="165">
        <v>0.72</v>
      </c>
      <c r="F20" s="165" t="s">
        <v>285</v>
      </c>
      <c r="G20" s="165">
        <v>285</v>
      </c>
      <c r="H20" s="165"/>
      <c r="I20" s="165">
        <v>0</v>
      </c>
      <c r="J20" s="165">
        <v>0</v>
      </c>
      <c r="K20" s="165"/>
      <c r="L20" s="165">
        <v>1025.25</v>
      </c>
      <c r="M20" s="165" t="s">
        <v>393</v>
      </c>
      <c r="N20" s="165">
        <v>29.82</v>
      </c>
      <c r="O20" s="165">
        <v>1480726800</v>
      </c>
      <c r="P20" s="165">
        <v>5.57</v>
      </c>
      <c r="Q20" s="165">
        <v>121</v>
      </c>
      <c r="R20" s="165">
        <v>1.95</v>
      </c>
    </row>
    <row r="21" spans="1:18" x14ac:dyDescent="0.25">
      <c r="A21" s="165">
        <v>29.04</v>
      </c>
      <c r="B21" s="165">
        <v>0.49</v>
      </c>
      <c r="C21" s="165">
        <v>22.03</v>
      </c>
      <c r="D21" s="8">
        <v>42706.791666666664</v>
      </c>
      <c r="E21" s="165">
        <v>0.75</v>
      </c>
      <c r="F21" s="165" t="s">
        <v>285</v>
      </c>
      <c r="G21" s="165">
        <v>287.3</v>
      </c>
      <c r="H21" s="165"/>
      <c r="I21" s="165">
        <v>0</v>
      </c>
      <c r="J21" s="165">
        <v>0</v>
      </c>
      <c r="K21" s="165"/>
      <c r="L21" s="165">
        <v>1025.73</v>
      </c>
      <c r="M21" s="165" t="s">
        <v>304</v>
      </c>
      <c r="N21" s="165">
        <v>29.04</v>
      </c>
      <c r="O21" s="165">
        <v>1480730400</v>
      </c>
      <c r="P21" s="165">
        <v>5.77</v>
      </c>
      <c r="Q21" s="165">
        <v>128</v>
      </c>
      <c r="R21" s="165">
        <v>0.87</v>
      </c>
    </row>
    <row r="22" spans="1:18" x14ac:dyDescent="0.25">
      <c r="A22" s="165">
        <v>27.5</v>
      </c>
      <c r="B22" s="165">
        <v>0.42</v>
      </c>
      <c r="C22" s="165">
        <v>21.23</v>
      </c>
      <c r="D22" s="8">
        <v>42706.833333333336</v>
      </c>
      <c r="E22" s="165">
        <v>0.77</v>
      </c>
      <c r="F22" s="165" t="s">
        <v>285</v>
      </c>
      <c r="G22" s="165">
        <v>288.93</v>
      </c>
      <c r="H22" s="165"/>
      <c r="I22" s="165">
        <v>0</v>
      </c>
      <c r="J22" s="165">
        <v>0</v>
      </c>
      <c r="K22" s="165"/>
      <c r="L22" s="165">
        <v>1026.1300000000001</v>
      </c>
      <c r="M22" s="165" t="s">
        <v>304</v>
      </c>
      <c r="N22" s="165">
        <v>27.5</v>
      </c>
      <c r="O22" s="165">
        <v>1480734000</v>
      </c>
      <c r="P22" s="165">
        <v>5.12</v>
      </c>
      <c r="Q22" s="165">
        <v>152</v>
      </c>
      <c r="R22" s="165">
        <v>1.05</v>
      </c>
    </row>
    <row r="23" spans="1:18" x14ac:dyDescent="0.25">
      <c r="A23" s="165">
        <v>26.88</v>
      </c>
      <c r="B23" s="165">
        <v>0.42</v>
      </c>
      <c r="C23" s="165">
        <v>21.19</v>
      </c>
      <c r="D23" s="8">
        <v>42706.875</v>
      </c>
      <c r="E23" s="165">
        <v>0.79</v>
      </c>
      <c r="F23" s="165" t="s">
        <v>285</v>
      </c>
      <c r="G23" s="165">
        <v>289.70999999999998</v>
      </c>
      <c r="H23" s="165"/>
      <c r="I23" s="165">
        <v>0</v>
      </c>
      <c r="J23" s="165">
        <v>0</v>
      </c>
      <c r="K23" s="165"/>
      <c r="L23" s="165">
        <v>1026.3599999999999</v>
      </c>
      <c r="M23" s="165" t="s">
        <v>304</v>
      </c>
      <c r="N23" s="165">
        <v>26.88</v>
      </c>
      <c r="O23" s="165">
        <v>1480737600</v>
      </c>
      <c r="P23" s="165">
        <v>4.3099999999999996</v>
      </c>
      <c r="Q23" s="165">
        <v>223</v>
      </c>
      <c r="R23" s="165">
        <v>1.61</v>
      </c>
    </row>
    <row r="24" spans="1:18" x14ac:dyDescent="0.25">
      <c r="A24" s="165">
        <v>25.18</v>
      </c>
      <c r="B24" s="165">
        <v>0.39</v>
      </c>
      <c r="C24" s="165">
        <v>19.899999999999999</v>
      </c>
      <c r="D24" s="8">
        <v>42706.916666666664</v>
      </c>
      <c r="E24" s="165">
        <v>0.8</v>
      </c>
      <c r="F24" s="165" t="s">
        <v>285</v>
      </c>
      <c r="G24" s="165">
        <v>289.82</v>
      </c>
      <c r="H24" s="165"/>
      <c r="I24" s="165">
        <v>0</v>
      </c>
      <c r="J24" s="165">
        <v>0</v>
      </c>
      <c r="K24" s="165"/>
      <c r="L24" s="165">
        <v>1026.48</v>
      </c>
      <c r="M24" s="165" t="s">
        <v>304</v>
      </c>
      <c r="N24" s="165">
        <v>25.18</v>
      </c>
      <c r="O24" s="165">
        <v>1480741200</v>
      </c>
      <c r="P24" s="165">
        <v>4.84</v>
      </c>
      <c r="Q24" s="165">
        <v>207</v>
      </c>
      <c r="R24" s="165">
        <v>2.76</v>
      </c>
    </row>
    <row r="25" spans="1:18" x14ac:dyDescent="0.25">
      <c r="A25" s="165">
        <v>24.28</v>
      </c>
      <c r="B25" s="165">
        <v>0.38</v>
      </c>
      <c r="C25" s="165">
        <v>18.920000000000002</v>
      </c>
      <c r="D25" s="8">
        <v>42706.958333333336</v>
      </c>
      <c r="E25" s="165">
        <v>0.8</v>
      </c>
      <c r="F25" s="165" t="s">
        <v>285</v>
      </c>
      <c r="G25" s="165">
        <v>288.91000000000003</v>
      </c>
      <c r="H25" s="165"/>
      <c r="I25" s="165">
        <v>0</v>
      </c>
      <c r="J25" s="165">
        <v>0</v>
      </c>
      <c r="K25" s="165"/>
      <c r="L25" s="165">
        <v>1026.48</v>
      </c>
      <c r="M25" s="165" t="s">
        <v>304</v>
      </c>
      <c r="N25" s="165">
        <v>24.28</v>
      </c>
      <c r="O25" s="165">
        <v>1480744800</v>
      </c>
      <c r="P25" s="165">
        <v>5.15</v>
      </c>
      <c r="Q25" s="165">
        <v>207</v>
      </c>
      <c r="R25" s="165">
        <v>2.71</v>
      </c>
    </row>
    <row r="26" spans="1:18" x14ac:dyDescent="0.25">
      <c r="A26" s="165">
        <v>23.94</v>
      </c>
      <c r="B26" s="165">
        <v>0.42</v>
      </c>
      <c r="C26" s="165">
        <v>18.8</v>
      </c>
      <c r="D26" s="8">
        <v>42707</v>
      </c>
      <c r="E26" s="165">
        <v>0.8</v>
      </c>
      <c r="F26" s="165" t="s">
        <v>285</v>
      </c>
      <c r="G26" s="165">
        <v>285.85000000000002</v>
      </c>
      <c r="H26" s="165"/>
      <c r="I26" s="165">
        <v>0</v>
      </c>
      <c r="J26" s="165">
        <v>0</v>
      </c>
      <c r="K26" s="165"/>
      <c r="L26" s="165">
        <v>1026.32</v>
      </c>
      <c r="M26" s="165" t="s">
        <v>304</v>
      </c>
      <c r="N26" s="165">
        <v>23.94</v>
      </c>
      <c r="O26" s="165">
        <v>1480748400</v>
      </c>
      <c r="P26" s="165">
        <v>3.93</v>
      </c>
      <c r="Q26" s="165">
        <v>215</v>
      </c>
      <c r="R26" s="165">
        <v>2.15</v>
      </c>
    </row>
    <row r="27" spans="1:18" x14ac:dyDescent="0.25">
      <c r="A27" s="165">
        <v>22.86</v>
      </c>
      <c r="B27" s="165">
        <v>0.26</v>
      </c>
      <c r="C27" s="165">
        <v>17.399999999999999</v>
      </c>
      <c r="D27" s="8">
        <v>42707.041666666664</v>
      </c>
      <c r="E27" s="165">
        <v>0.79</v>
      </c>
      <c r="F27" s="165" t="s">
        <v>285</v>
      </c>
      <c r="G27" s="165">
        <v>282.79000000000002</v>
      </c>
      <c r="H27" s="165"/>
      <c r="I27" s="165">
        <v>0</v>
      </c>
      <c r="J27" s="165">
        <v>0</v>
      </c>
      <c r="K27" s="165"/>
      <c r="L27" s="165">
        <v>1026.1300000000001</v>
      </c>
      <c r="M27" s="165" t="s">
        <v>304</v>
      </c>
      <c r="N27" s="165">
        <v>22.86</v>
      </c>
      <c r="O27" s="165">
        <v>1480752000</v>
      </c>
      <c r="P27" s="165">
        <v>3.92</v>
      </c>
      <c r="Q27" s="165">
        <v>234</v>
      </c>
      <c r="R27" s="165">
        <v>2.11</v>
      </c>
    </row>
    <row r="28" spans="1:18" x14ac:dyDescent="0.25">
      <c r="A28" s="165">
        <v>22.15</v>
      </c>
      <c r="B28" s="165">
        <v>0.16</v>
      </c>
      <c r="C28" s="165">
        <v>16.86</v>
      </c>
      <c r="D28" s="8">
        <v>42707.083333333336</v>
      </c>
      <c r="E28" s="165">
        <v>0.8</v>
      </c>
      <c r="F28" s="165" t="s">
        <v>673</v>
      </c>
      <c r="G28" s="165">
        <v>279.74</v>
      </c>
      <c r="H28" s="165"/>
      <c r="I28" s="165">
        <v>0</v>
      </c>
      <c r="J28" s="165">
        <v>0</v>
      </c>
      <c r="K28" s="165"/>
      <c r="L28" s="165">
        <v>1025.94</v>
      </c>
      <c r="M28" s="165" t="s">
        <v>674</v>
      </c>
      <c r="N28" s="165">
        <v>22.15</v>
      </c>
      <c r="O28" s="165">
        <v>1480755600</v>
      </c>
      <c r="P28" s="165">
        <v>3.68</v>
      </c>
      <c r="Q28" s="165">
        <v>235</v>
      </c>
      <c r="R28" s="165">
        <v>1.86</v>
      </c>
    </row>
    <row r="29" spans="1:18" x14ac:dyDescent="0.25">
      <c r="A29" s="165">
        <v>20.22</v>
      </c>
      <c r="B29" s="165">
        <v>0.14000000000000001</v>
      </c>
      <c r="C29" s="165">
        <v>14.43</v>
      </c>
      <c r="D29" s="8">
        <v>42707.125</v>
      </c>
      <c r="E29" s="165">
        <v>0.78</v>
      </c>
      <c r="F29" s="165" t="s">
        <v>673</v>
      </c>
      <c r="G29" s="165">
        <v>277.77</v>
      </c>
      <c r="H29" s="165"/>
      <c r="I29" s="165">
        <v>0</v>
      </c>
      <c r="J29" s="165">
        <v>0</v>
      </c>
      <c r="K29" s="165"/>
      <c r="L29" s="165">
        <v>1025.8399999999999</v>
      </c>
      <c r="M29" s="165" t="s">
        <v>674</v>
      </c>
      <c r="N29" s="165">
        <v>20.22</v>
      </c>
      <c r="O29" s="165">
        <v>1480759200</v>
      </c>
      <c r="P29" s="165">
        <v>6.76</v>
      </c>
      <c r="Q29" s="165">
        <v>242</v>
      </c>
      <c r="R29" s="165">
        <v>2.67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8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42706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205</v>
      </c>
      <c r="J17" s="33"/>
      <c r="K17" s="34"/>
      <c r="L17" s="34"/>
    </row>
    <row r="18" spans="3:13" x14ac:dyDescent="0.25">
      <c r="C18" t="s">
        <v>834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854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835</v>
      </c>
      <c r="J20" t="s">
        <v>87</v>
      </c>
      <c r="M20" s="68" t="s">
        <v>297</v>
      </c>
    </row>
    <row r="21" spans="3:13" x14ac:dyDescent="0.25">
      <c r="C21" t="s">
        <v>836</v>
      </c>
      <c r="J21" s="21" t="s">
        <v>90</v>
      </c>
      <c r="K21" s="21" t="s">
        <v>91</v>
      </c>
      <c r="M21" s="68" t="s">
        <v>182</v>
      </c>
    </row>
    <row r="22" spans="3:13" x14ac:dyDescent="0.25">
      <c r="C22" t="s">
        <v>837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838</v>
      </c>
      <c r="J23" s="29" t="s">
        <v>95</v>
      </c>
      <c r="K23" s="21"/>
      <c r="M23" s="69">
        <v>-7</v>
      </c>
    </row>
    <row r="24" spans="3:13" x14ac:dyDescent="0.25">
      <c r="C24" t="s">
        <v>839</v>
      </c>
      <c r="J24" s="21" t="s">
        <v>108</v>
      </c>
      <c r="K24" s="21"/>
      <c r="M24" s="68" t="s">
        <v>110</v>
      </c>
    </row>
    <row r="25" spans="3:13" x14ac:dyDescent="0.25">
      <c r="C25" t="s">
        <v>840</v>
      </c>
      <c r="J25" t="s">
        <v>151</v>
      </c>
      <c r="M25" s="68" t="b">
        <v>1</v>
      </c>
    </row>
    <row r="26" spans="3:13" x14ac:dyDescent="0.25">
      <c r="C26" t="s">
        <v>841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C:\Users\stu\Documents\GitHub\eaglep3-reporting\EC\2016-12-02-refined-times.txt</v>
      </c>
    </row>
    <row r="27" spans="3:13" x14ac:dyDescent="0.25">
      <c r="C27" t="s">
        <v>842</v>
      </c>
      <c r="J27" t="s">
        <v>188</v>
      </c>
      <c r="M27" s="68" t="str">
        <f>"C:\Users\stu\Documents\GitHub\eaglep3-reporting\EC\"&amp;TEXT(A2,"YYYY-MM-DD")&amp;"-Enforcements.txt"</f>
        <v>C:\Users\stu\Documents\GitHub\eaglep3-reporting\EC\2016-12-02-Enforcements.txt</v>
      </c>
    </row>
    <row r="28" spans="3:13" x14ac:dyDescent="0.25">
      <c r="C28" t="s">
        <v>843</v>
      </c>
      <c r="J28" t="s">
        <v>189</v>
      </c>
      <c r="M28" s="106" t="str">
        <f>"C:\Users\stu\Documents\GitHub\eaglep3-reporting\EC\"&amp;TEXT(A2,"YYYY-MM-DD")&amp;"-Runs-Refined.txt"</f>
        <v>C:\Users\stu\Documents\GitHub\eaglep3-reporting\EC\2016-12-02-Runs-Refined.txt</v>
      </c>
    </row>
    <row r="29" spans="3:13" x14ac:dyDescent="0.25">
      <c r="C29" t="s">
        <v>844</v>
      </c>
      <c r="J29" t="s">
        <v>190</v>
      </c>
      <c r="M29" s="106" t="str">
        <f>"C:\Users\stu\Documents\GitHub\eaglep3-reporting\EC\"&amp;TEXT(A2,"YYYY-MM-DD")&amp;"-Trips.txt"</f>
        <v>C:\Users\stu\Documents\GitHub\eaglep3-reporting\EC\2016-12-02-Trips.txt</v>
      </c>
    </row>
    <row r="30" spans="3:13" x14ac:dyDescent="0.25">
      <c r="C30" t="s">
        <v>845</v>
      </c>
      <c r="J30" t="s">
        <v>191</v>
      </c>
      <c r="M30" s="106" t="str">
        <f>"C:\Users\stu\Documents\GitHub\eaglep3-reporting\EC\"&amp;TEXT(A2,"YYYY-MM-DD")&amp;"-Weather.txt"</f>
        <v>C:\Users\stu\Documents\GitHub\eaglep3-reporting\EC\2016-12-02-Weather.txt</v>
      </c>
    </row>
    <row r="31" spans="3:13" x14ac:dyDescent="0.25">
      <c r="C31" t="s">
        <v>846</v>
      </c>
    </row>
    <row r="32" spans="3:13" x14ac:dyDescent="0.25">
      <c r="C32" t="s">
        <v>847</v>
      </c>
    </row>
    <row r="33" spans="3:3" x14ac:dyDescent="0.25">
      <c r="C33" t="s">
        <v>848</v>
      </c>
    </row>
    <row r="34" spans="3:3" x14ac:dyDescent="0.25">
      <c r="C34" t="s">
        <v>849</v>
      </c>
    </row>
    <row r="35" spans="3:3" x14ac:dyDescent="0.25">
      <c r="C35" t="s">
        <v>850</v>
      </c>
    </row>
    <row r="36" spans="3:3" x14ac:dyDescent="0.25">
      <c r="C36" t="s">
        <v>851</v>
      </c>
    </row>
    <row r="37" spans="3:3" x14ac:dyDescent="0.25">
      <c r="C37" t="s">
        <v>852</v>
      </c>
    </row>
    <row r="38" spans="3:3" x14ac:dyDescent="0.25">
      <c r="C38" t="s">
        <v>853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B97" sqref="B97:C98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867</v>
      </c>
      <c r="B1" t="str">
        <f t="shared" ref="B1:B64" si="0">MID(A1,6,23)</f>
        <v>2016/12/02 12:51:26.988</v>
      </c>
      <c r="C1" t="e">
        <f>ABS(B1-#REF!)</f>
        <v>#REF!</v>
      </c>
    </row>
    <row r="2" spans="1:3" x14ac:dyDescent="0.25">
      <c r="A2" t="s">
        <v>868</v>
      </c>
      <c r="B2" s="21" t="str">
        <f t="shared" si="0"/>
        <v>2016/12/02 12:51:27.488</v>
      </c>
      <c r="C2">
        <f>ABS(B2-B1)</f>
        <v>5.7870420278050005E-6</v>
      </c>
    </row>
    <row r="3" spans="1:3" x14ac:dyDescent="0.25">
      <c r="A3" t="s">
        <v>869</v>
      </c>
      <c r="B3" s="21" t="str">
        <f t="shared" si="0"/>
        <v>2016/12/02 13:26:11.692</v>
      </c>
      <c r="C3" s="21">
        <f t="shared" ref="C3:C66" si="1">ABS(B3-B2)</f>
        <v>2.4122731476381887E-2</v>
      </c>
    </row>
    <row r="4" spans="1:3" x14ac:dyDescent="0.25">
      <c r="A4" t="s">
        <v>870</v>
      </c>
      <c r="B4" s="21" t="str">
        <f t="shared" si="0"/>
        <v>2016/12/02 13:26:11.719</v>
      </c>
      <c r="C4" s="21">
        <f t="shared" si="1"/>
        <v>3.1250237952917814E-7</v>
      </c>
    </row>
    <row r="5" spans="1:3" x14ac:dyDescent="0.25">
      <c r="A5" t="s">
        <v>871</v>
      </c>
      <c r="B5" s="21" t="str">
        <f t="shared" si="0"/>
        <v>2016/12/02 13:26:12.199</v>
      </c>
      <c r="C5" s="21">
        <f t="shared" si="1"/>
        <v>5.5555574363097548E-6</v>
      </c>
    </row>
    <row r="6" spans="1:3" x14ac:dyDescent="0.25">
      <c r="A6" t="s">
        <v>872</v>
      </c>
      <c r="B6" s="21" t="str">
        <f t="shared" si="0"/>
        <v>2016/12/02 13:26:12.208</v>
      </c>
      <c r="C6" s="21">
        <f t="shared" si="1"/>
        <v>1.0416260920464993E-7</v>
      </c>
    </row>
    <row r="7" spans="1:3" x14ac:dyDescent="0.25">
      <c r="A7" t="s">
        <v>873</v>
      </c>
      <c r="B7" s="21" t="str">
        <f t="shared" si="0"/>
        <v>2016/12/02 13:26:12.358</v>
      </c>
      <c r="C7" s="21">
        <f t="shared" si="1"/>
        <v>1.7361162463203073E-6</v>
      </c>
    </row>
    <row r="8" spans="1:3" x14ac:dyDescent="0.25">
      <c r="A8" t="s">
        <v>874</v>
      </c>
      <c r="B8" s="21" t="str">
        <f t="shared" si="0"/>
        <v>2016/12/02 13:26:12.367</v>
      </c>
      <c r="C8" s="21">
        <f t="shared" si="1"/>
        <v>1.0416260920464993E-7</v>
      </c>
    </row>
    <row r="9" spans="1:3" x14ac:dyDescent="0.25">
      <c r="A9" t="s">
        <v>875</v>
      </c>
      <c r="B9" s="21" t="str">
        <f t="shared" si="0"/>
        <v>2016/12/02 13:51:01.607</v>
      </c>
      <c r="C9" s="21">
        <f t="shared" si="1"/>
        <v>1.7236574072740041E-2</v>
      </c>
    </row>
    <row r="10" spans="1:3" x14ac:dyDescent="0.25">
      <c r="A10" t="s">
        <v>876</v>
      </c>
      <c r="B10" s="21" t="str">
        <f t="shared" si="0"/>
        <v>2016/12/02 13:51:01.701</v>
      </c>
      <c r="C10" s="21">
        <f t="shared" si="1"/>
        <v>1.0879666660912335E-6</v>
      </c>
    </row>
    <row r="11" spans="1:3" x14ac:dyDescent="0.25">
      <c r="A11" t="s">
        <v>877</v>
      </c>
      <c r="B11" s="21" t="str">
        <f t="shared" si="0"/>
        <v>2016/12/02 13:51:01.751</v>
      </c>
      <c r="C11" s="21">
        <f t="shared" si="1"/>
        <v>5.7870056480169296E-7</v>
      </c>
    </row>
    <row r="12" spans="1:3" x14ac:dyDescent="0.25">
      <c r="A12" t="s">
        <v>878</v>
      </c>
      <c r="B12" s="21" t="str">
        <f t="shared" si="0"/>
        <v>2016/12/02 13:52:34.615</v>
      </c>
      <c r="C12" s="21">
        <f t="shared" si="1"/>
        <v>1.0748148197308183E-3</v>
      </c>
    </row>
    <row r="13" spans="1:3" x14ac:dyDescent="0.25">
      <c r="A13" t="s">
        <v>879</v>
      </c>
      <c r="B13" s="21" t="str">
        <f t="shared" si="0"/>
        <v>2016/12/02 13:52:34.710</v>
      </c>
      <c r="C13" s="21">
        <f t="shared" si="1"/>
        <v>1.0995354386977851E-6</v>
      </c>
    </row>
    <row r="14" spans="1:3" x14ac:dyDescent="0.25">
      <c r="A14" t="s">
        <v>880</v>
      </c>
      <c r="B14" s="21" t="str">
        <f t="shared" si="0"/>
        <v>2016/12/02 13:52:34.759</v>
      </c>
      <c r="C14" s="21">
        <f t="shared" si="1"/>
        <v>5.6713179219514132E-7</v>
      </c>
    </row>
    <row r="15" spans="1:3" x14ac:dyDescent="0.25">
      <c r="A15" t="s">
        <v>881</v>
      </c>
      <c r="B15" s="21" t="str">
        <f t="shared" si="0"/>
        <v>2016/12/02 14:13:37.501</v>
      </c>
      <c r="C15" s="21">
        <f t="shared" si="1"/>
        <v>1.4615069441788364E-2</v>
      </c>
    </row>
    <row r="16" spans="1:3" x14ac:dyDescent="0.25">
      <c r="A16" t="s">
        <v>882</v>
      </c>
      <c r="B16" s="21" t="str">
        <f t="shared" si="0"/>
        <v>2016/12/02 14:13:37.969</v>
      </c>
      <c r="C16" s="21">
        <f t="shared" si="1"/>
        <v>5.4166666814126074E-6</v>
      </c>
    </row>
    <row r="17" spans="1:3" x14ac:dyDescent="0.25">
      <c r="A17" t="s">
        <v>883</v>
      </c>
      <c r="B17" s="21" t="str">
        <f t="shared" si="0"/>
        <v>2016/12/02 14:13:38.434</v>
      </c>
      <c r="C17" s="21">
        <f t="shared" si="1"/>
        <v>5.3819458116777241E-6</v>
      </c>
    </row>
    <row r="18" spans="1:3" x14ac:dyDescent="0.25">
      <c r="A18" t="s">
        <v>884</v>
      </c>
      <c r="B18" s="21" t="str">
        <f t="shared" si="0"/>
        <v>2016/12/02 14:22:04.387</v>
      </c>
      <c r="C18" s="21">
        <f t="shared" si="1"/>
        <v>5.8559374956530519E-3</v>
      </c>
    </row>
    <row r="19" spans="1:3" x14ac:dyDescent="0.25">
      <c r="A19" t="s">
        <v>885</v>
      </c>
      <c r="B19" s="21" t="str">
        <f t="shared" si="0"/>
        <v>2016/12/02 14:22:04.457</v>
      </c>
      <c r="C19" s="21">
        <f t="shared" si="1"/>
        <v>8.1018515629693866E-7</v>
      </c>
    </row>
    <row r="20" spans="1:3" x14ac:dyDescent="0.25">
      <c r="A20" t="s">
        <v>886</v>
      </c>
      <c r="B20" s="21" t="str">
        <f t="shared" si="0"/>
        <v>2016/12/02 14:48:37.340</v>
      </c>
      <c r="C20" s="21">
        <f t="shared" si="1"/>
        <v>1.8436145837767981E-2</v>
      </c>
    </row>
    <row r="21" spans="1:3" x14ac:dyDescent="0.25">
      <c r="A21" t="s">
        <v>887</v>
      </c>
      <c r="B21" s="21" t="str">
        <f t="shared" si="0"/>
        <v>2016/12/02 14:48:37.753</v>
      </c>
      <c r="C21" s="21">
        <f t="shared" si="1"/>
        <v>4.7800931497476995E-6</v>
      </c>
    </row>
    <row r="22" spans="1:3" x14ac:dyDescent="0.25">
      <c r="A22" t="s">
        <v>888</v>
      </c>
      <c r="B22" s="21" t="str">
        <f t="shared" si="0"/>
        <v>2016/12/02 14:48:38.154</v>
      </c>
      <c r="C22" s="21">
        <f t="shared" si="1"/>
        <v>4.6412023948505521E-6</v>
      </c>
    </row>
    <row r="23" spans="1:3" x14ac:dyDescent="0.25">
      <c r="A23" t="s">
        <v>889</v>
      </c>
      <c r="B23" s="21" t="str">
        <f t="shared" si="0"/>
        <v>2016/12/02 15:00:34.041</v>
      </c>
      <c r="C23" s="21">
        <f t="shared" si="1"/>
        <v>8.2857291636173613E-3</v>
      </c>
    </row>
    <row r="24" spans="1:3" x14ac:dyDescent="0.25">
      <c r="A24" t="s">
        <v>890</v>
      </c>
      <c r="B24" s="21" t="str">
        <f t="shared" si="0"/>
        <v>2016/12/02 15:00:34.179</v>
      </c>
      <c r="C24" s="21">
        <f t="shared" si="1"/>
        <v>1.5972254914231598E-6</v>
      </c>
    </row>
    <row r="25" spans="1:3" x14ac:dyDescent="0.25">
      <c r="A25" t="s">
        <v>891</v>
      </c>
      <c r="B25" s="21" t="str">
        <f t="shared" si="0"/>
        <v>2016/12/02 15:00:34.356</v>
      </c>
      <c r="C25" s="21">
        <f t="shared" si="1"/>
        <v>2.0486113498918712E-6</v>
      </c>
    </row>
    <row r="26" spans="1:3" x14ac:dyDescent="0.25">
      <c r="A26" t="s">
        <v>892</v>
      </c>
      <c r="B26" s="21" t="str">
        <f t="shared" si="0"/>
        <v>2016/12/02 15:02:08.042</v>
      </c>
      <c r="C26" s="21">
        <f t="shared" si="1"/>
        <v>1.084328701836057E-3</v>
      </c>
    </row>
    <row r="27" spans="1:3" x14ac:dyDescent="0.25">
      <c r="A27" t="s">
        <v>893</v>
      </c>
      <c r="B27" s="21" t="str">
        <f t="shared" si="0"/>
        <v>2016/12/02 15:02:08.186</v>
      </c>
      <c r="C27" s="21">
        <f t="shared" si="1"/>
        <v>1.6666672308929265E-6</v>
      </c>
    </row>
    <row r="28" spans="1:3" x14ac:dyDescent="0.25">
      <c r="A28" t="s">
        <v>894</v>
      </c>
      <c r="B28" s="21" t="str">
        <f t="shared" si="0"/>
        <v>2016/12/02 15:02:08.355</v>
      </c>
      <c r="C28" s="21">
        <f t="shared" si="1"/>
        <v>1.9560175132937729E-6</v>
      </c>
    </row>
    <row r="29" spans="1:3" x14ac:dyDescent="0.25">
      <c r="A29" t="s">
        <v>895</v>
      </c>
      <c r="B29" s="21" t="str">
        <f t="shared" si="0"/>
        <v>2016/12/02 15:07:01.338</v>
      </c>
      <c r="C29" s="21">
        <f t="shared" si="1"/>
        <v>3.3910069469129667E-3</v>
      </c>
    </row>
    <row r="30" spans="1:3" x14ac:dyDescent="0.25">
      <c r="A30" t="s">
        <v>896</v>
      </c>
      <c r="B30" s="21" t="str">
        <f t="shared" si="0"/>
        <v>2016/12/02 15:07:27.028</v>
      </c>
      <c r="C30" s="21">
        <f t="shared" si="1"/>
        <v>2.973379596369341E-4</v>
      </c>
    </row>
    <row r="31" spans="1:3" x14ac:dyDescent="0.25">
      <c r="A31" t="s">
        <v>897</v>
      </c>
      <c r="B31" s="21" t="str">
        <f t="shared" si="0"/>
        <v>2016/12/02 15:07:27.161</v>
      </c>
      <c r="C31" s="21">
        <f t="shared" si="1"/>
        <v>1.5393525245599449E-6</v>
      </c>
    </row>
    <row r="32" spans="1:3" x14ac:dyDescent="0.25">
      <c r="A32" t="s">
        <v>898</v>
      </c>
      <c r="B32" s="21" t="str">
        <f t="shared" si="0"/>
        <v>2016/12/02 15:11:28.410</v>
      </c>
      <c r="C32" s="21">
        <f t="shared" si="1"/>
        <v>2.7922337976633571E-3</v>
      </c>
    </row>
    <row r="33" spans="1:3" x14ac:dyDescent="0.25">
      <c r="A33" t="s">
        <v>899</v>
      </c>
      <c r="B33" s="21" t="str">
        <f t="shared" si="0"/>
        <v>2016/12/02 15:11:28.847</v>
      </c>
      <c r="C33" s="21">
        <f t="shared" si="1"/>
        <v>5.0578673835843801E-6</v>
      </c>
    </row>
    <row r="34" spans="1:3" x14ac:dyDescent="0.25">
      <c r="A34" t="s">
        <v>900</v>
      </c>
      <c r="B34" s="21" t="str">
        <f t="shared" si="0"/>
        <v>2016/12/02 15:11:29.753</v>
      </c>
      <c r="C34" s="21">
        <f t="shared" si="1"/>
        <v>1.0486110113561153E-5</v>
      </c>
    </row>
    <row r="35" spans="1:3" x14ac:dyDescent="0.25">
      <c r="A35" t="s">
        <v>901</v>
      </c>
      <c r="B35" s="21" t="str">
        <f t="shared" si="0"/>
        <v>2016/12/02 15:13:29.419</v>
      </c>
      <c r="C35" s="21">
        <f t="shared" si="1"/>
        <v>1.3850231480319053E-3</v>
      </c>
    </row>
    <row r="36" spans="1:3" x14ac:dyDescent="0.25">
      <c r="A36" t="s">
        <v>902</v>
      </c>
      <c r="B36" s="21" t="str">
        <f t="shared" si="0"/>
        <v>2016/12/02 15:13:29.767</v>
      </c>
      <c r="C36" s="21">
        <f t="shared" si="1"/>
        <v>4.0277809603139758E-6</v>
      </c>
    </row>
    <row r="37" spans="1:3" x14ac:dyDescent="0.25">
      <c r="A37" t="s">
        <v>903</v>
      </c>
      <c r="B37" s="21" t="str">
        <f t="shared" si="0"/>
        <v>2016/12/02 15:13:29.897</v>
      </c>
      <c r="C37" s="21">
        <f t="shared" si="1"/>
        <v>1.5046316548250616E-6</v>
      </c>
    </row>
    <row r="38" spans="1:3" x14ac:dyDescent="0.25">
      <c r="A38" t="s">
        <v>904</v>
      </c>
      <c r="B38" s="21" t="str">
        <f t="shared" si="0"/>
        <v>2016/12/02 16:21:00.786</v>
      </c>
      <c r="C38" s="21">
        <f t="shared" si="1"/>
        <v>4.6885289353667758E-2</v>
      </c>
    </row>
    <row r="39" spans="1:3" x14ac:dyDescent="0.25">
      <c r="A39" t="s">
        <v>905</v>
      </c>
      <c r="B39" s="21" t="str">
        <f t="shared" si="0"/>
        <v>2016/12/02 16:21:00.801</v>
      </c>
      <c r="C39" s="21">
        <f t="shared" si="1"/>
        <v>1.7360434867441654E-7</v>
      </c>
    </row>
    <row r="40" spans="1:3" x14ac:dyDescent="0.25">
      <c r="A40" t="s">
        <v>906</v>
      </c>
      <c r="B40" s="21" t="str">
        <f t="shared" si="0"/>
        <v>2016/12/02 16:21:01.528</v>
      </c>
      <c r="C40" s="21">
        <f t="shared" si="1"/>
        <v>8.4143539424985647E-6</v>
      </c>
    </row>
    <row r="41" spans="1:3" x14ac:dyDescent="0.25">
      <c r="A41" t="s">
        <v>907</v>
      </c>
      <c r="B41" s="21" t="str">
        <f t="shared" si="0"/>
        <v>2016/12/02 16:22:35.522</v>
      </c>
      <c r="C41" s="21">
        <f t="shared" si="1"/>
        <v>1.0878935208893381E-3</v>
      </c>
    </row>
    <row r="42" spans="1:3" x14ac:dyDescent="0.25">
      <c r="A42" t="s">
        <v>908</v>
      </c>
      <c r="B42" s="21" t="str">
        <f t="shared" si="0"/>
        <v>2016/12/02 16:22:35.782</v>
      </c>
      <c r="C42" s="21">
        <f t="shared" si="1"/>
        <v>3.0092560336925089E-6</v>
      </c>
    </row>
    <row r="43" spans="1:3" x14ac:dyDescent="0.25">
      <c r="A43" t="s">
        <v>909</v>
      </c>
      <c r="B43" s="21" t="str">
        <f t="shared" si="0"/>
        <v>2016/12/02 16:22:35.797</v>
      </c>
      <c r="C43" s="21">
        <f t="shared" si="1"/>
        <v>1.7361162463203073E-7</v>
      </c>
    </row>
    <row r="44" spans="1:3" x14ac:dyDescent="0.25">
      <c r="A44" t="s">
        <v>910</v>
      </c>
      <c r="B44" s="21" t="str">
        <f t="shared" si="0"/>
        <v>2016/12/02 16:26:11.178</v>
      </c>
      <c r="C44" s="21">
        <f t="shared" si="1"/>
        <v>2.492835650627967E-3</v>
      </c>
    </row>
    <row r="45" spans="1:3" x14ac:dyDescent="0.25">
      <c r="A45" t="s">
        <v>911</v>
      </c>
      <c r="B45" s="21" t="str">
        <f t="shared" si="0"/>
        <v>2016/12/02 16:26:11.711</v>
      </c>
      <c r="C45" s="21">
        <f t="shared" si="1"/>
        <v>6.1689788708463311E-6</v>
      </c>
    </row>
    <row r="46" spans="1:3" x14ac:dyDescent="0.25">
      <c r="A46" t="s">
        <v>912</v>
      </c>
      <c r="B46" s="21" t="str">
        <f t="shared" si="0"/>
        <v>2016/12/02 16:26:12.310</v>
      </c>
      <c r="C46" s="21">
        <f t="shared" si="1"/>
        <v>6.9328743848018348E-6</v>
      </c>
    </row>
    <row r="47" spans="1:3" x14ac:dyDescent="0.25">
      <c r="A47" t="s">
        <v>913</v>
      </c>
      <c r="B47" s="21" t="str">
        <f t="shared" si="0"/>
        <v>2016/12/02 16:33:52.752</v>
      </c>
      <c r="C47" s="21">
        <f t="shared" si="1"/>
        <v>5.3291898148017935E-3</v>
      </c>
    </row>
    <row r="48" spans="1:3" x14ac:dyDescent="0.25">
      <c r="A48" t="s">
        <v>914</v>
      </c>
      <c r="B48" s="21" t="str">
        <f t="shared" si="0"/>
        <v>2016/12/02 16:43:07.683</v>
      </c>
      <c r="C48" s="21">
        <f t="shared" si="1"/>
        <v>6.4228124974761158E-3</v>
      </c>
    </row>
    <row r="49" spans="1:3" x14ac:dyDescent="0.25">
      <c r="A49" t="s">
        <v>915</v>
      </c>
      <c r="B49" s="21" t="str">
        <f t="shared" si="0"/>
        <v>2016/12/02 17:23:50.164</v>
      </c>
      <c r="C49" s="21">
        <f t="shared" si="1"/>
        <v>2.8269456015550531E-2</v>
      </c>
    </row>
    <row r="50" spans="1:3" x14ac:dyDescent="0.25">
      <c r="A50" t="s">
        <v>916</v>
      </c>
      <c r="B50" s="21" t="str">
        <f t="shared" si="0"/>
        <v>2016/12/02 19:12:50.355</v>
      </c>
      <c r="C50" s="21">
        <f t="shared" si="1"/>
        <v>7.569665509799961E-2</v>
      </c>
    </row>
    <row r="51" spans="1:3" x14ac:dyDescent="0.25">
      <c r="A51" t="s">
        <v>917</v>
      </c>
      <c r="B51" s="21" t="str">
        <f t="shared" si="0"/>
        <v>2016/12/02 19:12:50.493</v>
      </c>
      <c r="C51" s="21">
        <f t="shared" si="1"/>
        <v>1.5972182154655457E-6</v>
      </c>
    </row>
    <row r="52" spans="1:3" x14ac:dyDescent="0.25">
      <c r="A52" t="s">
        <v>918</v>
      </c>
      <c r="B52" s="21" t="str">
        <f t="shared" si="0"/>
        <v>2016/12/02 19:12:50.922</v>
      </c>
      <c r="C52" s="21">
        <f t="shared" si="1"/>
        <v>4.9652808229438961E-6</v>
      </c>
    </row>
    <row r="53" spans="1:3" x14ac:dyDescent="0.25">
      <c r="A53" t="s">
        <v>919</v>
      </c>
      <c r="B53" s="21" t="str">
        <f t="shared" si="0"/>
        <v>2016/12/02 19:13:35.356</v>
      </c>
      <c r="C53" s="21">
        <f t="shared" si="1"/>
        <v>5.1428240840323269E-4</v>
      </c>
    </row>
    <row r="54" spans="1:3" x14ac:dyDescent="0.25">
      <c r="A54" t="s">
        <v>920</v>
      </c>
      <c r="B54" s="21" t="str">
        <f t="shared" si="0"/>
        <v>2016/12/02 19:13:35.489</v>
      </c>
      <c r="C54" s="21">
        <f t="shared" si="1"/>
        <v>1.5393525245599449E-6</v>
      </c>
    </row>
    <row r="55" spans="1:3" x14ac:dyDescent="0.25">
      <c r="A55" t="s">
        <v>921</v>
      </c>
      <c r="B55" s="21" t="str">
        <f t="shared" si="0"/>
        <v>2016/12/02 19:13:35.920</v>
      </c>
      <c r="C55" s="21">
        <f t="shared" si="1"/>
        <v>4.9884256441146135E-6</v>
      </c>
    </row>
    <row r="56" spans="1:3" x14ac:dyDescent="0.25">
      <c r="A56" t="s">
        <v>922</v>
      </c>
      <c r="B56" s="21" t="str">
        <f t="shared" si="0"/>
        <v>2016/12/02 19:55:17.794</v>
      </c>
      <c r="C56" s="21">
        <f t="shared" si="1"/>
        <v>2.8956874994037207E-2</v>
      </c>
    </row>
    <row r="57" spans="1:3" x14ac:dyDescent="0.25">
      <c r="A57" t="s">
        <v>923</v>
      </c>
      <c r="B57" s="21" t="str">
        <f t="shared" si="0"/>
        <v>2016/12/02 19:55:20.521</v>
      </c>
      <c r="C57" s="21">
        <f t="shared" si="1"/>
        <v>3.1562500225845724E-5</v>
      </c>
    </row>
    <row r="58" spans="1:3" x14ac:dyDescent="0.25">
      <c r="A58" t="s">
        <v>924</v>
      </c>
      <c r="B58" s="21" t="str">
        <f t="shared" si="0"/>
        <v>2016/12/02 19:55:20.775</v>
      </c>
      <c r="C58" s="21">
        <f t="shared" si="1"/>
        <v>2.9398142942227423E-6</v>
      </c>
    </row>
    <row r="59" spans="1:3" x14ac:dyDescent="0.25">
      <c r="A59" t="s">
        <v>925</v>
      </c>
      <c r="B59" s="21" t="str">
        <f t="shared" si="0"/>
        <v>2016/12/02 20:00:00.752</v>
      </c>
      <c r="C59" s="21">
        <f t="shared" si="1"/>
        <v>3.2404745434178039E-3</v>
      </c>
    </row>
    <row r="60" spans="1:3" x14ac:dyDescent="0.25">
      <c r="A60" t="s">
        <v>926</v>
      </c>
      <c r="B60" s="21" t="str">
        <f t="shared" si="0"/>
        <v>2016/12/02 20:00:01.102</v>
      </c>
      <c r="C60" s="21">
        <f t="shared" si="1"/>
        <v>4.0509257814846933E-6</v>
      </c>
    </row>
    <row r="61" spans="1:3" x14ac:dyDescent="0.25">
      <c r="A61" t="s">
        <v>927</v>
      </c>
      <c r="B61" s="21" t="str">
        <f t="shared" si="0"/>
        <v>2016/12/02 20:05:28.759</v>
      </c>
      <c r="C61" s="21">
        <f t="shared" si="1"/>
        <v>3.7923263880657032E-3</v>
      </c>
    </row>
    <row r="62" spans="1:3" x14ac:dyDescent="0.25">
      <c r="A62" t="s">
        <v>928</v>
      </c>
      <c r="B62" s="21" t="str">
        <f t="shared" si="0"/>
        <v>2016/12/02 20:05:29.152</v>
      </c>
      <c r="C62" s="21">
        <f t="shared" si="1"/>
        <v>4.5486085582524538E-6</v>
      </c>
    </row>
    <row r="63" spans="1:3" x14ac:dyDescent="0.25">
      <c r="A63" t="s">
        <v>929</v>
      </c>
      <c r="B63" s="21" t="str">
        <f t="shared" si="0"/>
        <v>2016/12/02 20:05:29.331</v>
      </c>
      <c r="C63" s="21">
        <f t="shared" si="1"/>
        <v>2.0717634470202029E-6</v>
      </c>
    </row>
    <row r="64" spans="1:3" x14ac:dyDescent="0.25">
      <c r="A64" t="s">
        <v>930</v>
      </c>
      <c r="B64" s="21" t="str">
        <f t="shared" si="0"/>
        <v>2016/12/02 21:20:07.145</v>
      </c>
      <c r="C64" s="21">
        <f t="shared" si="1"/>
        <v>5.1826550923578907E-2</v>
      </c>
    </row>
    <row r="65" spans="1:3" x14ac:dyDescent="0.25">
      <c r="A65" t="s">
        <v>931</v>
      </c>
      <c r="B65" s="21" t="str">
        <f t="shared" ref="B65:B75" si="2">MID(A65,6,23)</f>
        <v>2016/12/02 21:20:07.531</v>
      </c>
      <c r="C65" s="21">
        <f t="shared" si="1"/>
        <v>4.4675907702185214E-6</v>
      </c>
    </row>
    <row r="66" spans="1:3" x14ac:dyDescent="0.25">
      <c r="A66" t="s">
        <v>932</v>
      </c>
      <c r="B66" s="21" t="str">
        <f t="shared" si="2"/>
        <v>2016/12/02 21:47:30.743</v>
      </c>
      <c r="C66" s="21">
        <f t="shared" si="1"/>
        <v>1.9018657410924789E-2</v>
      </c>
    </row>
    <row r="67" spans="1:3" x14ac:dyDescent="0.25">
      <c r="A67" t="s">
        <v>933</v>
      </c>
      <c r="B67" s="21" t="str">
        <f t="shared" si="2"/>
        <v>2016/12/02 21:47:32.094</v>
      </c>
      <c r="C67" s="21">
        <f t="shared" ref="C67:C75" si="3">ABS(B67-B66)</f>
        <v>1.5636571333743632E-5</v>
      </c>
    </row>
    <row r="68" spans="1:3" x14ac:dyDescent="0.25">
      <c r="A68" t="s">
        <v>934</v>
      </c>
      <c r="B68" s="21" t="str">
        <f t="shared" si="2"/>
        <v>2016/12/02 21:49:17.753</v>
      </c>
      <c r="C68" s="21">
        <f t="shared" si="3"/>
        <v>1.222905091708526E-3</v>
      </c>
    </row>
    <row r="69" spans="1:3" x14ac:dyDescent="0.25">
      <c r="A69" t="s">
        <v>935</v>
      </c>
      <c r="B69" s="21" t="str">
        <f t="shared" si="2"/>
        <v>2016/12/02 21:49:18.152</v>
      </c>
      <c r="C69" s="21">
        <f t="shared" si="3"/>
        <v>4.6180575736798346E-6</v>
      </c>
    </row>
    <row r="70" spans="1:3" x14ac:dyDescent="0.25">
      <c r="A70" t="s">
        <v>936</v>
      </c>
      <c r="B70" s="21" t="str">
        <f t="shared" si="2"/>
        <v>2016/12/02 22:30:27.687</v>
      </c>
      <c r="C70" s="21">
        <f t="shared" si="3"/>
        <v>2.8582581020600628E-2</v>
      </c>
    </row>
    <row r="71" spans="1:3" x14ac:dyDescent="0.25">
      <c r="A71" t="s">
        <v>937</v>
      </c>
      <c r="B71" s="21" t="str">
        <f t="shared" si="2"/>
        <v>2016/12/02 22:30:28.176</v>
      </c>
      <c r="C71" s="21">
        <f t="shared" si="3"/>
        <v>5.6597200455144048E-6</v>
      </c>
    </row>
    <row r="72" spans="1:3" x14ac:dyDescent="0.25">
      <c r="A72" t="s">
        <v>938</v>
      </c>
      <c r="B72" s="21" t="str">
        <f t="shared" si="2"/>
        <v>2016/12/02 22:30:28.303</v>
      </c>
      <c r="C72" s="21">
        <f t="shared" si="3"/>
        <v>1.4699035091325641E-6</v>
      </c>
    </row>
    <row r="73" spans="1:3" x14ac:dyDescent="0.25">
      <c r="A73" t="s">
        <v>939</v>
      </c>
      <c r="B73" s="21" t="str">
        <f t="shared" si="2"/>
        <v>2016/12/02 22:35:50.671</v>
      </c>
      <c r="C73" s="21">
        <f t="shared" si="3"/>
        <v>3.7311111154849641E-3</v>
      </c>
    </row>
    <row r="74" spans="1:3" x14ac:dyDescent="0.25">
      <c r="A74" t="s">
        <v>940</v>
      </c>
      <c r="B74" s="21" t="str">
        <f t="shared" si="2"/>
        <v>2016/12/02 22:35:51.272</v>
      </c>
      <c r="C74" s="21">
        <f t="shared" si="3"/>
        <v>6.9560192059725523E-6</v>
      </c>
    </row>
    <row r="75" spans="1:3" x14ac:dyDescent="0.25">
      <c r="A75" t="s">
        <v>941</v>
      </c>
      <c r="B75" s="21" t="str">
        <f t="shared" si="2"/>
        <v>2016/12/02 22:37:00.710</v>
      </c>
      <c r="C75" s="21">
        <f t="shared" si="3"/>
        <v>8.0368055205326527E-4</v>
      </c>
    </row>
    <row r="76" spans="1:3" x14ac:dyDescent="0.25">
      <c r="A76" t="s">
        <v>942</v>
      </c>
      <c r="B76" s="21" t="str">
        <f t="shared" ref="B76:B81" si="4">MID(A76,6,23)</f>
        <v>2016/12/02 22:37:00.830</v>
      </c>
      <c r="C76" s="21">
        <f t="shared" ref="C76:C81" si="5">ABS(B76-B75)</f>
        <v>1.3888929970562458E-6</v>
      </c>
    </row>
    <row r="77" spans="1:3" x14ac:dyDescent="0.25">
      <c r="A77" t="s">
        <v>943</v>
      </c>
      <c r="B77" s="21" t="str">
        <f t="shared" si="4"/>
        <v>2016/12/02 22:37:01.762</v>
      </c>
      <c r="C77" s="21">
        <f t="shared" si="5"/>
        <v>1.0787036444526166E-5</v>
      </c>
    </row>
    <row r="78" spans="1:3" x14ac:dyDescent="0.25">
      <c r="A78" t="s">
        <v>944</v>
      </c>
      <c r="B78" s="21" t="str">
        <f t="shared" si="4"/>
        <v>2016/12/02 23:26:27.924</v>
      </c>
      <c r="C78" s="21">
        <f t="shared" si="5"/>
        <v>3.4330578702792991E-2</v>
      </c>
    </row>
    <row r="79" spans="1:3" x14ac:dyDescent="0.25">
      <c r="A79" t="s">
        <v>945</v>
      </c>
      <c r="B79" s="21" t="str">
        <f t="shared" si="4"/>
        <v>2016/12/03 00:46:13.082</v>
      </c>
      <c r="C79" s="21">
        <f t="shared" si="5"/>
        <v>5.5383773149515036E-2</v>
      </c>
    </row>
    <row r="80" spans="1:3" x14ac:dyDescent="0.25">
      <c r="A80" t="s">
        <v>946</v>
      </c>
      <c r="B80" s="21" t="str">
        <f t="shared" si="4"/>
        <v>2016/12/03 00:46:13.129</v>
      </c>
      <c r="C80" s="21">
        <f t="shared" si="5"/>
        <v>5.4397969506680965E-7</v>
      </c>
    </row>
    <row r="81" spans="1:3" x14ac:dyDescent="0.25">
      <c r="A81" t="s">
        <v>947</v>
      </c>
      <c r="B81" s="21" t="str">
        <f t="shared" si="4"/>
        <v>2016/12/03 00:46:13.578</v>
      </c>
      <c r="C81" s="21">
        <f t="shared" si="5"/>
        <v>5.1967581384815276E-6</v>
      </c>
    </row>
    <row r="82" spans="1:3" x14ac:dyDescent="0.25">
      <c r="A82" t="s">
        <v>948</v>
      </c>
      <c r="B82" s="21" t="str">
        <f t="shared" ref="B82:B97" si="6">MID(A82,6,23)</f>
        <v>2016/12/03 03:03:55.772</v>
      </c>
      <c r="C82" s="21">
        <f t="shared" ref="C82:C97" si="7">ABS(B82-B81)</f>
        <v>9.5627245369541924E-2</v>
      </c>
    </row>
    <row r="83" spans="1:3" x14ac:dyDescent="0.25">
      <c r="A83" t="s">
        <v>949</v>
      </c>
      <c r="B83" s="21" t="str">
        <f t="shared" si="6"/>
        <v>2016/12/03 03:03:56.102</v>
      </c>
      <c r="C83" s="21">
        <f t="shared" si="7"/>
        <v>3.8194484659470618E-6</v>
      </c>
    </row>
    <row r="84" spans="1:3" x14ac:dyDescent="0.25">
      <c r="A84" t="s">
        <v>950</v>
      </c>
      <c r="B84" s="21" t="str">
        <f t="shared" si="6"/>
        <v>2016/12/03 03:53:46.395</v>
      </c>
      <c r="C84" s="21">
        <f t="shared" si="7"/>
        <v>3.4609872680448461E-2</v>
      </c>
    </row>
    <row r="85" spans="1:3" x14ac:dyDescent="0.25">
      <c r="A85" t="s">
        <v>951</v>
      </c>
      <c r="B85" s="21" t="str">
        <f t="shared" si="6"/>
        <v>2016/12/03 03:53:46.495</v>
      </c>
      <c r="C85" s="21">
        <f t="shared" si="7"/>
        <v>1.1574084055610001E-6</v>
      </c>
    </row>
    <row r="86" spans="1:3" x14ac:dyDescent="0.25">
      <c r="A86" t="s">
        <v>952</v>
      </c>
      <c r="B86" s="21" t="str">
        <f t="shared" si="6"/>
        <v>2016/12/03 03:53:46.559</v>
      </c>
      <c r="C86" s="21">
        <f t="shared" si="7"/>
        <v>7.4074341682717204E-7</v>
      </c>
    </row>
    <row r="87" spans="1:3" x14ac:dyDescent="0.25">
      <c r="A87" t="s">
        <v>953</v>
      </c>
      <c r="B87" s="21" t="str">
        <f t="shared" si="6"/>
        <v>2016/12/03 05:27:19.540</v>
      </c>
      <c r="C87" s="21">
        <f t="shared" si="7"/>
        <v>6.4965057870722376E-2</v>
      </c>
    </row>
    <row r="88" spans="1:3" x14ac:dyDescent="0.25">
      <c r="A88" t="s">
        <v>954</v>
      </c>
      <c r="B88" s="21" t="str">
        <f t="shared" si="6"/>
        <v>2016/12/03 05:27:20.378</v>
      </c>
      <c r="C88" s="21">
        <f t="shared" si="7"/>
        <v>9.6990697784349322E-6</v>
      </c>
    </row>
    <row r="89" spans="1:3" x14ac:dyDescent="0.25">
      <c r="A89" t="s">
        <v>955</v>
      </c>
      <c r="B89" s="21" t="str">
        <f t="shared" si="6"/>
        <v>2016/12/03 05:27:20.601</v>
      </c>
      <c r="C89" s="21">
        <f t="shared" si="7"/>
        <v>2.5810222723521292E-6</v>
      </c>
    </row>
    <row r="90" spans="1:3" x14ac:dyDescent="0.25">
      <c r="A90" t="s">
        <v>956</v>
      </c>
      <c r="B90" s="21" t="str">
        <f t="shared" si="6"/>
        <v>2016/12/03 07:01:56.088</v>
      </c>
      <c r="C90" s="21">
        <f t="shared" si="7"/>
        <v>6.5688506940205116E-2</v>
      </c>
    </row>
    <row r="91" spans="1:3" x14ac:dyDescent="0.25">
      <c r="A91" t="s">
        <v>957</v>
      </c>
      <c r="B91" s="21" t="str">
        <f t="shared" si="6"/>
        <v>2016/12/03 07:01:56.760</v>
      </c>
      <c r="C91" s="21">
        <f t="shared" si="7"/>
        <v>7.7777804108336568E-6</v>
      </c>
    </row>
    <row r="92" spans="1:3" x14ac:dyDescent="0.25">
      <c r="A92" t="s">
        <v>958</v>
      </c>
      <c r="B92" s="21" t="str">
        <f t="shared" si="6"/>
        <v>2016/12/03 08:05:15.914</v>
      </c>
      <c r="C92" s="21">
        <f t="shared" si="7"/>
        <v>4.3971689810859971E-2</v>
      </c>
    </row>
    <row r="93" spans="1:3" x14ac:dyDescent="0.25">
      <c r="A93" t="s">
        <v>959</v>
      </c>
      <c r="B93" s="21" t="str">
        <f t="shared" si="6"/>
        <v>2016/12/03 08:05:15.915</v>
      </c>
      <c r="C93" s="21">
        <f t="shared" si="7"/>
        <v>1.1576048564165831E-8</v>
      </c>
    </row>
    <row r="94" spans="1:3" x14ac:dyDescent="0.25">
      <c r="A94" t="s">
        <v>960</v>
      </c>
      <c r="B94" s="21" t="str">
        <f t="shared" si="6"/>
        <v>2016/12/03 08:05:16.375</v>
      </c>
      <c r="C94" s="21">
        <f t="shared" si="7"/>
        <v>5.3240728448145092E-6</v>
      </c>
    </row>
    <row r="95" spans="1:3" x14ac:dyDescent="0.25">
      <c r="A95" t="s">
        <v>961</v>
      </c>
      <c r="B95" s="21" t="str">
        <f t="shared" si="6"/>
        <v>2016/12/03 08:31:50.098</v>
      </c>
      <c r="C95" s="21">
        <f t="shared" si="7"/>
        <v>1.8445868059643544E-2</v>
      </c>
    </row>
    <row r="96" spans="1:3" x14ac:dyDescent="0.25">
      <c r="A96" t="s">
        <v>962</v>
      </c>
      <c r="B96" s="21" t="str">
        <f t="shared" si="6"/>
        <v>2016/12/03 08:31:50.688</v>
      </c>
      <c r="C96" s="21">
        <f t="shared" si="7"/>
        <v>6.8287044996395707E-6</v>
      </c>
    </row>
    <row r="97" spans="1:3" x14ac:dyDescent="0.25">
      <c r="A97" t="s">
        <v>963</v>
      </c>
      <c r="B97" s="21" t="str">
        <f t="shared" si="6"/>
        <v>2016/12/03 08:31:50.980</v>
      </c>
      <c r="C97" s="21">
        <f t="shared" si="7"/>
        <v>3.3796241041272879E-6</v>
      </c>
    </row>
    <row r="98" spans="1:3" x14ac:dyDescent="0.25">
      <c r="A98" t="s">
        <v>964</v>
      </c>
      <c r="B98" s="21" t="str">
        <f t="shared" ref="B98" si="8">MID(A98,6,23)</f>
        <v>2016/12/03 09:33:25.531</v>
      </c>
      <c r="C98" s="21">
        <f t="shared" ref="C98" si="9">ABS(B98-B97)</f>
        <v>4.2761006945511326E-2</v>
      </c>
    </row>
    <row r="99" spans="1:3" x14ac:dyDescent="0.25">
      <c r="B99" s="21"/>
      <c r="C99" s="21"/>
    </row>
    <row r="100" spans="1:3" x14ac:dyDescent="0.25">
      <c r="B100" s="21"/>
      <c r="C100" s="21"/>
    </row>
    <row r="101" spans="1:3" x14ac:dyDescent="0.25">
      <c r="B101" s="21"/>
      <c r="C101" s="21"/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2016-12-05T19:02:44Z</dcterms:modified>
</cp:coreProperties>
</file>